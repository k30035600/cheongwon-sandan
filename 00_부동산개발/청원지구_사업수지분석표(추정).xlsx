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251688e3d9c1650/Cursor/cheongwon/00_부동산개발/"/>
    </mc:Choice>
  </mc:AlternateContent>
  <xr:revisionPtr revIDLastSave="1" documentId="11_CD15E27097646C0F605C8875445DCE3A47C84994" xr6:coauthVersionLast="47" xr6:coauthVersionMax="47" xr10:uidLastSave="{8689D3BE-EF11-4D2C-83C1-F83CD3625A29}"/>
  <bookViews>
    <workbookView xWindow="-120" yWindow="-120" windowWidth="38640" windowHeight="21120" xr2:uid="{00000000-000D-0000-FFFF-FFFF00000000}"/>
  </bookViews>
  <sheets>
    <sheet name="사업수지(추정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8" i="1" l="1"/>
  <c r="D137" i="1"/>
  <c r="F137" i="1" s="1"/>
  <c r="F136" i="1"/>
  <c r="D136" i="1"/>
  <c r="D135" i="1"/>
  <c r="F135" i="1" s="1"/>
  <c r="D134" i="1"/>
  <c r="F134" i="1" s="1"/>
  <c r="D133" i="1"/>
  <c r="F133" i="1" s="1"/>
  <c r="D132" i="1"/>
  <c r="F132" i="1" s="1"/>
  <c r="D131" i="1"/>
  <c r="F131" i="1" s="1"/>
  <c r="F130" i="1"/>
  <c r="D130" i="1"/>
  <c r="D129" i="1"/>
  <c r="D138" i="1" s="1"/>
  <c r="C123" i="1"/>
  <c r="F109" i="1"/>
  <c r="F105" i="1"/>
  <c r="F96" i="1"/>
  <c r="F95" i="1"/>
  <c r="F91" i="1"/>
  <c r="F90" i="1"/>
  <c r="F92" i="1" s="1"/>
  <c r="F87" i="1"/>
  <c r="F86" i="1"/>
  <c r="F82" i="1"/>
  <c r="F85" i="1" s="1"/>
  <c r="F88" i="1" s="1"/>
  <c r="F72" i="1"/>
  <c r="F70" i="1"/>
  <c r="F69" i="1"/>
  <c r="F71" i="1" s="1"/>
  <c r="F65" i="1"/>
  <c r="F64" i="1"/>
  <c r="C58" i="1"/>
  <c r="D57" i="1"/>
  <c r="D56" i="1"/>
  <c r="D55" i="1"/>
  <c r="D54" i="1"/>
  <c r="D53" i="1"/>
  <c r="D52" i="1"/>
  <c r="D58" i="1" s="1"/>
  <c r="C50" i="1"/>
  <c r="D50" i="1" s="1"/>
  <c r="D49" i="1"/>
  <c r="C49" i="1"/>
  <c r="D47" i="1"/>
  <c r="C124" i="1" s="1"/>
  <c r="C47" i="1"/>
  <c r="E46" i="1"/>
  <c r="D46" i="1"/>
  <c r="F46" i="1" s="1"/>
  <c r="E45" i="1"/>
  <c r="D45" i="1"/>
  <c r="F45" i="1" s="1"/>
  <c r="E44" i="1"/>
  <c r="F44" i="1" s="1"/>
  <c r="D44" i="1"/>
  <c r="E43" i="1"/>
  <c r="F43" i="1" s="1"/>
  <c r="D43" i="1"/>
  <c r="E42" i="1"/>
  <c r="D42" i="1"/>
  <c r="F42" i="1" s="1"/>
  <c r="E41" i="1"/>
  <c r="D41" i="1"/>
  <c r="F41" i="1" s="1"/>
  <c r="E40" i="1"/>
  <c r="F40" i="1" s="1"/>
  <c r="D40" i="1"/>
  <c r="E39" i="1"/>
  <c r="F39" i="1" s="1"/>
  <c r="D39" i="1"/>
  <c r="E38" i="1"/>
  <c r="D38" i="1"/>
  <c r="F38" i="1" s="1"/>
  <c r="F47" i="1" s="1"/>
  <c r="C32" i="1"/>
  <c r="F108" i="1" s="1"/>
  <c r="C31" i="1"/>
  <c r="F94" i="1" l="1"/>
  <c r="F59" i="1"/>
  <c r="C122" i="1"/>
  <c r="F83" i="1"/>
  <c r="F129" i="1"/>
  <c r="F138" i="1" s="1"/>
  <c r="C120" i="1"/>
  <c r="F66" i="1"/>
  <c r="F67" i="1" s="1"/>
  <c r="F73" i="1" s="1"/>
  <c r="C121" i="1"/>
  <c r="C125" i="1"/>
  <c r="F93" i="1" l="1"/>
  <c r="F115" i="1" s="1"/>
  <c r="F97" i="1"/>
  <c r="F114" i="1"/>
  <c r="F116" i="1"/>
  <c r="F124" i="1"/>
  <c r="G124" i="1" s="1"/>
  <c r="F123" i="1"/>
  <c r="G123" i="1" s="1"/>
  <c r="F139" i="1"/>
  <c r="G139" i="1" s="1"/>
  <c r="F120" i="1"/>
  <c r="G120" i="1" s="1"/>
  <c r="F125" i="1"/>
  <c r="G125" i="1"/>
  <c r="F122" i="1"/>
  <c r="G122" i="1" s="1"/>
  <c r="F121" i="1"/>
  <c r="G121" i="1"/>
  <c r="F98" i="1" l="1"/>
  <c r="F99" i="1"/>
  <c r="F101" i="1" s="1"/>
  <c r="F107" i="1" l="1"/>
  <c r="F104" i="1"/>
  <c r="F106" i="1"/>
  <c r="F112" i="1"/>
  <c r="F110" i="1"/>
  <c r="F111" i="1"/>
  <c r="F113" i="1"/>
</calcChain>
</file>

<file path=xl/sharedStrings.xml><?xml version="1.0" encoding="utf-8"?>
<sst xmlns="http://schemas.openxmlformats.org/spreadsheetml/2006/main" count="226" uniqueCount="200">
  <si>
    <t>화성 청원지구 — 사업수지분석표(추정) (산업용지 조성·분양)</t>
  </si>
  <si>
    <t>시행 진명개발(주) · 구역 80,617㎡ · 분양단가 원/평 · 부가가치세 별도 · 공사비 안분=희상 260707 공급가액</t>
  </si>
  <si>
    <t>◼ 입력 가정  (노란 셀만 수정)</t>
  </si>
  <si>
    <t>분양단가 (원/평)</t>
  </si>
  <si>
    <t>유상 획지 기본단가(획지별 개별조정 가능)</t>
  </si>
  <si>
    <t>자기자본</t>
  </si>
  <si>
    <t>지정값 240억</t>
  </si>
  <si>
    <t>토지조서 총매입비</t>
  </si>
  <si>
    <t>토지조서 36필지 취득가액 합(면세) · 사업구역 13,808,607,085 + 사업구역 외 3,602,446,415</t>
  </si>
  <si>
    <t>사업구역 외 취득원가</t>
  </si>
  <si>
    <t>구역 외 인접 11필지(유휴부지)·비분양·용지비·개발부담금 공제</t>
  </si>
  <si>
    <t>유휴부지면적 (㎡)</t>
  </si>
  <si>
    <t>구역 외 인접 11필지 · 비분양·원가흡수(수입 0)</t>
  </si>
  <si>
    <t>매입단가 (원/평)</t>
  </si>
  <si>
    <t>참고용 평균단가 · 토지매입비 17,411,053,500 ÷ 25,133평 (≈209,562원/㎡)</t>
  </si>
  <si>
    <t>토지용역비</t>
  </si>
  <si>
    <t>토지용역 — 지주작업·매입용역 (지정 30억)</t>
  </si>
  <si>
    <t>국유지(산178) 매입비</t>
  </si>
  <si>
    <t>무상매입 후 무상귀속(경관녹지1) → 용지비 0</t>
  </si>
  <si>
    <t>취득부대비율</t>
  </si>
  <si>
    <t>취득세·등기 등 × 토지매입비</t>
  </si>
  <si>
    <t>구역면적 (㎡)</t>
  </si>
  <si>
    <t>지구단위 구역 80,617㎡ · 설계·인허가 산정 기준</t>
  </si>
  <si>
    <t>설계용역 단가 (원/평)</t>
  </si>
  <si>
    <t>대주단 인정 상한 3만/평</t>
  </si>
  <si>
    <t>인허가용역 단가 (원/평)</t>
  </si>
  <si>
    <t>개발행위 포함·상한 2만/평(합계 5만/평)</t>
  </si>
  <si>
    <t>감리비율</t>
  </si>
  <si>
    <t>× 공사 공급가액 · 대주단 인정 상한 3.5%</t>
  </si>
  <si>
    <t>산지전용면적 (㎡)</t>
  </si>
  <si>
    <t>대체산림 부과면적(구역내 임야−국유·존치)</t>
  </si>
  <si>
    <t>대체산림 단가 (원/㎡)</t>
  </si>
  <si>
    <t>준보전산지 8,190+공시지가 0.1% (2026 고시)</t>
  </si>
  <si>
    <t>농지전용면적 (㎡)</t>
  </si>
  <si>
    <t>농지보전 부과면적(구역내 전·답)</t>
  </si>
  <si>
    <t>농지 단가 (원/㎡)</t>
  </si>
  <si>
    <t>공시지가 20%(진흥지역 밖)·상한 5만</t>
  </si>
  <si>
    <t>일반관리비율(시행)</t>
  </si>
  <si>
    <t>× (용지+조성+설계·인허가·감리+부담금)</t>
  </si>
  <si>
    <t>판매비율</t>
  </si>
  <si>
    <t>× 분양수입</t>
  </si>
  <si>
    <t>조달수수료율</t>
  </si>
  <si>
    <t>× PF 총대출액</t>
  </si>
  <si>
    <t>PF 총대출(요청금액)</t>
  </si>
  <si>
    <t>입력 가정 300억</t>
  </si>
  <si>
    <t>근저당 채권최고액(120%)</t>
  </si>
  <si>
    <t>토지조서 공동담보 합 · 등기상 한도</t>
  </si>
  <si>
    <t>PF 금리(연)</t>
  </si>
  <si>
    <t>책임준공 PF</t>
  </si>
  <si>
    <t>PF 기간(년)</t>
  </si>
  <si>
    <t>가중 소요기간</t>
  </si>
  <si>
    <t>예비비율</t>
  </si>
  <si>
    <t>× 비용 소계</t>
  </si>
  <si>
    <t>사업구역 토지매입비(파생)</t>
  </si>
  <si>
    <t>토지조서 총매입비 − 사업구역 외 취득원가(구역 내 25필지·유상분양 대상)</t>
  </si>
  <si>
    <t>실채권(100%·대환)</t>
  </si>
  <si>
    <t>선순위(근저당) 확보용 기존채무 대환 · 차입요소 · 채권최고액÷120%</t>
  </si>
  <si>
    <t>우선수익권(신탁·기표전)</t>
  </si>
  <si>
    <t>수익권증서 120억 · 아직 기표 전 신탁금액 · PF 인수 불요(참고)</t>
  </si>
  <si>
    <t>Ⅰ. 수입 (분양 · 비분양 · 공공귀속)</t>
  </si>
  <si>
    <t>구분</t>
  </si>
  <si>
    <t>면적(㎡)</t>
  </si>
  <si>
    <t>면적(평)</t>
  </si>
  <si>
    <t>단가(원/평)</t>
  </si>
  <si>
    <t>금액(원)</t>
  </si>
  <si>
    <t>비고</t>
  </si>
  <si>
    <t>분양수입 (유상 획지)</t>
  </si>
  <si>
    <t xml:space="preserve">  가구 A-1 · 공업 C29 기타기계</t>
  </si>
  <si>
    <t xml:space="preserve">  가구 A-2 · 공업 C24 1차금속</t>
  </si>
  <si>
    <t xml:space="preserve">  가구 A-3 · 공업 C24 1차금속</t>
  </si>
  <si>
    <t xml:space="preserve">  가구 A-4 · 공업 C24 1차금속</t>
  </si>
  <si>
    <t xml:space="preserve">  가구 A-5 · 공업 C24 1차금속</t>
  </si>
  <si>
    <t xml:space="preserve">  가구 B-1 · 공업 C25 금속가공</t>
  </si>
  <si>
    <t xml:space="preserve">  가구 B-2 · 공업 C25 금속가공</t>
  </si>
  <si>
    <t xml:space="preserve">  가구 C-1 · 지원시설용지</t>
  </si>
  <si>
    <t xml:space="preserve">  가구 C-2 · 주차장용지</t>
  </si>
  <si>
    <t xml:space="preserve">  유상 소계</t>
  </si>
  <si>
    <t>공업 46,836 + 지원 1,139 + 주차 745</t>
  </si>
  <si>
    <t>비분양·원가흡수 (구역 외 유휴부지)</t>
  </si>
  <si>
    <t xml:space="preserve">  구역 외 인접 11필지</t>
  </si>
  <si>
    <t>—</t>
  </si>
  <si>
    <t>비분양 · 취득원가 용지비 흡수 · 개발부담금 공제</t>
  </si>
  <si>
    <t xml:space="preserve">  비분양 소계</t>
  </si>
  <si>
    <t>취득원가 3,602,446,415원(Ⅱ 용지비)</t>
  </si>
  <si>
    <t>공공귀속 (무상귀속·수입 0)</t>
  </si>
  <si>
    <t xml:space="preserve">  도로(구역내 6노선)</t>
  </si>
  <si>
    <t>도로 · 준공 후 관리청 무상귀속</t>
  </si>
  <si>
    <t xml:space="preserve">  소공원(1·2)</t>
  </si>
  <si>
    <t>공원 · 준공 후 관리청 무상귀속</t>
  </si>
  <si>
    <t xml:space="preserve">  경관녹지1(산178·국유림)</t>
  </si>
  <si>
    <t>녹지 · 국유림 무상매입 후 무상귀속</t>
  </si>
  <si>
    <t xml:space="preserve">  경관녹지2</t>
  </si>
  <si>
    <t>녹지 · 준공 후 관리청 무상귀속</t>
  </si>
  <si>
    <t xml:space="preserve">  전기공급설비</t>
  </si>
  <si>
    <t>송전탑 · 준공 후 관리청 무상귀속</t>
  </si>
  <si>
    <t xml:space="preserve">  오수처리시설(D-1)</t>
  </si>
  <si>
    <t>오수처리 · 준공 후 관리청 무상귀속</t>
  </si>
  <si>
    <t xml:space="preserve">  공공귀속 소계</t>
  </si>
  <si>
    <t>국토계획법 제65조 무상귀속(원가는 분양원가에 흡수)</t>
  </si>
  <si>
    <t>총수입</t>
  </si>
  <si>
    <t>분양수입만(비분양·공공귀속 수입 0)</t>
  </si>
  <si>
    <t>Ⅱ. 비용 (부가가치세 별도)</t>
  </si>
  <si>
    <t>1) 용지비</t>
  </si>
  <si>
    <t xml:space="preserve">   사업구역</t>
  </si>
  <si>
    <t>지구단위 구역 내(80,617㎡)</t>
  </si>
  <si>
    <t xml:space="preserve">     토지매입비</t>
  </si>
  <si>
    <t>구역 내(25필지)·유상분양 대상</t>
  </si>
  <si>
    <t xml:space="preserve">     토지용역비</t>
  </si>
  <si>
    <t>토지용역 — 지주작업·매입용역 (30억)</t>
  </si>
  <si>
    <t xml:space="preserve">     취득제세·부대비</t>
  </si>
  <si>
    <t>× 4.6%</t>
  </si>
  <si>
    <t xml:space="preserve">   사업구역 소계</t>
  </si>
  <si>
    <t xml:space="preserve">   사업구역 외</t>
  </si>
  <si>
    <t>구역 외 인접 11필지(유휴부지)</t>
  </si>
  <si>
    <t xml:space="preserve">     유휴부지 취득원가</t>
  </si>
  <si>
    <t>비분양·개발부담금 공제</t>
  </si>
  <si>
    <t xml:space="preserve">   사업구역 외 소계</t>
  </si>
  <si>
    <t xml:space="preserve">   국유지(산178)</t>
  </si>
  <si>
    <t>무상매입 후 무상귀속(경관녹지1)</t>
  </si>
  <si>
    <t xml:space="preserve">   용지비 계</t>
  </si>
  <si>
    <t>토지 총매입비 17,411,053,500(사업구역 13,808,607,085+사업구역 외 3,602,446,415) · 용지비 사업구역 17,443,803,011 + 사업구역 외 3,768,158,950 + 국유지 0</t>
  </si>
  <si>
    <t>2) 조성공사비</t>
  </si>
  <si>
    <t xml:space="preserve">   토목 (01)</t>
  </si>
  <si>
    <t xml:space="preserve">   조경 (01)</t>
  </si>
  <si>
    <t xml:space="preserve">   진입도로 (04)</t>
  </si>
  <si>
    <t xml:space="preserve">   회전교차로 (05)</t>
  </si>
  <si>
    <t xml:space="preserve">   개발행위 (06)</t>
  </si>
  <si>
    <t xml:space="preserve">   건설폐기물처리 (07)</t>
  </si>
  <si>
    <t xml:space="preserve">   전기설비 (02)</t>
  </si>
  <si>
    <t xml:space="preserve">   공사 공급가액 계</t>
  </si>
  <si>
    <t>희상 260707 공급가액(부가세 별도)</t>
  </si>
  <si>
    <t xml:space="preserve">   조성공사비 계</t>
  </si>
  <si>
    <t>3) 인허가용역비</t>
  </si>
  <si>
    <t xml:space="preserve">   감리비</t>
  </si>
  <si>
    <t>공급가액 × 비율(대주단 상한)</t>
  </si>
  <si>
    <t xml:space="preserve">   설계용역비</t>
  </si>
  <si>
    <t>구역면적(평)×단가</t>
  </si>
  <si>
    <t xml:space="preserve">   인허가용역비</t>
  </si>
  <si>
    <t>개발행위 포함·구역면적(평)×단가</t>
  </si>
  <si>
    <t xml:space="preserve">   인허가용역비 계</t>
  </si>
  <si>
    <t>감리+설계+인허가</t>
  </si>
  <si>
    <t>4) 제부담금</t>
  </si>
  <si>
    <t xml:space="preserve">   대체산림자원조성비</t>
  </si>
  <si>
    <t>준보전산지 표준단가</t>
  </si>
  <si>
    <t xml:space="preserve">   농지보전부담금</t>
  </si>
  <si>
    <t>공시지가 20%(진흥 밖)</t>
  </si>
  <si>
    <t xml:space="preserve">   제부담금 계</t>
  </si>
  <si>
    <t>5) 일반관리비</t>
  </si>
  <si>
    <t>6) 판매비</t>
  </si>
  <si>
    <t>분양수입 기준</t>
  </si>
  <si>
    <t>7) 조달수수료</t>
  </si>
  <si>
    <t>PF 총대출(요청금액) × 수수료율</t>
  </si>
  <si>
    <t>8) 금융이자(PF)</t>
  </si>
  <si>
    <t>PF 총대출(요청금액)×금리×기간 · 기성률에 따라 실효금리 인하 가능</t>
  </si>
  <si>
    <t>비용 소계 (예비비 전)</t>
  </si>
  <si>
    <t>9) 예비비</t>
  </si>
  <si>
    <t>비용 계</t>
  </si>
  <si>
    <t>10) 개발부담금</t>
  </si>
  <si>
    <t>0 — 기부채납·무상귀속 원가 흡수로 과세표준 미달</t>
  </si>
  <si>
    <t>총비용</t>
  </si>
  <si>
    <t>Ⅲ. 재무구조·손익</t>
  </si>
  <si>
    <t>총사업비</t>
  </si>
  <si>
    <t>지정 240억</t>
  </si>
  <si>
    <t>자기자본비율</t>
  </si>
  <si>
    <t>자기자본 ÷ 총사업비</t>
  </si>
  <si>
    <t>타인자본(차입 소요)</t>
  </si>
  <si>
    <t>총사업비 − 자기자본</t>
  </si>
  <si>
    <t>근저당 실채권(대환)</t>
  </si>
  <si>
    <t>선순위(근저당) 확보용 기존채무 대환</t>
  </si>
  <si>
    <t>입력 가정 300억 · 타인자본+근저당 실채권</t>
  </si>
  <si>
    <t>사업이익</t>
  </si>
  <si>
    <t>총수입 − 총비용</t>
  </si>
  <si>
    <t>이익률 (수입 대비)</t>
  </si>
  <si>
    <t>이익률 (원가 대비)</t>
  </si>
  <si>
    <t>자기자본이익률(ROE)</t>
  </si>
  <si>
    <t>사업이익 ÷ 자기자본</t>
  </si>
  <si>
    <t>고정비 (판매·예비 전)</t>
  </si>
  <si>
    <t>시나리오 계산용</t>
  </si>
  <si>
    <t>손익분기 분양단가 (원/평)</t>
  </si>
  <si>
    <t>이익 0 · PF 300억 고정</t>
  </si>
  <si>
    <t>목표이익률 10% 분양단가 (원/평)</t>
  </si>
  <si>
    <t>수입 대비 10% · PF 300억 고정</t>
  </si>
  <si>
    <t>Ⅳ. 분양단가 민감도 (원/평)</t>
  </si>
  <si>
    <t>분양단가(원/평)</t>
  </si>
  <si>
    <t>이익률(수입)</t>
  </si>
  <si>
    <t>Ⅴ. 획지별 분양 시나리오</t>
  </si>
  <si>
    <t>가구 A-1 · 공업 C29 기타기계</t>
  </si>
  <si>
    <t>협의 중</t>
  </si>
  <si>
    <t>가구 A-2 · 공업 C24 1차금속</t>
  </si>
  <si>
    <t>가구 A-3 · 공업 C24 1차금속</t>
  </si>
  <si>
    <t>가구 A-4 · 공업 C24 1차금속</t>
  </si>
  <si>
    <t>가구 A-5 · 공업 C24 1차금속</t>
  </si>
  <si>
    <t>가구 B-1 · 공업 C25 금속가공</t>
  </si>
  <si>
    <t>가구 B-2 · 공업 C25 금속가공</t>
  </si>
  <si>
    <t>가구 C-1 · 지원시설용지</t>
  </si>
  <si>
    <t>가구 C-2 · 주차장용지</t>
  </si>
  <si>
    <t>유상 소계</t>
  </si>
  <si>
    <t>획지별 단가·입주(분양) 예정</t>
  </si>
  <si>
    <t>시나리오 사업이익</t>
  </si>
  <si>
    <t>※ 부가가치세 별도.
공공귀속(31,897㎡)은 무상귀속 수입 0.
산178 국유림(경관녹지1 4,054㎡)은 무상매입 후 무상귀속(용지비 0).
유휴부지(15,400㎡)는 비분양·원가흡수(수입 0), 취득원가 3,602,446,415은 용지비·개발부담금 공제.
주차장용지(745㎡)는 근생 매각 유상.
제부담금 표준경비.
개발부담금 0(기부채납·무상귀속 원가 흡수로 과세표준 미달 가정).
설계·인허가 50,000원/평(구역 80,617㎡) · 감리 3.5%(공급가액).
근저당 채권최고액(120%) 3,884,000,000 · 실채권(100%) 3,236,666,667 — 선순위 확보용 대환(PF 총대출 포함).
금융이자 연 8% 가정이나, 실제 기표는 공사 기성률에 따라 분할 실행되므로 실효금리는 인하될 수 있음.
우선수익권 12,000,000,000 기표 전 신탁·인수 불요.
PF 총대출(요청금액) 30,000,000,000 — 입력 가정.
국유지·정상지가상승분·PF조건은 실확정치로 갱신.
작성 2026. 7. 8.
목표이익률 10%
자기자본 24,000,000,000
공사비 공급가액 13,901,806,101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</si>
</sst>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"/>
  </numFmts>
  <fonts count="9" x14ac:knownFonts="1">
    <font>
      <sz val="11"/>
      <color theme="1"/>
      <name val="맑은 고딕"/>
      <family val="2"/>
      <scheme val="minor"/>
    </font>
    <font>
      <b/>
      <sz val="14"/>
      <color rgb="FF1F3A5F"/>
      <name val="맑은 고딕"/>
      <family val="3"/>
      <charset val="129"/>
    </font>
    <font>
      <sz val="9"/>
      <color rgb="FF5A6675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color rgb="FF1C2430"/>
      <name val="맑은 고딕"/>
      <family val="3"/>
      <charset val="129"/>
    </font>
    <font>
      <b/>
      <sz val="10"/>
      <color rgb="FF1C2430"/>
      <name val="맑은 고딕"/>
      <family val="3"/>
      <charset val="129"/>
    </font>
    <font>
      <b/>
      <sz val="11"/>
      <color rgb="FF1C2430"/>
      <name val="맑은 고딕"/>
      <family val="3"/>
      <charset val="129"/>
    </font>
    <font>
      <sz val="9"/>
      <color rgb="FF8A5A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FF6CC"/>
      </patternFill>
    </fill>
    <fill>
      <patternFill patternType="solid">
        <fgColor rgb="FFEEF0F4"/>
      </patternFill>
    </fill>
    <fill>
      <patternFill patternType="solid">
        <fgColor rgb="FFE7F3EA"/>
      </patternFill>
    </fill>
  </fills>
  <borders count="4">
    <border>
      <left/>
      <right/>
      <top/>
      <bottom/>
      <diagonal/>
    </border>
    <border>
      <left style="thin">
        <color rgb="FFD9E1EC"/>
      </left>
      <right style="thin">
        <color rgb="FFD9E1EC"/>
      </right>
      <top style="thin">
        <color rgb="FFD9E1EC"/>
      </top>
      <bottom style="thin">
        <color rgb="FFD9E1EC"/>
      </bottom>
      <diagonal/>
    </border>
    <border>
      <left/>
      <right/>
      <top style="thin">
        <color rgb="FFD9E1EC"/>
      </top>
      <bottom style="thin">
        <color rgb="FFD9E1EC"/>
      </bottom>
      <diagonal/>
    </border>
    <border>
      <left/>
      <right style="thin">
        <color rgb="FFD9E1EC"/>
      </right>
      <top style="thin">
        <color rgb="FFD9E1EC"/>
      </top>
      <bottom style="thin">
        <color rgb="FFD9E1E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176" fontId="5" fillId="3" borderId="1" xfId="0" applyNumberFormat="1" applyFont="1" applyFill="1" applyBorder="1" applyAlignment="1">
      <alignment horizontal="right" vertical="center" wrapText="1"/>
    </xf>
    <xf numFmtId="177" fontId="5" fillId="3" borderId="1" xfId="0" applyNumberFormat="1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left" vertical="center" wrapText="1"/>
    </xf>
    <xf numFmtId="3" fontId="5" fillId="4" borderId="1" xfId="0" applyNumberFormat="1" applyFont="1" applyFill="1" applyBorder="1" applyAlignment="1">
      <alignment horizontal="right" vertical="center" wrapText="1"/>
    </xf>
    <xf numFmtId="3" fontId="2" fillId="0" borderId="1" xfId="0" applyNumberFormat="1" applyFont="1" applyBorder="1" applyAlignment="1">
      <alignment horizontal="righ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righ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3" fontId="5" fillId="0" borderId="1" xfId="0" applyNumberFormat="1" applyFont="1" applyBorder="1" applyAlignment="1">
      <alignment horizontal="right" vertical="center" wrapText="1"/>
    </xf>
    <xf numFmtId="176" fontId="5" fillId="5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 applyAlignment="1">
      <alignment horizontal="left" vertical="center" wrapText="1"/>
    </xf>
    <xf numFmtId="3" fontId="6" fillId="5" borderId="1" xfId="0" applyNumberFormat="1" applyFont="1" applyFill="1" applyBorder="1" applyAlignment="1">
      <alignment horizontal="right" vertical="center" wrapText="1"/>
    </xf>
    <xf numFmtId="176" fontId="5" fillId="0" borderId="1" xfId="0" applyNumberFormat="1" applyFont="1" applyBorder="1" applyAlignment="1">
      <alignment horizontal="right" vertical="center" wrapText="1"/>
    </xf>
    <xf numFmtId="176" fontId="4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/>
    <xf numFmtId="0" fontId="4" fillId="4" borderId="1" xfId="0" applyFont="1" applyFill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right" vertical="center" wrapText="1"/>
    </xf>
    <xf numFmtId="0" fontId="0" fillId="0" borderId="2" xfId="0" applyBorder="1"/>
    <xf numFmtId="0" fontId="0" fillId="0" borderId="3" xfId="0" applyBorder="1"/>
    <xf numFmtId="0" fontId="3" fillId="2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41"/>
  <sheetViews>
    <sheetView showGridLines="0" tabSelected="1" workbookViewId="0">
      <selection activeCell="L16" sqref="L16"/>
    </sheetView>
  </sheetViews>
  <sheetFormatPr defaultRowHeight="16.5" x14ac:dyDescent="0.3"/>
  <cols>
    <col min="1" max="1" width="2" customWidth="1"/>
    <col min="2" max="2" width="38" customWidth="1"/>
    <col min="3" max="3" width="14" bestFit="1" customWidth="1"/>
    <col min="4" max="4" width="11" customWidth="1"/>
    <col min="5" max="5" width="13" customWidth="1"/>
    <col min="6" max="6" width="17" customWidth="1"/>
    <col min="7" max="7" width="30" customWidth="1"/>
  </cols>
  <sheetData>
    <row r="2" spans="2:7" x14ac:dyDescent="0.3">
      <c r="B2" s="31" t="s">
        <v>0</v>
      </c>
      <c r="C2" s="23"/>
      <c r="D2" s="23"/>
      <c r="E2" s="23"/>
      <c r="F2" s="23"/>
      <c r="G2" s="23"/>
    </row>
    <row r="3" spans="2:7" x14ac:dyDescent="0.3">
      <c r="B3" s="30" t="s">
        <v>1</v>
      </c>
      <c r="C3" s="23"/>
      <c r="D3" s="23"/>
      <c r="E3" s="23"/>
      <c r="F3" s="23"/>
      <c r="G3" s="23"/>
    </row>
    <row r="5" spans="2:7" x14ac:dyDescent="0.3">
      <c r="B5" s="28" t="s">
        <v>2</v>
      </c>
      <c r="C5" s="23"/>
      <c r="D5" s="23"/>
      <c r="E5" s="23"/>
      <c r="F5" s="23"/>
      <c r="G5" s="23"/>
    </row>
    <row r="6" spans="2:7" x14ac:dyDescent="0.3">
      <c r="B6" s="1" t="s">
        <v>3</v>
      </c>
      <c r="C6" s="2">
        <v>3300000</v>
      </c>
      <c r="D6" s="22" t="s">
        <v>4</v>
      </c>
      <c r="E6" s="23"/>
      <c r="F6" s="23"/>
      <c r="G6" s="23"/>
    </row>
    <row r="7" spans="2:7" x14ac:dyDescent="0.3">
      <c r="B7" s="1" t="s">
        <v>5</v>
      </c>
      <c r="C7" s="2">
        <v>24000000000</v>
      </c>
      <c r="D7" s="22" t="s">
        <v>6</v>
      </c>
      <c r="E7" s="23"/>
      <c r="F7" s="23"/>
      <c r="G7" s="23"/>
    </row>
    <row r="8" spans="2:7" x14ac:dyDescent="0.3">
      <c r="B8" s="1" t="s">
        <v>7</v>
      </c>
      <c r="C8" s="2">
        <v>17411053500</v>
      </c>
      <c r="D8" s="22" t="s">
        <v>8</v>
      </c>
      <c r="E8" s="23"/>
      <c r="F8" s="23"/>
      <c r="G8" s="23"/>
    </row>
    <row r="9" spans="2:7" x14ac:dyDescent="0.3">
      <c r="B9" s="1" t="s">
        <v>9</v>
      </c>
      <c r="C9" s="2">
        <v>3602446415</v>
      </c>
      <c r="D9" s="22" t="s">
        <v>10</v>
      </c>
      <c r="E9" s="23"/>
      <c r="F9" s="23"/>
      <c r="G9" s="23"/>
    </row>
    <row r="10" spans="2:7" x14ac:dyDescent="0.3">
      <c r="B10" s="1" t="s">
        <v>11</v>
      </c>
      <c r="C10" s="2">
        <v>15400</v>
      </c>
      <c r="D10" s="22" t="s">
        <v>12</v>
      </c>
      <c r="E10" s="23"/>
      <c r="F10" s="23"/>
      <c r="G10" s="23"/>
    </row>
    <row r="11" spans="2:7" x14ac:dyDescent="0.3">
      <c r="B11" s="1" t="s">
        <v>13</v>
      </c>
      <c r="C11" s="2">
        <v>692767</v>
      </c>
      <c r="D11" s="22" t="s">
        <v>14</v>
      </c>
      <c r="E11" s="23"/>
      <c r="F11" s="23"/>
      <c r="G11" s="23"/>
    </row>
    <row r="12" spans="2:7" x14ac:dyDescent="0.3">
      <c r="B12" s="1" t="s">
        <v>15</v>
      </c>
      <c r="C12" s="2">
        <v>3000000000</v>
      </c>
      <c r="D12" s="22" t="s">
        <v>16</v>
      </c>
      <c r="E12" s="23"/>
      <c r="F12" s="23"/>
      <c r="G12" s="23"/>
    </row>
    <row r="13" spans="2:7" x14ac:dyDescent="0.3">
      <c r="B13" s="1" t="s">
        <v>17</v>
      </c>
      <c r="C13" s="2">
        <v>0</v>
      </c>
      <c r="D13" s="22" t="s">
        <v>18</v>
      </c>
      <c r="E13" s="23"/>
      <c r="F13" s="23"/>
      <c r="G13" s="23"/>
    </row>
    <row r="14" spans="2:7" x14ac:dyDescent="0.3">
      <c r="B14" s="1" t="s">
        <v>19</v>
      </c>
      <c r="C14" s="4">
        <v>4.5999999999999999E-2</v>
      </c>
      <c r="D14" s="22" t="s">
        <v>20</v>
      </c>
      <c r="E14" s="23"/>
      <c r="F14" s="23"/>
      <c r="G14" s="23"/>
    </row>
    <row r="15" spans="2:7" x14ac:dyDescent="0.3">
      <c r="B15" s="1" t="s">
        <v>21</v>
      </c>
      <c r="C15" s="2">
        <v>80617</v>
      </c>
      <c r="D15" s="22" t="s">
        <v>22</v>
      </c>
      <c r="E15" s="23"/>
      <c r="F15" s="23"/>
      <c r="G15" s="23"/>
    </row>
    <row r="16" spans="2:7" x14ac:dyDescent="0.3">
      <c r="B16" s="1" t="s">
        <v>23</v>
      </c>
      <c r="C16" s="2">
        <v>30000</v>
      </c>
      <c r="D16" s="22" t="s">
        <v>24</v>
      </c>
      <c r="E16" s="23"/>
      <c r="F16" s="23"/>
      <c r="G16" s="23"/>
    </row>
    <row r="17" spans="2:7" x14ac:dyDescent="0.3">
      <c r="B17" s="1" t="s">
        <v>25</v>
      </c>
      <c r="C17" s="2">
        <v>20000</v>
      </c>
      <c r="D17" s="22" t="s">
        <v>26</v>
      </c>
      <c r="E17" s="23"/>
      <c r="F17" s="23"/>
      <c r="G17" s="23"/>
    </row>
    <row r="18" spans="2:7" x14ac:dyDescent="0.3">
      <c r="B18" s="1" t="s">
        <v>27</v>
      </c>
      <c r="C18" s="4">
        <v>3.5000000000000003E-2</v>
      </c>
      <c r="D18" s="22" t="s">
        <v>28</v>
      </c>
      <c r="E18" s="23"/>
      <c r="F18" s="23"/>
      <c r="G18" s="23"/>
    </row>
    <row r="19" spans="2:7" x14ac:dyDescent="0.3">
      <c r="B19" s="1" t="s">
        <v>29</v>
      </c>
      <c r="C19" s="2">
        <v>57325</v>
      </c>
      <c r="D19" s="22" t="s">
        <v>30</v>
      </c>
      <c r="E19" s="23"/>
      <c r="F19" s="23"/>
      <c r="G19" s="23"/>
    </row>
    <row r="20" spans="2:7" x14ac:dyDescent="0.3">
      <c r="B20" s="1" t="s">
        <v>31</v>
      </c>
      <c r="C20" s="2">
        <v>8250</v>
      </c>
      <c r="D20" s="22" t="s">
        <v>32</v>
      </c>
      <c r="E20" s="23"/>
      <c r="F20" s="23"/>
      <c r="G20" s="23"/>
    </row>
    <row r="21" spans="2:7" x14ac:dyDescent="0.3">
      <c r="B21" s="1" t="s">
        <v>33</v>
      </c>
      <c r="C21" s="2">
        <v>4300</v>
      </c>
      <c r="D21" s="22" t="s">
        <v>34</v>
      </c>
      <c r="E21" s="23"/>
      <c r="F21" s="23"/>
      <c r="G21" s="23"/>
    </row>
    <row r="22" spans="2:7" x14ac:dyDescent="0.3">
      <c r="B22" s="1" t="s">
        <v>35</v>
      </c>
      <c r="C22" s="2">
        <v>12000</v>
      </c>
      <c r="D22" s="22" t="s">
        <v>36</v>
      </c>
      <c r="E22" s="23"/>
      <c r="F22" s="23"/>
      <c r="G22" s="23"/>
    </row>
    <row r="23" spans="2:7" x14ac:dyDescent="0.3">
      <c r="B23" s="1" t="s">
        <v>37</v>
      </c>
      <c r="C23" s="4">
        <v>0.03</v>
      </c>
      <c r="D23" s="22" t="s">
        <v>38</v>
      </c>
      <c r="E23" s="23"/>
      <c r="F23" s="23"/>
      <c r="G23" s="23"/>
    </row>
    <row r="24" spans="2:7" x14ac:dyDescent="0.3">
      <c r="B24" s="1" t="s">
        <v>39</v>
      </c>
      <c r="C24" s="4">
        <v>0.02</v>
      </c>
      <c r="D24" s="22" t="s">
        <v>40</v>
      </c>
      <c r="E24" s="23"/>
      <c r="F24" s="23"/>
      <c r="G24" s="23"/>
    </row>
    <row r="25" spans="2:7" x14ac:dyDescent="0.3">
      <c r="B25" s="1" t="s">
        <v>41</v>
      </c>
      <c r="C25" s="4">
        <v>1.4999999999999999E-2</v>
      </c>
      <c r="D25" s="22" t="s">
        <v>42</v>
      </c>
      <c r="E25" s="23"/>
      <c r="F25" s="23"/>
      <c r="G25" s="23"/>
    </row>
    <row r="26" spans="2:7" x14ac:dyDescent="0.3">
      <c r="B26" s="1" t="s">
        <v>43</v>
      </c>
      <c r="C26" s="2">
        <v>30000000000</v>
      </c>
      <c r="D26" s="22" t="s">
        <v>44</v>
      </c>
      <c r="E26" s="23"/>
      <c r="F26" s="23"/>
      <c r="G26" s="23"/>
    </row>
    <row r="27" spans="2:7" x14ac:dyDescent="0.3">
      <c r="B27" s="1" t="s">
        <v>45</v>
      </c>
      <c r="C27" s="2">
        <v>3884000000</v>
      </c>
      <c r="D27" s="22" t="s">
        <v>46</v>
      </c>
      <c r="E27" s="23"/>
      <c r="F27" s="23"/>
      <c r="G27" s="23"/>
    </row>
    <row r="28" spans="2:7" x14ac:dyDescent="0.3">
      <c r="B28" s="1" t="s">
        <v>47</v>
      </c>
      <c r="C28" s="4">
        <v>0.08</v>
      </c>
      <c r="D28" s="22" t="s">
        <v>48</v>
      </c>
      <c r="E28" s="23"/>
      <c r="F28" s="23"/>
      <c r="G28" s="23"/>
    </row>
    <row r="29" spans="2:7" x14ac:dyDescent="0.3">
      <c r="B29" s="1" t="s">
        <v>49</v>
      </c>
      <c r="C29" s="5">
        <v>2</v>
      </c>
      <c r="D29" s="22" t="s">
        <v>50</v>
      </c>
      <c r="E29" s="23"/>
      <c r="F29" s="23"/>
      <c r="G29" s="23"/>
    </row>
    <row r="30" spans="2:7" x14ac:dyDescent="0.3">
      <c r="B30" s="1" t="s">
        <v>51</v>
      </c>
      <c r="C30" s="4">
        <v>0.03</v>
      </c>
      <c r="D30" s="22" t="s">
        <v>52</v>
      </c>
      <c r="E30" s="23"/>
      <c r="F30" s="23"/>
      <c r="G30" s="23"/>
    </row>
    <row r="31" spans="2:7" x14ac:dyDescent="0.3">
      <c r="B31" s="6" t="s">
        <v>53</v>
      </c>
      <c r="C31" s="7">
        <f>C8-C9</f>
        <v>13808607085</v>
      </c>
      <c r="D31" s="22" t="s">
        <v>54</v>
      </c>
      <c r="E31" s="23"/>
      <c r="F31" s="23"/>
      <c r="G31" s="23"/>
    </row>
    <row r="32" spans="2:7" x14ac:dyDescent="0.3">
      <c r="B32" s="6" t="s">
        <v>55</v>
      </c>
      <c r="C32" s="7">
        <f>ROUND(C27/1.2,0)</f>
        <v>3236666667</v>
      </c>
      <c r="D32" s="22" t="s">
        <v>56</v>
      </c>
      <c r="E32" s="23"/>
      <c r="F32" s="23"/>
      <c r="G32" s="23"/>
    </row>
    <row r="33" spans="2:7" x14ac:dyDescent="0.3">
      <c r="B33" s="3" t="s">
        <v>57</v>
      </c>
      <c r="C33" s="8">
        <v>12000000000</v>
      </c>
      <c r="D33" s="30" t="s">
        <v>58</v>
      </c>
      <c r="E33" s="23"/>
      <c r="F33" s="23"/>
      <c r="G33" s="23"/>
    </row>
    <row r="35" spans="2:7" x14ac:dyDescent="0.3">
      <c r="B35" s="28" t="s">
        <v>59</v>
      </c>
      <c r="C35" s="23"/>
      <c r="D35" s="23"/>
      <c r="E35" s="23"/>
      <c r="F35" s="23"/>
      <c r="G35" s="23"/>
    </row>
    <row r="36" spans="2:7" x14ac:dyDescent="0.3">
      <c r="B36" s="9" t="s">
        <v>60</v>
      </c>
      <c r="C36" s="9" t="s">
        <v>61</v>
      </c>
      <c r="D36" s="9" t="s">
        <v>62</v>
      </c>
      <c r="E36" s="9" t="s">
        <v>63</v>
      </c>
      <c r="F36" s="9" t="s">
        <v>64</v>
      </c>
      <c r="G36" s="9" t="s">
        <v>65</v>
      </c>
    </row>
    <row r="37" spans="2:7" x14ac:dyDescent="0.3">
      <c r="B37" s="10" t="s">
        <v>66</v>
      </c>
      <c r="C37" s="23"/>
      <c r="D37" s="23"/>
      <c r="E37" s="23"/>
      <c r="F37" s="23"/>
      <c r="G37" s="23"/>
    </row>
    <row r="38" spans="2:7" x14ac:dyDescent="0.3">
      <c r="B38" s="1" t="s">
        <v>67</v>
      </c>
      <c r="C38" s="11">
        <v>4650</v>
      </c>
      <c r="D38" s="11">
        <f t="shared" ref="D38:D46" si="0">C38/3.305785</f>
        <v>1406.6250527484394</v>
      </c>
      <c r="E38" s="11">
        <f>C6</f>
        <v>3300000</v>
      </c>
      <c r="F38" s="11">
        <f t="shared" ref="F38:F46" si="1">D38*E38</f>
        <v>4641862674.06985</v>
      </c>
      <c r="G38" s="3"/>
    </row>
    <row r="39" spans="2:7" x14ac:dyDescent="0.3">
      <c r="B39" s="1" t="s">
        <v>68</v>
      </c>
      <c r="C39" s="11">
        <v>8617</v>
      </c>
      <c r="D39" s="11">
        <f t="shared" si="0"/>
        <v>2606.6425977490971</v>
      </c>
      <c r="E39" s="11">
        <f>C6</f>
        <v>3300000</v>
      </c>
      <c r="F39" s="11">
        <f t="shared" si="1"/>
        <v>8601920572.5720215</v>
      </c>
      <c r="G39" s="3"/>
    </row>
    <row r="40" spans="2:7" x14ac:dyDescent="0.3">
      <c r="B40" s="1" t="s">
        <v>69</v>
      </c>
      <c r="C40" s="11">
        <v>7803</v>
      </c>
      <c r="D40" s="11">
        <f t="shared" si="0"/>
        <v>2360.4075885152843</v>
      </c>
      <c r="E40" s="11">
        <f>C6</f>
        <v>3300000</v>
      </c>
      <c r="F40" s="11">
        <f t="shared" si="1"/>
        <v>7789345042.1004381</v>
      </c>
      <c r="G40" s="3"/>
    </row>
    <row r="41" spans="2:7" x14ac:dyDescent="0.3">
      <c r="B41" s="1" t="s">
        <v>70</v>
      </c>
      <c r="C41" s="11">
        <v>4996</v>
      </c>
      <c r="D41" s="11">
        <f t="shared" si="0"/>
        <v>1511.290056673377</v>
      </c>
      <c r="E41" s="11">
        <f>C6</f>
        <v>3300000</v>
      </c>
      <c r="F41" s="11">
        <f t="shared" si="1"/>
        <v>4987257187.0221443</v>
      </c>
      <c r="G41" s="3"/>
    </row>
    <row r="42" spans="2:7" x14ac:dyDescent="0.3">
      <c r="B42" s="1" t="s">
        <v>71</v>
      </c>
      <c r="C42" s="11">
        <v>3425</v>
      </c>
      <c r="D42" s="11">
        <f t="shared" si="0"/>
        <v>1036.0625388523451</v>
      </c>
      <c r="E42" s="11">
        <f>C6</f>
        <v>3300000</v>
      </c>
      <c r="F42" s="11">
        <f t="shared" si="1"/>
        <v>3419006378.212739</v>
      </c>
      <c r="G42" s="3"/>
    </row>
    <row r="43" spans="2:7" x14ac:dyDescent="0.3">
      <c r="B43" s="1" t="s">
        <v>72</v>
      </c>
      <c r="C43" s="11">
        <v>8897</v>
      </c>
      <c r="D43" s="11">
        <f t="shared" si="0"/>
        <v>2691.3426009253476</v>
      </c>
      <c r="E43" s="11">
        <f>C6</f>
        <v>3300000</v>
      </c>
      <c r="F43" s="11">
        <f t="shared" si="1"/>
        <v>8881430583.053648</v>
      </c>
      <c r="G43" s="3"/>
    </row>
    <row r="44" spans="2:7" x14ac:dyDescent="0.3">
      <c r="B44" s="1" t="s">
        <v>73</v>
      </c>
      <c r="C44" s="11">
        <v>8448</v>
      </c>
      <c r="D44" s="11">
        <f t="shared" si="0"/>
        <v>2555.5200958320033</v>
      </c>
      <c r="E44" s="11">
        <f>C6</f>
        <v>3300000</v>
      </c>
      <c r="F44" s="11">
        <f t="shared" si="1"/>
        <v>8433216316.2456112</v>
      </c>
      <c r="G44" s="3"/>
    </row>
    <row r="45" spans="2:7" x14ac:dyDescent="0.3">
      <c r="B45" s="1" t="s">
        <v>74</v>
      </c>
      <c r="C45" s="11">
        <v>1139</v>
      </c>
      <c r="D45" s="11">
        <f t="shared" si="0"/>
        <v>344.54751292053169</v>
      </c>
      <c r="E45" s="11">
        <f>C6</f>
        <v>3300000</v>
      </c>
      <c r="F45" s="11">
        <f t="shared" si="1"/>
        <v>1137006792.6377547</v>
      </c>
      <c r="G45" s="3"/>
    </row>
    <row r="46" spans="2:7" x14ac:dyDescent="0.3">
      <c r="B46" s="1" t="s">
        <v>75</v>
      </c>
      <c r="C46" s="11">
        <v>745</v>
      </c>
      <c r="D46" s="11">
        <f t="shared" si="0"/>
        <v>225.36250845109404</v>
      </c>
      <c r="E46" s="11">
        <f>C6</f>
        <v>3300000</v>
      </c>
      <c r="F46" s="11">
        <f t="shared" si="1"/>
        <v>743696277.88861036</v>
      </c>
      <c r="G46" s="3"/>
    </row>
    <row r="47" spans="2:7" x14ac:dyDescent="0.3">
      <c r="B47" s="10" t="s">
        <v>76</v>
      </c>
      <c r="C47" s="7">
        <f>SUM(C38:C46)</f>
        <v>48720</v>
      </c>
      <c r="D47" s="7">
        <f>SUM(D38:D46)</f>
        <v>14737.800552667519</v>
      </c>
      <c r="E47" s="12"/>
      <c r="F47" s="7">
        <f>SUM(F38:F46)</f>
        <v>48634741823.802818</v>
      </c>
      <c r="G47" s="13" t="s">
        <v>77</v>
      </c>
    </row>
    <row r="48" spans="2:7" x14ac:dyDescent="0.3">
      <c r="B48" s="10" t="s">
        <v>78</v>
      </c>
      <c r="C48" s="23"/>
      <c r="D48" s="23"/>
      <c r="E48" s="23"/>
      <c r="F48" s="23"/>
      <c r="G48" s="23"/>
    </row>
    <row r="49" spans="2:7" ht="24" x14ac:dyDescent="0.3">
      <c r="B49" s="1" t="s">
        <v>79</v>
      </c>
      <c r="C49" s="11">
        <f>C10</f>
        <v>15400</v>
      </c>
      <c r="D49" s="11">
        <f>C49/3.305785</f>
        <v>4658.500174693756</v>
      </c>
      <c r="E49" s="14" t="s">
        <v>80</v>
      </c>
      <c r="F49" s="11">
        <v>0</v>
      </c>
      <c r="G49" s="3" t="s">
        <v>81</v>
      </c>
    </row>
    <row r="50" spans="2:7" x14ac:dyDescent="0.3">
      <c r="B50" s="10" t="s">
        <v>82</v>
      </c>
      <c r="C50" s="7">
        <f>C10</f>
        <v>15400</v>
      </c>
      <c r="D50" s="7">
        <f>C50/3.305785</f>
        <v>4658.500174693756</v>
      </c>
      <c r="E50" s="12"/>
      <c r="F50" s="7">
        <v>0</v>
      </c>
      <c r="G50" s="13" t="s">
        <v>83</v>
      </c>
    </row>
    <row r="51" spans="2:7" x14ac:dyDescent="0.3">
      <c r="B51" s="10" t="s">
        <v>84</v>
      </c>
      <c r="C51" s="23"/>
      <c r="D51" s="23"/>
      <c r="E51" s="23"/>
      <c r="F51" s="23"/>
      <c r="G51" s="23"/>
    </row>
    <row r="52" spans="2:7" x14ac:dyDescent="0.3">
      <c r="B52" s="1" t="s">
        <v>85</v>
      </c>
      <c r="C52" s="11">
        <v>11062</v>
      </c>
      <c r="D52" s="11">
        <f t="shared" ref="D52:D57" si="2">C52/3.305785</f>
        <v>3346.2551254845671</v>
      </c>
      <c r="E52" s="14" t="s">
        <v>80</v>
      </c>
      <c r="F52" s="11">
        <v>0</v>
      </c>
      <c r="G52" s="3" t="s">
        <v>86</v>
      </c>
    </row>
    <row r="53" spans="2:7" x14ac:dyDescent="0.3">
      <c r="B53" s="1" t="s">
        <v>87</v>
      </c>
      <c r="C53" s="11">
        <v>5746</v>
      </c>
      <c r="D53" s="11">
        <f t="shared" si="2"/>
        <v>1738.1650651811899</v>
      </c>
      <c r="E53" s="14" t="s">
        <v>80</v>
      </c>
      <c r="F53" s="11">
        <v>0</v>
      </c>
      <c r="G53" s="3" t="s">
        <v>88</v>
      </c>
    </row>
    <row r="54" spans="2:7" x14ac:dyDescent="0.3">
      <c r="B54" s="1" t="s">
        <v>89</v>
      </c>
      <c r="C54" s="11">
        <v>4054</v>
      </c>
      <c r="D54" s="11">
        <f t="shared" si="2"/>
        <v>1226.3350459875642</v>
      </c>
      <c r="E54" s="14" t="s">
        <v>80</v>
      </c>
      <c r="F54" s="11">
        <v>0</v>
      </c>
      <c r="G54" s="3" t="s">
        <v>90</v>
      </c>
    </row>
    <row r="55" spans="2:7" x14ac:dyDescent="0.3">
      <c r="B55" s="1" t="s">
        <v>91</v>
      </c>
      <c r="C55" s="11">
        <v>10405</v>
      </c>
      <c r="D55" s="11">
        <f t="shared" si="2"/>
        <v>3147.5126180317229</v>
      </c>
      <c r="E55" s="14" t="s">
        <v>80</v>
      </c>
      <c r="F55" s="11">
        <v>0</v>
      </c>
      <c r="G55" s="3" t="s">
        <v>92</v>
      </c>
    </row>
    <row r="56" spans="2:7" x14ac:dyDescent="0.3">
      <c r="B56" s="1" t="s">
        <v>93</v>
      </c>
      <c r="C56" s="11">
        <v>164</v>
      </c>
      <c r="D56" s="11">
        <f t="shared" si="2"/>
        <v>49.610001860375064</v>
      </c>
      <c r="E56" s="14" t="s">
        <v>80</v>
      </c>
      <c r="F56" s="11">
        <v>0</v>
      </c>
      <c r="G56" s="3" t="s">
        <v>94</v>
      </c>
    </row>
    <row r="57" spans="2:7" x14ac:dyDescent="0.3">
      <c r="B57" s="1" t="s">
        <v>95</v>
      </c>
      <c r="C57" s="11">
        <v>466</v>
      </c>
      <c r="D57" s="11">
        <f t="shared" si="2"/>
        <v>140.96500528618768</v>
      </c>
      <c r="E57" s="14" t="s">
        <v>80</v>
      </c>
      <c r="F57" s="11">
        <v>0</v>
      </c>
      <c r="G57" s="3" t="s">
        <v>96</v>
      </c>
    </row>
    <row r="58" spans="2:7" ht="24" x14ac:dyDescent="0.3">
      <c r="B58" s="10" t="s">
        <v>97</v>
      </c>
      <c r="C58" s="7">
        <f>SUM(C52:C57)</f>
        <v>31897</v>
      </c>
      <c r="D58" s="7">
        <f>SUM(D52:D57)</f>
        <v>9648.8428618316066</v>
      </c>
      <c r="E58" s="12"/>
      <c r="F58" s="7">
        <v>0</v>
      </c>
      <c r="G58" s="13" t="s">
        <v>98</v>
      </c>
    </row>
    <row r="59" spans="2:7" x14ac:dyDescent="0.3">
      <c r="B59" s="6" t="s">
        <v>99</v>
      </c>
      <c r="C59" s="23"/>
      <c r="D59" s="23"/>
      <c r="E59" s="23"/>
      <c r="F59" s="15">
        <f>F47</f>
        <v>48634741823.802818</v>
      </c>
      <c r="G59" s="3" t="s">
        <v>100</v>
      </c>
    </row>
    <row r="61" spans="2:7" x14ac:dyDescent="0.3">
      <c r="B61" s="28" t="s">
        <v>101</v>
      </c>
      <c r="C61" s="23"/>
      <c r="D61" s="23"/>
      <c r="E61" s="23"/>
      <c r="F61" s="23"/>
      <c r="G61" s="23"/>
    </row>
    <row r="62" spans="2:7" x14ac:dyDescent="0.3">
      <c r="B62" s="10" t="s">
        <v>102</v>
      </c>
      <c r="C62" s="24"/>
      <c r="D62" s="23"/>
      <c r="E62" s="23"/>
      <c r="F62" s="12"/>
      <c r="G62" s="13"/>
    </row>
    <row r="63" spans="2:7" x14ac:dyDescent="0.3">
      <c r="B63" s="10" t="s">
        <v>103</v>
      </c>
      <c r="C63" s="24"/>
      <c r="D63" s="23"/>
      <c r="E63" s="23"/>
      <c r="F63" s="12"/>
      <c r="G63" s="13" t="s">
        <v>104</v>
      </c>
    </row>
    <row r="64" spans="2:7" x14ac:dyDescent="0.3">
      <c r="B64" s="1" t="s">
        <v>105</v>
      </c>
      <c r="C64" s="23"/>
      <c r="D64" s="23"/>
      <c r="E64" s="23"/>
      <c r="F64" s="11">
        <f>C31</f>
        <v>13808607085</v>
      </c>
      <c r="G64" s="3" t="s">
        <v>106</v>
      </c>
    </row>
    <row r="65" spans="2:7" x14ac:dyDescent="0.3">
      <c r="B65" s="1" t="s">
        <v>107</v>
      </c>
      <c r="C65" s="23"/>
      <c r="D65" s="23"/>
      <c r="E65" s="23"/>
      <c r="F65" s="11">
        <f>C12</f>
        <v>3000000000</v>
      </c>
      <c r="G65" s="3" t="s">
        <v>108</v>
      </c>
    </row>
    <row r="66" spans="2:7" x14ac:dyDescent="0.3">
      <c r="B66" s="1" t="s">
        <v>109</v>
      </c>
      <c r="C66" s="23"/>
      <c r="D66" s="23"/>
      <c r="E66" s="23"/>
      <c r="F66" s="11">
        <f>F64*C14</f>
        <v>635195925.90999997</v>
      </c>
      <c r="G66" s="3" t="s">
        <v>110</v>
      </c>
    </row>
    <row r="67" spans="2:7" x14ac:dyDescent="0.3">
      <c r="B67" s="10" t="s">
        <v>111</v>
      </c>
      <c r="C67" s="24"/>
      <c r="D67" s="23"/>
      <c r="E67" s="23"/>
      <c r="F67" s="7">
        <f>F64+F65+F66</f>
        <v>17443803010.91</v>
      </c>
      <c r="G67" s="13"/>
    </row>
    <row r="68" spans="2:7" x14ac:dyDescent="0.3">
      <c r="B68" s="10" t="s">
        <v>112</v>
      </c>
      <c r="C68" s="24"/>
      <c r="D68" s="23"/>
      <c r="E68" s="23"/>
      <c r="F68" s="12"/>
      <c r="G68" s="13" t="s">
        <v>113</v>
      </c>
    </row>
    <row r="69" spans="2:7" x14ac:dyDescent="0.3">
      <c r="B69" s="1" t="s">
        <v>114</v>
      </c>
      <c r="C69" s="23"/>
      <c r="D69" s="23"/>
      <c r="E69" s="23"/>
      <c r="F69" s="11">
        <f>C9</f>
        <v>3602446415</v>
      </c>
      <c r="G69" s="3" t="s">
        <v>115</v>
      </c>
    </row>
    <row r="70" spans="2:7" x14ac:dyDescent="0.3">
      <c r="B70" s="1" t="s">
        <v>109</v>
      </c>
      <c r="C70" s="23"/>
      <c r="D70" s="23"/>
      <c r="E70" s="23"/>
      <c r="F70" s="11">
        <f>F69*C14</f>
        <v>165712535.09</v>
      </c>
      <c r="G70" s="3" t="s">
        <v>110</v>
      </c>
    </row>
    <row r="71" spans="2:7" x14ac:dyDescent="0.3">
      <c r="B71" s="10" t="s">
        <v>116</v>
      </c>
      <c r="C71" s="24"/>
      <c r="D71" s="23"/>
      <c r="E71" s="23"/>
      <c r="F71" s="7">
        <f>F69+F70</f>
        <v>3768158950.0900002</v>
      </c>
      <c r="G71" s="13"/>
    </row>
    <row r="72" spans="2:7" x14ac:dyDescent="0.3">
      <c r="B72" s="1" t="s">
        <v>117</v>
      </c>
      <c r="C72" s="23"/>
      <c r="D72" s="23"/>
      <c r="E72" s="23"/>
      <c r="F72" s="11">
        <f>C13</f>
        <v>0</v>
      </c>
      <c r="G72" s="3" t="s">
        <v>118</v>
      </c>
    </row>
    <row r="73" spans="2:7" ht="60" x14ac:dyDescent="0.3">
      <c r="B73" s="10" t="s">
        <v>119</v>
      </c>
      <c r="C73" s="24"/>
      <c r="D73" s="23"/>
      <c r="E73" s="23"/>
      <c r="F73" s="7">
        <f>F67+F71+F72</f>
        <v>21211961961</v>
      </c>
      <c r="G73" s="13" t="s">
        <v>120</v>
      </c>
    </row>
    <row r="74" spans="2:7" x14ac:dyDescent="0.3">
      <c r="B74" s="10" t="s">
        <v>121</v>
      </c>
      <c r="C74" s="24"/>
      <c r="D74" s="23"/>
      <c r="E74" s="23"/>
      <c r="F74" s="12"/>
      <c r="G74" s="13"/>
    </row>
    <row r="75" spans="2:7" x14ac:dyDescent="0.3">
      <c r="B75" s="1" t="s">
        <v>122</v>
      </c>
      <c r="C75" s="23"/>
      <c r="D75" s="23"/>
      <c r="E75" s="23"/>
      <c r="F75" s="11">
        <v>5735421124</v>
      </c>
      <c r="G75" s="3"/>
    </row>
    <row r="76" spans="2:7" x14ac:dyDescent="0.3">
      <c r="B76" s="1" t="s">
        <v>123</v>
      </c>
      <c r="C76" s="23"/>
      <c r="D76" s="23"/>
      <c r="E76" s="23"/>
      <c r="F76" s="11">
        <v>1024564143</v>
      </c>
      <c r="G76" s="3"/>
    </row>
    <row r="77" spans="2:7" x14ac:dyDescent="0.3">
      <c r="B77" s="1" t="s">
        <v>124</v>
      </c>
      <c r="C77" s="23"/>
      <c r="D77" s="23"/>
      <c r="E77" s="23"/>
      <c r="F77" s="11">
        <v>1143456281</v>
      </c>
      <c r="G77" s="3"/>
    </row>
    <row r="78" spans="2:7" x14ac:dyDescent="0.3">
      <c r="B78" s="1" t="s">
        <v>125</v>
      </c>
      <c r="C78" s="23"/>
      <c r="D78" s="23"/>
      <c r="E78" s="23"/>
      <c r="F78" s="11">
        <v>1508946973</v>
      </c>
      <c r="G78" s="3"/>
    </row>
    <row r="79" spans="2:7" x14ac:dyDescent="0.3">
      <c r="B79" s="1" t="s">
        <v>126</v>
      </c>
      <c r="C79" s="23"/>
      <c r="D79" s="23"/>
      <c r="E79" s="23"/>
      <c r="F79" s="11">
        <v>3544188191</v>
      </c>
      <c r="G79" s="3"/>
    </row>
    <row r="80" spans="2:7" x14ac:dyDescent="0.3">
      <c r="B80" s="1" t="s">
        <v>127</v>
      </c>
      <c r="C80" s="23"/>
      <c r="D80" s="23"/>
      <c r="E80" s="23"/>
      <c r="F80" s="11">
        <v>45192311</v>
      </c>
      <c r="G80" s="3"/>
    </row>
    <row r="81" spans="2:7" x14ac:dyDescent="0.3">
      <c r="B81" s="1" t="s">
        <v>128</v>
      </c>
      <c r="C81" s="23"/>
      <c r="D81" s="23"/>
      <c r="E81" s="23"/>
      <c r="F81" s="11">
        <v>900037078</v>
      </c>
      <c r="G81" s="3"/>
    </row>
    <row r="82" spans="2:7" x14ac:dyDescent="0.3">
      <c r="B82" s="10" t="s">
        <v>129</v>
      </c>
      <c r="C82" s="24"/>
      <c r="D82" s="23"/>
      <c r="E82" s="23"/>
      <c r="F82" s="7">
        <f>F75+F76+F77+F78+F79+F80+F81</f>
        <v>13901806101</v>
      </c>
      <c r="G82" s="13" t="s">
        <v>130</v>
      </c>
    </row>
    <row r="83" spans="2:7" x14ac:dyDescent="0.3">
      <c r="B83" s="10" t="s">
        <v>131</v>
      </c>
      <c r="C83" s="24"/>
      <c r="D83" s="23"/>
      <c r="E83" s="23"/>
      <c r="F83" s="7">
        <f>F82</f>
        <v>13901806101</v>
      </c>
      <c r="G83" s="13"/>
    </row>
    <row r="84" spans="2:7" x14ac:dyDescent="0.3">
      <c r="B84" s="10" t="s">
        <v>132</v>
      </c>
      <c r="C84" s="24"/>
      <c r="D84" s="23"/>
      <c r="E84" s="23"/>
      <c r="F84" s="12"/>
      <c r="G84" s="13"/>
    </row>
    <row r="85" spans="2:7" x14ac:dyDescent="0.3">
      <c r="B85" s="1" t="s">
        <v>133</v>
      </c>
      <c r="C85" s="23"/>
      <c r="D85" s="23"/>
      <c r="E85" s="23"/>
      <c r="F85" s="11">
        <f>F82*C18</f>
        <v>486563213.53500003</v>
      </c>
      <c r="G85" s="3" t="s">
        <v>134</v>
      </c>
    </row>
    <row r="86" spans="2:7" x14ac:dyDescent="0.3">
      <c r="B86" s="1" t="s">
        <v>135</v>
      </c>
      <c r="C86" s="23"/>
      <c r="D86" s="23"/>
      <c r="E86" s="23"/>
      <c r="F86" s="11">
        <f>C15/3.305785*C16</f>
        <v>731599302.43497372</v>
      </c>
      <c r="G86" s="3" t="s">
        <v>136</v>
      </c>
    </row>
    <row r="87" spans="2:7" x14ac:dyDescent="0.3">
      <c r="B87" s="1" t="s">
        <v>137</v>
      </c>
      <c r="C87" s="23"/>
      <c r="D87" s="23"/>
      <c r="E87" s="23"/>
      <c r="F87" s="11">
        <f>C15/3.305785*C17</f>
        <v>487732868.2899825</v>
      </c>
      <c r="G87" s="3" t="s">
        <v>138</v>
      </c>
    </row>
    <row r="88" spans="2:7" x14ac:dyDescent="0.3">
      <c r="B88" s="10" t="s">
        <v>139</v>
      </c>
      <c r="C88" s="24"/>
      <c r="D88" s="23"/>
      <c r="E88" s="23"/>
      <c r="F88" s="7">
        <f>F85+F86+F87</f>
        <v>1705895384.2599564</v>
      </c>
      <c r="G88" s="13" t="s">
        <v>140</v>
      </c>
    </row>
    <row r="89" spans="2:7" x14ac:dyDescent="0.3">
      <c r="B89" s="10" t="s">
        <v>141</v>
      </c>
      <c r="C89" s="24"/>
      <c r="D89" s="23"/>
      <c r="E89" s="23"/>
      <c r="F89" s="12"/>
      <c r="G89" s="13"/>
    </row>
    <row r="90" spans="2:7" x14ac:dyDescent="0.3">
      <c r="B90" s="1" t="s">
        <v>142</v>
      </c>
      <c r="C90" s="23"/>
      <c r="D90" s="23"/>
      <c r="E90" s="23"/>
      <c r="F90" s="11">
        <f>C19*C20</f>
        <v>472931250</v>
      </c>
      <c r="G90" s="3" t="s">
        <v>143</v>
      </c>
    </row>
    <row r="91" spans="2:7" x14ac:dyDescent="0.3">
      <c r="B91" s="1" t="s">
        <v>144</v>
      </c>
      <c r="C91" s="23"/>
      <c r="D91" s="23"/>
      <c r="E91" s="23"/>
      <c r="F91" s="11">
        <f>C21*C22</f>
        <v>51600000</v>
      </c>
      <c r="G91" s="3" t="s">
        <v>145</v>
      </c>
    </row>
    <row r="92" spans="2:7" x14ac:dyDescent="0.3">
      <c r="B92" s="10" t="s">
        <v>146</v>
      </c>
      <c r="C92" s="24"/>
      <c r="D92" s="23"/>
      <c r="E92" s="23"/>
      <c r="F92" s="7">
        <f>F90+F91</f>
        <v>524531250</v>
      </c>
      <c r="G92" s="13"/>
    </row>
    <row r="93" spans="2:7" x14ac:dyDescent="0.3">
      <c r="B93" s="10" t="s">
        <v>147</v>
      </c>
      <c r="C93" s="24"/>
      <c r="D93" s="23"/>
      <c r="E93" s="23"/>
      <c r="F93" s="7">
        <f>(F73+F83+F85+F86+F87+F92)*C23</f>
        <v>1120325840.8877988</v>
      </c>
      <c r="G93" s="13"/>
    </row>
    <row r="94" spans="2:7" x14ac:dyDescent="0.3">
      <c r="B94" s="10" t="s">
        <v>148</v>
      </c>
      <c r="C94" s="24"/>
      <c r="D94" s="23"/>
      <c r="E94" s="23"/>
      <c r="F94" s="7">
        <f>F47*C24</f>
        <v>972694836.47605634</v>
      </c>
      <c r="G94" s="13" t="s">
        <v>149</v>
      </c>
    </row>
    <row r="95" spans="2:7" x14ac:dyDescent="0.3">
      <c r="B95" s="10" t="s">
        <v>150</v>
      </c>
      <c r="C95" s="24"/>
      <c r="D95" s="23"/>
      <c r="E95" s="23"/>
      <c r="F95" s="7">
        <f>C26*C25</f>
        <v>450000000</v>
      </c>
      <c r="G95" s="13" t="s">
        <v>151</v>
      </c>
    </row>
    <row r="96" spans="2:7" ht="24" x14ac:dyDescent="0.3">
      <c r="B96" s="10" t="s">
        <v>152</v>
      </c>
      <c r="C96" s="24"/>
      <c r="D96" s="23"/>
      <c r="E96" s="23"/>
      <c r="F96" s="7">
        <f>C26*C28*C29</f>
        <v>4800000000</v>
      </c>
      <c r="G96" s="13" t="s">
        <v>153</v>
      </c>
    </row>
    <row r="97" spans="2:7" x14ac:dyDescent="0.3">
      <c r="B97" s="10" t="s">
        <v>154</v>
      </c>
      <c r="C97" s="24"/>
      <c r="D97" s="23"/>
      <c r="E97" s="23"/>
      <c r="F97" s="7">
        <f>F73+F83+F85+F86+F87+F92+F93+F94+F95+F96</f>
        <v>44687215373.623825</v>
      </c>
      <c r="G97" s="13"/>
    </row>
    <row r="98" spans="2:7" x14ac:dyDescent="0.3">
      <c r="B98" s="1" t="s">
        <v>155</v>
      </c>
      <c r="C98" s="23"/>
      <c r="D98" s="23"/>
      <c r="E98" s="23"/>
      <c r="F98" s="11">
        <f>F97*C30</f>
        <v>1340616461.2087147</v>
      </c>
      <c r="G98" s="3"/>
    </row>
    <row r="99" spans="2:7" x14ac:dyDescent="0.3">
      <c r="B99" s="10" t="s">
        <v>156</v>
      </c>
      <c r="C99" s="24"/>
      <c r="D99" s="23"/>
      <c r="E99" s="23"/>
      <c r="F99" s="7">
        <f>F97+F98</f>
        <v>46027831834.832542</v>
      </c>
      <c r="G99" s="13"/>
    </row>
    <row r="100" spans="2:7" ht="24" x14ac:dyDescent="0.3">
      <c r="B100" s="10" t="s">
        <v>157</v>
      </c>
      <c r="C100" s="24"/>
      <c r="D100" s="23"/>
      <c r="E100" s="23"/>
      <c r="F100" s="7">
        <v>0</v>
      </c>
      <c r="G100" s="13" t="s">
        <v>158</v>
      </c>
    </row>
    <row r="101" spans="2:7" x14ac:dyDescent="0.3">
      <c r="B101" s="10" t="s">
        <v>159</v>
      </c>
      <c r="C101" s="24"/>
      <c r="D101" s="23"/>
      <c r="E101" s="23"/>
      <c r="F101" s="7">
        <f>F99+F100</f>
        <v>46027831834.832542</v>
      </c>
      <c r="G101" s="13"/>
    </row>
    <row r="103" spans="2:7" x14ac:dyDescent="0.3">
      <c r="B103" s="28" t="s">
        <v>160</v>
      </c>
      <c r="C103" s="23"/>
      <c r="D103" s="23"/>
      <c r="E103" s="23"/>
      <c r="F103" s="23"/>
      <c r="G103" s="23"/>
    </row>
    <row r="104" spans="2:7" x14ac:dyDescent="0.3">
      <c r="B104" s="6" t="s">
        <v>161</v>
      </c>
      <c r="C104" s="23"/>
      <c r="D104" s="23"/>
      <c r="E104" s="23"/>
      <c r="F104" s="16">
        <f>F101</f>
        <v>46027831834.832542</v>
      </c>
      <c r="G104" s="3"/>
    </row>
    <row r="105" spans="2:7" x14ac:dyDescent="0.3">
      <c r="B105" s="6" t="s">
        <v>5</v>
      </c>
      <c r="C105" s="23"/>
      <c r="D105" s="23"/>
      <c r="E105" s="23"/>
      <c r="F105" s="16">
        <f>C7</f>
        <v>24000000000</v>
      </c>
      <c r="G105" s="3" t="s">
        <v>162</v>
      </c>
    </row>
    <row r="106" spans="2:7" x14ac:dyDescent="0.3">
      <c r="B106" s="6" t="s">
        <v>163</v>
      </c>
      <c r="C106" s="23"/>
      <c r="D106" s="23"/>
      <c r="E106" s="23"/>
      <c r="F106" s="17">
        <f>C7/F101</f>
        <v>0.52142364832917221</v>
      </c>
      <c r="G106" s="3" t="s">
        <v>164</v>
      </c>
    </row>
    <row r="107" spans="2:7" x14ac:dyDescent="0.3">
      <c r="B107" s="6" t="s">
        <v>165</v>
      </c>
      <c r="C107" s="23"/>
      <c r="D107" s="23"/>
      <c r="E107" s="23"/>
      <c r="F107" s="16">
        <f>F101-C7</f>
        <v>22027831834.832542</v>
      </c>
      <c r="G107" s="3" t="s">
        <v>166</v>
      </c>
    </row>
    <row r="108" spans="2:7" x14ac:dyDescent="0.3">
      <c r="B108" s="1" t="s">
        <v>167</v>
      </c>
      <c r="C108" s="23"/>
      <c r="D108" s="23"/>
      <c r="E108" s="23"/>
      <c r="F108" s="11">
        <f>C32</f>
        <v>3236666667</v>
      </c>
      <c r="G108" s="3" t="s">
        <v>168</v>
      </c>
    </row>
    <row r="109" spans="2:7" x14ac:dyDescent="0.3">
      <c r="B109" s="6" t="s">
        <v>43</v>
      </c>
      <c r="C109" s="23"/>
      <c r="D109" s="23"/>
      <c r="E109" s="23"/>
      <c r="F109" s="15">
        <f>C26</f>
        <v>30000000000</v>
      </c>
      <c r="G109" s="3" t="s">
        <v>169</v>
      </c>
    </row>
    <row r="110" spans="2:7" x14ac:dyDescent="0.3">
      <c r="B110" s="18" t="s">
        <v>170</v>
      </c>
      <c r="C110" s="23"/>
      <c r="D110" s="23"/>
      <c r="E110" s="23"/>
      <c r="F110" s="19">
        <f>F59-F101</f>
        <v>2606909988.9702759</v>
      </c>
      <c r="G110" s="3" t="s">
        <v>171</v>
      </c>
    </row>
    <row r="111" spans="2:7" x14ac:dyDescent="0.3">
      <c r="B111" s="6" t="s">
        <v>172</v>
      </c>
      <c r="C111" s="23"/>
      <c r="D111" s="23"/>
      <c r="E111" s="23"/>
      <c r="F111" s="20">
        <f>(F59-F101)/F59</f>
        <v>5.3601805853411601E-2</v>
      </c>
      <c r="G111" s="3"/>
    </row>
    <row r="112" spans="2:7" x14ac:dyDescent="0.3">
      <c r="B112" s="6" t="s">
        <v>173</v>
      </c>
      <c r="C112" s="23"/>
      <c r="D112" s="23"/>
      <c r="E112" s="23"/>
      <c r="F112" s="20">
        <f>(F59-F101)/F101</f>
        <v>5.6637688221443473E-2</v>
      </c>
      <c r="G112" s="3"/>
    </row>
    <row r="113" spans="2:7" x14ac:dyDescent="0.3">
      <c r="B113" s="6" t="s">
        <v>174</v>
      </c>
      <c r="C113" s="23"/>
      <c r="D113" s="23"/>
      <c r="E113" s="23"/>
      <c r="F113" s="20">
        <f>(F59-F101)/C7</f>
        <v>0.10862124954042816</v>
      </c>
      <c r="G113" s="3" t="s">
        <v>175</v>
      </c>
    </row>
    <row r="114" spans="2:7" x14ac:dyDescent="0.3">
      <c r="B114" s="1" t="s">
        <v>176</v>
      </c>
      <c r="C114" s="23"/>
      <c r="D114" s="23"/>
      <c r="E114" s="23"/>
      <c r="F114" s="11">
        <f>F73+F83+F85+F86+F87+F92+F93+F95+F96</f>
        <v>43714520537.147766</v>
      </c>
      <c r="G114" s="3" t="s">
        <v>177</v>
      </c>
    </row>
    <row r="115" spans="2:7" x14ac:dyDescent="0.3">
      <c r="B115" s="6" t="s">
        <v>178</v>
      </c>
      <c r="C115" s="23"/>
      <c r="D115" s="23"/>
      <c r="E115" s="23"/>
      <c r="F115" s="16">
        <f>(1+C30)*((F73+F83+F85+F86+F87+F92+F93)+(C25+C28*C29)*C26)/((1-0)-(1+C30)*C24)/D47</f>
        <v>3119393.547767757</v>
      </c>
      <c r="G115" s="3" t="s">
        <v>179</v>
      </c>
    </row>
    <row r="116" spans="2:7" x14ac:dyDescent="0.3">
      <c r="B116" s="6" t="s">
        <v>180</v>
      </c>
      <c r="C116" s="23"/>
      <c r="D116" s="23"/>
      <c r="E116" s="23"/>
      <c r="F116" s="15">
        <f>(1+C30)*((F73+F83+F85+F86+F87+F92+F93)+(C25+C28*C29)*C26)/((1-0.1)-(1+C30)*C24)/D47</f>
        <v>3474111.9407365723</v>
      </c>
      <c r="G116" s="3" t="s">
        <v>181</v>
      </c>
    </row>
    <row r="118" spans="2:7" x14ac:dyDescent="0.3">
      <c r="B118" s="28" t="s">
        <v>182</v>
      </c>
      <c r="C118" s="23"/>
      <c r="D118" s="23"/>
      <c r="E118" s="23"/>
      <c r="F118" s="23"/>
      <c r="G118" s="23"/>
    </row>
    <row r="119" spans="2:7" x14ac:dyDescent="0.3">
      <c r="B119" s="9" t="s">
        <v>183</v>
      </c>
      <c r="C119" s="32" t="s">
        <v>99</v>
      </c>
      <c r="D119" s="26"/>
      <c r="E119" s="27"/>
      <c r="F119" s="9" t="s">
        <v>170</v>
      </c>
      <c r="G119" s="9" t="s">
        <v>184</v>
      </c>
    </row>
    <row r="120" spans="2:7" x14ac:dyDescent="0.3">
      <c r="B120" s="11">
        <v>3000000</v>
      </c>
      <c r="C120" s="25">
        <f>D47*B120</f>
        <v>44213401658.002556</v>
      </c>
      <c r="D120" s="26"/>
      <c r="E120" s="27"/>
      <c r="F120" s="11">
        <f>C120-((1+C30)*(((F73+F83+F85+F86+F87+F92+F93)+C120*C24)+C26*(C25+C28*C29)))</f>
        <v>-1723350569.4144974</v>
      </c>
      <c r="G120" s="21">
        <f t="shared" ref="G120:G125" si="3">IF(C120=0,0,F120/C120)</f>
        <v>-3.8978013561247297E-2</v>
      </c>
    </row>
    <row r="121" spans="2:7" x14ac:dyDescent="0.3">
      <c r="B121" s="11">
        <v>3200000</v>
      </c>
      <c r="C121" s="25">
        <f>D47*B121</f>
        <v>47160961768.536057</v>
      </c>
      <c r="D121" s="26"/>
      <c r="E121" s="27"/>
      <c r="F121" s="11">
        <f>C121-((1+C30)*(((F73+F83+F85+F86+F87+F92+F93)+C121*C24)+C26*(C25+C28*C29)))</f>
        <v>1163489802.8420181</v>
      </c>
      <c r="G121" s="21">
        <f t="shared" si="3"/>
        <v>2.46706122863307E-2</v>
      </c>
    </row>
    <row r="122" spans="2:7" x14ac:dyDescent="0.3">
      <c r="B122" s="11">
        <v>3400000</v>
      </c>
      <c r="C122" s="25">
        <f>D47*B122</f>
        <v>50108521879.069565</v>
      </c>
      <c r="D122" s="26"/>
      <c r="E122" s="27"/>
      <c r="F122" s="11">
        <f>C122-((1+C30)*(((F73+F83+F85+F86+F87+F92+F93)+C122*C24)+C26*(C25+C28*C29)))</f>
        <v>4050330175.0985336</v>
      </c>
      <c r="G122" s="21">
        <f t="shared" si="3"/>
        <v>8.0831164504781866E-2</v>
      </c>
    </row>
    <row r="123" spans="2:7" x14ac:dyDescent="0.3">
      <c r="B123" s="11">
        <v>3600000</v>
      </c>
      <c r="C123" s="25">
        <f>D47*B123</f>
        <v>53056081989.603065</v>
      </c>
      <c r="D123" s="26"/>
      <c r="E123" s="27"/>
      <c r="F123" s="11">
        <f>C123-((1+C30)*(((F73+F83+F85+F86+F87+F92+F93)+C123*C24)+C26*(C25+C28*C29)))</f>
        <v>6937170547.3550415</v>
      </c>
      <c r="G123" s="21">
        <f t="shared" si="3"/>
        <v>0.13075165536562722</v>
      </c>
    </row>
    <row r="124" spans="2:7" x14ac:dyDescent="0.3">
      <c r="B124" s="11">
        <v>3800000</v>
      </c>
      <c r="C124" s="25">
        <f>D47*B124</f>
        <v>56003642100.136574</v>
      </c>
      <c r="D124" s="26"/>
      <c r="E124" s="27"/>
      <c r="F124" s="11">
        <f>C124-((1+C30)*(((F73+F83+F85+F86+F87+F92+F93)+C124*C24)+C26*(C25+C28*C29)))</f>
        <v>9824010919.611557</v>
      </c>
      <c r="G124" s="21">
        <f t="shared" si="3"/>
        <v>0.17541735771480477</v>
      </c>
    </row>
    <row r="125" spans="2:7" x14ac:dyDescent="0.3">
      <c r="B125" s="11">
        <v>4000000</v>
      </c>
      <c r="C125" s="25">
        <f>D47*B125</f>
        <v>58951202210.670074</v>
      </c>
      <c r="D125" s="26"/>
      <c r="E125" s="27"/>
      <c r="F125" s="11">
        <f>C125-((1+C30)*(((F73+F83+F85+F86+F87+F92+F93)+C125*C24)+C26*(C25+C28*C29)))</f>
        <v>12710851291.868073</v>
      </c>
      <c r="G125" s="21">
        <f t="shared" si="3"/>
        <v>0.21561648982906456</v>
      </c>
    </row>
    <row r="127" spans="2:7" x14ac:dyDescent="0.3">
      <c r="B127" s="28" t="s">
        <v>185</v>
      </c>
      <c r="C127" s="23"/>
      <c r="D127" s="23"/>
      <c r="E127" s="23"/>
      <c r="F127" s="23"/>
      <c r="G127" s="23"/>
    </row>
    <row r="128" spans="2:7" x14ac:dyDescent="0.3">
      <c r="B128" s="9" t="s">
        <v>60</v>
      </c>
      <c r="C128" s="9" t="s">
        <v>61</v>
      </c>
      <c r="D128" s="9" t="s">
        <v>62</v>
      </c>
      <c r="E128" s="9" t="s">
        <v>63</v>
      </c>
      <c r="F128" s="9" t="s">
        <v>64</v>
      </c>
      <c r="G128" s="9" t="s">
        <v>65</v>
      </c>
    </row>
    <row r="129" spans="2:7" x14ac:dyDescent="0.3">
      <c r="B129" s="1" t="s">
        <v>186</v>
      </c>
      <c r="C129" s="11">
        <v>4650</v>
      </c>
      <c r="D129" s="11">
        <f t="shared" ref="D129:D137" si="4">C129/3.305785</f>
        <v>1406.6250527484394</v>
      </c>
      <c r="E129" s="2">
        <v>3300000</v>
      </c>
      <c r="F129" s="11">
        <f t="shared" ref="F129:F137" si="5">D129*E129</f>
        <v>4641862674.06985</v>
      </c>
      <c r="G129" s="3" t="s">
        <v>187</v>
      </c>
    </row>
    <row r="130" spans="2:7" x14ac:dyDescent="0.3">
      <c r="B130" s="1" t="s">
        <v>188</v>
      </c>
      <c r="C130" s="11">
        <v>8617</v>
      </c>
      <c r="D130" s="11">
        <f t="shared" si="4"/>
        <v>2606.6425977490971</v>
      </c>
      <c r="E130" s="2">
        <v>3300000</v>
      </c>
      <c r="F130" s="11">
        <f t="shared" si="5"/>
        <v>8601920572.5720215</v>
      </c>
      <c r="G130" s="3" t="s">
        <v>187</v>
      </c>
    </row>
    <row r="131" spans="2:7" x14ac:dyDescent="0.3">
      <c r="B131" s="1" t="s">
        <v>189</v>
      </c>
      <c r="C131" s="11">
        <v>7803</v>
      </c>
      <c r="D131" s="11">
        <f t="shared" si="4"/>
        <v>2360.4075885152843</v>
      </c>
      <c r="E131" s="2">
        <v>3300000</v>
      </c>
      <c r="F131" s="11">
        <f t="shared" si="5"/>
        <v>7789345042.1004381</v>
      </c>
      <c r="G131" s="3" t="s">
        <v>187</v>
      </c>
    </row>
    <row r="132" spans="2:7" x14ac:dyDescent="0.3">
      <c r="B132" s="1" t="s">
        <v>190</v>
      </c>
      <c r="C132" s="11">
        <v>4996</v>
      </c>
      <c r="D132" s="11">
        <f t="shared" si="4"/>
        <v>1511.290056673377</v>
      </c>
      <c r="E132" s="2">
        <v>3300000</v>
      </c>
      <c r="F132" s="11">
        <f t="shared" si="5"/>
        <v>4987257187.0221443</v>
      </c>
      <c r="G132" s="3" t="s">
        <v>187</v>
      </c>
    </row>
    <row r="133" spans="2:7" x14ac:dyDescent="0.3">
      <c r="B133" s="1" t="s">
        <v>191</v>
      </c>
      <c r="C133" s="11">
        <v>3425</v>
      </c>
      <c r="D133" s="11">
        <f t="shared" si="4"/>
        <v>1036.0625388523451</v>
      </c>
      <c r="E133" s="2">
        <v>3300000</v>
      </c>
      <c r="F133" s="11">
        <f t="shared" si="5"/>
        <v>3419006378.212739</v>
      </c>
      <c r="G133" s="3" t="s">
        <v>187</v>
      </c>
    </row>
    <row r="134" spans="2:7" x14ac:dyDescent="0.3">
      <c r="B134" s="1" t="s">
        <v>192</v>
      </c>
      <c r="C134" s="11">
        <v>8897</v>
      </c>
      <c r="D134" s="11">
        <f t="shared" si="4"/>
        <v>2691.3426009253476</v>
      </c>
      <c r="E134" s="2">
        <v>3300000</v>
      </c>
      <c r="F134" s="11">
        <f t="shared" si="5"/>
        <v>8881430583.053648</v>
      </c>
      <c r="G134" s="3" t="s">
        <v>187</v>
      </c>
    </row>
    <row r="135" spans="2:7" x14ac:dyDescent="0.3">
      <c r="B135" s="1" t="s">
        <v>193</v>
      </c>
      <c r="C135" s="11">
        <v>8448</v>
      </c>
      <c r="D135" s="11">
        <f t="shared" si="4"/>
        <v>2555.5200958320033</v>
      </c>
      <c r="E135" s="2">
        <v>3300000</v>
      </c>
      <c r="F135" s="11">
        <f t="shared" si="5"/>
        <v>8433216316.2456112</v>
      </c>
      <c r="G135" s="3" t="s">
        <v>187</v>
      </c>
    </row>
    <row r="136" spans="2:7" x14ac:dyDescent="0.3">
      <c r="B136" s="1" t="s">
        <v>194</v>
      </c>
      <c r="C136" s="11">
        <v>1139</v>
      </c>
      <c r="D136" s="11">
        <f t="shared" si="4"/>
        <v>344.54751292053169</v>
      </c>
      <c r="E136" s="2">
        <v>3300000</v>
      </c>
      <c r="F136" s="11">
        <f t="shared" si="5"/>
        <v>1137006792.6377547</v>
      </c>
      <c r="G136" s="3" t="s">
        <v>187</v>
      </c>
    </row>
    <row r="137" spans="2:7" x14ac:dyDescent="0.3">
      <c r="B137" s="1" t="s">
        <v>195</v>
      </c>
      <c r="C137" s="11">
        <v>745</v>
      </c>
      <c r="D137" s="11">
        <f t="shared" si="4"/>
        <v>225.36250845109404</v>
      </c>
      <c r="E137" s="2">
        <v>3300000</v>
      </c>
      <c r="F137" s="11">
        <f t="shared" si="5"/>
        <v>743696277.88861036</v>
      </c>
      <c r="G137" s="3" t="s">
        <v>187</v>
      </c>
    </row>
    <row r="138" spans="2:7" x14ac:dyDescent="0.3">
      <c r="B138" s="10" t="s">
        <v>196</v>
      </c>
      <c r="C138" s="7">
        <f>SUM(C129:C137)</f>
        <v>48720</v>
      </c>
      <c r="D138" s="7">
        <f>SUM(D129:D137)</f>
        <v>14737.800552667519</v>
      </c>
      <c r="E138" s="12"/>
      <c r="F138" s="7">
        <f>SUM(F129:F137)</f>
        <v>48634741823.802818</v>
      </c>
      <c r="G138" s="13" t="s">
        <v>197</v>
      </c>
    </row>
    <row r="139" spans="2:7" x14ac:dyDescent="0.3">
      <c r="B139" s="6" t="s">
        <v>198</v>
      </c>
      <c r="C139" s="23"/>
      <c r="D139" s="23"/>
      <c r="E139" s="23"/>
      <c r="F139" s="15">
        <f>F138-((F114+F138*C24)*(1+C30))</f>
        <v>2606909988.9702759</v>
      </c>
      <c r="G139" s="20">
        <f>IF(F138=0,0,F139/F138)</f>
        <v>5.3601805853411601E-2</v>
      </c>
    </row>
    <row r="141" spans="2:7" x14ac:dyDescent="0.3">
      <c r="B141" s="29" t="s">
        <v>199</v>
      </c>
      <c r="C141" s="23"/>
      <c r="D141" s="23"/>
      <c r="E141" s="23"/>
      <c r="F141" s="23"/>
      <c r="G141" s="23"/>
    </row>
  </sheetData>
  <mergeCells count="102">
    <mergeCell ref="B2:G2"/>
    <mergeCell ref="D12:G12"/>
    <mergeCell ref="C93:E93"/>
    <mergeCell ref="D25:G25"/>
    <mergeCell ref="C124:E124"/>
    <mergeCell ref="D30:G30"/>
    <mergeCell ref="C90:E90"/>
    <mergeCell ref="C105:E105"/>
    <mergeCell ref="C139:E139"/>
    <mergeCell ref="D14:G14"/>
    <mergeCell ref="D23:G23"/>
    <mergeCell ref="C76:E76"/>
    <mergeCell ref="C120:E120"/>
    <mergeCell ref="C110:E110"/>
    <mergeCell ref="C119:E119"/>
    <mergeCell ref="C82:E82"/>
    <mergeCell ref="C66:E66"/>
    <mergeCell ref="C111:E111"/>
    <mergeCell ref="C86:E86"/>
    <mergeCell ref="C68:E68"/>
    <mergeCell ref="C83:E83"/>
    <mergeCell ref="C108:E108"/>
    <mergeCell ref="D32:G32"/>
    <mergeCell ref="D16:G16"/>
    <mergeCell ref="B127:G127"/>
    <mergeCell ref="D10:G10"/>
    <mergeCell ref="C122:E122"/>
    <mergeCell ref="C67:E67"/>
    <mergeCell ref="C72:E72"/>
    <mergeCell ref="C109:E109"/>
    <mergeCell ref="C69:E69"/>
    <mergeCell ref="C96:E96"/>
    <mergeCell ref="C78:E78"/>
    <mergeCell ref="C92:E92"/>
    <mergeCell ref="D27:G27"/>
    <mergeCell ref="C62:E62"/>
    <mergeCell ref="D17:G17"/>
    <mergeCell ref="C98:E98"/>
    <mergeCell ref="C107:E107"/>
    <mergeCell ref="C37:G37"/>
    <mergeCell ref="C64:E64"/>
    <mergeCell ref="D28:G28"/>
    <mergeCell ref="C97:E97"/>
    <mergeCell ref="C100:E100"/>
    <mergeCell ref="C65:E65"/>
    <mergeCell ref="C125:E125"/>
    <mergeCell ref="C51:G51"/>
    <mergeCell ref="C87:E87"/>
    <mergeCell ref="B35:G35"/>
    <mergeCell ref="D11:G11"/>
    <mergeCell ref="C48:G48"/>
    <mergeCell ref="B3:G3"/>
    <mergeCell ref="C89:E89"/>
    <mergeCell ref="C104:E104"/>
    <mergeCell ref="C116:E116"/>
    <mergeCell ref="C79:E79"/>
    <mergeCell ref="C73:E73"/>
    <mergeCell ref="C88:E88"/>
    <mergeCell ref="C63:E63"/>
    <mergeCell ref="C121:E121"/>
    <mergeCell ref="D9:G9"/>
    <mergeCell ref="B61:G61"/>
    <mergeCell ref="D15:G15"/>
    <mergeCell ref="D29:G29"/>
    <mergeCell ref="C115:E115"/>
    <mergeCell ref="B103:G103"/>
    <mergeCell ref="B118:G118"/>
    <mergeCell ref="B5:G5"/>
    <mergeCell ref="D6:G6"/>
    <mergeCell ref="D21:G21"/>
    <mergeCell ref="C101:E101"/>
    <mergeCell ref="D13:G13"/>
    <mergeCell ref="C77:E77"/>
    <mergeCell ref="B141:G141"/>
    <mergeCell ref="C74:E74"/>
    <mergeCell ref="D7:G7"/>
    <mergeCell ref="C113:E113"/>
    <mergeCell ref="C85:E85"/>
    <mergeCell ref="C112:E112"/>
    <mergeCell ref="C99:E99"/>
    <mergeCell ref="C94:E94"/>
    <mergeCell ref="C75:E75"/>
    <mergeCell ref="C84:E84"/>
    <mergeCell ref="D24:G24"/>
    <mergeCell ref="D33:G33"/>
    <mergeCell ref="C114:E114"/>
    <mergeCell ref="C59:E59"/>
    <mergeCell ref="D26:G26"/>
    <mergeCell ref="C70:E70"/>
    <mergeCell ref="D19:G19"/>
    <mergeCell ref="C106:E106"/>
    <mergeCell ref="D18:G18"/>
    <mergeCell ref="D8:G8"/>
    <mergeCell ref="C80:E80"/>
    <mergeCell ref="C95:E95"/>
    <mergeCell ref="C71:E71"/>
    <mergeCell ref="C123:E123"/>
    <mergeCell ref="D20:G20"/>
    <mergeCell ref="C91:E91"/>
    <mergeCell ref="D22:G22"/>
    <mergeCell ref="D31:G31"/>
    <mergeCell ref="C81:E81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사업수지(추정)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김찬식 초록마을</cp:lastModifiedBy>
  <dcterms:created xsi:type="dcterms:W3CDTF">2026-07-11T01:33:33Z</dcterms:created>
  <dcterms:modified xsi:type="dcterms:W3CDTF">2026-07-11T01:52:20Z</dcterms:modified>
</cp:coreProperties>
</file>