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7_타견적/"/>
    </mc:Choice>
  </mc:AlternateContent>
  <xr:revisionPtr revIDLastSave="3" documentId="11_A95D3A57DA7E44C202D5798FA3BB3269228DE604" xr6:coauthVersionLast="47" xr6:coauthVersionMax="47" xr10:uidLastSave="{138FB0BE-8AD0-4BBB-8741-41AD6508F2D7}"/>
  <bookViews>
    <workbookView xWindow="-120" yWindow="-120" windowWidth="38640" windowHeight="21120" activeTab="3" xr2:uid="{00000000-000D-0000-FFFF-FFFF00000000}"/>
  </bookViews>
  <sheets>
    <sheet name="표지" sheetId="1" r:id="rId1"/>
    <sheet name="견적서" sheetId="2" r:id="rId2"/>
    <sheet name="원가계산서" sheetId="3" r:id="rId3"/>
    <sheet name="내역서" sheetId="4" r:id="rId4"/>
    <sheet name="02.전기(참고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9" i="5" l="1"/>
  <c r="J219" i="5"/>
  <c r="H219" i="5"/>
  <c r="F219" i="5"/>
  <c r="L219" i="5" s="1"/>
  <c r="J218" i="5"/>
  <c r="H218" i="5"/>
  <c r="F218" i="5"/>
  <c r="L218" i="5" s="1"/>
  <c r="K217" i="5"/>
  <c r="J217" i="5"/>
  <c r="H217" i="5"/>
  <c r="F217" i="5"/>
  <c r="L217" i="5" s="1"/>
  <c r="K216" i="5"/>
  <c r="J216" i="5"/>
  <c r="H216" i="5"/>
  <c r="F216" i="5"/>
  <c r="L216" i="5" s="1"/>
  <c r="L215" i="5"/>
  <c r="K215" i="5"/>
  <c r="J215" i="5"/>
  <c r="H215" i="5"/>
  <c r="F215" i="5"/>
  <c r="K214" i="5"/>
  <c r="J214" i="5"/>
  <c r="H214" i="5"/>
  <c r="F214" i="5"/>
  <c r="L214" i="5" s="1"/>
  <c r="K213" i="5"/>
  <c r="J213" i="5"/>
  <c r="H213" i="5"/>
  <c r="L213" i="5" s="1"/>
  <c r="F213" i="5"/>
  <c r="K212" i="5"/>
  <c r="J212" i="5"/>
  <c r="H212" i="5"/>
  <c r="F212" i="5"/>
  <c r="L212" i="5" s="1"/>
  <c r="K211" i="5"/>
  <c r="J211" i="5"/>
  <c r="H211" i="5"/>
  <c r="F211" i="5"/>
  <c r="L211" i="5" s="1"/>
  <c r="L210" i="5"/>
  <c r="K210" i="5"/>
  <c r="J210" i="5"/>
  <c r="H210" i="5"/>
  <c r="F210" i="5"/>
  <c r="K209" i="5"/>
  <c r="J209" i="5"/>
  <c r="H209" i="5"/>
  <c r="F209" i="5"/>
  <c r="L209" i="5" s="1"/>
  <c r="L208" i="5"/>
  <c r="K208" i="5"/>
  <c r="J208" i="5"/>
  <c r="H208" i="5"/>
  <c r="F208" i="5"/>
  <c r="K207" i="5"/>
  <c r="J207" i="5"/>
  <c r="H207" i="5"/>
  <c r="F207" i="5"/>
  <c r="L207" i="5" s="1"/>
  <c r="K206" i="5"/>
  <c r="J206" i="5"/>
  <c r="H206" i="5"/>
  <c r="F206" i="5"/>
  <c r="L206" i="5" s="1"/>
  <c r="K205" i="5"/>
  <c r="J205" i="5"/>
  <c r="H205" i="5"/>
  <c r="F205" i="5"/>
  <c r="L205" i="5" s="1"/>
  <c r="K204" i="5"/>
  <c r="J204" i="5"/>
  <c r="H204" i="5"/>
  <c r="F204" i="5"/>
  <c r="L204" i="5" s="1"/>
  <c r="L203" i="5"/>
  <c r="K203" i="5"/>
  <c r="J203" i="5"/>
  <c r="H203" i="5"/>
  <c r="F203" i="5"/>
  <c r="K202" i="5"/>
  <c r="J202" i="5"/>
  <c r="H202" i="5"/>
  <c r="F202" i="5"/>
  <c r="L202" i="5" s="1"/>
  <c r="K201" i="5"/>
  <c r="J201" i="5"/>
  <c r="H201" i="5"/>
  <c r="L201" i="5" s="1"/>
  <c r="F201" i="5"/>
  <c r="K200" i="5"/>
  <c r="J200" i="5"/>
  <c r="H200" i="5"/>
  <c r="F200" i="5"/>
  <c r="L200" i="5" s="1"/>
  <c r="K199" i="5"/>
  <c r="J199" i="5"/>
  <c r="H199" i="5"/>
  <c r="F199" i="5"/>
  <c r="L199" i="5" s="1"/>
  <c r="L198" i="5"/>
  <c r="K198" i="5"/>
  <c r="J198" i="5"/>
  <c r="H198" i="5"/>
  <c r="F198" i="5"/>
  <c r="K197" i="5"/>
  <c r="J197" i="5"/>
  <c r="H197" i="5"/>
  <c r="F197" i="5"/>
  <c r="L197" i="5" s="1"/>
  <c r="L196" i="5"/>
  <c r="K196" i="5"/>
  <c r="J196" i="5"/>
  <c r="H196" i="5"/>
  <c r="F196" i="5"/>
  <c r="K195" i="5"/>
  <c r="J195" i="5"/>
  <c r="H195" i="5"/>
  <c r="F195" i="5"/>
  <c r="L195" i="5" s="1"/>
  <c r="K194" i="5"/>
  <c r="J194" i="5"/>
  <c r="H194" i="5"/>
  <c r="F194" i="5"/>
  <c r="L194" i="5" s="1"/>
  <c r="K193" i="5"/>
  <c r="J193" i="5"/>
  <c r="H193" i="5"/>
  <c r="F193" i="5"/>
  <c r="L193" i="5" s="1"/>
  <c r="K192" i="5"/>
  <c r="J192" i="5"/>
  <c r="H192" i="5"/>
  <c r="F192" i="5"/>
  <c r="L192" i="5" s="1"/>
  <c r="L191" i="5"/>
  <c r="K191" i="5"/>
  <c r="J191" i="5"/>
  <c r="H191" i="5"/>
  <c r="F191" i="5"/>
  <c r="K190" i="5"/>
  <c r="J190" i="5"/>
  <c r="H190" i="5"/>
  <c r="F190" i="5"/>
  <c r="L190" i="5" s="1"/>
  <c r="K189" i="5"/>
  <c r="J189" i="5"/>
  <c r="H189" i="5"/>
  <c r="L189" i="5" s="1"/>
  <c r="F189" i="5"/>
  <c r="K188" i="5"/>
  <c r="J188" i="5"/>
  <c r="H188" i="5"/>
  <c r="F188" i="5"/>
  <c r="L188" i="5" s="1"/>
  <c r="K187" i="5"/>
  <c r="J187" i="5"/>
  <c r="H187" i="5"/>
  <c r="F187" i="5"/>
  <c r="L187" i="5" s="1"/>
  <c r="L186" i="5"/>
  <c r="K186" i="5"/>
  <c r="J186" i="5"/>
  <c r="H186" i="5"/>
  <c r="F186" i="5"/>
  <c r="K185" i="5"/>
  <c r="J185" i="5"/>
  <c r="H185" i="5"/>
  <c r="F185" i="5"/>
  <c r="L185" i="5" s="1"/>
  <c r="L184" i="5"/>
  <c r="K184" i="5"/>
  <c r="J184" i="5"/>
  <c r="H184" i="5"/>
  <c r="F184" i="5"/>
  <c r="K183" i="5"/>
  <c r="J183" i="5"/>
  <c r="H183" i="5"/>
  <c r="F183" i="5"/>
  <c r="L183" i="5" s="1"/>
  <c r="K182" i="5"/>
  <c r="J182" i="5"/>
  <c r="J180" i="5" s="1"/>
  <c r="H182" i="5"/>
  <c r="H180" i="5" s="1"/>
  <c r="F182" i="5"/>
  <c r="L182" i="5" s="1"/>
  <c r="K181" i="5"/>
  <c r="J181" i="5"/>
  <c r="H181" i="5"/>
  <c r="F181" i="5"/>
  <c r="L181" i="5" s="1"/>
  <c r="L179" i="5"/>
  <c r="K179" i="5"/>
  <c r="J179" i="5"/>
  <c r="H179" i="5"/>
  <c r="F179" i="5"/>
  <c r="K178" i="5"/>
  <c r="J178" i="5"/>
  <c r="H178" i="5"/>
  <c r="F178" i="5"/>
  <c r="L178" i="5" s="1"/>
  <c r="K177" i="5"/>
  <c r="J177" i="5"/>
  <c r="H177" i="5"/>
  <c r="F177" i="5"/>
  <c r="L177" i="5" s="1"/>
  <c r="K176" i="5"/>
  <c r="J176" i="5"/>
  <c r="H176" i="5"/>
  <c r="F176" i="5"/>
  <c r="L176" i="5" s="1"/>
  <c r="K175" i="5"/>
  <c r="J175" i="5"/>
  <c r="H175" i="5"/>
  <c r="F175" i="5"/>
  <c r="L175" i="5" s="1"/>
  <c r="L174" i="5"/>
  <c r="K174" i="5"/>
  <c r="J174" i="5"/>
  <c r="H174" i="5"/>
  <c r="F174" i="5"/>
  <c r="K173" i="5"/>
  <c r="J173" i="5"/>
  <c r="H173" i="5"/>
  <c r="F173" i="5"/>
  <c r="L173" i="5" s="1"/>
  <c r="K172" i="5"/>
  <c r="J172" i="5"/>
  <c r="H172" i="5"/>
  <c r="L172" i="5" s="1"/>
  <c r="F172" i="5"/>
  <c r="K171" i="5"/>
  <c r="J171" i="5"/>
  <c r="H171" i="5"/>
  <c r="F171" i="5"/>
  <c r="L171" i="5" s="1"/>
  <c r="K170" i="5"/>
  <c r="J170" i="5"/>
  <c r="H170" i="5"/>
  <c r="F170" i="5"/>
  <c r="L170" i="5" s="1"/>
  <c r="L169" i="5"/>
  <c r="K169" i="5"/>
  <c r="J169" i="5"/>
  <c r="H169" i="5"/>
  <c r="F169" i="5"/>
  <c r="K168" i="5"/>
  <c r="J168" i="5"/>
  <c r="H168" i="5"/>
  <c r="F168" i="5"/>
  <c r="L168" i="5" s="1"/>
  <c r="L167" i="5"/>
  <c r="K167" i="5"/>
  <c r="J167" i="5"/>
  <c r="H167" i="5"/>
  <c r="F167" i="5"/>
  <c r="K166" i="5"/>
  <c r="J166" i="5"/>
  <c r="H166" i="5"/>
  <c r="F166" i="5"/>
  <c r="L166" i="5" s="1"/>
  <c r="K165" i="5"/>
  <c r="J165" i="5"/>
  <c r="H165" i="5"/>
  <c r="F165" i="5"/>
  <c r="L165" i="5" s="1"/>
  <c r="L164" i="5"/>
  <c r="K164" i="5"/>
  <c r="J164" i="5"/>
  <c r="H164" i="5"/>
  <c r="F164" i="5"/>
  <c r="K163" i="5"/>
  <c r="J163" i="5"/>
  <c r="H163" i="5"/>
  <c r="F163" i="5"/>
  <c r="L163" i="5" s="1"/>
  <c r="L162" i="5"/>
  <c r="K162" i="5"/>
  <c r="J162" i="5"/>
  <c r="H162" i="5"/>
  <c r="F162" i="5"/>
  <c r="K161" i="5"/>
  <c r="J161" i="5"/>
  <c r="H161" i="5"/>
  <c r="F161" i="5"/>
  <c r="L161" i="5" s="1"/>
  <c r="K160" i="5"/>
  <c r="J160" i="5"/>
  <c r="H160" i="5"/>
  <c r="L160" i="5" s="1"/>
  <c r="F160" i="5"/>
  <c r="K159" i="5"/>
  <c r="J159" i="5"/>
  <c r="H159" i="5"/>
  <c r="F159" i="5"/>
  <c r="L159" i="5" s="1"/>
  <c r="K158" i="5"/>
  <c r="J158" i="5"/>
  <c r="H158" i="5"/>
  <c r="F158" i="5"/>
  <c r="L158" i="5" s="1"/>
  <c r="L157" i="5"/>
  <c r="K157" i="5"/>
  <c r="J157" i="5"/>
  <c r="H157" i="5"/>
  <c r="F157" i="5"/>
  <c r="K156" i="5"/>
  <c r="J156" i="5"/>
  <c r="H156" i="5"/>
  <c r="F156" i="5"/>
  <c r="L156" i="5" s="1"/>
  <c r="L155" i="5"/>
  <c r="K155" i="5"/>
  <c r="J155" i="5"/>
  <c r="H155" i="5"/>
  <c r="F155" i="5"/>
  <c r="K154" i="5"/>
  <c r="J154" i="5"/>
  <c r="H154" i="5"/>
  <c r="F154" i="5"/>
  <c r="L154" i="5" s="1"/>
  <c r="K153" i="5"/>
  <c r="J153" i="5"/>
  <c r="H153" i="5"/>
  <c r="F153" i="5"/>
  <c r="L153" i="5" s="1"/>
  <c r="L152" i="5"/>
  <c r="K152" i="5"/>
  <c r="J152" i="5"/>
  <c r="H152" i="5"/>
  <c r="F152" i="5"/>
  <c r="K151" i="5"/>
  <c r="J151" i="5"/>
  <c r="H151" i="5"/>
  <c r="F151" i="5"/>
  <c r="L151" i="5" s="1"/>
  <c r="L150" i="5"/>
  <c r="K150" i="5"/>
  <c r="J150" i="5"/>
  <c r="H150" i="5"/>
  <c r="F150" i="5"/>
  <c r="K149" i="5"/>
  <c r="J149" i="5"/>
  <c r="H149" i="5"/>
  <c r="F149" i="5"/>
  <c r="L149" i="5" s="1"/>
  <c r="K148" i="5"/>
  <c r="J148" i="5"/>
  <c r="J147" i="5" s="1"/>
  <c r="H148" i="5"/>
  <c r="H147" i="5" s="1"/>
  <c r="F148" i="5"/>
  <c r="F147" i="5" s="1"/>
  <c r="K146" i="5"/>
  <c r="J146" i="5"/>
  <c r="H146" i="5"/>
  <c r="H145" i="5" s="1"/>
  <c r="F146" i="5"/>
  <c r="F145" i="5" s="1"/>
  <c r="L145" i="5" s="1"/>
  <c r="J145" i="5"/>
  <c r="K144" i="5"/>
  <c r="J144" i="5"/>
  <c r="H144" i="5"/>
  <c r="F144" i="5"/>
  <c r="L144" i="5" s="1"/>
  <c r="K143" i="5"/>
  <c r="J143" i="5"/>
  <c r="H143" i="5"/>
  <c r="F143" i="5"/>
  <c r="L143" i="5" s="1"/>
  <c r="L142" i="5"/>
  <c r="K142" i="5"/>
  <c r="J142" i="5"/>
  <c r="H142" i="5"/>
  <c r="F142" i="5"/>
  <c r="K141" i="5"/>
  <c r="J141" i="5"/>
  <c r="H141" i="5"/>
  <c r="F141" i="5"/>
  <c r="L141" i="5" s="1"/>
  <c r="L140" i="5"/>
  <c r="K140" i="5"/>
  <c r="J140" i="5"/>
  <c r="H140" i="5"/>
  <c r="F140" i="5"/>
  <c r="K139" i="5"/>
  <c r="J139" i="5"/>
  <c r="H139" i="5"/>
  <c r="F139" i="5"/>
  <c r="L139" i="5" s="1"/>
  <c r="K138" i="5"/>
  <c r="J138" i="5"/>
  <c r="H138" i="5"/>
  <c r="L138" i="5" s="1"/>
  <c r="F138" i="5"/>
  <c r="K137" i="5"/>
  <c r="J137" i="5"/>
  <c r="H137" i="5"/>
  <c r="F137" i="5"/>
  <c r="L137" i="5" s="1"/>
  <c r="K136" i="5"/>
  <c r="J136" i="5"/>
  <c r="H136" i="5"/>
  <c r="F136" i="5"/>
  <c r="L136" i="5" s="1"/>
  <c r="L135" i="5"/>
  <c r="K135" i="5"/>
  <c r="J135" i="5"/>
  <c r="H135" i="5"/>
  <c r="F135" i="5"/>
  <c r="K134" i="5"/>
  <c r="J134" i="5"/>
  <c r="H134" i="5"/>
  <c r="F134" i="5"/>
  <c r="L134" i="5" s="1"/>
  <c r="L133" i="5"/>
  <c r="K133" i="5"/>
  <c r="J133" i="5"/>
  <c r="H133" i="5"/>
  <c r="F133" i="5"/>
  <c r="K132" i="5"/>
  <c r="J132" i="5"/>
  <c r="H132" i="5"/>
  <c r="F132" i="5"/>
  <c r="L132" i="5" s="1"/>
  <c r="K131" i="5"/>
  <c r="J131" i="5"/>
  <c r="H131" i="5"/>
  <c r="F131" i="5"/>
  <c r="L131" i="5" s="1"/>
  <c r="L130" i="5"/>
  <c r="K130" i="5"/>
  <c r="J130" i="5"/>
  <c r="H130" i="5"/>
  <c r="F130" i="5"/>
  <c r="K129" i="5"/>
  <c r="J129" i="5"/>
  <c r="H129" i="5"/>
  <c r="F129" i="5"/>
  <c r="L129" i="5" s="1"/>
  <c r="L128" i="5"/>
  <c r="K128" i="5"/>
  <c r="J128" i="5"/>
  <c r="H128" i="5"/>
  <c r="F128" i="5"/>
  <c r="K127" i="5"/>
  <c r="J127" i="5"/>
  <c r="H127" i="5"/>
  <c r="F127" i="5"/>
  <c r="L127" i="5" s="1"/>
  <c r="K126" i="5"/>
  <c r="J126" i="5"/>
  <c r="H126" i="5"/>
  <c r="L126" i="5" s="1"/>
  <c r="F126" i="5"/>
  <c r="K125" i="5"/>
  <c r="J125" i="5"/>
  <c r="H125" i="5"/>
  <c r="F125" i="5"/>
  <c r="L125" i="5" s="1"/>
  <c r="K124" i="5"/>
  <c r="J124" i="5"/>
  <c r="H124" i="5"/>
  <c r="F124" i="5"/>
  <c r="L124" i="5" s="1"/>
  <c r="L123" i="5"/>
  <c r="K123" i="5"/>
  <c r="J123" i="5"/>
  <c r="H123" i="5"/>
  <c r="F123" i="5"/>
  <c r="K122" i="5"/>
  <c r="J122" i="5"/>
  <c r="H122" i="5"/>
  <c r="F122" i="5"/>
  <c r="L122" i="5" s="1"/>
  <c r="L121" i="5"/>
  <c r="K121" i="5"/>
  <c r="J121" i="5"/>
  <c r="H121" i="5"/>
  <c r="F121" i="5"/>
  <c r="K120" i="5"/>
  <c r="J120" i="5"/>
  <c r="H120" i="5"/>
  <c r="F120" i="5"/>
  <c r="L120" i="5" s="1"/>
  <c r="K119" i="5"/>
  <c r="J119" i="5"/>
  <c r="H119" i="5"/>
  <c r="F119" i="5"/>
  <c r="L119" i="5" s="1"/>
  <c r="L118" i="5"/>
  <c r="K118" i="5"/>
  <c r="J118" i="5"/>
  <c r="H118" i="5"/>
  <c r="F118" i="5"/>
  <c r="K117" i="5"/>
  <c r="J117" i="5"/>
  <c r="H117" i="5"/>
  <c r="F117" i="5"/>
  <c r="L117" i="5" s="1"/>
  <c r="L116" i="5"/>
  <c r="K116" i="5"/>
  <c r="J116" i="5"/>
  <c r="H116" i="5"/>
  <c r="F116" i="5"/>
  <c r="K115" i="5"/>
  <c r="J115" i="5"/>
  <c r="H115" i="5"/>
  <c r="F115" i="5"/>
  <c r="L115" i="5" s="1"/>
  <c r="K114" i="5"/>
  <c r="J114" i="5"/>
  <c r="H114" i="5"/>
  <c r="L114" i="5" s="1"/>
  <c r="F114" i="5"/>
  <c r="K113" i="5"/>
  <c r="J113" i="5"/>
  <c r="H113" i="5"/>
  <c r="F113" i="5"/>
  <c r="L113" i="5" s="1"/>
  <c r="K112" i="5"/>
  <c r="J112" i="5"/>
  <c r="H112" i="5"/>
  <c r="F112" i="5"/>
  <c r="L112" i="5" s="1"/>
  <c r="L111" i="5"/>
  <c r="K111" i="5"/>
  <c r="J111" i="5"/>
  <c r="H111" i="5"/>
  <c r="F111" i="5"/>
  <c r="K110" i="5"/>
  <c r="J110" i="5"/>
  <c r="H110" i="5"/>
  <c r="F110" i="5"/>
  <c r="L110" i="5" s="1"/>
  <c r="L109" i="5"/>
  <c r="K109" i="5"/>
  <c r="J109" i="5"/>
  <c r="H109" i="5"/>
  <c r="F109" i="5"/>
  <c r="K108" i="5"/>
  <c r="J108" i="5"/>
  <c r="H108" i="5"/>
  <c r="F108" i="5"/>
  <c r="L108" i="5" s="1"/>
  <c r="K107" i="5"/>
  <c r="J107" i="5"/>
  <c r="H107" i="5"/>
  <c r="F107" i="5"/>
  <c r="L107" i="5" s="1"/>
  <c r="L106" i="5"/>
  <c r="K106" i="5"/>
  <c r="J106" i="5"/>
  <c r="H106" i="5"/>
  <c r="F106" i="5"/>
  <c r="K105" i="5"/>
  <c r="J105" i="5"/>
  <c r="H105" i="5"/>
  <c r="F105" i="5"/>
  <c r="L105" i="5" s="1"/>
  <c r="L104" i="5"/>
  <c r="K104" i="5"/>
  <c r="J104" i="5"/>
  <c r="H104" i="5"/>
  <c r="F104" i="5"/>
  <c r="K103" i="5"/>
  <c r="J103" i="5"/>
  <c r="H103" i="5"/>
  <c r="F103" i="5"/>
  <c r="L103" i="5" s="1"/>
  <c r="K102" i="5"/>
  <c r="J102" i="5"/>
  <c r="J101" i="5" s="1"/>
  <c r="H102" i="5"/>
  <c r="H101" i="5" s="1"/>
  <c r="F102" i="5"/>
  <c r="F101" i="5" s="1"/>
  <c r="K100" i="5"/>
  <c r="J100" i="5"/>
  <c r="H100" i="5"/>
  <c r="F100" i="5"/>
  <c r="L100" i="5" s="1"/>
  <c r="L99" i="5"/>
  <c r="K99" i="5"/>
  <c r="J99" i="5"/>
  <c r="H99" i="5"/>
  <c r="F99" i="5"/>
  <c r="K98" i="5"/>
  <c r="J98" i="5"/>
  <c r="H98" i="5"/>
  <c r="F98" i="5"/>
  <c r="L98" i="5" s="1"/>
  <c r="K97" i="5"/>
  <c r="J97" i="5"/>
  <c r="H97" i="5"/>
  <c r="L97" i="5" s="1"/>
  <c r="F97" i="5"/>
  <c r="K96" i="5"/>
  <c r="J96" i="5"/>
  <c r="H96" i="5"/>
  <c r="F96" i="5"/>
  <c r="L96" i="5" s="1"/>
  <c r="K95" i="5"/>
  <c r="J95" i="5"/>
  <c r="H95" i="5"/>
  <c r="F95" i="5"/>
  <c r="L95" i="5" s="1"/>
  <c r="L94" i="5"/>
  <c r="K94" i="5"/>
  <c r="J94" i="5"/>
  <c r="H94" i="5"/>
  <c r="F94" i="5"/>
  <c r="K93" i="5"/>
  <c r="J93" i="5"/>
  <c r="H93" i="5"/>
  <c r="F93" i="5"/>
  <c r="L93" i="5" s="1"/>
  <c r="L92" i="5"/>
  <c r="K92" i="5"/>
  <c r="J92" i="5"/>
  <c r="H92" i="5"/>
  <c r="F92" i="5"/>
  <c r="K91" i="5"/>
  <c r="J91" i="5"/>
  <c r="H91" i="5"/>
  <c r="F91" i="5"/>
  <c r="L91" i="5" s="1"/>
  <c r="K90" i="5"/>
  <c r="J90" i="5"/>
  <c r="H90" i="5"/>
  <c r="F90" i="5"/>
  <c r="L90" i="5" s="1"/>
  <c r="L89" i="5"/>
  <c r="K89" i="5"/>
  <c r="J89" i="5"/>
  <c r="H89" i="5"/>
  <c r="F89" i="5"/>
  <c r="K88" i="5"/>
  <c r="J88" i="5"/>
  <c r="H88" i="5"/>
  <c r="F88" i="5"/>
  <c r="L88" i="5" s="1"/>
  <c r="L87" i="5"/>
  <c r="K87" i="5"/>
  <c r="J87" i="5"/>
  <c r="H87" i="5"/>
  <c r="F87" i="5"/>
  <c r="K86" i="5"/>
  <c r="J86" i="5"/>
  <c r="H86" i="5"/>
  <c r="F86" i="5"/>
  <c r="L86" i="5" s="1"/>
  <c r="K85" i="5"/>
  <c r="J85" i="5"/>
  <c r="H85" i="5"/>
  <c r="L85" i="5" s="1"/>
  <c r="F85" i="5"/>
  <c r="K84" i="5"/>
  <c r="J84" i="5"/>
  <c r="H84" i="5"/>
  <c r="F84" i="5"/>
  <c r="L84" i="5" s="1"/>
  <c r="K83" i="5"/>
  <c r="J83" i="5"/>
  <c r="H83" i="5"/>
  <c r="F83" i="5"/>
  <c r="L83" i="5" s="1"/>
  <c r="L82" i="5"/>
  <c r="K82" i="5"/>
  <c r="J82" i="5"/>
  <c r="H82" i="5"/>
  <c r="F82" i="5"/>
  <c r="K81" i="5"/>
  <c r="J81" i="5"/>
  <c r="H81" i="5"/>
  <c r="F81" i="5"/>
  <c r="L81" i="5" s="1"/>
  <c r="L80" i="5"/>
  <c r="K80" i="5"/>
  <c r="J80" i="5"/>
  <c r="H80" i="5"/>
  <c r="F80" i="5"/>
  <c r="K79" i="5"/>
  <c r="J79" i="5"/>
  <c r="H79" i="5"/>
  <c r="F79" i="5"/>
  <c r="L79" i="5" s="1"/>
  <c r="K78" i="5"/>
  <c r="J78" i="5"/>
  <c r="J76" i="5" s="1"/>
  <c r="H78" i="5"/>
  <c r="H76" i="5" s="1"/>
  <c r="F78" i="5"/>
  <c r="L78" i="5" s="1"/>
  <c r="L77" i="5"/>
  <c r="K77" i="5"/>
  <c r="J77" i="5"/>
  <c r="H77" i="5"/>
  <c r="F77" i="5"/>
  <c r="L75" i="5"/>
  <c r="K75" i="5"/>
  <c r="J75" i="5"/>
  <c r="H75" i="5"/>
  <c r="F75" i="5"/>
  <c r="K74" i="5"/>
  <c r="J74" i="5"/>
  <c r="H74" i="5"/>
  <c r="F74" i="5"/>
  <c r="L74" i="5" s="1"/>
  <c r="K73" i="5"/>
  <c r="J73" i="5"/>
  <c r="H73" i="5"/>
  <c r="F73" i="5"/>
  <c r="L73" i="5" s="1"/>
  <c r="L72" i="5"/>
  <c r="K72" i="5"/>
  <c r="J72" i="5"/>
  <c r="H72" i="5"/>
  <c r="F72" i="5"/>
  <c r="K71" i="5"/>
  <c r="J71" i="5"/>
  <c r="H71" i="5"/>
  <c r="F71" i="5"/>
  <c r="L71" i="5" s="1"/>
  <c r="L70" i="5"/>
  <c r="K70" i="5"/>
  <c r="J70" i="5"/>
  <c r="H70" i="5"/>
  <c r="F70" i="5"/>
  <c r="K69" i="5"/>
  <c r="J69" i="5"/>
  <c r="H69" i="5"/>
  <c r="F69" i="5"/>
  <c r="L69" i="5" s="1"/>
  <c r="K68" i="5"/>
  <c r="J68" i="5"/>
  <c r="H68" i="5"/>
  <c r="L68" i="5" s="1"/>
  <c r="F68" i="5"/>
  <c r="K67" i="5"/>
  <c r="J67" i="5"/>
  <c r="H67" i="5"/>
  <c r="F67" i="5"/>
  <c r="L67" i="5" s="1"/>
  <c r="K66" i="5"/>
  <c r="J66" i="5"/>
  <c r="H66" i="5"/>
  <c r="F66" i="5"/>
  <c r="L66" i="5" s="1"/>
  <c r="L65" i="5"/>
  <c r="K65" i="5"/>
  <c r="J65" i="5"/>
  <c r="H65" i="5"/>
  <c r="F65" i="5"/>
  <c r="K64" i="5"/>
  <c r="J64" i="5"/>
  <c r="H64" i="5"/>
  <c r="F64" i="5"/>
  <c r="L64" i="5" s="1"/>
  <c r="L63" i="5"/>
  <c r="K63" i="5"/>
  <c r="J63" i="5"/>
  <c r="H63" i="5"/>
  <c r="F63" i="5"/>
  <c r="K62" i="5"/>
  <c r="J62" i="5"/>
  <c r="H62" i="5"/>
  <c r="F62" i="5"/>
  <c r="L62" i="5" s="1"/>
  <c r="K61" i="5"/>
  <c r="J61" i="5"/>
  <c r="H61" i="5"/>
  <c r="F61" i="5"/>
  <c r="L61" i="5" s="1"/>
  <c r="L60" i="5"/>
  <c r="K60" i="5"/>
  <c r="J60" i="5"/>
  <c r="H60" i="5"/>
  <c r="F60" i="5"/>
  <c r="K59" i="5"/>
  <c r="J59" i="5"/>
  <c r="H59" i="5"/>
  <c r="F59" i="5"/>
  <c r="L59" i="5" s="1"/>
  <c r="L58" i="5"/>
  <c r="K58" i="5"/>
  <c r="J58" i="5"/>
  <c r="H58" i="5"/>
  <c r="F58" i="5"/>
  <c r="K57" i="5"/>
  <c r="J57" i="5"/>
  <c r="H57" i="5"/>
  <c r="F57" i="5"/>
  <c r="L57" i="5" s="1"/>
  <c r="K56" i="5"/>
  <c r="J56" i="5"/>
  <c r="H56" i="5"/>
  <c r="L56" i="5" s="1"/>
  <c r="F56" i="5"/>
  <c r="K55" i="5"/>
  <c r="J55" i="5"/>
  <c r="H55" i="5"/>
  <c r="F55" i="5"/>
  <c r="L55" i="5" s="1"/>
  <c r="K54" i="5"/>
  <c r="J54" i="5"/>
  <c r="H54" i="5"/>
  <c r="F54" i="5"/>
  <c r="L54" i="5" s="1"/>
  <c r="L53" i="5"/>
  <c r="K53" i="5"/>
  <c r="J53" i="5"/>
  <c r="H53" i="5"/>
  <c r="F53" i="5"/>
  <c r="K52" i="5"/>
  <c r="J52" i="5"/>
  <c r="H52" i="5"/>
  <c r="F52" i="5"/>
  <c r="L52" i="5" s="1"/>
  <c r="L51" i="5"/>
  <c r="K51" i="5"/>
  <c r="J51" i="5"/>
  <c r="H51" i="5"/>
  <c r="F51" i="5"/>
  <c r="K50" i="5"/>
  <c r="J50" i="5"/>
  <c r="H50" i="5"/>
  <c r="F50" i="5"/>
  <c r="L50" i="5" s="1"/>
  <c r="K49" i="5"/>
  <c r="J49" i="5"/>
  <c r="H49" i="5"/>
  <c r="F49" i="5"/>
  <c r="L49" i="5" s="1"/>
  <c r="L48" i="5"/>
  <c r="K48" i="5"/>
  <c r="J48" i="5"/>
  <c r="H48" i="5"/>
  <c r="F48" i="5"/>
  <c r="K47" i="5"/>
  <c r="J47" i="5"/>
  <c r="H47" i="5"/>
  <c r="F47" i="5"/>
  <c r="L47" i="5" s="1"/>
  <c r="L46" i="5"/>
  <c r="K46" i="5"/>
  <c r="J46" i="5"/>
  <c r="H46" i="5"/>
  <c r="F46" i="5"/>
  <c r="K45" i="5"/>
  <c r="J45" i="5"/>
  <c r="H45" i="5"/>
  <c r="F45" i="5"/>
  <c r="L45" i="5" s="1"/>
  <c r="K44" i="5"/>
  <c r="J44" i="5"/>
  <c r="J43" i="5" s="1"/>
  <c r="H44" i="5"/>
  <c r="H43" i="5" s="1"/>
  <c r="F44" i="5"/>
  <c r="F43" i="5" s="1"/>
  <c r="K42" i="5"/>
  <c r="J42" i="5"/>
  <c r="H42" i="5"/>
  <c r="F42" i="5"/>
  <c r="L42" i="5" s="1"/>
  <c r="L41" i="5"/>
  <c r="K41" i="5"/>
  <c r="J41" i="5"/>
  <c r="H41" i="5"/>
  <c r="F41" i="5"/>
  <c r="K40" i="5"/>
  <c r="J40" i="5"/>
  <c r="H40" i="5"/>
  <c r="F40" i="5"/>
  <c r="L40" i="5" s="1"/>
  <c r="K39" i="5"/>
  <c r="J39" i="5"/>
  <c r="H39" i="5"/>
  <c r="L39" i="5" s="1"/>
  <c r="F39" i="5"/>
  <c r="K38" i="5"/>
  <c r="J38" i="5"/>
  <c r="H38" i="5"/>
  <c r="F38" i="5"/>
  <c r="L38" i="5" s="1"/>
  <c r="K37" i="5"/>
  <c r="J37" i="5"/>
  <c r="H37" i="5"/>
  <c r="F37" i="5"/>
  <c r="L37" i="5" s="1"/>
  <c r="L36" i="5"/>
  <c r="K36" i="5"/>
  <c r="J36" i="5"/>
  <c r="H36" i="5"/>
  <c r="F36" i="5"/>
  <c r="K35" i="5"/>
  <c r="J35" i="5"/>
  <c r="H35" i="5"/>
  <c r="F35" i="5"/>
  <c r="L35" i="5" s="1"/>
  <c r="L34" i="5"/>
  <c r="K34" i="5"/>
  <c r="J34" i="5"/>
  <c r="H34" i="5"/>
  <c r="F34" i="5"/>
  <c r="K33" i="5"/>
  <c r="J33" i="5"/>
  <c r="H33" i="5"/>
  <c r="F33" i="5"/>
  <c r="L33" i="5" s="1"/>
  <c r="K32" i="5"/>
  <c r="J32" i="5"/>
  <c r="H32" i="5"/>
  <c r="F32" i="5"/>
  <c r="L32" i="5" s="1"/>
  <c r="L31" i="5"/>
  <c r="K31" i="5"/>
  <c r="J31" i="5"/>
  <c r="H31" i="5"/>
  <c r="F31" i="5"/>
  <c r="K30" i="5"/>
  <c r="J30" i="5"/>
  <c r="H30" i="5"/>
  <c r="F30" i="5"/>
  <c r="L30" i="5" s="1"/>
  <c r="L29" i="5"/>
  <c r="K29" i="5"/>
  <c r="J29" i="5"/>
  <c r="H29" i="5"/>
  <c r="F29" i="5"/>
  <c r="K28" i="5"/>
  <c r="J28" i="5"/>
  <c r="H28" i="5"/>
  <c r="F28" i="5"/>
  <c r="L28" i="5" s="1"/>
  <c r="K27" i="5"/>
  <c r="J27" i="5"/>
  <c r="H27" i="5"/>
  <c r="F27" i="5"/>
  <c r="L27" i="5" s="1"/>
  <c r="K26" i="5"/>
  <c r="J26" i="5"/>
  <c r="H26" i="5"/>
  <c r="F26" i="5"/>
  <c r="L26" i="5" s="1"/>
  <c r="K25" i="5"/>
  <c r="J25" i="5"/>
  <c r="H25" i="5"/>
  <c r="F25" i="5"/>
  <c r="L25" i="5" s="1"/>
  <c r="L24" i="5"/>
  <c r="K24" i="5"/>
  <c r="J24" i="5"/>
  <c r="H24" i="5"/>
  <c r="F24" i="5"/>
  <c r="K23" i="5"/>
  <c r="J23" i="5"/>
  <c r="H23" i="5"/>
  <c r="F23" i="5"/>
  <c r="L23" i="5" s="1"/>
  <c r="L22" i="5"/>
  <c r="K22" i="5"/>
  <c r="J22" i="5"/>
  <c r="H22" i="5"/>
  <c r="F22" i="5"/>
  <c r="K21" i="5"/>
  <c r="J21" i="5"/>
  <c r="H21" i="5"/>
  <c r="F21" i="5"/>
  <c r="L21" i="5" s="1"/>
  <c r="K20" i="5"/>
  <c r="J20" i="5"/>
  <c r="H20" i="5"/>
  <c r="F20" i="5"/>
  <c r="L20" i="5" s="1"/>
  <c r="L19" i="5"/>
  <c r="K19" i="5"/>
  <c r="J19" i="5"/>
  <c r="H19" i="5"/>
  <c r="F19" i="5"/>
  <c r="K18" i="5"/>
  <c r="J18" i="5"/>
  <c r="H18" i="5"/>
  <c r="F18" i="5"/>
  <c r="L18" i="5" s="1"/>
  <c r="L17" i="5"/>
  <c r="K17" i="5"/>
  <c r="J17" i="5"/>
  <c r="H17" i="5"/>
  <c r="F17" i="5"/>
  <c r="K16" i="5"/>
  <c r="J16" i="5"/>
  <c r="H16" i="5"/>
  <c r="F16" i="5"/>
  <c r="L16" i="5" s="1"/>
  <c r="K15" i="5"/>
  <c r="J15" i="5"/>
  <c r="H15" i="5"/>
  <c r="L15" i="5" s="1"/>
  <c r="F15" i="5"/>
  <c r="K14" i="5"/>
  <c r="J14" i="5"/>
  <c r="H14" i="5"/>
  <c r="F14" i="5"/>
  <c r="L14" i="5" s="1"/>
  <c r="K13" i="5"/>
  <c r="J13" i="5"/>
  <c r="H13" i="5"/>
  <c r="H3" i="5" s="1"/>
  <c r="H220" i="5" s="1"/>
  <c r="F13" i="5"/>
  <c r="L13" i="5" s="1"/>
  <c r="L12" i="5"/>
  <c r="K12" i="5"/>
  <c r="J12" i="5"/>
  <c r="H12" i="5"/>
  <c r="F12" i="5"/>
  <c r="K11" i="5"/>
  <c r="J11" i="5"/>
  <c r="H11" i="5"/>
  <c r="F11" i="5"/>
  <c r="L11" i="5" s="1"/>
  <c r="L10" i="5"/>
  <c r="K10" i="5"/>
  <c r="J10" i="5"/>
  <c r="H10" i="5"/>
  <c r="F10" i="5"/>
  <c r="K9" i="5"/>
  <c r="J9" i="5"/>
  <c r="H9" i="5"/>
  <c r="F9" i="5"/>
  <c r="L9" i="5" s="1"/>
  <c r="K8" i="5"/>
  <c r="J8" i="5"/>
  <c r="H8" i="5"/>
  <c r="F8" i="5"/>
  <c r="L8" i="5" s="1"/>
  <c r="L7" i="5"/>
  <c r="K7" i="5"/>
  <c r="J7" i="5"/>
  <c r="H7" i="5"/>
  <c r="F7" i="5"/>
  <c r="K6" i="5"/>
  <c r="J6" i="5"/>
  <c r="H6" i="5"/>
  <c r="F6" i="5"/>
  <c r="F3" i="5" s="1"/>
  <c r="L5" i="5"/>
  <c r="K5" i="5"/>
  <c r="J5" i="5"/>
  <c r="H5" i="5"/>
  <c r="F5" i="5"/>
  <c r="K4" i="5"/>
  <c r="J4" i="5"/>
  <c r="H4" i="5"/>
  <c r="F4" i="5"/>
  <c r="L4" i="5" s="1"/>
  <c r="J3" i="5"/>
  <c r="K1473" i="4"/>
  <c r="J1473" i="4"/>
  <c r="J1471" i="4" s="1"/>
  <c r="J1474" i="4" s="1"/>
  <c r="H1473" i="4"/>
  <c r="L1473" i="4" s="1"/>
  <c r="F1473" i="4"/>
  <c r="K1472" i="4"/>
  <c r="J1472" i="4"/>
  <c r="H1472" i="4"/>
  <c r="F1472" i="4"/>
  <c r="L1472" i="4" s="1"/>
  <c r="H1471" i="4"/>
  <c r="H1474" i="4" s="1"/>
  <c r="F1471" i="4"/>
  <c r="K1467" i="4"/>
  <c r="J1467" i="4"/>
  <c r="H1467" i="4"/>
  <c r="F1467" i="4"/>
  <c r="L1467" i="4" s="1"/>
  <c r="K1466" i="4"/>
  <c r="J1466" i="4"/>
  <c r="H1466" i="4"/>
  <c r="F1466" i="4"/>
  <c r="L1466" i="4" s="1"/>
  <c r="L1465" i="4"/>
  <c r="K1465" i="4"/>
  <c r="J1465" i="4"/>
  <c r="H1465" i="4"/>
  <c r="F1465" i="4"/>
  <c r="K1464" i="4"/>
  <c r="J1464" i="4"/>
  <c r="H1464" i="4"/>
  <c r="F1464" i="4"/>
  <c r="L1464" i="4" s="1"/>
  <c r="L1463" i="4"/>
  <c r="K1463" i="4"/>
  <c r="J1463" i="4"/>
  <c r="H1463" i="4"/>
  <c r="F1463" i="4"/>
  <c r="K1462" i="4"/>
  <c r="J1462" i="4"/>
  <c r="H1462" i="4"/>
  <c r="F1462" i="4"/>
  <c r="L1462" i="4" s="1"/>
  <c r="K1461" i="4"/>
  <c r="J1461" i="4"/>
  <c r="H1461" i="4"/>
  <c r="L1461" i="4" s="1"/>
  <c r="F1461" i="4"/>
  <c r="K1460" i="4"/>
  <c r="J1460" i="4"/>
  <c r="H1460" i="4"/>
  <c r="F1460" i="4"/>
  <c r="L1460" i="4" s="1"/>
  <c r="K1459" i="4"/>
  <c r="J1459" i="4"/>
  <c r="J1457" i="4" s="1"/>
  <c r="H1459" i="4"/>
  <c r="H1457" i="4" s="1"/>
  <c r="F1459" i="4"/>
  <c r="L1459" i="4" s="1"/>
  <c r="L1458" i="4"/>
  <c r="K1458" i="4"/>
  <c r="J1458" i="4"/>
  <c r="H1458" i="4"/>
  <c r="F1458" i="4"/>
  <c r="K1456" i="4"/>
  <c r="J1456" i="4"/>
  <c r="H1456" i="4"/>
  <c r="L1456" i="4" s="1"/>
  <c r="F1456" i="4"/>
  <c r="K1455" i="4"/>
  <c r="J1455" i="4"/>
  <c r="H1455" i="4"/>
  <c r="F1455" i="4"/>
  <c r="L1455" i="4" s="1"/>
  <c r="K1454" i="4"/>
  <c r="J1454" i="4"/>
  <c r="H1454" i="4"/>
  <c r="H1444" i="4" s="1"/>
  <c r="F1454" i="4"/>
  <c r="L1454" i="4" s="1"/>
  <c r="L1453" i="4"/>
  <c r="K1453" i="4"/>
  <c r="J1453" i="4"/>
  <c r="H1453" i="4"/>
  <c r="F1453" i="4"/>
  <c r="K1452" i="4"/>
  <c r="J1452" i="4"/>
  <c r="H1452" i="4"/>
  <c r="F1452" i="4"/>
  <c r="L1452" i="4" s="1"/>
  <c r="L1451" i="4"/>
  <c r="K1451" i="4"/>
  <c r="J1451" i="4"/>
  <c r="H1451" i="4"/>
  <c r="F1451" i="4"/>
  <c r="K1450" i="4"/>
  <c r="J1450" i="4"/>
  <c r="H1450" i="4"/>
  <c r="F1450" i="4"/>
  <c r="L1450" i="4" s="1"/>
  <c r="K1449" i="4"/>
  <c r="J1449" i="4"/>
  <c r="H1449" i="4"/>
  <c r="F1449" i="4"/>
  <c r="L1449" i="4" s="1"/>
  <c r="L1448" i="4"/>
  <c r="K1448" i="4"/>
  <c r="J1448" i="4"/>
  <c r="H1448" i="4"/>
  <c r="F1448" i="4"/>
  <c r="K1447" i="4"/>
  <c r="J1447" i="4"/>
  <c r="H1447" i="4"/>
  <c r="F1447" i="4"/>
  <c r="F1444" i="4" s="1"/>
  <c r="L1444" i="4" s="1"/>
  <c r="L1446" i="4"/>
  <c r="K1446" i="4"/>
  <c r="J1446" i="4"/>
  <c r="H1446" i="4"/>
  <c r="F1446" i="4"/>
  <c r="K1445" i="4"/>
  <c r="J1445" i="4"/>
  <c r="H1445" i="4"/>
  <c r="F1445" i="4"/>
  <c r="L1445" i="4" s="1"/>
  <c r="J1444" i="4"/>
  <c r="L1443" i="4"/>
  <c r="K1443" i="4"/>
  <c r="J1443" i="4"/>
  <c r="H1443" i="4"/>
  <c r="F1443" i="4"/>
  <c r="K1442" i="4"/>
  <c r="J1442" i="4"/>
  <c r="H1442" i="4"/>
  <c r="F1442" i="4"/>
  <c r="L1442" i="4" s="1"/>
  <c r="L1441" i="4"/>
  <c r="K1441" i="4"/>
  <c r="J1441" i="4"/>
  <c r="H1441" i="4"/>
  <c r="F1441" i="4"/>
  <c r="K1440" i="4"/>
  <c r="J1440" i="4"/>
  <c r="H1440" i="4"/>
  <c r="F1440" i="4"/>
  <c r="L1440" i="4" s="1"/>
  <c r="K1439" i="4"/>
  <c r="J1439" i="4"/>
  <c r="H1439" i="4"/>
  <c r="L1439" i="4" s="1"/>
  <c r="F1439" i="4"/>
  <c r="K1438" i="4"/>
  <c r="J1438" i="4"/>
  <c r="H1438" i="4"/>
  <c r="F1438" i="4"/>
  <c r="L1438" i="4" s="1"/>
  <c r="K1437" i="4"/>
  <c r="J1437" i="4"/>
  <c r="H1437" i="4"/>
  <c r="F1437" i="4"/>
  <c r="L1437" i="4" s="1"/>
  <c r="L1436" i="4"/>
  <c r="K1436" i="4"/>
  <c r="J1436" i="4"/>
  <c r="H1436" i="4"/>
  <c r="F1436" i="4"/>
  <c r="K1435" i="4"/>
  <c r="J1435" i="4"/>
  <c r="H1435" i="4"/>
  <c r="F1435" i="4"/>
  <c r="L1435" i="4" s="1"/>
  <c r="L1434" i="4"/>
  <c r="K1434" i="4"/>
  <c r="J1434" i="4"/>
  <c r="H1434" i="4"/>
  <c r="F1434" i="4"/>
  <c r="K1433" i="4"/>
  <c r="J1433" i="4"/>
  <c r="H1433" i="4"/>
  <c r="F1433" i="4"/>
  <c r="L1433" i="4" s="1"/>
  <c r="K1432" i="4"/>
  <c r="J1432" i="4"/>
  <c r="J1429" i="4" s="1"/>
  <c r="H1432" i="4"/>
  <c r="F1432" i="4"/>
  <c r="L1432" i="4" s="1"/>
  <c r="L1431" i="4"/>
  <c r="K1431" i="4"/>
  <c r="J1431" i="4"/>
  <c r="H1431" i="4"/>
  <c r="F1431" i="4"/>
  <c r="K1430" i="4"/>
  <c r="J1430" i="4"/>
  <c r="H1430" i="4"/>
  <c r="H1429" i="4" s="1"/>
  <c r="F1430" i="4"/>
  <c r="F1429" i="4" s="1"/>
  <c r="K1428" i="4"/>
  <c r="J1428" i="4"/>
  <c r="H1428" i="4"/>
  <c r="F1428" i="4"/>
  <c r="L1428" i="4" s="1"/>
  <c r="K1427" i="4"/>
  <c r="J1427" i="4"/>
  <c r="H1427" i="4"/>
  <c r="F1427" i="4"/>
  <c r="L1427" i="4" s="1"/>
  <c r="L1426" i="4"/>
  <c r="K1426" i="4"/>
  <c r="J1426" i="4"/>
  <c r="H1426" i="4"/>
  <c r="F1426" i="4"/>
  <c r="K1425" i="4"/>
  <c r="J1425" i="4"/>
  <c r="H1425" i="4"/>
  <c r="F1425" i="4"/>
  <c r="L1425" i="4" s="1"/>
  <c r="L1424" i="4"/>
  <c r="K1424" i="4"/>
  <c r="J1424" i="4"/>
  <c r="H1424" i="4"/>
  <c r="F1424" i="4"/>
  <c r="K1423" i="4"/>
  <c r="J1423" i="4"/>
  <c r="H1423" i="4"/>
  <c r="F1423" i="4"/>
  <c r="L1423" i="4" s="1"/>
  <c r="K1422" i="4"/>
  <c r="J1422" i="4"/>
  <c r="H1422" i="4"/>
  <c r="L1422" i="4" s="1"/>
  <c r="F1422" i="4"/>
  <c r="K1421" i="4"/>
  <c r="J1421" i="4"/>
  <c r="H1421" i="4"/>
  <c r="F1421" i="4"/>
  <c r="L1421" i="4" s="1"/>
  <c r="K1420" i="4"/>
  <c r="J1420" i="4"/>
  <c r="H1420" i="4"/>
  <c r="F1420" i="4"/>
  <c r="L1420" i="4" s="1"/>
  <c r="L1419" i="4"/>
  <c r="K1419" i="4"/>
  <c r="J1419" i="4"/>
  <c r="H1419" i="4"/>
  <c r="F1419" i="4"/>
  <c r="K1418" i="4"/>
  <c r="J1418" i="4"/>
  <c r="H1418" i="4"/>
  <c r="F1418" i="4"/>
  <c r="L1418" i="4" s="1"/>
  <c r="L1417" i="4"/>
  <c r="K1417" i="4"/>
  <c r="J1417" i="4"/>
  <c r="H1417" i="4"/>
  <c r="F1417" i="4"/>
  <c r="K1416" i="4"/>
  <c r="J1416" i="4"/>
  <c r="H1416" i="4"/>
  <c r="F1416" i="4"/>
  <c r="L1416" i="4" s="1"/>
  <c r="K1415" i="4"/>
  <c r="J1415" i="4"/>
  <c r="J1414" i="4" s="1"/>
  <c r="H1415" i="4"/>
  <c r="H1414" i="4" s="1"/>
  <c r="F1415" i="4"/>
  <c r="F1414" i="4" s="1"/>
  <c r="K1413" i="4"/>
  <c r="J1413" i="4"/>
  <c r="H1413" i="4"/>
  <c r="F1413" i="4"/>
  <c r="L1413" i="4" s="1"/>
  <c r="L1412" i="4"/>
  <c r="K1412" i="4"/>
  <c r="J1412" i="4"/>
  <c r="H1412" i="4"/>
  <c r="F1412" i="4"/>
  <c r="K1411" i="4"/>
  <c r="J1411" i="4"/>
  <c r="H1411" i="4"/>
  <c r="F1411" i="4"/>
  <c r="L1411" i="4" s="1"/>
  <c r="K1410" i="4"/>
  <c r="J1410" i="4"/>
  <c r="H1410" i="4"/>
  <c r="F1410" i="4"/>
  <c r="L1410" i="4" s="1"/>
  <c r="L1409" i="4"/>
  <c r="K1409" i="4"/>
  <c r="J1409" i="4"/>
  <c r="H1409" i="4"/>
  <c r="F1409" i="4"/>
  <c r="K1408" i="4"/>
  <c r="J1408" i="4"/>
  <c r="H1408" i="4"/>
  <c r="F1408" i="4"/>
  <c r="L1408" i="4" s="1"/>
  <c r="L1407" i="4"/>
  <c r="K1407" i="4"/>
  <c r="J1407" i="4"/>
  <c r="H1407" i="4"/>
  <c r="F1407" i="4"/>
  <c r="K1406" i="4"/>
  <c r="J1406" i="4"/>
  <c r="H1406" i="4"/>
  <c r="F1406" i="4"/>
  <c r="L1406" i="4" s="1"/>
  <c r="K1405" i="4"/>
  <c r="J1405" i="4"/>
  <c r="J1398" i="4" s="1"/>
  <c r="H1405" i="4"/>
  <c r="L1405" i="4" s="1"/>
  <c r="F1405" i="4"/>
  <c r="K1404" i="4"/>
  <c r="J1404" i="4"/>
  <c r="H1404" i="4"/>
  <c r="F1404" i="4"/>
  <c r="L1404" i="4" s="1"/>
  <c r="K1403" i="4"/>
  <c r="J1403" i="4"/>
  <c r="H1403" i="4"/>
  <c r="F1403" i="4"/>
  <c r="L1403" i="4" s="1"/>
  <c r="L1402" i="4"/>
  <c r="K1402" i="4"/>
  <c r="J1402" i="4"/>
  <c r="H1402" i="4"/>
  <c r="F1402" i="4"/>
  <c r="K1401" i="4"/>
  <c r="J1401" i="4"/>
  <c r="H1401" i="4"/>
  <c r="F1401" i="4"/>
  <c r="L1401" i="4" s="1"/>
  <c r="L1400" i="4"/>
  <c r="K1400" i="4"/>
  <c r="J1400" i="4"/>
  <c r="H1400" i="4"/>
  <c r="F1400" i="4"/>
  <c r="K1399" i="4"/>
  <c r="J1399" i="4"/>
  <c r="H1399" i="4"/>
  <c r="F1399" i="4"/>
  <c r="L1399" i="4" s="1"/>
  <c r="H1398" i="4"/>
  <c r="L1397" i="4"/>
  <c r="K1397" i="4"/>
  <c r="J1397" i="4"/>
  <c r="H1397" i="4"/>
  <c r="F1397" i="4"/>
  <c r="K1396" i="4"/>
  <c r="J1396" i="4"/>
  <c r="H1396" i="4"/>
  <c r="F1396" i="4"/>
  <c r="L1396" i="4" s="1"/>
  <c r="L1395" i="4"/>
  <c r="K1395" i="4"/>
  <c r="J1395" i="4"/>
  <c r="H1395" i="4"/>
  <c r="F1395" i="4"/>
  <c r="K1394" i="4"/>
  <c r="J1394" i="4"/>
  <c r="H1394" i="4"/>
  <c r="F1394" i="4"/>
  <c r="L1394" i="4" s="1"/>
  <c r="K1393" i="4"/>
  <c r="J1393" i="4"/>
  <c r="H1393" i="4"/>
  <c r="F1393" i="4"/>
  <c r="L1393" i="4" s="1"/>
  <c r="L1392" i="4"/>
  <c r="K1392" i="4"/>
  <c r="J1392" i="4"/>
  <c r="H1392" i="4"/>
  <c r="F1392" i="4"/>
  <c r="K1391" i="4"/>
  <c r="J1391" i="4"/>
  <c r="H1391" i="4"/>
  <c r="F1391" i="4"/>
  <c r="L1391" i="4" s="1"/>
  <c r="L1390" i="4"/>
  <c r="K1390" i="4"/>
  <c r="J1390" i="4"/>
  <c r="H1390" i="4"/>
  <c r="F1390" i="4"/>
  <c r="K1389" i="4"/>
  <c r="J1389" i="4"/>
  <c r="H1389" i="4"/>
  <c r="F1389" i="4"/>
  <c r="L1389" i="4" s="1"/>
  <c r="K1388" i="4"/>
  <c r="J1388" i="4"/>
  <c r="H1388" i="4"/>
  <c r="L1388" i="4" s="1"/>
  <c r="F1388" i="4"/>
  <c r="K1387" i="4"/>
  <c r="J1387" i="4"/>
  <c r="H1387" i="4"/>
  <c r="F1387" i="4"/>
  <c r="L1387" i="4" s="1"/>
  <c r="K1386" i="4"/>
  <c r="J1386" i="4"/>
  <c r="H1386" i="4"/>
  <c r="F1386" i="4"/>
  <c r="L1386" i="4" s="1"/>
  <c r="L1385" i="4"/>
  <c r="K1385" i="4"/>
  <c r="J1385" i="4"/>
  <c r="H1385" i="4"/>
  <c r="F1385" i="4"/>
  <c r="K1384" i="4"/>
  <c r="J1384" i="4"/>
  <c r="H1384" i="4"/>
  <c r="F1384" i="4"/>
  <c r="L1384" i="4" s="1"/>
  <c r="L1383" i="4"/>
  <c r="K1383" i="4"/>
  <c r="J1383" i="4"/>
  <c r="J1382" i="4" s="1"/>
  <c r="H1383" i="4"/>
  <c r="H1382" i="4" s="1"/>
  <c r="F1383" i="4"/>
  <c r="K1381" i="4"/>
  <c r="J1381" i="4"/>
  <c r="H1381" i="4"/>
  <c r="F1381" i="4"/>
  <c r="L1381" i="4" s="1"/>
  <c r="L1380" i="4"/>
  <c r="K1380" i="4"/>
  <c r="J1380" i="4"/>
  <c r="H1380" i="4"/>
  <c r="F1380" i="4"/>
  <c r="K1379" i="4"/>
  <c r="J1379" i="4"/>
  <c r="H1379" i="4"/>
  <c r="F1379" i="4"/>
  <c r="L1379" i="4" s="1"/>
  <c r="L1378" i="4"/>
  <c r="K1378" i="4"/>
  <c r="J1378" i="4"/>
  <c r="H1378" i="4"/>
  <c r="F1378" i="4"/>
  <c r="K1377" i="4"/>
  <c r="J1377" i="4"/>
  <c r="H1377" i="4"/>
  <c r="F1377" i="4"/>
  <c r="L1377" i="4" s="1"/>
  <c r="K1376" i="4"/>
  <c r="J1376" i="4"/>
  <c r="J1364" i="4" s="1"/>
  <c r="H1376" i="4"/>
  <c r="F1376" i="4"/>
  <c r="L1376" i="4" s="1"/>
  <c r="L1375" i="4"/>
  <c r="K1375" i="4"/>
  <c r="J1375" i="4"/>
  <c r="H1375" i="4"/>
  <c r="F1375" i="4"/>
  <c r="K1374" i="4"/>
  <c r="J1374" i="4"/>
  <c r="H1374" i="4"/>
  <c r="F1374" i="4"/>
  <c r="L1374" i="4" s="1"/>
  <c r="L1373" i="4"/>
  <c r="K1373" i="4"/>
  <c r="J1373" i="4"/>
  <c r="H1373" i="4"/>
  <c r="F1373" i="4"/>
  <c r="K1372" i="4"/>
  <c r="J1372" i="4"/>
  <c r="H1372" i="4"/>
  <c r="F1372" i="4"/>
  <c r="L1372" i="4" s="1"/>
  <c r="K1371" i="4"/>
  <c r="J1371" i="4"/>
  <c r="H1371" i="4"/>
  <c r="L1371" i="4" s="1"/>
  <c r="F1371" i="4"/>
  <c r="K1370" i="4"/>
  <c r="J1370" i="4"/>
  <c r="H1370" i="4"/>
  <c r="F1370" i="4"/>
  <c r="L1370" i="4" s="1"/>
  <c r="K1369" i="4"/>
  <c r="J1369" i="4"/>
  <c r="H1369" i="4"/>
  <c r="F1369" i="4"/>
  <c r="L1369" i="4" s="1"/>
  <c r="L1368" i="4"/>
  <c r="K1368" i="4"/>
  <c r="J1368" i="4"/>
  <c r="H1368" i="4"/>
  <c r="F1368" i="4"/>
  <c r="K1367" i="4"/>
  <c r="J1367" i="4"/>
  <c r="H1367" i="4"/>
  <c r="F1367" i="4"/>
  <c r="L1367" i="4" s="1"/>
  <c r="L1366" i="4"/>
  <c r="K1366" i="4"/>
  <c r="J1366" i="4"/>
  <c r="H1366" i="4"/>
  <c r="F1366" i="4"/>
  <c r="K1365" i="4"/>
  <c r="J1365" i="4"/>
  <c r="H1365" i="4"/>
  <c r="F1365" i="4"/>
  <c r="L1365" i="4" s="1"/>
  <c r="H1364" i="4"/>
  <c r="L1363" i="4"/>
  <c r="K1363" i="4"/>
  <c r="J1363" i="4"/>
  <c r="H1363" i="4"/>
  <c r="F1363" i="4"/>
  <c r="K1362" i="4"/>
  <c r="J1362" i="4"/>
  <c r="H1362" i="4"/>
  <c r="F1362" i="4"/>
  <c r="L1362" i="4" s="1"/>
  <c r="L1361" i="4"/>
  <c r="K1361" i="4"/>
  <c r="J1361" i="4"/>
  <c r="H1361" i="4"/>
  <c r="F1361" i="4"/>
  <c r="K1360" i="4"/>
  <c r="J1360" i="4"/>
  <c r="H1360" i="4"/>
  <c r="F1360" i="4"/>
  <c r="L1360" i="4" s="1"/>
  <c r="K1359" i="4"/>
  <c r="J1359" i="4"/>
  <c r="H1359" i="4"/>
  <c r="F1359" i="4"/>
  <c r="L1359" i="4" s="1"/>
  <c r="L1358" i="4"/>
  <c r="K1358" i="4"/>
  <c r="J1358" i="4"/>
  <c r="H1358" i="4"/>
  <c r="F1358" i="4"/>
  <c r="K1357" i="4"/>
  <c r="J1357" i="4"/>
  <c r="H1357" i="4"/>
  <c r="F1357" i="4"/>
  <c r="L1357" i="4" s="1"/>
  <c r="L1356" i="4"/>
  <c r="K1356" i="4"/>
  <c r="J1356" i="4"/>
  <c r="H1356" i="4"/>
  <c r="F1356" i="4"/>
  <c r="K1355" i="4"/>
  <c r="J1355" i="4"/>
  <c r="H1355" i="4"/>
  <c r="F1355" i="4"/>
  <c r="L1355" i="4" s="1"/>
  <c r="K1354" i="4"/>
  <c r="J1354" i="4"/>
  <c r="H1354" i="4"/>
  <c r="L1354" i="4" s="1"/>
  <c r="F1354" i="4"/>
  <c r="K1353" i="4"/>
  <c r="J1353" i="4"/>
  <c r="H1353" i="4"/>
  <c r="F1353" i="4"/>
  <c r="L1353" i="4" s="1"/>
  <c r="K1352" i="4"/>
  <c r="J1352" i="4"/>
  <c r="H1352" i="4"/>
  <c r="F1352" i="4"/>
  <c r="L1352" i="4" s="1"/>
  <c r="L1351" i="4"/>
  <c r="K1351" i="4"/>
  <c r="J1351" i="4"/>
  <c r="H1351" i="4"/>
  <c r="F1351" i="4"/>
  <c r="K1350" i="4"/>
  <c r="J1350" i="4"/>
  <c r="H1350" i="4"/>
  <c r="F1350" i="4"/>
  <c r="L1350" i="4" s="1"/>
  <c r="L1349" i="4"/>
  <c r="K1349" i="4"/>
  <c r="J1349" i="4"/>
  <c r="H1349" i="4"/>
  <c r="F1349" i="4"/>
  <c r="K1348" i="4"/>
  <c r="J1348" i="4"/>
  <c r="H1348" i="4"/>
  <c r="F1348" i="4"/>
  <c r="L1348" i="4" s="1"/>
  <c r="K1347" i="4"/>
  <c r="J1347" i="4"/>
  <c r="J1346" i="4" s="1"/>
  <c r="H1347" i="4"/>
  <c r="H1346" i="4" s="1"/>
  <c r="F1347" i="4"/>
  <c r="F1346" i="4" s="1"/>
  <c r="K1345" i="4"/>
  <c r="J1345" i="4"/>
  <c r="H1345" i="4"/>
  <c r="F1345" i="4"/>
  <c r="L1345" i="4" s="1"/>
  <c r="L1344" i="4"/>
  <c r="K1344" i="4"/>
  <c r="J1344" i="4"/>
  <c r="H1344" i="4"/>
  <c r="F1344" i="4"/>
  <c r="K1343" i="4"/>
  <c r="J1343" i="4"/>
  <c r="H1343" i="4"/>
  <c r="F1343" i="4"/>
  <c r="L1343" i="4" s="1"/>
  <c r="K1342" i="4"/>
  <c r="J1342" i="4"/>
  <c r="H1342" i="4"/>
  <c r="F1342" i="4"/>
  <c r="L1342" i="4" s="1"/>
  <c r="L1341" i="4"/>
  <c r="K1341" i="4"/>
  <c r="J1341" i="4"/>
  <c r="H1341" i="4"/>
  <c r="F1341" i="4"/>
  <c r="K1340" i="4"/>
  <c r="J1340" i="4"/>
  <c r="H1340" i="4"/>
  <c r="F1340" i="4"/>
  <c r="L1340" i="4" s="1"/>
  <c r="L1339" i="4"/>
  <c r="K1339" i="4"/>
  <c r="J1339" i="4"/>
  <c r="H1339" i="4"/>
  <c r="F1339" i="4"/>
  <c r="K1338" i="4"/>
  <c r="J1338" i="4"/>
  <c r="H1338" i="4"/>
  <c r="F1338" i="4"/>
  <c r="L1338" i="4" s="1"/>
  <c r="K1337" i="4"/>
  <c r="J1337" i="4"/>
  <c r="H1337" i="4"/>
  <c r="L1337" i="4" s="1"/>
  <c r="F1337" i="4"/>
  <c r="K1336" i="4"/>
  <c r="J1336" i="4"/>
  <c r="H1336" i="4"/>
  <c r="F1336" i="4"/>
  <c r="L1336" i="4" s="1"/>
  <c r="K1335" i="4"/>
  <c r="J1335" i="4"/>
  <c r="H1335" i="4"/>
  <c r="F1335" i="4"/>
  <c r="L1335" i="4" s="1"/>
  <c r="L1334" i="4"/>
  <c r="K1334" i="4"/>
  <c r="J1334" i="4"/>
  <c r="H1334" i="4"/>
  <c r="F1334" i="4"/>
  <c r="K1333" i="4"/>
  <c r="J1333" i="4"/>
  <c r="H1333" i="4"/>
  <c r="F1333" i="4"/>
  <c r="L1333" i="4" s="1"/>
  <c r="L1332" i="4"/>
  <c r="K1332" i="4"/>
  <c r="J1332" i="4"/>
  <c r="J1331" i="4" s="1"/>
  <c r="H1332" i="4"/>
  <c r="H1331" i="4" s="1"/>
  <c r="F1332" i="4"/>
  <c r="K1330" i="4"/>
  <c r="J1330" i="4"/>
  <c r="H1330" i="4"/>
  <c r="F1330" i="4"/>
  <c r="L1330" i="4" s="1"/>
  <c r="L1329" i="4"/>
  <c r="K1329" i="4"/>
  <c r="J1329" i="4"/>
  <c r="H1329" i="4"/>
  <c r="F1329" i="4"/>
  <c r="K1328" i="4"/>
  <c r="J1328" i="4"/>
  <c r="H1328" i="4"/>
  <c r="F1328" i="4"/>
  <c r="L1328" i="4" s="1"/>
  <c r="L1327" i="4"/>
  <c r="K1327" i="4"/>
  <c r="J1327" i="4"/>
  <c r="H1327" i="4"/>
  <c r="F1327" i="4"/>
  <c r="K1324" i="4"/>
  <c r="J1324" i="4"/>
  <c r="H1324" i="4"/>
  <c r="F1324" i="4"/>
  <c r="L1324" i="4" s="1"/>
  <c r="K1321" i="4"/>
  <c r="J1321" i="4"/>
  <c r="H1321" i="4"/>
  <c r="F1321" i="4"/>
  <c r="L1321" i="4" s="1"/>
  <c r="L1319" i="4"/>
  <c r="K1319" i="4"/>
  <c r="J1319" i="4"/>
  <c r="H1319" i="4"/>
  <c r="F1319" i="4"/>
  <c r="K1318" i="4"/>
  <c r="J1318" i="4"/>
  <c r="H1318" i="4"/>
  <c r="F1318" i="4"/>
  <c r="L1318" i="4" s="1"/>
  <c r="L1316" i="4"/>
  <c r="K1316" i="4"/>
  <c r="J1316" i="4"/>
  <c r="H1316" i="4"/>
  <c r="F1316" i="4"/>
  <c r="K1314" i="4"/>
  <c r="J1314" i="4"/>
  <c r="H1314" i="4"/>
  <c r="F1314" i="4"/>
  <c r="L1314" i="4" s="1"/>
  <c r="K1313" i="4"/>
  <c r="J1313" i="4"/>
  <c r="J1310" i="4" s="1"/>
  <c r="J1468" i="4" s="1"/>
  <c r="H1313" i="4"/>
  <c r="H1310" i="4" s="1"/>
  <c r="H1468" i="4" s="1"/>
  <c r="F1313" i="4"/>
  <c r="F1310" i="4" s="1"/>
  <c r="L1306" i="4"/>
  <c r="K1306" i="4"/>
  <c r="J1306" i="4"/>
  <c r="H1306" i="4"/>
  <c r="F1306" i="4"/>
  <c r="K1305" i="4"/>
  <c r="J1305" i="4"/>
  <c r="H1305" i="4"/>
  <c r="F1305" i="4"/>
  <c r="L1305" i="4" s="1"/>
  <c r="K1304" i="4"/>
  <c r="J1304" i="4"/>
  <c r="H1304" i="4"/>
  <c r="F1304" i="4"/>
  <c r="L1304" i="4" s="1"/>
  <c r="L1302" i="4"/>
  <c r="K1302" i="4"/>
  <c r="J1302" i="4"/>
  <c r="H1302" i="4"/>
  <c r="F1302" i="4"/>
  <c r="K1300" i="4"/>
  <c r="J1300" i="4"/>
  <c r="H1300" i="4"/>
  <c r="H1295" i="4" s="1"/>
  <c r="F1300" i="4"/>
  <c r="L1298" i="4"/>
  <c r="K1298" i="4"/>
  <c r="J1298" i="4"/>
  <c r="J1295" i="4" s="1"/>
  <c r="H1298" i="4"/>
  <c r="F1298" i="4"/>
  <c r="K1294" i="4"/>
  <c r="J1294" i="4"/>
  <c r="H1294" i="4"/>
  <c r="F1294" i="4"/>
  <c r="L1294" i="4" s="1"/>
  <c r="L1293" i="4"/>
  <c r="K1293" i="4"/>
  <c r="J1293" i="4"/>
  <c r="H1293" i="4"/>
  <c r="F1293" i="4"/>
  <c r="K1292" i="4"/>
  <c r="J1292" i="4"/>
  <c r="H1292" i="4"/>
  <c r="F1292" i="4"/>
  <c r="L1292" i="4" s="1"/>
  <c r="L1291" i="4"/>
  <c r="K1291" i="4"/>
  <c r="J1291" i="4"/>
  <c r="H1291" i="4"/>
  <c r="F1291" i="4"/>
  <c r="K1290" i="4"/>
  <c r="J1290" i="4"/>
  <c r="H1290" i="4"/>
  <c r="F1290" i="4"/>
  <c r="L1290" i="4" s="1"/>
  <c r="K1289" i="4"/>
  <c r="J1289" i="4"/>
  <c r="H1289" i="4"/>
  <c r="L1289" i="4" s="1"/>
  <c r="F1289" i="4"/>
  <c r="K1288" i="4"/>
  <c r="J1288" i="4"/>
  <c r="H1288" i="4"/>
  <c r="F1288" i="4"/>
  <c r="L1288" i="4" s="1"/>
  <c r="K1286" i="4"/>
  <c r="J1286" i="4"/>
  <c r="H1286" i="4"/>
  <c r="F1286" i="4"/>
  <c r="L1286" i="4" s="1"/>
  <c r="L1285" i="4"/>
  <c r="K1285" i="4"/>
  <c r="J1285" i="4"/>
  <c r="H1285" i="4"/>
  <c r="F1285" i="4"/>
  <c r="K1283" i="4"/>
  <c r="J1283" i="4"/>
  <c r="H1283" i="4"/>
  <c r="F1283" i="4"/>
  <c r="L1283" i="4" s="1"/>
  <c r="L1282" i="4"/>
  <c r="K1282" i="4"/>
  <c r="J1282" i="4"/>
  <c r="H1282" i="4"/>
  <c r="F1282" i="4"/>
  <c r="K1281" i="4"/>
  <c r="J1281" i="4"/>
  <c r="H1281" i="4"/>
  <c r="F1281" i="4"/>
  <c r="L1281" i="4" s="1"/>
  <c r="K1280" i="4"/>
  <c r="J1280" i="4"/>
  <c r="H1280" i="4"/>
  <c r="F1280" i="4"/>
  <c r="L1280" i="4" s="1"/>
  <c r="L1279" i="4"/>
  <c r="K1279" i="4"/>
  <c r="J1279" i="4"/>
  <c r="H1279" i="4"/>
  <c r="F1279" i="4"/>
  <c r="K1278" i="4"/>
  <c r="J1278" i="4"/>
  <c r="H1278" i="4"/>
  <c r="F1278" i="4"/>
  <c r="L1278" i="4" s="1"/>
  <c r="L1277" i="4"/>
  <c r="K1277" i="4"/>
  <c r="J1277" i="4"/>
  <c r="H1277" i="4"/>
  <c r="F1277" i="4"/>
  <c r="K1276" i="4"/>
  <c r="J1276" i="4"/>
  <c r="H1276" i="4"/>
  <c r="F1276" i="4"/>
  <c r="L1276" i="4" s="1"/>
  <c r="K1275" i="4"/>
  <c r="J1275" i="4"/>
  <c r="H1275" i="4"/>
  <c r="L1275" i="4" s="1"/>
  <c r="F1275" i="4"/>
  <c r="K1274" i="4"/>
  <c r="J1274" i="4"/>
  <c r="H1274" i="4"/>
  <c r="F1274" i="4"/>
  <c r="L1274" i="4" s="1"/>
  <c r="K1273" i="4"/>
  <c r="J1273" i="4"/>
  <c r="H1273" i="4"/>
  <c r="F1273" i="4"/>
  <c r="L1272" i="4"/>
  <c r="K1272" i="4"/>
  <c r="J1272" i="4"/>
  <c r="H1272" i="4"/>
  <c r="F1272" i="4"/>
  <c r="K1271" i="4"/>
  <c r="J1271" i="4"/>
  <c r="H1271" i="4"/>
  <c r="F1271" i="4"/>
  <c r="L1271" i="4" s="1"/>
  <c r="L1270" i="4"/>
  <c r="K1270" i="4"/>
  <c r="J1270" i="4"/>
  <c r="H1270" i="4"/>
  <c r="F1270" i="4"/>
  <c r="K1269" i="4"/>
  <c r="J1269" i="4"/>
  <c r="H1269" i="4"/>
  <c r="F1269" i="4"/>
  <c r="L1269" i="4" s="1"/>
  <c r="K1268" i="4"/>
  <c r="J1268" i="4"/>
  <c r="J1266" i="4" s="1"/>
  <c r="H1268" i="4"/>
  <c r="F1268" i="4"/>
  <c r="K1265" i="4"/>
  <c r="J1265" i="4"/>
  <c r="H1265" i="4"/>
  <c r="F1265" i="4"/>
  <c r="L1265" i="4" s="1"/>
  <c r="L1264" i="4"/>
  <c r="K1264" i="4"/>
  <c r="J1264" i="4"/>
  <c r="H1264" i="4"/>
  <c r="F1264" i="4"/>
  <c r="K1263" i="4"/>
  <c r="J1263" i="4"/>
  <c r="H1263" i="4"/>
  <c r="F1263" i="4"/>
  <c r="L1263" i="4" s="1"/>
  <c r="K1262" i="4"/>
  <c r="J1262" i="4"/>
  <c r="H1262" i="4"/>
  <c r="F1262" i="4"/>
  <c r="L1262" i="4" s="1"/>
  <c r="L1261" i="4"/>
  <c r="K1261" i="4"/>
  <c r="J1261" i="4"/>
  <c r="H1261" i="4"/>
  <c r="F1261" i="4"/>
  <c r="K1260" i="4"/>
  <c r="J1260" i="4"/>
  <c r="H1260" i="4"/>
  <c r="F1260" i="4"/>
  <c r="L1260" i="4" s="1"/>
  <c r="L1259" i="4"/>
  <c r="K1259" i="4"/>
  <c r="J1259" i="4"/>
  <c r="H1259" i="4"/>
  <c r="F1259" i="4"/>
  <c r="K1258" i="4"/>
  <c r="J1258" i="4"/>
  <c r="H1258" i="4"/>
  <c r="F1258" i="4"/>
  <c r="L1258" i="4" s="1"/>
  <c r="K1257" i="4"/>
  <c r="J1257" i="4"/>
  <c r="H1257" i="4"/>
  <c r="L1257" i="4" s="1"/>
  <c r="F1257" i="4"/>
  <c r="K1256" i="4"/>
  <c r="J1256" i="4"/>
  <c r="H1256" i="4"/>
  <c r="F1256" i="4"/>
  <c r="L1256" i="4" s="1"/>
  <c r="K1255" i="4"/>
  <c r="J1255" i="4"/>
  <c r="H1255" i="4"/>
  <c r="F1255" i="4"/>
  <c r="L1254" i="4"/>
  <c r="K1254" i="4"/>
  <c r="J1254" i="4"/>
  <c r="H1254" i="4"/>
  <c r="F1254" i="4"/>
  <c r="K1253" i="4"/>
  <c r="J1253" i="4"/>
  <c r="H1253" i="4"/>
  <c r="F1253" i="4"/>
  <c r="L1253" i="4" s="1"/>
  <c r="L1252" i="4"/>
  <c r="K1252" i="4"/>
  <c r="J1252" i="4"/>
  <c r="H1252" i="4"/>
  <c r="F1252" i="4"/>
  <c r="K1251" i="4"/>
  <c r="J1251" i="4"/>
  <c r="H1251" i="4"/>
  <c r="F1251" i="4"/>
  <c r="L1251" i="4" s="1"/>
  <c r="K1250" i="4"/>
  <c r="J1250" i="4"/>
  <c r="H1250" i="4"/>
  <c r="F1250" i="4"/>
  <c r="L1249" i="4"/>
  <c r="K1249" i="4"/>
  <c r="J1249" i="4"/>
  <c r="H1249" i="4"/>
  <c r="F1249" i="4"/>
  <c r="K1247" i="4"/>
  <c r="J1247" i="4"/>
  <c r="H1247" i="4"/>
  <c r="F1247" i="4"/>
  <c r="L1247" i="4" s="1"/>
  <c r="L1245" i="4"/>
  <c r="K1245" i="4"/>
  <c r="J1245" i="4"/>
  <c r="H1245" i="4"/>
  <c r="F1245" i="4"/>
  <c r="K1243" i="4"/>
  <c r="J1243" i="4"/>
  <c r="H1243" i="4"/>
  <c r="F1243" i="4"/>
  <c r="L1243" i="4" s="1"/>
  <c r="K1242" i="4"/>
  <c r="J1242" i="4"/>
  <c r="H1242" i="4"/>
  <c r="L1242" i="4" s="1"/>
  <c r="F1242" i="4"/>
  <c r="K1241" i="4"/>
  <c r="J1241" i="4"/>
  <c r="H1241" i="4"/>
  <c r="F1241" i="4"/>
  <c r="L1241" i="4" s="1"/>
  <c r="K1239" i="4"/>
  <c r="J1239" i="4"/>
  <c r="H1239" i="4"/>
  <c r="F1239" i="4"/>
  <c r="L1239" i="4" s="1"/>
  <c r="L1238" i="4"/>
  <c r="K1238" i="4"/>
  <c r="J1238" i="4"/>
  <c r="H1238" i="4"/>
  <c r="F1238" i="4"/>
  <c r="K1237" i="4"/>
  <c r="J1237" i="4"/>
  <c r="H1237" i="4"/>
  <c r="F1237" i="4"/>
  <c r="L1237" i="4" s="1"/>
  <c r="L1236" i="4"/>
  <c r="K1236" i="4"/>
  <c r="J1236" i="4"/>
  <c r="H1236" i="4"/>
  <c r="F1236" i="4"/>
  <c r="K1235" i="4"/>
  <c r="J1235" i="4"/>
  <c r="H1235" i="4"/>
  <c r="F1235" i="4"/>
  <c r="L1235" i="4" s="1"/>
  <c r="K1234" i="4"/>
  <c r="J1234" i="4"/>
  <c r="H1234" i="4"/>
  <c r="F1234" i="4"/>
  <c r="L1234" i="4" s="1"/>
  <c r="L1233" i="4"/>
  <c r="K1233" i="4"/>
  <c r="J1233" i="4"/>
  <c r="H1233" i="4"/>
  <c r="F1233" i="4"/>
  <c r="K1232" i="4"/>
  <c r="J1232" i="4"/>
  <c r="H1232" i="4"/>
  <c r="F1232" i="4"/>
  <c r="L1232" i="4" s="1"/>
  <c r="L1231" i="4"/>
  <c r="K1231" i="4"/>
  <c r="J1231" i="4"/>
  <c r="H1231" i="4"/>
  <c r="F1231" i="4"/>
  <c r="K1230" i="4"/>
  <c r="J1230" i="4"/>
  <c r="H1230" i="4"/>
  <c r="F1230" i="4"/>
  <c r="L1230" i="4" s="1"/>
  <c r="K1228" i="4"/>
  <c r="J1228" i="4"/>
  <c r="H1228" i="4"/>
  <c r="L1228" i="4" s="1"/>
  <c r="F1228" i="4"/>
  <c r="K1227" i="4"/>
  <c r="J1227" i="4"/>
  <c r="H1227" i="4"/>
  <c r="F1227" i="4"/>
  <c r="L1227" i="4" s="1"/>
  <c r="K1226" i="4"/>
  <c r="J1226" i="4"/>
  <c r="H1226" i="4"/>
  <c r="F1226" i="4"/>
  <c r="L1226" i="4" s="1"/>
  <c r="L1223" i="4"/>
  <c r="K1223" i="4"/>
  <c r="J1223" i="4"/>
  <c r="H1223" i="4"/>
  <c r="F1223" i="4"/>
  <c r="K1221" i="4"/>
  <c r="J1221" i="4"/>
  <c r="H1221" i="4"/>
  <c r="F1221" i="4"/>
  <c r="L1221" i="4" s="1"/>
  <c r="L1219" i="4"/>
  <c r="K1219" i="4"/>
  <c r="J1219" i="4"/>
  <c r="H1219" i="4"/>
  <c r="F1219" i="4"/>
  <c r="K1218" i="4"/>
  <c r="J1218" i="4"/>
  <c r="H1218" i="4"/>
  <c r="F1218" i="4"/>
  <c r="L1218" i="4" s="1"/>
  <c r="K1217" i="4"/>
  <c r="J1217" i="4"/>
  <c r="H1217" i="4"/>
  <c r="F1217" i="4"/>
  <c r="L1217" i="4" s="1"/>
  <c r="L1214" i="4"/>
  <c r="K1214" i="4"/>
  <c r="J1214" i="4"/>
  <c r="H1214" i="4"/>
  <c r="F1214" i="4"/>
  <c r="K1212" i="4"/>
  <c r="J1212" i="4"/>
  <c r="H1212" i="4"/>
  <c r="F1212" i="4"/>
  <c r="L1212" i="4" s="1"/>
  <c r="L1211" i="4"/>
  <c r="K1211" i="4"/>
  <c r="J1211" i="4"/>
  <c r="H1211" i="4"/>
  <c r="F1211" i="4"/>
  <c r="K1210" i="4"/>
  <c r="J1210" i="4"/>
  <c r="H1210" i="4"/>
  <c r="F1210" i="4"/>
  <c r="L1210" i="4" s="1"/>
  <c r="K1207" i="4"/>
  <c r="J1207" i="4"/>
  <c r="H1207" i="4"/>
  <c r="L1207" i="4" s="1"/>
  <c r="F1207" i="4"/>
  <c r="K1206" i="4"/>
  <c r="J1206" i="4"/>
  <c r="H1206" i="4"/>
  <c r="F1206" i="4"/>
  <c r="L1206" i="4" s="1"/>
  <c r="K1203" i="4"/>
  <c r="J1203" i="4"/>
  <c r="H1203" i="4"/>
  <c r="F1203" i="4"/>
  <c r="L1202" i="4"/>
  <c r="K1202" i="4"/>
  <c r="J1202" i="4"/>
  <c r="H1202" i="4"/>
  <c r="F1202" i="4"/>
  <c r="K1201" i="4"/>
  <c r="J1201" i="4"/>
  <c r="H1201" i="4"/>
  <c r="F1201" i="4"/>
  <c r="L1201" i="4" s="1"/>
  <c r="L1200" i="4"/>
  <c r="K1200" i="4"/>
  <c r="J1200" i="4"/>
  <c r="H1200" i="4"/>
  <c r="F1200" i="4"/>
  <c r="K1199" i="4"/>
  <c r="J1199" i="4"/>
  <c r="H1199" i="4"/>
  <c r="F1199" i="4"/>
  <c r="L1199" i="4" s="1"/>
  <c r="K1198" i="4"/>
  <c r="J1198" i="4"/>
  <c r="J1195" i="4" s="1"/>
  <c r="H1198" i="4"/>
  <c r="F1198" i="4"/>
  <c r="L1197" i="4"/>
  <c r="K1197" i="4"/>
  <c r="J1197" i="4"/>
  <c r="H1197" i="4"/>
  <c r="F1197" i="4"/>
  <c r="L1194" i="4"/>
  <c r="K1194" i="4"/>
  <c r="J1194" i="4"/>
  <c r="H1194" i="4"/>
  <c r="F1194" i="4"/>
  <c r="K1193" i="4"/>
  <c r="J1193" i="4"/>
  <c r="H1193" i="4"/>
  <c r="F1193" i="4"/>
  <c r="L1193" i="4" s="1"/>
  <c r="K1191" i="4"/>
  <c r="J1191" i="4"/>
  <c r="H1191" i="4"/>
  <c r="F1191" i="4"/>
  <c r="L1189" i="4"/>
  <c r="K1189" i="4"/>
  <c r="J1189" i="4"/>
  <c r="H1189" i="4"/>
  <c r="F1189" i="4"/>
  <c r="K1188" i="4"/>
  <c r="J1188" i="4"/>
  <c r="H1188" i="4"/>
  <c r="F1188" i="4"/>
  <c r="L1188" i="4" s="1"/>
  <c r="L1187" i="4"/>
  <c r="K1187" i="4"/>
  <c r="J1187" i="4"/>
  <c r="H1187" i="4"/>
  <c r="F1187" i="4"/>
  <c r="K1186" i="4"/>
  <c r="J1186" i="4"/>
  <c r="H1186" i="4"/>
  <c r="F1186" i="4"/>
  <c r="L1186" i="4" s="1"/>
  <c r="K1184" i="4"/>
  <c r="J1184" i="4"/>
  <c r="H1184" i="4"/>
  <c r="L1184" i="4" s="1"/>
  <c r="F1184" i="4"/>
  <c r="K1183" i="4"/>
  <c r="J1183" i="4"/>
  <c r="H1183" i="4"/>
  <c r="F1183" i="4"/>
  <c r="L1183" i="4" s="1"/>
  <c r="K1182" i="4"/>
  <c r="J1182" i="4"/>
  <c r="H1182" i="4"/>
  <c r="F1182" i="4"/>
  <c r="L1180" i="4"/>
  <c r="K1180" i="4"/>
  <c r="J1180" i="4"/>
  <c r="H1180" i="4"/>
  <c r="F1180" i="4"/>
  <c r="K1179" i="4"/>
  <c r="J1179" i="4"/>
  <c r="H1179" i="4"/>
  <c r="F1179" i="4"/>
  <c r="L1179" i="4" s="1"/>
  <c r="L1177" i="4"/>
  <c r="K1177" i="4"/>
  <c r="J1177" i="4"/>
  <c r="H1177" i="4"/>
  <c r="F1177" i="4"/>
  <c r="K1176" i="4"/>
  <c r="J1176" i="4"/>
  <c r="H1176" i="4"/>
  <c r="F1176" i="4"/>
  <c r="L1176" i="4" s="1"/>
  <c r="K1173" i="4"/>
  <c r="J1173" i="4"/>
  <c r="H1173" i="4"/>
  <c r="F1173" i="4"/>
  <c r="L1173" i="4" s="1"/>
  <c r="L1172" i="4"/>
  <c r="K1172" i="4"/>
  <c r="J1172" i="4"/>
  <c r="H1172" i="4"/>
  <c r="F1172" i="4"/>
  <c r="K1170" i="4"/>
  <c r="J1170" i="4"/>
  <c r="H1170" i="4"/>
  <c r="F1170" i="4"/>
  <c r="L1170" i="4" s="1"/>
  <c r="L1169" i="4"/>
  <c r="K1169" i="4"/>
  <c r="J1169" i="4"/>
  <c r="H1169" i="4"/>
  <c r="F1169" i="4"/>
  <c r="K1168" i="4"/>
  <c r="J1168" i="4"/>
  <c r="H1168" i="4"/>
  <c r="F1168" i="4"/>
  <c r="L1168" i="4" s="1"/>
  <c r="K1167" i="4"/>
  <c r="J1167" i="4"/>
  <c r="H1167" i="4"/>
  <c r="L1167" i="4" s="1"/>
  <c r="F1167" i="4"/>
  <c r="K1166" i="4"/>
  <c r="J1166" i="4"/>
  <c r="H1166" i="4"/>
  <c r="F1166" i="4"/>
  <c r="L1166" i="4" s="1"/>
  <c r="K1165" i="4"/>
  <c r="J1165" i="4"/>
  <c r="H1165" i="4"/>
  <c r="F1165" i="4"/>
  <c r="L1165" i="4" s="1"/>
  <c r="L1164" i="4"/>
  <c r="K1164" i="4"/>
  <c r="J1164" i="4"/>
  <c r="H1164" i="4"/>
  <c r="F1164" i="4"/>
  <c r="K1163" i="4"/>
  <c r="J1163" i="4"/>
  <c r="H1163" i="4"/>
  <c r="F1163" i="4"/>
  <c r="L1163" i="4" s="1"/>
  <c r="K1162" i="4"/>
  <c r="J1162" i="4"/>
  <c r="L1162" i="4" s="1"/>
  <c r="H1162" i="4"/>
  <c r="F1162" i="4"/>
  <c r="K1161" i="4"/>
  <c r="J1161" i="4"/>
  <c r="H1161" i="4"/>
  <c r="F1161" i="4"/>
  <c r="L1161" i="4" s="1"/>
  <c r="K1160" i="4"/>
  <c r="J1160" i="4"/>
  <c r="H1160" i="4"/>
  <c r="F1160" i="4"/>
  <c r="L1158" i="4"/>
  <c r="K1158" i="4"/>
  <c r="J1158" i="4"/>
  <c r="H1158" i="4"/>
  <c r="F1158" i="4"/>
  <c r="K1156" i="4"/>
  <c r="J1156" i="4"/>
  <c r="H1156" i="4"/>
  <c r="F1156" i="4"/>
  <c r="L1156" i="4" s="1"/>
  <c r="L1153" i="4"/>
  <c r="K1153" i="4"/>
  <c r="J1153" i="4"/>
  <c r="H1153" i="4"/>
  <c r="F1153" i="4"/>
  <c r="K1151" i="4"/>
  <c r="J1151" i="4"/>
  <c r="H1151" i="4"/>
  <c r="F1151" i="4"/>
  <c r="L1151" i="4" s="1"/>
  <c r="K1148" i="4"/>
  <c r="J1148" i="4"/>
  <c r="H1148" i="4"/>
  <c r="L1148" i="4" s="1"/>
  <c r="F1148" i="4"/>
  <c r="K1146" i="4"/>
  <c r="J1146" i="4"/>
  <c r="H1146" i="4"/>
  <c r="F1146" i="4"/>
  <c r="L1146" i="4" s="1"/>
  <c r="K1145" i="4"/>
  <c r="J1145" i="4"/>
  <c r="H1145" i="4"/>
  <c r="F1145" i="4"/>
  <c r="L1143" i="4"/>
  <c r="K1143" i="4"/>
  <c r="J1143" i="4"/>
  <c r="H1143" i="4"/>
  <c r="F1143" i="4"/>
  <c r="K1141" i="4"/>
  <c r="J1141" i="4"/>
  <c r="H1141" i="4"/>
  <c r="F1141" i="4"/>
  <c r="L1141" i="4" s="1"/>
  <c r="K1140" i="4"/>
  <c r="J1140" i="4"/>
  <c r="L1140" i="4" s="1"/>
  <c r="H1140" i="4"/>
  <c r="F1140" i="4"/>
  <c r="K1137" i="4"/>
  <c r="J1137" i="4"/>
  <c r="H1137" i="4"/>
  <c r="F1137" i="4"/>
  <c r="L1137" i="4" s="1"/>
  <c r="K1136" i="4"/>
  <c r="J1136" i="4"/>
  <c r="H1136" i="4"/>
  <c r="F1136" i="4"/>
  <c r="L1133" i="4"/>
  <c r="K1133" i="4"/>
  <c r="J1133" i="4"/>
  <c r="H1133" i="4"/>
  <c r="F1133" i="4"/>
  <c r="K1131" i="4"/>
  <c r="J1131" i="4"/>
  <c r="H1131" i="4"/>
  <c r="F1131" i="4"/>
  <c r="K1129" i="4"/>
  <c r="J1129" i="4"/>
  <c r="H1129" i="4"/>
  <c r="F1129" i="4"/>
  <c r="K1124" i="4"/>
  <c r="J1124" i="4"/>
  <c r="H1124" i="4"/>
  <c r="F1124" i="4"/>
  <c r="L1124" i="4" s="1"/>
  <c r="L1122" i="4"/>
  <c r="K1122" i="4"/>
  <c r="J1122" i="4"/>
  <c r="H1122" i="4"/>
  <c r="F1122" i="4"/>
  <c r="K1121" i="4"/>
  <c r="J1121" i="4"/>
  <c r="H1121" i="4"/>
  <c r="F1121" i="4"/>
  <c r="L1121" i="4" s="1"/>
  <c r="K1120" i="4"/>
  <c r="J1120" i="4"/>
  <c r="L1120" i="4" s="1"/>
  <c r="H1120" i="4"/>
  <c r="F1120" i="4"/>
  <c r="K1119" i="4"/>
  <c r="J1119" i="4"/>
  <c r="H1119" i="4"/>
  <c r="F1119" i="4"/>
  <c r="L1119" i="4" s="1"/>
  <c r="K1118" i="4"/>
  <c r="J1118" i="4"/>
  <c r="H1118" i="4"/>
  <c r="L1118" i="4" s="1"/>
  <c r="F1118" i="4"/>
  <c r="K1117" i="4"/>
  <c r="J1117" i="4"/>
  <c r="H1117" i="4"/>
  <c r="F1117" i="4"/>
  <c r="L1117" i="4" s="1"/>
  <c r="K1116" i="4"/>
  <c r="J1116" i="4"/>
  <c r="H1116" i="4"/>
  <c r="F1116" i="4"/>
  <c r="L1116" i="4" s="1"/>
  <c r="L1113" i="4"/>
  <c r="K1113" i="4"/>
  <c r="J1113" i="4"/>
  <c r="H1113" i="4"/>
  <c r="F1113" i="4"/>
  <c r="K1112" i="4"/>
  <c r="J1112" i="4"/>
  <c r="H1112" i="4"/>
  <c r="F1112" i="4"/>
  <c r="L1112" i="4" s="1"/>
  <c r="K1110" i="4"/>
  <c r="J1110" i="4"/>
  <c r="L1110" i="4" s="1"/>
  <c r="H1110" i="4"/>
  <c r="F1110" i="4"/>
  <c r="K1108" i="4"/>
  <c r="J1108" i="4"/>
  <c r="H1108" i="4"/>
  <c r="F1108" i="4"/>
  <c r="L1108" i="4" s="1"/>
  <c r="K1106" i="4"/>
  <c r="J1106" i="4"/>
  <c r="H1106" i="4"/>
  <c r="F1106" i="4"/>
  <c r="L1103" i="4"/>
  <c r="K1103" i="4"/>
  <c r="J1103" i="4"/>
  <c r="H1103" i="4"/>
  <c r="F1103" i="4"/>
  <c r="K1101" i="4"/>
  <c r="J1101" i="4"/>
  <c r="H1101" i="4"/>
  <c r="F1101" i="4"/>
  <c r="L1101" i="4" s="1"/>
  <c r="K1099" i="4"/>
  <c r="J1099" i="4"/>
  <c r="L1099" i="4" s="1"/>
  <c r="H1099" i="4"/>
  <c r="F1099" i="4"/>
  <c r="K1097" i="4"/>
  <c r="J1097" i="4"/>
  <c r="H1097" i="4"/>
  <c r="F1097" i="4"/>
  <c r="L1097" i="4" s="1"/>
  <c r="K1094" i="4"/>
  <c r="J1094" i="4"/>
  <c r="H1094" i="4"/>
  <c r="L1094" i="4" s="1"/>
  <c r="F1094" i="4"/>
  <c r="K1092" i="4"/>
  <c r="J1092" i="4"/>
  <c r="H1092" i="4"/>
  <c r="F1092" i="4"/>
  <c r="L1092" i="4" s="1"/>
  <c r="K1089" i="4"/>
  <c r="J1089" i="4"/>
  <c r="H1089" i="4"/>
  <c r="F1089" i="4"/>
  <c r="L1089" i="4" s="1"/>
  <c r="L1087" i="4"/>
  <c r="K1087" i="4"/>
  <c r="J1087" i="4"/>
  <c r="H1087" i="4"/>
  <c r="F1087" i="4"/>
  <c r="L1081" i="4"/>
  <c r="K1081" i="4"/>
  <c r="J1081" i="4"/>
  <c r="H1081" i="4"/>
  <c r="F1081" i="4"/>
  <c r="K1080" i="4"/>
  <c r="J1080" i="4"/>
  <c r="H1080" i="4"/>
  <c r="F1080" i="4"/>
  <c r="L1080" i="4" s="1"/>
  <c r="K1079" i="4"/>
  <c r="J1079" i="4"/>
  <c r="L1079" i="4" s="1"/>
  <c r="H1079" i="4"/>
  <c r="F1079" i="4"/>
  <c r="K1077" i="4"/>
  <c r="J1077" i="4"/>
  <c r="H1077" i="4"/>
  <c r="F1077" i="4"/>
  <c r="L1077" i="4" s="1"/>
  <c r="K1075" i="4"/>
  <c r="J1075" i="4"/>
  <c r="J1070" i="4" s="1"/>
  <c r="H1075" i="4"/>
  <c r="F1075" i="4"/>
  <c r="K1073" i="4"/>
  <c r="J1073" i="4"/>
  <c r="H1073" i="4"/>
  <c r="F1073" i="4"/>
  <c r="L1073" i="4" s="1"/>
  <c r="F1070" i="4"/>
  <c r="K1069" i="4"/>
  <c r="J1069" i="4"/>
  <c r="L1069" i="4" s="1"/>
  <c r="H1069" i="4"/>
  <c r="F1069" i="4"/>
  <c r="K1068" i="4"/>
  <c r="J1068" i="4"/>
  <c r="H1068" i="4"/>
  <c r="F1068" i="4"/>
  <c r="L1068" i="4" s="1"/>
  <c r="K1067" i="4"/>
  <c r="J1067" i="4"/>
  <c r="H1067" i="4"/>
  <c r="L1067" i="4" s="1"/>
  <c r="F1067" i="4"/>
  <c r="K1066" i="4"/>
  <c r="J1066" i="4"/>
  <c r="H1066" i="4"/>
  <c r="F1066" i="4"/>
  <c r="L1066" i="4" s="1"/>
  <c r="K1065" i="4"/>
  <c r="J1065" i="4"/>
  <c r="H1065" i="4"/>
  <c r="F1065" i="4"/>
  <c r="L1064" i="4"/>
  <c r="K1064" i="4"/>
  <c r="J1064" i="4"/>
  <c r="H1064" i="4"/>
  <c r="F1064" i="4"/>
  <c r="K1063" i="4"/>
  <c r="J1063" i="4"/>
  <c r="H1063" i="4"/>
  <c r="F1063" i="4"/>
  <c r="L1063" i="4" s="1"/>
  <c r="L1061" i="4"/>
  <c r="K1061" i="4"/>
  <c r="J1061" i="4"/>
  <c r="H1061" i="4"/>
  <c r="F1061" i="4"/>
  <c r="K1060" i="4"/>
  <c r="J1060" i="4"/>
  <c r="H1060" i="4"/>
  <c r="F1060" i="4"/>
  <c r="L1060" i="4" s="1"/>
  <c r="K1058" i="4"/>
  <c r="J1058" i="4"/>
  <c r="H1058" i="4"/>
  <c r="F1058" i="4"/>
  <c r="L1058" i="4" s="1"/>
  <c r="L1057" i="4"/>
  <c r="K1057" i="4"/>
  <c r="J1057" i="4"/>
  <c r="H1057" i="4"/>
  <c r="F1057" i="4"/>
  <c r="K1056" i="4"/>
  <c r="J1056" i="4"/>
  <c r="H1056" i="4"/>
  <c r="F1056" i="4"/>
  <c r="L1056" i="4" s="1"/>
  <c r="K1055" i="4"/>
  <c r="J1055" i="4"/>
  <c r="L1055" i="4" s="1"/>
  <c r="H1055" i="4"/>
  <c r="F1055" i="4"/>
  <c r="K1054" i="4"/>
  <c r="J1054" i="4"/>
  <c r="H1054" i="4"/>
  <c r="F1054" i="4"/>
  <c r="L1054" i="4" s="1"/>
  <c r="K1053" i="4"/>
  <c r="J1053" i="4"/>
  <c r="H1053" i="4"/>
  <c r="L1053" i="4" s="1"/>
  <c r="F1053" i="4"/>
  <c r="K1052" i="4"/>
  <c r="J1052" i="4"/>
  <c r="H1052" i="4"/>
  <c r="F1052" i="4"/>
  <c r="L1052" i="4" s="1"/>
  <c r="K1051" i="4"/>
  <c r="J1051" i="4"/>
  <c r="H1051" i="4"/>
  <c r="F1051" i="4"/>
  <c r="L1051" i="4" s="1"/>
  <c r="L1050" i="4"/>
  <c r="K1050" i="4"/>
  <c r="J1050" i="4"/>
  <c r="H1050" i="4"/>
  <c r="F1050" i="4"/>
  <c r="K1049" i="4"/>
  <c r="J1049" i="4"/>
  <c r="H1049" i="4"/>
  <c r="F1049" i="4"/>
  <c r="L1049" i="4" s="1"/>
  <c r="L1048" i="4"/>
  <c r="K1048" i="4"/>
  <c r="J1048" i="4"/>
  <c r="H1048" i="4"/>
  <c r="F1048" i="4"/>
  <c r="K1047" i="4"/>
  <c r="J1047" i="4"/>
  <c r="H1047" i="4"/>
  <c r="F1047" i="4"/>
  <c r="L1047" i="4" s="1"/>
  <c r="K1046" i="4"/>
  <c r="J1046" i="4"/>
  <c r="H1046" i="4"/>
  <c r="F1046" i="4"/>
  <c r="L1046" i="4" s="1"/>
  <c r="L1045" i="4"/>
  <c r="K1045" i="4"/>
  <c r="J1045" i="4"/>
  <c r="H1045" i="4"/>
  <c r="F1045" i="4"/>
  <c r="K1044" i="4"/>
  <c r="J1044" i="4"/>
  <c r="H1044" i="4"/>
  <c r="H1041" i="4" s="1"/>
  <c r="F1044" i="4"/>
  <c r="K1043" i="4"/>
  <c r="J1043" i="4"/>
  <c r="H1043" i="4"/>
  <c r="F1043" i="4"/>
  <c r="K1040" i="4"/>
  <c r="J1040" i="4"/>
  <c r="H1040" i="4"/>
  <c r="F1040" i="4"/>
  <c r="L1039" i="4"/>
  <c r="K1039" i="4"/>
  <c r="J1039" i="4"/>
  <c r="H1039" i="4"/>
  <c r="F1039" i="4"/>
  <c r="K1038" i="4"/>
  <c r="J1038" i="4"/>
  <c r="H1038" i="4"/>
  <c r="F1038" i="4"/>
  <c r="L1038" i="4" s="1"/>
  <c r="K1037" i="4"/>
  <c r="J1037" i="4"/>
  <c r="L1037" i="4" s="1"/>
  <c r="H1037" i="4"/>
  <c r="F1037" i="4"/>
  <c r="K1036" i="4"/>
  <c r="J1036" i="4"/>
  <c r="H1036" i="4"/>
  <c r="F1036" i="4"/>
  <c r="L1036" i="4" s="1"/>
  <c r="K1035" i="4"/>
  <c r="J1035" i="4"/>
  <c r="H1035" i="4"/>
  <c r="L1035" i="4" s="1"/>
  <c r="F1035" i="4"/>
  <c r="K1034" i="4"/>
  <c r="J1034" i="4"/>
  <c r="H1034" i="4"/>
  <c r="F1034" i="4"/>
  <c r="L1034" i="4" s="1"/>
  <c r="K1033" i="4"/>
  <c r="J1033" i="4"/>
  <c r="H1033" i="4"/>
  <c r="F1033" i="4"/>
  <c r="L1032" i="4"/>
  <c r="K1032" i="4"/>
  <c r="J1032" i="4"/>
  <c r="H1032" i="4"/>
  <c r="F1032" i="4"/>
  <c r="K1031" i="4"/>
  <c r="J1031" i="4"/>
  <c r="H1031" i="4"/>
  <c r="F1031" i="4"/>
  <c r="L1031" i="4" s="1"/>
  <c r="K1030" i="4"/>
  <c r="J1030" i="4"/>
  <c r="L1030" i="4" s="1"/>
  <c r="H1030" i="4"/>
  <c r="F1030" i="4"/>
  <c r="K1029" i="4"/>
  <c r="J1029" i="4"/>
  <c r="H1029" i="4"/>
  <c r="F1029" i="4"/>
  <c r="L1029" i="4" s="1"/>
  <c r="K1028" i="4"/>
  <c r="J1028" i="4"/>
  <c r="H1028" i="4"/>
  <c r="F1028" i="4"/>
  <c r="L1027" i="4"/>
  <c r="K1027" i="4"/>
  <c r="J1027" i="4"/>
  <c r="H1027" i="4"/>
  <c r="F1027" i="4"/>
  <c r="K1026" i="4"/>
  <c r="J1026" i="4"/>
  <c r="H1026" i="4"/>
  <c r="F1026" i="4"/>
  <c r="L1026" i="4" s="1"/>
  <c r="K1025" i="4"/>
  <c r="J1025" i="4"/>
  <c r="L1025" i="4" s="1"/>
  <c r="H1025" i="4"/>
  <c r="F1025" i="4"/>
  <c r="K1024" i="4"/>
  <c r="J1024" i="4"/>
  <c r="H1024" i="4"/>
  <c r="F1024" i="4"/>
  <c r="L1024" i="4" s="1"/>
  <c r="K1022" i="4"/>
  <c r="J1022" i="4"/>
  <c r="H1022" i="4"/>
  <c r="L1022" i="4" s="1"/>
  <c r="F1022" i="4"/>
  <c r="K1020" i="4"/>
  <c r="J1020" i="4"/>
  <c r="H1020" i="4"/>
  <c r="F1020" i="4"/>
  <c r="L1020" i="4" s="1"/>
  <c r="K1019" i="4"/>
  <c r="J1019" i="4"/>
  <c r="H1019" i="4"/>
  <c r="F1019" i="4"/>
  <c r="L1018" i="4"/>
  <c r="K1018" i="4"/>
  <c r="J1018" i="4"/>
  <c r="H1018" i="4"/>
  <c r="F1018" i="4"/>
  <c r="K1017" i="4"/>
  <c r="J1017" i="4"/>
  <c r="H1017" i="4"/>
  <c r="F1017" i="4"/>
  <c r="L1017" i="4" s="1"/>
  <c r="L1015" i="4"/>
  <c r="K1015" i="4"/>
  <c r="J1015" i="4"/>
  <c r="H1015" i="4"/>
  <c r="F1015" i="4"/>
  <c r="K1014" i="4"/>
  <c r="J1014" i="4"/>
  <c r="H1014" i="4"/>
  <c r="F1014" i="4"/>
  <c r="L1014" i="4" s="1"/>
  <c r="K1013" i="4"/>
  <c r="J1013" i="4"/>
  <c r="H1013" i="4"/>
  <c r="F1013" i="4"/>
  <c r="L1012" i="4"/>
  <c r="K1012" i="4"/>
  <c r="J1012" i="4"/>
  <c r="H1012" i="4"/>
  <c r="F1012" i="4"/>
  <c r="K1011" i="4"/>
  <c r="J1011" i="4"/>
  <c r="H1011" i="4"/>
  <c r="F1011" i="4"/>
  <c r="L1011" i="4" s="1"/>
  <c r="K1010" i="4"/>
  <c r="J1010" i="4"/>
  <c r="L1010" i="4" s="1"/>
  <c r="H1010" i="4"/>
  <c r="F1010" i="4"/>
  <c r="K1009" i="4"/>
  <c r="J1009" i="4"/>
  <c r="H1009" i="4"/>
  <c r="F1009" i="4"/>
  <c r="L1009" i="4" s="1"/>
  <c r="K1008" i="4"/>
  <c r="J1008" i="4"/>
  <c r="H1008" i="4"/>
  <c r="L1008" i="4" s="1"/>
  <c r="F1008" i="4"/>
  <c r="K1006" i="4"/>
  <c r="J1006" i="4"/>
  <c r="H1006" i="4"/>
  <c r="F1006" i="4"/>
  <c r="L1006" i="4" s="1"/>
  <c r="K1005" i="4"/>
  <c r="J1005" i="4"/>
  <c r="H1005" i="4"/>
  <c r="F1005" i="4"/>
  <c r="L1004" i="4"/>
  <c r="K1004" i="4"/>
  <c r="J1004" i="4"/>
  <c r="H1004" i="4"/>
  <c r="F1004" i="4"/>
  <c r="K1001" i="4"/>
  <c r="J1001" i="4"/>
  <c r="H1001" i="4"/>
  <c r="F1001" i="4"/>
  <c r="L1001" i="4" s="1"/>
  <c r="L999" i="4"/>
  <c r="K999" i="4"/>
  <c r="J999" i="4"/>
  <c r="H999" i="4"/>
  <c r="F999" i="4"/>
  <c r="K997" i="4"/>
  <c r="J997" i="4"/>
  <c r="H997" i="4"/>
  <c r="F997" i="4"/>
  <c r="L997" i="4" s="1"/>
  <c r="K996" i="4"/>
  <c r="J996" i="4"/>
  <c r="H996" i="4"/>
  <c r="F996" i="4"/>
  <c r="L995" i="4"/>
  <c r="K995" i="4"/>
  <c r="J995" i="4"/>
  <c r="H995" i="4"/>
  <c r="F995" i="4"/>
  <c r="K992" i="4"/>
  <c r="J992" i="4"/>
  <c r="H992" i="4"/>
  <c r="F992" i="4"/>
  <c r="L992" i="4" s="1"/>
  <c r="K991" i="4"/>
  <c r="J991" i="4"/>
  <c r="L991" i="4" s="1"/>
  <c r="H991" i="4"/>
  <c r="F991" i="4"/>
  <c r="K990" i="4"/>
  <c r="J990" i="4"/>
  <c r="H990" i="4"/>
  <c r="F990" i="4"/>
  <c r="L990" i="4" s="1"/>
  <c r="K989" i="4"/>
  <c r="J989" i="4"/>
  <c r="H989" i="4"/>
  <c r="L989" i="4" s="1"/>
  <c r="F989" i="4"/>
  <c r="K988" i="4"/>
  <c r="J988" i="4"/>
  <c r="H988" i="4"/>
  <c r="F988" i="4"/>
  <c r="L988" i="4" s="1"/>
  <c r="K986" i="4"/>
  <c r="J986" i="4"/>
  <c r="H986" i="4"/>
  <c r="F986" i="4"/>
  <c r="L984" i="4"/>
  <c r="K984" i="4"/>
  <c r="J984" i="4"/>
  <c r="H984" i="4"/>
  <c r="F984" i="4"/>
  <c r="K983" i="4"/>
  <c r="J983" i="4"/>
  <c r="H983" i="4"/>
  <c r="F983" i="4"/>
  <c r="L983" i="4" s="1"/>
  <c r="K982" i="4"/>
  <c r="J982" i="4"/>
  <c r="L982" i="4" s="1"/>
  <c r="H982" i="4"/>
  <c r="F982" i="4"/>
  <c r="K979" i="4"/>
  <c r="J979" i="4"/>
  <c r="H979" i="4"/>
  <c r="F979" i="4"/>
  <c r="L979" i="4" s="1"/>
  <c r="K978" i="4"/>
  <c r="J978" i="4"/>
  <c r="H978" i="4"/>
  <c r="F978" i="4"/>
  <c r="L975" i="4"/>
  <c r="K975" i="4"/>
  <c r="J975" i="4"/>
  <c r="H975" i="4"/>
  <c r="F975" i="4"/>
  <c r="K974" i="4"/>
  <c r="J974" i="4"/>
  <c r="H974" i="4"/>
  <c r="F974" i="4"/>
  <c r="L974" i="4" s="1"/>
  <c r="K973" i="4"/>
  <c r="J973" i="4"/>
  <c r="L973" i="4" s="1"/>
  <c r="H973" i="4"/>
  <c r="F973" i="4"/>
  <c r="K972" i="4"/>
  <c r="J972" i="4"/>
  <c r="H972" i="4"/>
  <c r="F972" i="4"/>
  <c r="L972" i="4" s="1"/>
  <c r="K971" i="4"/>
  <c r="J971" i="4"/>
  <c r="H971" i="4"/>
  <c r="L971" i="4" s="1"/>
  <c r="F971" i="4"/>
  <c r="K970" i="4"/>
  <c r="J970" i="4"/>
  <c r="H970" i="4"/>
  <c r="F970" i="4"/>
  <c r="L970" i="4" s="1"/>
  <c r="K969" i="4"/>
  <c r="J969" i="4"/>
  <c r="H969" i="4"/>
  <c r="F969" i="4"/>
  <c r="F967" i="4" s="1"/>
  <c r="K966" i="4"/>
  <c r="J966" i="4"/>
  <c r="H966" i="4"/>
  <c r="F966" i="4"/>
  <c r="L966" i="4" s="1"/>
  <c r="K964" i="4"/>
  <c r="J964" i="4"/>
  <c r="H964" i="4"/>
  <c r="L964" i="4" s="1"/>
  <c r="F964" i="4"/>
  <c r="K962" i="4"/>
  <c r="J962" i="4"/>
  <c r="H962" i="4"/>
  <c r="F962" i="4"/>
  <c r="L962" i="4" s="1"/>
  <c r="K961" i="4"/>
  <c r="J961" i="4"/>
  <c r="H961" i="4"/>
  <c r="F961" i="4"/>
  <c r="L961" i="4" s="1"/>
  <c r="L960" i="4"/>
  <c r="K960" i="4"/>
  <c r="J960" i="4"/>
  <c r="H960" i="4"/>
  <c r="F960" i="4"/>
  <c r="K958" i="4"/>
  <c r="J958" i="4"/>
  <c r="H958" i="4"/>
  <c r="F958" i="4"/>
  <c r="L958" i="4" s="1"/>
  <c r="K955" i="4"/>
  <c r="J955" i="4"/>
  <c r="L955" i="4" s="1"/>
  <c r="H955" i="4"/>
  <c r="F955" i="4"/>
  <c r="K952" i="4"/>
  <c r="J952" i="4"/>
  <c r="H952" i="4"/>
  <c r="F952" i="4"/>
  <c r="L952" i="4" s="1"/>
  <c r="K950" i="4"/>
  <c r="J950" i="4"/>
  <c r="H950" i="4"/>
  <c r="F950" i="4"/>
  <c r="L949" i="4"/>
  <c r="K949" i="4"/>
  <c r="J949" i="4"/>
  <c r="H949" i="4"/>
  <c r="F949" i="4"/>
  <c r="K946" i="4"/>
  <c r="J946" i="4"/>
  <c r="H946" i="4"/>
  <c r="F946" i="4"/>
  <c r="L946" i="4" s="1"/>
  <c r="K943" i="4"/>
  <c r="J943" i="4"/>
  <c r="L943" i="4" s="1"/>
  <c r="H943" i="4"/>
  <c r="F943" i="4"/>
  <c r="K941" i="4"/>
  <c r="J941" i="4"/>
  <c r="H941" i="4"/>
  <c r="F941" i="4"/>
  <c r="L941" i="4" s="1"/>
  <c r="K939" i="4"/>
  <c r="J939" i="4"/>
  <c r="H939" i="4"/>
  <c r="L939" i="4" s="1"/>
  <c r="F939" i="4"/>
  <c r="K938" i="4"/>
  <c r="J938" i="4"/>
  <c r="H938" i="4"/>
  <c r="F938" i="4"/>
  <c r="L938" i="4" s="1"/>
  <c r="K936" i="4"/>
  <c r="J936" i="4"/>
  <c r="H936" i="4"/>
  <c r="F936" i="4"/>
  <c r="L936" i="4" s="1"/>
  <c r="L933" i="4"/>
  <c r="K933" i="4"/>
  <c r="J933" i="4"/>
  <c r="H933" i="4"/>
  <c r="F933" i="4"/>
  <c r="K931" i="4"/>
  <c r="J931" i="4"/>
  <c r="H931" i="4"/>
  <c r="F931" i="4"/>
  <c r="L931" i="4" s="1"/>
  <c r="K929" i="4"/>
  <c r="J929" i="4"/>
  <c r="J925" i="4" s="1"/>
  <c r="H929" i="4"/>
  <c r="F929" i="4"/>
  <c r="K924" i="4"/>
  <c r="J924" i="4"/>
  <c r="H924" i="4"/>
  <c r="F924" i="4"/>
  <c r="L924" i="4" s="1"/>
  <c r="L922" i="4"/>
  <c r="K922" i="4"/>
  <c r="J922" i="4"/>
  <c r="H922" i="4"/>
  <c r="F922" i="4"/>
  <c r="K921" i="4"/>
  <c r="J921" i="4"/>
  <c r="H921" i="4"/>
  <c r="F921" i="4"/>
  <c r="L921" i="4" s="1"/>
  <c r="K920" i="4"/>
  <c r="J920" i="4"/>
  <c r="L920" i="4" s="1"/>
  <c r="H920" i="4"/>
  <c r="F920" i="4"/>
  <c r="K919" i="4"/>
  <c r="J919" i="4"/>
  <c r="H919" i="4"/>
  <c r="F919" i="4"/>
  <c r="L919" i="4" s="1"/>
  <c r="K917" i="4"/>
  <c r="J917" i="4"/>
  <c r="H917" i="4"/>
  <c r="F917" i="4"/>
  <c r="L917" i="4" s="1"/>
  <c r="L916" i="4"/>
  <c r="K916" i="4"/>
  <c r="J916" i="4"/>
  <c r="H916" i="4"/>
  <c r="F916" i="4"/>
  <c r="K914" i="4"/>
  <c r="J914" i="4"/>
  <c r="H914" i="4"/>
  <c r="F914" i="4"/>
  <c r="L914" i="4" s="1"/>
  <c r="K913" i="4"/>
  <c r="J913" i="4"/>
  <c r="L913" i="4" s="1"/>
  <c r="H913" i="4"/>
  <c r="F913" i="4"/>
  <c r="K911" i="4"/>
  <c r="J911" i="4"/>
  <c r="H911" i="4"/>
  <c r="F911" i="4"/>
  <c r="L911" i="4" s="1"/>
  <c r="K910" i="4"/>
  <c r="J910" i="4"/>
  <c r="H910" i="4"/>
  <c r="L910" i="4" s="1"/>
  <c r="F910" i="4"/>
  <c r="K907" i="4"/>
  <c r="J907" i="4"/>
  <c r="H907" i="4"/>
  <c r="F907" i="4"/>
  <c r="L907" i="4" s="1"/>
  <c r="K906" i="4"/>
  <c r="J906" i="4"/>
  <c r="H906" i="4"/>
  <c r="F906" i="4"/>
  <c r="L906" i="4" s="1"/>
  <c r="L904" i="4"/>
  <c r="K904" i="4"/>
  <c r="J904" i="4"/>
  <c r="H904" i="4"/>
  <c r="F904" i="4"/>
  <c r="K901" i="4"/>
  <c r="J901" i="4"/>
  <c r="H901" i="4"/>
  <c r="F901" i="4"/>
  <c r="L901" i="4" s="1"/>
  <c r="K898" i="4"/>
  <c r="J898" i="4"/>
  <c r="L898" i="4" s="1"/>
  <c r="H898" i="4"/>
  <c r="F898" i="4"/>
  <c r="K896" i="4"/>
  <c r="J896" i="4"/>
  <c r="H896" i="4"/>
  <c r="F896" i="4"/>
  <c r="L896" i="4" s="1"/>
  <c r="K893" i="4"/>
  <c r="J893" i="4"/>
  <c r="H893" i="4"/>
  <c r="F893" i="4"/>
  <c r="L891" i="4"/>
  <c r="K891" i="4"/>
  <c r="J891" i="4"/>
  <c r="H891" i="4"/>
  <c r="F891" i="4"/>
  <c r="K890" i="4"/>
  <c r="J890" i="4"/>
  <c r="H890" i="4"/>
  <c r="F890" i="4"/>
  <c r="L890" i="4" s="1"/>
  <c r="K888" i="4"/>
  <c r="J888" i="4"/>
  <c r="L888" i="4" s="1"/>
  <c r="H888" i="4"/>
  <c r="F888" i="4"/>
  <c r="K886" i="4"/>
  <c r="J886" i="4"/>
  <c r="H886" i="4"/>
  <c r="F886" i="4"/>
  <c r="L886" i="4" s="1"/>
  <c r="K885" i="4"/>
  <c r="J885" i="4"/>
  <c r="H885" i="4"/>
  <c r="L885" i="4" s="1"/>
  <c r="F885" i="4"/>
  <c r="K882" i="4"/>
  <c r="J882" i="4"/>
  <c r="H882" i="4"/>
  <c r="F882" i="4"/>
  <c r="L882" i="4" s="1"/>
  <c r="K881" i="4"/>
  <c r="J881" i="4"/>
  <c r="H881" i="4"/>
  <c r="F881" i="4"/>
  <c r="L881" i="4" s="1"/>
  <c r="L878" i="4"/>
  <c r="K878" i="4"/>
  <c r="J878" i="4"/>
  <c r="H878" i="4"/>
  <c r="F878" i="4"/>
  <c r="K876" i="4"/>
  <c r="J876" i="4"/>
  <c r="H876" i="4"/>
  <c r="F876" i="4"/>
  <c r="L876" i="4" s="1"/>
  <c r="K874" i="4"/>
  <c r="J874" i="4"/>
  <c r="H874" i="4"/>
  <c r="F874" i="4"/>
  <c r="K869" i="4"/>
  <c r="J869" i="4"/>
  <c r="H869" i="4"/>
  <c r="F869" i="4"/>
  <c r="L869" i="4" s="1"/>
  <c r="L867" i="4"/>
  <c r="K867" i="4"/>
  <c r="J867" i="4"/>
  <c r="H867" i="4"/>
  <c r="F867" i="4"/>
  <c r="K866" i="4"/>
  <c r="J866" i="4"/>
  <c r="H866" i="4"/>
  <c r="F866" i="4"/>
  <c r="L866" i="4" s="1"/>
  <c r="K865" i="4"/>
  <c r="J865" i="4"/>
  <c r="L865" i="4" s="1"/>
  <c r="H865" i="4"/>
  <c r="F865" i="4"/>
  <c r="K864" i="4"/>
  <c r="J864" i="4"/>
  <c r="H864" i="4"/>
  <c r="F864" i="4"/>
  <c r="L864" i="4" s="1"/>
  <c r="K863" i="4"/>
  <c r="J863" i="4"/>
  <c r="H863" i="4"/>
  <c r="F863" i="4"/>
  <c r="L863" i="4" s="1"/>
  <c r="L860" i="4"/>
  <c r="K860" i="4"/>
  <c r="J860" i="4"/>
  <c r="H860" i="4"/>
  <c r="F860" i="4"/>
  <c r="K859" i="4"/>
  <c r="J859" i="4"/>
  <c r="H859" i="4"/>
  <c r="F859" i="4"/>
  <c r="L859" i="4" s="1"/>
  <c r="K857" i="4"/>
  <c r="J857" i="4"/>
  <c r="L857" i="4" s="1"/>
  <c r="H857" i="4"/>
  <c r="F857" i="4"/>
  <c r="K855" i="4"/>
  <c r="J855" i="4"/>
  <c r="H855" i="4"/>
  <c r="F855" i="4"/>
  <c r="L855" i="4" s="1"/>
  <c r="K853" i="4"/>
  <c r="J853" i="4"/>
  <c r="H853" i="4"/>
  <c r="L853" i="4" s="1"/>
  <c r="F853" i="4"/>
  <c r="K850" i="4"/>
  <c r="J850" i="4"/>
  <c r="H850" i="4"/>
  <c r="F850" i="4"/>
  <c r="L850" i="4" s="1"/>
  <c r="K848" i="4"/>
  <c r="J848" i="4"/>
  <c r="H848" i="4"/>
  <c r="F848" i="4"/>
  <c r="L848" i="4" s="1"/>
  <c r="L846" i="4"/>
  <c r="K846" i="4"/>
  <c r="J846" i="4"/>
  <c r="H846" i="4"/>
  <c r="F846" i="4"/>
  <c r="K844" i="4"/>
  <c r="J844" i="4"/>
  <c r="H844" i="4"/>
  <c r="F844" i="4"/>
  <c r="L844" i="4" s="1"/>
  <c r="K841" i="4"/>
  <c r="J841" i="4"/>
  <c r="L841" i="4" s="1"/>
  <c r="H841" i="4"/>
  <c r="F841" i="4"/>
  <c r="K839" i="4"/>
  <c r="J839" i="4"/>
  <c r="H839" i="4"/>
  <c r="F839" i="4"/>
  <c r="L839" i="4" s="1"/>
  <c r="K836" i="4"/>
  <c r="J836" i="4"/>
  <c r="H836" i="4"/>
  <c r="F836" i="4"/>
  <c r="L835" i="4"/>
  <c r="K835" i="4"/>
  <c r="J835" i="4"/>
  <c r="H835" i="4"/>
  <c r="F835" i="4"/>
  <c r="K833" i="4"/>
  <c r="J833" i="4"/>
  <c r="H833" i="4"/>
  <c r="F833" i="4"/>
  <c r="K822" i="4"/>
  <c r="J822" i="4"/>
  <c r="H822" i="4"/>
  <c r="F822" i="4"/>
  <c r="L822" i="4" s="1"/>
  <c r="L820" i="4"/>
  <c r="K820" i="4"/>
  <c r="J820" i="4"/>
  <c r="H820" i="4"/>
  <c r="F820" i="4"/>
  <c r="K819" i="4"/>
  <c r="J819" i="4"/>
  <c r="H819" i="4"/>
  <c r="F819" i="4"/>
  <c r="L819" i="4" s="1"/>
  <c r="K818" i="4"/>
  <c r="J818" i="4"/>
  <c r="L818" i="4" s="1"/>
  <c r="H818" i="4"/>
  <c r="F818" i="4"/>
  <c r="K817" i="4"/>
  <c r="J817" i="4"/>
  <c r="H817" i="4"/>
  <c r="F817" i="4"/>
  <c r="L817" i="4" s="1"/>
  <c r="K815" i="4"/>
  <c r="J815" i="4"/>
  <c r="H815" i="4"/>
  <c r="F815" i="4"/>
  <c r="L812" i="4"/>
  <c r="K812" i="4"/>
  <c r="J812" i="4"/>
  <c r="H812" i="4"/>
  <c r="F812" i="4"/>
  <c r="K811" i="4"/>
  <c r="J811" i="4"/>
  <c r="H811" i="4"/>
  <c r="F811" i="4"/>
  <c r="L811" i="4" s="1"/>
  <c r="K810" i="4"/>
  <c r="J810" i="4"/>
  <c r="L810" i="4" s="1"/>
  <c r="H810" i="4"/>
  <c r="F810" i="4"/>
  <c r="K809" i="4"/>
  <c r="J809" i="4"/>
  <c r="H809" i="4"/>
  <c r="F809" i="4"/>
  <c r="L809" i="4" s="1"/>
  <c r="K808" i="4"/>
  <c r="J808" i="4"/>
  <c r="H808" i="4"/>
  <c r="L808" i="4" s="1"/>
  <c r="F808" i="4"/>
  <c r="K807" i="4"/>
  <c r="J807" i="4"/>
  <c r="H807" i="4"/>
  <c r="F807" i="4"/>
  <c r="L807" i="4" s="1"/>
  <c r="K806" i="4"/>
  <c r="J806" i="4"/>
  <c r="H806" i="4"/>
  <c r="F806" i="4"/>
  <c r="L806" i="4" s="1"/>
  <c r="L805" i="4"/>
  <c r="K805" i="4"/>
  <c r="J805" i="4"/>
  <c r="H805" i="4"/>
  <c r="F805" i="4"/>
  <c r="K802" i="4"/>
  <c r="J802" i="4"/>
  <c r="H802" i="4"/>
  <c r="F802" i="4"/>
  <c r="L802" i="4" s="1"/>
  <c r="K801" i="4"/>
  <c r="J801" i="4"/>
  <c r="L801" i="4" s="1"/>
  <c r="H801" i="4"/>
  <c r="F801" i="4"/>
  <c r="K800" i="4"/>
  <c r="J800" i="4"/>
  <c r="H800" i="4"/>
  <c r="F800" i="4"/>
  <c r="L800" i="4" s="1"/>
  <c r="K799" i="4"/>
  <c r="J799" i="4"/>
  <c r="H799" i="4"/>
  <c r="F799" i="4"/>
  <c r="L798" i="4"/>
  <c r="K798" i="4"/>
  <c r="J798" i="4"/>
  <c r="H798" i="4"/>
  <c r="F798" i="4"/>
  <c r="K797" i="4"/>
  <c r="J797" i="4"/>
  <c r="H797" i="4"/>
  <c r="F797" i="4"/>
  <c r="L797" i="4" s="1"/>
  <c r="K796" i="4"/>
  <c r="J796" i="4"/>
  <c r="L796" i="4" s="1"/>
  <c r="H796" i="4"/>
  <c r="F796" i="4"/>
  <c r="K793" i="4"/>
  <c r="J793" i="4"/>
  <c r="H793" i="4"/>
  <c r="F793" i="4"/>
  <c r="L793" i="4" s="1"/>
  <c r="K792" i="4"/>
  <c r="J792" i="4"/>
  <c r="H792" i="4"/>
  <c r="L792" i="4" s="1"/>
  <c r="F792" i="4"/>
  <c r="K791" i="4"/>
  <c r="J791" i="4"/>
  <c r="H791" i="4"/>
  <c r="F791" i="4"/>
  <c r="L791" i="4" s="1"/>
  <c r="K790" i="4"/>
  <c r="J790" i="4"/>
  <c r="H790" i="4"/>
  <c r="F790" i="4"/>
  <c r="L790" i="4" s="1"/>
  <c r="L788" i="4"/>
  <c r="K788" i="4"/>
  <c r="J788" i="4"/>
  <c r="H788" i="4"/>
  <c r="F788" i="4"/>
  <c r="K787" i="4"/>
  <c r="J787" i="4"/>
  <c r="H787" i="4"/>
  <c r="F787" i="4"/>
  <c r="L787" i="4" s="1"/>
  <c r="K786" i="4"/>
  <c r="J786" i="4"/>
  <c r="L786" i="4" s="1"/>
  <c r="H786" i="4"/>
  <c r="F786" i="4"/>
  <c r="K785" i="4"/>
  <c r="J785" i="4"/>
  <c r="H785" i="4"/>
  <c r="F785" i="4"/>
  <c r="L785" i="4" s="1"/>
  <c r="K784" i="4"/>
  <c r="J784" i="4"/>
  <c r="H784" i="4"/>
  <c r="F784" i="4"/>
  <c r="L784" i="4" s="1"/>
  <c r="L783" i="4"/>
  <c r="K783" i="4"/>
  <c r="J783" i="4"/>
  <c r="H783" i="4"/>
  <c r="F783" i="4"/>
  <c r="K781" i="4"/>
  <c r="J781" i="4"/>
  <c r="H781" i="4"/>
  <c r="F781" i="4"/>
  <c r="L781" i="4" s="1"/>
  <c r="K780" i="4"/>
  <c r="J780" i="4"/>
  <c r="L780" i="4" s="1"/>
  <c r="H780" i="4"/>
  <c r="F780" i="4"/>
  <c r="K779" i="4"/>
  <c r="J779" i="4"/>
  <c r="H779" i="4"/>
  <c r="F779" i="4"/>
  <c r="L779" i="4" s="1"/>
  <c r="K778" i="4"/>
  <c r="J778" i="4"/>
  <c r="H778" i="4"/>
  <c r="L778" i="4" s="1"/>
  <c r="F778" i="4"/>
  <c r="K777" i="4"/>
  <c r="J777" i="4"/>
  <c r="H777" i="4"/>
  <c r="F777" i="4"/>
  <c r="L777" i="4" s="1"/>
  <c r="K776" i="4"/>
  <c r="J776" i="4"/>
  <c r="H776" i="4"/>
  <c r="F776" i="4"/>
  <c r="L776" i="4" s="1"/>
  <c r="L775" i="4"/>
  <c r="K775" i="4"/>
  <c r="J775" i="4"/>
  <c r="H775" i="4"/>
  <c r="F775" i="4"/>
  <c r="K774" i="4"/>
  <c r="J774" i="4"/>
  <c r="H774" i="4"/>
  <c r="F774" i="4"/>
  <c r="L774" i="4" s="1"/>
  <c r="K772" i="4"/>
  <c r="J772" i="4"/>
  <c r="L772" i="4" s="1"/>
  <c r="H772" i="4"/>
  <c r="F772" i="4"/>
  <c r="K771" i="4"/>
  <c r="J771" i="4"/>
  <c r="H771" i="4"/>
  <c r="F771" i="4"/>
  <c r="L771" i="4" s="1"/>
  <c r="K770" i="4"/>
  <c r="J770" i="4"/>
  <c r="H770" i="4"/>
  <c r="F770" i="4"/>
  <c r="L770" i="4" s="1"/>
  <c r="L769" i="4"/>
  <c r="K769" i="4"/>
  <c r="J769" i="4"/>
  <c r="H769" i="4"/>
  <c r="F769" i="4"/>
  <c r="K768" i="4"/>
  <c r="J768" i="4"/>
  <c r="H768" i="4"/>
  <c r="F768" i="4"/>
  <c r="L768" i="4" s="1"/>
  <c r="K767" i="4"/>
  <c r="J767" i="4"/>
  <c r="L767" i="4" s="1"/>
  <c r="H767" i="4"/>
  <c r="F767" i="4"/>
  <c r="K766" i="4"/>
  <c r="J766" i="4"/>
  <c r="H766" i="4"/>
  <c r="F766" i="4"/>
  <c r="L766" i="4" s="1"/>
  <c r="K765" i="4"/>
  <c r="J765" i="4"/>
  <c r="H765" i="4"/>
  <c r="L765" i="4" s="1"/>
  <c r="F765" i="4"/>
  <c r="K764" i="4"/>
  <c r="J764" i="4"/>
  <c r="H764" i="4"/>
  <c r="F764" i="4"/>
  <c r="L764" i="4" s="1"/>
  <c r="K763" i="4"/>
  <c r="J763" i="4"/>
  <c r="H763" i="4"/>
  <c r="L763" i="4" s="1"/>
  <c r="F763" i="4"/>
  <c r="L762" i="4"/>
  <c r="K762" i="4"/>
  <c r="J762" i="4"/>
  <c r="H762" i="4"/>
  <c r="F762" i="4"/>
  <c r="K761" i="4"/>
  <c r="J761" i="4"/>
  <c r="H761" i="4"/>
  <c r="F761" i="4"/>
  <c r="L761" i="4" s="1"/>
  <c r="K760" i="4"/>
  <c r="J760" i="4"/>
  <c r="L760" i="4" s="1"/>
  <c r="H760" i="4"/>
  <c r="F760" i="4"/>
  <c r="K759" i="4"/>
  <c r="J759" i="4"/>
  <c r="H759" i="4"/>
  <c r="F759" i="4"/>
  <c r="L759" i="4" s="1"/>
  <c r="K758" i="4"/>
  <c r="J758" i="4"/>
  <c r="H758" i="4"/>
  <c r="F758" i="4"/>
  <c r="L755" i="4"/>
  <c r="K755" i="4"/>
  <c r="J755" i="4"/>
  <c r="H755" i="4"/>
  <c r="F755" i="4"/>
  <c r="K754" i="4"/>
  <c r="J754" i="4"/>
  <c r="H754" i="4"/>
  <c r="F754" i="4"/>
  <c r="L754" i="4" s="1"/>
  <c r="K753" i="4"/>
  <c r="J753" i="4"/>
  <c r="L753" i="4" s="1"/>
  <c r="H753" i="4"/>
  <c r="F753" i="4"/>
  <c r="K752" i="4"/>
  <c r="J752" i="4"/>
  <c r="H752" i="4"/>
  <c r="F752" i="4"/>
  <c r="L752" i="4" s="1"/>
  <c r="K751" i="4"/>
  <c r="J751" i="4"/>
  <c r="H751" i="4"/>
  <c r="L751" i="4" s="1"/>
  <c r="F751" i="4"/>
  <c r="K749" i="4"/>
  <c r="J749" i="4"/>
  <c r="H749" i="4"/>
  <c r="F749" i="4"/>
  <c r="L749" i="4" s="1"/>
  <c r="K748" i="4"/>
  <c r="J748" i="4"/>
  <c r="H748" i="4"/>
  <c r="F748" i="4"/>
  <c r="L747" i="4"/>
  <c r="K747" i="4"/>
  <c r="J747" i="4"/>
  <c r="H747" i="4"/>
  <c r="F747" i="4"/>
  <c r="K746" i="4"/>
  <c r="J746" i="4"/>
  <c r="H746" i="4"/>
  <c r="F746" i="4"/>
  <c r="L746" i="4" s="1"/>
  <c r="K745" i="4"/>
  <c r="J745" i="4"/>
  <c r="L745" i="4" s="1"/>
  <c r="H745" i="4"/>
  <c r="F745" i="4"/>
  <c r="K744" i="4"/>
  <c r="J744" i="4"/>
  <c r="H744" i="4"/>
  <c r="F744" i="4"/>
  <c r="L744" i="4" s="1"/>
  <c r="K743" i="4"/>
  <c r="J743" i="4"/>
  <c r="H743" i="4"/>
  <c r="F743" i="4"/>
  <c r="L741" i="4"/>
  <c r="K741" i="4"/>
  <c r="J741" i="4"/>
  <c r="H741" i="4"/>
  <c r="F741" i="4"/>
  <c r="K740" i="4"/>
  <c r="J740" i="4"/>
  <c r="H740" i="4"/>
  <c r="F740" i="4"/>
  <c r="L740" i="4" s="1"/>
  <c r="K739" i="4"/>
  <c r="J739" i="4"/>
  <c r="L739" i="4" s="1"/>
  <c r="H739" i="4"/>
  <c r="F739" i="4"/>
  <c r="K738" i="4"/>
  <c r="J738" i="4"/>
  <c r="H738" i="4"/>
  <c r="F738" i="4"/>
  <c r="L738" i="4" s="1"/>
  <c r="K737" i="4"/>
  <c r="J737" i="4"/>
  <c r="H737" i="4"/>
  <c r="F737" i="4"/>
  <c r="L737" i="4" s="1"/>
  <c r="K736" i="4"/>
  <c r="J736" i="4"/>
  <c r="H736" i="4"/>
  <c r="F736" i="4"/>
  <c r="L736" i="4" s="1"/>
  <c r="K735" i="4"/>
  <c r="J735" i="4"/>
  <c r="L735" i="4" s="1"/>
  <c r="H735" i="4"/>
  <c r="F735" i="4"/>
  <c r="L733" i="4"/>
  <c r="K733" i="4"/>
  <c r="J733" i="4"/>
  <c r="H733" i="4"/>
  <c r="F733" i="4"/>
  <c r="K732" i="4"/>
  <c r="J732" i="4"/>
  <c r="H732" i="4"/>
  <c r="F732" i="4"/>
  <c r="L731" i="4"/>
  <c r="K731" i="4"/>
  <c r="J731" i="4"/>
  <c r="H731" i="4"/>
  <c r="F731" i="4"/>
  <c r="K730" i="4"/>
  <c r="J730" i="4"/>
  <c r="H730" i="4"/>
  <c r="F730" i="4"/>
  <c r="K729" i="4"/>
  <c r="J729" i="4"/>
  <c r="H729" i="4"/>
  <c r="L729" i="4" s="1"/>
  <c r="F729" i="4"/>
  <c r="L728" i="4"/>
  <c r="K728" i="4"/>
  <c r="J728" i="4"/>
  <c r="H728" i="4"/>
  <c r="F728" i="4"/>
  <c r="K727" i="4"/>
  <c r="J727" i="4"/>
  <c r="H727" i="4"/>
  <c r="L727" i="4" s="1"/>
  <c r="F727" i="4"/>
  <c r="L726" i="4"/>
  <c r="K726" i="4"/>
  <c r="J726" i="4"/>
  <c r="H726" i="4"/>
  <c r="F726" i="4"/>
  <c r="K725" i="4"/>
  <c r="J725" i="4"/>
  <c r="J720" i="4" s="1"/>
  <c r="H725" i="4"/>
  <c r="F725" i="4"/>
  <c r="K724" i="4"/>
  <c r="J724" i="4"/>
  <c r="H724" i="4"/>
  <c r="H720" i="4" s="1"/>
  <c r="F724" i="4"/>
  <c r="K723" i="4"/>
  <c r="J723" i="4"/>
  <c r="H723" i="4"/>
  <c r="F723" i="4"/>
  <c r="L723" i="4" s="1"/>
  <c r="K719" i="4"/>
  <c r="J719" i="4"/>
  <c r="L719" i="4" s="1"/>
  <c r="H719" i="4"/>
  <c r="F719" i="4"/>
  <c r="K717" i="4"/>
  <c r="J717" i="4"/>
  <c r="H717" i="4"/>
  <c r="F717" i="4"/>
  <c r="L717" i="4" s="1"/>
  <c r="K716" i="4"/>
  <c r="J716" i="4"/>
  <c r="H716" i="4"/>
  <c r="L716" i="4" s="1"/>
  <c r="F716" i="4"/>
  <c r="K715" i="4"/>
  <c r="J715" i="4"/>
  <c r="H715" i="4"/>
  <c r="F715" i="4"/>
  <c r="L715" i="4" s="1"/>
  <c r="K714" i="4"/>
  <c r="J714" i="4"/>
  <c r="H714" i="4"/>
  <c r="F714" i="4"/>
  <c r="L714" i="4" s="1"/>
  <c r="L713" i="4"/>
  <c r="K713" i="4"/>
  <c r="J713" i="4"/>
  <c r="H713" i="4"/>
  <c r="F713" i="4"/>
  <c r="K711" i="4"/>
  <c r="J711" i="4"/>
  <c r="H711" i="4"/>
  <c r="F711" i="4"/>
  <c r="L709" i="4"/>
  <c r="K709" i="4"/>
  <c r="J709" i="4"/>
  <c r="J704" i="4" s="1"/>
  <c r="H709" i="4"/>
  <c r="H704" i="4" s="1"/>
  <c r="F709" i="4"/>
  <c r="K707" i="4"/>
  <c r="J707" i="4"/>
  <c r="H707" i="4"/>
  <c r="F707" i="4"/>
  <c r="L707" i="4" s="1"/>
  <c r="F704" i="4"/>
  <c r="L703" i="4"/>
  <c r="K703" i="4"/>
  <c r="J703" i="4"/>
  <c r="H703" i="4"/>
  <c r="F703" i="4"/>
  <c r="K702" i="4"/>
  <c r="J702" i="4"/>
  <c r="H702" i="4"/>
  <c r="F702" i="4"/>
  <c r="L702" i="4" s="1"/>
  <c r="K701" i="4"/>
  <c r="J701" i="4"/>
  <c r="H701" i="4"/>
  <c r="L701" i="4" s="1"/>
  <c r="F701" i="4"/>
  <c r="K700" i="4"/>
  <c r="J700" i="4"/>
  <c r="H700" i="4"/>
  <c r="F700" i="4"/>
  <c r="L700" i="4" s="1"/>
  <c r="K699" i="4"/>
  <c r="J699" i="4"/>
  <c r="H699" i="4"/>
  <c r="F699" i="4"/>
  <c r="L699" i="4" s="1"/>
  <c r="L698" i="4"/>
  <c r="K698" i="4"/>
  <c r="J698" i="4"/>
  <c r="H698" i="4"/>
  <c r="F698" i="4"/>
  <c r="K697" i="4"/>
  <c r="J697" i="4"/>
  <c r="H697" i="4"/>
  <c r="F697" i="4"/>
  <c r="L697" i="4" s="1"/>
  <c r="K696" i="4"/>
  <c r="J696" i="4"/>
  <c r="L696" i="4" s="1"/>
  <c r="H696" i="4"/>
  <c r="F696" i="4"/>
  <c r="K695" i="4"/>
  <c r="J695" i="4"/>
  <c r="H695" i="4"/>
  <c r="F695" i="4"/>
  <c r="L695" i="4" s="1"/>
  <c r="K694" i="4"/>
  <c r="J694" i="4"/>
  <c r="H694" i="4"/>
  <c r="F694" i="4"/>
  <c r="L694" i="4" s="1"/>
  <c r="K693" i="4"/>
  <c r="J693" i="4"/>
  <c r="H693" i="4"/>
  <c r="F693" i="4"/>
  <c r="L693" i="4" s="1"/>
  <c r="K692" i="4"/>
  <c r="J692" i="4"/>
  <c r="L692" i="4" s="1"/>
  <c r="H692" i="4"/>
  <c r="F692" i="4"/>
  <c r="L691" i="4"/>
  <c r="K691" i="4"/>
  <c r="J691" i="4"/>
  <c r="H691" i="4"/>
  <c r="F691" i="4"/>
  <c r="K690" i="4"/>
  <c r="J690" i="4"/>
  <c r="H690" i="4"/>
  <c r="F690" i="4"/>
  <c r="L689" i="4"/>
  <c r="K689" i="4"/>
  <c r="J689" i="4"/>
  <c r="H689" i="4"/>
  <c r="F689" i="4"/>
  <c r="K688" i="4"/>
  <c r="J688" i="4"/>
  <c r="H688" i="4"/>
  <c r="F688" i="4"/>
  <c r="L688" i="4" s="1"/>
  <c r="K687" i="4"/>
  <c r="J687" i="4"/>
  <c r="H687" i="4"/>
  <c r="L687" i="4" s="1"/>
  <c r="F687" i="4"/>
  <c r="L686" i="4"/>
  <c r="K686" i="4"/>
  <c r="J686" i="4"/>
  <c r="H686" i="4"/>
  <c r="F686" i="4"/>
  <c r="K685" i="4"/>
  <c r="J685" i="4"/>
  <c r="H685" i="4"/>
  <c r="L685" i="4" s="1"/>
  <c r="F685" i="4"/>
  <c r="L684" i="4"/>
  <c r="K684" i="4"/>
  <c r="J684" i="4"/>
  <c r="H684" i="4"/>
  <c r="F684" i="4"/>
  <c r="K682" i="4"/>
  <c r="J682" i="4"/>
  <c r="H682" i="4"/>
  <c r="F682" i="4"/>
  <c r="K680" i="4"/>
  <c r="J680" i="4"/>
  <c r="H680" i="4"/>
  <c r="L680" i="4" s="1"/>
  <c r="F680" i="4"/>
  <c r="K678" i="4"/>
  <c r="J678" i="4"/>
  <c r="H678" i="4"/>
  <c r="F678" i="4"/>
  <c r="L678" i="4" s="1"/>
  <c r="L677" i="4"/>
  <c r="K677" i="4"/>
  <c r="J677" i="4"/>
  <c r="H677" i="4"/>
  <c r="F677" i="4"/>
  <c r="L676" i="4"/>
  <c r="K676" i="4"/>
  <c r="J676" i="4"/>
  <c r="H676" i="4"/>
  <c r="F676" i="4"/>
  <c r="K675" i="4"/>
  <c r="J675" i="4"/>
  <c r="H675" i="4"/>
  <c r="F675" i="4"/>
  <c r="K673" i="4"/>
  <c r="J673" i="4"/>
  <c r="L673" i="4" s="1"/>
  <c r="H673" i="4"/>
  <c r="F673" i="4"/>
  <c r="K671" i="4"/>
  <c r="J671" i="4"/>
  <c r="H671" i="4"/>
  <c r="F671" i="4"/>
  <c r="K669" i="4"/>
  <c r="J669" i="4"/>
  <c r="H669" i="4"/>
  <c r="F669" i="4"/>
  <c r="L669" i="4" s="1"/>
  <c r="L668" i="4"/>
  <c r="K668" i="4"/>
  <c r="J668" i="4"/>
  <c r="H668" i="4"/>
  <c r="F668" i="4"/>
  <c r="K667" i="4"/>
  <c r="J667" i="4"/>
  <c r="H667" i="4"/>
  <c r="L667" i="4" s="1"/>
  <c r="F667" i="4"/>
  <c r="K666" i="4"/>
  <c r="J666" i="4"/>
  <c r="L666" i="4" s="1"/>
  <c r="H666" i="4"/>
  <c r="F666" i="4"/>
  <c r="K665" i="4"/>
  <c r="J665" i="4"/>
  <c r="H665" i="4"/>
  <c r="F665" i="4"/>
  <c r="L665" i="4" s="1"/>
  <c r="L663" i="4"/>
  <c r="K663" i="4"/>
  <c r="J663" i="4"/>
  <c r="H663" i="4"/>
  <c r="F663" i="4"/>
  <c r="K662" i="4"/>
  <c r="J662" i="4"/>
  <c r="H662" i="4"/>
  <c r="F662" i="4"/>
  <c r="K661" i="4"/>
  <c r="J661" i="4"/>
  <c r="H661" i="4"/>
  <c r="L661" i="4" s="1"/>
  <c r="F661" i="4"/>
  <c r="K660" i="4"/>
  <c r="J660" i="4"/>
  <c r="H660" i="4"/>
  <c r="F660" i="4"/>
  <c r="L660" i="4" s="1"/>
  <c r="K659" i="4"/>
  <c r="J659" i="4"/>
  <c r="H659" i="4"/>
  <c r="F659" i="4"/>
  <c r="K652" i="4"/>
  <c r="J652" i="4"/>
  <c r="H652" i="4"/>
  <c r="L652" i="4" s="1"/>
  <c r="F652" i="4"/>
  <c r="K651" i="4"/>
  <c r="J651" i="4"/>
  <c r="H651" i="4"/>
  <c r="F651" i="4"/>
  <c r="K650" i="4"/>
  <c r="J650" i="4"/>
  <c r="H650" i="4"/>
  <c r="F650" i="4"/>
  <c r="L650" i="4" s="1"/>
  <c r="K649" i="4"/>
  <c r="J649" i="4"/>
  <c r="H649" i="4"/>
  <c r="L649" i="4" s="1"/>
  <c r="F649" i="4"/>
  <c r="L648" i="4"/>
  <c r="K648" i="4"/>
  <c r="J648" i="4"/>
  <c r="H648" i="4"/>
  <c r="F648" i="4"/>
  <c r="K647" i="4"/>
  <c r="J647" i="4"/>
  <c r="L647" i="4" s="1"/>
  <c r="H647" i="4"/>
  <c r="F647" i="4"/>
  <c r="K646" i="4"/>
  <c r="J646" i="4"/>
  <c r="L646" i="4" s="1"/>
  <c r="H646" i="4"/>
  <c r="F646" i="4"/>
  <c r="K644" i="4"/>
  <c r="J644" i="4"/>
  <c r="H644" i="4"/>
  <c r="L644" i="4" s="1"/>
  <c r="F644" i="4"/>
  <c r="K643" i="4"/>
  <c r="J643" i="4"/>
  <c r="H643" i="4"/>
  <c r="F643" i="4"/>
  <c r="L642" i="4"/>
  <c r="K642" i="4"/>
  <c r="J642" i="4"/>
  <c r="H642" i="4"/>
  <c r="F642" i="4"/>
  <c r="K641" i="4"/>
  <c r="J641" i="4"/>
  <c r="H641" i="4"/>
  <c r="F641" i="4"/>
  <c r="L641" i="4" s="1"/>
  <c r="K640" i="4"/>
  <c r="J640" i="4"/>
  <c r="H640" i="4"/>
  <c r="F640" i="4"/>
  <c r="L639" i="4"/>
  <c r="K639" i="4"/>
  <c r="J639" i="4"/>
  <c r="H639" i="4"/>
  <c r="F639" i="4"/>
  <c r="K638" i="4"/>
  <c r="J638" i="4"/>
  <c r="H638" i="4"/>
  <c r="F638" i="4"/>
  <c r="K637" i="4"/>
  <c r="J637" i="4"/>
  <c r="H637" i="4"/>
  <c r="F637" i="4"/>
  <c r="L637" i="4" s="1"/>
  <c r="K636" i="4"/>
  <c r="J636" i="4"/>
  <c r="H636" i="4"/>
  <c r="L636" i="4" s="1"/>
  <c r="F636" i="4"/>
  <c r="K635" i="4"/>
  <c r="J635" i="4"/>
  <c r="H635" i="4"/>
  <c r="L635" i="4" s="1"/>
  <c r="F635" i="4"/>
  <c r="L634" i="4"/>
  <c r="K634" i="4"/>
  <c r="J634" i="4"/>
  <c r="H634" i="4"/>
  <c r="F634" i="4"/>
  <c r="K633" i="4"/>
  <c r="J633" i="4"/>
  <c r="H633" i="4"/>
  <c r="L633" i="4" s="1"/>
  <c r="F633" i="4"/>
  <c r="L632" i="4"/>
  <c r="K632" i="4"/>
  <c r="J632" i="4"/>
  <c r="H632" i="4"/>
  <c r="F632" i="4"/>
  <c r="K631" i="4"/>
  <c r="J631" i="4"/>
  <c r="H631" i="4"/>
  <c r="F631" i="4"/>
  <c r="K630" i="4"/>
  <c r="J630" i="4"/>
  <c r="H630" i="4"/>
  <c r="L630" i="4" s="1"/>
  <c r="F630" i="4"/>
  <c r="K628" i="4"/>
  <c r="J628" i="4"/>
  <c r="H628" i="4"/>
  <c r="F628" i="4"/>
  <c r="L628" i="4" s="1"/>
  <c r="K627" i="4"/>
  <c r="J627" i="4"/>
  <c r="H627" i="4"/>
  <c r="H624" i="4" s="1"/>
  <c r="F627" i="4"/>
  <c r="J624" i="4"/>
  <c r="K622" i="4"/>
  <c r="J622" i="4"/>
  <c r="H622" i="4"/>
  <c r="F622" i="4"/>
  <c r="L622" i="4" s="1"/>
  <c r="K621" i="4"/>
  <c r="J621" i="4"/>
  <c r="H621" i="4"/>
  <c r="L621" i="4" s="1"/>
  <c r="F621" i="4"/>
  <c r="L619" i="4"/>
  <c r="K619" i="4"/>
  <c r="J619" i="4"/>
  <c r="H619" i="4"/>
  <c r="F619" i="4"/>
  <c r="K618" i="4"/>
  <c r="J618" i="4"/>
  <c r="H618" i="4"/>
  <c r="F618" i="4"/>
  <c r="K616" i="4"/>
  <c r="J616" i="4"/>
  <c r="H616" i="4"/>
  <c r="L616" i="4" s="1"/>
  <c r="F616" i="4"/>
  <c r="K615" i="4"/>
  <c r="J615" i="4"/>
  <c r="H615" i="4"/>
  <c r="F615" i="4"/>
  <c r="L614" i="4"/>
  <c r="K614" i="4"/>
  <c r="J614" i="4"/>
  <c r="H614" i="4"/>
  <c r="F614" i="4"/>
  <c r="K612" i="4"/>
  <c r="J612" i="4"/>
  <c r="H612" i="4"/>
  <c r="L612" i="4" s="1"/>
  <c r="F612" i="4"/>
  <c r="K609" i="4"/>
  <c r="J609" i="4"/>
  <c r="H609" i="4"/>
  <c r="F609" i="4"/>
  <c r="L609" i="4" s="1"/>
  <c r="K608" i="4"/>
  <c r="J608" i="4"/>
  <c r="H608" i="4"/>
  <c r="L608" i="4" s="1"/>
  <c r="F608" i="4"/>
  <c r="K607" i="4"/>
  <c r="J607" i="4"/>
  <c r="H607" i="4"/>
  <c r="F607" i="4"/>
  <c r="L607" i="4" s="1"/>
  <c r="K605" i="4"/>
  <c r="J605" i="4"/>
  <c r="H605" i="4"/>
  <c r="L605" i="4" s="1"/>
  <c r="F605" i="4"/>
  <c r="L603" i="4"/>
  <c r="K603" i="4"/>
  <c r="J603" i="4"/>
  <c r="H603" i="4"/>
  <c r="F603" i="4"/>
  <c r="K601" i="4"/>
  <c r="J601" i="4"/>
  <c r="H601" i="4"/>
  <c r="F601" i="4"/>
  <c r="L601" i="4" s="1"/>
  <c r="K600" i="4"/>
  <c r="J600" i="4"/>
  <c r="L600" i="4" s="1"/>
  <c r="H600" i="4"/>
  <c r="F600" i="4"/>
  <c r="K599" i="4"/>
  <c r="J599" i="4"/>
  <c r="H599" i="4"/>
  <c r="L599" i="4" s="1"/>
  <c r="F599" i="4"/>
  <c r="K598" i="4"/>
  <c r="J598" i="4"/>
  <c r="H598" i="4"/>
  <c r="F598" i="4"/>
  <c r="L598" i="4" s="1"/>
  <c r="K597" i="4"/>
  <c r="J597" i="4"/>
  <c r="H597" i="4"/>
  <c r="F597" i="4"/>
  <c r="L597" i="4" s="1"/>
  <c r="L596" i="4"/>
  <c r="K596" i="4"/>
  <c r="J596" i="4"/>
  <c r="H596" i="4"/>
  <c r="F596" i="4"/>
  <c r="K595" i="4"/>
  <c r="J595" i="4"/>
  <c r="H595" i="4"/>
  <c r="F595" i="4"/>
  <c r="L595" i="4" s="1"/>
  <c r="K592" i="4"/>
  <c r="J592" i="4"/>
  <c r="H592" i="4"/>
  <c r="F592" i="4"/>
  <c r="L592" i="4" s="1"/>
  <c r="K590" i="4"/>
  <c r="J590" i="4"/>
  <c r="H590" i="4"/>
  <c r="L590" i="4" s="1"/>
  <c r="F590" i="4"/>
  <c r="K589" i="4"/>
  <c r="J589" i="4"/>
  <c r="H589" i="4"/>
  <c r="F589" i="4"/>
  <c r="L589" i="4" s="1"/>
  <c r="K587" i="4"/>
  <c r="J587" i="4"/>
  <c r="H587" i="4"/>
  <c r="L587" i="4" s="1"/>
  <c r="F587" i="4"/>
  <c r="L586" i="4"/>
  <c r="K586" i="4"/>
  <c r="J586" i="4"/>
  <c r="H586" i="4"/>
  <c r="F586" i="4"/>
  <c r="K585" i="4"/>
  <c r="J585" i="4"/>
  <c r="H585" i="4"/>
  <c r="F585" i="4"/>
  <c r="L585" i="4" s="1"/>
  <c r="K583" i="4"/>
  <c r="J583" i="4"/>
  <c r="L583" i="4" s="1"/>
  <c r="H583" i="4"/>
  <c r="F583" i="4"/>
  <c r="K582" i="4"/>
  <c r="J582" i="4"/>
  <c r="H582" i="4"/>
  <c r="L582" i="4" s="1"/>
  <c r="F582" i="4"/>
  <c r="K581" i="4"/>
  <c r="J581" i="4"/>
  <c r="H581" i="4"/>
  <c r="F581" i="4"/>
  <c r="L581" i="4" s="1"/>
  <c r="K580" i="4"/>
  <c r="J580" i="4"/>
  <c r="H580" i="4"/>
  <c r="F580" i="4"/>
  <c r="L580" i="4" s="1"/>
  <c r="L578" i="4"/>
  <c r="K578" i="4"/>
  <c r="J578" i="4"/>
  <c r="H578" i="4"/>
  <c r="F578" i="4"/>
  <c r="K576" i="4"/>
  <c r="J576" i="4"/>
  <c r="H576" i="4"/>
  <c r="F576" i="4"/>
  <c r="L576" i="4" s="1"/>
  <c r="K574" i="4"/>
  <c r="J574" i="4"/>
  <c r="H574" i="4"/>
  <c r="F574" i="4"/>
  <c r="L574" i="4" s="1"/>
  <c r="K573" i="4"/>
  <c r="J573" i="4"/>
  <c r="H573" i="4"/>
  <c r="L573" i="4" s="1"/>
  <c r="F573" i="4"/>
  <c r="K571" i="4"/>
  <c r="J571" i="4"/>
  <c r="H571" i="4"/>
  <c r="F571" i="4"/>
  <c r="L571" i="4" s="1"/>
  <c r="K570" i="4"/>
  <c r="J570" i="4"/>
  <c r="J567" i="4" s="1"/>
  <c r="H570" i="4"/>
  <c r="H567" i="4" s="1"/>
  <c r="F570" i="4"/>
  <c r="K566" i="4"/>
  <c r="J566" i="4"/>
  <c r="H566" i="4"/>
  <c r="F566" i="4"/>
  <c r="L566" i="4" s="1"/>
  <c r="K565" i="4"/>
  <c r="J565" i="4"/>
  <c r="H565" i="4"/>
  <c r="L565" i="4" s="1"/>
  <c r="F565" i="4"/>
  <c r="K564" i="4"/>
  <c r="J564" i="4"/>
  <c r="H564" i="4"/>
  <c r="F564" i="4"/>
  <c r="L564" i="4" s="1"/>
  <c r="K563" i="4"/>
  <c r="J563" i="4"/>
  <c r="H563" i="4"/>
  <c r="L563" i="4" s="1"/>
  <c r="F563" i="4"/>
  <c r="L562" i="4"/>
  <c r="K562" i="4"/>
  <c r="J562" i="4"/>
  <c r="H562" i="4"/>
  <c r="F562" i="4"/>
  <c r="K561" i="4"/>
  <c r="J561" i="4"/>
  <c r="H561" i="4"/>
  <c r="F561" i="4"/>
  <c r="L561" i="4" s="1"/>
  <c r="K560" i="4"/>
  <c r="J560" i="4"/>
  <c r="L560" i="4" s="1"/>
  <c r="H560" i="4"/>
  <c r="F560" i="4"/>
  <c r="K559" i="4"/>
  <c r="J559" i="4"/>
  <c r="H559" i="4"/>
  <c r="L559" i="4" s="1"/>
  <c r="F559" i="4"/>
  <c r="K557" i="4"/>
  <c r="J557" i="4"/>
  <c r="H557" i="4"/>
  <c r="F557" i="4"/>
  <c r="L557" i="4" s="1"/>
  <c r="K556" i="4"/>
  <c r="J556" i="4"/>
  <c r="H556" i="4"/>
  <c r="F556" i="4"/>
  <c r="L556" i="4" s="1"/>
  <c r="L554" i="4"/>
  <c r="K554" i="4"/>
  <c r="J554" i="4"/>
  <c r="H554" i="4"/>
  <c r="F554" i="4"/>
  <c r="K552" i="4"/>
  <c r="J552" i="4"/>
  <c r="H552" i="4"/>
  <c r="F552" i="4"/>
  <c r="L552" i="4" s="1"/>
  <c r="K551" i="4"/>
  <c r="J551" i="4"/>
  <c r="H551" i="4"/>
  <c r="F551" i="4"/>
  <c r="L551" i="4" s="1"/>
  <c r="K549" i="4"/>
  <c r="J549" i="4"/>
  <c r="H549" i="4"/>
  <c r="L549" i="4" s="1"/>
  <c r="F549" i="4"/>
  <c r="K548" i="4"/>
  <c r="J548" i="4"/>
  <c r="H548" i="4"/>
  <c r="F548" i="4"/>
  <c r="L548" i="4" s="1"/>
  <c r="K547" i="4"/>
  <c r="J547" i="4"/>
  <c r="H547" i="4"/>
  <c r="L547" i="4" s="1"/>
  <c r="F547" i="4"/>
  <c r="L546" i="4"/>
  <c r="K546" i="4"/>
  <c r="J546" i="4"/>
  <c r="H546" i="4"/>
  <c r="F546" i="4"/>
  <c r="K545" i="4"/>
  <c r="J545" i="4"/>
  <c r="H545" i="4"/>
  <c r="F545" i="4"/>
  <c r="L545" i="4" s="1"/>
  <c r="K542" i="4"/>
  <c r="J542" i="4"/>
  <c r="H542" i="4"/>
  <c r="F542" i="4"/>
  <c r="L542" i="4" s="1"/>
  <c r="K541" i="4"/>
  <c r="J541" i="4"/>
  <c r="H541" i="4"/>
  <c r="L541" i="4" s="1"/>
  <c r="F541" i="4"/>
  <c r="K540" i="4"/>
  <c r="J540" i="4"/>
  <c r="H540" i="4"/>
  <c r="F540" i="4"/>
  <c r="L540" i="4" s="1"/>
  <c r="K539" i="4"/>
  <c r="J539" i="4"/>
  <c r="H539" i="4"/>
  <c r="F539" i="4"/>
  <c r="L539" i="4" s="1"/>
  <c r="L538" i="4"/>
  <c r="K538" i="4"/>
  <c r="J538" i="4"/>
  <c r="H538" i="4"/>
  <c r="F538" i="4"/>
  <c r="K537" i="4"/>
  <c r="J537" i="4"/>
  <c r="H537" i="4"/>
  <c r="F537" i="4"/>
  <c r="L537" i="4" s="1"/>
  <c r="K536" i="4"/>
  <c r="J536" i="4"/>
  <c r="H536" i="4"/>
  <c r="F536" i="4"/>
  <c r="L536" i="4" s="1"/>
  <c r="K534" i="4"/>
  <c r="J534" i="4"/>
  <c r="H534" i="4"/>
  <c r="L534" i="4" s="1"/>
  <c r="F534" i="4"/>
  <c r="K533" i="4"/>
  <c r="J533" i="4"/>
  <c r="H533" i="4"/>
  <c r="F533" i="4"/>
  <c r="L533" i="4" s="1"/>
  <c r="K531" i="4"/>
  <c r="J531" i="4"/>
  <c r="H531" i="4"/>
  <c r="L531" i="4" s="1"/>
  <c r="F531" i="4"/>
  <c r="L530" i="4"/>
  <c r="K530" i="4"/>
  <c r="J530" i="4"/>
  <c r="H530" i="4"/>
  <c r="F530" i="4"/>
  <c r="K529" i="4"/>
  <c r="J529" i="4"/>
  <c r="H529" i="4"/>
  <c r="F529" i="4"/>
  <c r="L529" i="4" s="1"/>
  <c r="K528" i="4"/>
  <c r="J528" i="4"/>
  <c r="H528" i="4"/>
  <c r="F528" i="4"/>
  <c r="L528" i="4" s="1"/>
  <c r="K527" i="4"/>
  <c r="J527" i="4"/>
  <c r="H527" i="4"/>
  <c r="L527" i="4" s="1"/>
  <c r="F527" i="4"/>
  <c r="K526" i="4"/>
  <c r="J526" i="4"/>
  <c r="H526" i="4"/>
  <c r="F526" i="4"/>
  <c r="F514" i="4" s="1"/>
  <c r="K525" i="4"/>
  <c r="J525" i="4"/>
  <c r="H525" i="4"/>
  <c r="F525" i="4"/>
  <c r="L525" i="4" s="1"/>
  <c r="L524" i="4"/>
  <c r="K524" i="4"/>
  <c r="J524" i="4"/>
  <c r="H524" i="4"/>
  <c r="F524" i="4"/>
  <c r="K523" i="4"/>
  <c r="J523" i="4"/>
  <c r="H523" i="4"/>
  <c r="F523" i="4"/>
  <c r="L523" i="4" s="1"/>
  <c r="K522" i="4"/>
  <c r="J522" i="4"/>
  <c r="H522" i="4"/>
  <c r="F522" i="4"/>
  <c r="L522" i="4" s="1"/>
  <c r="K521" i="4"/>
  <c r="J521" i="4"/>
  <c r="H521" i="4"/>
  <c r="L521" i="4" s="1"/>
  <c r="F521" i="4"/>
  <c r="K520" i="4"/>
  <c r="J520" i="4"/>
  <c r="H520" i="4"/>
  <c r="F520" i="4"/>
  <c r="L520" i="4" s="1"/>
  <c r="K519" i="4"/>
  <c r="J519" i="4"/>
  <c r="H519" i="4"/>
  <c r="L519" i="4" s="1"/>
  <c r="F519" i="4"/>
  <c r="L518" i="4"/>
  <c r="K518" i="4"/>
  <c r="J518" i="4"/>
  <c r="H518" i="4"/>
  <c r="F518" i="4"/>
  <c r="K517" i="4"/>
  <c r="J517" i="4"/>
  <c r="H517" i="4"/>
  <c r="F517" i="4"/>
  <c r="L517" i="4" s="1"/>
  <c r="K516" i="4"/>
  <c r="J516" i="4"/>
  <c r="J514" i="4" s="1"/>
  <c r="H516" i="4"/>
  <c r="H514" i="4" s="1"/>
  <c r="F516" i="4"/>
  <c r="L516" i="4" s="1"/>
  <c r="K513" i="4"/>
  <c r="J513" i="4"/>
  <c r="H513" i="4"/>
  <c r="L513" i="4" s="1"/>
  <c r="F513" i="4"/>
  <c r="L512" i="4"/>
  <c r="K512" i="4"/>
  <c r="J512" i="4"/>
  <c r="H512" i="4"/>
  <c r="F512" i="4"/>
  <c r="K511" i="4"/>
  <c r="J511" i="4"/>
  <c r="H511" i="4"/>
  <c r="F511" i="4"/>
  <c r="L511" i="4" s="1"/>
  <c r="K510" i="4"/>
  <c r="J510" i="4"/>
  <c r="H510" i="4"/>
  <c r="F510" i="4"/>
  <c r="L510" i="4" s="1"/>
  <c r="K509" i="4"/>
  <c r="J509" i="4"/>
  <c r="H509" i="4"/>
  <c r="L509" i="4" s="1"/>
  <c r="F509" i="4"/>
  <c r="K508" i="4"/>
  <c r="J508" i="4"/>
  <c r="H508" i="4"/>
  <c r="F508" i="4"/>
  <c r="L508" i="4" s="1"/>
  <c r="K507" i="4"/>
  <c r="J507" i="4"/>
  <c r="H507" i="4"/>
  <c r="F507" i="4"/>
  <c r="L507" i="4" s="1"/>
  <c r="L506" i="4"/>
  <c r="K506" i="4"/>
  <c r="J506" i="4"/>
  <c r="H506" i="4"/>
  <c r="F506" i="4"/>
  <c r="K505" i="4"/>
  <c r="J505" i="4"/>
  <c r="H505" i="4"/>
  <c r="F505" i="4"/>
  <c r="L505" i="4" s="1"/>
  <c r="K504" i="4"/>
  <c r="J504" i="4"/>
  <c r="H504" i="4"/>
  <c r="F504" i="4"/>
  <c r="L504" i="4" s="1"/>
  <c r="K503" i="4"/>
  <c r="J503" i="4"/>
  <c r="H503" i="4"/>
  <c r="L503" i="4" s="1"/>
  <c r="F503" i="4"/>
  <c r="K502" i="4"/>
  <c r="J502" i="4"/>
  <c r="H502" i="4"/>
  <c r="F502" i="4"/>
  <c r="L502" i="4" s="1"/>
  <c r="K501" i="4"/>
  <c r="J501" i="4"/>
  <c r="H501" i="4"/>
  <c r="L501" i="4" s="1"/>
  <c r="F501" i="4"/>
  <c r="L500" i="4"/>
  <c r="K500" i="4"/>
  <c r="J500" i="4"/>
  <c r="H500" i="4"/>
  <c r="F500" i="4"/>
  <c r="K499" i="4"/>
  <c r="J499" i="4"/>
  <c r="H499" i="4"/>
  <c r="F499" i="4"/>
  <c r="L499" i="4" s="1"/>
  <c r="K498" i="4"/>
  <c r="J498" i="4"/>
  <c r="H498" i="4"/>
  <c r="F498" i="4"/>
  <c r="L498" i="4" s="1"/>
  <c r="K497" i="4"/>
  <c r="J497" i="4"/>
  <c r="H497" i="4"/>
  <c r="L497" i="4" s="1"/>
  <c r="F497" i="4"/>
  <c r="K496" i="4"/>
  <c r="J496" i="4"/>
  <c r="H496" i="4"/>
  <c r="F496" i="4"/>
  <c r="L496" i="4" s="1"/>
  <c r="K495" i="4"/>
  <c r="J495" i="4"/>
  <c r="H495" i="4"/>
  <c r="F495" i="4"/>
  <c r="L495" i="4" s="1"/>
  <c r="L494" i="4"/>
  <c r="K494" i="4"/>
  <c r="J494" i="4"/>
  <c r="H494" i="4"/>
  <c r="F494" i="4"/>
  <c r="K493" i="4"/>
  <c r="J493" i="4"/>
  <c r="H493" i="4"/>
  <c r="F493" i="4"/>
  <c r="L493" i="4" s="1"/>
  <c r="K491" i="4"/>
  <c r="J491" i="4"/>
  <c r="H491" i="4"/>
  <c r="F491" i="4"/>
  <c r="L491" i="4" s="1"/>
  <c r="K490" i="4"/>
  <c r="J490" i="4"/>
  <c r="H490" i="4"/>
  <c r="L490" i="4" s="1"/>
  <c r="F490" i="4"/>
  <c r="K489" i="4"/>
  <c r="J489" i="4"/>
  <c r="H489" i="4"/>
  <c r="F489" i="4"/>
  <c r="L489" i="4" s="1"/>
  <c r="K488" i="4"/>
  <c r="J488" i="4"/>
  <c r="H488" i="4"/>
  <c r="L488" i="4" s="1"/>
  <c r="F488" i="4"/>
  <c r="L486" i="4"/>
  <c r="K486" i="4"/>
  <c r="J486" i="4"/>
  <c r="H486" i="4"/>
  <c r="F486" i="4"/>
  <c r="K485" i="4"/>
  <c r="J485" i="4"/>
  <c r="H485" i="4"/>
  <c r="F485" i="4"/>
  <c r="L485" i="4" s="1"/>
  <c r="K484" i="4"/>
  <c r="J484" i="4"/>
  <c r="L484" i="4" s="1"/>
  <c r="H484" i="4"/>
  <c r="F484" i="4"/>
  <c r="K483" i="4"/>
  <c r="J483" i="4"/>
  <c r="H483" i="4"/>
  <c r="L483" i="4" s="1"/>
  <c r="F483" i="4"/>
  <c r="K482" i="4"/>
  <c r="J482" i="4"/>
  <c r="H482" i="4"/>
  <c r="F482" i="4"/>
  <c r="L482" i="4" s="1"/>
  <c r="K481" i="4"/>
  <c r="J481" i="4"/>
  <c r="H481" i="4"/>
  <c r="L481" i="4" s="1"/>
  <c r="F481" i="4"/>
  <c r="L480" i="4"/>
  <c r="K480" i="4"/>
  <c r="J480" i="4"/>
  <c r="H480" i="4"/>
  <c r="F480" i="4"/>
  <c r="K479" i="4"/>
  <c r="J479" i="4"/>
  <c r="H479" i="4"/>
  <c r="F479" i="4"/>
  <c r="L479" i="4" s="1"/>
  <c r="K478" i="4"/>
  <c r="J478" i="4"/>
  <c r="H478" i="4"/>
  <c r="F478" i="4"/>
  <c r="L478" i="4" s="1"/>
  <c r="K476" i="4"/>
  <c r="J476" i="4"/>
  <c r="H476" i="4"/>
  <c r="L476" i="4" s="1"/>
  <c r="F476" i="4"/>
  <c r="K475" i="4"/>
  <c r="J475" i="4"/>
  <c r="H475" i="4"/>
  <c r="F475" i="4"/>
  <c r="L475" i="4" s="1"/>
  <c r="K474" i="4"/>
  <c r="J474" i="4"/>
  <c r="H474" i="4"/>
  <c r="L474" i="4" s="1"/>
  <c r="F474" i="4"/>
  <c r="L473" i="4"/>
  <c r="K473" i="4"/>
  <c r="J473" i="4"/>
  <c r="H473" i="4"/>
  <c r="F473" i="4"/>
  <c r="K472" i="4"/>
  <c r="J472" i="4"/>
  <c r="H472" i="4"/>
  <c r="F472" i="4"/>
  <c r="L472" i="4" s="1"/>
  <c r="K471" i="4"/>
  <c r="J471" i="4"/>
  <c r="H471" i="4"/>
  <c r="F471" i="4"/>
  <c r="L471" i="4" s="1"/>
  <c r="K470" i="4"/>
  <c r="J470" i="4"/>
  <c r="H470" i="4"/>
  <c r="F470" i="4"/>
  <c r="L470" i="4" s="1"/>
  <c r="K469" i="4"/>
  <c r="J469" i="4"/>
  <c r="H469" i="4"/>
  <c r="F469" i="4"/>
  <c r="L469" i="4" s="1"/>
  <c r="K468" i="4"/>
  <c r="J468" i="4"/>
  <c r="H468" i="4"/>
  <c r="F468" i="4"/>
  <c r="L468" i="4" s="1"/>
  <c r="L465" i="4"/>
  <c r="K465" i="4"/>
  <c r="J465" i="4"/>
  <c r="H465" i="4"/>
  <c r="F465" i="4"/>
  <c r="K463" i="4"/>
  <c r="J463" i="4"/>
  <c r="H463" i="4"/>
  <c r="F463" i="4"/>
  <c r="L463" i="4" s="1"/>
  <c r="K462" i="4"/>
  <c r="J462" i="4"/>
  <c r="H462" i="4"/>
  <c r="F462" i="4"/>
  <c r="L462" i="4" s="1"/>
  <c r="K461" i="4"/>
  <c r="J461" i="4"/>
  <c r="H461" i="4"/>
  <c r="L461" i="4" s="1"/>
  <c r="F461" i="4"/>
  <c r="K460" i="4"/>
  <c r="J460" i="4"/>
  <c r="H460" i="4"/>
  <c r="F460" i="4"/>
  <c r="L460" i="4" s="1"/>
  <c r="K457" i="4"/>
  <c r="J457" i="4"/>
  <c r="H457" i="4"/>
  <c r="L457" i="4" s="1"/>
  <c r="F457" i="4"/>
  <c r="L456" i="4"/>
  <c r="K456" i="4"/>
  <c r="J456" i="4"/>
  <c r="H456" i="4"/>
  <c r="F456" i="4"/>
  <c r="K455" i="4"/>
  <c r="J455" i="4"/>
  <c r="H455" i="4"/>
  <c r="F455" i="4"/>
  <c r="L455" i="4" s="1"/>
  <c r="K454" i="4"/>
  <c r="J454" i="4"/>
  <c r="H454" i="4"/>
  <c r="F454" i="4"/>
  <c r="L454" i="4" s="1"/>
  <c r="K453" i="4"/>
  <c r="J453" i="4"/>
  <c r="H453" i="4"/>
  <c r="F453" i="4"/>
  <c r="L453" i="4" s="1"/>
  <c r="K452" i="4"/>
  <c r="J452" i="4"/>
  <c r="H452" i="4"/>
  <c r="F452" i="4"/>
  <c r="L452" i="4" s="1"/>
  <c r="K451" i="4"/>
  <c r="J451" i="4"/>
  <c r="H451" i="4"/>
  <c r="F451" i="4"/>
  <c r="L451" i="4" s="1"/>
  <c r="L449" i="4"/>
  <c r="K449" i="4"/>
  <c r="J449" i="4"/>
  <c r="H449" i="4"/>
  <c r="F449" i="4"/>
  <c r="K448" i="4"/>
  <c r="J448" i="4"/>
  <c r="H448" i="4"/>
  <c r="F448" i="4"/>
  <c r="L448" i="4" s="1"/>
  <c r="K447" i="4"/>
  <c r="J447" i="4"/>
  <c r="H447" i="4"/>
  <c r="F447" i="4"/>
  <c r="L447" i="4" s="1"/>
  <c r="K446" i="4"/>
  <c r="J446" i="4"/>
  <c r="H446" i="4"/>
  <c r="L446" i="4" s="1"/>
  <c r="F446" i="4"/>
  <c r="K445" i="4"/>
  <c r="J445" i="4"/>
  <c r="H445" i="4"/>
  <c r="F445" i="4"/>
  <c r="L445" i="4" s="1"/>
  <c r="K443" i="4"/>
  <c r="J443" i="4"/>
  <c r="H443" i="4"/>
  <c r="L443" i="4" s="1"/>
  <c r="F443" i="4"/>
  <c r="L441" i="4"/>
  <c r="K441" i="4"/>
  <c r="J441" i="4"/>
  <c r="H441" i="4"/>
  <c r="F441" i="4"/>
  <c r="K440" i="4"/>
  <c r="J440" i="4"/>
  <c r="H440" i="4"/>
  <c r="F440" i="4"/>
  <c r="L440" i="4" s="1"/>
  <c r="K439" i="4"/>
  <c r="J439" i="4"/>
  <c r="H439" i="4"/>
  <c r="F439" i="4"/>
  <c r="L439" i="4" s="1"/>
  <c r="K436" i="4"/>
  <c r="J436" i="4"/>
  <c r="H436" i="4"/>
  <c r="F436" i="4"/>
  <c r="L436" i="4" s="1"/>
  <c r="K435" i="4"/>
  <c r="J435" i="4"/>
  <c r="H435" i="4"/>
  <c r="F435" i="4"/>
  <c r="F417" i="4" s="1"/>
  <c r="K432" i="4"/>
  <c r="J432" i="4"/>
  <c r="H432" i="4"/>
  <c r="F432" i="4"/>
  <c r="L432" i="4" s="1"/>
  <c r="L431" i="4"/>
  <c r="K431" i="4"/>
  <c r="J431" i="4"/>
  <c r="H431" i="4"/>
  <c r="F431" i="4"/>
  <c r="K430" i="4"/>
  <c r="J430" i="4"/>
  <c r="H430" i="4"/>
  <c r="F430" i="4"/>
  <c r="L430" i="4" s="1"/>
  <c r="K429" i="4"/>
  <c r="J429" i="4"/>
  <c r="H429" i="4"/>
  <c r="F429" i="4"/>
  <c r="L429" i="4" s="1"/>
  <c r="K428" i="4"/>
  <c r="J428" i="4"/>
  <c r="H428" i="4"/>
  <c r="L428" i="4" s="1"/>
  <c r="F428" i="4"/>
  <c r="K427" i="4"/>
  <c r="J427" i="4"/>
  <c r="H427" i="4"/>
  <c r="F427" i="4"/>
  <c r="L427" i="4" s="1"/>
  <c r="K426" i="4"/>
  <c r="J426" i="4"/>
  <c r="H426" i="4"/>
  <c r="L426" i="4" s="1"/>
  <c r="F426" i="4"/>
  <c r="L424" i="4"/>
  <c r="K424" i="4"/>
  <c r="J424" i="4"/>
  <c r="H424" i="4"/>
  <c r="F424" i="4"/>
  <c r="K422" i="4"/>
  <c r="J422" i="4"/>
  <c r="H422" i="4"/>
  <c r="F422" i="4"/>
  <c r="L422" i="4" s="1"/>
  <c r="K420" i="4"/>
  <c r="J420" i="4"/>
  <c r="J417" i="4" s="1"/>
  <c r="H420" i="4"/>
  <c r="H417" i="4" s="1"/>
  <c r="F420" i="4"/>
  <c r="L420" i="4" s="1"/>
  <c r="K416" i="4"/>
  <c r="J416" i="4"/>
  <c r="H416" i="4"/>
  <c r="L416" i="4" s="1"/>
  <c r="F416" i="4"/>
  <c r="L414" i="4"/>
  <c r="K414" i="4"/>
  <c r="J414" i="4"/>
  <c r="H414" i="4"/>
  <c r="F414" i="4"/>
  <c r="K413" i="4"/>
  <c r="J413" i="4"/>
  <c r="H413" i="4"/>
  <c r="F413" i="4"/>
  <c r="L413" i="4" s="1"/>
  <c r="K412" i="4"/>
  <c r="J412" i="4"/>
  <c r="H412" i="4"/>
  <c r="F412" i="4"/>
  <c r="L412" i="4" s="1"/>
  <c r="K410" i="4"/>
  <c r="J410" i="4"/>
  <c r="H410" i="4"/>
  <c r="F410" i="4"/>
  <c r="L410" i="4" s="1"/>
  <c r="K409" i="4"/>
  <c r="J409" i="4"/>
  <c r="H409" i="4"/>
  <c r="F409" i="4"/>
  <c r="L409" i="4" s="1"/>
  <c r="K408" i="4"/>
  <c r="J408" i="4"/>
  <c r="H408" i="4"/>
  <c r="F408" i="4"/>
  <c r="L408" i="4" s="1"/>
  <c r="L407" i="4"/>
  <c r="K407" i="4"/>
  <c r="J407" i="4"/>
  <c r="H407" i="4"/>
  <c r="F407" i="4"/>
  <c r="K406" i="4"/>
  <c r="J406" i="4"/>
  <c r="H406" i="4"/>
  <c r="F406" i="4"/>
  <c r="L406" i="4" s="1"/>
  <c r="K405" i="4"/>
  <c r="J405" i="4"/>
  <c r="H405" i="4"/>
  <c r="F405" i="4"/>
  <c r="L405" i="4" s="1"/>
  <c r="K404" i="4"/>
  <c r="J404" i="4"/>
  <c r="H404" i="4"/>
  <c r="L404" i="4" s="1"/>
  <c r="F404" i="4"/>
  <c r="K403" i="4"/>
  <c r="J403" i="4"/>
  <c r="H403" i="4"/>
  <c r="F403" i="4"/>
  <c r="L403" i="4" s="1"/>
  <c r="K402" i="4"/>
  <c r="J402" i="4"/>
  <c r="H402" i="4"/>
  <c r="L402" i="4" s="1"/>
  <c r="F402" i="4"/>
  <c r="L401" i="4"/>
  <c r="K401" i="4"/>
  <c r="J401" i="4"/>
  <c r="H401" i="4"/>
  <c r="F401" i="4"/>
  <c r="K399" i="4"/>
  <c r="J399" i="4"/>
  <c r="H399" i="4"/>
  <c r="F399" i="4"/>
  <c r="L399" i="4" s="1"/>
  <c r="K398" i="4"/>
  <c r="J398" i="4"/>
  <c r="H398" i="4"/>
  <c r="F398" i="4"/>
  <c r="L398" i="4" s="1"/>
  <c r="K397" i="4"/>
  <c r="J397" i="4"/>
  <c r="H397" i="4"/>
  <c r="F397" i="4"/>
  <c r="L397" i="4" s="1"/>
  <c r="K396" i="4"/>
  <c r="J396" i="4"/>
  <c r="H396" i="4"/>
  <c r="F396" i="4"/>
  <c r="L396" i="4" s="1"/>
  <c r="K394" i="4"/>
  <c r="J394" i="4"/>
  <c r="H394" i="4"/>
  <c r="F394" i="4"/>
  <c r="L394" i="4" s="1"/>
  <c r="L393" i="4"/>
  <c r="K393" i="4"/>
  <c r="J393" i="4"/>
  <c r="H393" i="4"/>
  <c r="F393" i="4"/>
  <c r="K392" i="4"/>
  <c r="J392" i="4"/>
  <c r="H392" i="4"/>
  <c r="F392" i="4"/>
  <c r="L392" i="4" s="1"/>
  <c r="K391" i="4"/>
  <c r="J391" i="4"/>
  <c r="H391" i="4"/>
  <c r="F391" i="4"/>
  <c r="L391" i="4" s="1"/>
  <c r="K390" i="4"/>
  <c r="J390" i="4"/>
  <c r="H390" i="4"/>
  <c r="L390" i="4" s="1"/>
  <c r="F390" i="4"/>
  <c r="K388" i="4"/>
  <c r="J388" i="4"/>
  <c r="H388" i="4"/>
  <c r="F388" i="4"/>
  <c r="L388" i="4" s="1"/>
  <c r="K387" i="4"/>
  <c r="J387" i="4"/>
  <c r="H387" i="4"/>
  <c r="L387" i="4" s="1"/>
  <c r="F387" i="4"/>
  <c r="L385" i="4"/>
  <c r="K385" i="4"/>
  <c r="J385" i="4"/>
  <c r="H385" i="4"/>
  <c r="F385" i="4"/>
  <c r="K384" i="4"/>
  <c r="J384" i="4"/>
  <c r="H384" i="4"/>
  <c r="F384" i="4"/>
  <c r="L384" i="4" s="1"/>
  <c r="K383" i="4"/>
  <c r="J383" i="4"/>
  <c r="H383" i="4"/>
  <c r="F383" i="4"/>
  <c r="L383" i="4" s="1"/>
  <c r="K382" i="4"/>
  <c r="J382" i="4"/>
  <c r="H382" i="4"/>
  <c r="F382" i="4"/>
  <c r="L382" i="4" s="1"/>
  <c r="K380" i="4"/>
  <c r="J380" i="4"/>
  <c r="H380" i="4"/>
  <c r="F380" i="4"/>
  <c r="L380" i="4" s="1"/>
  <c r="K379" i="4"/>
  <c r="J379" i="4"/>
  <c r="H379" i="4"/>
  <c r="F379" i="4"/>
  <c r="L379" i="4" s="1"/>
  <c r="L378" i="4"/>
  <c r="K378" i="4"/>
  <c r="J378" i="4"/>
  <c r="H378" i="4"/>
  <c r="F378" i="4"/>
  <c r="K375" i="4"/>
  <c r="J375" i="4"/>
  <c r="H375" i="4"/>
  <c r="F375" i="4"/>
  <c r="L375" i="4" s="1"/>
  <c r="K374" i="4"/>
  <c r="J374" i="4"/>
  <c r="H374" i="4"/>
  <c r="F374" i="4"/>
  <c r="L374" i="4" s="1"/>
  <c r="K372" i="4"/>
  <c r="J372" i="4"/>
  <c r="H372" i="4"/>
  <c r="L372" i="4" s="1"/>
  <c r="F372" i="4"/>
  <c r="K371" i="4"/>
  <c r="J371" i="4"/>
  <c r="H371" i="4"/>
  <c r="F371" i="4"/>
  <c r="L371" i="4" s="1"/>
  <c r="K369" i="4"/>
  <c r="J369" i="4"/>
  <c r="H369" i="4"/>
  <c r="L369" i="4" s="1"/>
  <c r="F369" i="4"/>
  <c r="L368" i="4"/>
  <c r="K368" i="4"/>
  <c r="J368" i="4"/>
  <c r="H368" i="4"/>
  <c r="F368" i="4"/>
  <c r="K367" i="4"/>
  <c r="J367" i="4"/>
  <c r="H367" i="4"/>
  <c r="F367" i="4"/>
  <c r="L367" i="4" s="1"/>
  <c r="K364" i="4"/>
  <c r="J364" i="4"/>
  <c r="H364" i="4"/>
  <c r="F364" i="4"/>
  <c r="L364" i="4" s="1"/>
  <c r="K363" i="4"/>
  <c r="J363" i="4"/>
  <c r="H363" i="4"/>
  <c r="F363" i="4"/>
  <c r="L363" i="4" s="1"/>
  <c r="K361" i="4"/>
  <c r="J361" i="4"/>
  <c r="H361" i="4"/>
  <c r="F361" i="4"/>
  <c r="L361" i="4" s="1"/>
  <c r="K360" i="4"/>
  <c r="J360" i="4"/>
  <c r="H360" i="4"/>
  <c r="F360" i="4"/>
  <c r="L360" i="4" s="1"/>
  <c r="L357" i="4"/>
  <c r="K357" i="4"/>
  <c r="J357" i="4"/>
  <c r="H357" i="4"/>
  <c r="F357" i="4"/>
  <c r="K355" i="4"/>
  <c r="J355" i="4"/>
  <c r="H355" i="4"/>
  <c r="F355" i="4"/>
  <c r="L355" i="4" s="1"/>
  <c r="K353" i="4"/>
  <c r="J353" i="4"/>
  <c r="H353" i="4"/>
  <c r="F353" i="4"/>
  <c r="L353" i="4" s="1"/>
  <c r="K351" i="4"/>
  <c r="J351" i="4"/>
  <c r="H351" i="4"/>
  <c r="L351" i="4" s="1"/>
  <c r="F351" i="4"/>
  <c r="K350" i="4"/>
  <c r="J350" i="4"/>
  <c r="H350" i="4"/>
  <c r="F350" i="4"/>
  <c r="L350" i="4" s="1"/>
  <c r="L349" i="4"/>
  <c r="K349" i="4"/>
  <c r="J349" i="4"/>
  <c r="H349" i="4"/>
  <c r="F349" i="4"/>
  <c r="L346" i="4"/>
  <c r="K346" i="4"/>
  <c r="J346" i="4"/>
  <c r="H346" i="4"/>
  <c r="F346" i="4"/>
  <c r="K344" i="4"/>
  <c r="J344" i="4"/>
  <c r="H344" i="4"/>
  <c r="F344" i="4"/>
  <c r="L344" i="4" s="1"/>
  <c r="K343" i="4"/>
  <c r="J343" i="4"/>
  <c r="H343" i="4"/>
  <c r="F343" i="4"/>
  <c r="L343" i="4" s="1"/>
  <c r="K342" i="4"/>
  <c r="J342" i="4"/>
  <c r="H342" i="4"/>
  <c r="F342" i="4"/>
  <c r="L342" i="4" s="1"/>
  <c r="K340" i="4"/>
  <c r="J340" i="4"/>
  <c r="H340" i="4"/>
  <c r="F340" i="4"/>
  <c r="L340" i="4" s="1"/>
  <c r="K339" i="4"/>
  <c r="J339" i="4"/>
  <c r="H339" i="4"/>
  <c r="F339" i="4"/>
  <c r="L339" i="4" s="1"/>
  <c r="L337" i="4"/>
  <c r="K337" i="4"/>
  <c r="J337" i="4"/>
  <c r="H337" i="4"/>
  <c r="F337" i="4"/>
  <c r="K335" i="4"/>
  <c r="J335" i="4"/>
  <c r="H335" i="4"/>
  <c r="F335" i="4"/>
  <c r="L335" i="4" s="1"/>
  <c r="K334" i="4"/>
  <c r="J334" i="4"/>
  <c r="H334" i="4"/>
  <c r="F334" i="4"/>
  <c r="L334" i="4" s="1"/>
  <c r="K332" i="4"/>
  <c r="J332" i="4"/>
  <c r="H332" i="4"/>
  <c r="L332" i="4" s="1"/>
  <c r="F332" i="4"/>
  <c r="K331" i="4"/>
  <c r="J331" i="4"/>
  <c r="H331" i="4"/>
  <c r="F331" i="4"/>
  <c r="L331" i="4" s="1"/>
  <c r="L328" i="4"/>
  <c r="K328" i="4"/>
  <c r="J328" i="4"/>
  <c r="H328" i="4"/>
  <c r="F328" i="4"/>
  <c r="L327" i="4"/>
  <c r="K327" i="4"/>
  <c r="J327" i="4"/>
  <c r="H327" i="4"/>
  <c r="F327" i="4"/>
  <c r="K326" i="4"/>
  <c r="J326" i="4"/>
  <c r="H326" i="4"/>
  <c r="F326" i="4"/>
  <c r="L326" i="4" s="1"/>
  <c r="K324" i="4"/>
  <c r="J324" i="4"/>
  <c r="H324" i="4"/>
  <c r="F324" i="4"/>
  <c r="L324" i="4" s="1"/>
  <c r="K323" i="4"/>
  <c r="J323" i="4"/>
  <c r="H323" i="4"/>
  <c r="F323" i="4"/>
  <c r="L323" i="4" s="1"/>
  <c r="K321" i="4"/>
  <c r="J321" i="4"/>
  <c r="H321" i="4"/>
  <c r="F321" i="4"/>
  <c r="L321" i="4" s="1"/>
  <c r="K320" i="4"/>
  <c r="J320" i="4"/>
  <c r="H320" i="4"/>
  <c r="F320" i="4"/>
  <c r="L320" i="4" s="1"/>
  <c r="L319" i="4"/>
  <c r="K319" i="4"/>
  <c r="J319" i="4"/>
  <c r="H319" i="4"/>
  <c r="F319" i="4"/>
  <c r="K318" i="4"/>
  <c r="J318" i="4"/>
  <c r="H318" i="4"/>
  <c r="F318" i="4"/>
  <c r="L318" i="4" s="1"/>
  <c r="K316" i="4"/>
  <c r="J316" i="4"/>
  <c r="H316" i="4"/>
  <c r="F316" i="4"/>
  <c r="L316" i="4" s="1"/>
  <c r="K315" i="4"/>
  <c r="J315" i="4"/>
  <c r="H315" i="4"/>
  <c r="L315" i="4" s="1"/>
  <c r="F315" i="4"/>
  <c r="K313" i="4"/>
  <c r="J313" i="4"/>
  <c r="H313" i="4"/>
  <c r="F313" i="4"/>
  <c r="L313" i="4" s="1"/>
  <c r="L312" i="4"/>
  <c r="K312" i="4"/>
  <c r="J312" i="4"/>
  <c r="H312" i="4"/>
  <c r="F312" i="4"/>
  <c r="L310" i="4"/>
  <c r="K310" i="4"/>
  <c r="J310" i="4"/>
  <c r="H310" i="4"/>
  <c r="F310" i="4"/>
  <c r="K309" i="4"/>
  <c r="J309" i="4"/>
  <c r="H309" i="4"/>
  <c r="F309" i="4"/>
  <c r="L309" i="4" s="1"/>
  <c r="K307" i="4"/>
  <c r="J307" i="4"/>
  <c r="J288" i="4" s="1"/>
  <c r="H307" i="4"/>
  <c r="F307" i="4"/>
  <c r="L307" i="4" s="1"/>
  <c r="K306" i="4"/>
  <c r="J306" i="4"/>
  <c r="H306" i="4"/>
  <c r="F306" i="4"/>
  <c r="L306" i="4" s="1"/>
  <c r="K305" i="4"/>
  <c r="J305" i="4"/>
  <c r="H305" i="4"/>
  <c r="F305" i="4"/>
  <c r="L305" i="4" s="1"/>
  <c r="K304" i="4"/>
  <c r="J304" i="4"/>
  <c r="L304" i="4" s="1"/>
  <c r="H304" i="4"/>
  <c r="F304" i="4"/>
  <c r="L302" i="4"/>
  <c r="K302" i="4"/>
  <c r="J302" i="4"/>
  <c r="H302" i="4"/>
  <c r="F302" i="4"/>
  <c r="K301" i="4"/>
  <c r="J301" i="4"/>
  <c r="H301" i="4"/>
  <c r="F301" i="4"/>
  <c r="L301" i="4" s="1"/>
  <c r="K298" i="4"/>
  <c r="J298" i="4"/>
  <c r="H298" i="4"/>
  <c r="F298" i="4"/>
  <c r="L298" i="4" s="1"/>
  <c r="K296" i="4"/>
  <c r="J296" i="4"/>
  <c r="H296" i="4"/>
  <c r="H288" i="4" s="1"/>
  <c r="F296" i="4"/>
  <c r="K295" i="4"/>
  <c r="J295" i="4"/>
  <c r="H295" i="4"/>
  <c r="F295" i="4"/>
  <c r="L295" i="4" s="1"/>
  <c r="L293" i="4"/>
  <c r="K293" i="4"/>
  <c r="J293" i="4"/>
  <c r="H293" i="4"/>
  <c r="F293" i="4"/>
  <c r="L292" i="4"/>
  <c r="K292" i="4"/>
  <c r="J292" i="4"/>
  <c r="H292" i="4"/>
  <c r="F292" i="4"/>
  <c r="K287" i="4"/>
  <c r="J287" i="4"/>
  <c r="H287" i="4"/>
  <c r="L287" i="4" s="1"/>
  <c r="F287" i="4"/>
  <c r="K285" i="4"/>
  <c r="J285" i="4"/>
  <c r="H285" i="4"/>
  <c r="F285" i="4"/>
  <c r="L285" i="4" s="1"/>
  <c r="L284" i="4"/>
  <c r="K284" i="4"/>
  <c r="J284" i="4"/>
  <c r="H284" i="4"/>
  <c r="F284" i="4"/>
  <c r="L283" i="4"/>
  <c r="K283" i="4"/>
  <c r="J283" i="4"/>
  <c r="H283" i="4"/>
  <c r="F283" i="4"/>
  <c r="K281" i="4"/>
  <c r="J281" i="4"/>
  <c r="H281" i="4"/>
  <c r="F281" i="4"/>
  <c r="L281" i="4" s="1"/>
  <c r="K280" i="4"/>
  <c r="J280" i="4"/>
  <c r="H280" i="4"/>
  <c r="F280" i="4"/>
  <c r="L280" i="4" s="1"/>
  <c r="K278" i="4"/>
  <c r="J278" i="4"/>
  <c r="H278" i="4"/>
  <c r="F278" i="4"/>
  <c r="L278" i="4" s="1"/>
  <c r="K277" i="4"/>
  <c r="J277" i="4"/>
  <c r="H277" i="4"/>
  <c r="F277" i="4"/>
  <c r="L277" i="4" s="1"/>
  <c r="K276" i="4"/>
  <c r="J276" i="4"/>
  <c r="L276" i="4" s="1"/>
  <c r="H276" i="4"/>
  <c r="F276" i="4"/>
  <c r="L275" i="4"/>
  <c r="K275" i="4"/>
  <c r="J275" i="4"/>
  <c r="H275" i="4"/>
  <c r="F275" i="4"/>
  <c r="K273" i="4"/>
  <c r="J273" i="4"/>
  <c r="H273" i="4"/>
  <c r="F273" i="4"/>
  <c r="L273" i="4" s="1"/>
  <c r="K271" i="4"/>
  <c r="J271" i="4"/>
  <c r="H271" i="4"/>
  <c r="F271" i="4"/>
  <c r="L271" i="4" s="1"/>
  <c r="K270" i="4"/>
  <c r="J270" i="4"/>
  <c r="H270" i="4"/>
  <c r="L270" i="4" s="1"/>
  <c r="F270" i="4"/>
  <c r="K267" i="4"/>
  <c r="J267" i="4"/>
  <c r="H267" i="4"/>
  <c r="F267" i="4"/>
  <c r="L267" i="4" s="1"/>
  <c r="L266" i="4"/>
  <c r="K266" i="4"/>
  <c r="J266" i="4"/>
  <c r="H266" i="4"/>
  <c r="F266" i="4"/>
  <c r="L265" i="4"/>
  <c r="K265" i="4"/>
  <c r="J265" i="4"/>
  <c r="H265" i="4"/>
  <c r="F265" i="4"/>
  <c r="K263" i="4"/>
  <c r="J263" i="4"/>
  <c r="H263" i="4"/>
  <c r="F263" i="4"/>
  <c r="L263" i="4" s="1"/>
  <c r="K262" i="4"/>
  <c r="J262" i="4"/>
  <c r="H262" i="4"/>
  <c r="F262" i="4"/>
  <c r="L262" i="4" s="1"/>
  <c r="K261" i="4"/>
  <c r="J261" i="4"/>
  <c r="H261" i="4"/>
  <c r="F261" i="4"/>
  <c r="L261" i="4" s="1"/>
  <c r="K259" i="4"/>
  <c r="J259" i="4"/>
  <c r="H259" i="4"/>
  <c r="F259" i="4"/>
  <c r="L259" i="4" s="1"/>
  <c r="K258" i="4"/>
  <c r="J258" i="4"/>
  <c r="L258" i="4" s="1"/>
  <c r="H258" i="4"/>
  <c r="F258" i="4"/>
  <c r="L257" i="4"/>
  <c r="K257" i="4"/>
  <c r="J257" i="4"/>
  <c r="H257" i="4"/>
  <c r="F257" i="4"/>
  <c r="K256" i="4"/>
  <c r="J256" i="4"/>
  <c r="H256" i="4"/>
  <c r="F256" i="4"/>
  <c r="L256" i="4" s="1"/>
  <c r="K255" i="4"/>
  <c r="J255" i="4"/>
  <c r="H255" i="4"/>
  <c r="F255" i="4"/>
  <c r="L255" i="4" s="1"/>
  <c r="K254" i="4"/>
  <c r="J254" i="4"/>
  <c r="H254" i="4"/>
  <c r="L254" i="4" s="1"/>
  <c r="F254" i="4"/>
  <c r="K253" i="4"/>
  <c r="J253" i="4"/>
  <c r="H253" i="4"/>
  <c r="F253" i="4"/>
  <c r="L253" i="4" s="1"/>
  <c r="L252" i="4"/>
  <c r="K252" i="4"/>
  <c r="J252" i="4"/>
  <c r="H252" i="4"/>
  <c r="F252" i="4"/>
  <c r="L251" i="4"/>
  <c r="K251" i="4"/>
  <c r="J251" i="4"/>
  <c r="H251" i="4"/>
  <c r="F251" i="4"/>
  <c r="K250" i="4"/>
  <c r="J250" i="4"/>
  <c r="H250" i="4"/>
  <c r="F250" i="4"/>
  <c r="L250" i="4" s="1"/>
  <c r="K248" i="4"/>
  <c r="J248" i="4"/>
  <c r="H248" i="4"/>
  <c r="F248" i="4"/>
  <c r="L248" i="4" s="1"/>
  <c r="K247" i="4"/>
  <c r="J247" i="4"/>
  <c r="H247" i="4"/>
  <c r="F247" i="4"/>
  <c r="L247" i="4" s="1"/>
  <c r="K245" i="4"/>
  <c r="J245" i="4"/>
  <c r="H245" i="4"/>
  <c r="F245" i="4"/>
  <c r="L245" i="4" s="1"/>
  <c r="K244" i="4"/>
  <c r="J244" i="4"/>
  <c r="L244" i="4" s="1"/>
  <c r="H244" i="4"/>
  <c r="F244" i="4"/>
  <c r="L242" i="4"/>
  <c r="K242" i="4"/>
  <c r="J242" i="4"/>
  <c r="H242" i="4"/>
  <c r="F242" i="4"/>
  <c r="K239" i="4"/>
  <c r="J239" i="4"/>
  <c r="H239" i="4"/>
  <c r="F239" i="4"/>
  <c r="L239" i="4" s="1"/>
  <c r="K237" i="4"/>
  <c r="J237" i="4"/>
  <c r="H237" i="4"/>
  <c r="F237" i="4"/>
  <c r="L237" i="4" s="1"/>
  <c r="K236" i="4"/>
  <c r="J236" i="4"/>
  <c r="H236" i="4"/>
  <c r="L236" i="4" s="1"/>
  <c r="F236" i="4"/>
  <c r="K234" i="4"/>
  <c r="J234" i="4"/>
  <c r="H234" i="4"/>
  <c r="F234" i="4"/>
  <c r="L234" i="4" s="1"/>
  <c r="L233" i="4"/>
  <c r="K233" i="4"/>
  <c r="J233" i="4"/>
  <c r="H233" i="4"/>
  <c r="F233" i="4"/>
  <c r="L230" i="4"/>
  <c r="K230" i="4"/>
  <c r="J230" i="4"/>
  <c r="H230" i="4"/>
  <c r="F230" i="4"/>
  <c r="K228" i="4"/>
  <c r="J228" i="4"/>
  <c r="H228" i="4"/>
  <c r="F228" i="4"/>
  <c r="L228" i="4" s="1"/>
  <c r="K227" i="4"/>
  <c r="J227" i="4"/>
  <c r="J220" i="4" s="1"/>
  <c r="H227" i="4"/>
  <c r="F227" i="4"/>
  <c r="L227" i="4" s="1"/>
  <c r="K225" i="4"/>
  <c r="J225" i="4"/>
  <c r="H225" i="4"/>
  <c r="H220" i="4" s="1"/>
  <c r="F225" i="4"/>
  <c r="L225" i="4" s="1"/>
  <c r="K224" i="4"/>
  <c r="J224" i="4"/>
  <c r="H224" i="4"/>
  <c r="F224" i="4"/>
  <c r="F220" i="4" s="1"/>
  <c r="L220" i="4" s="1"/>
  <c r="K219" i="4"/>
  <c r="J219" i="4"/>
  <c r="H219" i="4"/>
  <c r="F219" i="4"/>
  <c r="L219" i="4" s="1"/>
  <c r="K217" i="4"/>
  <c r="J217" i="4"/>
  <c r="H217" i="4"/>
  <c r="F217" i="4"/>
  <c r="L217" i="4" s="1"/>
  <c r="K216" i="4"/>
  <c r="J216" i="4"/>
  <c r="H216" i="4"/>
  <c r="F216" i="4"/>
  <c r="L216" i="4" s="1"/>
  <c r="K215" i="4"/>
  <c r="J215" i="4"/>
  <c r="H215" i="4"/>
  <c r="F215" i="4"/>
  <c r="L215" i="4" s="1"/>
  <c r="K214" i="4"/>
  <c r="J214" i="4"/>
  <c r="L214" i="4" s="1"/>
  <c r="H214" i="4"/>
  <c r="F214" i="4"/>
  <c r="L213" i="4"/>
  <c r="K213" i="4"/>
  <c r="J213" i="4"/>
  <c r="H213" i="4"/>
  <c r="F213" i="4"/>
  <c r="K212" i="4"/>
  <c r="J212" i="4"/>
  <c r="H212" i="4"/>
  <c r="F212" i="4"/>
  <c r="L212" i="4" s="1"/>
  <c r="K211" i="4"/>
  <c r="J211" i="4"/>
  <c r="H211" i="4"/>
  <c r="F211" i="4"/>
  <c r="L211" i="4" s="1"/>
  <c r="K210" i="4"/>
  <c r="J210" i="4"/>
  <c r="H210" i="4"/>
  <c r="L210" i="4" s="1"/>
  <c r="F210" i="4"/>
  <c r="K209" i="4"/>
  <c r="J209" i="4"/>
  <c r="H209" i="4"/>
  <c r="F209" i="4"/>
  <c r="L209" i="4" s="1"/>
  <c r="L208" i="4"/>
  <c r="K208" i="4"/>
  <c r="J208" i="4"/>
  <c r="H208" i="4"/>
  <c r="F208" i="4"/>
  <c r="L207" i="4"/>
  <c r="K207" i="4"/>
  <c r="J207" i="4"/>
  <c r="H207" i="4"/>
  <c r="F207" i="4"/>
  <c r="K206" i="4"/>
  <c r="J206" i="4"/>
  <c r="H206" i="4"/>
  <c r="F206" i="4"/>
  <c r="L206" i="4" s="1"/>
  <c r="K205" i="4"/>
  <c r="J205" i="4"/>
  <c r="H205" i="4"/>
  <c r="F205" i="4"/>
  <c r="L205" i="4" s="1"/>
  <c r="K204" i="4"/>
  <c r="J204" i="4"/>
  <c r="H204" i="4"/>
  <c r="F204" i="4"/>
  <c r="L204" i="4" s="1"/>
  <c r="K202" i="4"/>
  <c r="J202" i="4"/>
  <c r="H202" i="4"/>
  <c r="F202" i="4"/>
  <c r="L202" i="4" s="1"/>
  <c r="K201" i="4"/>
  <c r="J201" i="4"/>
  <c r="L201" i="4" s="1"/>
  <c r="H201" i="4"/>
  <c r="F201" i="4"/>
  <c r="L199" i="4"/>
  <c r="K199" i="4"/>
  <c r="J199" i="4"/>
  <c r="H199" i="4"/>
  <c r="F199" i="4"/>
  <c r="K198" i="4"/>
  <c r="J198" i="4"/>
  <c r="H198" i="4"/>
  <c r="F198" i="4"/>
  <c r="L198" i="4" s="1"/>
  <c r="K197" i="4"/>
  <c r="J197" i="4"/>
  <c r="H197" i="4"/>
  <c r="F197" i="4"/>
  <c r="L197" i="4" s="1"/>
  <c r="K196" i="4"/>
  <c r="J196" i="4"/>
  <c r="H196" i="4"/>
  <c r="L196" i="4" s="1"/>
  <c r="F196" i="4"/>
  <c r="K195" i="4"/>
  <c r="J195" i="4"/>
  <c r="H195" i="4"/>
  <c r="F195" i="4"/>
  <c r="L195" i="4" s="1"/>
  <c r="L194" i="4"/>
  <c r="K194" i="4"/>
  <c r="J194" i="4"/>
  <c r="H194" i="4"/>
  <c r="F194" i="4"/>
  <c r="L192" i="4"/>
  <c r="K192" i="4"/>
  <c r="J192" i="4"/>
  <c r="H192" i="4"/>
  <c r="F192" i="4"/>
  <c r="K191" i="4"/>
  <c r="J191" i="4"/>
  <c r="H191" i="4"/>
  <c r="F191" i="4"/>
  <c r="L191" i="4" s="1"/>
  <c r="K190" i="4"/>
  <c r="J190" i="4"/>
  <c r="H190" i="4"/>
  <c r="F190" i="4"/>
  <c r="L190" i="4" s="1"/>
  <c r="K188" i="4"/>
  <c r="J188" i="4"/>
  <c r="H188" i="4"/>
  <c r="F188" i="4"/>
  <c r="L188" i="4" s="1"/>
  <c r="K187" i="4"/>
  <c r="J187" i="4"/>
  <c r="H187" i="4"/>
  <c r="F187" i="4"/>
  <c r="L187" i="4" s="1"/>
  <c r="K186" i="4"/>
  <c r="J186" i="4"/>
  <c r="L186" i="4" s="1"/>
  <c r="H186" i="4"/>
  <c r="F186" i="4"/>
  <c r="L183" i="4"/>
  <c r="K183" i="4"/>
  <c r="J183" i="4"/>
  <c r="H183" i="4"/>
  <c r="F183" i="4"/>
  <c r="K182" i="4"/>
  <c r="J182" i="4"/>
  <c r="H182" i="4"/>
  <c r="F182" i="4"/>
  <c r="L182" i="4" s="1"/>
  <c r="K181" i="4"/>
  <c r="J181" i="4"/>
  <c r="H181" i="4"/>
  <c r="F181" i="4"/>
  <c r="L181" i="4" s="1"/>
  <c r="K180" i="4"/>
  <c r="J180" i="4"/>
  <c r="H180" i="4"/>
  <c r="L180" i="4" s="1"/>
  <c r="F180" i="4"/>
  <c r="K179" i="4"/>
  <c r="J179" i="4"/>
  <c r="H179" i="4"/>
  <c r="F179" i="4"/>
  <c r="L179" i="4" s="1"/>
  <c r="L178" i="4"/>
  <c r="K178" i="4"/>
  <c r="J178" i="4"/>
  <c r="H178" i="4"/>
  <c r="F178" i="4"/>
  <c r="L177" i="4"/>
  <c r="K177" i="4"/>
  <c r="J177" i="4"/>
  <c r="H177" i="4"/>
  <c r="F177" i="4"/>
  <c r="K176" i="4"/>
  <c r="J176" i="4"/>
  <c r="H176" i="4"/>
  <c r="F176" i="4"/>
  <c r="L176" i="4" s="1"/>
  <c r="K175" i="4"/>
  <c r="J175" i="4"/>
  <c r="H175" i="4"/>
  <c r="F175" i="4"/>
  <c r="L175" i="4" s="1"/>
  <c r="K174" i="4"/>
  <c r="J174" i="4"/>
  <c r="H174" i="4"/>
  <c r="F174" i="4"/>
  <c r="L174" i="4" s="1"/>
  <c r="K173" i="4"/>
  <c r="J173" i="4"/>
  <c r="H173" i="4"/>
  <c r="F173" i="4"/>
  <c r="L173" i="4" s="1"/>
  <c r="K172" i="4"/>
  <c r="J172" i="4"/>
  <c r="L172" i="4" s="1"/>
  <c r="H172" i="4"/>
  <c r="F172" i="4"/>
  <c r="L171" i="4"/>
  <c r="K171" i="4"/>
  <c r="J171" i="4"/>
  <c r="H171" i="4"/>
  <c r="F171" i="4"/>
  <c r="K170" i="4"/>
  <c r="J170" i="4"/>
  <c r="H170" i="4"/>
  <c r="F170" i="4"/>
  <c r="L170" i="4" s="1"/>
  <c r="K169" i="4"/>
  <c r="J169" i="4"/>
  <c r="H169" i="4"/>
  <c r="F169" i="4"/>
  <c r="L169" i="4" s="1"/>
  <c r="K168" i="4"/>
  <c r="J168" i="4"/>
  <c r="H168" i="4"/>
  <c r="L168" i="4" s="1"/>
  <c r="F168" i="4"/>
  <c r="K165" i="4"/>
  <c r="J165" i="4"/>
  <c r="H165" i="4"/>
  <c r="F165" i="4"/>
  <c r="L165" i="4" s="1"/>
  <c r="L163" i="4"/>
  <c r="K163" i="4"/>
  <c r="J163" i="4"/>
  <c r="H163" i="4"/>
  <c r="F163" i="4"/>
  <c r="L162" i="4"/>
  <c r="K162" i="4"/>
  <c r="J162" i="4"/>
  <c r="H162" i="4"/>
  <c r="F162" i="4"/>
  <c r="K160" i="4"/>
  <c r="J160" i="4"/>
  <c r="H160" i="4"/>
  <c r="F160" i="4"/>
  <c r="L160" i="4" s="1"/>
  <c r="K159" i="4"/>
  <c r="J159" i="4"/>
  <c r="H159" i="4"/>
  <c r="F159" i="4"/>
  <c r="L159" i="4" s="1"/>
  <c r="K157" i="4"/>
  <c r="J157" i="4"/>
  <c r="H157" i="4"/>
  <c r="F157" i="4"/>
  <c r="L157" i="4" s="1"/>
  <c r="K155" i="4"/>
  <c r="J155" i="4"/>
  <c r="H155" i="4"/>
  <c r="F155" i="4"/>
  <c r="L155" i="4" s="1"/>
  <c r="K154" i="4"/>
  <c r="J154" i="4"/>
  <c r="H154" i="4"/>
  <c r="F154" i="4"/>
  <c r="L154" i="4" s="1"/>
  <c r="L152" i="4"/>
  <c r="K152" i="4"/>
  <c r="J152" i="4"/>
  <c r="H152" i="4"/>
  <c r="F152" i="4"/>
  <c r="K151" i="4"/>
  <c r="J151" i="4"/>
  <c r="H151" i="4"/>
  <c r="F151" i="4"/>
  <c r="L151" i="4" s="1"/>
  <c r="K149" i="4"/>
  <c r="J149" i="4"/>
  <c r="H149" i="4"/>
  <c r="F149" i="4"/>
  <c r="L149" i="4" s="1"/>
  <c r="K148" i="4"/>
  <c r="J148" i="4"/>
  <c r="H148" i="4"/>
  <c r="L148" i="4" s="1"/>
  <c r="F148" i="4"/>
  <c r="K147" i="4"/>
  <c r="J147" i="4"/>
  <c r="H147" i="4"/>
  <c r="F147" i="4"/>
  <c r="L147" i="4" s="1"/>
  <c r="L146" i="4"/>
  <c r="K146" i="4"/>
  <c r="J146" i="4"/>
  <c r="H146" i="4"/>
  <c r="F146" i="4"/>
  <c r="L143" i="4"/>
  <c r="K143" i="4"/>
  <c r="J143" i="4"/>
  <c r="H143" i="4"/>
  <c r="F143" i="4"/>
  <c r="K140" i="4"/>
  <c r="J140" i="4"/>
  <c r="H140" i="4"/>
  <c r="F140" i="4"/>
  <c r="L140" i="4" s="1"/>
  <c r="K139" i="4"/>
  <c r="J139" i="4"/>
  <c r="H139" i="4"/>
  <c r="F139" i="4"/>
  <c r="L139" i="4" s="1"/>
  <c r="K137" i="4"/>
  <c r="J137" i="4"/>
  <c r="H137" i="4"/>
  <c r="F137" i="4"/>
  <c r="L137" i="4" s="1"/>
  <c r="K136" i="4"/>
  <c r="J136" i="4"/>
  <c r="H136" i="4"/>
  <c r="F136" i="4"/>
  <c r="L136" i="4" s="1"/>
  <c r="K135" i="4"/>
  <c r="J135" i="4"/>
  <c r="H135" i="4"/>
  <c r="F135" i="4"/>
  <c r="L135" i="4" s="1"/>
  <c r="L134" i="4"/>
  <c r="K134" i="4"/>
  <c r="J134" i="4"/>
  <c r="H134" i="4"/>
  <c r="F134" i="4"/>
  <c r="K133" i="4"/>
  <c r="J133" i="4"/>
  <c r="H133" i="4"/>
  <c r="F133" i="4"/>
  <c r="L133" i="4" s="1"/>
  <c r="K132" i="4"/>
  <c r="J132" i="4"/>
  <c r="H132" i="4"/>
  <c r="F132" i="4"/>
  <c r="L132" i="4" s="1"/>
  <c r="K130" i="4"/>
  <c r="J130" i="4"/>
  <c r="H130" i="4"/>
  <c r="L130" i="4" s="1"/>
  <c r="F130" i="4"/>
  <c r="K129" i="4"/>
  <c r="J129" i="4"/>
  <c r="H129" i="4"/>
  <c r="F129" i="4"/>
  <c r="L129" i="4" s="1"/>
  <c r="L128" i="4"/>
  <c r="K128" i="4"/>
  <c r="J128" i="4"/>
  <c r="H128" i="4"/>
  <c r="F128" i="4"/>
  <c r="L125" i="4"/>
  <c r="K125" i="4"/>
  <c r="J125" i="4"/>
  <c r="H125" i="4"/>
  <c r="F125" i="4"/>
  <c r="K124" i="4"/>
  <c r="J124" i="4"/>
  <c r="H124" i="4"/>
  <c r="F124" i="4"/>
  <c r="L124" i="4" s="1"/>
  <c r="K123" i="4"/>
  <c r="J123" i="4"/>
  <c r="L123" i="4" s="1"/>
  <c r="H123" i="4"/>
  <c r="F123" i="4"/>
  <c r="K121" i="4"/>
  <c r="J121" i="4"/>
  <c r="H121" i="4"/>
  <c r="F121" i="4"/>
  <c r="L121" i="4" s="1"/>
  <c r="K120" i="4"/>
  <c r="J120" i="4"/>
  <c r="H120" i="4"/>
  <c r="F120" i="4"/>
  <c r="L120" i="4" s="1"/>
  <c r="K119" i="4"/>
  <c r="J119" i="4"/>
  <c r="L119" i="4" s="1"/>
  <c r="H119" i="4"/>
  <c r="F119" i="4"/>
  <c r="L118" i="4"/>
  <c r="K118" i="4"/>
  <c r="J118" i="4"/>
  <c r="H118" i="4"/>
  <c r="F118" i="4"/>
  <c r="K117" i="4"/>
  <c r="J117" i="4"/>
  <c r="H117" i="4"/>
  <c r="F117" i="4"/>
  <c r="L117" i="4" s="1"/>
  <c r="K116" i="4"/>
  <c r="J116" i="4"/>
  <c r="H116" i="4"/>
  <c r="F116" i="4"/>
  <c r="L116" i="4" s="1"/>
  <c r="K115" i="4"/>
  <c r="J115" i="4"/>
  <c r="H115" i="4"/>
  <c r="L115" i="4" s="1"/>
  <c r="F115" i="4"/>
  <c r="K113" i="4"/>
  <c r="J113" i="4"/>
  <c r="H113" i="4"/>
  <c r="F113" i="4"/>
  <c r="L113" i="4" s="1"/>
  <c r="L112" i="4"/>
  <c r="K112" i="4"/>
  <c r="J112" i="4"/>
  <c r="H112" i="4"/>
  <c r="F112" i="4"/>
  <c r="L111" i="4"/>
  <c r="K111" i="4"/>
  <c r="J111" i="4"/>
  <c r="H111" i="4"/>
  <c r="F111" i="4"/>
  <c r="K110" i="4"/>
  <c r="J110" i="4"/>
  <c r="H110" i="4"/>
  <c r="F110" i="4"/>
  <c r="L110" i="4" s="1"/>
  <c r="K108" i="4"/>
  <c r="J108" i="4"/>
  <c r="L108" i="4" s="1"/>
  <c r="H108" i="4"/>
  <c r="F108" i="4"/>
  <c r="K107" i="4"/>
  <c r="J107" i="4"/>
  <c r="H107" i="4"/>
  <c r="F107" i="4"/>
  <c r="L107" i="4" s="1"/>
  <c r="K104" i="4"/>
  <c r="J104" i="4"/>
  <c r="H104" i="4"/>
  <c r="F104" i="4"/>
  <c r="L104" i="4" s="1"/>
  <c r="K103" i="4"/>
  <c r="J103" i="4"/>
  <c r="L103" i="4" s="1"/>
  <c r="H103" i="4"/>
  <c r="F103" i="4"/>
  <c r="K102" i="4"/>
  <c r="J102" i="4"/>
  <c r="H102" i="4"/>
  <c r="F102" i="4"/>
  <c r="L102" i="4" s="1"/>
  <c r="K101" i="4"/>
  <c r="J101" i="4"/>
  <c r="H101" i="4"/>
  <c r="F101" i="4"/>
  <c r="L101" i="4" s="1"/>
  <c r="K100" i="4"/>
  <c r="J100" i="4"/>
  <c r="H100" i="4"/>
  <c r="F100" i="4"/>
  <c r="L100" i="4" s="1"/>
  <c r="K99" i="4"/>
  <c r="J99" i="4"/>
  <c r="H99" i="4"/>
  <c r="H83" i="4" s="1"/>
  <c r="F99" i="4"/>
  <c r="K98" i="4"/>
  <c r="J98" i="4"/>
  <c r="H98" i="4"/>
  <c r="F98" i="4"/>
  <c r="L98" i="4" s="1"/>
  <c r="K95" i="4"/>
  <c r="J95" i="4"/>
  <c r="L95" i="4" s="1"/>
  <c r="H95" i="4"/>
  <c r="F95" i="4"/>
  <c r="L93" i="4"/>
  <c r="K93" i="4"/>
  <c r="J93" i="4"/>
  <c r="H93" i="4"/>
  <c r="F93" i="4"/>
  <c r="K92" i="4"/>
  <c r="J92" i="4"/>
  <c r="H92" i="4"/>
  <c r="F92" i="4"/>
  <c r="L92" i="4" s="1"/>
  <c r="K91" i="4"/>
  <c r="J91" i="4"/>
  <c r="J83" i="4" s="1"/>
  <c r="H91" i="4"/>
  <c r="F91" i="4"/>
  <c r="K89" i="4"/>
  <c r="J89" i="4"/>
  <c r="H89" i="4"/>
  <c r="F89" i="4"/>
  <c r="L89" i="4" s="1"/>
  <c r="K88" i="4"/>
  <c r="J88" i="4"/>
  <c r="H88" i="4"/>
  <c r="F88" i="4"/>
  <c r="L88" i="4" s="1"/>
  <c r="K87" i="4"/>
  <c r="J87" i="4"/>
  <c r="H87" i="4"/>
  <c r="F87" i="4"/>
  <c r="L87" i="4" s="1"/>
  <c r="K82" i="4"/>
  <c r="J82" i="4"/>
  <c r="L82" i="4" s="1"/>
  <c r="H82" i="4"/>
  <c r="F82" i="4"/>
  <c r="K80" i="4"/>
  <c r="J80" i="4"/>
  <c r="H80" i="4"/>
  <c r="F80" i="4"/>
  <c r="L80" i="4" s="1"/>
  <c r="K79" i="4"/>
  <c r="J79" i="4"/>
  <c r="H79" i="4"/>
  <c r="F79" i="4"/>
  <c r="L79" i="4" s="1"/>
  <c r="K76" i="4"/>
  <c r="J76" i="4"/>
  <c r="H76" i="4"/>
  <c r="F76" i="4"/>
  <c r="L76" i="4" s="1"/>
  <c r="K75" i="4"/>
  <c r="J75" i="4"/>
  <c r="H75" i="4"/>
  <c r="F75" i="4"/>
  <c r="L75" i="4" s="1"/>
  <c r="K74" i="4"/>
  <c r="J74" i="4"/>
  <c r="H74" i="4"/>
  <c r="F74" i="4"/>
  <c r="L74" i="4" s="1"/>
  <c r="K72" i="4"/>
  <c r="J72" i="4"/>
  <c r="H72" i="4"/>
  <c r="F72" i="4"/>
  <c r="L72" i="4" s="1"/>
  <c r="K71" i="4"/>
  <c r="J71" i="4"/>
  <c r="H71" i="4"/>
  <c r="L71" i="4" s="1"/>
  <c r="F71" i="4"/>
  <c r="K70" i="4"/>
  <c r="J70" i="4"/>
  <c r="H70" i="4"/>
  <c r="F70" i="4"/>
  <c r="L70" i="4" s="1"/>
  <c r="L69" i="4"/>
  <c r="K69" i="4"/>
  <c r="J69" i="4"/>
  <c r="H69" i="4"/>
  <c r="F69" i="4"/>
  <c r="L66" i="4"/>
  <c r="K66" i="4"/>
  <c r="J66" i="4"/>
  <c r="H66" i="4"/>
  <c r="F66" i="4"/>
  <c r="K65" i="4"/>
  <c r="J65" i="4"/>
  <c r="H65" i="4"/>
  <c r="F65" i="4"/>
  <c r="L65" i="4" s="1"/>
  <c r="K63" i="4"/>
  <c r="J63" i="4"/>
  <c r="L63" i="4" s="1"/>
  <c r="H63" i="4"/>
  <c r="F63" i="4"/>
  <c r="L61" i="4"/>
  <c r="K61" i="4"/>
  <c r="J61" i="4"/>
  <c r="H61" i="4"/>
  <c r="F61" i="4"/>
  <c r="K60" i="4"/>
  <c r="J60" i="4"/>
  <c r="H60" i="4"/>
  <c r="F60" i="4"/>
  <c r="L60" i="4" s="1"/>
  <c r="K59" i="4"/>
  <c r="J59" i="4"/>
  <c r="L59" i="4" s="1"/>
  <c r="H59" i="4"/>
  <c r="F59" i="4"/>
  <c r="K58" i="4"/>
  <c r="J58" i="4"/>
  <c r="H58" i="4"/>
  <c r="F58" i="4"/>
  <c r="L58" i="4" s="1"/>
  <c r="K57" i="4"/>
  <c r="J57" i="4"/>
  <c r="H57" i="4"/>
  <c r="F57" i="4"/>
  <c r="L57" i="4" s="1"/>
  <c r="K55" i="4"/>
  <c r="J55" i="4"/>
  <c r="H55" i="4"/>
  <c r="F55" i="4"/>
  <c r="L55" i="4" s="1"/>
  <c r="K53" i="4"/>
  <c r="J53" i="4"/>
  <c r="H53" i="4"/>
  <c r="L53" i="4" s="1"/>
  <c r="F53" i="4"/>
  <c r="K51" i="4"/>
  <c r="J51" i="4"/>
  <c r="H51" i="4"/>
  <c r="F51" i="4"/>
  <c r="L51" i="4" s="1"/>
  <c r="K50" i="4"/>
  <c r="J50" i="4"/>
  <c r="H50" i="4"/>
  <c r="L50" i="4" s="1"/>
  <c r="F50" i="4"/>
  <c r="L48" i="4"/>
  <c r="K48" i="4"/>
  <c r="J48" i="4"/>
  <c r="H48" i="4"/>
  <c r="F48" i="4"/>
  <c r="K45" i="4"/>
  <c r="J45" i="4"/>
  <c r="H45" i="4"/>
  <c r="F45" i="4"/>
  <c r="L45" i="4" s="1"/>
  <c r="K43" i="4"/>
  <c r="J43" i="4"/>
  <c r="L43" i="4" s="1"/>
  <c r="H43" i="4"/>
  <c r="F43" i="4"/>
  <c r="L41" i="4"/>
  <c r="K41" i="4"/>
  <c r="J41" i="4"/>
  <c r="H41" i="4"/>
  <c r="F41" i="4"/>
  <c r="K39" i="4"/>
  <c r="J39" i="4"/>
  <c r="H39" i="4"/>
  <c r="F39" i="4"/>
  <c r="L39" i="4" s="1"/>
  <c r="K38" i="4"/>
  <c r="J38" i="4"/>
  <c r="H38" i="4"/>
  <c r="F38" i="4"/>
  <c r="L38" i="4" s="1"/>
  <c r="K35" i="4"/>
  <c r="J35" i="4"/>
  <c r="H35" i="4"/>
  <c r="F35" i="4"/>
  <c r="L35" i="4" s="1"/>
  <c r="K33" i="4"/>
  <c r="J33" i="4"/>
  <c r="H33" i="4"/>
  <c r="F33" i="4"/>
  <c r="L33" i="4" s="1"/>
  <c r="K31" i="4"/>
  <c r="J31" i="4"/>
  <c r="H31" i="4"/>
  <c r="F31" i="4"/>
  <c r="L31" i="4" s="1"/>
  <c r="K29" i="4"/>
  <c r="J29" i="4"/>
  <c r="H29" i="4"/>
  <c r="L29" i="4" s="1"/>
  <c r="F29" i="4"/>
  <c r="K28" i="4"/>
  <c r="J28" i="4"/>
  <c r="H28" i="4"/>
  <c r="F28" i="4"/>
  <c r="L28" i="4" s="1"/>
  <c r="K26" i="4"/>
  <c r="J26" i="4"/>
  <c r="H26" i="4"/>
  <c r="L26" i="4" s="1"/>
  <c r="F26" i="4"/>
  <c r="L24" i="4"/>
  <c r="K24" i="4"/>
  <c r="J24" i="4"/>
  <c r="H24" i="4"/>
  <c r="F24" i="4"/>
  <c r="K23" i="4"/>
  <c r="J23" i="4"/>
  <c r="H23" i="4"/>
  <c r="F23" i="4"/>
  <c r="L23" i="4" s="1"/>
  <c r="K20" i="4"/>
  <c r="J20" i="4"/>
  <c r="L20" i="4" s="1"/>
  <c r="H20" i="4"/>
  <c r="F20" i="4"/>
  <c r="L19" i="4"/>
  <c r="K19" i="4"/>
  <c r="J19" i="4"/>
  <c r="H19" i="4"/>
  <c r="F19" i="4"/>
  <c r="K17" i="4"/>
  <c r="J17" i="4"/>
  <c r="H17" i="4"/>
  <c r="F17" i="4"/>
  <c r="L17" i="4" s="1"/>
  <c r="K16" i="4"/>
  <c r="J16" i="4"/>
  <c r="H16" i="4"/>
  <c r="F16" i="4"/>
  <c r="L16" i="4" s="1"/>
  <c r="K15" i="4"/>
  <c r="J15" i="4"/>
  <c r="H15" i="4"/>
  <c r="F15" i="4"/>
  <c r="F4" i="4" s="1"/>
  <c r="K13" i="4"/>
  <c r="J13" i="4"/>
  <c r="H13" i="4"/>
  <c r="F13" i="4"/>
  <c r="L13" i="4" s="1"/>
  <c r="K12" i="4"/>
  <c r="J12" i="4"/>
  <c r="H12" i="4"/>
  <c r="F12" i="4"/>
  <c r="L12" i="4" s="1"/>
  <c r="K11" i="4"/>
  <c r="J11" i="4"/>
  <c r="H11" i="4"/>
  <c r="L11" i="4" s="1"/>
  <c r="F11" i="4"/>
  <c r="L8" i="4"/>
  <c r="K8" i="4"/>
  <c r="J8" i="4"/>
  <c r="H8" i="4"/>
  <c r="F8" i="4"/>
  <c r="K7" i="4"/>
  <c r="J7" i="4"/>
  <c r="J4" i="4" s="1"/>
  <c r="H7" i="4"/>
  <c r="H4" i="4" s="1"/>
  <c r="F7" i="4"/>
  <c r="H14" i="2"/>
  <c r="F14" i="2"/>
  <c r="H12" i="2"/>
  <c r="F12" i="2"/>
  <c r="L4" i="4" l="1"/>
  <c r="L417" i="4"/>
  <c r="H828" i="4"/>
  <c r="L704" i="4"/>
  <c r="J828" i="4"/>
  <c r="L514" i="4"/>
  <c r="L643" i="4"/>
  <c r="L690" i="4"/>
  <c r="L732" i="4"/>
  <c r="J831" i="4"/>
  <c r="J1082" i="4" s="1"/>
  <c r="L1013" i="4"/>
  <c r="J1041" i="4"/>
  <c r="L1065" i="4"/>
  <c r="L1182" i="4"/>
  <c r="L1198" i="4"/>
  <c r="L1250" i="4"/>
  <c r="L1310" i="4"/>
  <c r="L91" i="4"/>
  <c r="L627" i="4"/>
  <c r="L638" i="4"/>
  <c r="F831" i="4"/>
  <c r="L833" i="4"/>
  <c r="L1033" i="4"/>
  <c r="H1195" i="4"/>
  <c r="L1346" i="4"/>
  <c r="F83" i="4"/>
  <c r="L83" i="4" s="1"/>
  <c r="L99" i="4"/>
  <c r="L296" i="4"/>
  <c r="F720" i="4"/>
  <c r="L720" i="4" s="1"/>
  <c r="L724" i="4"/>
  <c r="H831" i="4"/>
  <c r="H967" i="4"/>
  <c r="L967" i="4" s="1"/>
  <c r="L1044" i="4"/>
  <c r="F1041" i="4"/>
  <c r="L1041" i="4" s="1"/>
  <c r="L1075" i="4"/>
  <c r="H1070" i="4"/>
  <c r="L1300" i="4"/>
  <c r="F1295" i="4"/>
  <c r="L1295" i="4" s="1"/>
  <c r="L224" i="4"/>
  <c r="F288" i="4"/>
  <c r="L288" i="4" s="1"/>
  <c r="L435" i="4"/>
  <c r="L526" i="4"/>
  <c r="L618" i="4"/>
  <c r="L631" i="4"/>
  <c r="L682" i="4"/>
  <c r="L725" i="4"/>
  <c r="L730" i="4"/>
  <c r="J967" i="4"/>
  <c r="L1028" i="4"/>
  <c r="L3" i="5"/>
  <c r="L570" i="4"/>
  <c r="L675" i="4"/>
  <c r="L748" i="4"/>
  <c r="H870" i="4"/>
  <c r="H925" i="4"/>
  <c r="L986" i="4"/>
  <c r="L1145" i="4"/>
  <c r="J870" i="4"/>
  <c r="J220" i="5"/>
  <c r="L15" i="4"/>
  <c r="L615" i="4"/>
  <c r="L711" i="4"/>
  <c r="L743" i="4"/>
  <c r="L978" i="4"/>
  <c r="L1040" i="4"/>
  <c r="H1085" i="4"/>
  <c r="H1307" i="4" s="1"/>
  <c r="L1136" i="4"/>
  <c r="L1191" i="4"/>
  <c r="L1414" i="4"/>
  <c r="L1429" i="4"/>
  <c r="L7" i="4"/>
  <c r="L659" i="4"/>
  <c r="L671" i="4"/>
  <c r="L799" i="4"/>
  <c r="L874" i="4"/>
  <c r="L929" i="4"/>
  <c r="L1005" i="4"/>
  <c r="J1085" i="4"/>
  <c r="J1125" i="4"/>
  <c r="L1273" i="4"/>
  <c r="L1471" i="4"/>
  <c r="L43" i="5"/>
  <c r="F567" i="4"/>
  <c r="L567" i="4" s="1"/>
  <c r="L1070" i="4"/>
  <c r="F624" i="4"/>
  <c r="L624" i="4" s="1"/>
  <c r="L662" i="4"/>
  <c r="L996" i="4"/>
  <c r="L1131" i="4"/>
  <c r="F1125" i="4"/>
  <c r="F1266" i="4"/>
  <c r="L1266" i="4" s="1"/>
  <c r="L147" i="5"/>
  <c r="L640" i="4"/>
  <c r="L651" i="4"/>
  <c r="L758" i="4"/>
  <c r="L815" i="4"/>
  <c r="L836" i="4"/>
  <c r="L893" i="4"/>
  <c r="L950" i="4"/>
  <c r="L1019" i="4"/>
  <c r="L1106" i="4"/>
  <c r="H1125" i="4"/>
  <c r="L1160" i="4"/>
  <c r="L1203" i="4"/>
  <c r="L1255" i="4"/>
  <c r="H1266" i="4"/>
  <c r="L101" i="5"/>
  <c r="L1043" i="4"/>
  <c r="L1129" i="4"/>
  <c r="F1364" i="4"/>
  <c r="L1364" i="4" s="1"/>
  <c r="F1398" i="4"/>
  <c r="L1398" i="4" s="1"/>
  <c r="F1195" i="4"/>
  <c r="L1195" i="4" s="1"/>
  <c r="L1313" i="4"/>
  <c r="L44" i="5"/>
  <c r="F76" i="5"/>
  <c r="L76" i="5" s="1"/>
  <c r="L102" i="5"/>
  <c r="L148" i="5"/>
  <c r="F180" i="5"/>
  <c r="L180" i="5" s="1"/>
  <c r="F1085" i="4"/>
  <c r="L1268" i="4"/>
  <c r="L1347" i="4"/>
  <c r="L1415" i="4"/>
  <c r="F1457" i="4"/>
  <c r="L1457" i="4" s="1"/>
  <c r="F1474" i="4"/>
  <c r="L1474" i="4" s="1"/>
  <c r="L969" i="4"/>
  <c r="F870" i="4"/>
  <c r="F925" i="4"/>
  <c r="L925" i="4" s="1"/>
  <c r="F1331" i="4"/>
  <c r="L1331" i="4" s="1"/>
  <c r="F1382" i="4"/>
  <c r="L1382" i="4" s="1"/>
  <c r="L1430" i="4"/>
  <c r="L1447" i="4"/>
  <c r="L6" i="5"/>
  <c r="L146" i="5"/>
  <c r="L870" i="4" l="1"/>
  <c r="J1307" i="4"/>
  <c r="F1468" i="4"/>
  <c r="L1468" i="4" s="1"/>
  <c r="J1476" i="4"/>
  <c r="D5" i="3"/>
  <c r="L831" i="4"/>
  <c r="F1082" i="4"/>
  <c r="F220" i="5"/>
  <c r="L220" i="5" s="1"/>
  <c r="L1125" i="4"/>
  <c r="H1082" i="4"/>
  <c r="H1476" i="4" s="1"/>
  <c r="L1085" i="4"/>
  <c r="F1307" i="4"/>
  <c r="L1307" i="4" s="1"/>
  <c r="F828" i="4"/>
  <c r="J11" i="2" l="1"/>
  <c r="D4" i="3"/>
  <c r="L1082" i="4"/>
  <c r="L828" i="4"/>
  <c r="L1476" i="4" s="1"/>
  <c r="F1476" i="4"/>
  <c r="D3" i="3"/>
  <c r="F13" i="2" l="1"/>
  <c r="D13" i="3"/>
  <c r="F11" i="2"/>
  <c r="F15" i="2"/>
  <c r="D6" i="3"/>
  <c r="D7" i="3"/>
  <c r="D8" i="3" s="1"/>
  <c r="H15" i="2"/>
  <c r="D10" i="3"/>
  <c r="D12" i="3" s="1"/>
  <c r="D11" i="3"/>
  <c r="H11" i="2"/>
  <c r="H13" i="2"/>
  <c r="D14" i="3" l="1"/>
  <c r="D15" i="3"/>
  <c r="L11" i="2"/>
  <c r="D16" i="3"/>
  <c r="D9" i="3"/>
  <c r="D17" i="3" s="1"/>
  <c r="D18" i="3" s="1"/>
  <c r="D19" i="3" l="1"/>
  <c r="D20" i="3" l="1"/>
  <c r="D21" i="3" s="1"/>
  <c r="D23" i="3" l="1"/>
  <c r="L12" i="2" l="1"/>
  <c r="J12" i="2"/>
  <c r="J13" i="2" s="1"/>
  <c r="D24" i="3"/>
  <c r="L13" i="2"/>
  <c r="J14" i="2" l="1"/>
  <c r="L14" i="2"/>
  <c r="D25" i="3"/>
  <c r="L15" i="2" s="1"/>
  <c r="J15" i="2"/>
</calcChain>
</file>

<file path=xl/sharedStrings.xml><?xml version="1.0" encoding="utf-8"?>
<sst xmlns="http://schemas.openxmlformats.org/spreadsheetml/2006/main" count="4398" uniqueCount="1609">
  <si>
    <t>견 적 서</t>
  </si>
  <si>
    <t>공사명 : 화성 청원지구 산업유통형 지구단위계획</t>
  </si>
  <si>
    <t>2026년 06월 30일</t>
  </si>
  <si>
    <t>삼아건설주식회사</t>
  </si>
  <si>
    <t>견 적 서</t>
  </si>
  <si>
    <t xml:space="preserve">진명개발 귀하</t>
  </si>
  <si>
    <t>인천광역시 연수구 센트럴로 313, 씨동 2123호 (송도동, 송도씨워크인테라스한라)</t>
  </si>
  <si>
    <t>TEL : 032 - 818 - 2581</t>
  </si>
  <si>
    <t>공사금액 : 일금 일백이십삼억칠천팔백이십이만일천일백육십팔원정 (₩12,378,221,168)</t>
  </si>
  <si>
    <t>FAX : 032 - 822 - 0887</t>
  </si>
  <si>
    <t>상기 공사 견적서를 아래와 같이 제출합니다.</t>
  </si>
  <si>
    <t>대표자 가 영 현 (인)</t>
  </si>
  <si>
    <t>공 종</t>
  </si>
  <si>
    <t>규 격</t>
  </si>
  <si>
    <t>수량</t>
  </si>
  <si>
    <t>단위</t>
  </si>
  <si>
    <t>재 료 비</t>
  </si>
  <si>
    <t>노 무 비</t>
  </si>
  <si>
    <t>경 비</t>
  </si>
  <si>
    <t>합 계</t>
  </si>
  <si>
    <t>비고</t>
  </si>
  <si>
    <t>단가</t>
  </si>
  <si>
    <t>금액</t>
  </si>
  <si>
    <t>Ⅰ. 직접공사비 계</t>
  </si>
  <si>
    <t>Ⅱ. 간접공사비 계</t>
  </si>
  <si>
    <t>식</t>
  </si>
  <si>
    <t>합 계</t>
  </si>
  <si>
    <t>부 가 가 치 세</t>
  </si>
  <si>
    <t>공 사 비 계</t>
  </si>
  <si>
    <t>구분</t>
  </si>
  <si>
    <t>항목</t>
  </si>
  <si>
    <t>산식</t>
  </si>
  <si>
    <t>직접공사비</t>
  </si>
  <si>
    <t>재료비</t>
  </si>
  <si>
    <t>Σ 섹션 재료비</t>
  </si>
  <si>
    <t>직접노무비</t>
  </si>
  <si>
    <t>Σ 섹션 노무비</t>
  </si>
  <si>
    <t>직접경비</t>
  </si>
  <si>
    <t>Σ 섹션 경비</t>
  </si>
  <si>
    <t>【 직접공사비 계 】</t>
  </si>
  <si>
    <t>재+직노+직경</t>
  </si>
  <si>
    <t>간접비</t>
  </si>
  <si>
    <t>간접노무비</t>
  </si>
  <si>
    <t>직접노무비×19.7%</t>
  </si>
  <si>
    <t>조달청 원가계산 제비율(토목 50~300억·13~36개월)</t>
  </si>
  <si>
    <t>산재보험료</t>
  </si>
  <si>
    <t>노무비계×3.56%</t>
  </si>
  <si>
    <t>2026년 산재보험료율 고시(건설업 3.5%)+임금채권보장부담금 0.06%</t>
  </si>
  <si>
    <t>고용보험료</t>
  </si>
  <si>
    <t>노무비계×1.15%</t>
  </si>
  <si>
    <t>고용보험료율 사업주 부담(실업급여 0.9%+고용안정·직업능력개발 0.25%)</t>
  </si>
  <si>
    <t>국민건강보험료</t>
  </si>
  <si>
    <t>직접노무비×3.595%</t>
  </si>
  <si>
    <t>2026년 법정요율(건강보험 7.19%의 1/2)</t>
  </si>
  <si>
    <t>국민연금보험료</t>
  </si>
  <si>
    <t>직접노무비×4.75%</t>
  </si>
  <si>
    <t>2026년 법정요율(국민연금 9.5%의 1/2)</t>
  </si>
  <si>
    <t>노인장기요양보험료</t>
  </si>
  <si>
    <t>건강보험료×13.14%</t>
  </si>
  <si>
    <t>2026년 법정요율(건강보험료의 13.14%)</t>
  </si>
  <si>
    <t>산업안전보건관리비</t>
  </si>
  <si>
    <t>(재+직노)×2.60%</t>
  </si>
  <si>
    <t>건설업 산업안전보건관리비 계상기준 고시(고용노동부 제2025-11호, 토목 50억 이상)</t>
  </si>
  <si>
    <t>기타경비(공과잡비)</t>
  </si>
  <si>
    <t>(재+노무비계)×6.2%</t>
  </si>
  <si>
    <t>조달청 원가계산 제비율(세금과공과 등)</t>
  </si>
  <si>
    <t>건설기계대여대금지급보증</t>
  </si>
  <si>
    <t>직접공사비×0.40%</t>
  </si>
  <si>
    <t>건설기계 대여대금 지급보증 수수료</t>
  </si>
  <si>
    <t>환경보전비</t>
  </si>
  <si>
    <t>직접공사비×0.60%</t>
  </si>
  <si>
    <t>건설기술 진흥법 환경관리비 기준</t>
  </si>
  <si>
    <t>【 산출경비 계 】</t>
  </si>
  <si>
    <t>간접경비 합</t>
  </si>
  <si>
    <t>원가</t>
  </si>
  <si>
    <t>【 경비계(직접+산출) 】</t>
  </si>
  <si>
    <t>직접경비+산출경비</t>
  </si>
  <si>
    <t>【 순공사원가 】</t>
  </si>
  <si>
    <t>재+노무비계+경비계</t>
  </si>
  <si>
    <t>일반관리비</t>
  </si>
  <si>
    <t>순공사원가×5.5%</t>
  </si>
  <si>
    <t>이윤</t>
  </si>
  <si>
    <t>(노무비계+경비계+일반관리비)×8%</t>
  </si>
  <si>
    <t>이행(준공)보증보험료</t>
  </si>
  <si>
    <t>미적용</t>
  </si>
  <si>
    <t>합계</t>
  </si>
  <si>
    <t>【 공급가액 】</t>
  </si>
  <si>
    <t>순공사원가+일반관리비+이윤</t>
  </si>
  <si>
    <t>부가가치세</t>
  </si>
  <si>
    <t>공급가액×10%</t>
  </si>
  <si>
    <t>★ 도급액(공사비 계)</t>
  </si>
  <si>
    <t>공급가액+부가세</t>
  </si>
  <si>
    <t>※ 직접공사비=첨부 내역서, 간접노무비·기타경비·일반관리비·이윤 등 제비율 및 사회보험료·산업안전보건관리비·건설기계대여대금지급보증·환경보전비는 관계 법령·기준요율 적용.</t>
  </si>
  <si>
    <t>공종명 / 품명</t>
  </si>
  <si>
    <t>규격</t>
  </si>
  <si>
    <t>노무비</t>
  </si>
  <si>
    <t>경비</t>
  </si>
  <si>
    <t>【 01. 토목·조경 】</t>
  </si>
  <si>
    <t>1. 토 공</t>
  </si>
  <si>
    <t>가. 벌목 및 벌개제근</t>
  </si>
  <si>
    <t>1). 벌목 및 벌개제근</t>
  </si>
  <si>
    <t>가). 벌목</t>
  </si>
  <si>
    <t>㎡</t>
  </si>
  <si>
    <t>나). 벌개제근</t>
  </si>
  <si>
    <t>나. 임목폐기물</t>
  </si>
  <si>
    <t>1). 임목파쇄</t>
  </si>
  <si>
    <t>가). 임목 운반</t>
  </si>
  <si>
    <t>운반거리 L=83m(현장---&gt;임목파쇄장)</t>
  </si>
  <si>
    <t>㎥</t>
  </si>
  <si>
    <t>나). 임목파쇄</t>
  </si>
  <si>
    <t>가지, 잡목류, 354.35kW</t>
  </si>
  <si>
    <t>다). 임목파쇄</t>
  </si>
  <si>
    <t>뿌리류, 354.35kW</t>
  </si>
  <si>
    <t>2). 임목폐기물 적치장</t>
  </si>
  <si>
    <t>가). PE천막지</t>
  </si>
  <si>
    <t>나). 터파기(토사)</t>
  </si>
  <si>
    <t>TYPE-1, 백호1.0, 기계100%</t>
  </si>
  <si>
    <t>다). 되메우기(토사)</t>
  </si>
  <si>
    <t>백호0.7, 기계100%</t>
  </si>
  <si>
    <t>다. 법면보호공</t>
  </si>
  <si>
    <t>1). 법면보호공</t>
  </si>
  <si>
    <t>잔디붙임(줄떼)</t>
  </si>
  <si>
    <t>2). 법면보호공</t>
  </si>
  <si>
    <t>잔디붙임(평떼)</t>
  </si>
  <si>
    <t>라. 흙깎기</t>
  </si>
  <si>
    <t>1). 토사</t>
  </si>
  <si>
    <t>가).흙깍기(기계,토사)</t>
  </si>
  <si>
    <t>중규모, 보통토사, 불도져 19ton</t>
  </si>
  <si>
    <t>나). 흙깍기(토사)</t>
  </si>
  <si>
    <t>굴삭기1.0㎥</t>
  </si>
  <si>
    <t>2). 풍화암</t>
  </si>
  <si>
    <t>가). 흙깍기(리핑암)</t>
  </si>
  <si>
    <t>불도저 32ton + 리퍼</t>
  </si>
  <si>
    <t>3). 연암</t>
  </si>
  <si>
    <t>가). 땅깍기(암석절취)</t>
  </si>
  <si>
    <t>중규모진동제어발파, 연암</t>
  </si>
  <si>
    <t>나). 땅깍기(암석절취)</t>
  </si>
  <si>
    <t>일반발파, 연암</t>
  </si>
  <si>
    <t>4). 보통암</t>
  </si>
  <si>
    <t>일반발파, 보통암</t>
  </si>
  <si>
    <t>5). 발파암 소할</t>
  </si>
  <si>
    <t>가). 발파암 소할</t>
  </si>
  <si>
    <t>30CM이상</t>
  </si>
  <si>
    <t>마. 터파기</t>
  </si>
  <si>
    <t>1). 터파기(토사)</t>
  </si>
  <si>
    <t>TYPE-1, 굴착기1.0, 기계100%</t>
  </si>
  <si>
    <t>바. 흙쌓기</t>
  </si>
  <si>
    <t>1). 비다짐</t>
  </si>
  <si>
    <t>가). 흙쌓기(토사)</t>
  </si>
  <si>
    <t>비다짐, 불도저 32톤</t>
  </si>
  <si>
    <t>나). 흙쌓기(풍화암)</t>
  </si>
  <si>
    <t>2). 노상</t>
  </si>
  <si>
    <t>가). 흙쌓기</t>
  </si>
  <si>
    <t>노상, 두께20cm, 다짐도95%이상</t>
  </si>
  <si>
    <t>3). 노체</t>
  </si>
  <si>
    <t>노체, 두께30cm, 다짐도90%이상</t>
  </si>
  <si>
    <t>4). 되메우기</t>
  </si>
  <si>
    <t>사. 흙운반</t>
  </si>
  <si>
    <t>1). 무대(1, 2차)</t>
  </si>
  <si>
    <t>가). 토사</t>
  </si>
  <si>
    <t>2). 도쟈운반</t>
  </si>
  <si>
    <t>가). 흙운반(토사)</t>
  </si>
  <si>
    <t>불도저 32톤, L=15.2m</t>
  </si>
  <si>
    <t>나). 흙운반(풍화암)</t>
  </si>
  <si>
    <t>불도저 32톤, L=19.7m</t>
  </si>
  <si>
    <t>3). 덤프운반(지구내)</t>
  </si>
  <si>
    <t>가). 흙 운반(토사)(지구내)</t>
  </si>
  <si>
    <t>굴삭기1.0㎥+덤프24톤, L=0.145Km</t>
  </si>
  <si>
    <t>4). 덤프운반</t>
  </si>
  <si>
    <t>가). 흙 운반(토사)(구조물유용)</t>
  </si>
  <si>
    <t>굴삭기1.0㎥+덤프24톤, L=0.061Km</t>
  </si>
  <si>
    <t>5). 덤프운반(외부반출)</t>
  </si>
  <si>
    <t>가). 흙 운반(토사)(진입도로)</t>
  </si>
  <si>
    <t>굴삭기1.0㎥+덤프24톤, L=0.234Km</t>
  </si>
  <si>
    <t>나). 흙 운반(토사)(야적장)</t>
  </si>
  <si>
    <t>굴삭기1.0㎥+덤프24톤, L=0.238Km</t>
  </si>
  <si>
    <t>다). 흙운반(풍화암)(야적장)</t>
  </si>
  <si>
    <t>로우더1.72㎥+덤프24톤, L=0.212Km</t>
  </si>
  <si>
    <t>라). 흙운반(연암)(야적장)</t>
  </si>
  <si>
    <t>굴삭기1.0㎥+덤프24톤, L=0.216Km</t>
  </si>
  <si>
    <t>마). 흙운반(보통암)(야적장)</t>
  </si>
  <si>
    <t>굴삭기1.0㎥+덤프24톤, L=0.226Km</t>
  </si>
  <si>
    <t>6). 덤프운반(구조물잔토)</t>
  </si>
  <si>
    <t>가). 흙 운반(토사)(지하저류조)</t>
  </si>
  <si>
    <t>굴삭기1.0㎥+덤프24톤, L=0.093Km</t>
  </si>
  <si>
    <t>아. 규준틀</t>
  </si>
  <si>
    <t>1). 목재규준틀</t>
  </si>
  <si>
    <t>비탈규준틀</t>
  </si>
  <si>
    <t>개</t>
  </si>
  <si>
    <t>2). 목재규준틀</t>
  </si>
  <si>
    <t>수평규준틀</t>
  </si>
  <si>
    <t>자. 수목이식</t>
  </si>
  <si>
    <t>1). 수목관리</t>
  </si>
  <si>
    <t>386주</t>
  </si>
  <si>
    <t>가). 교목 병해방제</t>
  </si>
  <si>
    <t>회</t>
  </si>
  <si>
    <t>나). 교목 충해방제</t>
  </si>
  <si>
    <t>다). 교목관수</t>
  </si>
  <si>
    <t>15회, 인력</t>
  </si>
  <si>
    <t>주</t>
  </si>
  <si>
    <t>라). 예초</t>
  </si>
  <si>
    <t>6회, 배부식기계사용</t>
  </si>
  <si>
    <t>100㎡</t>
  </si>
  <si>
    <t>2). 수목이식(현장---&gt;가이식장)</t>
  </si>
  <si>
    <t>가). 나무(이식)(상수리나무)</t>
  </si>
  <si>
    <t>B=27~31cm</t>
  </si>
  <si>
    <t>나). 나무(이식)(소나무)</t>
  </si>
  <si>
    <t>B=29cm</t>
  </si>
  <si>
    <t>다). 가로지지대</t>
  </si>
  <si>
    <t>B=20cm</t>
  </si>
  <si>
    <t>개소</t>
  </si>
  <si>
    <t>차. 지장물철거</t>
  </si>
  <si>
    <t>1). 콘크리트깨기</t>
  </si>
  <si>
    <t>가). 구조물헐기(철근)</t>
  </si>
  <si>
    <t>대형30CM미만</t>
  </si>
  <si>
    <t>나). 구조물헐기(무근)</t>
  </si>
  <si>
    <t>2). 폐기물상차</t>
  </si>
  <si>
    <t>가). 폐기물상차</t>
  </si>
  <si>
    <t>굴삭기 0.7㎥</t>
  </si>
  <si>
    <t>2. 우 수 공</t>
  </si>
  <si>
    <t>가. 토 공</t>
  </si>
  <si>
    <t>1). 터파기</t>
  </si>
  <si>
    <t>(1). 터파기(토사)</t>
  </si>
  <si>
    <t>(2). 터파기(토사)</t>
  </si>
  <si>
    <t>기계70%+인력30%, 보통토사</t>
  </si>
  <si>
    <t>(3). 터파기(토사)</t>
  </si>
  <si>
    <t>인력100%</t>
  </si>
  <si>
    <t>2). 되메우기</t>
  </si>
  <si>
    <t>가). 되메우기및다짐(토사)</t>
  </si>
  <si>
    <t>나). 되메우기및다짐(토사)</t>
  </si>
  <si>
    <t>기계90%,인력10%,래머 80KG</t>
  </si>
  <si>
    <t>다). 되메우기및다짐(토사)</t>
  </si>
  <si>
    <t>백호0.7+플레이트콤펙터1.5ton</t>
  </si>
  <si>
    <t>3). 잔토처리</t>
  </si>
  <si>
    <t>가). 잔토처리(토사)</t>
  </si>
  <si>
    <t>기계</t>
  </si>
  <si>
    <t>나. 관 로 공</t>
  </si>
  <si>
    <t>1). 원심력철근콘크리트관 접합 및 부설</t>
  </si>
  <si>
    <t>가). 원심력철근콘크리트관 접합및부설(소켓식)</t>
  </si>
  <si>
    <t>Ø 250mm, 시공조건 B</t>
  </si>
  <si>
    <t>m</t>
  </si>
  <si>
    <t>나). 원심력철근콘크리트관 접합및부설(소켓식)</t>
  </si>
  <si>
    <t>Ø 450mm, 시공조건 B</t>
  </si>
  <si>
    <t>다). 원심력철근콘크리트관 접합및부설(소켓식)</t>
  </si>
  <si>
    <t>Ø 600mm, 시공조건 B</t>
  </si>
  <si>
    <t>라). 원심력철근콘크리트관 접합및부설(소켓식)</t>
  </si>
  <si>
    <t>Ø 800mm, 시공조건 B</t>
  </si>
  <si>
    <t>마). 원심력철근콘크리트관 접합및부설(소켓식)</t>
  </si>
  <si>
    <t>Ø 900mm, 시공조건 B</t>
  </si>
  <si>
    <t>바). 원심력철근콘크리트관 접합및부설(소켓식)</t>
  </si>
  <si>
    <t>Ø 1000mm, 시공조건 B</t>
  </si>
  <si>
    <t>사). 원심력철근콘크리트관 접합및부설(소켓식)</t>
  </si>
  <si>
    <t>Ø 1200mm, 시공조건 B</t>
  </si>
  <si>
    <t>2). 관기초공</t>
  </si>
  <si>
    <t>가). 콘크리트기초(90°)</t>
  </si>
  <si>
    <t>(1) 콘크리트타설</t>
  </si>
  <si>
    <t>장비사용, 무근구조물</t>
  </si>
  <si>
    <t>(2) 거푸집</t>
  </si>
  <si>
    <t>합판6회(간단)</t>
  </si>
  <si>
    <t>3). 원심력철근콘크리트관 천공 및 접합</t>
  </si>
  <si>
    <t>가). 하수관 천공 및 접합</t>
  </si>
  <si>
    <t>D450X250</t>
  </si>
  <si>
    <t>나). 하수관 천공 및 접합</t>
  </si>
  <si>
    <t>D600X250</t>
  </si>
  <si>
    <t>다). 하수관 천공 및 접합</t>
  </si>
  <si>
    <t>D800X250</t>
  </si>
  <si>
    <t>라). 하수관 천공 및 접합</t>
  </si>
  <si>
    <t>D1000X250</t>
  </si>
  <si>
    <t>4). 원심력철근콘크리트관 절단</t>
  </si>
  <si>
    <t>가). 원심력철근콘크리트관 절단</t>
  </si>
  <si>
    <t>Ø 250 MM</t>
  </si>
  <si>
    <t>나). 원심력철근콘크리트관 절단</t>
  </si>
  <si>
    <t>Ø 450 MM</t>
  </si>
  <si>
    <t>다). 원심력철근콘크리트관 절단</t>
  </si>
  <si>
    <t>Ø 600 MM</t>
  </si>
  <si>
    <t>라). 원심력철근콘크리트관 절단</t>
  </si>
  <si>
    <t>Ø 800 MM</t>
  </si>
  <si>
    <t>마). 원심력철근콘크리트관 절단</t>
  </si>
  <si>
    <t>Ø 900 MM</t>
  </si>
  <si>
    <t>바). 원심력철근콘크리트관 절단</t>
  </si>
  <si>
    <t>Ø 1000 MM</t>
  </si>
  <si>
    <t>사). 원심력철근콘크리트관 절단</t>
  </si>
  <si>
    <t>Ø 1200 MM</t>
  </si>
  <si>
    <t>5). 관거내부조사 및 경고용테이프</t>
  </si>
  <si>
    <t>가). 하수관내CCTV조사</t>
  </si>
  <si>
    <t>신설(1일:520m)</t>
  </si>
  <si>
    <t>나). 관로경고용테이프</t>
  </si>
  <si>
    <t>200mmx1m</t>
  </si>
  <si>
    <t>다). 하수관 준설</t>
  </si>
  <si>
    <t>흡입식</t>
  </si>
  <si>
    <t>다. 우수맨홀</t>
  </si>
  <si>
    <t>1). 원형맨홀</t>
  </si>
  <si>
    <t>가). 우수 원형1호 맨홀</t>
  </si>
  <si>
    <t>D900, H=2.54m, 차도</t>
  </si>
  <si>
    <t>나). 우수 원형1호 맨홀</t>
  </si>
  <si>
    <t>D900, H=4.59m, 보도</t>
  </si>
  <si>
    <t>다). 우수 원형2호 맨홀</t>
  </si>
  <si>
    <t>D1200, H=2.77m, 차도</t>
  </si>
  <si>
    <t>2). 각형맨홀</t>
  </si>
  <si>
    <t>가). 우수 각형2호 맨홀</t>
  </si>
  <si>
    <t>1200X1200, H=3.20m, 차도</t>
  </si>
  <si>
    <t>나). 우수 각형2호 맨홀</t>
  </si>
  <si>
    <t>1200X1200, H=4.03m, 보도</t>
  </si>
  <si>
    <t>다). 우수 각형3호 맨홀</t>
  </si>
  <si>
    <t>1400X1200, H=4.22m, 차도</t>
  </si>
  <si>
    <t>라). 우수 각형3호 맨홀</t>
  </si>
  <si>
    <t>1400X1200, H=4.67m, 보도</t>
  </si>
  <si>
    <t>마). 우수 각형4호 맨홀</t>
  </si>
  <si>
    <t>1500X1500, H=4.56m, 차도</t>
  </si>
  <si>
    <t>바). 암거 맨홀</t>
  </si>
  <si>
    <t>900X900, H=3.67, 차도</t>
  </si>
  <si>
    <t>3). 맨홀접합부</t>
  </si>
  <si>
    <t>가). 무수축몰탈</t>
  </si>
  <si>
    <t>1:1, 자재비별산</t>
  </si>
  <si>
    <t>나). 수팽창지수재</t>
  </si>
  <si>
    <t>20x10mm</t>
  </si>
  <si>
    <t>라. 빗물받이</t>
  </si>
  <si>
    <t>1). 1호 우수받이</t>
  </si>
  <si>
    <t>가). 1호 우수받이</t>
  </si>
  <si>
    <t>0.3×0.4×0.9m, 스틸그레이팅포함</t>
  </si>
  <si>
    <t>마. PC암거</t>
  </si>
  <si>
    <t>1). PC암거 설치</t>
  </si>
  <si>
    <t>가). PC BOX</t>
  </si>
  <si>
    <t>1@2.0X1.5, 토피 H=1.0m이하</t>
  </si>
  <si>
    <t>나). PC BOX</t>
  </si>
  <si>
    <t>1@2.0X1.5, 토피 H=4.0m미만</t>
  </si>
  <si>
    <t>다). PC BOX</t>
  </si>
  <si>
    <t>1@2.0X1.8, 토피 H=1.0m이하</t>
  </si>
  <si>
    <t>라). PC BOX</t>
  </si>
  <si>
    <t>1@2.0X1.8, 토피 H=4.0m미만</t>
  </si>
  <si>
    <t>2). 기초부</t>
  </si>
  <si>
    <t>가). 콘크리트타설</t>
  </si>
  <si>
    <t>나). 거푸집</t>
  </si>
  <si>
    <t>3). 낙차부</t>
  </si>
  <si>
    <t>바. 집수정</t>
  </si>
  <si>
    <t>1). 집수정</t>
  </si>
  <si>
    <t>0.9x0.9, H=2.38m, 스틸그레이팅</t>
  </si>
  <si>
    <t>사. U형측구</t>
  </si>
  <si>
    <t>1). U형측구</t>
  </si>
  <si>
    <t>300×300, 스틸그레이팅</t>
  </si>
  <si>
    <t>2). 생태측구(U형측구)</t>
  </si>
  <si>
    <t>300×300</t>
  </si>
  <si>
    <t>아. 산마루측구</t>
  </si>
  <si>
    <t>1). 산마루측구</t>
  </si>
  <si>
    <t>500×500, H=450</t>
  </si>
  <si>
    <t>2). 생태측구(산마루측구)</t>
  </si>
  <si>
    <t>500×500</t>
  </si>
  <si>
    <t>자. 비점오염처리시설</t>
  </si>
  <si>
    <t>가). 비점오염저감시설(A유역)</t>
  </si>
  <si>
    <t>WQF=158.2 (m3/hr/Unit), 여과형</t>
  </si>
  <si>
    <t>1). 초기우수처리시설</t>
  </si>
  <si>
    <t>2). 웨어 및 부대공</t>
  </si>
  <si>
    <t>가). 레디믹스콘크리트타설</t>
  </si>
  <si>
    <t>장비사용, 철근구조물</t>
  </si>
  <si>
    <t>나). 레디믹스콘크리트타설</t>
  </si>
  <si>
    <t>다). 거푸집</t>
  </si>
  <si>
    <t>라). 모래부설</t>
  </si>
  <si>
    <t>기초, 인력</t>
  </si>
  <si>
    <t>마). 잡석부설</t>
  </si>
  <si>
    <t>잡석지정, 재료비 제외, 150mm이하</t>
  </si>
  <si>
    <t>바). 구조물헐기(철근)</t>
  </si>
  <si>
    <t>사). 몰탈</t>
  </si>
  <si>
    <t>1:2, 재료비제외</t>
  </si>
  <si>
    <t>아). 앵커볼트 설치</t>
  </si>
  <si>
    <t>케미컬앵커, Ø20mm, 300mm</t>
  </si>
  <si>
    <t>자). 고강성 PVC 이중벽관 접합 및 부설</t>
  </si>
  <si>
    <t>D300mm</t>
  </si>
  <si>
    <t>차). 고강성 PVC 이중벽관 절단</t>
  </si>
  <si>
    <t>카). 스테인리스관 접합및부설</t>
  </si>
  <si>
    <t>D=50mm</t>
  </si>
  <si>
    <t>타). 스테인리스관 나사 접합</t>
  </si>
  <si>
    <t>파). 스테인레스강관</t>
  </si>
  <si>
    <t>D50</t>
  </si>
  <si>
    <t>하). 스테인레스 90도 엘보</t>
  </si>
  <si>
    <t>ea</t>
  </si>
  <si>
    <t>갸). 고강성PVC이중벽관</t>
  </si>
  <si>
    <t>D300mm, 직관</t>
  </si>
  <si>
    <t>본</t>
  </si>
  <si>
    <t>냐). 고강성PVC이중벽관 이음관</t>
  </si>
  <si>
    <t>D300mm, 소켓, 고무링</t>
  </si>
  <si>
    <t>set</t>
  </si>
  <si>
    <t>차. 주요자재 구입 및 운반</t>
  </si>
  <si>
    <t>1). 시멘트</t>
  </si>
  <si>
    <t>가). 보통시멘트</t>
  </si>
  <si>
    <t>40kg/대 (포장품)</t>
  </si>
  <si>
    <t>대</t>
  </si>
  <si>
    <t>나). 무수축시멘트</t>
  </si>
  <si>
    <t>25kg/대 (포장품)</t>
  </si>
  <si>
    <t>다). 시멘트운반</t>
  </si>
  <si>
    <t>L=30km이내</t>
  </si>
  <si>
    <t>2). 골재</t>
  </si>
  <si>
    <t>가). 모래</t>
  </si>
  <si>
    <t>강모래, 현장도착도</t>
  </si>
  <si>
    <t>나). 쇄석자갈</t>
  </si>
  <si>
    <t>Φ25mm, 현장도착도</t>
  </si>
  <si>
    <t>다). 잡석</t>
  </si>
  <si>
    <t>Φ150mm이하, 현장도착도</t>
  </si>
  <si>
    <t>3). 철근</t>
  </si>
  <si>
    <t>가). 이형철근</t>
  </si>
  <si>
    <t>D13M/M 0.995KG/M SD30A</t>
  </si>
  <si>
    <t>Ton</t>
  </si>
  <si>
    <t>나). 이형철근(고장력철근)</t>
  </si>
  <si>
    <t>HD13M/M 0.995KG/M SD35,40</t>
  </si>
  <si>
    <t>다). 이형철근(고장력철근)</t>
  </si>
  <si>
    <t>HD16M/M 1.560KG/M SD35,40</t>
  </si>
  <si>
    <t>라). 이형철근(고장력철근)</t>
  </si>
  <si>
    <t>HD19M/M 2.250KG/M SD35,40</t>
  </si>
  <si>
    <t>마). 철근운반비</t>
  </si>
  <si>
    <t>L=10km이내</t>
  </si>
  <si>
    <t>바). 고철(고재)</t>
  </si>
  <si>
    <t>중량A</t>
  </si>
  <si>
    <t>4). 레미콘</t>
  </si>
  <si>
    <t>가). 레미콘</t>
  </si>
  <si>
    <t>25-21- 8(Mpa)</t>
  </si>
  <si>
    <t>나). 레미콘</t>
  </si>
  <si>
    <t>25-18-8(Mpa)</t>
  </si>
  <si>
    <t>5). 원심력철근콘크리트관</t>
  </si>
  <si>
    <t>가). 원심력철근콘크리트관(보통2종)</t>
  </si>
  <si>
    <t>250㎜ (소켓식,B형)</t>
  </si>
  <si>
    <t>m</t>
  </si>
  <si>
    <t>나). 원심력철근콘크리트관(보통2종)</t>
  </si>
  <si>
    <t>450㎜ (소켓식,B형)</t>
  </si>
  <si>
    <t>다). 원심력철근콘크리트관(보통2종)</t>
  </si>
  <si>
    <t>600㎜ (소켓식,B형)</t>
  </si>
  <si>
    <t>라). 원심력철근콘크리트관(보통2종)</t>
  </si>
  <si>
    <t>800㎜ (소켓식,B형)</t>
  </si>
  <si>
    <t>마). 원심력철근콘크리트관(보통2종)</t>
  </si>
  <si>
    <t>900㎜ (소켓식,B형)</t>
  </si>
  <si>
    <t>바). 원심력철근콘크리트관(보통2종)</t>
  </si>
  <si>
    <t>1000㎜ (소켓식,B형)</t>
  </si>
  <si>
    <t>사). 원심력철근콘크리트관(보통2종)</t>
  </si>
  <si>
    <t>1200㎜ (소켓식,B형)</t>
  </si>
  <si>
    <t>아). 흄관하차비</t>
  </si>
  <si>
    <t>Ø 250 MM - 차상도</t>
  </si>
  <si>
    <t>자). 흄관하차비</t>
  </si>
  <si>
    <t>Ø 450 MM - 차상도</t>
  </si>
  <si>
    <t>차). 흄관하차비</t>
  </si>
  <si>
    <t>Ø 600 MM - 차상도</t>
  </si>
  <si>
    <t>카). 흄관하차비</t>
  </si>
  <si>
    <t>Ø 800 MM - 차상도</t>
  </si>
  <si>
    <t>타). 흄관하차비</t>
  </si>
  <si>
    <t>Ø 900 MM - 차상도</t>
  </si>
  <si>
    <t>파). 흄관하차비</t>
  </si>
  <si>
    <t>Ø 1000 MM - 차상도</t>
  </si>
  <si>
    <t>하). 흄관하차비</t>
  </si>
  <si>
    <t>Ø 1200 MM - 차상도</t>
  </si>
  <si>
    <t>6). 맨홀뚜껑</t>
  </si>
  <si>
    <t>가). 맨홀뚜껑(주철제)</t>
  </si>
  <si>
    <t>Φ648KS, 하수도용(잠금식)</t>
  </si>
  <si>
    <t>조</t>
  </si>
  <si>
    <t>3. 오 수 공</t>
  </si>
  <si>
    <t>가. 토공사</t>
  </si>
  <si>
    <t>기계90%+인력10%, 보통토사</t>
  </si>
  <si>
    <t>가). 되메우기 및 다짐(토사)</t>
  </si>
  <si>
    <t>기계100%</t>
  </si>
  <si>
    <t>나. 관로공</t>
  </si>
  <si>
    <t>1). 고강성 PVC 이중벽관 부설 및 접합</t>
  </si>
  <si>
    <t>가). 고강성 PVC 이중벽관 접합 및 부설</t>
  </si>
  <si>
    <t>D150mm, 시공조건B</t>
  </si>
  <si>
    <t>나). 고강성 PVC 이중벽관 접합 및 부설</t>
  </si>
  <si>
    <t>D300mm, 시공조건B</t>
  </si>
  <si>
    <t>2). 고강성 PVC 이중벽관 절단</t>
  </si>
  <si>
    <t>가). 고강성 PVC 이중벽관 절단</t>
  </si>
  <si>
    <t>D150mm</t>
  </si>
  <si>
    <t>나). 고강성 PVC 이중벽관 절단</t>
  </si>
  <si>
    <t>3). 관기초</t>
  </si>
  <si>
    <t>가). 모래부설</t>
  </si>
  <si>
    <t>관기초, 인력</t>
  </si>
  <si>
    <t>다. 오수맨홀</t>
  </si>
  <si>
    <t>1). 원형 1호맨홀</t>
  </si>
  <si>
    <t>가). 원형1호 맨홀</t>
  </si>
  <si>
    <t>H=2.63m, 차도</t>
  </si>
  <si>
    <t>2). 맨홀접속부 지수단관</t>
  </si>
  <si>
    <t>가). 고강성 PVC이중벽 지수단관</t>
  </si>
  <si>
    <t>나). 고강성 PVC이중벽 지수단관</t>
  </si>
  <si>
    <t>3). 맨홀접속부 몰탈마감</t>
  </si>
  <si>
    <t>가). 맨홀이음부 몰탈</t>
  </si>
  <si>
    <t>D150, 몰탈 1:2</t>
  </si>
  <si>
    <t>나). 맨홀이음부 몰탈</t>
  </si>
  <si>
    <t>D300, 몰탈 1:2</t>
  </si>
  <si>
    <t>4). 부관맨홀</t>
  </si>
  <si>
    <t>합판4회(보통)</t>
  </si>
  <si>
    <t>다). 고강성 PVC 이중벽관 접합 및 부설</t>
  </si>
  <si>
    <t>D200mm, 시공조건B</t>
  </si>
  <si>
    <t>라). 고강성 PVC 이중벽관 접합 및 부설</t>
  </si>
  <si>
    <t>마). 고강성 PVC 이중벽관 절단</t>
  </si>
  <si>
    <t>D200mm</t>
  </si>
  <si>
    <t>바). 고강성 PVC 이중벽관 절단</t>
  </si>
  <si>
    <t>사). 고강성 PVC 이중벽관 이형관 접합</t>
  </si>
  <si>
    <t>아). 고강성 PVC 이중벽관 이형관 접합</t>
  </si>
  <si>
    <t>자). 고강성PVC이중벽관 이경티</t>
  </si>
  <si>
    <t>D300xD200</t>
  </si>
  <si>
    <t>차). 고강성PVC이중벽관 90 엘보</t>
  </si>
  <si>
    <t>D200</t>
  </si>
  <si>
    <t>마. 부대공</t>
  </si>
  <si>
    <t>1). 하수관내CCTV조사</t>
  </si>
  <si>
    <t>2). 관로경고용테이프설치</t>
  </si>
  <si>
    <t>3). 하수관 공기압시험</t>
  </si>
  <si>
    <t>4). 표식</t>
  </si>
  <si>
    <t>가). 분기관 표식설치</t>
  </si>
  <si>
    <t>ELP D80,L=1.5M</t>
  </si>
  <si>
    <t>나). 분기관표시못 설치</t>
  </si>
  <si>
    <t>D80X110</t>
  </si>
  <si>
    <t>다). 마개</t>
  </si>
  <si>
    <t>150㎜, 파상형경질PE전선관용</t>
  </si>
  <si>
    <t>바. 주요자재 구입 및 운반</t>
  </si>
  <si>
    <t>나). 시멘트운반</t>
  </si>
  <si>
    <t>나). 이형철근</t>
  </si>
  <si>
    <t>D16M/M 1.560KG/M SD30A</t>
  </si>
  <si>
    <t>다). 철근운반비</t>
  </si>
  <si>
    <t>라). 고철(고재)</t>
  </si>
  <si>
    <t>5). 고강성 PVC 이중벽관</t>
  </si>
  <si>
    <t>가). 고강성PVC이중벽관</t>
  </si>
  <si>
    <t>D150mm, 직관</t>
  </si>
  <si>
    <t>나). 고강성PVC이중벽관</t>
  </si>
  <si>
    <t>D200mm, 직관</t>
  </si>
  <si>
    <t>다). 고강성PVC이중벽관</t>
  </si>
  <si>
    <t>4. 상 수 공</t>
  </si>
  <si>
    <t>나). 되메우기 및 다짐(토사)</t>
  </si>
  <si>
    <t>나. 관로</t>
  </si>
  <si>
    <t>1). 주철관 접합 및 부설</t>
  </si>
  <si>
    <t>가). 주철관 부설 및 접합(KP접합)</t>
  </si>
  <si>
    <t>D100mm, 시공조건 B</t>
  </si>
  <si>
    <t>나). 주철관 부설 및 접합(KP접합)</t>
  </si>
  <si>
    <t>D150mm, 시공조건 B</t>
  </si>
  <si>
    <t>2). 주철관 이형관 접합</t>
  </si>
  <si>
    <t>가). 주철 이형관 접합(KP접합)</t>
  </si>
  <si>
    <t>D100mm</t>
  </si>
  <si>
    <t>나). 주철 이형관 접합(KP접합)</t>
  </si>
  <si>
    <t>다). 주철 이형관 접합(이탈방지압륜)</t>
  </si>
  <si>
    <t>라). 주철 이형관 접합(이탈방지압륜)</t>
  </si>
  <si>
    <t>3). 플랜지 접합</t>
  </si>
  <si>
    <t>가). 플랜지 접합</t>
  </si>
  <si>
    <t>나). 플랜지 접합</t>
  </si>
  <si>
    <t>4). 주철관 절단</t>
  </si>
  <si>
    <t>가). 주철관 절단</t>
  </si>
  <si>
    <t>나). 주철관 절단</t>
  </si>
  <si>
    <t>5). STS관 부설 및 접합</t>
  </si>
  <si>
    <t>가). 스테인리스관 접합및부설</t>
  </si>
  <si>
    <t>D=25mm</t>
  </si>
  <si>
    <t>나). 스테인리스관 접합및부설</t>
  </si>
  <si>
    <t>6). STS관 이형관 접합</t>
  </si>
  <si>
    <t>가). 스테인리스관 나사 접합</t>
  </si>
  <si>
    <t>나). 스테인리스관 나사 접합</t>
  </si>
  <si>
    <t>다). 스테인리스관 슬립인조인트 접합</t>
  </si>
  <si>
    <t>라). 스테인리스관 슬립인조인트 접합</t>
  </si>
  <si>
    <t>7). STS관 절단</t>
  </si>
  <si>
    <t>가). 스테인리스관 절단</t>
  </si>
  <si>
    <t>나). 스테인리스관 절단</t>
  </si>
  <si>
    <t>8). 분기관접합</t>
  </si>
  <si>
    <t>가). 새들붙이분수전(단수천공)</t>
  </si>
  <si>
    <t>D100mmX25mm</t>
  </si>
  <si>
    <t>나). 새들붙이분수전(단수천공)</t>
  </si>
  <si>
    <t>D150mmX25mm</t>
  </si>
  <si>
    <t>다). 새들붙이분수전(단수천공)</t>
  </si>
  <si>
    <t>D150mmX50mm</t>
  </si>
  <si>
    <t>다. 밸브 부설 및 접합</t>
  </si>
  <si>
    <t>1). 청동밸브</t>
  </si>
  <si>
    <t>가). 게이트밸브 설치</t>
  </si>
  <si>
    <t>D=25mm, 청동</t>
  </si>
  <si>
    <t>나). 게이트밸브 설치</t>
  </si>
  <si>
    <t>D=50mm, 청동</t>
  </si>
  <si>
    <t>2). 제수밸브</t>
  </si>
  <si>
    <t>가). 제수변 접합 및 부설</t>
  </si>
  <si>
    <t>100㎜</t>
  </si>
  <si>
    <t>나). 제수변 접합 및 부설</t>
  </si>
  <si>
    <t>150㎜</t>
  </si>
  <si>
    <t>3). 공기밸브</t>
  </si>
  <si>
    <t>가). 공기밸브 접합 및 부설</t>
  </si>
  <si>
    <t>4). 소화전</t>
  </si>
  <si>
    <t>가). 지상식소화전</t>
  </si>
  <si>
    <t>쌍구, D100mm</t>
  </si>
  <si>
    <t>나). 소화전보호틀</t>
  </si>
  <si>
    <t>600x600x750xø76A, Steel</t>
  </si>
  <si>
    <t>다). 주정차금지(문구)</t>
  </si>
  <si>
    <t>(1). 차선도색(융착식,수동식),신설구간</t>
  </si>
  <si>
    <t>문자,기호, 백색</t>
  </si>
  <si>
    <t>(2). 차선도색(융착식,수동식),신설구간</t>
  </si>
  <si>
    <t>문자,기호, 적색</t>
  </si>
  <si>
    <t>라). 소화용수표지판</t>
  </si>
  <si>
    <t>원형</t>
  </si>
  <si>
    <t>5). 유량계</t>
  </si>
  <si>
    <t>가). 초음파유량계설치</t>
  </si>
  <si>
    <t>D150mm, TM/TC포함</t>
  </si>
  <si>
    <t>라. 변실</t>
  </si>
  <si>
    <t>1). 제수변실</t>
  </si>
  <si>
    <t>가). 제수변실</t>
  </si>
  <si>
    <t>2.50×2.00</t>
  </si>
  <si>
    <t>나). 원형제수변실(D100mm)</t>
  </si>
  <si>
    <t>D800, 흄관</t>
  </si>
  <si>
    <t>다). 원형제수변실(D150mm)</t>
  </si>
  <si>
    <t>2). 공기변실</t>
  </si>
  <si>
    <t>가). 공기변실</t>
  </si>
  <si>
    <t>1.20×1.20</t>
  </si>
  <si>
    <t>3). 이토변실</t>
  </si>
  <si>
    <t>가). 이토변실</t>
  </si>
  <si>
    <t>4). 유량계실</t>
  </si>
  <si>
    <t>가). 유량계실</t>
  </si>
  <si>
    <t>3.00×1.80</t>
  </si>
  <si>
    <t>5). 기타</t>
  </si>
  <si>
    <t>가). 지수전 보호통</t>
  </si>
  <si>
    <t>(1). 지수전 보호통</t>
  </si>
  <si>
    <t>D25mm</t>
  </si>
  <si>
    <t>(2). 지수전 보호통</t>
  </si>
  <si>
    <t>D50mm</t>
  </si>
  <si>
    <t>나). 제수변 보호통</t>
  </si>
  <si>
    <t>(1). 제수변보호통설치</t>
  </si>
  <si>
    <t>(2). 제수변보호통설치</t>
  </si>
  <si>
    <t>1). 표식</t>
  </si>
  <si>
    <t>다). 관로경고용테이프</t>
  </si>
  <si>
    <t>2). 통수시험</t>
  </si>
  <si>
    <t>가). 통수시험</t>
  </si>
  <si>
    <t>나). 물사용량</t>
  </si>
  <si>
    <t>일반용</t>
  </si>
  <si>
    <t>3). 수압시험</t>
  </si>
  <si>
    <t>가). 수압시험비</t>
  </si>
  <si>
    <t>나). 수압시험비</t>
  </si>
  <si>
    <t>1). 레미콘</t>
  </si>
  <si>
    <t>25-21-12(Mpa)</t>
  </si>
  <si>
    <t>다). 레미콘</t>
  </si>
  <si>
    <t>2). 철근</t>
  </si>
  <si>
    <t>3). 시멘트</t>
  </si>
  <si>
    <t>4). 골재</t>
  </si>
  <si>
    <t>다). 쇄석자갈</t>
  </si>
  <si>
    <t>Φ40mm, 현장도착도</t>
  </si>
  <si>
    <t>라). 잡석</t>
  </si>
  <si>
    <t>Φ50mm, 현장도착도</t>
  </si>
  <si>
    <t>마). 잡석</t>
  </si>
  <si>
    <t>5). 주철관</t>
  </si>
  <si>
    <t>가). 수도용닥타일주철관(직관)</t>
  </si>
  <si>
    <t>100㎜ x 5m (KP시멘트,2종)</t>
  </si>
  <si>
    <t>나). 수도용닥타일주철관(직관)</t>
  </si>
  <si>
    <t>150㎜ x 6m (KP시멘트,2종)</t>
  </si>
  <si>
    <t>다). 수도용닥타일이형관</t>
  </si>
  <si>
    <t>시멘트라이닝</t>
  </si>
  <si>
    <t>kg</t>
  </si>
  <si>
    <t>라). 주철관운반비</t>
  </si>
  <si>
    <t>공장---&gt;현장, L=160KM</t>
  </si>
  <si>
    <t>ton</t>
  </si>
  <si>
    <t>6). 스테인리스강관</t>
  </si>
  <si>
    <t>가). 스테인레스강관</t>
  </si>
  <si>
    <t>D25</t>
  </si>
  <si>
    <t>나). 스테인레스강관</t>
  </si>
  <si>
    <t>다). 분수전연결용주름마디강관(STS)</t>
  </si>
  <si>
    <t>D25 × 1.0</t>
  </si>
  <si>
    <t>라). 분수전연결용주름마디강관(STS)</t>
  </si>
  <si>
    <t>D50 × 1.0</t>
  </si>
  <si>
    <t>마). 밸브소켓(슬립인조인트)</t>
  </si>
  <si>
    <t>바). 밸브소켓(슬립인조인트)</t>
  </si>
  <si>
    <t>사). 연결유니온</t>
  </si>
  <si>
    <t>아). 연결유니온</t>
  </si>
  <si>
    <t>자). 프러그(슬립인조인트)</t>
  </si>
  <si>
    <t>차). 프러그(슬립인조인트)</t>
  </si>
  <si>
    <t>7). 제수밸브</t>
  </si>
  <si>
    <t>가). 소프트실제수밸브</t>
  </si>
  <si>
    <t>나). 소프트실제수밸브</t>
  </si>
  <si>
    <t>다). 급속공기밸브(수도용)</t>
  </si>
  <si>
    <t>100A</t>
  </si>
  <si>
    <t>8). 맨홀뚜껑</t>
  </si>
  <si>
    <t>Φ648x250, KS, 상수도용</t>
  </si>
  <si>
    <t>5. 포 장 공</t>
  </si>
  <si>
    <t>가). 구조물터파기(토사)</t>
  </si>
  <si>
    <t>기계90%+인력10%,래머 80KG</t>
  </si>
  <si>
    <t>나. 아스콘포장</t>
  </si>
  <si>
    <t>1). 아스팔트 표층 기계포설(대형장비)</t>
  </si>
  <si>
    <t>3.0m≤B, T=5cm</t>
  </si>
  <si>
    <t>2). 아스팔트 중간층 기계포설(대형장비)</t>
  </si>
  <si>
    <t>3). 아스팔트 기층 기계포설(대형장비)</t>
  </si>
  <si>
    <t>3.0m≤B, T=15cm, 2회</t>
  </si>
  <si>
    <t>4). 텍코팅(기계식)</t>
  </si>
  <si>
    <t>RSC-4:45ℓ/a, 2회</t>
  </si>
  <si>
    <t>5). 텍코팅(기계식)</t>
  </si>
  <si>
    <t>RSC-4:45ℓ/a</t>
  </si>
  <si>
    <t>6). 프라임코팅(기계식)</t>
  </si>
  <si>
    <t>RSC-3:150ℓ/a</t>
  </si>
  <si>
    <t>7). 보조기층(기계시공)</t>
  </si>
  <si>
    <t>본선포장, T=20cm</t>
  </si>
  <si>
    <t>다. 보도포장</t>
  </si>
  <si>
    <t>1). 보도포장(투수)</t>
  </si>
  <si>
    <t>가). 보도용블럭포장(소형)</t>
  </si>
  <si>
    <t>A-TYPE, T=8㎝이하</t>
  </si>
  <si>
    <t>나). 보조기층(인력식)</t>
  </si>
  <si>
    <t>소규모장비</t>
  </si>
  <si>
    <t>라. 장애자용블럭포장</t>
  </si>
  <si>
    <t>1). 보도포장(장애인용블럭)</t>
  </si>
  <si>
    <t>가). 보도용블럭포장(유도블록)</t>
  </si>
  <si>
    <t>A-TYPE, T=6㎝이하</t>
  </si>
  <si>
    <t>나). 보도용블럭포장(점자블록)</t>
  </si>
  <si>
    <t>다). 보조기층(인력식)</t>
  </si>
  <si>
    <t>T=10cm, 소규모장비</t>
  </si>
  <si>
    <t>마. 미끄럼방지포장</t>
  </si>
  <si>
    <t>1). 미끄럼방지공</t>
  </si>
  <si>
    <t>전면식</t>
  </si>
  <si>
    <t>바. 과속방지턱</t>
  </si>
  <si>
    <t>5개소</t>
  </si>
  <si>
    <t>3.0m≤B, T=10cm</t>
  </si>
  <si>
    <t>2). 텍코팅(기계식)</t>
  </si>
  <si>
    <t>3). 차선도색(융착식,수동식),신설구간</t>
  </si>
  <si>
    <t>백색-실선</t>
  </si>
  <si>
    <t>4). 차선도색(융착식,수동식),신설구간</t>
  </si>
  <si>
    <t>황색-실선</t>
  </si>
  <si>
    <t>5). 차선도색(차로밑그림),신설구간</t>
  </si>
  <si>
    <t>실선</t>
  </si>
  <si>
    <t>사. 고원식횡단보도</t>
  </si>
  <si>
    <t>2개소</t>
  </si>
  <si>
    <t>3). 미끄럼방지공</t>
  </si>
  <si>
    <t>횡단보도,주차장</t>
  </si>
  <si>
    <t>5). 차선도색(융착식,수동식),신설구간</t>
  </si>
  <si>
    <t>문자,기호</t>
  </si>
  <si>
    <t>6). 차선도색(차로밑그림),신설구간</t>
  </si>
  <si>
    <t>7). 차선도색(차로밑그림),신설구간</t>
  </si>
  <si>
    <t>아. 경계석설치</t>
  </si>
  <si>
    <t>1). 보차도경계석(화강석)</t>
  </si>
  <si>
    <t>가). 보차도경계석 설치</t>
  </si>
  <si>
    <t>180×200×1000, A-TYPE(직선구간)</t>
  </si>
  <si>
    <t>나). 보차도경계석 설치</t>
  </si>
  <si>
    <t>180×200×1000, A-TYPE(곡선구간)</t>
  </si>
  <si>
    <t>다). 보차도경계석 설치(경사)</t>
  </si>
  <si>
    <t>180×200~100×1000, A-TYPE(곡선구간)</t>
  </si>
  <si>
    <t>라). 보차도경계석 설치(낮춤)</t>
  </si>
  <si>
    <t>180×100×1000, A-TYPE(곡선구간)</t>
  </si>
  <si>
    <t>2). 도로경계석(화강석)</t>
  </si>
  <si>
    <t>가). 도로경계석 설치</t>
  </si>
  <si>
    <t>120×120×1000, A-TYPE(직선구간)</t>
  </si>
  <si>
    <t>자. 교통시설공</t>
  </si>
  <si>
    <t>1). 교통안전표지판</t>
  </si>
  <si>
    <t>가). 교통안전표지판(삼각)(과속방지턱)</t>
  </si>
  <si>
    <t>1변 900 MM</t>
  </si>
  <si>
    <t>나). 교통안전표지판(오각)(횡단보도)</t>
  </si>
  <si>
    <t>600×200×600mm, 횡단보도</t>
  </si>
  <si>
    <t>다). 교통안전표지판(오각+삼각)(횡단보도+과속방지턱)</t>
  </si>
  <si>
    <t>1변 900mm+1변 900mm,600×200×600mm</t>
  </si>
  <si>
    <t>라). 교통안전표지판(사각)(주차장)</t>
  </si>
  <si>
    <t>600mmx600mm</t>
  </si>
  <si>
    <t>마). 교통안전표지판(삼각)(오르막경사)</t>
  </si>
  <si>
    <t>바). 교통안전표지판(삼각)(내리막경사)</t>
  </si>
  <si>
    <t>사). 교통안전표지판(삼각+삼각)(우로굽은도로+과속방지턱)</t>
  </si>
  <si>
    <t>1변 900 MM+1변 900 MM</t>
  </si>
  <si>
    <t>아). 교통안전표지판(오각+삼각)(횡단보도+좌로굽은도로)</t>
  </si>
  <si>
    <t>자). 갈매기표지판</t>
  </si>
  <si>
    <t>AL 450×600</t>
  </si>
  <si>
    <t>2). 노면표시</t>
  </si>
  <si>
    <t>가). 차선도색(페인트,기계식),신설구간</t>
  </si>
  <si>
    <t>나). 차선도색(페인트,기계식),신설구간</t>
  </si>
  <si>
    <t>다). 차선도색(페인트,기계식),신설구간</t>
  </si>
  <si>
    <t>백색-파선</t>
  </si>
  <si>
    <t>라). 차선도색(융착식,수동식),신설구간</t>
  </si>
  <si>
    <t>마). 차선도색(융착식,수동식),신설구간</t>
  </si>
  <si>
    <t>바). 차선도색(차로밑그림),신설구간</t>
  </si>
  <si>
    <t>사). 차선도색(차로밑그림),신설구간</t>
  </si>
  <si>
    <t>파선</t>
  </si>
  <si>
    <t>아). 차선도색(차로밑그림),신설구간</t>
  </si>
  <si>
    <t>자). 차선도색(차로밑그림),신설구간</t>
  </si>
  <si>
    <t>3). 부대공</t>
  </si>
  <si>
    <t>가). 도로표지병설치</t>
  </si>
  <si>
    <t>양면</t>
  </si>
  <si>
    <t>나). 도로반사경(1면)</t>
  </si>
  <si>
    <t>Ø 800 mm, STS</t>
  </si>
  <si>
    <t>다). 탄성볼라드</t>
  </si>
  <si>
    <t>Ø130×1,050mm</t>
  </si>
  <si>
    <t>라). 시멘트운반</t>
  </si>
  <si>
    <t>차. 주요자재 구입</t>
  </si>
  <si>
    <t>2). 레미콘</t>
  </si>
  <si>
    <t>25-18- 8(Mpa)</t>
  </si>
  <si>
    <t>3). 보통시멘트</t>
  </si>
  <si>
    <t>4). 모래</t>
  </si>
  <si>
    <t>5). 혼합골재(보조기층용)</t>
  </si>
  <si>
    <t>6). 혼합골재(보조기층용)</t>
  </si>
  <si>
    <t>Φ80mm이하, 현장도착도</t>
  </si>
  <si>
    <t>7). 혼합골재(보조기층용)(순환골재)</t>
  </si>
  <si>
    <t>8). 아스팔트(유제)</t>
  </si>
  <si>
    <t>RS(C)-3 (200ℓ)</t>
  </si>
  <si>
    <t>D/M</t>
  </si>
  <si>
    <t>9). 아스팔트(유제)</t>
  </si>
  <si>
    <t>RS(C)-4 (200ℓ)</t>
  </si>
  <si>
    <t>10). 아스팔트콘크리트</t>
  </si>
  <si>
    <t>#78 표층용</t>
  </si>
  <si>
    <t>11). 아스팔트콘크리트</t>
  </si>
  <si>
    <t>#67 중간층용</t>
  </si>
  <si>
    <t>12). 아스팔트콘크리트</t>
  </si>
  <si>
    <t>#467 기층용</t>
  </si>
  <si>
    <t>13). 아스팔트콘크리트(재생)</t>
  </si>
  <si>
    <t>#467 기층용(안정처리제)</t>
  </si>
  <si>
    <t>14). 보차도경계석(화강석)</t>
  </si>
  <si>
    <t>180x200x1000㎜ (직선)</t>
  </si>
  <si>
    <t>15). 보차도경계석(화강석)</t>
  </si>
  <si>
    <t>180x200x1000㎜ (곡선)</t>
  </si>
  <si>
    <t>16). 횡단보도경계석(화강석)(경사)</t>
  </si>
  <si>
    <t>180x200∼100x1000㎜ (곡선경사)</t>
  </si>
  <si>
    <t>17). 횡단보도경계석(화강석)(낮춤)</t>
  </si>
  <si>
    <t>180x100x1000㎜ (곡선)</t>
  </si>
  <si>
    <t>18). 도로경계석(화강석)</t>
  </si>
  <si>
    <t>120x120x1000㎜ (직선), 국산</t>
  </si>
  <si>
    <t>19). 보도블록(인조화강)</t>
  </si>
  <si>
    <t>200x200x60, 투수</t>
  </si>
  <si>
    <t>20). 장애인용보도 선형블록</t>
  </si>
  <si>
    <t>300x300x60, 고강도, 논슬립</t>
  </si>
  <si>
    <t>21). 장애인용보도 점형블록</t>
  </si>
  <si>
    <t>6. 구조물공</t>
  </si>
  <si>
    <t>가. RC옹벽</t>
  </si>
  <si>
    <t>1). 콘크리트타설</t>
  </si>
  <si>
    <t>2). 콘크리트타설</t>
  </si>
  <si>
    <t>3). 철근가공조립(현장)</t>
  </si>
  <si>
    <t>TYPE-1-1</t>
  </si>
  <si>
    <t>4). 문양거푸집</t>
  </si>
  <si>
    <t>판넬</t>
  </si>
  <si>
    <t>5). 거푸집</t>
  </si>
  <si>
    <t>6). 거푸집</t>
  </si>
  <si>
    <t>7). 강관비계</t>
  </si>
  <si>
    <t>10m이하-3개월사용</t>
  </si>
  <si>
    <t>8). 스페이셔설치</t>
  </si>
  <si>
    <t>수직</t>
  </si>
  <si>
    <t>9). 스페이셔설치</t>
  </si>
  <si>
    <t>수평</t>
  </si>
  <si>
    <t>10). PVC관 부설 및 접합</t>
  </si>
  <si>
    <t>Ø 100 MM - VG2 일반관</t>
  </si>
  <si>
    <t>11). 드레인보드 설치</t>
  </si>
  <si>
    <t>옹벽 배수용</t>
  </si>
  <si>
    <t>12). 부직포설치</t>
  </si>
  <si>
    <t>13). 신축이음(Joint filler)</t>
  </si>
  <si>
    <t>t=20mm</t>
  </si>
  <si>
    <t>14). DOWEL BAR(옹벽용)</t>
  </si>
  <si>
    <t>Ø32×800(기성품)</t>
  </si>
  <si>
    <t>15). 실링마감(실런트)</t>
  </si>
  <si>
    <t>20×25</t>
  </si>
  <si>
    <t>16). 기초지정</t>
  </si>
  <si>
    <t>잡석지정, 재료비 제외</t>
  </si>
  <si>
    <t>17). 부대공</t>
  </si>
  <si>
    <t>가). 철근운반비</t>
  </si>
  <si>
    <t>나). 고철(고재)</t>
  </si>
  <si>
    <t>18). 주요자재</t>
  </si>
  <si>
    <t>25-24-12(Mpa)</t>
  </si>
  <si>
    <t>25-21-8(Mpa)</t>
  </si>
  <si>
    <t>HD13M/M 0.995KG/M SD40</t>
  </si>
  <si>
    <t>TON</t>
  </si>
  <si>
    <t>마). 이형철근(고장력철근)</t>
  </si>
  <si>
    <t>HD16M/M 1.560KG/M SD40</t>
  </si>
  <si>
    <t>바). 이형철근(고장력철근)</t>
  </si>
  <si>
    <t>HD19M/M 2.250KG/M SD40</t>
  </si>
  <si>
    <t>사). 이형철근(고장력철근)</t>
  </si>
  <si>
    <t>HD22M/M 3.040KG/M SD40</t>
  </si>
  <si>
    <t>나. 보강토옹벽</t>
  </si>
  <si>
    <t>1). 토공 및 기초</t>
  </si>
  <si>
    <t>가). 터파기(토사)</t>
  </si>
  <si>
    <t>다). 잔토처리(토사)</t>
  </si>
  <si>
    <t>라). 거푸집</t>
  </si>
  <si>
    <t>마). 콘크리트타설</t>
  </si>
  <si>
    <t>2). 보강토 옹벽설치</t>
  </si>
  <si>
    <t>가). 보강토옹벽(마감형블럭)</t>
  </si>
  <si>
    <t>450x410x125</t>
  </si>
  <si>
    <t>나). 보강토옹벽(표준형블럭)</t>
  </si>
  <si>
    <t>550x420x250</t>
  </si>
  <si>
    <t>3). 뒷채움</t>
  </si>
  <si>
    <t>가). 보강토옹벽 뒤채움및다짐</t>
  </si>
  <si>
    <t>4). 자재운반</t>
  </si>
  <si>
    <t>가). 보강토옹벽(마감형) 운반비</t>
  </si>
  <si>
    <t>공장---&gt;현장, L=290KM</t>
  </si>
  <si>
    <t>나). 보강토옹벽(표준형) 운반비</t>
  </si>
  <si>
    <t>5). 주요자재</t>
  </si>
  <si>
    <t>다). PE 유공관(배수유공관)</t>
  </si>
  <si>
    <t>라). 부직포</t>
  </si>
  <si>
    <t>500g/cm2, 사면보호용</t>
  </si>
  <si>
    <t>마). 보강토옹벽 - 마감블럭</t>
  </si>
  <si>
    <t>바). 보강토옹벽 - 기본블럭</t>
  </si>
  <si>
    <t>사). 보강토옹벽 그리드</t>
  </si>
  <si>
    <t>지오그리드 6T</t>
  </si>
  <si>
    <t>아). 보강토옹벽 그리드</t>
  </si>
  <si>
    <t>지오그리드 8T</t>
  </si>
  <si>
    <t>7. 부 대 공</t>
  </si>
  <si>
    <t>가. 토공</t>
  </si>
  <si>
    <t>가). 되메우기및다짐</t>
  </si>
  <si>
    <t>나). 되메우기(토사)</t>
  </si>
  <si>
    <t>나. 가설방음판넬</t>
  </si>
  <si>
    <t>1). 가설방음판넬</t>
  </si>
  <si>
    <t>H=3.0+1.0m, 34개월</t>
  </si>
  <si>
    <t>다. 임시침사지</t>
  </si>
  <si>
    <t>1). 비닐깔기(PE필름)</t>
  </si>
  <si>
    <t>t=0.1mm</t>
  </si>
  <si>
    <t>2). 톤마대 쌓기 및 헐기</t>
  </si>
  <si>
    <t>0.7㎥/개</t>
  </si>
  <si>
    <t>3). 흄관 접합및부설(소켓식)</t>
  </si>
  <si>
    <t>Ø 700 MM</t>
  </si>
  <si>
    <t>4). 퇴적토준설</t>
  </si>
  <si>
    <t>백호0.7㎥, 수중</t>
  </si>
  <si>
    <t>라. 가배수로</t>
  </si>
  <si>
    <t>2). PP마대 쌓기 및 헐기</t>
  </si>
  <si>
    <t>45×75cm(인력)</t>
  </si>
  <si>
    <t>3). 퇴적토준설</t>
  </si>
  <si>
    <t>마. 세륜세차시설</t>
  </si>
  <si>
    <t>1). 세륜세차시설 설치및해체</t>
  </si>
  <si>
    <t>자동세륜기, 34개월</t>
  </si>
  <si>
    <t>2). 세륜세차시설 운영</t>
  </si>
  <si>
    <t>바. 폐유저장소</t>
  </si>
  <si>
    <t>1). 폐유류저장소</t>
  </si>
  <si>
    <t>2.4MX2.4M</t>
  </si>
  <si>
    <t>사. 현장사무실</t>
  </si>
  <si>
    <t>1). 가설건물</t>
  </si>
  <si>
    <t>가). 감리감독자 사무실</t>
  </si>
  <si>
    <t>조립식, 34개월</t>
  </si>
  <si>
    <t>나). 공사도급자 사무실</t>
  </si>
  <si>
    <t>다). 창고</t>
  </si>
  <si>
    <t>라). 시험실</t>
  </si>
  <si>
    <t>마). 도급자 숙소</t>
  </si>
  <si>
    <t>바). 복지시설</t>
  </si>
  <si>
    <t>사). 오수정화조</t>
  </si>
  <si>
    <t>8PPM, 50인용</t>
  </si>
  <si>
    <t>아. 공사현장살수</t>
  </si>
  <si>
    <t>1). 살수(물탱크 16000ℓ)</t>
  </si>
  <si>
    <t>32개월</t>
  </si>
  <si>
    <t>a</t>
  </si>
  <si>
    <t>자). 소음측정기</t>
  </si>
  <si>
    <t>1). 전광판 소음측정기</t>
  </si>
  <si>
    <t>800x1200, 현장설치도</t>
  </si>
  <si>
    <t>차. 시공상세도</t>
  </si>
  <si>
    <t>1). 시공상세도</t>
  </si>
  <si>
    <t>단순</t>
  </si>
  <si>
    <t>매</t>
  </si>
  <si>
    <t>2). 시공상세도</t>
  </si>
  <si>
    <t>보통</t>
  </si>
  <si>
    <t>3). 시공상세도</t>
  </si>
  <si>
    <t>복잡</t>
  </si>
  <si>
    <t>카. 주요자재 및 운반비</t>
  </si>
  <si>
    <t>1). 골재</t>
  </si>
  <si>
    <t>가). 혼합골재</t>
  </si>
  <si>
    <t>나). 철근운반비</t>
  </si>
  <si>
    <t>L=10Km</t>
  </si>
  <si>
    <t>다). 고철(고재)</t>
  </si>
  <si>
    <t>3). 레미콘</t>
  </si>
  <si>
    <t>25-21-15(Mpa)</t>
  </si>
  <si>
    <t>4). 흄관</t>
  </si>
  <si>
    <t>700㎜ (소켓식,B형)</t>
  </si>
  <si>
    <t>나). 흄관하차비</t>
  </si>
  <si>
    <t>Ø 700 MM - 차상도</t>
  </si>
  <si>
    <t>5). 운반비</t>
  </si>
  <si>
    <t>8. 하수처리장</t>
  </si>
  <si>
    <t>35톤/day, SMART-SBR공법</t>
  </si>
  <si>
    <t>가. 토목공사</t>
  </si>
  <si>
    <t>1). 토공</t>
  </si>
  <si>
    <t>나). 뒤채움 및 다짐</t>
  </si>
  <si>
    <t>대형장비</t>
  </si>
  <si>
    <t>2). 구조물공</t>
  </si>
  <si>
    <t>가). 콘크리트타설(펌프차,철근)</t>
  </si>
  <si>
    <t>S:15cm, TYPE-2</t>
  </si>
  <si>
    <t>나). 콘크리트타설</t>
  </si>
  <si>
    <t>합판3회(복잡)</t>
  </si>
  <si>
    <t>마). 유로폼 조립.해체</t>
  </si>
  <si>
    <t>벽체</t>
  </si>
  <si>
    <t>바). 철근가공조립(현장)</t>
  </si>
  <si>
    <t>TYPE-2-1</t>
  </si>
  <si>
    <t>사). 시스템비계</t>
  </si>
  <si>
    <t>아). 시스템동바리</t>
  </si>
  <si>
    <t>공/㎥</t>
  </si>
  <si>
    <t>자). 스페이셔설치</t>
  </si>
  <si>
    <t>차). 스페이셔설치</t>
  </si>
  <si>
    <t>카). 콘크리트치핑</t>
  </si>
  <si>
    <t>타). 지수판 설치(PVC 용접)</t>
  </si>
  <si>
    <t>200×5t</t>
  </si>
  <si>
    <t>파). 외부방수(폴리우레아도막방수)</t>
  </si>
  <si>
    <t>t=2.0mm, 현장설치도</t>
  </si>
  <si>
    <t>m2</t>
  </si>
  <si>
    <t>하). 내부방수(세라믹코팅제)</t>
  </si>
  <si>
    <t>현장설치도</t>
  </si>
  <si>
    <t>갸). 바닥방수(에폭시)</t>
  </si>
  <si>
    <t>3). 주요자재 및 운반</t>
  </si>
  <si>
    <t>25-27-15(Mpa)</t>
  </si>
  <si>
    <t>바). 철근운반비</t>
  </si>
  <si>
    <t>L=10Km 이내</t>
  </si>
  <si>
    <t>사). 고철(고재)</t>
  </si>
  <si>
    <t>나. 건축공사</t>
  </si>
  <si>
    <t>다. 기계설비공사</t>
  </si>
  <si>
    <t>라. 전기 및 계측 공사</t>
  </si>
  <si>
    <t>마. 처리장 시운전비</t>
  </si>
  <si>
    <t>바. 부대공사</t>
  </si>
  <si>
    <t>나). 구조물터파기(토사)</t>
  </si>
  <si>
    <t>다). 터파기(토사)</t>
  </si>
  <si>
    <t>라). 되메우기 및 다짐(토사)</t>
  </si>
  <si>
    <t>마). 잔토처리(토사)</t>
  </si>
  <si>
    <t>2). 아스콘포장</t>
  </si>
  <si>
    <t>가). 아스팔트 표층 기계포설(대형장비)</t>
  </si>
  <si>
    <t>나). 아스팔트 기층 기계포설(대형장비)</t>
  </si>
  <si>
    <t>3.0m≤B, T=13cm</t>
  </si>
  <si>
    <t>다). 텍코팅(기계식)</t>
  </si>
  <si>
    <t>라). 프라임코팅(기계식)</t>
  </si>
  <si>
    <t>마). 보조기층(기계시공)</t>
  </si>
  <si>
    <t>본선포장, T=22cm</t>
  </si>
  <si>
    <t>3). 보차도경계석(화강석)</t>
  </si>
  <si>
    <t>4). 노면표시</t>
  </si>
  <si>
    <t>5). 우수공</t>
  </si>
  <si>
    <t>다). 1호 우수받이</t>
  </si>
  <si>
    <t>라). 집수정</t>
  </si>
  <si>
    <t>0.6x0.6, H=1.70, 스틸그레이팅</t>
  </si>
  <si>
    <t>6). 메쉬휀스</t>
  </si>
  <si>
    <t>가). 메쉬I휀스</t>
  </si>
  <si>
    <t>W2.0×H1.5m, 기초형, 현장설치도</t>
  </si>
  <si>
    <t>7). 메쉬휀스 출입문</t>
  </si>
  <si>
    <t>가). 메쉬I휀스 출입문</t>
  </si>
  <si>
    <t>W2.0×H1.8m(쌍문), 기초형, 현장설치도</t>
  </si>
  <si>
    <t>8). 주요자재 및 운반</t>
  </si>
  <si>
    <t>나). 혼합골재(보조기층용)(순환골재)</t>
  </si>
  <si>
    <t>다). 아스팔트(유제)</t>
  </si>
  <si>
    <t>라). 아스팔트(유제)</t>
  </si>
  <si>
    <t>마). 아스팔트콘크리트</t>
  </si>
  <si>
    <t>바). 아스팔트콘크리트</t>
  </si>
  <si>
    <t>사). 보차도경계석(화강석)</t>
  </si>
  <si>
    <t>아). 보통시멘트</t>
  </si>
  <si>
    <t>자). 시멘트운반</t>
  </si>
  <si>
    <t>차). 원심력철근콘크리트관(보통2종)</t>
  </si>
  <si>
    <t>1). 오수처리시설 건축공사</t>
  </si>
  <si>
    <t>1). 하수처리시설 기자재설치비</t>
  </si>
  <si>
    <t>2). 하수처리시설 기자재비</t>
  </si>
  <si>
    <t>3). 하수처리시설 배관설치비</t>
  </si>
  <si>
    <t>배관지지대포함</t>
  </si>
  <si>
    <t>4). 하수처리시설 배관자재비</t>
  </si>
  <si>
    <t>5). 하수처리시설 사급자재비</t>
  </si>
  <si>
    <t>1). 전기 및 계측 공사</t>
  </si>
  <si>
    <t>2). 계측제어설비 및 영상감시설비</t>
  </si>
  <si>
    <t>1). 하수처리시설 시운전비</t>
  </si>
  <si>
    <t>4개월</t>
  </si>
  <si>
    <t>9. 지하저류조</t>
  </si>
  <si>
    <t>1440톤</t>
  </si>
  <si>
    <t>나. 블록공사</t>
  </si>
  <si>
    <t>1). 석분깔기</t>
  </si>
  <si>
    <t>T100</t>
  </si>
  <si>
    <t>2). 조립식 블록형 빗물저류시설</t>
  </si>
  <si>
    <t>m3</t>
  </si>
  <si>
    <t>3). 매트부설</t>
  </si>
  <si>
    <t>1차 200g/m2</t>
  </si>
  <si>
    <t>4). 유지관리용 PC 점검구 설치</t>
  </si>
  <si>
    <t>1000x1000x1000</t>
  </si>
  <si>
    <t>5). PC 슬래브 설치</t>
  </si>
  <si>
    <t>1000x1500xT200</t>
  </si>
  <si>
    <t>다. 하차비</t>
  </si>
  <si>
    <t>1). 빗물저류블록 하차비</t>
  </si>
  <si>
    <t>1000x1000x1160</t>
  </si>
  <si>
    <t>10. 조 경 공</t>
  </si>
  <si>
    <t>가. 소공원 1</t>
  </si>
  <si>
    <t>1). 식재</t>
  </si>
  <si>
    <t>가). 소나무</t>
  </si>
  <si>
    <t>H4.0xW2.0xR15</t>
  </si>
  <si>
    <t>나). 스트로브잣</t>
  </si>
  <si>
    <t>H3.5xW1.8</t>
  </si>
  <si>
    <t>다). 느티나무</t>
  </si>
  <si>
    <t>H4.0xR15</t>
  </si>
  <si>
    <t>라). 배롱나무</t>
  </si>
  <si>
    <t>H3.0xR10</t>
  </si>
  <si>
    <t>마). 왕벚나무</t>
  </si>
  <si>
    <t>H3.5xB8</t>
  </si>
  <si>
    <t>바). 청단풍</t>
  </si>
  <si>
    <t>H3.0xR8</t>
  </si>
  <si>
    <t>사). 이팝나무</t>
  </si>
  <si>
    <t>아). 복자기</t>
  </si>
  <si>
    <t>H3.5xR8</t>
  </si>
  <si>
    <t>자). 영산홍</t>
  </si>
  <si>
    <t>H0.3xW0.3</t>
  </si>
  <si>
    <t>차). 산철쭉</t>
  </si>
  <si>
    <t>카). 잔디(평떼)</t>
  </si>
  <si>
    <t>0.3x0.3x0.03</t>
  </si>
  <si>
    <t>2). 시설물</t>
  </si>
  <si>
    <t>가). 생활체육시설A</t>
  </si>
  <si>
    <t>1850*840*H1760</t>
  </si>
  <si>
    <t>EA</t>
  </si>
  <si>
    <t>나). 생활체육시설B</t>
  </si>
  <si>
    <t>2836*600*H1760</t>
  </si>
  <si>
    <t>다). 생활체육시설C</t>
  </si>
  <si>
    <t>2200*750*H1760</t>
  </si>
  <si>
    <t>라). 생활체육시설D</t>
  </si>
  <si>
    <t>2470*750*H1760</t>
  </si>
  <si>
    <t>마). 파고라A</t>
  </si>
  <si>
    <t>5000*3200*H2700</t>
  </si>
  <si>
    <t>바). 등의자</t>
  </si>
  <si>
    <t>1600*533*H766</t>
  </si>
  <si>
    <t>사). 플랜터형의자</t>
  </si>
  <si>
    <t>2200*2200*H700</t>
  </si>
  <si>
    <t>3). 포장</t>
  </si>
  <si>
    <t>가). 투수블럭포장 A</t>
  </si>
  <si>
    <t>T60</t>
  </si>
  <si>
    <t>나). 투수블럭포장 B</t>
  </si>
  <si>
    <t>T80</t>
  </si>
  <si>
    <t>다). 흙콘크리트포장</t>
  </si>
  <si>
    <t>T150</t>
  </si>
  <si>
    <t>라). 흙콘크리트거푸집</t>
  </si>
  <si>
    <t>H150</t>
  </si>
  <si>
    <t>마). 야자매트</t>
  </si>
  <si>
    <t>T35</t>
  </si>
  <si>
    <t>바). 녹지경계석(직선)</t>
  </si>
  <si>
    <t>150x150x1000</t>
  </si>
  <si>
    <t>사). 포장경계석(직선)</t>
  </si>
  <si>
    <t>100x100x1000</t>
  </si>
  <si>
    <t>4). 우수</t>
  </si>
  <si>
    <t>가). 집수정</t>
  </si>
  <si>
    <t>600*600*H900</t>
  </si>
  <si>
    <t>나). 맹암거(간선)</t>
  </si>
  <si>
    <t>D300</t>
  </si>
  <si>
    <t>M</t>
  </si>
  <si>
    <t>다). 맹암거(지선)</t>
  </si>
  <si>
    <t>D150</t>
  </si>
  <si>
    <t>라). 우수관</t>
  </si>
  <si>
    <t>마). 산마루측구</t>
  </si>
  <si>
    <t>W300</t>
  </si>
  <si>
    <t>나. 소공원 2</t>
  </si>
  <si>
    <t>아). 꽃사과</t>
  </si>
  <si>
    <t>자). 복자기</t>
  </si>
  <si>
    <t>차). 모감주나무</t>
  </si>
  <si>
    <t>카). 영산홍</t>
  </si>
  <si>
    <t>타). 산철쭉</t>
  </si>
  <si>
    <t>파). 조팝나무</t>
  </si>
  <si>
    <t>하). 쥐똥나무</t>
  </si>
  <si>
    <t>H1.2xW0.3</t>
  </si>
  <si>
    <t>갸). 잔디(평떼)</t>
  </si>
  <si>
    <t>가). 생활체육시설E</t>
  </si>
  <si>
    <t>1860*1730*H1760</t>
  </si>
  <si>
    <t>나). 생활체육시설F</t>
  </si>
  <si>
    <t>2870*860*H1760</t>
  </si>
  <si>
    <t>다). 생활체육시설G</t>
  </si>
  <si>
    <t>1850*560*H1760</t>
  </si>
  <si>
    <t>라). 파고라B</t>
  </si>
  <si>
    <t>4000*4000*H3200</t>
  </si>
  <si>
    <t>마). 평의자</t>
  </si>
  <si>
    <t>1600*440*H430</t>
  </si>
  <si>
    <t>아). 안전휀스</t>
  </si>
  <si>
    <t>경간</t>
  </si>
  <si>
    <t>마). 녹지경계석(직선)</t>
  </si>
  <si>
    <t>바). 포장경계석(직선)</t>
  </si>
  <si>
    <t>다. 경관녹지 1</t>
  </si>
  <si>
    <t>가). 상수리나무(이식)</t>
  </si>
  <si>
    <t>R31</t>
  </si>
  <si>
    <t>나). 소나무(이식)</t>
  </si>
  <si>
    <t>R29</t>
  </si>
  <si>
    <t>다). 스트로브잣</t>
  </si>
  <si>
    <t>라). 복자기</t>
  </si>
  <si>
    <t>마). 청단풍</t>
  </si>
  <si>
    <t>바). 산철쭉</t>
  </si>
  <si>
    <t>사). 법면보호공</t>
  </si>
  <si>
    <t>라. 경관녹지 2</t>
  </si>
  <si>
    <t>R27</t>
  </si>
  <si>
    <t>나). 상수리나무(이식)</t>
  </si>
  <si>
    <t>다). 소나무(이식)</t>
  </si>
  <si>
    <t>R25</t>
  </si>
  <si>
    <t>라). 스트로브잣</t>
  </si>
  <si>
    <t>마). 복자기</t>
  </si>
  <si>
    <t>사). 산철쭉</t>
  </si>
  <si>
    <t>아). 법면보호공</t>
  </si>
  <si>
    <t>마. 가로수</t>
  </si>
  <si>
    <t>가). 목백합(튜립)</t>
  </si>
  <si>
    <t>H5.0xR15</t>
  </si>
  <si>
    <t>가). 수목보호판</t>
  </si>
  <si>
    <t>800*800</t>
  </si>
  <si>
    <t>1). 안전관리계획작성 및 검토비</t>
  </si>
  <si>
    <t>P.S</t>
  </si>
  <si>
    <t>간접비 일괄적용</t>
  </si>
  <si>
    <t>2). 안전점검비</t>
  </si>
  <si>
    <t>1). 품질시험</t>
  </si>
  <si>
    <t>sum</t>
  </si>
  <si>
    <t>품질관리비(별도)·직접비 제외</t>
  </si>
  <si>
    <t>2). 품질관리활동비</t>
  </si>
  <si>
    <t>가). 품질관리자인건비</t>
  </si>
  <si>
    <t>중급품질관리대상</t>
  </si>
  <si>
    <t>개월</t>
  </si>
  <si>
    <t>1. GIS DB 구축</t>
  </si>
  <si>
    <t>2. 구조검토비</t>
  </si>
  <si>
    <t>가. GIS DB 구축</t>
  </si>
  <si>
    <t>★ 01. 토목·조경 직접공사비 계</t>
  </si>
  <si>
    <t>【 04. 진입도로 】</t>
  </si>
  <si>
    <t>가 노상준비공</t>
  </si>
  <si>
    <t>1). 노상준비공</t>
  </si>
  <si>
    <t>깍기부</t>
  </si>
  <si>
    <t>나. 법면보호공</t>
  </si>
  <si>
    <t>다. 흙깎기</t>
  </si>
  <si>
    <t>라. 터파기</t>
  </si>
  <si>
    <t>마. 흙쌓기</t>
  </si>
  <si>
    <t>1). 노상</t>
  </si>
  <si>
    <t>2). 노체</t>
  </si>
  <si>
    <t>3). 되메우기</t>
  </si>
  <si>
    <t>바 층따기</t>
  </si>
  <si>
    <t>1). 층따기</t>
  </si>
  <si>
    <t>불도저 32톤, L=39.8m</t>
  </si>
  <si>
    <t>굴삭기1.0㎥+덤프24톤, L=0.090Km</t>
  </si>
  <si>
    <t>자. 지장물철거</t>
  </si>
  <si>
    <t>다). 포장절단/아스팔트</t>
  </si>
  <si>
    <t>라). 아스팔트포장깨기</t>
  </si>
  <si>
    <t>T=30cm 미만</t>
  </si>
  <si>
    <t>마). 콘크리트포장깨기</t>
  </si>
  <si>
    <t>가). 관로경고용테이프</t>
  </si>
  <si>
    <t>가). 우수 원형2호 맨홀</t>
  </si>
  <si>
    <t>D1200, H=1.7m, 차도</t>
  </si>
  <si>
    <t>2). 맨홀접합부</t>
  </si>
  <si>
    <t>2). 접속부</t>
  </si>
  <si>
    <t>나). 잡석</t>
  </si>
  <si>
    <t>4). 원심력철근콘크리트관</t>
  </si>
  <si>
    <t>다). 흄관하차비</t>
  </si>
  <si>
    <t>라). 흄관하차비</t>
  </si>
  <si>
    <t>5). 맨홀뚜껑</t>
  </si>
  <si>
    <t>3. 상 수 공</t>
  </si>
  <si>
    <t>나). 주철 이형관 접합(이탈방지압륜)</t>
  </si>
  <si>
    <t>1). 제수밸브</t>
  </si>
  <si>
    <t>다). 제수변 보호통</t>
  </si>
  <si>
    <t>2). 주철관</t>
  </si>
  <si>
    <t>3). 제수밸브</t>
  </si>
  <si>
    <t>4). 맨홀뚜껑</t>
  </si>
  <si>
    <t>4. 포 장 공</t>
  </si>
  <si>
    <t>가. 아스콘포장</t>
  </si>
  <si>
    <t>사. 경계석설치</t>
  </si>
  <si>
    <t>나). 보차도경계석 설치(경사)</t>
  </si>
  <si>
    <t>다). 보차도경계석 설치(낮춤)</t>
  </si>
  <si>
    <t>아. 아스팔트절삭 및 덧교통시설공</t>
  </si>
  <si>
    <t>1). 아스팔트절삭및덧씌우기</t>
  </si>
  <si>
    <t>다). 교통안전표지판(원형)</t>
  </si>
  <si>
    <t>속도제한</t>
  </si>
  <si>
    <t>황색-파선</t>
  </si>
  <si>
    <t>다). 차선도색(융착식,수동식),신설구간</t>
  </si>
  <si>
    <t>마). 차선도색(차로밑그림),신설구간</t>
  </si>
  <si>
    <t>4). 가드레일</t>
  </si>
  <si>
    <t>가). 철제가드레일</t>
  </si>
  <si>
    <t>W3000*H910</t>
  </si>
  <si>
    <t>6). 아스팔트(유제)</t>
  </si>
  <si>
    <t>7). 아스팔트(유제)</t>
  </si>
  <si>
    <t>8). 아스팔트콘크리트</t>
  </si>
  <si>
    <t>9). 아스팔트콘크리트</t>
  </si>
  <si>
    <t>11). 보차도경계석(화강석)</t>
  </si>
  <si>
    <t>12). 횡단보도경계석(화강석)(경사)</t>
  </si>
  <si>
    <t>13). 횡단보도경계석(화강석)(낮춤)</t>
  </si>
  <si>
    <t>14). 도로경계석(화강석)</t>
  </si>
  <si>
    <t>15). 보도블록(인조화강)</t>
  </si>
  <si>
    <t>16). 장애인용보도 선형블록</t>
  </si>
  <si>
    <t>17). 장애인용보도 점형블록</t>
  </si>
  <si>
    <t>5. 구조물공</t>
  </si>
  <si>
    <t>가. RC옹벽(L형옹벽)</t>
  </si>
  <si>
    <t>H=1.0~3.0, L=232.0m</t>
  </si>
  <si>
    <t>6. 부 대 공</t>
  </si>
  <si>
    <t>나. 중기운반</t>
  </si>
  <si>
    <t>★ 04. 진입도로 직접공사비 계</t>
  </si>
  <si>
    <t>【 05. 회전교차로 】</t>
  </si>
  <si>
    <t>불도저 32톤, L=44.9m</t>
  </si>
  <si>
    <t>굴삭기1.0㎥+덤프24톤, L=0.076Km</t>
  </si>
  <si>
    <t>라). 포장절단/콘크리트</t>
  </si>
  <si>
    <t>마). 아스팔트포장깨기</t>
  </si>
  <si>
    <t>바). 콘크리트포장깨기</t>
  </si>
  <si>
    <t>사). 가드레일철거</t>
  </si>
  <si>
    <t>설치품의 30%</t>
  </si>
  <si>
    <t>마. 벤치플륨관</t>
  </si>
  <si>
    <t>1). 벤치플륨관</t>
  </si>
  <si>
    <t>1000x1000</t>
  </si>
  <si>
    <t>바. 배수암거</t>
  </si>
  <si>
    <t>4). 거푸집</t>
  </si>
  <si>
    <t>6). 스페이셔설치</t>
  </si>
  <si>
    <t>7). 스페이셔설치</t>
  </si>
  <si>
    <t>8). 신축이음(Joint filler)</t>
  </si>
  <si>
    <t>9). DOWEL BAR(옹벽용)</t>
  </si>
  <si>
    <t>6). 이형철근</t>
  </si>
  <si>
    <t>HD25M/M 3.980KG/M SD40</t>
  </si>
  <si>
    <t>3. 포 장 공</t>
  </si>
  <si>
    <t>바. 경계석설치</t>
  </si>
  <si>
    <t>사. 아스팔트절삭 및 덧교통시설공</t>
  </si>
  <si>
    <t>아. 교통시설공</t>
  </si>
  <si>
    <t>가). 교통안전표지판(삼각)</t>
  </si>
  <si>
    <t>라). 차선도색(페인트,기계식),신설구간</t>
  </si>
  <si>
    <t>바). 차선도색(융착식,수동식),신설구간</t>
  </si>
  <si>
    <t>차). 차선도색(차로밑그림),신설구간</t>
  </si>
  <si>
    <t>나). 탄성볼라드</t>
  </si>
  <si>
    <t>5). 디자인형울타리</t>
  </si>
  <si>
    <t>가). 디자인형울타리</t>
  </si>
  <si>
    <t>W2000xH1000</t>
  </si>
  <si>
    <t>자. 주요자재 구입</t>
  </si>
  <si>
    <t>4. 구조물공</t>
  </si>
  <si>
    <t>H=1.5~3.5, L=328.5m</t>
  </si>
  <si>
    <t>5. 부 대 공</t>
  </si>
  <si>
    <t>★ 05. 회전교차로 직접공사비 계</t>
  </si>
  <si>
    <t>【 06. 개발행위 】</t>
  </si>
  <si>
    <t>가. 흙깎기</t>
  </si>
  <si>
    <t>나. 흙쌓기</t>
  </si>
  <si>
    <t>다. 흙운반</t>
  </si>
  <si>
    <t>1). 덤프운반(외부반출)</t>
  </si>
  <si>
    <t>가). 흙 운반(토사)(야적장)</t>
  </si>
  <si>
    <t>나). 흙운반(풍화암)(야적장)</t>
  </si>
  <si>
    <t>다). 흙운반(연암)(야적장)</t>
  </si>
  <si>
    <t>라). 흙운반(보통암)(야적장)</t>
  </si>
  <si>
    <t>2. A1</t>
  </si>
  <si>
    <t>1). 우수 원형1호 맨홀</t>
  </si>
  <si>
    <t>D900</t>
  </si>
  <si>
    <t>2). 집수정</t>
  </si>
  <si>
    <t>0.6x0.6,스틸그레이팅</t>
  </si>
  <si>
    <t>3). 오수받이</t>
  </si>
  <si>
    <t>4). 고강성 PVC 이중벽관 접합 및 부설</t>
  </si>
  <si>
    <t>5). 고강성 PVC 이중벽관 접합 및 부설</t>
  </si>
  <si>
    <t>D450mm, 시공조건B</t>
  </si>
  <si>
    <t>6). 고강성PVC이중벽관</t>
  </si>
  <si>
    <t>7). 고강성PVC이중벽관</t>
  </si>
  <si>
    <t>D450mm, 직관</t>
  </si>
  <si>
    <t>8). 원심력철근콘크리트관 접합및부설(소켓식)</t>
  </si>
  <si>
    <t>9). 사각수로관</t>
  </si>
  <si>
    <t>Ø 300mm</t>
  </si>
  <si>
    <t>10). CEP옹벽</t>
  </si>
  <si>
    <t>1.5m~5.0m</t>
  </si>
  <si>
    <t>M2</t>
  </si>
  <si>
    <t>11). 메쉬휀스</t>
  </si>
  <si>
    <t>H=1.5m</t>
  </si>
  <si>
    <t>12). 콘크리트포장</t>
  </si>
  <si>
    <t>T=20Cm</t>
  </si>
  <si>
    <t>13). 관목</t>
  </si>
  <si>
    <t>14). 법면보호공</t>
  </si>
  <si>
    <t>3. A2</t>
  </si>
  <si>
    <t>11). CEP옹벽</t>
  </si>
  <si>
    <t>5.0m</t>
  </si>
  <si>
    <t>12). 보강토옹벽</t>
  </si>
  <si>
    <t>H=2.2~3.0m</t>
  </si>
  <si>
    <t>13). 보강토옹벽</t>
  </si>
  <si>
    <t>H=3.0~5.0m</t>
  </si>
  <si>
    <t>14). 메쉬휀스</t>
  </si>
  <si>
    <t>4. A3</t>
  </si>
  <si>
    <t>10). 보강토옹벽</t>
  </si>
  <si>
    <t>H=2.2~3.4m</t>
  </si>
  <si>
    <t>11). 보강토옹벽</t>
  </si>
  <si>
    <t>H=1.0~2.5m</t>
  </si>
  <si>
    <t>H=3.42~5.0m</t>
  </si>
  <si>
    <t>13). 메쉬휀스</t>
  </si>
  <si>
    <t>14). 철제가드레일</t>
  </si>
  <si>
    <t>15). 콘크리트포장</t>
  </si>
  <si>
    <t>5. A4</t>
  </si>
  <si>
    <t>H=3.5~5.0m</t>
  </si>
  <si>
    <t>12). 철제가드레일</t>
  </si>
  <si>
    <t>13). 콘크리트포장</t>
  </si>
  <si>
    <t>14). 관목</t>
  </si>
  <si>
    <t>15). 법면보호공</t>
  </si>
  <si>
    <t>6. A5</t>
  </si>
  <si>
    <t>H=2.84~4.65m</t>
  </si>
  <si>
    <t>H=0.4~2.84m</t>
  </si>
  <si>
    <t>7. B1</t>
  </si>
  <si>
    <t>10). 메쉬휀스</t>
  </si>
  <si>
    <t>11). 철제가드레일</t>
  </si>
  <si>
    <t>8. B2</t>
  </si>
  <si>
    <t>9. 지원시설</t>
  </si>
  <si>
    <t>2). 오수받이</t>
  </si>
  <si>
    <t>3). 고강성 PVC 이중벽관 접합 및 부설</t>
  </si>
  <si>
    <t>8). 고강성PVC이중벽관</t>
  </si>
  <si>
    <t>10). 철제가드레일</t>
  </si>
  <si>
    <t>11). 콘크리트포장</t>
  </si>
  <si>
    <t>12). 관목</t>
  </si>
  <si>
    <t>10. 주차장</t>
  </si>
  <si>
    <t>2). 고강성 PVC 이중벽관 접합 및 부설</t>
  </si>
  <si>
    <t>4). 고강성PVC이중벽관</t>
  </si>
  <si>
    <t>5). 고강성PVC이중벽관</t>
  </si>
  <si>
    <t>6). 사각수로관</t>
  </si>
  <si>
    <t>7). 메쉬휀스</t>
  </si>
  <si>
    <t>8). 철제가드레일</t>
  </si>
  <si>
    <t>9). 콘크리트포장</t>
  </si>
  <si>
    <t>10). 법면보호공</t>
  </si>
  <si>
    <t>★ 06. 개발행위 직접공사비 계</t>
  </si>
  <si>
    <t>【 07. 건설폐기물처리 】</t>
  </si>
  <si>
    <t>1. 건설폐기물처리</t>
  </si>
  <si>
    <t>1). 폐기물운반</t>
  </si>
  <si>
    <t>24톤, 30Km 이내</t>
  </si>
  <si>
    <t>1). 폐콘크리트 처리비</t>
  </si>
  <si>
    <t>★ 07. 건설폐기물처리 직접공사비 계</t>
  </si>
  <si>
    <t>★ 직접공사비 총계 (01·04·05·06·07)</t>
  </si>
  <si>
    <t>1.전기공사 (지구내) ▸ 1-1.가로등설비공사</t>
  </si>
  <si>
    <t>파상형 폴리에틸렌 전선관</t>
  </si>
  <si>
    <t>40㎜(가로등,신호,구내)</t>
  </si>
  <si>
    <t>제 11호</t>
  </si>
  <si>
    <t>50㎜(가로등,신호,구내)</t>
  </si>
  <si>
    <t>제 12호</t>
  </si>
  <si>
    <t>접지용비닐절연전선(F-GV)_지중</t>
  </si>
  <si>
    <t>6㎟</t>
  </si>
  <si>
    <t>제 19호</t>
  </si>
  <si>
    <t>접지용비닐절연전선(F-GV)</t>
  </si>
  <si>
    <t>10㎟</t>
  </si>
  <si>
    <t>제 20호</t>
  </si>
  <si>
    <t>16㎟</t>
  </si>
  <si>
    <t>제 21호</t>
  </si>
  <si>
    <t>폴리에틸렌 난연케이블</t>
  </si>
  <si>
    <t>0.6/1kv F-CV 2C×2.5㎟</t>
  </si>
  <si>
    <t>제 22호</t>
  </si>
  <si>
    <t>폴리에틸렌 난연케이블(옥외)</t>
  </si>
  <si>
    <t>0.6/1kv F-CV 2C×10㎟</t>
  </si>
  <si>
    <t>0.6/1kv F-CV 2C×25㎟</t>
  </si>
  <si>
    <t>0.6/1kv F-CV 4C×10㎟</t>
  </si>
  <si>
    <t>0.6/1kv F-CV 4C×25㎟</t>
  </si>
  <si>
    <t>접지봉</t>
  </si>
  <si>
    <t>14Φ×1000 mm</t>
  </si>
  <si>
    <t>제 27호</t>
  </si>
  <si>
    <t>접지크램프(IEC 90)</t>
  </si>
  <si>
    <t>16sq</t>
  </si>
  <si>
    <t>제 28호</t>
  </si>
  <si>
    <t>케이블표지시트</t>
  </si>
  <si>
    <t>0.23x400</t>
  </si>
  <si>
    <t>제 29호</t>
  </si>
  <si>
    <t>압착단자</t>
  </si>
  <si>
    <t>R형동선 나압착 25 ㎟</t>
  </si>
  <si>
    <t>제 31호</t>
  </si>
  <si>
    <t>가로등 건주 기계화 시공</t>
  </si>
  <si>
    <t>일반 5m-7m</t>
  </si>
  <si>
    <t>제 6호</t>
  </si>
  <si>
    <t>일반 10m-12m</t>
  </si>
  <si>
    <t>제 7호</t>
  </si>
  <si>
    <t>터파기(기계90%,인력10%)</t>
  </si>
  <si>
    <t>보통토사</t>
  </si>
  <si>
    <t>제 1호</t>
  </si>
  <si>
    <t>되메우기(기계90%,인력10%)</t>
  </si>
  <si>
    <t>제 2호</t>
  </si>
  <si>
    <t>인력잔토처리</t>
  </si>
  <si>
    <t>현장처리</t>
  </si>
  <si>
    <t>제 3호</t>
  </si>
  <si>
    <t>전주용입상관</t>
  </si>
  <si>
    <t>Φ130*2t*2m</t>
  </si>
  <si>
    <t>제 35호</t>
  </si>
  <si>
    <t>반경관취부밴드</t>
  </si>
  <si>
    <t>케이블 포설(가로등)</t>
  </si>
  <si>
    <t>10㎟/2C*1열</t>
  </si>
  <si>
    <t>제 40호</t>
  </si>
  <si>
    <t>25㎟/2C*1열</t>
  </si>
  <si>
    <t>제 42호</t>
  </si>
  <si>
    <t>10㎟/4C*1열</t>
  </si>
  <si>
    <t>제 45호</t>
  </si>
  <si>
    <t>25㎟/4C*1열</t>
  </si>
  <si>
    <t>제 46호</t>
  </si>
  <si>
    <t>LED 가로등기구</t>
  </si>
  <si>
    <t>100W급</t>
  </si>
  <si>
    <t>제 47호</t>
  </si>
  <si>
    <t>LED 공원등기구</t>
  </si>
  <si>
    <t>50W급(A타입)</t>
  </si>
  <si>
    <t>제 48호</t>
  </si>
  <si>
    <t>가로등기초(직각)기성품</t>
  </si>
  <si>
    <t>500X850X675X700</t>
  </si>
  <si>
    <t>제 50호</t>
  </si>
  <si>
    <t>가로등기초</t>
  </si>
  <si>
    <t>500x775x1050x1100(E)</t>
  </si>
  <si>
    <t>제 51호</t>
  </si>
  <si>
    <t>가로등 제어반</t>
  </si>
  <si>
    <t>6회로</t>
  </si>
  <si>
    <t>제 52호</t>
  </si>
  <si>
    <t>가로등주</t>
  </si>
  <si>
    <t>원형테퍼 강관주 10m -1등용</t>
  </si>
  <si>
    <t>가로등 표찰</t>
  </si>
  <si>
    <t>STS</t>
  </si>
  <si>
    <t>제 54호</t>
  </si>
  <si>
    <t>공원등주</t>
  </si>
  <si>
    <t>5m-1.0m 1등용(A타입)</t>
  </si>
  <si>
    <t>제 55호</t>
  </si>
  <si>
    <t>방수형 접속함</t>
  </si>
  <si>
    <t>1등용,ELB부</t>
  </si>
  <si>
    <t>제 58호</t>
  </si>
  <si>
    <t>격등용</t>
  </si>
  <si>
    <t>백호우</t>
  </si>
  <si>
    <t>0.4㎥</t>
  </si>
  <si>
    <t>hr</t>
  </si>
  <si>
    <t>제어반기초(기성품)</t>
  </si>
  <si>
    <t>500x500x800</t>
  </si>
  <si>
    <t>제 66호</t>
  </si>
  <si>
    <t>핸드홀(기성품)</t>
  </si>
  <si>
    <t>600x600x800</t>
  </si>
  <si>
    <t>제 67호</t>
  </si>
  <si>
    <t>핸드홀뚜껑</t>
  </si>
  <si>
    <t>700x700xt32</t>
  </si>
  <si>
    <t>1.전기공사 (지구내) ▸ 1-2.공원등설비공사</t>
  </si>
  <si>
    <t>0.6/1kv F-CV 2C×6㎟</t>
  </si>
  <si>
    <t>0.6/1kv F-CV 2C×16㎟</t>
  </si>
  <si>
    <t>0.6/1kv F-CV 4C×6㎟</t>
  </si>
  <si>
    <t>R형동선 나압착 16 ㎟</t>
  </si>
  <si>
    <t>제 30호</t>
  </si>
  <si>
    <t>6㎟/2C*1열</t>
  </si>
  <si>
    <t>제 39호</t>
  </si>
  <si>
    <t>16㎟/2C*1열</t>
  </si>
  <si>
    <t>제 41호</t>
  </si>
  <si>
    <t>6㎟/4C*1열</t>
  </si>
  <si>
    <t>제 44호</t>
  </si>
  <si>
    <t>1.전기공사 (지구내) ▸ 1-3.신호등설비공사</t>
  </si>
  <si>
    <t>80㎜(가로등,신호,구내)</t>
  </si>
  <si>
    <t>제 14호</t>
  </si>
  <si>
    <t>100㎜(가로등,신호,구내)</t>
  </si>
  <si>
    <t>제 15호</t>
  </si>
  <si>
    <t>난연제어케이블</t>
  </si>
  <si>
    <t>F-CVV 5Cx2.5㎟</t>
  </si>
  <si>
    <t>제 24호</t>
  </si>
  <si>
    <t>신호 제어기</t>
  </si>
  <si>
    <t>경보제어기, 전자회로</t>
  </si>
  <si>
    <t>제 26호</t>
  </si>
  <si>
    <t>레미콘</t>
  </si>
  <si>
    <t>25-210-8</t>
  </si>
  <si>
    <t>레미콘타설</t>
  </si>
  <si>
    <t>무근(미할증)</t>
  </si>
  <si>
    <t>제 4호</t>
  </si>
  <si>
    <t>합판거푸집</t>
  </si>
  <si>
    <t>4회</t>
  </si>
  <si>
    <t>제 5호</t>
  </si>
  <si>
    <t>차량등보호금구</t>
  </si>
  <si>
    <t>철주 앙카</t>
  </si>
  <si>
    <t>Φ200x1.8m</t>
  </si>
  <si>
    <t>교통신호등</t>
  </si>
  <si>
    <t>1면3색(LED Φ300)</t>
  </si>
  <si>
    <t>제 56호</t>
  </si>
  <si>
    <t>와이어리스 부착대 5m</t>
  </si>
  <si>
    <t>와이어리스 부착대 7m</t>
  </si>
  <si>
    <t>와이어리스철주</t>
  </si>
  <si>
    <t>Φ200,부착5m</t>
  </si>
  <si>
    <t>제 62호</t>
  </si>
  <si>
    <t>Φ200,부착7m, 7m</t>
  </si>
  <si>
    <t>제 63호</t>
  </si>
  <si>
    <t>크레인트럭</t>
  </si>
  <si>
    <t>20ton</t>
  </si>
  <si>
    <t>1.전기공사 (지구내) ▸ 1-4.공원 통신설비 공사</t>
  </si>
  <si>
    <t>40㎜</t>
  </si>
  <si>
    <t>제 16호</t>
  </si>
  <si>
    <t>50㎜</t>
  </si>
  <si>
    <t>제 17호</t>
  </si>
  <si>
    <t>광케블내외관일체형전선관</t>
  </si>
  <si>
    <t>COD 36-4 공</t>
  </si>
  <si>
    <t>제 18호</t>
  </si>
  <si>
    <t>0.6/1kv F-CV 3C×6㎟</t>
  </si>
  <si>
    <t>제 23호</t>
  </si>
  <si>
    <t>광케이블(옥외용)</t>
  </si>
  <si>
    <t>SM 9/125, 4c</t>
  </si>
  <si>
    <t>제 25호</t>
  </si>
  <si>
    <t>핸드홀</t>
  </si>
  <si>
    <t>수공1호</t>
  </si>
  <si>
    <t>제 33호</t>
  </si>
  <si>
    <t>핸드홀카바</t>
  </si>
  <si>
    <t>통신용</t>
  </si>
  <si>
    <t>기</t>
  </si>
  <si>
    <t>제 34호</t>
  </si>
  <si>
    <t>관통형분기접속재</t>
  </si>
  <si>
    <t>6-4㎟</t>
  </si>
  <si>
    <t>광분배함</t>
  </si>
  <si>
    <t>4C</t>
  </si>
  <si>
    <t>광송수신모듈</t>
  </si>
  <si>
    <t>SFP-LX</t>
  </si>
  <si>
    <t>광점퍼코드</t>
  </si>
  <si>
    <t>SM-3, 피그테일 포함</t>
  </si>
  <si>
    <t>금속기둥</t>
  </si>
  <si>
    <t>Ø76.3x1000mm</t>
  </si>
  <si>
    <t>금속상자</t>
  </si>
  <si>
    <t>400*500*300mm</t>
  </si>
  <si>
    <t>네트워크스위치</t>
  </si>
  <si>
    <t>8PORT(PoE), 2PORT(SFP)</t>
  </si>
  <si>
    <t>네트워크케이블</t>
  </si>
  <si>
    <t>UTP CAT.5 4P</t>
  </si>
  <si>
    <t>누전차단기</t>
  </si>
  <si>
    <t>20A</t>
  </si>
  <si>
    <t>보안용카메라(BULLET)</t>
  </si>
  <si>
    <t>5M, IP, IR 0Lux</t>
  </si>
  <si>
    <t>보안용카메라(SPEEDDOME)</t>
  </si>
  <si>
    <t>4M, IP, IR 0Lux</t>
  </si>
  <si>
    <t>서지흡수기</t>
  </si>
  <si>
    <t>신호용</t>
  </si>
  <si>
    <t>전원용</t>
  </si>
  <si>
    <t>안내표지판</t>
  </si>
  <si>
    <t>CCTV설치안내(대)</t>
  </si>
  <si>
    <t>CCTV설치안내(중)</t>
  </si>
  <si>
    <t>영상감시장치</t>
  </si>
  <si>
    <t>전력케이블</t>
  </si>
  <si>
    <t>F-CV 3C×2.5㎟</t>
  </si>
  <si>
    <t>F-CV 3C×6㎟</t>
  </si>
  <si>
    <t>정보통신공사</t>
  </si>
  <si>
    <t>광케이블보통12코어이하접속</t>
  </si>
  <si>
    <t>광케이블시험시험및측정</t>
  </si>
  <si>
    <t>송수신제어신호영상레벨조정</t>
  </si>
  <si>
    <t>종합시험</t>
  </si>
  <si>
    <t>채널라이센스</t>
  </si>
  <si>
    <t>카메라접속라이센스, 1CH</t>
  </si>
  <si>
    <t>카메라 브래킷</t>
  </si>
  <si>
    <t>기둥용</t>
  </si>
  <si>
    <t>벽부형</t>
  </si>
  <si>
    <t>크레인</t>
  </si>
  <si>
    <t>10톤</t>
  </si>
  <si>
    <t>1.전기공사 (지구내) ▸ 1-5.불법주정차단속시스템</t>
  </si>
  <si>
    <t>불법주정차단속시스템</t>
  </si>
  <si>
    <t>SET</t>
  </si>
  <si>
    <t>2.전기공사 (지구외) ▸ 2-1.가로등설비공사</t>
  </si>
  <si>
    <t>0.6/1kv F-CV 2C×35㎟</t>
  </si>
  <si>
    <t>R형동선 나압착 35 ㎟</t>
  </si>
  <si>
    <t>제 32호</t>
  </si>
  <si>
    <t>35㎟/2C*1열</t>
  </si>
  <si>
    <t>제 43호</t>
  </si>
  <si>
    <t>8회로</t>
  </si>
  <si>
    <t>제 53호</t>
  </si>
  <si>
    <t>2.전기공사 (지구외) ▸ 2-2.신호등설비공사</t>
  </si>
  <si>
    <t>65㎜(가로등,신호,구내)</t>
  </si>
  <si>
    <t>제 13호</t>
  </si>
  <si>
    <t>보행철주 기초앙카</t>
  </si>
  <si>
    <t>Φ125×1.4m</t>
  </si>
  <si>
    <t>제 36호</t>
  </si>
  <si>
    <t>신호등용 맨홀(주철뚜껑)</t>
  </si>
  <si>
    <t>600x600x600,경찰청규격</t>
  </si>
  <si>
    <t>제 37호</t>
  </si>
  <si>
    <t>신호 제어기 설치</t>
  </si>
  <si>
    <t>교통신호제어기, 3거리</t>
  </si>
  <si>
    <t>제 38호</t>
  </si>
  <si>
    <t>UPS(교통신호제어)</t>
  </si>
  <si>
    <t>철주설치</t>
  </si>
  <si>
    <t>UPS 부착대</t>
  </si>
  <si>
    <t>제 49호</t>
  </si>
  <si>
    <t>1면4색(LED Φ300)</t>
  </si>
  <si>
    <t>제 57호</t>
  </si>
  <si>
    <t>교통신호제어기 부착대</t>
  </si>
  <si>
    <t>보행등 잔여시간표시기</t>
  </si>
  <si>
    <t>제 59호</t>
  </si>
  <si>
    <t>보행등주</t>
  </si>
  <si>
    <t>Φ125x4m</t>
  </si>
  <si>
    <t>제 60호</t>
  </si>
  <si>
    <t>보행신호등</t>
  </si>
  <si>
    <t>1면2색(LED)</t>
  </si>
  <si>
    <t>제 61호</t>
  </si>
  <si>
    <t>슬림형교통신호제어기(경찰청표준규격)</t>
  </si>
  <si>
    <t>Φ200,부착7m</t>
  </si>
  <si>
    <t>제 64호</t>
  </si>
  <si>
    <t>위성시보수신기(GPS)</t>
  </si>
  <si>
    <t>음향 유도기</t>
  </si>
  <si>
    <t>제 65호</t>
  </si>
  <si>
    <t>2.전기공사 (지구외) ▸ 2-3.불법주정차단속시스템</t>
  </si>
  <si>
    <t>★ 02. 전기설비 계 (참고 · 원가·견적 미산입)</t>
  </si>
  <si>
    <t>공종명 / 품명·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</si>
</sst>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######"/>
  </numFmts>
  <fonts count="16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i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22"/>
      <name val="맑은 고딕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4"/>
      <name val="맑은 고딕"/>
      <family val="3"/>
      <charset val="129"/>
    </font>
    <font>
      <b/>
      <sz val="32"/>
      <name val="맑은 고딕"/>
      <family val="3"/>
      <charset val="129"/>
    </font>
    <font>
      <sz val="15"/>
      <name val="맑은 고딕"/>
      <family val="3"/>
      <charset val="129"/>
    </font>
    <font>
      <sz val="13"/>
      <name val="맑은 고딕"/>
      <family val="3"/>
      <charset val="129"/>
    </font>
    <font>
      <b/>
      <sz val="2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04E6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3" fontId="4" fillId="5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/>
    <xf numFmtId="3" fontId="4" fillId="3" borderId="1" xfId="0" applyNumberFormat="1" applyFont="1" applyFill="1" applyBorder="1" applyAlignment="1">
      <alignment horizontal="right" vertical="center"/>
    </xf>
    <xf numFmtId="0" fontId="0" fillId="0" borderId="1" xfId="0" applyBorder="1"/>
    <xf numFmtId="176" fontId="0" fillId="0" borderId="1" xfId="0" applyNumberForma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0" fillId="0" borderId="0" xfId="0"/>
    <xf numFmtId="0" fontId="12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9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0" xfId="0" applyFont="1"/>
    <xf numFmtId="0" fontId="3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24"/>
  <sheetViews>
    <sheetView showGridLines="0" workbookViewId="0"/>
  </sheetViews>
  <sheetFormatPr defaultRowHeight="16.5"/>
  <cols>
    <col min="1" max="13" width="9" customWidth="1"/>
  </cols>
  <sheetData>
    <row r="4" spans="2:12" ht="30" customHeight="1">
      <c r="B4" s="28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30"/>
    </row>
    <row r="5" spans="2:12" ht="30" customHeight="1">
      <c r="B5" s="31"/>
      <c r="C5" s="32"/>
      <c r="D5" s="32"/>
      <c r="E5" s="32"/>
      <c r="F5" s="32"/>
      <c r="G5" s="32"/>
      <c r="H5" s="32"/>
      <c r="I5" s="32"/>
      <c r="J5" s="32"/>
      <c r="K5" s="32"/>
      <c r="L5" s="33"/>
    </row>
    <row r="6" spans="2:12" ht="30" customHeight="1">
      <c r="B6" s="34"/>
      <c r="C6" s="35"/>
      <c r="D6" s="35"/>
      <c r="E6" s="35"/>
      <c r="F6" s="35"/>
      <c r="G6" s="35"/>
      <c r="H6" s="35"/>
      <c r="I6" s="35"/>
      <c r="J6" s="35"/>
      <c r="K6" s="35"/>
      <c r="L6" s="36"/>
    </row>
    <row r="11" spans="2:12" ht="24">
      <c r="B11" s="27" t="s">
        <v>1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</row>
    <row r="15" spans="2:12" ht="19.5">
      <c r="B15" s="25" t="s">
        <v>2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24" spans="2:12" ht="30" customHeight="1">
      <c r="B24" s="37" t="s">
        <v>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</row>
  </sheetData>
  <mergeCells count="4">
    <mergeCell ref="B15:L15"/>
    <mergeCell ref="B11:L11"/>
    <mergeCell ref="B4:L6"/>
    <mergeCell ref="B24:L24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workbookViewId="0"/>
  </sheetViews>
  <sheetFormatPr defaultRowHeight="16.5"/>
  <cols>
    <col min="1" max="1" width="24" customWidth="1"/>
    <col min="2" max="2" width="12" customWidth="1"/>
    <col min="3" max="3" width="8" customWidth="1"/>
    <col min="4" max="4" width="6" customWidth="1"/>
    <col min="5" max="5" width="12" customWidth="1"/>
    <col min="6" max="6" width="16" customWidth="1"/>
    <col min="7" max="7" width="12" customWidth="1"/>
    <col min="8" max="8" width="16" customWidth="1"/>
    <col min="9" max="9" width="12" customWidth="1"/>
    <col min="10" max="10" width="16" customWidth="1"/>
    <col min="11" max="11" width="12" customWidth="1"/>
    <col min="12" max="12" width="16" customWidth="1"/>
    <col min="13" max="13" width="10" customWidth="1"/>
  </cols>
  <sheetData>
    <row r="1" spans="1:13" ht="39.950000000000003" customHeight="1">
      <c r="A1" s="42" t="s">
        <v>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3" spans="1:13" ht="20.25">
      <c r="A3" s="38" t="s">
        <v>2</v>
      </c>
      <c r="B3" s="26"/>
      <c r="C3" s="26"/>
      <c r="D3" s="26"/>
      <c r="E3" s="26"/>
      <c r="F3" s="26"/>
      <c r="G3" s="44" t="s">
        <v>3</v>
      </c>
      <c r="H3" s="26"/>
      <c r="I3" s="26"/>
      <c r="J3" s="26"/>
      <c r="K3" s="26"/>
      <c r="L3" s="26"/>
      <c r="M3" s="26"/>
    </row>
    <row r="4" spans="1:13" ht="19.5">
      <c r="A4" s="41" t="s">
        <v>5</v>
      </c>
      <c r="B4" s="26"/>
      <c r="C4" s="26"/>
      <c r="D4" s="26"/>
      <c r="E4" s="26"/>
      <c r="F4" s="26"/>
      <c r="G4" s="38" t="s">
        <v>6</v>
      </c>
      <c r="H4" s="26"/>
      <c r="I4" s="26"/>
      <c r="J4" s="26"/>
      <c r="K4" s="26"/>
      <c r="L4" s="26"/>
      <c r="M4" s="26"/>
    </row>
    <row r="5" spans="1:13">
      <c r="A5" s="38" t="s">
        <v>1</v>
      </c>
      <c r="B5" s="26"/>
      <c r="C5" s="26"/>
      <c r="D5" s="26"/>
      <c r="E5" s="26"/>
      <c r="F5" s="26"/>
      <c r="G5" s="38" t="s">
        <v>7</v>
      </c>
      <c r="H5" s="26"/>
      <c r="I5" s="26"/>
      <c r="J5" s="26"/>
      <c r="K5" s="26"/>
      <c r="L5" s="26"/>
      <c r="M5" s="26"/>
    </row>
    <row r="6" spans="1:13">
      <c r="A6" s="43" t="s">
        <v>8</v>
      </c>
      <c r="B6" s="26"/>
      <c r="C6" s="26"/>
      <c r="D6" s="26"/>
      <c r="E6" s="26"/>
      <c r="F6" s="26"/>
      <c r="G6" s="38" t="s">
        <v>9</v>
      </c>
      <c r="H6" s="26"/>
      <c r="I6" s="26"/>
      <c r="J6" s="26"/>
      <c r="K6" s="26"/>
      <c r="L6" s="26"/>
      <c r="M6" s="26"/>
    </row>
    <row r="7" spans="1:13">
      <c r="A7" s="38" t="s">
        <v>10</v>
      </c>
      <c r="B7" s="26"/>
      <c r="C7" s="26"/>
      <c r="D7" s="26"/>
      <c r="E7" s="26"/>
      <c r="F7" s="26"/>
      <c r="G7" s="43" t="s">
        <v>11</v>
      </c>
      <c r="H7" s="26"/>
      <c r="I7" s="26"/>
      <c r="J7" s="26"/>
      <c r="K7" s="26"/>
      <c r="L7" s="26"/>
      <c r="M7" s="26"/>
    </row>
    <row r="9" spans="1:13">
      <c r="A9" s="39" t="s">
        <v>12</v>
      </c>
      <c r="B9" s="39" t="s">
        <v>13</v>
      </c>
      <c r="C9" s="39" t="s">
        <v>14</v>
      </c>
      <c r="D9" s="39" t="s">
        <v>15</v>
      </c>
      <c r="E9" s="39" t="s">
        <v>16</v>
      </c>
      <c r="F9" s="26"/>
      <c r="G9" s="39" t="s">
        <v>17</v>
      </c>
      <c r="H9" s="26"/>
      <c r="I9" s="39" t="s">
        <v>18</v>
      </c>
      <c r="J9" s="26"/>
      <c r="K9" s="39" t="s">
        <v>19</v>
      </c>
      <c r="L9" s="26"/>
      <c r="M9" s="39" t="s">
        <v>20</v>
      </c>
    </row>
    <row r="10" spans="1:13">
      <c r="A10" s="40"/>
      <c r="B10" s="40"/>
      <c r="C10" s="40"/>
      <c r="D10" s="40"/>
      <c r="E10" s="1" t="s">
        <v>21</v>
      </c>
      <c r="F10" s="1" t="s">
        <v>22</v>
      </c>
      <c r="G10" s="1" t="s">
        <v>21</v>
      </c>
      <c r="H10" s="1" t="s">
        <v>22</v>
      </c>
      <c r="I10" s="1" t="s">
        <v>21</v>
      </c>
      <c r="J10" s="1" t="s">
        <v>22</v>
      </c>
      <c r="K10" s="1" t="s">
        <v>21</v>
      </c>
      <c r="L10" s="1" t="s">
        <v>22</v>
      </c>
      <c r="M10" s="40"/>
    </row>
    <row r="11" spans="1:13" ht="24" customHeight="1">
      <c r="A11" s="2" t="s">
        <v>23</v>
      </c>
      <c r="B11" s="3"/>
      <c r="C11" s="3"/>
      <c r="D11" s="3"/>
      <c r="E11" s="3"/>
      <c r="F11" s="4">
        <f>원가계산서!D3</f>
        <v>3511003009</v>
      </c>
      <c r="G11" s="3"/>
      <c r="H11" s="4">
        <f>원가계산서!D4</f>
        <v>1849055312</v>
      </c>
      <c r="I11" s="3"/>
      <c r="J11" s="4">
        <f>원가계산서!D5</f>
        <v>4525588656</v>
      </c>
      <c r="K11" s="3"/>
      <c r="L11" s="4">
        <f>원가계산서!D6</f>
        <v>9885646977</v>
      </c>
      <c r="M11" s="3"/>
    </row>
    <row r="12" spans="1:13" ht="24" customHeight="1">
      <c r="A12" s="5" t="s">
        <v>24</v>
      </c>
      <c r="B12" s="6"/>
      <c r="C12" s="7">
        <v>1</v>
      </c>
      <c r="D12" s="7" t="s">
        <v>25</v>
      </c>
      <c r="E12" s="6"/>
      <c r="F12" s="8">
        <f>0</f>
        <v>0</v>
      </c>
      <c r="G12" s="6"/>
      <c r="H12" s="8">
        <f>0</f>
        <v>0</v>
      </c>
      <c r="I12" s="6"/>
      <c r="J12" s="9">
        <f>원가계산서!D23-원가계산서!D6</f>
        <v>2492574193.799118</v>
      </c>
      <c r="K12" s="6"/>
      <c r="L12" s="9">
        <f>원가계산서!D23-원가계산서!D6</f>
        <v>2492574193.799118</v>
      </c>
      <c r="M12" s="6"/>
    </row>
    <row r="13" spans="1:13" ht="24" customHeight="1">
      <c r="A13" s="2" t="s">
        <v>26</v>
      </c>
      <c r="B13" s="3"/>
      <c r="C13" s="3"/>
      <c r="D13" s="3"/>
      <c r="E13" s="3"/>
      <c r="F13" s="4">
        <f>원가계산서!D3</f>
        <v>3511003009</v>
      </c>
      <c r="G13" s="3"/>
      <c r="H13" s="4">
        <f>원가계산서!D4</f>
        <v>1849055312</v>
      </c>
      <c r="I13" s="3"/>
      <c r="J13" s="4">
        <f>J11+J12</f>
        <v>7018162849.799118</v>
      </c>
      <c r="K13" s="3"/>
      <c r="L13" s="4">
        <f>원가계산서!D23</f>
        <v>12378221170.799118</v>
      </c>
      <c r="M13" s="3"/>
    </row>
    <row r="14" spans="1:13" ht="24" customHeight="1">
      <c r="A14" s="5" t="s">
        <v>27</v>
      </c>
      <c r="B14" s="6"/>
      <c r="C14" s="7">
        <v>1</v>
      </c>
      <c r="D14" s="7" t="s">
        <v>25</v>
      </c>
      <c r="E14" s="6"/>
      <c r="F14" s="8">
        <f>0</f>
        <v>0</v>
      </c>
      <c r="G14" s="6"/>
      <c r="H14" s="8">
        <f>0</f>
        <v>0</v>
      </c>
      <c r="I14" s="6"/>
      <c r="J14" s="9">
        <f>원가계산서!D24</f>
        <v>1237822117.0799119</v>
      </c>
      <c r="K14" s="6"/>
      <c r="L14" s="9">
        <f>원가계산서!D24</f>
        <v>1237822117.0799119</v>
      </c>
      <c r="M14" s="6"/>
    </row>
    <row r="15" spans="1:13" ht="24" customHeight="1">
      <c r="A15" s="5" t="s">
        <v>28</v>
      </c>
      <c r="B15" s="6"/>
      <c r="C15" s="6"/>
      <c r="D15" s="6"/>
      <c r="E15" s="6"/>
      <c r="F15" s="9">
        <f>원가계산서!D3</f>
        <v>3511003009</v>
      </c>
      <c r="G15" s="6"/>
      <c r="H15" s="9">
        <f>원가계산서!D4</f>
        <v>1849055312</v>
      </c>
      <c r="I15" s="6"/>
      <c r="J15" s="9">
        <f>J13+J14</f>
        <v>8255984966.8790302</v>
      </c>
      <c r="K15" s="6"/>
      <c r="L15" s="9">
        <f>원가계산서!D25</f>
        <v>13616043287.87903</v>
      </c>
      <c r="M15" s="6"/>
    </row>
  </sheetData>
  <mergeCells count="20">
    <mergeCell ref="A1:M1"/>
    <mergeCell ref="G7:M7"/>
    <mergeCell ref="G6:M6"/>
    <mergeCell ref="A9:A10"/>
    <mergeCell ref="G3:M3"/>
    <mergeCell ref="M9:M10"/>
    <mergeCell ref="A6:F6"/>
    <mergeCell ref="G9:H9"/>
    <mergeCell ref="I9:J9"/>
    <mergeCell ref="A7:F7"/>
    <mergeCell ref="G5:M5"/>
    <mergeCell ref="G4:M4"/>
    <mergeCell ref="K9:L9"/>
    <mergeCell ref="A3:F3"/>
    <mergeCell ref="C9:C10"/>
    <mergeCell ref="A5:F5"/>
    <mergeCell ref="A4:F4"/>
    <mergeCell ref="E9:F9"/>
    <mergeCell ref="B9:B10"/>
    <mergeCell ref="D9:D10"/>
  </mergeCells>
  <phoneticPr fontId="15" type="noConversion"/>
  <pageMargins left="0.75" right="0.75" top="1" bottom="1" header="0.5" footer="0.5"/>
  <ignoredErrors>
    <ignoredError sqref="A1:M200" evalError="1" numberStoredAsText="1" formula="1" formulaRange="1" unlockedFormula="1" emptyCellReference="1" calculatedColum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pane ySplit="2" topLeftCell="A3" activePane="bottomLeft" state="frozen"/>
      <selection pane="bottomLeft"/>
    </sheetView>
  </sheetViews>
  <sheetFormatPr defaultRowHeight="16.5"/>
  <cols>
    <col min="1" max="1" width="12" customWidth="1"/>
    <col min="2" max="3" width="26" customWidth="1"/>
    <col min="4" max="4" width="16" customWidth="1"/>
    <col min="5" max="5" width="56" customWidth="1"/>
  </cols>
  <sheetData>
    <row r="1" spans="1:5">
      <c r="A1" s="39" t="s">
        <v>29</v>
      </c>
      <c r="B1" s="39" t="s">
        <v>30</v>
      </c>
      <c r="C1" s="39" t="s">
        <v>31</v>
      </c>
      <c r="D1" s="39" t="s">
        <v>22</v>
      </c>
      <c r="E1" s="39" t="s">
        <v>20</v>
      </c>
    </row>
    <row r="2" spans="1:5">
      <c r="A2" s="40"/>
      <c r="B2" s="40"/>
      <c r="C2" s="40"/>
      <c r="D2" s="40"/>
      <c r="E2" s="40"/>
    </row>
    <row r="3" spans="1:5">
      <c r="A3" s="10" t="s">
        <v>32</v>
      </c>
      <c r="B3" s="11" t="s">
        <v>33</v>
      </c>
      <c r="C3" s="12" t="s">
        <v>34</v>
      </c>
      <c r="D3" s="13">
        <f>내역서!F828+내역서!F1082+내역서!F1307+내역서!F1468+내역서!F1474</f>
        <v>3511003009</v>
      </c>
      <c r="E3" s="14"/>
    </row>
    <row r="4" spans="1:5">
      <c r="A4" s="15"/>
      <c r="B4" s="11" t="s">
        <v>35</v>
      </c>
      <c r="C4" s="12" t="s">
        <v>36</v>
      </c>
      <c r="D4" s="13">
        <f>내역서!H828+내역서!H1082+내역서!H1307+내역서!H1468+내역서!H1474</f>
        <v>1849055312</v>
      </c>
      <c r="E4" s="14"/>
    </row>
    <row r="5" spans="1:5">
      <c r="A5" s="15"/>
      <c r="B5" s="11" t="s">
        <v>37</v>
      </c>
      <c r="C5" s="12" t="s">
        <v>38</v>
      </c>
      <c r="D5" s="13">
        <f>내역서!J828+내역서!J1082+내역서!J1307+내역서!J1468+내역서!J1474</f>
        <v>4525588656</v>
      </c>
      <c r="E5" s="14"/>
    </row>
    <row r="6" spans="1:5">
      <c r="A6" s="7"/>
      <c r="B6" s="5" t="s">
        <v>39</v>
      </c>
      <c r="C6" s="16" t="s">
        <v>40</v>
      </c>
      <c r="D6" s="9">
        <f>D3+D4+D5</f>
        <v>9885646977</v>
      </c>
      <c r="E6" s="17"/>
    </row>
    <row r="7" spans="1:5">
      <c r="A7" s="10" t="s">
        <v>41</v>
      </c>
      <c r="B7" s="11" t="s">
        <v>42</v>
      </c>
      <c r="C7" s="12" t="s">
        <v>43</v>
      </c>
      <c r="D7" s="13">
        <f>D4*0.197</f>
        <v>364263896.46399999</v>
      </c>
      <c r="E7" s="14" t="s">
        <v>44</v>
      </c>
    </row>
    <row r="8" spans="1:5">
      <c r="A8" s="15"/>
      <c r="B8" s="11" t="s">
        <v>45</v>
      </c>
      <c r="C8" s="12" t="s">
        <v>46</v>
      </c>
      <c r="D8" s="13">
        <f>(D4+D7)*0.0356</f>
        <v>78794163.821318388</v>
      </c>
      <c r="E8" s="14" t="s">
        <v>47</v>
      </c>
    </row>
    <row r="9" spans="1:5">
      <c r="A9" s="15"/>
      <c r="B9" s="11" t="s">
        <v>48</v>
      </c>
      <c r="C9" s="12" t="s">
        <v>49</v>
      </c>
      <c r="D9" s="13">
        <f>(D4+D7)*0.0115</f>
        <v>25453170.897335995</v>
      </c>
      <c r="E9" s="14" t="s">
        <v>50</v>
      </c>
    </row>
    <row r="10" spans="1:5">
      <c r="A10" s="15"/>
      <c r="B10" s="11" t="s">
        <v>51</v>
      </c>
      <c r="C10" s="12" t="s">
        <v>52</v>
      </c>
      <c r="D10" s="13">
        <f>D4*0.03595</f>
        <v>66473538.466400005</v>
      </c>
      <c r="E10" s="14" t="s">
        <v>53</v>
      </c>
    </row>
    <row r="11" spans="1:5">
      <c r="A11" s="15"/>
      <c r="B11" s="11" t="s">
        <v>54</v>
      </c>
      <c r="C11" s="12" t="s">
        <v>55</v>
      </c>
      <c r="D11" s="13">
        <f>D4*0.0475</f>
        <v>87830127.320000008</v>
      </c>
      <c r="E11" s="14" t="s">
        <v>56</v>
      </c>
    </row>
    <row r="12" spans="1:5">
      <c r="A12" s="15"/>
      <c r="B12" s="11" t="s">
        <v>57</v>
      </c>
      <c r="C12" s="12" t="s">
        <v>58</v>
      </c>
      <c r="D12" s="13">
        <f>D10*0.1314</f>
        <v>8734622.9544849601</v>
      </c>
      <c r="E12" s="14" t="s">
        <v>59</v>
      </c>
    </row>
    <row r="13" spans="1:5" ht="24">
      <c r="A13" s="15"/>
      <c r="B13" s="11" t="s">
        <v>60</v>
      </c>
      <c r="C13" s="12" t="s">
        <v>61</v>
      </c>
      <c r="D13" s="13">
        <f>(D3+D4)*0.026</f>
        <v>139361516.34599999</v>
      </c>
      <c r="E13" s="14" t="s">
        <v>62</v>
      </c>
    </row>
    <row r="14" spans="1:5">
      <c r="A14" s="15"/>
      <c r="B14" s="11" t="s">
        <v>63</v>
      </c>
      <c r="C14" s="12" t="s">
        <v>64</v>
      </c>
      <c r="D14" s="13">
        <f>(D3+D4+D7)*0.062</f>
        <v>354907977.482768</v>
      </c>
      <c r="E14" s="14" t="s">
        <v>65</v>
      </c>
    </row>
    <row r="15" spans="1:5">
      <c r="A15" s="15"/>
      <c r="B15" s="11" t="s">
        <v>66</v>
      </c>
      <c r="C15" s="12" t="s">
        <v>67</v>
      </c>
      <c r="D15" s="13">
        <f>D6*0.004</f>
        <v>39542587.908</v>
      </c>
      <c r="E15" s="14" t="s">
        <v>68</v>
      </c>
    </row>
    <row r="16" spans="1:5">
      <c r="A16" s="15"/>
      <c r="B16" s="11" t="s">
        <v>69</v>
      </c>
      <c r="C16" s="12" t="s">
        <v>70</v>
      </c>
      <c r="D16" s="13">
        <f>D6*0.006</f>
        <v>59313881.862000003</v>
      </c>
      <c r="E16" s="14" t="s">
        <v>71</v>
      </c>
    </row>
    <row r="17" spans="1:5">
      <c r="A17" s="7"/>
      <c r="B17" s="5" t="s">
        <v>72</v>
      </c>
      <c r="C17" s="16" t="s">
        <v>73</v>
      </c>
      <c r="D17" s="9">
        <f>D8+D9+D10+D11+D12+D13+D14+D15+D16</f>
        <v>860411587.05830741</v>
      </c>
      <c r="E17" s="17"/>
    </row>
    <row r="18" spans="1:5">
      <c r="A18" s="18" t="s">
        <v>74</v>
      </c>
      <c r="B18" s="5" t="s">
        <v>75</v>
      </c>
      <c r="C18" s="16" t="s">
        <v>76</v>
      </c>
      <c r="D18" s="9">
        <f>D5+D17</f>
        <v>5386000243.0583076</v>
      </c>
      <c r="E18" s="17"/>
    </row>
    <row r="19" spans="1:5">
      <c r="A19" s="7"/>
      <c r="B19" s="5" t="s">
        <v>77</v>
      </c>
      <c r="C19" s="16" t="s">
        <v>78</v>
      </c>
      <c r="D19" s="9">
        <f>D3+D4+D7+D18</f>
        <v>11110322460.522308</v>
      </c>
      <c r="E19" s="17"/>
    </row>
    <row r="20" spans="1:5">
      <c r="A20" s="10" t="s">
        <v>41</v>
      </c>
      <c r="B20" s="11" t="s">
        <v>79</v>
      </c>
      <c r="C20" s="12" t="s">
        <v>80</v>
      </c>
      <c r="D20" s="13">
        <f>D19*0.055</f>
        <v>611067735.32872701</v>
      </c>
      <c r="E20" s="14"/>
    </row>
    <row r="21" spans="1:5">
      <c r="A21" s="15"/>
      <c r="B21" s="11" t="s">
        <v>81</v>
      </c>
      <c r="C21" s="12" t="s">
        <v>82</v>
      </c>
      <c r="D21" s="13">
        <f>(D4+D7+D18+D20)*0.08</f>
        <v>656830974.9480828</v>
      </c>
      <c r="E21" s="14"/>
    </row>
    <row r="22" spans="1:5">
      <c r="A22" s="15"/>
      <c r="B22" s="11" t="s">
        <v>83</v>
      </c>
      <c r="C22" s="12" t="s">
        <v>84</v>
      </c>
      <c r="D22" s="13">
        <v>0</v>
      </c>
      <c r="E22" s="14"/>
    </row>
    <row r="23" spans="1:5">
      <c r="A23" s="18" t="s">
        <v>85</v>
      </c>
      <c r="B23" s="5" t="s">
        <v>86</v>
      </c>
      <c r="C23" s="16" t="s">
        <v>87</v>
      </c>
      <c r="D23" s="9">
        <f>D19+D20+D21+D22</f>
        <v>12378221170.799118</v>
      </c>
      <c r="E23" s="17"/>
    </row>
    <row r="24" spans="1:5">
      <c r="A24" s="15"/>
      <c r="B24" s="11" t="s">
        <v>88</v>
      </c>
      <c r="C24" s="12" t="s">
        <v>89</v>
      </c>
      <c r="D24" s="13">
        <f>D23*0.1</f>
        <v>1237822117.0799119</v>
      </c>
      <c r="E24" s="14"/>
    </row>
    <row r="25" spans="1:5">
      <c r="A25" s="7"/>
      <c r="B25" s="5" t="s">
        <v>90</v>
      </c>
      <c r="C25" s="16" t="s">
        <v>91</v>
      </c>
      <c r="D25" s="9">
        <f>D23+D24</f>
        <v>13616043287.87903</v>
      </c>
      <c r="E25" s="17"/>
    </row>
    <row r="27" spans="1:5">
      <c r="B27" s="45" t="s">
        <v>92</v>
      </c>
      <c r="C27" s="26"/>
      <c r="D27" s="26"/>
      <c r="E27" s="26"/>
    </row>
  </sheetData>
  <mergeCells count="6">
    <mergeCell ref="A1:A2"/>
    <mergeCell ref="B27:E27"/>
    <mergeCell ref="C1:C2"/>
    <mergeCell ref="B1:B2"/>
    <mergeCell ref="D1:D2"/>
    <mergeCell ref="E1:E2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76"/>
  <sheetViews>
    <sheetView tabSelected="1" workbookViewId="0">
      <pane ySplit="2" topLeftCell="A317" activePane="bottomLeft" state="frozen"/>
      <selection pane="bottomLeft" activeCell="R342" sqref="R342"/>
    </sheetView>
  </sheetViews>
  <sheetFormatPr defaultRowHeight="16.5"/>
  <cols>
    <col min="1" max="1" width="37.5" bestFit="1" customWidth="1"/>
    <col min="2" max="2" width="26.125" bestFit="1" customWidth="1"/>
    <col min="3" max="3" width="9" customWidth="1"/>
    <col min="4" max="4" width="6" customWidth="1"/>
    <col min="5" max="5" width="11" customWidth="1"/>
    <col min="6" max="6" width="13" customWidth="1"/>
    <col min="7" max="7" width="11" customWidth="1"/>
    <col min="8" max="8" width="13" customWidth="1"/>
    <col min="9" max="9" width="11" customWidth="1"/>
    <col min="10" max="10" width="13" customWidth="1"/>
    <col min="11" max="11" width="11" customWidth="1"/>
    <col min="12" max="12" width="13" customWidth="1"/>
    <col min="13" max="13" width="12" customWidth="1"/>
  </cols>
  <sheetData>
    <row r="1" spans="1:13">
      <c r="A1" s="39" t="s">
        <v>1608</v>
      </c>
      <c r="B1" s="39" t="s">
        <v>94</v>
      </c>
      <c r="C1" s="39" t="s">
        <v>14</v>
      </c>
      <c r="D1" s="39" t="s">
        <v>15</v>
      </c>
      <c r="E1" s="39" t="s">
        <v>33</v>
      </c>
      <c r="F1" s="39"/>
      <c r="G1" s="39" t="s">
        <v>95</v>
      </c>
      <c r="H1" s="39"/>
      <c r="I1" s="39" t="s">
        <v>96</v>
      </c>
      <c r="J1" s="39"/>
      <c r="K1" s="39" t="s">
        <v>85</v>
      </c>
      <c r="L1" s="39"/>
      <c r="M1" s="39" t="s">
        <v>20</v>
      </c>
    </row>
    <row r="2" spans="1:13">
      <c r="A2" s="39"/>
      <c r="B2" s="39"/>
      <c r="C2" s="39"/>
      <c r="D2" s="39"/>
      <c r="E2" s="1" t="s">
        <v>21</v>
      </c>
      <c r="F2" s="1" t="s">
        <v>22</v>
      </c>
      <c r="G2" s="1" t="s">
        <v>21</v>
      </c>
      <c r="H2" s="1" t="s">
        <v>22</v>
      </c>
      <c r="I2" s="1" t="s">
        <v>21</v>
      </c>
      <c r="J2" s="1" t="s">
        <v>22</v>
      </c>
      <c r="K2" s="1" t="s">
        <v>21</v>
      </c>
      <c r="L2" s="1" t="s">
        <v>22</v>
      </c>
      <c r="M2" s="39"/>
    </row>
    <row r="3" spans="1:13">
      <c r="A3" s="46" t="s">
        <v>97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>
      <c r="A4" s="19" t="s">
        <v>98</v>
      </c>
      <c r="B4" s="20"/>
      <c r="C4" s="21"/>
      <c r="D4" s="21"/>
      <c r="E4" s="21"/>
      <c r="F4" s="22">
        <f>SUM(F7:F82)</f>
        <v>119051717</v>
      </c>
      <c r="G4" s="21"/>
      <c r="H4" s="22">
        <f>SUM(H7:H82)</f>
        <v>149906705</v>
      </c>
      <c r="I4" s="21"/>
      <c r="J4" s="22">
        <f>SUM(J7:J82)</f>
        <v>454175418</v>
      </c>
      <c r="K4" s="21"/>
      <c r="L4" s="22">
        <f>F4+H4+J4</f>
        <v>723133840</v>
      </c>
      <c r="M4" s="21"/>
    </row>
    <row r="5" spans="1:13">
      <c r="A5" s="11" t="s">
        <v>99</v>
      </c>
      <c r="B5" s="11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>
      <c r="A6" s="11" t="s">
        <v>100</v>
      </c>
      <c r="B6" s="11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</row>
    <row r="7" spans="1:13">
      <c r="A7" s="11" t="s">
        <v>101</v>
      </c>
      <c r="B7" s="11"/>
      <c r="C7" s="13">
        <v>22891</v>
      </c>
      <c r="D7" s="15" t="s">
        <v>102</v>
      </c>
      <c r="E7" s="13">
        <v>313</v>
      </c>
      <c r="F7" s="13">
        <f>ROUND(E7*C7,0)</f>
        <v>7164883</v>
      </c>
      <c r="G7" s="13">
        <v>101</v>
      </c>
      <c r="H7" s="13">
        <f>ROUND(G7*C7,0)</f>
        <v>2311991</v>
      </c>
      <c r="I7" s="13">
        <v>33</v>
      </c>
      <c r="J7" s="13">
        <f>ROUND(I7*C7,0)</f>
        <v>755403</v>
      </c>
      <c r="K7" s="13">
        <f>E7+G7+I7</f>
        <v>447</v>
      </c>
      <c r="L7" s="13">
        <f>F7+H7+J7</f>
        <v>10232277</v>
      </c>
      <c r="M7" s="11"/>
    </row>
    <row r="8" spans="1:13">
      <c r="A8" s="11" t="s">
        <v>103</v>
      </c>
      <c r="B8" s="11"/>
      <c r="C8" s="13">
        <v>22891</v>
      </c>
      <c r="D8" s="15" t="s">
        <v>102</v>
      </c>
      <c r="E8" s="13">
        <v>313</v>
      </c>
      <c r="F8" s="13">
        <f>ROUND(E8*C8,0)</f>
        <v>7164883</v>
      </c>
      <c r="G8" s="13">
        <v>61</v>
      </c>
      <c r="H8" s="13">
        <f>ROUND(G8*C8,0)</f>
        <v>1396351</v>
      </c>
      <c r="I8" s="13">
        <v>33</v>
      </c>
      <c r="J8" s="13">
        <f>ROUND(I8*C8,0)</f>
        <v>755403</v>
      </c>
      <c r="K8" s="13">
        <f>E8+G8+I8</f>
        <v>407</v>
      </c>
      <c r="L8" s="13">
        <f>F8+H8+J8</f>
        <v>9316637</v>
      </c>
      <c r="M8" s="11"/>
    </row>
    <row r="9" spans="1:13">
      <c r="A9" s="11" t="s">
        <v>104</v>
      </c>
      <c r="B9" s="11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</row>
    <row r="10" spans="1:13">
      <c r="A10" s="11" t="s">
        <v>105</v>
      </c>
      <c r="B10" s="11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</row>
    <row r="11" spans="1:13" ht="33">
      <c r="A11" s="11" t="s">
        <v>106</v>
      </c>
      <c r="B11" s="11" t="s">
        <v>107</v>
      </c>
      <c r="C11" s="13">
        <v>1917</v>
      </c>
      <c r="D11" s="15" t="s">
        <v>108</v>
      </c>
      <c r="E11" s="13">
        <v>1273</v>
      </c>
      <c r="F11" s="13">
        <f>ROUND(E11*C11,0)</f>
        <v>2440341</v>
      </c>
      <c r="G11" s="13">
        <v>0</v>
      </c>
      <c r="H11" s="13">
        <f>ROUND(G11*C11,0)</f>
        <v>0</v>
      </c>
      <c r="I11" s="13">
        <v>0</v>
      </c>
      <c r="J11" s="13">
        <f>ROUND(I11*C11,0)</f>
        <v>0</v>
      </c>
      <c r="K11" s="13">
        <f t="shared" ref="K11:L13" si="0">E11+G11+I11</f>
        <v>1273</v>
      </c>
      <c r="L11" s="13">
        <f t="shared" si="0"/>
        <v>2440341</v>
      </c>
      <c r="M11" s="11"/>
    </row>
    <row r="12" spans="1:13">
      <c r="A12" s="11" t="s">
        <v>109</v>
      </c>
      <c r="B12" s="11" t="s">
        <v>110</v>
      </c>
      <c r="C12" s="13">
        <v>1906</v>
      </c>
      <c r="D12" s="15" t="s">
        <v>108</v>
      </c>
      <c r="E12" s="13">
        <v>5303</v>
      </c>
      <c r="F12" s="13">
        <f>ROUND(E12*C12,0)</f>
        <v>10107518</v>
      </c>
      <c r="G12" s="13">
        <v>0</v>
      </c>
      <c r="H12" s="13">
        <f>ROUND(G12*C12,0)</f>
        <v>0</v>
      </c>
      <c r="I12" s="13">
        <v>0</v>
      </c>
      <c r="J12" s="13">
        <f>ROUND(I12*C12,0)</f>
        <v>0</v>
      </c>
      <c r="K12" s="13">
        <f t="shared" si="0"/>
        <v>5303</v>
      </c>
      <c r="L12" s="13">
        <f t="shared" si="0"/>
        <v>10107518</v>
      </c>
      <c r="M12" s="11"/>
    </row>
    <row r="13" spans="1:13">
      <c r="A13" s="11" t="s">
        <v>111</v>
      </c>
      <c r="B13" s="11" t="s">
        <v>112</v>
      </c>
      <c r="C13" s="13">
        <v>11</v>
      </c>
      <c r="D13" s="15" t="s">
        <v>108</v>
      </c>
      <c r="E13" s="13">
        <v>404000</v>
      </c>
      <c r="F13" s="13">
        <f>ROUND(E13*C13,0)</f>
        <v>4444000</v>
      </c>
      <c r="G13" s="13">
        <v>0</v>
      </c>
      <c r="H13" s="13">
        <f>ROUND(G13*C13,0)</f>
        <v>0</v>
      </c>
      <c r="I13" s="13">
        <v>0</v>
      </c>
      <c r="J13" s="13">
        <f>ROUND(I13*C13,0)</f>
        <v>0</v>
      </c>
      <c r="K13" s="13">
        <f t="shared" si="0"/>
        <v>404000</v>
      </c>
      <c r="L13" s="13">
        <f t="shared" si="0"/>
        <v>4444000</v>
      </c>
      <c r="M13" s="11"/>
    </row>
    <row r="14" spans="1:13">
      <c r="A14" s="11" t="s">
        <v>113</v>
      </c>
      <c r="B14" s="11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>
      <c r="A15" s="11" t="s">
        <v>114</v>
      </c>
      <c r="B15" s="11"/>
      <c r="C15" s="13">
        <v>1082</v>
      </c>
      <c r="D15" s="15" t="s">
        <v>102</v>
      </c>
      <c r="E15" s="13">
        <v>565</v>
      </c>
      <c r="F15" s="13">
        <f>ROUND(E15*C15,0)</f>
        <v>611330</v>
      </c>
      <c r="G15" s="13">
        <v>493</v>
      </c>
      <c r="H15" s="13">
        <f>ROUND(G15*C15,0)</f>
        <v>533426</v>
      </c>
      <c r="I15" s="13">
        <v>0</v>
      </c>
      <c r="J15" s="13">
        <f>ROUND(I15*C15,0)</f>
        <v>0</v>
      </c>
      <c r="K15" s="13">
        <f t="shared" ref="K15:L17" si="1">E15+G15+I15</f>
        <v>1058</v>
      </c>
      <c r="L15" s="13">
        <f t="shared" si="1"/>
        <v>1144756</v>
      </c>
      <c r="M15" s="11"/>
    </row>
    <row r="16" spans="1:13">
      <c r="A16" s="11" t="s">
        <v>115</v>
      </c>
      <c r="B16" s="11" t="s">
        <v>116</v>
      </c>
      <c r="C16" s="13">
        <v>67</v>
      </c>
      <c r="D16" s="15" t="s">
        <v>108</v>
      </c>
      <c r="E16" s="13">
        <v>0</v>
      </c>
      <c r="F16" s="13">
        <f>ROUND(E16*C16,0)</f>
        <v>0</v>
      </c>
      <c r="G16" s="13">
        <v>331</v>
      </c>
      <c r="H16" s="13">
        <f>ROUND(G16*C16,0)</f>
        <v>22177</v>
      </c>
      <c r="I16" s="13">
        <v>1857</v>
      </c>
      <c r="J16" s="13">
        <f>ROUND(I16*C16,0)</f>
        <v>124419</v>
      </c>
      <c r="K16" s="13">
        <f t="shared" si="1"/>
        <v>2188</v>
      </c>
      <c r="L16" s="13">
        <f t="shared" si="1"/>
        <v>146596</v>
      </c>
      <c r="M16" s="11"/>
    </row>
    <row r="17" spans="1:13">
      <c r="A17" s="11" t="s">
        <v>117</v>
      </c>
      <c r="B17" s="11" t="s">
        <v>118</v>
      </c>
      <c r="C17" s="13">
        <v>67</v>
      </c>
      <c r="D17" s="15" t="s">
        <v>108</v>
      </c>
      <c r="E17" s="13">
        <v>0</v>
      </c>
      <c r="F17" s="13">
        <f>ROUND(E17*C17,0)</f>
        <v>0</v>
      </c>
      <c r="G17" s="13">
        <v>664</v>
      </c>
      <c r="H17" s="13">
        <f>ROUND(G17*C17,0)</f>
        <v>44488</v>
      </c>
      <c r="I17" s="13">
        <v>2636</v>
      </c>
      <c r="J17" s="13">
        <f>ROUND(I17*C17,0)</f>
        <v>176612</v>
      </c>
      <c r="K17" s="13">
        <f t="shared" si="1"/>
        <v>3300</v>
      </c>
      <c r="L17" s="13">
        <f t="shared" si="1"/>
        <v>221100</v>
      </c>
      <c r="M17" s="11"/>
    </row>
    <row r="18" spans="1:13">
      <c r="A18" s="11" t="s">
        <v>119</v>
      </c>
      <c r="B18" s="11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>
      <c r="A19" s="11" t="s">
        <v>120</v>
      </c>
      <c r="B19" s="11" t="s">
        <v>121</v>
      </c>
      <c r="C19" s="13">
        <v>1246</v>
      </c>
      <c r="D19" s="15" t="s">
        <v>102</v>
      </c>
      <c r="E19" s="13">
        <v>6262</v>
      </c>
      <c r="F19" s="13">
        <f>ROUND(E19*C19,0)</f>
        <v>7802452</v>
      </c>
      <c r="G19" s="13">
        <v>1313</v>
      </c>
      <c r="H19" s="13">
        <f>ROUND(G19*C19,0)</f>
        <v>1635998</v>
      </c>
      <c r="I19" s="13">
        <v>0</v>
      </c>
      <c r="J19" s="13">
        <f>ROUND(I19*C19,0)</f>
        <v>0</v>
      </c>
      <c r="K19" s="13">
        <f>E19+G19+I19</f>
        <v>7575</v>
      </c>
      <c r="L19" s="13">
        <f>F19+H19+J19</f>
        <v>9438450</v>
      </c>
      <c r="M19" s="11"/>
    </row>
    <row r="20" spans="1:13">
      <c r="A20" s="11" t="s">
        <v>122</v>
      </c>
      <c r="B20" s="11" t="s">
        <v>123</v>
      </c>
      <c r="C20" s="13">
        <v>1172</v>
      </c>
      <c r="D20" s="15" t="s">
        <v>102</v>
      </c>
      <c r="E20" s="13">
        <v>12524</v>
      </c>
      <c r="F20" s="13">
        <f>ROUND(E20*C20,0)</f>
        <v>14678128</v>
      </c>
      <c r="G20" s="13">
        <v>2626</v>
      </c>
      <c r="H20" s="13">
        <f>ROUND(G20*C20,0)</f>
        <v>3077672</v>
      </c>
      <c r="I20" s="13">
        <v>0</v>
      </c>
      <c r="J20" s="13">
        <f>ROUND(I20*C20,0)</f>
        <v>0</v>
      </c>
      <c r="K20" s="13">
        <f>E20+G20+I20</f>
        <v>15150</v>
      </c>
      <c r="L20" s="13">
        <f>F20+H20+J20</f>
        <v>17755800</v>
      </c>
      <c r="M20" s="11"/>
    </row>
    <row r="21" spans="1:13">
      <c r="A21" s="11" t="s">
        <v>124</v>
      </c>
      <c r="B21" s="11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>
      <c r="A22" s="11" t="s">
        <v>125</v>
      </c>
      <c r="B22" s="11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ht="33">
      <c r="A23" s="11" t="s">
        <v>126</v>
      </c>
      <c r="B23" s="11" t="s">
        <v>127</v>
      </c>
      <c r="C23" s="13">
        <v>10527</v>
      </c>
      <c r="D23" s="15" t="s">
        <v>108</v>
      </c>
      <c r="E23" s="13">
        <v>0</v>
      </c>
      <c r="F23" s="13">
        <f>ROUND(E23*C23,0)</f>
        <v>0</v>
      </c>
      <c r="G23" s="13">
        <v>254</v>
      </c>
      <c r="H23" s="13">
        <f>ROUND(G23*C23,0)</f>
        <v>2673858</v>
      </c>
      <c r="I23" s="13">
        <v>1239</v>
      </c>
      <c r="J23" s="13">
        <f>ROUND(I23*C23,0)</f>
        <v>13042953</v>
      </c>
      <c r="K23" s="13">
        <f>E23+G23+I23</f>
        <v>1493</v>
      </c>
      <c r="L23" s="13">
        <f>F23+H23+J23</f>
        <v>15716811</v>
      </c>
      <c r="M23" s="11"/>
    </row>
    <row r="24" spans="1:13">
      <c r="A24" s="11" t="s">
        <v>128</v>
      </c>
      <c r="B24" s="11" t="s">
        <v>129</v>
      </c>
      <c r="C24" s="13">
        <v>72445</v>
      </c>
      <c r="D24" s="15" t="s">
        <v>108</v>
      </c>
      <c r="E24" s="13">
        <v>0</v>
      </c>
      <c r="F24" s="13">
        <f>ROUND(E24*C24,0)</f>
        <v>0</v>
      </c>
      <c r="G24" s="13">
        <v>253</v>
      </c>
      <c r="H24" s="13">
        <f>ROUND(G24*C24,0)</f>
        <v>18328585</v>
      </c>
      <c r="I24" s="13">
        <v>1373</v>
      </c>
      <c r="J24" s="13">
        <f>ROUND(I24*C24,0)</f>
        <v>99466985</v>
      </c>
      <c r="K24" s="13">
        <f>E24+G24+I24</f>
        <v>1626</v>
      </c>
      <c r="L24" s="13">
        <f>F24+H24+J24</f>
        <v>117795570</v>
      </c>
      <c r="M24" s="11"/>
    </row>
    <row r="25" spans="1:13">
      <c r="A25" s="11" t="s">
        <v>130</v>
      </c>
      <c r="B25" s="11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>
      <c r="A26" s="11" t="s">
        <v>131</v>
      </c>
      <c r="B26" s="11" t="s">
        <v>132</v>
      </c>
      <c r="C26" s="13">
        <v>5167</v>
      </c>
      <c r="D26" s="15" t="s">
        <v>108</v>
      </c>
      <c r="E26" s="13">
        <v>0</v>
      </c>
      <c r="F26" s="13">
        <f>ROUND(E26*C26,0)</f>
        <v>0</v>
      </c>
      <c r="G26" s="13">
        <v>258</v>
      </c>
      <c r="H26" s="13">
        <f>ROUND(G26*C26,0)</f>
        <v>1333086</v>
      </c>
      <c r="I26" s="13">
        <v>1755</v>
      </c>
      <c r="J26" s="13">
        <f>ROUND(I26*C26,0)</f>
        <v>9068085</v>
      </c>
      <c r="K26" s="13">
        <f>E26+G26+I26</f>
        <v>2013</v>
      </c>
      <c r="L26" s="13">
        <f>F26+H26+J26</f>
        <v>10401171</v>
      </c>
      <c r="M26" s="11"/>
    </row>
    <row r="27" spans="1:13">
      <c r="A27" s="11" t="s">
        <v>133</v>
      </c>
      <c r="B27" s="11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>
      <c r="A28" s="11" t="s">
        <v>134</v>
      </c>
      <c r="B28" s="11" t="s">
        <v>135</v>
      </c>
      <c r="C28" s="13">
        <v>921</v>
      </c>
      <c r="D28" s="15" t="s">
        <v>108</v>
      </c>
      <c r="E28" s="13">
        <v>0</v>
      </c>
      <c r="F28" s="13">
        <f>ROUND(E28*C28,0)</f>
        <v>0</v>
      </c>
      <c r="G28" s="13">
        <v>384</v>
      </c>
      <c r="H28" s="13">
        <f>ROUND(G28*C28,0)</f>
        <v>353664</v>
      </c>
      <c r="I28" s="13">
        <v>11167</v>
      </c>
      <c r="J28" s="13">
        <f>ROUND(I28*C28,0)</f>
        <v>10284807</v>
      </c>
      <c r="K28" s="13">
        <f>E28+G28+I28</f>
        <v>11551</v>
      </c>
      <c r="L28" s="13">
        <f>F28+H28+J28</f>
        <v>10638471</v>
      </c>
      <c r="M28" s="11"/>
    </row>
    <row r="29" spans="1:13">
      <c r="A29" s="11" t="s">
        <v>136</v>
      </c>
      <c r="B29" s="11" t="s">
        <v>137</v>
      </c>
      <c r="C29" s="13">
        <v>0</v>
      </c>
      <c r="D29" s="15" t="s">
        <v>108</v>
      </c>
      <c r="E29" s="13">
        <v>0</v>
      </c>
      <c r="F29" s="13">
        <f>ROUND(E29*C29,0)</f>
        <v>0</v>
      </c>
      <c r="G29" s="13">
        <v>0</v>
      </c>
      <c r="H29" s="13">
        <f>ROUND(G29*C29,0)</f>
        <v>0</v>
      </c>
      <c r="I29" s="13">
        <v>0</v>
      </c>
      <c r="J29" s="13">
        <f>ROUND(I29*C29,0)</f>
        <v>0</v>
      </c>
      <c r="K29" s="13">
        <f>E29+G29+I29</f>
        <v>0</v>
      </c>
      <c r="L29" s="13">
        <f>F29+H29+J29</f>
        <v>0</v>
      </c>
      <c r="M29" s="11"/>
    </row>
    <row r="30" spans="1:13">
      <c r="A30" s="11" t="s">
        <v>138</v>
      </c>
      <c r="B30" s="1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>
      <c r="A31" s="11" t="s">
        <v>134</v>
      </c>
      <c r="B31" s="11" t="s">
        <v>139</v>
      </c>
      <c r="C31" s="13">
        <v>27</v>
      </c>
      <c r="D31" s="15" t="s">
        <v>108</v>
      </c>
      <c r="E31" s="13">
        <v>0</v>
      </c>
      <c r="F31" s="13">
        <f>ROUND(E31*C31,0)</f>
        <v>0</v>
      </c>
      <c r="G31" s="13">
        <v>384</v>
      </c>
      <c r="H31" s="13">
        <f>ROUND(G31*C31,0)</f>
        <v>10368</v>
      </c>
      <c r="I31" s="13">
        <v>6758</v>
      </c>
      <c r="J31" s="13">
        <f>ROUND(I31*C31,0)</f>
        <v>182466</v>
      </c>
      <c r="K31" s="13">
        <f>E31+G31+I31</f>
        <v>7142</v>
      </c>
      <c r="L31" s="13">
        <f>F31+H31+J31</f>
        <v>192834</v>
      </c>
      <c r="M31" s="11"/>
    </row>
    <row r="32" spans="1:13">
      <c r="A32" s="11" t="s">
        <v>140</v>
      </c>
      <c r="B32" s="11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>
      <c r="A33" s="11" t="s">
        <v>141</v>
      </c>
      <c r="B33" s="11" t="s">
        <v>142</v>
      </c>
      <c r="C33" s="13">
        <v>142</v>
      </c>
      <c r="D33" s="15" t="s">
        <v>108</v>
      </c>
      <c r="E33" s="13">
        <v>0</v>
      </c>
      <c r="F33" s="13">
        <f>ROUND(E33*C33,0)</f>
        <v>0</v>
      </c>
      <c r="G33" s="13">
        <v>1313</v>
      </c>
      <c r="H33" s="13">
        <f>ROUND(G33*C33,0)</f>
        <v>186446</v>
      </c>
      <c r="I33" s="13">
        <v>2977</v>
      </c>
      <c r="J33" s="13">
        <f>ROUND(I33*C33,0)</f>
        <v>422734</v>
      </c>
      <c r="K33" s="13">
        <f>E33+G33+I33</f>
        <v>4290</v>
      </c>
      <c r="L33" s="13">
        <f>F33+H33+J33</f>
        <v>609180</v>
      </c>
      <c r="M33" s="11"/>
    </row>
    <row r="34" spans="1:13">
      <c r="A34" s="11" t="s">
        <v>143</v>
      </c>
      <c r="B34" s="11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spans="1:13" ht="33">
      <c r="A35" s="11" t="s">
        <v>144</v>
      </c>
      <c r="B35" s="11" t="s">
        <v>145</v>
      </c>
      <c r="C35" s="13">
        <v>1325</v>
      </c>
      <c r="D35" s="15" t="s">
        <v>108</v>
      </c>
      <c r="E35" s="13">
        <v>0</v>
      </c>
      <c r="F35" s="13">
        <f>ROUND(E35*C35,0)</f>
        <v>0</v>
      </c>
      <c r="G35" s="13">
        <v>269</v>
      </c>
      <c r="H35" s="13">
        <f>ROUND(G35*C35,0)</f>
        <v>356425</v>
      </c>
      <c r="I35" s="13">
        <v>1503</v>
      </c>
      <c r="J35" s="13">
        <f>ROUND(I35*C35,0)</f>
        <v>1991475</v>
      </c>
      <c r="K35" s="13">
        <f>E35+G35+I35</f>
        <v>1772</v>
      </c>
      <c r="L35" s="13">
        <f>F35+H35+J35</f>
        <v>2347900</v>
      </c>
      <c r="M35" s="11"/>
    </row>
    <row r="36" spans="1:13">
      <c r="A36" s="11" t="s">
        <v>146</v>
      </c>
      <c r="B36" s="11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>
      <c r="A37" s="11" t="s">
        <v>147</v>
      </c>
      <c r="B37" s="11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spans="1:13">
      <c r="A38" s="11" t="s">
        <v>148</v>
      </c>
      <c r="B38" s="11" t="s">
        <v>149</v>
      </c>
      <c r="C38" s="13">
        <v>6499</v>
      </c>
      <c r="D38" s="15" t="s">
        <v>108</v>
      </c>
      <c r="E38" s="13">
        <v>0</v>
      </c>
      <c r="F38" s="13">
        <f>ROUND(E38*C38,0)</f>
        <v>0</v>
      </c>
      <c r="G38" s="13">
        <v>141</v>
      </c>
      <c r="H38" s="13">
        <f>ROUND(G38*C38,0)</f>
        <v>916359</v>
      </c>
      <c r="I38" s="13">
        <v>838</v>
      </c>
      <c r="J38" s="13">
        <f>ROUND(I38*C38,0)</f>
        <v>5446162</v>
      </c>
      <c r="K38" s="13">
        <f>E38+G38+I38</f>
        <v>979</v>
      </c>
      <c r="L38" s="13">
        <f>F38+H38+J38</f>
        <v>6362521</v>
      </c>
      <c r="M38" s="11"/>
    </row>
    <row r="39" spans="1:13">
      <c r="A39" s="11" t="s">
        <v>150</v>
      </c>
      <c r="B39" s="11" t="s">
        <v>149</v>
      </c>
      <c r="C39" s="13">
        <v>26</v>
      </c>
      <c r="D39" s="15" t="s">
        <v>108</v>
      </c>
      <c r="E39" s="13">
        <v>0</v>
      </c>
      <c r="F39" s="13">
        <f>ROUND(E39*C39,0)</f>
        <v>0</v>
      </c>
      <c r="G39" s="13">
        <v>141</v>
      </c>
      <c r="H39" s="13">
        <f>ROUND(G39*C39,0)</f>
        <v>3666</v>
      </c>
      <c r="I39" s="13">
        <v>838</v>
      </c>
      <c r="J39" s="13">
        <f>ROUND(I39*C39,0)</f>
        <v>21788</v>
      </c>
      <c r="K39" s="13">
        <f>E39+G39+I39</f>
        <v>979</v>
      </c>
      <c r="L39" s="13">
        <f>F39+H39+J39</f>
        <v>25454</v>
      </c>
      <c r="M39" s="11"/>
    </row>
    <row r="40" spans="1:13">
      <c r="A40" s="11" t="s">
        <v>151</v>
      </c>
      <c r="B40" s="11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33">
      <c r="A41" s="11" t="s">
        <v>152</v>
      </c>
      <c r="B41" s="11" t="s">
        <v>153</v>
      </c>
      <c r="C41" s="13">
        <v>1916</v>
      </c>
      <c r="D41" s="15" t="s">
        <v>108</v>
      </c>
      <c r="E41" s="13">
        <v>0</v>
      </c>
      <c r="F41" s="13">
        <f>ROUND(E41*C41,0)</f>
        <v>0</v>
      </c>
      <c r="G41" s="13">
        <v>485</v>
      </c>
      <c r="H41" s="13">
        <f>ROUND(G41*C41,0)</f>
        <v>929260</v>
      </c>
      <c r="I41" s="13">
        <v>2767</v>
      </c>
      <c r="J41" s="13">
        <f>ROUND(I41*C41,0)</f>
        <v>5301572</v>
      </c>
      <c r="K41" s="13">
        <f>E41+G41+I41</f>
        <v>3252</v>
      </c>
      <c r="L41" s="13">
        <f>F41+H41+J41</f>
        <v>6230832</v>
      </c>
      <c r="M41" s="11"/>
    </row>
    <row r="42" spans="1:13">
      <c r="A42" s="11" t="s">
        <v>154</v>
      </c>
      <c r="B42" s="11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spans="1:13" ht="33">
      <c r="A43" s="11" t="s">
        <v>152</v>
      </c>
      <c r="B43" s="11" t="s">
        <v>155</v>
      </c>
      <c r="C43" s="13">
        <v>16923</v>
      </c>
      <c r="D43" s="15" t="s">
        <v>108</v>
      </c>
      <c r="E43" s="13">
        <v>0</v>
      </c>
      <c r="F43" s="13">
        <f>ROUND(E43*C43,0)</f>
        <v>0</v>
      </c>
      <c r="G43" s="13">
        <v>485</v>
      </c>
      <c r="H43" s="13">
        <f>ROUND(G43*C43,0)</f>
        <v>8207655</v>
      </c>
      <c r="I43" s="13">
        <v>1874</v>
      </c>
      <c r="J43" s="13">
        <f>ROUND(I43*C43,0)</f>
        <v>31713702</v>
      </c>
      <c r="K43" s="13">
        <f>E43+G43+I43</f>
        <v>2359</v>
      </c>
      <c r="L43" s="13">
        <f>F43+H43+J43</f>
        <v>39921357</v>
      </c>
      <c r="M43" s="11"/>
    </row>
    <row r="44" spans="1:13">
      <c r="A44" s="11" t="s">
        <v>156</v>
      </c>
      <c r="B44" s="11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spans="1:13" ht="33">
      <c r="A45" s="11" t="s">
        <v>152</v>
      </c>
      <c r="B45" s="11" t="s">
        <v>155</v>
      </c>
      <c r="C45" s="13">
        <v>1174</v>
      </c>
      <c r="D45" s="15" t="s">
        <v>108</v>
      </c>
      <c r="E45" s="13">
        <v>0</v>
      </c>
      <c r="F45" s="13">
        <f>ROUND(E45*C45,0)</f>
        <v>0</v>
      </c>
      <c r="G45" s="13">
        <v>485</v>
      </c>
      <c r="H45" s="13">
        <f>ROUND(G45*C45,0)</f>
        <v>569390</v>
      </c>
      <c r="I45" s="13">
        <v>1874</v>
      </c>
      <c r="J45" s="13">
        <f>ROUND(I45*C45,0)</f>
        <v>2200076</v>
      </c>
      <c r="K45" s="13">
        <f>E45+G45+I45</f>
        <v>2359</v>
      </c>
      <c r="L45" s="13">
        <f>F45+H45+J45</f>
        <v>2769466</v>
      </c>
      <c r="M45" s="11"/>
    </row>
    <row r="46" spans="1:13">
      <c r="A46" s="11" t="s">
        <v>157</v>
      </c>
      <c r="B46" s="11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spans="1:13">
      <c r="A47" s="11" t="s">
        <v>158</v>
      </c>
      <c r="B47" s="11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13">
      <c r="A48" s="11" t="s">
        <v>159</v>
      </c>
      <c r="B48" s="11"/>
      <c r="C48" s="13">
        <v>5363</v>
      </c>
      <c r="D48" s="15" t="s">
        <v>108</v>
      </c>
      <c r="E48" s="13">
        <v>0</v>
      </c>
      <c r="F48" s="13">
        <f>ROUND(E48*C48,0)</f>
        <v>0</v>
      </c>
      <c r="G48" s="13">
        <v>91</v>
      </c>
      <c r="H48" s="13">
        <f>ROUND(G48*C48,0)</f>
        <v>488033</v>
      </c>
      <c r="I48" s="13">
        <v>518</v>
      </c>
      <c r="J48" s="13">
        <f>ROUND(I48*C48,0)</f>
        <v>2778034</v>
      </c>
      <c r="K48" s="13">
        <f>E48+G48+I48</f>
        <v>609</v>
      </c>
      <c r="L48" s="13">
        <f>F48+H48+J48</f>
        <v>3266067</v>
      </c>
      <c r="M48" s="11"/>
    </row>
    <row r="49" spans="1:13">
      <c r="A49" s="11" t="s">
        <v>160</v>
      </c>
      <c r="B49" s="11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spans="1:13">
      <c r="A50" s="11" t="s">
        <v>161</v>
      </c>
      <c r="B50" s="11" t="s">
        <v>162</v>
      </c>
      <c r="C50" s="13">
        <v>10527</v>
      </c>
      <c r="D50" s="15" t="s">
        <v>108</v>
      </c>
      <c r="E50" s="13">
        <v>0</v>
      </c>
      <c r="F50" s="13">
        <f>ROUND(E50*C50,0)</f>
        <v>0</v>
      </c>
      <c r="G50" s="13">
        <v>81</v>
      </c>
      <c r="H50" s="13">
        <f>ROUND(G50*C50,0)</f>
        <v>852687</v>
      </c>
      <c r="I50" s="13">
        <v>992</v>
      </c>
      <c r="J50" s="13">
        <f>ROUND(I50*C50,0)</f>
        <v>10442784</v>
      </c>
      <c r="K50" s="13">
        <f>E50+G50+I50</f>
        <v>1073</v>
      </c>
      <c r="L50" s="13">
        <f>F50+H50+J50</f>
        <v>11295471</v>
      </c>
      <c r="M50" s="11"/>
    </row>
    <row r="51" spans="1:13">
      <c r="A51" s="11" t="s">
        <v>163</v>
      </c>
      <c r="B51" s="11" t="s">
        <v>164</v>
      </c>
      <c r="C51" s="13">
        <v>26</v>
      </c>
      <c r="D51" s="15" t="s">
        <v>108</v>
      </c>
      <c r="E51" s="13">
        <v>0</v>
      </c>
      <c r="F51" s="13">
        <f>ROUND(E51*C51,0)</f>
        <v>0</v>
      </c>
      <c r="G51" s="13">
        <v>81</v>
      </c>
      <c r="H51" s="13">
        <f>ROUND(G51*C51,0)</f>
        <v>2106</v>
      </c>
      <c r="I51" s="13">
        <v>992</v>
      </c>
      <c r="J51" s="13">
        <f>ROUND(I51*C51,0)</f>
        <v>25792</v>
      </c>
      <c r="K51" s="13">
        <f>E51+G51+I51</f>
        <v>1073</v>
      </c>
      <c r="L51" s="13">
        <f>F51+H51+J51</f>
        <v>27898</v>
      </c>
      <c r="M51" s="11"/>
    </row>
    <row r="52" spans="1:13">
      <c r="A52" s="11" t="s">
        <v>165</v>
      </c>
      <c r="B52" s="11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spans="1:13" ht="33">
      <c r="A53" s="11" t="s">
        <v>166</v>
      </c>
      <c r="B53" s="11" t="s">
        <v>167</v>
      </c>
      <c r="C53" s="13">
        <v>11327</v>
      </c>
      <c r="D53" s="15" t="s">
        <v>108</v>
      </c>
      <c r="E53" s="13">
        <v>0</v>
      </c>
      <c r="F53" s="13">
        <f>ROUND(E53*C53,0)</f>
        <v>0</v>
      </c>
      <c r="G53" s="13">
        <v>273</v>
      </c>
      <c r="H53" s="13">
        <f>ROUND(G53*C53,0)</f>
        <v>3092271</v>
      </c>
      <c r="I53" s="13">
        <v>3065</v>
      </c>
      <c r="J53" s="13">
        <f>ROUND(I53*C53,0)</f>
        <v>34717255</v>
      </c>
      <c r="K53" s="13">
        <f>E53+G53+I53</f>
        <v>3338</v>
      </c>
      <c r="L53" s="13">
        <f>F53+H53+J53</f>
        <v>37809526</v>
      </c>
      <c r="M53" s="11"/>
    </row>
    <row r="54" spans="1:13">
      <c r="A54" s="11" t="s">
        <v>168</v>
      </c>
      <c r="B54" s="11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spans="1:13" ht="33">
      <c r="A55" s="11" t="s">
        <v>169</v>
      </c>
      <c r="B55" s="11" t="s">
        <v>170</v>
      </c>
      <c r="C55" s="13">
        <v>1134</v>
      </c>
      <c r="D55" s="15" t="s">
        <v>108</v>
      </c>
      <c r="E55" s="13">
        <v>0</v>
      </c>
      <c r="F55" s="13">
        <f>ROUND(E55*C55,0)</f>
        <v>0</v>
      </c>
      <c r="G55" s="13">
        <v>471</v>
      </c>
      <c r="H55" s="13">
        <f>ROUND(G55*C55,0)</f>
        <v>534114</v>
      </c>
      <c r="I55" s="13">
        <v>3401</v>
      </c>
      <c r="J55" s="13">
        <f>ROUND(I55*C55,0)</f>
        <v>3856734</v>
      </c>
      <c r="K55" s="13">
        <f>E55+G55+I55</f>
        <v>3872</v>
      </c>
      <c r="L55" s="13">
        <f>F55+H55+J55</f>
        <v>4390848</v>
      </c>
      <c r="M55" s="11"/>
    </row>
    <row r="56" spans="1:13">
      <c r="A56" s="11" t="s">
        <v>171</v>
      </c>
      <c r="B56" s="11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 spans="1:13" ht="33">
      <c r="A57" s="11" t="s">
        <v>172</v>
      </c>
      <c r="B57" s="11" t="s">
        <v>173</v>
      </c>
      <c r="C57" s="13">
        <v>25804</v>
      </c>
      <c r="D57" s="15" t="s">
        <v>108</v>
      </c>
      <c r="E57" s="13">
        <v>0</v>
      </c>
      <c r="F57" s="13">
        <f>ROUND(E57*C57,0)</f>
        <v>0</v>
      </c>
      <c r="G57" s="13">
        <v>427</v>
      </c>
      <c r="H57" s="13">
        <f>ROUND(G57*C57,0)</f>
        <v>11018308</v>
      </c>
      <c r="I57" s="13">
        <v>3089</v>
      </c>
      <c r="J57" s="13">
        <f>ROUND(I57*C57,0)</f>
        <v>79708556</v>
      </c>
      <c r="K57" s="13">
        <f t="shared" ref="K57:L61" si="2">E57+G57+I57</f>
        <v>3516</v>
      </c>
      <c r="L57" s="13">
        <f t="shared" si="2"/>
        <v>90726864</v>
      </c>
      <c r="M57" s="11"/>
    </row>
    <row r="58" spans="1:13" ht="33">
      <c r="A58" s="11" t="s">
        <v>174</v>
      </c>
      <c r="B58" s="11" t="s">
        <v>175</v>
      </c>
      <c r="C58" s="13">
        <v>29499</v>
      </c>
      <c r="D58" s="15" t="s">
        <v>108</v>
      </c>
      <c r="E58" s="13">
        <v>0</v>
      </c>
      <c r="F58" s="13">
        <f>ROUND(E58*C58,0)</f>
        <v>0</v>
      </c>
      <c r="G58" s="13">
        <v>422</v>
      </c>
      <c r="H58" s="13">
        <f>ROUND(G58*C58,0)</f>
        <v>12448578</v>
      </c>
      <c r="I58" s="13">
        <v>3051</v>
      </c>
      <c r="J58" s="13">
        <f>ROUND(I58*C58,0)</f>
        <v>90001449</v>
      </c>
      <c r="K58" s="13">
        <f t="shared" si="2"/>
        <v>3473</v>
      </c>
      <c r="L58" s="13">
        <f t="shared" si="2"/>
        <v>102450027</v>
      </c>
      <c r="M58" s="11"/>
    </row>
    <row r="59" spans="1:13" ht="33">
      <c r="A59" s="11" t="s">
        <v>176</v>
      </c>
      <c r="B59" s="11" t="s">
        <v>177</v>
      </c>
      <c r="C59" s="13">
        <v>5142</v>
      </c>
      <c r="D59" s="15" t="s">
        <v>108</v>
      </c>
      <c r="E59" s="13">
        <v>0</v>
      </c>
      <c r="F59" s="13">
        <f>ROUND(E59*C59,0)</f>
        <v>0</v>
      </c>
      <c r="G59" s="13">
        <v>424</v>
      </c>
      <c r="H59" s="13">
        <f>ROUND(G59*C59,0)</f>
        <v>2180208</v>
      </c>
      <c r="I59" s="13">
        <v>3032</v>
      </c>
      <c r="J59" s="13">
        <f>ROUND(I59*C59,0)</f>
        <v>15590544</v>
      </c>
      <c r="K59" s="13">
        <f t="shared" si="2"/>
        <v>3456</v>
      </c>
      <c r="L59" s="13">
        <f t="shared" si="2"/>
        <v>17770752</v>
      </c>
      <c r="M59" s="11"/>
    </row>
    <row r="60" spans="1:13" ht="33">
      <c r="A60" s="11" t="s">
        <v>178</v>
      </c>
      <c r="B60" s="11" t="s">
        <v>179</v>
      </c>
      <c r="C60" s="13">
        <v>921</v>
      </c>
      <c r="D60" s="15" t="s">
        <v>108</v>
      </c>
      <c r="E60" s="13">
        <v>0</v>
      </c>
      <c r="F60" s="13">
        <f>ROUND(E60*C60,0)</f>
        <v>0</v>
      </c>
      <c r="G60" s="13">
        <v>586</v>
      </c>
      <c r="H60" s="13">
        <f>ROUND(G60*C60,0)</f>
        <v>539706</v>
      </c>
      <c r="I60" s="13">
        <v>4233</v>
      </c>
      <c r="J60" s="13">
        <f>ROUND(I60*C60,0)</f>
        <v>3898593</v>
      </c>
      <c r="K60" s="13">
        <f t="shared" si="2"/>
        <v>4819</v>
      </c>
      <c r="L60" s="13">
        <f t="shared" si="2"/>
        <v>4438299</v>
      </c>
      <c r="M60" s="11"/>
    </row>
    <row r="61" spans="1:13" ht="33">
      <c r="A61" s="11" t="s">
        <v>180</v>
      </c>
      <c r="B61" s="11" t="s">
        <v>181</v>
      </c>
      <c r="C61" s="13">
        <v>27</v>
      </c>
      <c r="D61" s="15" t="s">
        <v>108</v>
      </c>
      <c r="E61" s="13">
        <v>0</v>
      </c>
      <c r="F61" s="13">
        <f>ROUND(E61*C61,0)</f>
        <v>0</v>
      </c>
      <c r="G61" s="13">
        <v>586</v>
      </c>
      <c r="H61" s="13">
        <f>ROUND(G61*C61,0)</f>
        <v>15822</v>
      </c>
      <c r="I61" s="13">
        <v>4233</v>
      </c>
      <c r="J61" s="13">
        <f>ROUND(I61*C61,0)</f>
        <v>114291</v>
      </c>
      <c r="K61" s="13">
        <f t="shared" si="2"/>
        <v>4819</v>
      </c>
      <c r="L61" s="13">
        <f t="shared" si="2"/>
        <v>130113</v>
      </c>
      <c r="M61" s="11"/>
    </row>
    <row r="62" spans="1:13">
      <c r="A62" s="11" t="s">
        <v>182</v>
      </c>
      <c r="B62" s="11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 spans="1:13" ht="33">
      <c r="A63" s="11" t="s">
        <v>183</v>
      </c>
      <c r="B63" s="11" t="s">
        <v>184</v>
      </c>
      <c r="C63" s="13">
        <v>4653</v>
      </c>
      <c r="D63" s="15" t="s">
        <v>108</v>
      </c>
      <c r="E63" s="13">
        <v>0</v>
      </c>
      <c r="F63" s="13">
        <f>ROUND(E63*C63,0)</f>
        <v>0</v>
      </c>
      <c r="G63" s="13">
        <v>420</v>
      </c>
      <c r="H63" s="13">
        <f>ROUND(G63*C63,0)</f>
        <v>1954260</v>
      </c>
      <c r="I63" s="13">
        <v>3040</v>
      </c>
      <c r="J63" s="13">
        <f>ROUND(I63*C63,0)</f>
        <v>14145120</v>
      </c>
      <c r="K63" s="13">
        <f>E63+G63+I63</f>
        <v>3460</v>
      </c>
      <c r="L63" s="13">
        <f>F63+H63+J63</f>
        <v>16099380</v>
      </c>
      <c r="M63" s="11"/>
    </row>
    <row r="64" spans="1:13">
      <c r="A64" s="11" t="s">
        <v>185</v>
      </c>
      <c r="B64" s="11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 spans="1:13">
      <c r="A65" s="11" t="s">
        <v>186</v>
      </c>
      <c r="B65" s="11" t="s">
        <v>187</v>
      </c>
      <c r="C65" s="13">
        <v>10</v>
      </c>
      <c r="D65" s="15" t="s">
        <v>188</v>
      </c>
      <c r="E65" s="13">
        <v>10100</v>
      </c>
      <c r="F65" s="13">
        <f>ROUND(E65*C65,0)</f>
        <v>101000</v>
      </c>
      <c r="G65" s="13">
        <v>71104</v>
      </c>
      <c r="H65" s="13">
        <f>ROUND(G65*C65,0)</f>
        <v>711040</v>
      </c>
      <c r="I65" s="13">
        <v>0</v>
      </c>
      <c r="J65" s="13">
        <f>ROUND(I65*C65,0)</f>
        <v>0</v>
      </c>
      <c r="K65" s="13">
        <f>E65+G65+I65</f>
        <v>81204</v>
      </c>
      <c r="L65" s="13">
        <f>F65+H65+J65</f>
        <v>812040</v>
      </c>
      <c r="M65" s="11"/>
    </row>
    <row r="66" spans="1:13">
      <c r="A66" s="11" t="s">
        <v>189</v>
      </c>
      <c r="B66" s="11" t="s">
        <v>190</v>
      </c>
      <c r="C66" s="13">
        <v>26</v>
      </c>
      <c r="D66" s="15" t="s">
        <v>188</v>
      </c>
      <c r="E66" s="13">
        <v>32320</v>
      </c>
      <c r="F66" s="13">
        <f>ROUND(E66*C66,0)</f>
        <v>840320</v>
      </c>
      <c r="G66" s="13">
        <v>94435</v>
      </c>
      <c r="H66" s="13">
        <f>ROUND(G66*C66,0)</f>
        <v>2455310</v>
      </c>
      <c r="I66" s="13">
        <v>0</v>
      </c>
      <c r="J66" s="13">
        <f>ROUND(I66*C66,0)</f>
        <v>0</v>
      </c>
      <c r="K66" s="13">
        <f>E66+G66+I66</f>
        <v>126755</v>
      </c>
      <c r="L66" s="13">
        <f>F66+H66+J66</f>
        <v>3295630</v>
      </c>
      <c r="M66" s="11"/>
    </row>
    <row r="67" spans="1:13">
      <c r="A67" s="11" t="s">
        <v>191</v>
      </c>
      <c r="B67" s="11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spans="1:13">
      <c r="A68" s="11" t="s">
        <v>192</v>
      </c>
      <c r="B68" s="11" t="s">
        <v>193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spans="1:13">
      <c r="A69" s="11" t="s">
        <v>194</v>
      </c>
      <c r="B69" s="11"/>
      <c r="C69" s="13">
        <v>18</v>
      </c>
      <c r="D69" s="15" t="s">
        <v>195</v>
      </c>
      <c r="E69" s="13">
        <v>56560</v>
      </c>
      <c r="F69" s="13">
        <f>ROUND(E69*C69,0)</f>
        <v>1018080</v>
      </c>
      <c r="G69" s="13">
        <v>171700</v>
      </c>
      <c r="H69" s="13">
        <f>ROUND(G69*C69,0)</f>
        <v>3090600</v>
      </c>
      <c r="I69" s="13">
        <v>0</v>
      </c>
      <c r="J69" s="13">
        <f>ROUND(I69*C69,0)</f>
        <v>0</v>
      </c>
      <c r="K69" s="13">
        <f t="shared" ref="K69:L72" si="3">E69+G69+I69</f>
        <v>228260</v>
      </c>
      <c r="L69" s="13">
        <f t="shared" si="3"/>
        <v>4108680</v>
      </c>
      <c r="M69" s="11"/>
    </row>
    <row r="70" spans="1:13">
      <c r="A70" s="11" t="s">
        <v>196</v>
      </c>
      <c r="B70" s="11"/>
      <c r="C70" s="13">
        <v>9</v>
      </c>
      <c r="D70" s="15" t="s">
        <v>195</v>
      </c>
      <c r="E70" s="13">
        <v>56560</v>
      </c>
      <c r="F70" s="13">
        <f>ROUND(E70*C70,0)</f>
        <v>509040</v>
      </c>
      <c r="G70" s="13">
        <v>121200</v>
      </c>
      <c r="H70" s="13">
        <f>ROUND(G70*C70,0)</f>
        <v>1090800</v>
      </c>
      <c r="I70" s="13">
        <v>0</v>
      </c>
      <c r="J70" s="13">
        <f>ROUND(I70*C70,0)</f>
        <v>0</v>
      </c>
      <c r="K70" s="13">
        <f t="shared" si="3"/>
        <v>177760</v>
      </c>
      <c r="L70" s="13">
        <f t="shared" si="3"/>
        <v>1599840</v>
      </c>
      <c r="M70" s="11"/>
    </row>
    <row r="71" spans="1:13">
      <c r="A71" s="11" t="s">
        <v>197</v>
      </c>
      <c r="B71" s="11" t="s">
        <v>198</v>
      </c>
      <c r="C71" s="13">
        <v>386</v>
      </c>
      <c r="D71" s="15" t="s">
        <v>199</v>
      </c>
      <c r="E71" s="13">
        <v>8080</v>
      </c>
      <c r="F71" s="13">
        <f>ROUND(E71*C71,0)</f>
        <v>3118880</v>
      </c>
      <c r="G71" s="13">
        <v>8080</v>
      </c>
      <c r="H71" s="13">
        <f>ROUND(G71*C71,0)</f>
        <v>3118880</v>
      </c>
      <c r="I71" s="13">
        <v>0</v>
      </c>
      <c r="J71" s="13">
        <f>ROUND(I71*C71,0)</f>
        <v>0</v>
      </c>
      <c r="K71" s="13">
        <f t="shared" si="3"/>
        <v>16160</v>
      </c>
      <c r="L71" s="13">
        <f t="shared" si="3"/>
        <v>6237760</v>
      </c>
      <c r="M71" s="11"/>
    </row>
    <row r="72" spans="1:13">
      <c r="A72" s="11" t="s">
        <v>200</v>
      </c>
      <c r="B72" s="11" t="s">
        <v>201</v>
      </c>
      <c r="C72" s="13">
        <v>64</v>
      </c>
      <c r="D72" s="15" t="s">
        <v>202</v>
      </c>
      <c r="E72" s="13">
        <v>0</v>
      </c>
      <c r="F72" s="13">
        <f>ROUND(E72*C72,0)</f>
        <v>0</v>
      </c>
      <c r="G72" s="13">
        <v>16160</v>
      </c>
      <c r="H72" s="13">
        <f>ROUND(G72*C72,0)</f>
        <v>1034240</v>
      </c>
      <c r="I72" s="13">
        <v>0</v>
      </c>
      <c r="J72" s="13">
        <f>ROUND(I72*C72,0)</f>
        <v>0</v>
      </c>
      <c r="K72" s="13">
        <f t="shared" si="3"/>
        <v>16160</v>
      </c>
      <c r="L72" s="13">
        <f t="shared" si="3"/>
        <v>1034240</v>
      </c>
      <c r="M72" s="11"/>
    </row>
    <row r="73" spans="1:13">
      <c r="A73" s="11" t="s">
        <v>203</v>
      </c>
      <c r="B73" s="11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 spans="1:13">
      <c r="A74" s="11" t="s">
        <v>204</v>
      </c>
      <c r="B74" s="11" t="s">
        <v>205</v>
      </c>
      <c r="C74" s="13">
        <v>381</v>
      </c>
      <c r="D74" s="15" t="s">
        <v>199</v>
      </c>
      <c r="E74" s="13">
        <v>143622</v>
      </c>
      <c r="F74" s="13">
        <f>ROUND(E74*C74,0)</f>
        <v>54719982</v>
      </c>
      <c r="G74" s="13">
        <v>133320</v>
      </c>
      <c r="H74" s="13">
        <f>ROUND(G74*C74,0)</f>
        <v>50794920</v>
      </c>
      <c r="I74" s="13">
        <v>23151</v>
      </c>
      <c r="J74" s="13">
        <f>ROUND(I74*C74,0)</f>
        <v>8820531</v>
      </c>
      <c r="K74" s="13">
        <f t="shared" ref="K74:L76" si="4">E74+G74+I74</f>
        <v>300093</v>
      </c>
      <c r="L74" s="13">
        <f t="shared" si="4"/>
        <v>114335433</v>
      </c>
      <c r="M74" s="11"/>
    </row>
    <row r="75" spans="1:13">
      <c r="A75" s="11" t="s">
        <v>206</v>
      </c>
      <c r="B75" s="11" t="s">
        <v>207</v>
      </c>
      <c r="C75" s="13">
        <v>5</v>
      </c>
      <c r="D75" s="15" t="s">
        <v>199</v>
      </c>
      <c r="E75" s="13">
        <v>242400</v>
      </c>
      <c r="F75" s="13">
        <f>ROUND(E75*C75,0)</f>
        <v>1212000</v>
      </c>
      <c r="G75" s="13">
        <v>252500</v>
      </c>
      <c r="H75" s="13">
        <f>ROUND(G75*C75,0)</f>
        <v>1262500</v>
      </c>
      <c r="I75" s="13">
        <v>66147</v>
      </c>
      <c r="J75" s="13">
        <f>ROUND(I75*C75,0)</f>
        <v>330735</v>
      </c>
      <c r="K75" s="13">
        <f t="shared" si="4"/>
        <v>561047</v>
      </c>
      <c r="L75" s="13">
        <f t="shared" si="4"/>
        <v>2805235</v>
      </c>
      <c r="M75" s="11"/>
    </row>
    <row r="76" spans="1:13">
      <c r="A76" s="11" t="s">
        <v>208</v>
      </c>
      <c r="B76" s="11" t="s">
        <v>209</v>
      </c>
      <c r="C76" s="13">
        <v>386</v>
      </c>
      <c r="D76" s="15" t="s">
        <v>210</v>
      </c>
      <c r="E76" s="13">
        <v>8080</v>
      </c>
      <c r="F76" s="13">
        <f>ROUND(E76*C76,0)</f>
        <v>3118880</v>
      </c>
      <c r="G76" s="13">
        <v>20937</v>
      </c>
      <c r="H76" s="13">
        <f>ROUND(G76*C76,0)</f>
        <v>8081682</v>
      </c>
      <c r="I76" s="13">
        <v>0</v>
      </c>
      <c r="J76" s="13">
        <f>ROUND(I76*C76,0)</f>
        <v>0</v>
      </c>
      <c r="K76" s="13">
        <f t="shared" si="4"/>
        <v>29017</v>
      </c>
      <c r="L76" s="13">
        <f t="shared" si="4"/>
        <v>11200562</v>
      </c>
      <c r="M76" s="11"/>
    </row>
    <row r="77" spans="1:13">
      <c r="A77" s="11" t="s">
        <v>211</v>
      </c>
      <c r="B77" s="11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 spans="1:13">
      <c r="A78" s="11" t="s">
        <v>212</v>
      </c>
      <c r="B78" s="11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 spans="1:13">
      <c r="A79" s="11" t="s">
        <v>213</v>
      </c>
      <c r="B79" s="11" t="s">
        <v>214</v>
      </c>
      <c r="C79" s="13">
        <v>149</v>
      </c>
      <c r="D79" s="15" t="s">
        <v>108</v>
      </c>
      <c r="E79" s="13">
        <v>0</v>
      </c>
      <c r="F79" s="13">
        <f>ROUND(E79*C79,0)</f>
        <v>0</v>
      </c>
      <c r="G79" s="13">
        <v>8989</v>
      </c>
      <c r="H79" s="13">
        <f>ROUND(G79*C79,0)</f>
        <v>1339361</v>
      </c>
      <c r="I79" s="13">
        <v>32081</v>
      </c>
      <c r="J79" s="13">
        <f>ROUND(I79*C79,0)</f>
        <v>4780069</v>
      </c>
      <c r="K79" s="13">
        <f>E79+G79+I79</f>
        <v>41070</v>
      </c>
      <c r="L79" s="13">
        <f>F79+H79+J79</f>
        <v>6119430</v>
      </c>
      <c r="M79" s="11"/>
    </row>
    <row r="80" spans="1:13">
      <c r="A80" s="11" t="s">
        <v>215</v>
      </c>
      <c r="B80" s="11" t="s">
        <v>214</v>
      </c>
      <c r="C80" s="13">
        <v>132</v>
      </c>
      <c r="D80" s="15" t="s">
        <v>108</v>
      </c>
      <c r="E80" s="13">
        <v>0</v>
      </c>
      <c r="F80" s="13">
        <f>ROUND(E80*C80,0)</f>
        <v>0</v>
      </c>
      <c r="G80" s="13">
        <v>4747</v>
      </c>
      <c r="H80" s="13">
        <f>ROUND(G80*C80,0)</f>
        <v>626604</v>
      </c>
      <c r="I80" s="13">
        <v>25687</v>
      </c>
      <c r="J80" s="13">
        <f>ROUND(I80*C80,0)</f>
        <v>3390684</v>
      </c>
      <c r="K80" s="13">
        <f>E80+G80+I80</f>
        <v>30434</v>
      </c>
      <c r="L80" s="13">
        <f>F80+H80+J80</f>
        <v>4017288</v>
      </c>
      <c r="M80" s="11"/>
    </row>
    <row r="81" spans="1:13">
      <c r="A81" s="11" t="s">
        <v>216</v>
      </c>
      <c r="B81" s="11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 spans="1:13">
      <c r="A82" s="11" t="s">
        <v>217</v>
      </c>
      <c r="B82" s="11" t="s">
        <v>218</v>
      </c>
      <c r="C82" s="13">
        <v>281</v>
      </c>
      <c r="D82" s="15" t="s">
        <v>108</v>
      </c>
      <c r="E82" s="13">
        <v>0</v>
      </c>
      <c r="F82" s="13">
        <f>ROUND(E82*C82,0)</f>
        <v>0</v>
      </c>
      <c r="G82" s="13">
        <v>1010</v>
      </c>
      <c r="H82" s="13">
        <f>ROUND(G82*C82,0)</f>
        <v>283810</v>
      </c>
      <c r="I82" s="13">
        <v>2205</v>
      </c>
      <c r="J82" s="13">
        <f>ROUND(I82*C82,0)</f>
        <v>619605</v>
      </c>
      <c r="K82" s="13">
        <f>E82+G82+I82</f>
        <v>3215</v>
      </c>
      <c r="L82" s="13">
        <f>F82+H82+J82</f>
        <v>903415</v>
      </c>
      <c r="M82" s="11"/>
    </row>
    <row r="83" spans="1:13">
      <c r="A83" s="19" t="s">
        <v>219</v>
      </c>
      <c r="B83" s="20"/>
      <c r="C83" s="21"/>
      <c r="D83" s="21"/>
      <c r="E83" s="21"/>
      <c r="F83" s="22">
        <f>SUM(F87:F219)</f>
        <v>421229167</v>
      </c>
      <c r="G83" s="21"/>
      <c r="H83" s="22">
        <f>SUM(H87:H219)</f>
        <v>155167263</v>
      </c>
      <c r="I83" s="21"/>
      <c r="J83" s="22">
        <f>SUM(J87:J219)</f>
        <v>219029719</v>
      </c>
      <c r="K83" s="21"/>
      <c r="L83" s="22">
        <f>F83+H83+J83</f>
        <v>795426149</v>
      </c>
      <c r="M83" s="21"/>
    </row>
    <row r="84" spans="1:13">
      <c r="A84" s="11" t="s">
        <v>220</v>
      </c>
      <c r="B84" s="11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 spans="1:13">
      <c r="A85" s="11" t="s">
        <v>221</v>
      </c>
      <c r="B85" s="11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spans="1:13">
      <c r="A86" s="11" t="s">
        <v>159</v>
      </c>
      <c r="B86" s="11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 spans="1:13">
      <c r="A87" s="11" t="s">
        <v>222</v>
      </c>
      <c r="B87" s="11" t="s">
        <v>116</v>
      </c>
      <c r="C87" s="13">
        <v>13157</v>
      </c>
      <c r="D87" s="15" t="s">
        <v>108</v>
      </c>
      <c r="E87" s="13">
        <v>0</v>
      </c>
      <c r="F87" s="13">
        <f>ROUND(E87*C87,0)</f>
        <v>0</v>
      </c>
      <c r="G87" s="13">
        <v>0</v>
      </c>
      <c r="H87" s="13">
        <f>ROUND(G87*C87,0)</f>
        <v>0</v>
      </c>
      <c r="I87" s="13">
        <v>1764</v>
      </c>
      <c r="J87" s="13">
        <f>ROUND(I87*C87,0)</f>
        <v>23208948</v>
      </c>
      <c r="K87" s="13">
        <f t="shared" ref="K87:L89" si="5">E87+G87+I87</f>
        <v>1764</v>
      </c>
      <c r="L87" s="13">
        <f t="shared" si="5"/>
        <v>23208948</v>
      </c>
      <c r="M87" s="11"/>
    </row>
    <row r="88" spans="1:13" ht="33">
      <c r="A88" s="11" t="s">
        <v>223</v>
      </c>
      <c r="B88" s="11" t="s">
        <v>224</v>
      </c>
      <c r="C88" s="13">
        <v>1448</v>
      </c>
      <c r="D88" s="15" t="s">
        <v>108</v>
      </c>
      <c r="E88" s="13">
        <v>0</v>
      </c>
      <c r="F88" s="13">
        <f>ROUND(E88*C88,0)</f>
        <v>0</v>
      </c>
      <c r="G88" s="13">
        <v>3131</v>
      </c>
      <c r="H88" s="13">
        <f>ROUND(G88*C88,0)</f>
        <v>4533688</v>
      </c>
      <c r="I88" s="13">
        <v>4410</v>
      </c>
      <c r="J88" s="13">
        <f>ROUND(I88*C88,0)</f>
        <v>6385680</v>
      </c>
      <c r="K88" s="13">
        <f t="shared" si="5"/>
        <v>7541</v>
      </c>
      <c r="L88" s="13">
        <f t="shared" si="5"/>
        <v>10919368</v>
      </c>
      <c r="M88" s="11"/>
    </row>
    <row r="89" spans="1:13">
      <c r="A89" s="11" t="s">
        <v>225</v>
      </c>
      <c r="B89" s="11" t="s">
        <v>226</v>
      </c>
      <c r="C89" s="13">
        <v>0</v>
      </c>
      <c r="D89" s="15" t="s">
        <v>108</v>
      </c>
      <c r="E89" s="13">
        <v>0</v>
      </c>
      <c r="F89" s="13">
        <f>ROUND(E89*C89,0)</f>
        <v>0</v>
      </c>
      <c r="G89" s="13">
        <v>65650</v>
      </c>
      <c r="H89" s="13">
        <f>ROUND(G89*C89,0)</f>
        <v>0</v>
      </c>
      <c r="I89" s="13">
        <v>0</v>
      </c>
      <c r="J89" s="13">
        <f>ROUND(I89*C89,0)</f>
        <v>0</v>
      </c>
      <c r="K89" s="13">
        <f t="shared" si="5"/>
        <v>65650</v>
      </c>
      <c r="L89" s="13">
        <f t="shared" si="5"/>
        <v>0</v>
      </c>
      <c r="M89" s="11"/>
    </row>
    <row r="90" spans="1:13">
      <c r="A90" s="11" t="s">
        <v>227</v>
      </c>
      <c r="B90" s="11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 spans="1:13">
      <c r="A91" s="11" t="s">
        <v>228</v>
      </c>
      <c r="B91" s="11" t="s">
        <v>226</v>
      </c>
      <c r="C91" s="13">
        <v>202</v>
      </c>
      <c r="D91" s="15" t="s">
        <v>108</v>
      </c>
      <c r="E91" s="13">
        <v>0</v>
      </c>
      <c r="F91" s="13">
        <f>ROUND(E91*C91,0)</f>
        <v>0</v>
      </c>
      <c r="G91" s="13">
        <v>28603</v>
      </c>
      <c r="H91" s="13">
        <f>ROUND(G91*C91,0)</f>
        <v>5777806</v>
      </c>
      <c r="I91" s="13">
        <v>15655</v>
      </c>
      <c r="J91" s="13">
        <f>ROUND(I91*C91,0)</f>
        <v>3162310</v>
      </c>
      <c r="K91" s="13">
        <f t="shared" ref="K91:L93" si="6">E91+G91+I91</f>
        <v>44258</v>
      </c>
      <c r="L91" s="13">
        <f t="shared" si="6"/>
        <v>8940116</v>
      </c>
      <c r="M91" s="11"/>
    </row>
    <row r="92" spans="1:13" ht="33">
      <c r="A92" s="11" t="s">
        <v>229</v>
      </c>
      <c r="B92" s="11" t="s">
        <v>230</v>
      </c>
      <c r="C92" s="13">
        <v>6892</v>
      </c>
      <c r="D92" s="15" t="s">
        <v>108</v>
      </c>
      <c r="E92" s="13">
        <v>0</v>
      </c>
      <c r="F92" s="13">
        <f>ROUND(E92*C92,0)</f>
        <v>0</v>
      </c>
      <c r="G92" s="13">
        <v>2525</v>
      </c>
      <c r="H92" s="13">
        <f>ROUND(G92*C92,0)</f>
        <v>17402300</v>
      </c>
      <c r="I92" s="13">
        <v>4961</v>
      </c>
      <c r="J92" s="13">
        <f>ROUND(I92*C92,0)</f>
        <v>34191212</v>
      </c>
      <c r="K92" s="13">
        <f t="shared" si="6"/>
        <v>7486</v>
      </c>
      <c r="L92" s="13">
        <f t="shared" si="6"/>
        <v>51593512</v>
      </c>
      <c r="M92" s="11"/>
    </row>
    <row r="93" spans="1:13" ht="33">
      <c r="A93" s="11" t="s">
        <v>231</v>
      </c>
      <c r="B93" s="11" t="s">
        <v>232</v>
      </c>
      <c r="C93" s="13">
        <v>6048</v>
      </c>
      <c r="D93" s="15" t="s">
        <v>108</v>
      </c>
      <c r="E93" s="13">
        <v>0</v>
      </c>
      <c r="F93" s="13">
        <f>ROUND(E93*C93,0)</f>
        <v>0</v>
      </c>
      <c r="G93" s="13">
        <v>2525</v>
      </c>
      <c r="H93" s="13">
        <f>ROUND(G93*C93,0)</f>
        <v>15271200</v>
      </c>
      <c r="I93" s="13">
        <v>4961</v>
      </c>
      <c r="J93" s="13">
        <f>ROUND(I93*C93,0)</f>
        <v>30004128</v>
      </c>
      <c r="K93" s="13">
        <f t="shared" si="6"/>
        <v>7486</v>
      </c>
      <c r="L93" s="13">
        <f t="shared" si="6"/>
        <v>45275328</v>
      </c>
      <c r="M93" s="11"/>
    </row>
    <row r="94" spans="1:13">
      <c r="A94" s="11" t="s">
        <v>233</v>
      </c>
      <c r="B94" s="11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>
      <c r="A95" s="11" t="s">
        <v>234</v>
      </c>
      <c r="B95" s="11" t="s">
        <v>235</v>
      </c>
      <c r="C95" s="13">
        <v>1462</v>
      </c>
      <c r="D95" s="15" t="s">
        <v>108</v>
      </c>
      <c r="E95" s="13">
        <v>0</v>
      </c>
      <c r="F95" s="13">
        <f>ROUND(E95*C95,0)</f>
        <v>0</v>
      </c>
      <c r="G95" s="13">
        <v>0</v>
      </c>
      <c r="H95" s="13">
        <f>ROUND(G95*C95,0)</f>
        <v>0</v>
      </c>
      <c r="I95" s="13">
        <v>11024</v>
      </c>
      <c r="J95" s="13">
        <f>ROUND(I95*C95,0)</f>
        <v>16117088</v>
      </c>
      <c r="K95" s="13">
        <f>E95+G95+I95</f>
        <v>11024</v>
      </c>
      <c r="L95" s="13">
        <f>F95+H95+J95</f>
        <v>16117088</v>
      </c>
      <c r="M95" s="11"/>
    </row>
    <row r="96" spans="1:13">
      <c r="A96" s="11" t="s">
        <v>236</v>
      </c>
      <c r="B96" s="11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 spans="1:13">
      <c r="A97" s="11" t="s">
        <v>237</v>
      </c>
      <c r="B97" s="11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 spans="1:13" ht="33">
      <c r="A98" s="11" t="s">
        <v>238</v>
      </c>
      <c r="B98" s="11" t="s">
        <v>239</v>
      </c>
      <c r="C98" s="13">
        <v>276</v>
      </c>
      <c r="D98" s="15" t="s">
        <v>240</v>
      </c>
      <c r="E98" s="13">
        <v>0</v>
      </c>
      <c r="F98" s="13">
        <f t="shared" ref="F98:F104" si="7">ROUND(E98*C98,0)</f>
        <v>0</v>
      </c>
      <c r="G98" s="13">
        <v>31512</v>
      </c>
      <c r="H98" s="13">
        <f t="shared" ref="H98:H104" si="8">ROUND(G98*C98,0)</f>
        <v>8697312</v>
      </c>
      <c r="I98" s="13">
        <v>38034</v>
      </c>
      <c r="J98" s="13">
        <f t="shared" ref="J98:J104" si="9">ROUND(I98*C98,0)</f>
        <v>10497384</v>
      </c>
      <c r="K98" s="13">
        <f t="shared" ref="K98:L104" si="10">E98+G98+I98</f>
        <v>69546</v>
      </c>
      <c r="L98" s="13">
        <f t="shared" si="10"/>
        <v>19194696</v>
      </c>
      <c r="M98" s="11"/>
    </row>
    <row r="99" spans="1:13" ht="33">
      <c r="A99" s="11" t="s">
        <v>241</v>
      </c>
      <c r="B99" s="11" t="s">
        <v>242</v>
      </c>
      <c r="C99" s="13">
        <v>552</v>
      </c>
      <c r="D99" s="15" t="s">
        <v>240</v>
      </c>
      <c r="E99" s="13">
        <v>0</v>
      </c>
      <c r="F99" s="13">
        <f t="shared" si="7"/>
        <v>0</v>
      </c>
      <c r="G99" s="13">
        <v>34057</v>
      </c>
      <c r="H99" s="13">
        <f t="shared" si="8"/>
        <v>18799464</v>
      </c>
      <c r="I99" s="13">
        <v>39269</v>
      </c>
      <c r="J99" s="13">
        <f t="shared" si="9"/>
        <v>21676488</v>
      </c>
      <c r="K99" s="13">
        <f t="shared" si="10"/>
        <v>73326</v>
      </c>
      <c r="L99" s="13">
        <f t="shared" si="10"/>
        <v>40475952</v>
      </c>
      <c r="M99" s="11"/>
    </row>
    <row r="100" spans="1:13" ht="33">
      <c r="A100" s="11" t="s">
        <v>243</v>
      </c>
      <c r="B100" s="11" t="s">
        <v>244</v>
      </c>
      <c r="C100" s="13">
        <v>96</v>
      </c>
      <c r="D100" s="15" t="s">
        <v>240</v>
      </c>
      <c r="E100" s="13">
        <v>0</v>
      </c>
      <c r="F100" s="13">
        <f t="shared" si="7"/>
        <v>0</v>
      </c>
      <c r="G100" s="13">
        <v>37774</v>
      </c>
      <c r="H100" s="13">
        <f t="shared" si="8"/>
        <v>3626304</v>
      </c>
      <c r="I100" s="13">
        <v>41849</v>
      </c>
      <c r="J100" s="13">
        <f t="shared" si="9"/>
        <v>4017504</v>
      </c>
      <c r="K100" s="13">
        <f t="shared" si="10"/>
        <v>79623</v>
      </c>
      <c r="L100" s="13">
        <f t="shared" si="10"/>
        <v>7643808</v>
      </c>
      <c r="M100" s="11"/>
    </row>
    <row r="101" spans="1:13" ht="33">
      <c r="A101" s="11" t="s">
        <v>245</v>
      </c>
      <c r="B101" s="11" t="s">
        <v>246</v>
      </c>
      <c r="C101" s="13">
        <v>263</v>
      </c>
      <c r="D101" s="15" t="s">
        <v>240</v>
      </c>
      <c r="E101" s="13">
        <v>0</v>
      </c>
      <c r="F101" s="13">
        <f t="shared" si="7"/>
        <v>0</v>
      </c>
      <c r="G101" s="13">
        <v>39895</v>
      </c>
      <c r="H101" s="13">
        <f t="shared" si="8"/>
        <v>10492385</v>
      </c>
      <c r="I101" s="13">
        <v>43271</v>
      </c>
      <c r="J101" s="13">
        <f t="shared" si="9"/>
        <v>11380273</v>
      </c>
      <c r="K101" s="13">
        <f t="shared" si="10"/>
        <v>83166</v>
      </c>
      <c r="L101" s="13">
        <f t="shared" si="10"/>
        <v>21872658</v>
      </c>
      <c r="M101" s="11"/>
    </row>
    <row r="102" spans="1:13" ht="33">
      <c r="A102" s="11" t="s">
        <v>247</v>
      </c>
      <c r="B102" s="11" t="s">
        <v>248</v>
      </c>
      <c r="C102" s="13">
        <v>17</v>
      </c>
      <c r="D102" s="15" t="s">
        <v>240</v>
      </c>
      <c r="E102" s="13">
        <v>0</v>
      </c>
      <c r="F102" s="13">
        <f t="shared" si="7"/>
        <v>0</v>
      </c>
      <c r="G102" s="13">
        <v>41410</v>
      </c>
      <c r="H102" s="13">
        <f t="shared" si="8"/>
        <v>703970</v>
      </c>
      <c r="I102" s="13">
        <v>45421</v>
      </c>
      <c r="J102" s="13">
        <f t="shared" si="9"/>
        <v>772157</v>
      </c>
      <c r="K102" s="13">
        <f t="shared" si="10"/>
        <v>86831</v>
      </c>
      <c r="L102" s="13">
        <f t="shared" si="10"/>
        <v>1476127</v>
      </c>
      <c r="M102" s="11"/>
    </row>
    <row r="103" spans="1:13" ht="33">
      <c r="A103" s="11" t="s">
        <v>249</v>
      </c>
      <c r="B103" s="11" t="s">
        <v>250</v>
      </c>
      <c r="C103" s="13">
        <v>83</v>
      </c>
      <c r="D103" s="15" t="s">
        <v>240</v>
      </c>
      <c r="E103" s="13">
        <v>0</v>
      </c>
      <c r="F103" s="13">
        <f t="shared" si="7"/>
        <v>0</v>
      </c>
      <c r="G103" s="13">
        <v>48985</v>
      </c>
      <c r="H103" s="13">
        <f t="shared" si="8"/>
        <v>4065755</v>
      </c>
      <c r="I103" s="13">
        <v>49225</v>
      </c>
      <c r="J103" s="13">
        <f t="shared" si="9"/>
        <v>4085675</v>
      </c>
      <c r="K103" s="13">
        <f t="shared" si="10"/>
        <v>98210</v>
      </c>
      <c r="L103" s="13">
        <f t="shared" si="10"/>
        <v>8151430</v>
      </c>
      <c r="M103" s="11"/>
    </row>
    <row r="104" spans="1:13" ht="33">
      <c r="A104" s="11" t="s">
        <v>251</v>
      </c>
      <c r="B104" s="11" t="s">
        <v>252</v>
      </c>
      <c r="C104" s="13">
        <v>16</v>
      </c>
      <c r="D104" s="15" t="s">
        <v>240</v>
      </c>
      <c r="E104" s="13">
        <v>0</v>
      </c>
      <c r="F104" s="13">
        <f t="shared" si="7"/>
        <v>0</v>
      </c>
      <c r="G104" s="13">
        <v>51207</v>
      </c>
      <c r="H104" s="13">
        <f t="shared" si="8"/>
        <v>819312</v>
      </c>
      <c r="I104" s="13">
        <v>53490</v>
      </c>
      <c r="J104" s="13">
        <f t="shared" si="9"/>
        <v>855840</v>
      </c>
      <c r="K104" s="13">
        <f t="shared" si="10"/>
        <v>104697</v>
      </c>
      <c r="L104" s="13">
        <f t="shared" si="10"/>
        <v>1675152</v>
      </c>
      <c r="M104" s="11"/>
    </row>
    <row r="105" spans="1:13">
      <c r="A105" s="11" t="s">
        <v>253</v>
      </c>
      <c r="B105" s="11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 spans="1:13">
      <c r="A106" s="11" t="s">
        <v>254</v>
      </c>
      <c r="B106" s="11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13">
      <c r="A107" s="11" t="s">
        <v>255</v>
      </c>
      <c r="B107" s="11" t="s">
        <v>256</v>
      </c>
      <c r="C107" s="13">
        <v>272</v>
      </c>
      <c r="D107" s="15" t="s">
        <v>108</v>
      </c>
      <c r="E107" s="13">
        <v>0</v>
      </c>
      <c r="F107" s="13">
        <f>ROUND(E107*C107,0)</f>
        <v>0</v>
      </c>
      <c r="G107" s="13">
        <v>11110</v>
      </c>
      <c r="H107" s="13">
        <f>ROUND(G107*C107,0)</f>
        <v>3021920</v>
      </c>
      <c r="I107" s="13">
        <v>19844</v>
      </c>
      <c r="J107" s="13">
        <f>ROUND(I107*C107,0)</f>
        <v>5397568</v>
      </c>
      <c r="K107" s="13">
        <f>E107+G107+I107</f>
        <v>30954</v>
      </c>
      <c r="L107" s="13">
        <f>F107+H107+J107</f>
        <v>8419488</v>
      </c>
      <c r="M107" s="11"/>
    </row>
    <row r="108" spans="1:13">
      <c r="A108" s="11" t="s">
        <v>257</v>
      </c>
      <c r="B108" s="11" t="s">
        <v>258</v>
      </c>
      <c r="C108" s="13">
        <v>725</v>
      </c>
      <c r="D108" s="15" t="s">
        <v>102</v>
      </c>
      <c r="E108" s="13">
        <v>7575</v>
      </c>
      <c r="F108" s="13">
        <f>ROUND(E108*C108,0)</f>
        <v>5491875</v>
      </c>
      <c r="G108" s="13">
        <v>20200</v>
      </c>
      <c r="H108" s="13">
        <f>ROUND(G108*C108,0)</f>
        <v>14645000</v>
      </c>
      <c r="I108" s="13">
        <v>3859</v>
      </c>
      <c r="J108" s="13">
        <f>ROUND(I108*C108,0)</f>
        <v>2797775</v>
      </c>
      <c r="K108" s="13">
        <f>E108+G108+I108</f>
        <v>31634</v>
      </c>
      <c r="L108" s="13">
        <f>F108+H108+J108</f>
        <v>22934650</v>
      </c>
      <c r="M108" s="11"/>
    </row>
    <row r="109" spans="1:13">
      <c r="A109" s="11" t="s">
        <v>259</v>
      </c>
      <c r="B109" s="11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 spans="1:13">
      <c r="A110" s="11" t="s">
        <v>260</v>
      </c>
      <c r="B110" s="11" t="s">
        <v>261</v>
      </c>
      <c r="C110" s="13">
        <v>25</v>
      </c>
      <c r="D110" s="15" t="s">
        <v>210</v>
      </c>
      <c r="E110" s="13">
        <v>0</v>
      </c>
      <c r="F110" s="13">
        <f>ROUND(E110*C110,0)</f>
        <v>0</v>
      </c>
      <c r="G110" s="13">
        <v>60600</v>
      </c>
      <c r="H110" s="13">
        <f>ROUND(G110*C110,0)</f>
        <v>1515000</v>
      </c>
      <c r="I110" s="13">
        <v>19844</v>
      </c>
      <c r="J110" s="13">
        <f>ROUND(I110*C110,0)</f>
        <v>496100</v>
      </c>
      <c r="K110" s="13">
        <f t="shared" ref="K110:L113" si="11">E110+G110+I110</f>
        <v>80444</v>
      </c>
      <c r="L110" s="13">
        <f t="shared" si="11"/>
        <v>2011100</v>
      </c>
      <c r="M110" s="11"/>
    </row>
    <row r="111" spans="1:13">
      <c r="A111" s="11" t="s">
        <v>262</v>
      </c>
      <c r="B111" s="11" t="s">
        <v>263</v>
      </c>
      <c r="C111" s="13">
        <v>9</v>
      </c>
      <c r="D111" s="15" t="s">
        <v>210</v>
      </c>
      <c r="E111" s="13">
        <v>0</v>
      </c>
      <c r="F111" s="13">
        <f>ROUND(E111*C111,0)</f>
        <v>0</v>
      </c>
      <c r="G111" s="13">
        <v>60600</v>
      </c>
      <c r="H111" s="13">
        <f>ROUND(G111*C111,0)</f>
        <v>545400</v>
      </c>
      <c r="I111" s="13">
        <v>19844</v>
      </c>
      <c r="J111" s="13">
        <f>ROUND(I111*C111,0)</f>
        <v>178596</v>
      </c>
      <c r="K111" s="13">
        <f t="shared" si="11"/>
        <v>80444</v>
      </c>
      <c r="L111" s="13">
        <f t="shared" si="11"/>
        <v>723996</v>
      </c>
      <c r="M111" s="11"/>
    </row>
    <row r="112" spans="1:13">
      <c r="A112" s="11" t="s">
        <v>264</v>
      </c>
      <c r="B112" s="11" t="s">
        <v>265</v>
      </c>
      <c r="C112" s="13">
        <v>18</v>
      </c>
      <c r="D112" s="15" t="s">
        <v>210</v>
      </c>
      <c r="E112" s="13">
        <v>0</v>
      </c>
      <c r="F112" s="13">
        <f>ROUND(E112*C112,0)</f>
        <v>0</v>
      </c>
      <c r="G112" s="13">
        <v>60600</v>
      </c>
      <c r="H112" s="13">
        <f>ROUND(G112*C112,0)</f>
        <v>1090800</v>
      </c>
      <c r="I112" s="13">
        <v>19844</v>
      </c>
      <c r="J112" s="13">
        <f>ROUND(I112*C112,0)</f>
        <v>357192</v>
      </c>
      <c r="K112" s="13">
        <f t="shared" si="11"/>
        <v>80444</v>
      </c>
      <c r="L112" s="13">
        <f t="shared" si="11"/>
        <v>1447992</v>
      </c>
      <c r="M112" s="11"/>
    </row>
    <row r="113" spans="1:13">
      <c r="A113" s="11" t="s">
        <v>266</v>
      </c>
      <c r="B113" s="11" t="s">
        <v>267</v>
      </c>
      <c r="C113" s="13">
        <v>2</v>
      </c>
      <c r="D113" s="15" t="s">
        <v>210</v>
      </c>
      <c r="E113" s="13">
        <v>0</v>
      </c>
      <c r="F113" s="13">
        <f>ROUND(E113*C113,0)</f>
        <v>0</v>
      </c>
      <c r="G113" s="13">
        <v>60600</v>
      </c>
      <c r="H113" s="13">
        <f>ROUND(G113*C113,0)</f>
        <v>121200</v>
      </c>
      <c r="I113" s="13">
        <v>19844</v>
      </c>
      <c r="J113" s="13">
        <f>ROUND(I113*C113,0)</f>
        <v>39688</v>
      </c>
      <c r="K113" s="13">
        <f t="shared" si="11"/>
        <v>80444</v>
      </c>
      <c r="L113" s="13">
        <f t="shared" si="11"/>
        <v>160888</v>
      </c>
      <c r="M113" s="11"/>
    </row>
    <row r="114" spans="1:13">
      <c r="A114" s="11" t="s">
        <v>268</v>
      </c>
      <c r="B114" s="11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 spans="1:13">
      <c r="A115" s="11" t="s">
        <v>269</v>
      </c>
      <c r="B115" s="11" t="s">
        <v>270</v>
      </c>
      <c r="C115" s="13">
        <v>86</v>
      </c>
      <c r="D115" s="15" t="s">
        <v>210</v>
      </c>
      <c r="E115" s="13">
        <v>0</v>
      </c>
      <c r="F115" s="13">
        <f t="shared" ref="F115:F121" si="12">ROUND(E115*C115,0)</f>
        <v>0</v>
      </c>
      <c r="G115" s="13">
        <v>64590</v>
      </c>
      <c r="H115" s="13">
        <f t="shared" ref="H115:H121" si="13">ROUND(G115*C115,0)</f>
        <v>5554740</v>
      </c>
      <c r="I115" s="13">
        <v>21167</v>
      </c>
      <c r="J115" s="13">
        <f t="shared" ref="J115:J121" si="14">ROUND(I115*C115,0)</f>
        <v>1820362</v>
      </c>
      <c r="K115" s="13">
        <f t="shared" ref="K115:L121" si="15">E115+G115+I115</f>
        <v>85757</v>
      </c>
      <c r="L115" s="13">
        <f t="shared" si="15"/>
        <v>7375102</v>
      </c>
      <c r="M115" s="11"/>
    </row>
    <row r="116" spans="1:13">
      <c r="A116" s="11" t="s">
        <v>271</v>
      </c>
      <c r="B116" s="11" t="s">
        <v>272</v>
      </c>
      <c r="C116" s="13">
        <v>32</v>
      </c>
      <c r="D116" s="15" t="s">
        <v>210</v>
      </c>
      <c r="E116" s="13">
        <v>0</v>
      </c>
      <c r="F116" s="13">
        <f t="shared" si="12"/>
        <v>0</v>
      </c>
      <c r="G116" s="13">
        <v>64590</v>
      </c>
      <c r="H116" s="13">
        <f t="shared" si="13"/>
        <v>2066880</v>
      </c>
      <c r="I116" s="13">
        <v>21167</v>
      </c>
      <c r="J116" s="13">
        <f t="shared" si="14"/>
        <v>677344</v>
      </c>
      <c r="K116" s="13">
        <f t="shared" si="15"/>
        <v>85757</v>
      </c>
      <c r="L116" s="13">
        <f t="shared" si="15"/>
        <v>2744224</v>
      </c>
      <c r="M116" s="11"/>
    </row>
    <row r="117" spans="1:13">
      <c r="A117" s="11" t="s">
        <v>273</v>
      </c>
      <c r="B117" s="11" t="s">
        <v>274</v>
      </c>
      <c r="C117" s="13">
        <v>4</v>
      </c>
      <c r="D117" s="15" t="s">
        <v>210</v>
      </c>
      <c r="E117" s="13">
        <v>0</v>
      </c>
      <c r="F117" s="13">
        <f t="shared" si="12"/>
        <v>0</v>
      </c>
      <c r="G117" s="13">
        <v>64590</v>
      </c>
      <c r="H117" s="13">
        <f t="shared" si="13"/>
        <v>258360</v>
      </c>
      <c r="I117" s="13">
        <v>21167</v>
      </c>
      <c r="J117" s="13">
        <f t="shared" si="14"/>
        <v>84668</v>
      </c>
      <c r="K117" s="13">
        <f t="shared" si="15"/>
        <v>85757</v>
      </c>
      <c r="L117" s="13">
        <f t="shared" si="15"/>
        <v>343028</v>
      </c>
      <c r="M117" s="11"/>
    </row>
    <row r="118" spans="1:13">
      <c r="A118" s="11" t="s">
        <v>275</v>
      </c>
      <c r="B118" s="11" t="s">
        <v>276</v>
      </c>
      <c r="C118" s="13">
        <v>11</v>
      </c>
      <c r="D118" s="15" t="s">
        <v>210</v>
      </c>
      <c r="E118" s="13">
        <v>0</v>
      </c>
      <c r="F118" s="13">
        <f t="shared" si="12"/>
        <v>0</v>
      </c>
      <c r="G118" s="13">
        <v>64590</v>
      </c>
      <c r="H118" s="13">
        <f t="shared" si="13"/>
        <v>710490</v>
      </c>
      <c r="I118" s="13">
        <v>21167</v>
      </c>
      <c r="J118" s="13">
        <f t="shared" si="14"/>
        <v>232837</v>
      </c>
      <c r="K118" s="13">
        <f t="shared" si="15"/>
        <v>85757</v>
      </c>
      <c r="L118" s="13">
        <f t="shared" si="15"/>
        <v>943327</v>
      </c>
      <c r="M118" s="11"/>
    </row>
    <row r="119" spans="1:13">
      <c r="A119" s="11" t="s">
        <v>277</v>
      </c>
      <c r="B119" s="11" t="s">
        <v>278</v>
      </c>
      <c r="C119" s="13">
        <v>1</v>
      </c>
      <c r="D119" s="15" t="s">
        <v>210</v>
      </c>
      <c r="E119" s="13">
        <v>0</v>
      </c>
      <c r="F119" s="13">
        <f t="shared" si="12"/>
        <v>0</v>
      </c>
      <c r="G119" s="13">
        <v>64590</v>
      </c>
      <c r="H119" s="13">
        <f t="shared" si="13"/>
        <v>64590</v>
      </c>
      <c r="I119" s="13">
        <v>21167</v>
      </c>
      <c r="J119" s="13">
        <f t="shared" si="14"/>
        <v>21167</v>
      </c>
      <c r="K119" s="13">
        <f t="shared" si="15"/>
        <v>85757</v>
      </c>
      <c r="L119" s="13">
        <f t="shared" si="15"/>
        <v>85757</v>
      </c>
      <c r="M119" s="11"/>
    </row>
    <row r="120" spans="1:13">
      <c r="A120" s="11" t="s">
        <v>279</v>
      </c>
      <c r="B120" s="11" t="s">
        <v>280</v>
      </c>
      <c r="C120" s="13">
        <v>3</v>
      </c>
      <c r="D120" s="15" t="s">
        <v>210</v>
      </c>
      <c r="E120" s="13">
        <v>0</v>
      </c>
      <c r="F120" s="13">
        <f t="shared" si="12"/>
        <v>0</v>
      </c>
      <c r="G120" s="13">
        <v>64590</v>
      </c>
      <c r="H120" s="13">
        <f t="shared" si="13"/>
        <v>193770</v>
      </c>
      <c r="I120" s="13">
        <v>21167</v>
      </c>
      <c r="J120" s="13">
        <f t="shared" si="14"/>
        <v>63501</v>
      </c>
      <c r="K120" s="13">
        <f t="shared" si="15"/>
        <v>85757</v>
      </c>
      <c r="L120" s="13">
        <f t="shared" si="15"/>
        <v>257271</v>
      </c>
      <c r="M120" s="11"/>
    </row>
    <row r="121" spans="1:13">
      <c r="A121" s="11" t="s">
        <v>281</v>
      </c>
      <c r="B121" s="11" t="s">
        <v>282</v>
      </c>
      <c r="C121" s="13">
        <v>3</v>
      </c>
      <c r="D121" s="15" t="s">
        <v>210</v>
      </c>
      <c r="E121" s="13">
        <v>0</v>
      </c>
      <c r="F121" s="13">
        <f t="shared" si="12"/>
        <v>0</v>
      </c>
      <c r="G121" s="13">
        <v>64590</v>
      </c>
      <c r="H121" s="13">
        <f t="shared" si="13"/>
        <v>193770</v>
      </c>
      <c r="I121" s="13">
        <v>21167</v>
      </c>
      <c r="J121" s="13">
        <f t="shared" si="14"/>
        <v>63501</v>
      </c>
      <c r="K121" s="13">
        <f t="shared" si="15"/>
        <v>85757</v>
      </c>
      <c r="L121" s="13">
        <f t="shared" si="15"/>
        <v>257271</v>
      </c>
      <c r="M121" s="11"/>
    </row>
    <row r="122" spans="1:13">
      <c r="A122" s="11" t="s">
        <v>283</v>
      </c>
      <c r="B122" s="11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</row>
    <row r="123" spans="1:13">
      <c r="A123" s="11" t="s">
        <v>284</v>
      </c>
      <c r="B123" s="11" t="s">
        <v>285</v>
      </c>
      <c r="C123" s="13">
        <v>928</v>
      </c>
      <c r="D123" s="15" t="s">
        <v>240</v>
      </c>
      <c r="E123" s="13">
        <v>0</v>
      </c>
      <c r="F123" s="13">
        <f>ROUND(E123*C123,0)</f>
        <v>0</v>
      </c>
      <c r="G123" s="13">
        <v>0</v>
      </c>
      <c r="H123" s="13">
        <f>ROUND(G123*C123,0)</f>
        <v>0</v>
      </c>
      <c r="I123" s="13">
        <v>3859</v>
      </c>
      <c r="J123" s="13">
        <f>ROUND(I123*C123,0)</f>
        <v>3581152</v>
      </c>
      <c r="K123" s="13">
        <f t="shared" ref="K123:L125" si="16">E123+G123+I123</f>
        <v>3859</v>
      </c>
      <c r="L123" s="13">
        <f t="shared" si="16"/>
        <v>3581152</v>
      </c>
      <c r="M123" s="11"/>
    </row>
    <row r="124" spans="1:13">
      <c r="A124" s="11" t="s">
        <v>286</v>
      </c>
      <c r="B124" s="11" t="s">
        <v>287</v>
      </c>
      <c r="C124" s="13">
        <v>1539</v>
      </c>
      <c r="D124" s="15" t="s">
        <v>240</v>
      </c>
      <c r="E124" s="13">
        <v>505</v>
      </c>
      <c r="F124" s="13">
        <f>ROUND(E124*C124,0)</f>
        <v>777195</v>
      </c>
      <c r="G124" s="13">
        <v>505</v>
      </c>
      <c r="H124" s="13">
        <f>ROUND(G124*C124,0)</f>
        <v>777195</v>
      </c>
      <c r="I124" s="13">
        <v>0</v>
      </c>
      <c r="J124" s="13">
        <f>ROUND(I124*C124,0)</f>
        <v>0</v>
      </c>
      <c r="K124" s="13">
        <f t="shared" si="16"/>
        <v>1010</v>
      </c>
      <c r="L124" s="13">
        <f t="shared" si="16"/>
        <v>1554390</v>
      </c>
      <c r="M124" s="11"/>
    </row>
    <row r="125" spans="1:13">
      <c r="A125" s="11" t="s">
        <v>288</v>
      </c>
      <c r="B125" s="11" t="s">
        <v>289</v>
      </c>
      <c r="C125" s="13">
        <v>26</v>
      </c>
      <c r="D125" s="15" t="s">
        <v>108</v>
      </c>
      <c r="E125" s="13">
        <v>0</v>
      </c>
      <c r="F125" s="13">
        <f>ROUND(E125*C125,0)</f>
        <v>0</v>
      </c>
      <c r="G125" s="13">
        <v>0</v>
      </c>
      <c r="H125" s="13">
        <f>ROUND(G125*C125,0)</f>
        <v>0</v>
      </c>
      <c r="I125" s="13">
        <v>76322</v>
      </c>
      <c r="J125" s="13">
        <f>ROUND(I125*C125,0)</f>
        <v>1984372</v>
      </c>
      <c r="K125" s="13">
        <f t="shared" si="16"/>
        <v>76322</v>
      </c>
      <c r="L125" s="13">
        <f t="shared" si="16"/>
        <v>1984372</v>
      </c>
      <c r="M125" s="11"/>
    </row>
    <row r="126" spans="1:13">
      <c r="A126" s="11" t="s">
        <v>290</v>
      </c>
      <c r="B126" s="11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</row>
    <row r="127" spans="1:13">
      <c r="A127" s="11" t="s">
        <v>291</v>
      </c>
      <c r="B127" s="11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</row>
    <row r="128" spans="1:13">
      <c r="A128" s="11" t="s">
        <v>292</v>
      </c>
      <c r="B128" s="11" t="s">
        <v>293</v>
      </c>
      <c r="C128" s="13">
        <v>8</v>
      </c>
      <c r="D128" s="15" t="s">
        <v>210</v>
      </c>
      <c r="E128" s="13">
        <v>747400</v>
      </c>
      <c r="F128" s="13">
        <f>ROUND(E128*C128,0)</f>
        <v>5979200</v>
      </c>
      <c r="G128" s="13">
        <v>209575</v>
      </c>
      <c r="H128" s="13">
        <f>ROUND(G128*C128,0)</f>
        <v>1676600</v>
      </c>
      <c r="I128" s="13">
        <v>261830</v>
      </c>
      <c r="J128" s="13">
        <f>ROUND(I128*C128,0)</f>
        <v>2094640</v>
      </c>
      <c r="K128" s="13">
        <f t="shared" ref="K128:L130" si="17">E128+G128+I128</f>
        <v>1218805</v>
      </c>
      <c r="L128" s="13">
        <f t="shared" si="17"/>
        <v>9750440</v>
      </c>
      <c r="M128" s="11"/>
    </row>
    <row r="129" spans="1:13">
      <c r="A129" s="11" t="s">
        <v>294</v>
      </c>
      <c r="B129" s="11" t="s">
        <v>295</v>
      </c>
      <c r="C129" s="13">
        <v>1</v>
      </c>
      <c r="D129" s="15" t="s">
        <v>210</v>
      </c>
      <c r="E129" s="13">
        <v>1232200</v>
      </c>
      <c r="F129" s="13">
        <f>ROUND(E129*C129,0)</f>
        <v>1232200</v>
      </c>
      <c r="G129" s="13">
        <v>209575</v>
      </c>
      <c r="H129" s="13">
        <f>ROUND(G129*C129,0)</f>
        <v>209575</v>
      </c>
      <c r="I129" s="13">
        <v>261830</v>
      </c>
      <c r="J129" s="13">
        <f>ROUND(I129*C129,0)</f>
        <v>261830</v>
      </c>
      <c r="K129" s="13">
        <f t="shared" si="17"/>
        <v>1703605</v>
      </c>
      <c r="L129" s="13">
        <f t="shared" si="17"/>
        <v>1703605</v>
      </c>
      <c r="M129" s="11"/>
    </row>
    <row r="130" spans="1:13">
      <c r="A130" s="11" t="s">
        <v>296</v>
      </c>
      <c r="B130" s="11" t="s">
        <v>297</v>
      </c>
      <c r="C130" s="13">
        <v>10</v>
      </c>
      <c r="D130" s="15" t="s">
        <v>210</v>
      </c>
      <c r="E130" s="13">
        <v>1181700</v>
      </c>
      <c r="F130" s="13">
        <f>ROUND(E130*C130,0)</f>
        <v>11817000</v>
      </c>
      <c r="G130" s="13">
        <v>209575</v>
      </c>
      <c r="H130" s="13">
        <f>ROUND(G130*C130,0)</f>
        <v>2095750</v>
      </c>
      <c r="I130" s="13">
        <v>261830</v>
      </c>
      <c r="J130" s="13">
        <f>ROUND(I130*C130,0)</f>
        <v>2618300</v>
      </c>
      <c r="K130" s="13">
        <f t="shared" si="17"/>
        <v>1653105</v>
      </c>
      <c r="L130" s="13">
        <f t="shared" si="17"/>
        <v>16531050</v>
      </c>
      <c r="M130" s="11"/>
    </row>
    <row r="131" spans="1:13">
      <c r="A131" s="11" t="s">
        <v>298</v>
      </c>
      <c r="B131" s="11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</row>
    <row r="132" spans="1:13">
      <c r="A132" s="11" t="s">
        <v>299</v>
      </c>
      <c r="B132" s="11" t="s">
        <v>300</v>
      </c>
      <c r="C132" s="13">
        <v>12</v>
      </c>
      <c r="D132" s="15" t="s">
        <v>210</v>
      </c>
      <c r="E132" s="13">
        <v>2121000</v>
      </c>
      <c r="F132" s="13">
        <f t="shared" ref="F132:F137" si="18">ROUND(E132*C132,0)</f>
        <v>25452000</v>
      </c>
      <c r="G132" s="13">
        <v>209575</v>
      </c>
      <c r="H132" s="13">
        <f t="shared" ref="H132:H137" si="19">ROUND(G132*C132,0)</f>
        <v>2514900</v>
      </c>
      <c r="I132" s="13">
        <v>261830</v>
      </c>
      <c r="J132" s="13">
        <f t="shared" ref="J132:J137" si="20">ROUND(I132*C132,0)</f>
        <v>3141960</v>
      </c>
      <c r="K132" s="13">
        <f t="shared" ref="K132:L137" si="21">E132+G132+I132</f>
        <v>2592405</v>
      </c>
      <c r="L132" s="13">
        <f t="shared" si="21"/>
        <v>31108860</v>
      </c>
      <c r="M132" s="11"/>
    </row>
    <row r="133" spans="1:13">
      <c r="A133" s="11" t="s">
        <v>301</v>
      </c>
      <c r="B133" s="11" t="s">
        <v>302</v>
      </c>
      <c r="C133" s="13">
        <v>1</v>
      </c>
      <c r="D133" s="15" t="s">
        <v>210</v>
      </c>
      <c r="E133" s="13">
        <v>2626000</v>
      </c>
      <c r="F133" s="13">
        <f t="shared" si="18"/>
        <v>2626000</v>
      </c>
      <c r="G133" s="13">
        <v>209575</v>
      </c>
      <c r="H133" s="13">
        <f t="shared" si="19"/>
        <v>209575</v>
      </c>
      <c r="I133" s="13">
        <v>261830</v>
      </c>
      <c r="J133" s="13">
        <f t="shared" si="20"/>
        <v>261830</v>
      </c>
      <c r="K133" s="13">
        <f t="shared" si="21"/>
        <v>3097405</v>
      </c>
      <c r="L133" s="13">
        <f t="shared" si="21"/>
        <v>3097405</v>
      </c>
      <c r="M133" s="11"/>
    </row>
    <row r="134" spans="1:13">
      <c r="A134" s="11" t="s">
        <v>303</v>
      </c>
      <c r="B134" s="11" t="s">
        <v>304</v>
      </c>
      <c r="C134" s="13">
        <v>2</v>
      </c>
      <c r="D134" s="15" t="s">
        <v>210</v>
      </c>
      <c r="E134" s="13">
        <v>3555200</v>
      </c>
      <c r="F134" s="13">
        <f t="shared" si="18"/>
        <v>7110400</v>
      </c>
      <c r="G134" s="13">
        <v>209575</v>
      </c>
      <c r="H134" s="13">
        <f t="shared" si="19"/>
        <v>419150</v>
      </c>
      <c r="I134" s="13">
        <v>261830</v>
      </c>
      <c r="J134" s="13">
        <f t="shared" si="20"/>
        <v>523660</v>
      </c>
      <c r="K134" s="13">
        <f t="shared" si="21"/>
        <v>4026605</v>
      </c>
      <c r="L134" s="13">
        <f t="shared" si="21"/>
        <v>8053210</v>
      </c>
      <c r="M134" s="11"/>
    </row>
    <row r="135" spans="1:13">
      <c r="A135" s="11" t="s">
        <v>305</v>
      </c>
      <c r="B135" s="11" t="s">
        <v>306</v>
      </c>
      <c r="C135" s="13">
        <v>1</v>
      </c>
      <c r="D135" s="15" t="s">
        <v>210</v>
      </c>
      <c r="E135" s="13">
        <v>3838000</v>
      </c>
      <c r="F135" s="13">
        <f t="shared" si="18"/>
        <v>3838000</v>
      </c>
      <c r="G135" s="13">
        <v>209575</v>
      </c>
      <c r="H135" s="13">
        <f t="shared" si="19"/>
        <v>209575</v>
      </c>
      <c r="I135" s="13">
        <v>261830</v>
      </c>
      <c r="J135" s="13">
        <f t="shared" si="20"/>
        <v>261830</v>
      </c>
      <c r="K135" s="13">
        <f t="shared" si="21"/>
        <v>4309405</v>
      </c>
      <c r="L135" s="13">
        <f t="shared" si="21"/>
        <v>4309405</v>
      </c>
      <c r="M135" s="11"/>
    </row>
    <row r="136" spans="1:13">
      <c r="A136" s="11" t="s">
        <v>307</v>
      </c>
      <c r="B136" s="11" t="s">
        <v>308</v>
      </c>
      <c r="C136" s="13">
        <v>1</v>
      </c>
      <c r="D136" s="15" t="s">
        <v>210</v>
      </c>
      <c r="E136" s="13">
        <v>3757200</v>
      </c>
      <c r="F136" s="13">
        <f t="shared" si="18"/>
        <v>3757200</v>
      </c>
      <c r="G136" s="13">
        <v>209575</v>
      </c>
      <c r="H136" s="13">
        <f t="shared" si="19"/>
        <v>209575</v>
      </c>
      <c r="I136" s="13">
        <v>261830</v>
      </c>
      <c r="J136" s="13">
        <f t="shared" si="20"/>
        <v>261830</v>
      </c>
      <c r="K136" s="13">
        <f t="shared" si="21"/>
        <v>4228605</v>
      </c>
      <c r="L136" s="13">
        <f t="shared" si="21"/>
        <v>4228605</v>
      </c>
      <c r="M136" s="11"/>
    </row>
    <row r="137" spans="1:13">
      <c r="A137" s="11" t="s">
        <v>309</v>
      </c>
      <c r="B137" s="11" t="s">
        <v>310</v>
      </c>
      <c r="C137" s="13">
        <v>1</v>
      </c>
      <c r="D137" s="15" t="s">
        <v>210</v>
      </c>
      <c r="E137" s="13">
        <v>1807900</v>
      </c>
      <c r="F137" s="13">
        <f t="shared" si="18"/>
        <v>1807900</v>
      </c>
      <c r="G137" s="13">
        <v>209575</v>
      </c>
      <c r="H137" s="13">
        <f t="shared" si="19"/>
        <v>209575</v>
      </c>
      <c r="I137" s="13">
        <v>261830</v>
      </c>
      <c r="J137" s="13">
        <f t="shared" si="20"/>
        <v>261830</v>
      </c>
      <c r="K137" s="13">
        <f t="shared" si="21"/>
        <v>2279305</v>
      </c>
      <c r="L137" s="13">
        <f t="shared" si="21"/>
        <v>2279305</v>
      </c>
      <c r="M137" s="11"/>
    </row>
    <row r="138" spans="1:13">
      <c r="A138" s="11" t="s">
        <v>311</v>
      </c>
      <c r="B138" s="11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</row>
    <row r="139" spans="1:13">
      <c r="A139" s="11" t="s">
        <v>312</v>
      </c>
      <c r="B139" s="11" t="s">
        <v>313</v>
      </c>
      <c r="C139" s="24">
        <v>1.5629999999999999</v>
      </c>
      <c r="D139" s="15" t="s">
        <v>108</v>
      </c>
      <c r="E139" s="13">
        <v>0</v>
      </c>
      <c r="F139" s="13">
        <f>ROUND(E139*C139,0)</f>
        <v>0</v>
      </c>
      <c r="G139" s="13">
        <v>157863</v>
      </c>
      <c r="H139" s="13">
        <f>ROUND(G139*C139,0)</f>
        <v>246740</v>
      </c>
      <c r="I139" s="13">
        <v>0</v>
      </c>
      <c r="J139" s="13">
        <f>ROUND(I139*C139,0)</f>
        <v>0</v>
      </c>
      <c r="K139" s="13">
        <f>E139+G139+I139</f>
        <v>157863</v>
      </c>
      <c r="L139" s="13">
        <f>F139+H139+J139</f>
        <v>246740</v>
      </c>
      <c r="M139" s="11"/>
    </row>
    <row r="140" spans="1:13">
      <c r="A140" s="11" t="s">
        <v>314</v>
      </c>
      <c r="B140" s="11" t="s">
        <v>315</v>
      </c>
      <c r="C140" s="13">
        <v>206</v>
      </c>
      <c r="D140" s="15" t="s">
        <v>240</v>
      </c>
      <c r="E140" s="13">
        <v>3030</v>
      </c>
      <c r="F140" s="13">
        <f>ROUND(E140*C140,0)</f>
        <v>624180</v>
      </c>
      <c r="G140" s="13">
        <v>6565</v>
      </c>
      <c r="H140" s="13">
        <f>ROUND(G140*C140,0)</f>
        <v>1352390</v>
      </c>
      <c r="I140" s="13">
        <v>0</v>
      </c>
      <c r="J140" s="13">
        <f>ROUND(I140*C140,0)</f>
        <v>0</v>
      </c>
      <c r="K140" s="13">
        <f>E140+G140+I140</f>
        <v>9595</v>
      </c>
      <c r="L140" s="13">
        <f>F140+H140+J140</f>
        <v>1976570</v>
      </c>
      <c r="M140" s="11"/>
    </row>
    <row r="141" spans="1:13">
      <c r="A141" s="11" t="s">
        <v>316</v>
      </c>
      <c r="B141" s="11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</row>
    <row r="142" spans="1:13">
      <c r="A142" s="11" t="s">
        <v>317</v>
      </c>
      <c r="B142" s="11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</row>
    <row r="143" spans="1:13" ht="33">
      <c r="A143" s="11" t="s">
        <v>318</v>
      </c>
      <c r="B143" s="11" t="s">
        <v>319</v>
      </c>
      <c r="C143" s="13">
        <v>86</v>
      </c>
      <c r="D143" s="15" t="s">
        <v>210</v>
      </c>
      <c r="E143" s="13">
        <v>73730</v>
      </c>
      <c r="F143" s="13">
        <f>ROUND(E143*C143,0)</f>
        <v>6340780</v>
      </c>
      <c r="G143" s="13">
        <v>54540</v>
      </c>
      <c r="H143" s="13">
        <f>ROUND(G143*C143,0)</f>
        <v>4690440</v>
      </c>
      <c r="I143" s="13">
        <v>73820</v>
      </c>
      <c r="J143" s="13">
        <f>ROUND(I143*C143,0)</f>
        <v>6348520</v>
      </c>
      <c r="K143" s="13">
        <f>E143+G143+I143</f>
        <v>202090</v>
      </c>
      <c r="L143" s="13">
        <f>F143+H143+J143</f>
        <v>17379740</v>
      </c>
      <c r="M143" s="11"/>
    </row>
    <row r="144" spans="1:13">
      <c r="A144" s="11" t="s">
        <v>320</v>
      </c>
      <c r="B144" s="11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</row>
    <row r="145" spans="1:13">
      <c r="A145" s="11" t="s">
        <v>321</v>
      </c>
      <c r="B145" s="11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  <row r="146" spans="1:13" ht="33">
      <c r="A146" s="11" t="s">
        <v>322</v>
      </c>
      <c r="B146" s="11" t="s">
        <v>323</v>
      </c>
      <c r="C146" s="13">
        <v>4</v>
      </c>
      <c r="D146" s="15" t="s">
        <v>240</v>
      </c>
      <c r="E146" s="13">
        <v>886780</v>
      </c>
      <c r="F146" s="13">
        <f>ROUND(E146*C146,0)</f>
        <v>3547120</v>
      </c>
      <c r="G146" s="13">
        <v>181800</v>
      </c>
      <c r="H146" s="13">
        <f>ROUND(G146*C146,0)</f>
        <v>727200</v>
      </c>
      <c r="I146" s="13">
        <v>60634</v>
      </c>
      <c r="J146" s="13">
        <f>ROUND(I146*C146,0)</f>
        <v>242536</v>
      </c>
      <c r="K146" s="13">
        <f t="shared" ref="K146:L149" si="22">E146+G146+I146</f>
        <v>1129214</v>
      </c>
      <c r="L146" s="13">
        <f t="shared" si="22"/>
        <v>4516856</v>
      </c>
      <c r="M146" s="11"/>
    </row>
    <row r="147" spans="1:13" ht="33">
      <c r="A147" s="11" t="s">
        <v>324</v>
      </c>
      <c r="B147" s="11" t="s">
        <v>325</v>
      </c>
      <c r="C147" s="13">
        <v>36</v>
      </c>
      <c r="D147" s="15" t="s">
        <v>240</v>
      </c>
      <c r="E147" s="13">
        <v>785780</v>
      </c>
      <c r="F147" s="13">
        <f>ROUND(E147*C147,0)</f>
        <v>28288080</v>
      </c>
      <c r="G147" s="13">
        <v>181800</v>
      </c>
      <c r="H147" s="13">
        <f>ROUND(G147*C147,0)</f>
        <v>6544800</v>
      </c>
      <c r="I147" s="13">
        <v>60634</v>
      </c>
      <c r="J147" s="13">
        <f>ROUND(I147*C147,0)</f>
        <v>2182824</v>
      </c>
      <c r="K147" s="13">
        <f t="shared" si="22"/>
        <v>1028214</v>
      </c>
      <c r="L147" s="13">
        <f t="shared" si="22"/>
        <v>37015704</v>
      </c>
      <c r="M147" s="11"/>
    </row>
    <row r="148" spans="1:13" ht="33">
      <c r="A148" s="11" t="s">
        <v>326</v>
      </c>
      <c r="B148" s="11" t="s">
        <v>327</v>
      </c>
      <c r="C148" s="13">
        <v>2</v>
      </c>
      <c r="D148" s="15" t="s">
        <v>240</v>
      </c>
      <c r="E148" s="13">
        <v>954450</v>
      </c>
      <c r="F148" s="13">
        <f>ROUND(E148*C148,0)</f>
        <v>1908900</v>
      </c>
      <c r="G148" s="13">
        <v>181800</v>
      </c>
      <c r="H148" s="13">
        <f>ROUND(G148*C148,0)</f>
        <v>363600</v>
      </c>
      <c r="I148" s="13">
        <v>60634</v>
      </c>
      <c r="J148" s="13">
        <f>ROUND(I148*C148,0)</f>
        <v>121268</v>
      </c>
      <c r="K148" s="13">
        <f t="shared" si="22"/>
        <v>1196884</v>
      </c>
      <c r="L148" s="13">
        <f t="shared" si="22"/>
        <v>2393768</v>
      </c>
      <c r="M148" s="11"/>
    </row>
    <row r="149" spans="1:13" ht="33">
      <c r="A149" s="11" t="s">
        <v>328</v>
      </c>
      <c r="B149" s="11" t="s">
        <v>329</v>
      </c>
      <c r="C149" s="13">
        <v>2</v>
      </c>
      <c r="D149" s="15" t="s">
        <v>240</v>
      </c>
      <c r="E149" s="13">
        <v>797900</v>
      </c>
      <c r="F149" s="13">
        <f>ROUND(E149*C149,0)</f>
        <v>1595800</v>
      </c>
      <c r="G149" s="13">
        <v>181800</v>
      </c>
      <c r="H149" s="13">
        <f>ROUND(G149*C149,0)</f>
        <v>363600</v>
      </c>
      <c r="I149" s="13">
        <v>60634</v>
      </c>
      <c r="J149" s="13">
        <f>ROUND(I149*C149,0)</f>
        <v>121268</v>
      </c>
      <c r="K149" s="13">
        <f t="shared" si="22"/>
        <v>1040334</v>
      </c>
      <c r="L149" s="13">
        <f t="shared" si="22"/>
        <v>2080668</v>
      </c>
      <c r="M149" s="11"/>
    </row>
    <row r="150" spans="1:13">
      <c r="A150" s="11" t="s">
        <v>330</v>
      </c>
      <c r="B150" s="11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</row>
    <row r="151" spans="1:13">
      <c r="A151" s="11" t="s">
        <v>331</v>
      </c>
      <c r="B151" s="11" t="s">
        <v>256</v>
      </c>
      <c r="C151" s="13">
        <v>11</v>
      </c>
      <c r="D151" s="15" t="s">
        <v>108</v>
      </c>
      <c r="E151" s="13">
        <v>0</v>
      </c>
      <c r="F151" s="13">
        <f>ROUND(E151*C151,0)</f>
        <v>0</v>
      </c>
      <c r="G151" s="13">
        <v>11110</v>
      </c>
      <c r="H151" s="13">
        <f>ROUND(G151*C151,0)</f>
        <v>122210</v>
      </c>
      <c r="I151" s="13">
        <v>19844</v>
      </c>
      <c r="J151" s="13">
        <f>ROUND(I151*C151,0)</f>
        <v>218284</v>
      </c>
      <c r="K151" s="13">
        <f>E151+G151+I151</f>
        <v>30954</v>
      </c>
      <c r="L151" s="13">
        <f>F151+H151+J151</f>
        <v>340494</v>
      </c>
      <c r="M151" s="11"/>
    </row>
    <row r="152" spans="1:13">
      <c r="A152" s="11" t="s">
        <v>332</v>
      </c>
      <c r="B152" s="11" t="s">
        <v>258</v>
      </c>
      <c r="C152" s="13">
        <v>9</v>
      </c>
      <c r="D152" s="15" t="s">
        <v>102</v>
      </c>
      <c r="E152" s="13">
        <v>7575</v>
      </c>
      <c r="F152" s="13">
        <f>ROUND(E152*C152,0)</f>
        <v>68175</v>
      </c>
      <c r="G152" s="13">
        <v>20200</v>
      </c>
      <c r="H152" s="13">
        <f>ROUND(G152*C152,0)</f>
        <v>181800</v>
      </c>
      <c r="I152" s="13">
        <v>3859</v>
      </c>
      <c r="J152" s="13">
        <f>ROUND(I152*C152,0)</f>
        <v>34731</v>
      </c>
      <c r="K152" s="13">
        <f>E152+G152+I152</f>
        <v>31634</v>
      </c>
      <c r="L152" s="13">
        <f>F152+H152+J152</f>
        <v>284706</v>
      </c>
      <c r="M152" s="11"/>
    </row>
    <row r="153" spans="1:13">
      <c r="A153" s="11" t="s">
        <v>333</v>
      </c>
      <c r="B153" s="11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</row>
    <row r="154" spans="1:13">
      <c r="A154" s="11" t="s">
        <v>331</v>
      </c>
      <c r="B154" s="11" t="s">
        <v>256</v>
      </c>
      <c r="C154" s="13">
        <v>1</v>
      </c>
      <c r="D154" s="15" t="s">
        <v>108</v>
      </c>
      <c r="E154" s="13">
        <v>0</v>
      </c>
      <c r="F154" s="13">
        <f>ROUND(E154*C154,0)</f>
        <v>0</v>
      </c>
      <c r="G154" s="13">
        <v>11110</v>
      </c>
      <c r="H154" s="13">
        <f>ROUND(G154*C154,0)</f>
        <v>11110</v>
      </c>
      <c r="I154" s="13">
        <v>19844</v>
      </c>
      <c r="J154" s="13">
        <f>ROUND(I154*C154,0)</f>
        <v>19844</v>
      </c>
      <c r="K154" s="13">
        <f>E154+G154+I154</f>
        <v>30954</v>
      </c>
      <c r="L154" s="13">
        <f>F154+H154+J154</f>
        <v>30954</v>
      </c>
      <c r="M154" s="11"/>
    </row>
    <row r="155" spans="1:13">
      <c r="A155" s="11" t="s">
        <v>332</v>
      </c>
      <c r="B155" s="11" t="s">
        <v>258</v>
      </c>
      <c r="C155" s="13">
        <v>4</v>
      </c>
      <c r="D155" s="15" t="s">
        <v>102</v>
      </c>
      <c r="E155" s="13">
        <v>7575</v>
      </c>
      <c r="F155" s="13">
        <f>ROUND(E155*C155,0)</f>
        <v>30300</v>
      </c>
      <c r="G155" s="13">
        <v>20200</v>
      </c>
      <c r="H155" s="13">
        <f>ROUND(G155*C155,0)</f>
        <v>80800</v>
      </c>
      <c r="I155" s="13">
        <v>3859</v>
      </c>
      <c r="J155" s="13">
        <f>ROUND(I155*C155,0)</f>
        <v>15436</v>
      </c>
      <c r="K155" s="13">
        <f>E155+G155+I155</f>
        <v>31634</v>
      </c>
      <c r="L155" s="13">
        <f>F155+H155+J155</f>
        <v>126536</v>
      </c>
      <c r="M155" s="11"/>
    </row>
    <row r="156" spans="1:13">
      <c r="A156" s="11" t="s">
        <v>334</v>
      </c>
      <c r="B156" s="11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 spans="1:13" ht="33">
      <c r="A157" s="11" t="s">
        <v>335</v>
      </c>
      <c r="B157" s="11" t="s">
        <v>336</v>
      </c>
      <c r="C157" s="13">
        <v>16</v>
      </c>
      <c r="D157" s="15" t="s">
        <v>210</v>
      </c>
      <c r="E157" s="13">
        <v>242400</v>
      </c>
      <c r="F157" s="13">
        <f>ROUND(E157*C157,0)</f>
        <v>3878400</v>
      </c>
      <c r="G157" s="13">
        <v>104788</v>
      </c>
      <c r="H157" s="13">
        <f>ROUND(G157*C157,0)</f>
        <v>1676608</v>
      </c>
      <c r="I157" s="13">
        <v>130916</v>
      </c>
      <c r="J157" s="13">
        <f>ROUND(I157*C157,0)</f>
        <v>2094656</v>
      </c>
      <c r="K157" s="13">
        <f>E157+G157+I157</f>
        <v>478104</v>
      </c>
      <c r="L157" s="13">
        <f>F157+H157+J157</f>
        <v>7649664</v>
      </c>
      <c r="M157" s="11"/>
    </row>
    <row r="158" spans="1:13">
      <c r="A158" s="11" t="s">
        <v>337</v>
      </c>
      <c r="B158" s="11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 spans="1:13">
      <c r="A159" s="11" t="s">
        <v>338</v>
      </c>
      <c r="B159" s="11" t="s">
        <v>339</v>
      </c>
      <c r="C159" s="13">
        <v>116</v>
      </c>
      <c r="D159" s="15" t="s">
        <v>240</v>
      </c>
      <c r="E159" s="13">
        <v>40400</v>
      </c>
      <c r="F159" s="13">
        <f>ROUND(E159*C159,0)</f>
        <v>4686400</v>
      </c>
      <c r="G159" s="13">
        <v>18069</v>
      </c>
      <c r="H159" s="13">
        <f>ROUND(G159*C159,0)</f>
        <v>2096004</v>
      </c>
      <c r="I159" s="13">
        <v>22600</v>
      </c>
      <c r="J159" s="13">
        <f>ROUND(I159*C159,0)</f>
        <v>2621600</v>
      </c>
      <c r="K159" s="13">
        <f>E159+G159+I159</f>
        <v>81069</v>
      </c>
      <c r="L159" s="13">
        <f>F159+H159+J159</f>
        <v>9404004</v>
      </c>
      <c r="M159" s="11"/>
    </row>
    <row r="160" spans="1:13">
      <c r="A160" s="11" t="s">
        <v>340</v>
      </c>
      <c r="B160" s="11" t="s">
        <v>341</v>
      </c>
      <c r="C160" s="13">
        <v>5</v>
      </c>
      <c r="D160" s="15" t="s">
        <v>210</v>
      </c>
      <c r="E160" s="13">
        <v>181800</v>
      </c>
      <c r="F160" s="13">
        <f>ROUND(E160*C160,0)</f>
        <v>909000</v>
      </c>
      <c r="G160" s="13">
        <v>18069</v>
      </c>
      <c r="H160" s="13">
        <f>ROUND(G160*C160,0)</f>
        <v>90345</v>
      </c>
      <c r="I160" s="13">
        <v>22600</v>
      </c>
      <c r="J160" s="13">
        <f>ROUND(I160*C160,0)</f>
        <v>113000</v>
      </c>
      <c r="K160" s="13">
        <f>E160+G160+I160</f>
        <v>222469</v>
      </c>
      <c r="L160" s="13">
        <f>F160+H160+J160</f>
        <v>1112345</v>
      </c>
      <c r="M160" s="11"/>
    </row>
    <row r="161" spans="1:13">
      <c r="A161" s="11" t="s">
        <v>342</v>
      </c>
      <c r="B161" s="11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 spans="1:13">
      <c r="A162" s="11" t="s">
        <v>343</v>
      </c>
      <c r="B162" s="11" t="s">
        <v>344</v>
      </c>
      <c r="C162" s="13">
        <v>202</v>
      </c>
      <c r="D162" s="15" t="s">
        <v>240</v>
      </c>
      <c r="E162" s="13">
        <v>393900</v>
      </c>
      <c r="F162" s="13">
        <f>ROUND(E162*C162,0)</f>
        <v>79567800</v>
      </c>
      <c r="G162" s="13">
        <v>29088</v>
      </c>
      <c r="H162" s="13">
        <f>ROUND(G162*C162,0)</f>
        <v>5875776</v>
      </c>
      <c r="I162" s="13">
        <v>36303</v>
      </c>
      <c r="J162" s="13">
        <f>ROUND(I162*C162,0)</f>
        <v>7333206</v>
      </c>
      <c r="K162" s="13">
        <f>E162+G162+I162</f>
        <v>459291</v>
      </c>
      <c r="L162" s="13">
        <f>F162+H162+J162</f>
        <v>92776782</v>
      </c>
      <c r="M162" s="11"/>
    </row>
    <row r="163" spans="1:13">
      <c r="A163" s="11" t="s">
        <v>345</v>
      </c>
      <c r="B163" s="11" t="s">
        <v>346</v>
      </c>
      <c r="C163" s="13">
        <v>11</v>
      </c>
      <c r="D163" s="15" t="s">
        <v>210</v>
      </c>
      <c r="E163" s="13">
        <v>242400</v>
      </c>
      <c r="F163" s="13">
        <f>ROUND(E163*C163,0)</f>
        <v>2666400</v>
      </c>
      <c r="G163" s="13">
        <v>29088</v>
      </c>
      <c r="H163" s="13">
        <f>ROUND(G163*C163,0)</f>
        <v>319968</v>
      </c>
      <c r="I163" s="13">
        <v>36303</v>
      </c>
      <c r="J163" s="13">
        <f>ROUND(I163*C163,0)</f>
        <v>399333</v>
      </c>
      <c r="K163" s="13">
        <f>E163+G163+I163</f>
        <v>307791</v>
      </c>
      <c r="L163" s="13">
        <f>F163+H163+J163</f>
        <v>3385701</v>
      </c>
      <c r="M163" s="11"/>
    </row>
    <row r="164" spans="1:13">
      <c r="A164" s="11" t="s">
        <v>347</v>
      </c>
      <c r="B164" s="11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 spans="1:13" ht="33">
      <c r="A165" s="11" t="s">
        <v>348</v>
      </c>
      <c r="B165" s="11" t="s">
        <v>349</v>
      </c>
      <c r="C165" s="13">
        <v>1</v>
      </c>
      <c r="D165" s="15" t="s">
        <v>25</v>
      </c>
      <c r="E165" s="13">
        <v>70700000</v>
      </c>
      <c r="F165" s="13">
        <f>ROUND(E165*C165,0)</f>
        <v>70700000</v>
      </c>
      <c r="G165" s="13">
        <v>0</v>
      </c>
      <c r="H165" s="13">
        <f>ROUND(G165*C165,0)</f>
        <v>0</v>
      </c>
      <c r="I165" s="13">
        <v>0</v>
      </c>
      <c r="J165" s="13">
        <f>ROUND(I165*C165,0)</f>
        <v>0</v>
      </c>
      <c r="K165" s="13">
        <f>E165+G165+I165</f>
        <v>70700000</v>
      </c>
      <c r="L165" s="13">
        <f>F165+H165+J165</f>
        <v>70700000</v>
      </c>
      <c r="M165" s="11"/>
    </row>
    <row r="166" spans="1:13">
      <c r="A166" s="11" t="s">
        <v>350</v>
      </c>
      <c r="B166" s="11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 spans="1:13">
      <c r="A167" s="11" t="s">
        <v>351</v>
      </c>
      <c r="B167" s="11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 spans="1:13">
      <c r="A168" s="11" t="s">
        <v>352</v>
      </c>
      <c r="B168" s="11" t="s">
        <v>353</v>
      </c>
      <c r="C168" s="24">
        <v>0.11</v>
      </c>
      <c r="D168" s="15" t="s">
        <v>108</v>
      </c>
      <c r="E168" s="13">
        <v>0</v>
      </c>
      <c r="F168" s="13">
        <f t="shared" ref="F168:F183" si="23">ROUND(E168*C168,0)</f>
        <v>0</v>
      </c>
      <c r="G168" s="13">
        <v>10100</v>
      </c>
      <c r="H168" s="13">
        <f t="shared" ref="H168:H183" si="24">ROUND(G168*C168,0)</f>
        <v>1111</v>
      </c>
      <c r="I168" s="13">
        <v>19844</v>
      </c>
      <c r="J168" s="13">
        <f t="shared" ref="J168:J183" si="25">ROUND(I168*C168,0)</f>
        <v>2183</v>
      </c>
      <c r="K168" s="13">
        <f t="shared" ref="K168:K183" si="26">E168+G168+I168</f>
        <v>29944</v>
      </c>
      <c r="L168" s="13">
        <f t="shared" ref="L168:L183" si="27">F168+H168+J168</f>
        <v>3294</v>
      </c>
      <c r="M168" s="11"/>
    </row>
    <row r="169" spans="1:13">
      <c r="A169" s="11" t="s">
        <v>354</v>
      </c>
      <c r="B169" s="11" t="s">
        <v>256</v>
      </c>
      <c r="C169" s="13">
        <v>5</v>
      </c>
      <c r="D169" s="15" t="s">
        <v>108</v>
      </c>
      <c r="E169" s="13">
        <v>0</v>
      </c>
      <c r="F169" s="13">
        <f t="shared" si="23"/>
        <v>0</v>
      </c>
      <c r="G169" s="13">
        <v>10100</v>
      </c>
      <c r="H169" s="13">
        <f t="shared" si="24"/>
        <v>50500</v>
      </c>
      <c r="I169" s="13">
        <v>19844</v>
      </c>
      <c r="J169" s="13">
        <f t="shared" si="25"/>
        <v>99220</v>
      </c>
      <c r="K169" s="13">
        <f t="shared" si="26"/>
        <v>29944</v>
      </c>
      <c r="L169" s="13">
        <f t="shared" si="27"/>
        <v>149720</v>
      </c>
      <c r="M169" s="11"/>
    </row>
    <row r="170" spans="1:13">
      <c r="A170" s="11" t="s">
        <v>355</v>
      </c>
      <c r="B170" s="11" t="s">
        <v>258</v>
      </c>
      <c r="C170" s="13">
        <v>3</v>
      </c>
      <c r="D170" s="15" t="s">
        <v>102</v>
      </c>
      <c r="E170" s="13">
        <v>7575</v>
      </c>
      <c r="F170" s="13">
        <f t="shared" si="23"/>
        <v>22725</v>
      </c>
      <c r="G170" s="13">
        <v>28785</v>
      </c>
      <c r="H170" s="13">
        <f t="shared" si="24"/>
        <v>86355</v>
      </c>
      <c r="I170" s="13">
        <v>2205</v>
      </c>
      <c r="J170" s="13">
        <f t="shared" si="25"/>
        <v>6615</v>
      </c>
      <c r="K170" s="13">
        <f t="shared" si="26"/>
        <v>38565</v>
      </c>
      <c r="L170" s="13">
        <f t="shared" si="27"/>
        <v>115695</v>
      </c>
      <c r="M170" s="11"/>
    </row>
    <row r="171" spans="1:13">
      <c r="A171" s="11" t="s">
        <v>356</v>
      </c>
      <c r="B171" s="11" t="s">
        <v>357</v>
      </c>
      <c r="C171" s="13">
        <v>12</v>
      </c>
      <c r="D171" s="15" t="s">
        <v>108</v>
      </c>
      <c r="E171" s="13">
        <v>0</v>
      </c>
      <c r="F171" s="13">
        <f t="shared" si="23"/>
        <v>0</v>
      </c>
      <c r="G171" s="13">
        <v>25250</v>
      </c>
      <c r="H171" s="13">
        <f t="shared" si="24"/>
        <v>303000</v>
      </c>
      <c r="I171" s="13">
        <v>11024</v>
      </c>
      <c r="J171" s="13">
        <f t="shared" si="25"/>
        <v>132288</v>
      </c>
      <c r="K171" s="13">
        <f t="shared" si="26"/>
        <v>36274</v>
      </c>
      <c r="L171" s="13">
        <f t="shared" si="27"/>
        <v>435288</v>
      </c>
      <c r="M171" s="11"/>
    </row>
    <row r="172" spans="1:13" ht="33">
      <c r="A172" s="11" t="s">
        <v>358</v>
      </c>
      <c r="B172" s="11" t="s">
        <v>359</v>
      </c>
      <c r="C172" s="13">
        <v>16</v>
      </c>
      <c r="D172" s="15" t="s">
        <v>108</v>
      </c>
      <c r="E172" s="13">
        <v>0</v>
      </c>
      <c r="F172" s="13">
        <f t="shared" si="23"/>
        <v>0</v>
      </c>
      <c r="G172" s="13">
        <v>30300</v>
      </c>
      <c r="H172" s="13">
        <f t="shared" si="24"/>
        <v>484800</v>
      </c>
      <c r="I172" s="13">
        <v>11024</v>
      </c>
      <c r="J172" s="13">
        <f t="shared" si="25"/>
        <v>176384</v>
      </c>
      <c r="K172" s="13">
        <f t="shared" si="26"/>
        <v>41324</v>
      </c>
      <c r="L172" s="13">
        <f t="shared" si="27"/>
        <v>661184</v>
      </c>
      <c r="M172" s="11"/>
    </row>
    <row r="173" spans="1:13">
      <c r="A173" s="11" t="s">
        <v>360</v>
      </c>
      <c r="B173" s="11" t="s">
        <v>214</v>
      </c>
      <c r="C173" s="24">
        <v>0.31</v>
      </c>
      <c r="D173" s="15" t="s">
        <v>108</v>
      </c>
      <c r="E173" s="13">
        <v>0</v>
      </c>
      <c r="F173" s="13">
        <f t="shared" si="23"/>
        <v>0</v>
      </c>
      <c r="G173" s="13">
        <v>8989</v>
      </c>
      <c r="H173" s="13">
        <f t="shared" si="24"/>
        <v>2787</v>
      </c>
      <c r="I173" s="13">
        <v>32081</v>
      </c>
      <c r="J173" s="13">
        <f t="shared" si="25"/>
        <v>9945</v>
      </c>
      <c r="K173" s="13">
        <f t="shared" si="26"/>
        <v>41070</v>
      </c>
      <c r="L173" s="13">
        <f t="shared" si="27"/>
        <v>12732</v>
      </c>
      <c r="M173" s="11"/>
    </row>
    <row r="174" spans="1:13">
      <c r="A174" s="11" t="s">
        <v>361</v>
      </c>
      <c r="B174" s="11" t="s">
        <v>362</v>
      </c>
      <c r="C174" s="24">
        <v>0.186</v>
      </c>
      <c r="D174" s="15" t="s">
        <v>108</v>
      </c>
      <c r="E174" s="13">
        <v>0</v>
      </c>
      <c r="F174" s="13">
        <f t="shared" si="23"/>
        <v>0</v>
      </c>
      <c r="G174" s="13">
        <v>24906</v>
      </c>
      <c r="H174" s="13">
        <f t="shared" si="24"/>
        <v>4633</v>
      </c>
      <c r="I174" s="13">
        <v>815</v>
      </c>
      <c r="J174" s="13">
        <f t="shared" si="25"/>
        <v>152</v>
      </c>
      <c r="K174" s="13">
        <f t="shared" si="26"/>
        <v>25721</v>
      </c>
      <c r="L174" s="13">
        <f t="shared" si="27"/>
        <v>4785</v>
      </c>
      <c r="M174" s="11"/>
    </row>
    <row r="175" spans="1:13" ht="33">
      <c r="A175" s="11" t="s">
        <v>363</v>
      </c>
      <c r="B175" s="11" t="s">
        <v>364</v>
      </c>
      <c r="C175" s="13">
        <v>5</v>
      </c>
      <c r="D175" s="15" t="s">
        <v>188</v>
      </c>
      <c r="E175" s="13">
        <v>15150</v>
      </c>
      <c r="F175" s="13">
        <f t="shared" si="23"/>
        <v>75750</v>
      </c>
      <c r="G175" s="13">
        <v>15150</v>
      </c>
      <c r="H175" s="13">
        <f t="shared" si="24"/>
        <v>75750</v>
      </c>
      <c r="I175" s="13">
        <v>0</v>
      </c>
      <c r="J175" s="13">
        <f t="shared" si="25"/>
        <v>0</v>
      </c>
      <c r="K175" s="13">
        <f t="shared" si="26"/>
        <v>30300</v>
      </c>
      <c r="L175" s="13">
        <f t="shared" si="27"/>
        <v>151500</v>
      </c>
      <c r="M175" s="11"/>
    </row>
    <row r="176" spans="1:13">
      <c r="A176" s="11" t="s">
        <v>365</v>
      </c>
      <c r="B176" s="11" t="s">
        <v>366</v>
      </c>
      <c r="C176" s="13">
        <v>7</v>
      </c>
      <c r="D176" s="15" t="s">
        <v>240</v>
      </c>
      <c r="E176" s="13">
        <v>0</v>
      </c>
      <c r="F176" s="13">
        <f t="shared" si="23"/>
        <v>0</v>
      </c>
      <c r="G176" s="13">
        <v>25250</v>
      </c>
      <c r="H176" s="13">
        <f t="shared" si="24"/>
        <v>176750</v>
      </c>
      <c r="I176" s="13">
        <v>0</v>
      </c>
      <c r="J176" s="13">
        <f t="shared" si="25"/>
        <v>0</v>
      </c>
      <c r="K176" s="13">
        <f t="shared" si="26"/>
        <v>25250</v>
      </c>
      <c r="L176" s="13">
        <f t="shared" si="27"/>
        <v>176750</v>
      </c>
      <c r="M176" s="11"/>
    </row>
    <row r="177" spans="1:13">
      <c r="A177" s="11" t="s">
        <v>367</v>
      </c>
      <c r="B177" s="11" t="s">
        <v>366</v>
      </c>
      <c r="C177" s="13">
        <v>1</v>
      </c>
      <c r="D177" s="15" t="s">
        <v>210</v>
      </c>
      <c r="E177" s="13">
        <v>0</v>
      </c>
      <c r="F177" s="13">
        <f t="shared" si="23"/>
        <v>0</v>
      </c>
      <c r="G177" s="13">
        <v>10100</v>
      </c>
      <c r="H177" s="13">
        <f t="shared" si="24"/>
        <v>10100</v>
      </c>
      <c r="I177" s="13">
        <v>0</v>
      </c>
      <c r="J177" s="13">
        <f t="shared" si="25"/>
        <v>0</v>
      </c>
      <c r="K177" s="13">
        <f t="shared" si="26"/>
        <v>10100</v>
      </c>
      <c r="L177" s="13">
        <f t="shared" si="27"/>
        <v>10100</v>
      </c>
      <c r="M177" s="11"/>
    </row>
    <row r="178" spans="1:13">
      <c r="A178" s="11" t="s">
        <v>368</v>
      </c>
      <c r="B178" s="11" t="s">
        <v>369</v>
      </c>
      <c r="C178" s="13">
        <v>12</v>
      </c>
      <c r="D178" s="15" t="s">
        <v>240</v>
      </c>
      <c r="E178" s="13">
        <v>0</v>
      </c>
      <c r="F178" s="13">
        <f t="shared" si="23"/>
        <v>0</v>
      </c>
      <c r="G178" s="13">
        <v>35350</v>
      </c>
      <c r="H178" s="13">
        <f t="shared" si="24"/>
        <v>424200</v>
      </c>
      <c r="I178" s="13">
        <v>0</v>
      </c>
      <c r="J178" s="13">
        <f t="shared" si="25"/>
        <v>0</v>
      </c>
      <c r="K178" s="13">
        <f t="shared" si="26"/>
        <v>35350</v>
      </c>
      <c r="L178" s="13">
        <f t="shared" si="27"/>
        <v>424200</v>
      </c>
      <c r="M178" s="11"/>
    </row>
    <row r="179" spans="1:13">
      <c r="A179" s="11" t="s">
        <v>370</v>
      </c>
      <c r="B179" s="11" t="s">
        <v>369</v>
      </c>
      <c r="C179" s="13">
        <v>4</v>
      </c>
      <c r="D179" s="15" t="s">
        <v>210</v>
      </c>
      <c r="E179" s="13">
        <v>0</v>
      </c>
      <c r="F179" s="13">
        <f t="shared" si="23"/>
        <v>0</v>
      </c>
      <c r="G179" s="13">
        <v>25250</v>
      </c>
      <c r="H179" s="13">
        <f t="shared" si="24"/>
        <v>101000</v>
      </c>
      <c r="I179" s="13">
        <v>0</v>
      </c>
      <c r="J179" s="13">
        <f t="shared" si="25"/>
        <v>0</v>
      </c>
      <c r="K179" s="13">
        <f t="shared" si="26"/>
        <v>25250</v>
      </c>
      <c r="L179" s="13">
        <f t="shared" si="27"/>
        <v>101000</v>
      </c>
      <c r="M179" s="11"/>
    </row>
    <row r="180" spans="1:13">
      <c r="A180" s="11" t="s">
        <v>371</v>
      </c>
      <c r="B180" s="11" t="s">
        <v>372</v>
      </c>
      <c r="C180" s="13">
        <v>7</v>
      </c>
      <c r="D180" s="15" t="s">
        <v>240</v>
      </c>
      <c r="E180" s="13">
        <v>45450</v>
      </c>
      <c r="F180" s="13">
        <f t="shared" si="23"/>
        <v>318150</v>
      </c>
      <c r="G180" s="13">
        <v>0</v>
      </c>
      <c r="H180" s="13">
        <f t="shared" si="24"/>
        <v>0</v>
      </c>
      <c r="I180" s="13">
        <v>0</v>
      </c>
      <c r="J180" s="13">
        <f t="shared" si="25"/>
        <v>0</v>
      </c>
      <c r="K180" s="13">
        <f t="shared" si="26"/>
        <v>45450</v>
      </c>
      <c r="L180" s="13">
        <f t="shared" si="27"/>
        <v>318150</v>
      </c>
      <c r="M180" s="11"/>
    </row>
    <row r="181" spans="1:13">
      <c r="A181" s="11" t="s">
        <v>373</v>
      </c>
      <c r="B181" s="11" t="s">
        <v>372</v>
      </c>
      <c r="C181" s="13">
        <v>2</v>
      </c>
      <c r="D181" s="15" t="s">
        <v>374</v>
      </c>
      <c r="E181" s="13">
        <v>65650</v>
      </c>
      <c r="F181" s="13">
        <f t="shared" si="23"/>
        <v>131300</v>
      </c>
      <c r="G181" s="13">
        <v>0</v>
      </c>
      <c r="H181" s="13">
        <f t="shared" si="24"/>
        <v>0</v>
      </c>
      <c r="I181" s="13">
        <v>0</v>
      </c>
      <c r="J181" s="13">
        <f t="shared" si="25"/>
        <v>0</v>
      </c>
      <c r="K181" s="13">
        <f t="shared" si="26"/>
        <v>65650</v>
      </c>
      <c r="L181" s="13">
        <f t="shared" si="27"/>
        <v>131300</v>
      </c>
      <c r="M181" s="11"/>
    </row>
    <row r="182" spans="1:13">
      <c r="A182" s="11" t="s">
        <v>375</v>
      </c>
      <c r="B182" s="11" t="s">
        <v>376</v>
      </c>
      <c r="C182" s="13">
        <v>2</v>
      </c>
      <c r="D182" s="15" t="s">
        <v>377</v>
      </c>
      <c r="E182" s="13">
        <v>70700</v>
      </c>
      <c r="F182" s="13">
        <f t="shared" si="23"/>
        <v>141400</v>
      </c>
      <c r="G182" s="13">
        <v>0</v>
      </c>
      <c r="H182" s="13">
        <f t="shared" si="24"/>
        <v>0</v>
      </c>
      <c r="I182" s="13">
        <v>0</v>
      </c>
      <c r="J182" s="13">
        <f t="shared" si="25"/>
        <v>0</v>
      </c>
      <c r="K182" s="13">
        <f t="shared" si="26"/>
        <v>70700</v>
      </c>
      <c r="L182" s="13">
        <f t="shared" si="27"/>
        <v>141400</v>
      </c>
      <c r="M182" s="11"/>
    </row>
    <row r="183" spans="1:13">
      <c r="A183" s="11" t="s">
        <v>378</v>
      </c>
      <c r="B183" s="11" t="s">
        <v>379</v>
      </c>
      <c r="C183" s="13">
        <v>1</v>
      </c>
      <c r="D183" s="15" t="s">
        <v>380</v>
      </c>
      <c r="E183" s="13">
        <v>49490</v>
      </c>
      <c r="F183" s="13">
        <f t="shared" si="23"/>
        <v>49490</v>
      </c>
      <c r="G183" s="13">
        <v>0</v>
      </c>
      <c r="H183" s="13">
        <f t="shared" si="24"/>
        <v>0</v>
      </c>
      <c r="I183" s="13">
        <v>0</v>
      </c>
      <c r="J183" s="13">
        <f t="shared" si="25"/>
        <v>0</v>
      </c>
      <c r="K183" s="13">
        <f t="shared" si="26"/>
        <v>49490</v>
      </c>
      <c r="L183" s="13">
        <f t="shared" si="27"/>
        <v>49490</v>
      </c>
      <c r="M183" s="11"/>
    </row>
    <row r="184" spans="1:13">
      <c r="A184" s="11" t="s">
        <v>381</v>
      </c>
      <c r="B184" s="11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</row>
    <row r="185" spans="1:13">
      <c r="A185" s="11" t="s">
        <v>382</v>
      </c>
      <c r="B185" s="11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</row>
    <row r="186" spans="1:13">
      <c r="A186" s="11" t="s">
        <v>383</v>
      </c>
      <c r="B186" s="11" t="s">
        <v>384</v>
      </c>
      <c r="C186" s="13">
        <v>48</v>
      </c>
      <c r="D186" s="15" t="s">
        <v>385</v>
      </c>
      <c r="E186" s="13">
        <v>5959</v>
      </c>
      <c r="F186" s="13">
        <f>ROUND(E186*C186,0)</f>
        <v>286032</v>
      </c>
      <c r="G186" s="13">
        <v>0</v>
      </c>
      <c r="H186" s="13">
        <f>ROUND(G186*C186,0)</f>
        <v>0</v>
      </c>
      <c r="I186" s="13">
        <v>0</v>
      </c>
      <c r="J186" s="13">
        <f>ROUND(I186*C186,0)</f>
        <v>0</v>
      </c>
      <c r="K186" s="13">
        <f t="shared" ref="K186:L188" si="28">E186+G186+I186</f>
        <v>5959</v>
      </c>
      <c r="L186" s="13">
        <f t="shared" si="28"/>
        <v>286032</v>
      </c>
      <c r="M186" s="11"/>
    </row>
    <row r="187" spans="1:13">
      <c r="A187" s="11" t="s">
        <v>386</v>
      </c>
      <c r="B187" s="11" t="s">
        <v>387</v>
      </c>
      <c r="C187" s="13">
        <v>69</v>
      </c>
      <c r="D187" s="15" t="s">
        <v>385</v>
      </c>
      <c r="E187" s="13">
        <v>5555</v>
      </c>
      <c r="F187" s="13">
        <f>ROUND(E187*C187,0)</f>
        <v>383295</v>
      </c>
      <c r="G187" s="13">
        <v>0</v>
      </c>
      <c r="H187" s="13">
        <f>ROUND(G187*C187,0)</f>
        <v>0</v>
      </c>
      <c r="I187" s="13">
        <v>0</v>
      </c>
      <c r="J187" s="13">
        <f>ROUND(I187*C187,0)</f>
        <v>0</v>
      </c>
      <c r="K187" s="13">
        <f t="shared" si="28"/>
        <v>5555</v>
      </c>
      <c r="L187" s="13">
        <f t="shared" si="28"/>
        <v>383295</v>
      </c>
      <c r="M187" s="11"/>
    </row>
    <row r="188" spans="1:13">
      <c r="A188" s="11" t="s">
        <v>388</v>
      </c>
      <c r="B188" s="11" t="s">
        <v>389</v>
      </c>
      <c r="C188" s="13">
        <v>117</v>
      </c>
      <c r="D188" s="15" t="s">
        <v>385</v>
      </c>
      <c r="E188" s="13">
        <v>0</v>
      </c>
      <c r="F188" s="13">
        <f>ROUND(E188*C188,0)</f>
        <v>0</v>
      </c>
      <c r="G188" s="13">
        <v>0</v>
      </c>
      <c r="H188" s="13">
        <f>ROUND(G188*C188,0)</f>
        <v>0</v>
      </c>
      <c r="I188" s="13">
        <v>1102</v>
      </c>
      <c r="J188" s="13">
        <f>ROUND(I188*C188,0)</f>
        <v>128934</v>
      </c>
      <c r="K188" s="13">
        <f t="shared" si="28"/>
        <v>1102</v>
      </c>
      <c r="L188" s="13">
        <f t="shared" si="28"/>
        <v>128934</v>
      </c>
      <c r="M188" s="11"/>
    </row>
    <row r="189" spans="1:13">
      <c r="A189" s="11" t="s">
        <v>390</v>
      </c>
      <c r="B189" s="11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</row>
    <row r="190" spans="1:13">
      <c r="A190" s="11" t="s">
        <v>391</v>
      </c>
      <c r="B190" s="11" t="s">
        <v>392</v>
      </c>
      <c r="C190" s="13">
        <v>20</v>
      </c>
      <c r="D190" s="15" t="s">
        <v>108</v>
      </c>
      <c r="E190" s="13">
        <v>26260</v>
      </c>
      <c r="F190" s="13">
        <f>ROUND(E190*C190,0)</f>
        <v>525200</v>
      </c>
      <c r="G190" s="13">
        <v>0</v>
      </c>
      <c r="H190" s="13">
        <f>ROUND(G190*C190,0)</f>
        <v>0</v>
      </c>
      <c r="I190" s="13">
        <v>0</v>
      </c>
      <c r="J190" s="13">
        <f>ROUND(I190*C190,0)</f>
        <v>0</v>
      </c>
      <c r="K190" s="13">
        <f t="shared" ref="K190:L192" si="29">E190+G190+I190</f>
        <v>26260</v>
      </c>
      <c r="L190" s="13">
        <f t="shared" si="29"/>
        <v>525200</v>
      </c>
      <c r="M190" s="11"/>
    </row>
    <row r="191" spans="1:13">
      <c r="A191" s="11" t="s">
        <v>393</v>
      </c>
      <c r="B191" s="11" t="s">
        <v>394</v>
      </c>
      <c r="C191" s="13">
        <v>2</v>
      </c>
      <c r="D191" s="15" t="s">
        <v>108</v>
      </c>
      <c r="E191" s="13">
        <v>26260</v>
      </c>
      <c r="F191" s="13">
        <f>ROUND(E191*C191,0)</f>
        <v>52520</v>
      </c>
      <c r="G191" s="13">
        <v>0</v>
      </c>
      <c r="H191" s="13">
        <f>ROUND(G191*C191,0)</f>
        <v>0</v>
      </c>
      <c r="I191" s="13">
        <v>0</v>
      </c>
      <c r="J191" s="13">
        <f>ROUND(I191*C191,0)</f>
        <v>0</v>
      </c>
      <c r="K191" s="13">
        <f t="shared" si="29"/>
        <v>26260</v>
      </c>
      <c r="L191" s="13">
        <f t="shared" si="29"/>
        <v>52520</v>
      </c>
      <c r="M191" s="11"/>
    </row>
    <row r="192" spans="1:13">
      <c r="A192" s="11" t="s">
        <v>395</v>
      </c>
      <c r="B192" s="11" t="s">
        <v>396</v>
      </c>
      <c r="C192" s="13">
        <v>20</v>
      </c>
      <c r="D192" s="15" t="s">
        <v>108</v>
      </c>
      <c r="E192" s="13">
        <v>18180</v>
      </c>
      <c r="F192" s="13">
        <f>ROUND(E192*C192,0)</f>
        <v>363600</v>
      </c>
      <c r="G192" s="13">
        <v>0</v>
      </c>
      <c r="H192" s="13">
        <f>ROUND(G192*C192,0)</f>
        <v>0</v>
      </c>
      <c r="I192" s="13">
        <v>0</v>
      </c>
      <c r="J192" s="13">
        <f>ROUND(I192*C192,0)</f>
        <v>0</v>
      </c>
      <c r="K192" s="13">
        <f t="shared" si="29"/>
        <v>18180</v>
      </c>
      <c r="L192" s="13">
        <f t="shared" si="29"/>
        <v>363600</v>
      </c>
      <c r="M192" s="11"/>
    </row>
    <row r="193" spans="1:13">
      <c r="A193" s="11" t="s">
        <v>397</v>
      </c>
      <c r="B193" s="11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</row>
    <row r="194" spans="1:13" ht="33">
      <c r="A194" s="11" t="s">
        <v>398</v>
      </c>
      <c r="B194" s="11" t="s">
        <v>399</v>
      </c>
      <c r="C194" s="24">
        <v>1.56</v>
      </c>
      <c r="D194" s="15" t="s">
        <v>400</v>
      </c>
      <c r="E194" s="13">
        <v>929622</v>
      </c>
      <c r="F194" s="13">
        <f t="shared" ref="F194:F199" si="30">ROUND(E194*C194,0)</f>
        <v>1450210</v>
      </c>
      <c r="G194" s="13">
        <v>0</v>
      </c>
      <c r="H194" s="13">
        <f t="shared" ref="H194:H199" si="31">ROUND(G194*C194,0)</f>
        <v>0</v>
      </c>
      <c r="I194" s="13">
        <v>0</v>
      </c>
      <c r="J194" s="13">
        <f t="shared" ref="J194:J199" si="32">ROUND(I194*C194,0)</f>
        <v>0</v>
      </c>
      <c r="K194" s="13">
        <f t="shared" ref="K194:L199" si="33">E194+G194+I194</f>
        <v>929622</v>
      </c>
      <c r="L194" s="13">
        <f t="shared" si="33"/>
        <v>1450210</v>
      </c>
      <c r="M194" s="11"/>
    </row>
    <row r="195" spans="1:13" ht="33">
      <c r="A195" s="11" t="s">
        <v>401</v>
      </c>
      <c r="B195" s="11" t="s">
        <v>402</v>
      </c>
      <c r="C195" s="24">
        <v>8.9239999999999995</v>
      </c>
      <c r="D195" s="15" t="s">
        <v>400</v>
      </c>
      <c r="E195" s="13">
        <v>898953</v>
      </c>
      <c r="F195" s="13">
        <f t="shared" si="30"/>
        <v>8022257</v>
      </c>
      <c r="G195" s="13">
        <v>0</v>
      </c>
      <c r="H195" s="13">
        <f t="shared" si="31"/>
        <v>0</v>
      </c>
      <c r="I195" s="13">
        <v>0</v>
      </c>
      <c r="J195" s="13">
        <f t="shared" si="32"/>
        <v>0</v>
      </c>
      <c r="K195" s="13">
        <f t="shared" si="33"/>
        <v>898953</v>
      </c>
      <c r="L195" s="13">
        <f t="shared" si="33"/>
        <v>8022257</v>
      </c>
      <c r="M195" s="11"/>
    </row>
    <row r="196" spans="1:13" ht="33">
      <c r="A196" s="11" t="s">
        <v>403</v>
      </c>
      <c r="B196" s="11" t="s">
        <v>404</v>
      </c>
      <c r="C196" s="24">
        <v>3.1429999999999998</v>
      </c>
      <c r="D196" s="15" t="s">
        <v>400</v>
      </c>
      <c r="E196" s="13">
        <v>898965</v>
      </c>
      <c r="F196" s="13">
        <f t="shared" si="30"/>
        <v>2825447</v>
      </c>
      <c r="G196" s="13">
        <v>0</v>
      </c>
      <c r="H196" s="13">
        <f t="shared" si="31"/>
        <v>0</v>
      </c>
      <c r="I196" s="13">
        <v>0</v>
      </c>
      <c r="J196" s="13">
        <f t="shared" si="32"/>
        <v>0</v>
      </c>
      <c r="K196" s="13">
        <f t="shared" si="33"/>
        <v>898965</v>
      </c>
      <c r="L196" s="13">
        <f t="shared" si="33"/>
        <v>2825447</v>
      </c>
      <c r="M196" s="11"/>
    </row>
    <row r="197" spans="1:13" ht="33">
      <c r="A197" s="11" t="s">
        <v>405</v>
      </c>
      <c r="B197" s="11" t="s">
        <v>406</v>
      </c>
      <c r="C197" s="24">
        <v>0.28799999999999998</v>
      </c>
      <c r="D197" s="15" t="s">
        <v>400</v>
      </c>
      <c r="E197" s="13">
        <v>898778</v>
      </c>
      <c r="F197" s="13">
        <f t="shared" si="30"/>
        <v>258848</v>
      </c>
      <c r="G197" s="13">
        <v>0</v>
      </c>
      <c r="H197" s="13">
        <f t="shared" si="31"/>
        <v>0</v>
      </c>
      <c r="I197" s="13">
        <v>0</v>
      </c>
      <c r="J197" s="13">
        <f t="shared" si="32"/>
        <v>0</v>
      </c>
      <c r="K197" s="13">
        <f t="shared" si="33"/>
        <v>898778</v>
      </c>
      <c r="L197" s="13">
        <f t="shared" si="33"/>
        <v>258848</v>
      </c>
      <c r="M197" s="11"/>
    </row>
    <row r="198" spans="1:13">
      <c r="A198" s="11" t="s">
        <v>407</v>
      </c>
      <c r="B198" s="11" t="s">
        <v>408</v>
      </c>
      <c r="C198" s="24">
        <v>13.916</v>
      </c>
      <c r="D198" s="15" t="s">
        <v>400</v>
      </c>
      <c r="E198" s="13">
        <v>0</v>
      </c>
      <c r="F198" s="13">
        <f t="shared" si="30"/>
        <v>0</v>
      </c>
      <c r="G198" s="13">
        <v>0</v>
      </c>
      <c r="H198" s="13">
        <f t="shared" si="31"/>
        <v>0</v>
      </c>
      <c r="I198" s="13">
        <v>22049</v>
      </c>
      <c r="J198" s="13">
        <f t="shared" si="32"/>
        <v>306834</v>
      </c>
      <c r="K198" s="13">
        <f t="shared" si="33"/>
        <v>22049</v>
      </c>
      <c r="L198" s="13">
        <f t="shared" si="33"/>
        <v>306834</v>
      </c>
      <c r="M198" s="11"/>
    </row>
    <row r="199" spans="1:13">
      <c r="A199" s="11" t="s">
        <v>409</v>
      </c>
      <c r="B199" s="11" t="s">
        <v>410</v>
      </c>
      <c r="C199" s="24">
        <v>0.28399999999999997</v>
      </c>
      <c r="D199" s="15" t="s">
        <v>400</v>
      </c>
      <c r="E199" s="13">
        <v>-400000</v>
      </c>
      <c r="F199" s="13">
        <f t="shared" si="30"/>
        <v>-113600</v>
      </c>
      <c r="G199" s="13">
        <v>0</v>
      </c>
      <c r="H199" s="13">
        <f t="shared" si="31"/>
        <v>0</v>
      </c>
      <c r="I199" s="13">
        <v>0</v>
      </c>
      <c r="J199" s="13">
        <f t="shared" si="32"/>
        <v>0</v>
      </c>
      <c r="K199" s="13">
        <f t="shared" si="33"/>
        <v>-400000</v>
      </c>
      <c r="L199" s="13">
        <f t="shared" si="33"/>
        <v>-113600</v>
      </c>
      <c r="M199" s="11"/>
    </row>
    <row r="200" spans="1:13">
      <c r="A200" s="11" t="s">
        <v>411</v>
      </c>
      <c r="B200" s="11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</row>
    <row r="201" spans="1:13">
      <c r="A201" s="11" t="s">
        <v>412</v>
      </c>
      <c r="B201" s="11" t="s">
        <v>413</v>
      </c>
      <c r="C201" s="13">
        <v>362</v>
      </c>
      <c r="D201" s="15" t="s">
        <v>108</v>
      </c>
      <c r="E201" s="13">
        <v>88880</v>
      </c>
      <c r="F201" s="13">
        <f>ROUND(E201*C201,0)</f>
        <v>32174560</v>
      </c>
      <c r="G201" s="13">
        <v>0</v>
      </c>
      <c r="H201" s="13">
        <f>ROUND(G201*C201,0)</f>
        <v>0</v>
      </c>
      <c r="I201" s="13">
        <v>0</v>
      </c>
      <c r="J201" s="13">
        <f>ROUND(I201*C201,0)</f>
        <v>0</v>
      </c>
      <c r="K201" s="13">
        <f>E201+G201+I201</f>
        <v>88880</v>
      </c>
      <c r="L201" s="13">
        <f>F201+H201+J201</f>
        <v>32174560</v>
      </c>
      <c r="M201" s="11"/>
    </row>
    <row r="202" spans="1:13">
      <c r="A202" s="11" t="s">
        <v>414</v>
      </c>
      <c r="B202" s="11" t="s">
        <v>415</v>
      </c>
      <c r="C202" s="13">
        <v>306</v>
      </c>
      <c r="D202" s="15" t="s">
        <v>108</v>
      </c>
      <c r="E202" s="13">
        <v>87062</v>
      </c>
      <c r="F202" s="13">
        <f>ROUND(E202*C202,0)</f>
        <v>26640972</v>
      </c>
      <c r="G202" s="13">
        <v>0</v>
      </c>
      <c r="H202" s="13">
        <f>ROUND(G202*C202,0)</f>
        <v>0</v>
      </c>
      <c r="I202" s="13">
        <v>0</v>
      </c>
      <c r="J202" s="13">
        <f>ROUND(I202*C202,0)</f>
        <v>0</v>
      </c>
      <c r="K202" s="13">
        <f>E202+G202+I202</f>
        <v>87062</v>
      </c>
      <c r="L202" s="13">
        <f>F202+H202+J202</f>
        <v>26640972</v>
      </c>
      <c r="M202" s="11"/>
    </row>
    <row r="203" spans="1:13">
      <c r="A203" s="11" t="s">
        <v>416</v>
      </c>
      <c r="B203" s="11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</row>
    <row r="204" spans="1:13">
      <c r="A204" s="11" t="s">
        <v>417</v>
      </c>
      <c r="B204" s="11" t="s">
        <v>418</v>
      </c>
      <c r="C204" s="13">
        <v>284</v>
      </c>
      <c r="D204" s="15" t="s">
        <v>419</v>
      </c>
      <c r="E204" s="13">
        <v>18728</v>
      </c>
      <c r="F204" s="13">
        <f t="shared" ref="F204:F217" si="34">ROUND(E204*C204,0)</f>
        <v>5318752</v>
      </c>
      <c r="G204" s="13">
        <v>0</v>
      </c>
      <c r="H204" s="13">
        <f t="shared" ref="H204:H217" si="35">ROUND(G204*C204,0)</f>
        <v>0</v>
      </c>
      <c r="I204" s="13">
        <v>0</v>
      </c>
      <c r="J204" s="13">
        <f t="shared" ref="J204:J217" si="36">ROUND(I204*C204,0)</f>
        <v>0</v>
      </c>
      <c r="K204" s="13">
        <f t="shared" ref="K204:K217" si="37">E204+G204+I204</f>
        <v>18728</v>
      </c>
      <c r="L204" s="13">
        <f t="shared" ref="L204:L217" si="38">F204+H204+J204</f>
        <v>5318752</v>
      </c>
      <c r="M204" s="11"/>
    </row>
    <row r="205" spans="1:13">
      <c r="A205" s="11" t="s">
        <v>420</v>
      </c>
      <c r="B205" s="11" t="s">
        <v>421</v>
      </c>
      <c r="C205" s="13">
        <v>569</v>
      </c>
      <c r="D205" s="15" t="s">
        <v>419</v>
      </c>
      <c r="E205" s="13">
        <v>26795</v>
      </c>
      <c r="F205" s="13">
        <f t="shared" si="34"/>
        <v>15246355</v>
      </c>
      <c r="G205" s="13">
        <v>0</v>
      </c>
      <c r="H205" s="13">
        <f t="shared" si="35"/>
        <v>0</v>
      </c>
      <c r="I205" s="13">
        <v>0</v>
      </c>
      <c r="J205" s="13">
        <f t="shared" si="36"/>
        <v>0</v>
      </c>
      <c r="K205" s="13">
        <f t="shared" si="37"/>
        <v>26795</v>
      </c>
      <c r="L205" s="13">
        <f t="shared" si="38"/>
        <v>15246355</v>
      </c>
      <c r="M205" s="11"/>
    </row>
    <row r="206" spans="1:13">
      <c r="A206" s="11" t="s">
        <v>422</v>
      </c>
      <c r="B206" s="11" t="s">
        <v>423</v>
      </c>
      <c r="C206" s="13">
        <v>99</v>
      </c>
      <c r="D206" s="15" t="s">
        <v>419</v>
      </c>
      <c r="E206" s="13">
        <v>47773</v>
      </c>
      <c r="F206" s="13">
        <f t="shared" si="34"/>
        <v>4729527</v>
      </c>
      <c r="G206" s="13">
        <v>0</v>
      </c>
      <c r="H206" s="13">
        <f t="shared" si="35"/>
        <v>0</v>
      </c>
      <c r="I206" s="13">
        <v>0</v>
      </c>
      <c r="J206" s="13">
        <f t="shared" si="36"/>
        <v>0</v>
      </c>
      <c r="K206" s="13">
        <f t="shared" si="37"/>
        <v>47773</v>
      </c>
      <c r="L206" s="13">
        <f t="shared" si="38"/>
        <v>4729527</v>
      </c>
      <c r="M206" s="11"/>
    </row>
    <row r="207" spans="1:13">
      <c r="A207" s="11" t="s">
        <v>424</v>
      </c>
      <c r="B207" s="11" t="s">
        <v>425</v>
      </c>
      <c r="C207" s="13">
        <v>270</v>
      </c>
      <c r="D207" s="15" t="s">
        <v>419</v>
      </c>
      <c r="E207" s="13">
        <v>76659</v>
      </c>
      <c r="F207" s="13">
        <f t="shared" si="34"/>
        <v>20697930</v>
      </c>
      <c r="G207" s="13">
        <v>0</v>
      </c>
      <c r="H207" s="13">
        <f t="shared" si="35"/>
        <v>0</v>
      </c>
      <c r="I207" s="13">
        <v>0</v>
      </c>
      <c r="J207" s="13">
        <f t="shared" si="36"/>
        <v>0</v>
      </c>
      <c r="K207" s="13">
        <f t="shared" si="37"/>
        <v>76659</v>
      </c>
      <c r="L207" s="13">
        <f t="shared" si="38"/>
        <v>20697930</v>
      </c>
      <c r="M207" s="11"/>
    </row>
    <row r="208" spans="1:13">
      <c r="A208" s="11" t="s">
        <v>426</v>
      </c>
      <c r="B208" s="11" t="s">
        <v>427</v>
      </c>
      <c r="C208" s="13">
        <v>17</v>
      </c>
      <c r="D208" s="15" t="s">
        <v>419</v>
      </c>
      <c r="E208" s="13">
        <v>99142</v>
      </c>
      <c r="F208" s="13">
        <f t="shared" si="34"/>
        <v>1685414</v>
      </c>
      <c r="G208" s="13">
        <v>0</v>
      </c>
      <c r="H208" s="13">
        <f t="shared" si="35"/>
        <v>0</v>
      </c>
      <c r="I208" s="13">
        <v>0</v>
      </c>
      <c r="J208" s="13">
        <f t="shared" si="36"/>
        <v>0</v>
      </c>
      <c r="K208" s="13">
        <f t="shared" si="37"/>
        <v>99142</v>
      </c>
      <c r="L208" s="13">
        <f t="shared" si="38"/>
        <v>1685414</v>
      </c>
      <c r="M208" s="11"/>
    </row>
    <row r="209" spans="1:13">
      <c r="A209" s="11" t="s">
        <v>428</v>
      </c>
      <c r="B209" s="11" t="s">
        <v>429</v>
      </c>
      <c r="C209" s="13">
        <v>85</v>
      </c>
      <c r="D209" s="15" t="s">
        <v>419</v>
      </c>
      <c r="E209" s="13">
        <v>123624</v>
      </c>
      <c r="F209" s="13">
        <f t="shared" si="34"/>
        <v>10508040</v>
      </c>
      <c r="G209" s="13">
        <v>0</v>
      </c>
      <c r="H209" s="13">
        <f t="shared" si="35"/>
        <v>0</v>
      </c>
      <c r="I209" s="13">
        <v>0</v>
      </c>
      <c r="J209" s="13">
        <f t="shared" si="36"/>
        <v>0</v>
      </c>
      <c r="K209" s="13">
        <f t="shared" si="37"/>
        <v>123624</v>
      </c>
      <c r="L209" s="13">
        <f t="shared" si="38"/>
        <v>10508040</v>
      </c>
      <c r="M209" s="11"/>
    </row>
    <row r="210" spans="1:13">
      <c r="A210" s="11" t="s">
        <v>430</v>
      </c>
      <c r="B210" s="11" t="s">
        <v>431</v>
      </c>
      <c r="C210" s="13">
        <v>16</v>
      </c>
      <c r="D210" s="15" t="s">
        <v>419</v>
      </c>
      <c r="E210" s="13">
        <v>173518</v>
      </c>
      <c r="F210" s="13">
        <f t="shared" si="34"/>
        <v>2776288</v>
      </c>
      <c r="G210" s="13">
        <v>0</v>
      </c>
      <c r="H210" s="13">
        <f t="shared" si="35"/>
        <v>0</v>
      </c>
      <c r="I210" s="13">
        <v>0</v>
      </c>
      <c r="J210" s="13">
        <f t="shared" si="36"/>
        <v>0</v>
      </c>
      <c r="K210" s="13">
        <f t="shared" si="37"/>
        <v>173518</v>
      </c>
      <c r="L210" s="13">
        <f t="shared" si="38"/>
        <v>2776288</v>
      </c>
      <c r="M210" s="11"/>
    </row>
    <row r="211" spans="1:13">
      <c r="A211" s="11" t="s">
        <v>432</v>
      </c>
      <c r="B211" s="11" t="s">
        <v>433</v>
      </c>
      <c r="C211" s="13">
        <v>114</v>
      </c>
      <c r="D211" s="15" t="s">
        <v>377</v>
      </c>
      <c r="E211" s="13">
        <v>0</v>
      </c>
      <c r="F211" s="13">
        <f t="shared" si="34"/>
        <v>0</v>
      </c>
      <c r="G211" s="13">
        <v>0</v>
      </c>
      <c r="H211" s="13">
        <f t="shared" si="35"/>
        <v>0</v>
      </c>
      <c r="I211" s="13">
        <v>1941</v>
      </c>
      <c r="J211" s="13">
        <f t="shared" si="36"/>
        <v>221274</v>
      </c>
      <c r="K211" s="13">
        <f t="shared" si="37"/>
        <v>1941</v>
      </c>
      <c r="L211" s="13">
        <f t="shared" si="38"/>
        <v>221274</v>
      </c>
      <c r="M211" s="11"/>
    </row>
    <row r="212" spans="1:13">
      <c r="A212" s="11" t="s">
        <v>434</v>
      </c>
      <c r="B212" s="11" t="s">
        <v>435</v>
      </c>
      <c r="C212" s="13">
        <v>228</v>
      </c>
      <c r="D212" s="15" t="s">
        <v>377</v>
      </c>
      <c r="E212" s="13">
        <v>0</v>
      </c>
      <c r="F212" s="13">
        <f t="shared" si="34"/>
        <v>0</v>
      </c>
      <c r="G212" s="13">
        <v>0</v>
      </c>
      <c r="H212" s="13">
        <f t="shared" si="35"/>
        <v>0</v>
      </c>
      <c r="I212" s="13">
        <v>2910</v>
      </c>
      <c r="J212" s="13">
        <f t="shared" si="36"/>
        <v>663480</v>
      </c>
      <c r="K212" s="13">
        <f t="shared" si="37"/>
        <v>2910</v>
      </c>
      <c r="L212" s="13">
        <f t="shared" si="38"/>
        <v>663480</v>
      </c>
      <c r="M212" s="11"/>
    </row>
    <row r="213" spans="1:13">
      <c r="A213" s="11" t="s">
        <v>436</v>
      </c>
      <c r="B213" s="11" t="s">
        <v>437</v>
      </c>
      <c r="C213" s="13">
        <v>40</v>
      </c>
      <c r="D213" s="15" t="s">
        <v>377</v>
      </c>
      <c r="E213" s="13">
        <v>0</v>
      </c>
      <c r="F213" s="13">
        <f t="shared" si="34"/>
        <v>0</v>
      </c>
      <c r="G213" s="13">
        <v>0</v>
      </c>
      <c r="H213" s="13">
        <f t="shared" si="35"/>
        <v>0</v>
      </c>
      <c r="I213" s="13">
        <v>5512</v>
      </c>
      <c r="J213" s="13">
        <f t="shared" si="36"/>
        <v>220480</v>
      </c>
      <c r="K213" s="13">
        <f t="shared" si="37"/>
        <v>5512</v>
      </c>
      <c r="L213" s="13">
        <f t="shared" si="38"/>
        <v>220480</v>
      </c>
      <c r="M213" s="11"/>
    </row>
    <row r="214" spans="1:13">
      <c r="A214" s="11" t="s">
        <v>438</v>
      </c>
      <c r="B214" s="11" t="s">
        <v>439</v>
      </c>
      <c r="C214" s="13">
        <v>109</v>
      </c>
      <c r="D214" s="15" t="s">
        <v>377</v>
      </c>
      <c r="E214" s="13">
        <v>0</v>
      </c>
      <c r="F214" s="13">
        <f t="shared" si="34"/>
        <v>0</v>
      </c>
      <c r="G214" s="13">
        <v>0</v>
      </c>
      <c r="H214" s="13">
        <f t="shared" si="35"/>
        <v>0</v>
      </c>
      <c r="I214" s="13">
        <v>7354</v>
      </c>
      <c r="J214" s="13">
        <f t="shared" si="36"/>
        <v>801586</v>
      </c>
      <c r="K214" s="13">
        <f t="shared" si="37"/>
        <v>7354</v>
      </c>
      <c r="L214" s="13">
        <f t="shared" si="38"/>
        <v>801586</v>
      </c>
      <c r="M214" s="11"/>
    </row>
    <row r="215" spans="1:13">
      <c r="A215" s="11" t="s">
        <v>440</v>
      </c>
      <c r="B215" s="11" t="s">
        <v>441</v>
      </c>
      <c r="C215" s="13">
        <v>7</v>
      </c>
      <c r="D215" s="15" t="s">
        <v>377</v>
      </c>
      <c r="E215" s="13">
        <v>0</v>
      </c>
      <c r="F215" s="13">
        <f t="shared" si="34"/>
        <v>0</v>
      </c>
      <c r="G215" s="13">
        <v>0</v>
      </c>
      <c r="H215" s="13">
        <f t="shared" si="35"/>
        <v>0</v>
      </c>
      <c r="I215" s="13">
        <v>8489</v>
      </c>
      <c r="J215" s="13">
        <f t="shared" si="36"/>
        <v>59423</v>
      </c>
      <c r="K215" s="13">
        <f t="shared" si="37"/>
        <v>8489</v>
      </c>
      <c r="L215" s="13">
        <f t="shared" si="38"/>
        <v>59423</v>
      </c>
      <c r="M215" s="11"/>
    </row>
    <row r="216" spans="1:13">
      <c r="A216" s="11" t="s">
        <v>442</v>
      </c>
      <c r="B216" s="11" t="s">
        <v>443</v>
      </c>
      <c r="C216" s="13">
        <v>35</v>
      </c>
      <c r="D216" s="15" t="s">
        <v>377</v>
      </c>
      <c r="E216" s="13">
        <v>0</v>
      </c>
      <c r="F216" s="13">
        <f t="shared" si="34"/>
        <v>0</v>
      </c>
      <c r="G216" s="13">
        <v>0</v>
      </c>
      <c r="H216" s="13">
        <f t="shared" si="35"/>
        <v>0</v>
      </c>
      <c r="I216" s="13">
        <v>11024</v>
      </c>
      <c r="J216" s="13">
        <f t="shared" si="36"/>
        <v>385840</v>
      </c>
      <c r="K216" s="13">
        <f t="shared" si="37"/>
        <v>11024</v>
      </c>
      <c r="L216" s="13">
        <f t="shared" si="38"/>
        <v>385840</v>
      </c>
      <c r="M216" s="11"/>
    </row>
    <row r="217" spans="1:13">
      <c r="A217" s="11" t="s">
        <v>444</v>
      </c>
      <c r="B217" s="11" t="s">
        <v>445</v>
      </c>
      <c r="C217" s="13">
        <v>7</v>
      </c>
      <c r="D217" s="15" t="s">
        <v>377</v>
      </c>
      <c r="E217" s="13">
        <v>0</v>
      </c>
      <c r="F217" s="13">
        <f t="shared" si="34"/>
        <v>0</v>
      </c>
      <c r="G217" s="13">
        <v>0</v>
      </c>
      <c r="H217" s="13">
        <f t="shared" si="35"/>
        <v>0</v>
      </c>
      <c r="I217" s="13">
        <v>15765</v>
      </c>
      <c r="J217" s="13">
        <f t="shared" si="36"/>
        <v>110355</v>
      </c>
      <c r="K217" s="13">
        <f t="shared" si="37"/>
        <v>15765</v>
      </c>
      <c r="L217" s="13">
        <f t="shared" si="38"/>
        <v>110355</v>
      </c>
      <c r="M217" s="11"/>
    </row>
    <row r="218" spans="1:13">
      <c r="A218" s="11" t="s">
        <v>446</v>
      </c>
      <c r="B218" s="11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</row>
    <row r="219" spans="1:13">
      <c r="A219" s="11" t="s">
        <v>447</v>
      </c>
      <c r="B219" s="11" t="s">
        <v>448</v>
      </c>
      <c r="C219" s="13">
        <v>37</v>
      </c>
      <c r="D219" s="15" t="s">
        <v>449</v>
      </c>
      <c r="E219" s="13">
        <v>323200</v>
      </c>
      <c r="F219" s="13">
        <f>ROUND(E219*C219,0)</f>
        <v>11958400</v>
      </c>
      <c r="G219" s="13">
        <v>0</v>
      </c>
      <c r="H219" s="13">
        <f>ROUND(G219*C219,0)</f>
        <v>0</v>
      </c>
      <c r="I219" s="13">
        <v>0</v>
      </c>
      <c r="J219" s="13">
        <f>ROUND(I219*C219,0)</f>
        <v>0</v>
      </c>
      <c r="K219" s="13">
        <f>E219+G219+I219</f>
        <v>323200</v>
      </c>
      <c r="L219" s="13">
        <f>F219+H219+J219</f>
        <v>11958400</v>
      </c>
      <c r="M219" s="11"/>
    </row>
    <row r="220" spans="1:13">
      <c r="A220" s="19" t="s">
        <v>450</v>
      </c>
      <c r="B220" s="20"/>
      <c r="C220" s="21"/>
      <c r="D220" s="21"/>
      <c r="E220" s="21"/>
      <c r="F220" s="22">
        <f>SUM(F224:F287)</f>
        <v>44900160</v>
      </c>
      <c r="G220" s="21"/>
      <c r="H220" s="22">
        <f>SUM(H224:H287)</f>
        <v>34125578</v>
      </c>
      <c r="I220" s="21"/>
      <c r="J220" s="22">
        <f>SUM(J224:J287)</f>
        <v>35261816</v>
      </c>
      <c r="K220" s="21"/>
      <c r="L220" s="22">
        <f>F220+H220+J220</f>
        <v>114287554</v>
      </c>
      <c r="M220" s="21"/>
    </row>
    <row r="221" spans="1:13">
      <c r="A221" s="11" t="s">
        <v>451</v>
      </c>
      <c r="B221" s="11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</row>
    <row r="222" spans="1:13">
      <c r="A222" s="11" t="s">
        <v>221</v>
      </c>
      <c r="B222" s="11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</row>
    <row r="223" spans="1:13">
      <c r="A223" s="11" t="s">
        <v>159</v>
      </c>
      <c r="B223" s="11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</row>
    <row r="224" spans="1:13">
      <c r="A224" s="11" t="s">
        <v>222</v>
      </c>
      <c r="B224" s="11" t="s">
        <v>116</v>
      </c>
      <c r="C224" s="13">
        <v>3339</v>
      </c>
      <c r="D224" s="15" t="s">
        <v>108</v>
      </c>
      <c r="E224" s="13">
        <v>0</v>
      </c>
      <c r="F224" s="13">
        <f>ROUND(E224*C224,0)</f>
        <v>0</v>
      </c>
      <c r="G224" s="13">
        <v>0</v>
      </c>
      <c r="H224" s="13">
        <f>ROUND(G224*C224,0)</f>
        <v>0</v>
      </c>
      <c r="I224" s="13">
        <v>1764</v>
      </c>
      <c r="J224" s="13">
        <f>ROUND(I224*C224,0)</f>
        <v>5889996</v>
      </c>
      <c r="K224" s="13">
        <f>E224+G224+I224</f>
        <v>1764</v>
      </c>
      <c r="L224" s="13">
        <f>F224+H224+J224</f>
        <v>5889996</v>
      </c>
      <c r="M224" s="11"/>
    </row>
    <row r="225" spans="1:13" ht="33">
      <c r="A225" s="11" t="s">
        <v>223</v>
      </c>
      <c r="B225" s="11" t="s">
        <v>452</v>
      </c>
      <c r="C225" s="13">
        <v>108</v>
      </c>
      <c r="D225" s="15" t="s">
        <v>108</v>
      </c>
      <c r="E225" s="13">
        <v>0</v>
      </c>
      <c r="F225" s="13">
        <f>ROUND(E225*C225,0)</f>
        <v>0</v>
      </c>
      <c r="G225" s="13">
        <v>3131</v>
      </c>
      <c r="H225" s="13">
        <f>ROUND(G225*C225,0)</f>
        <v>338148</v>
      </c>
      <c r="I225" s="13">
        <v>4410</v>
      </c>
      <c r="J225" s="13">
        <f>ROUND(I225*C225,0)</f>
        <v>476280</v>
      </c>
      <c r="K225" s="13">
        <f>E225+G225+I225</f>
        <v>7541</v>
      </c>
      <c r="L225" s="13">
        <f>F225+H225+J225</f>
        <v>814428</v>
      </c>
      <c r="M225" s="11"/>
    </row>
    <row r="226" spans="1:13">
      <c r="A226" s="11" t="s">
        <v>227</v>
      </c>
      <c r="B226" s="11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</row>
    <row r="227" spans="1:13" ht="33">
      <c r="A227" s="11" t="s">
        <v>453</v>
      </c>
      <c r="B227" s="11" t="s">
        <v>232</v>
      </c>
      <c r="C227" s="13">
        <v>3111</v>
      </c>
      <c r="D227" s="15" t="s">
        <v>108</v>
      </c>
      <c r="E227" s="13">
        <v>0</v>
      </c>
      <c r="F227" s="13">
        <f>ROUND(E227*C227,0)</f>
        <v>0</v>
      </c>
      <c r="G227" s="13">
        <v>2525</v>
      </c>
      <c r="H227" s="13">
        <f>ROUND(G227*C227,0)</f>
        <v>7855275</v>
      </c>
      <c r="I227" s="13">
        <v>4961</v>
      </c>
      <c r="J227" s="13">
        <f>ROUND(I227*C227,0)</f>
        <v>15433671</v>
      </c>
      <c r="K227" s="13">
        <f>E227+G227+I227</f>
        <v>7486</v>
      </c>
      <c r="L227" s="13">
        <f>F227+H227+J227</f>
        <v>23288946</v>
      </c>
      <c r="M227" s="11"/>
    </row>
    <row r="228" spans="1:13" ht="33">
      <c r="A228" s="11" t="s">
        <v>229</v>
      </c>
      <c r="B228" s="11" t="s">
        <v>230</v>
      </c>
      <c r="C228" s="13">
        <v>127</v>
      </c>
      <c r="D228" s="15" t="s">
        <v>108</v>
      </c>
      <c r="E228" s="13">
        <v>0</v>
      </c>
      <c r="F228" s="13">
        <f>ROUND(E228*C228,0)</f>
        <v>0</v>
      </c>
      <c r="G228" s="13">
        <v>2525</v>
      </c>
      <c r="H228" s="13">
        <f>ROUND(G228*C228,0)</f>
        <v>320675</v>
      </c>
      <c r="I228" s="13">
        <v>4961</v>
      </c>
      <c r="J228" s="13">
        <f>ROUND(I228*C228,0)</f>
        <v>630047</v>
      </c>
      <c r="K228" s="13">
        <f>E228+G228+I228</f>
        <v>7486</v>
      </c>
      <c r="L228" s="13">
        <f>F228+H228+J228</f>
        <v>950722</v>
      </c>
      <c r="M228" s="11"/>
    </row>
    <row r="229" spans="1:13">
      <c r="A229" s="11" t="s">
        <v>233</v>
      </c>
      <c r="B229" s="11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</row>
    <row r="230" spans="1:13">
      <c r="A230" s="11" t="s">
        <v>234</v>
      </c>
      <c r="B230" s="11" t="s">
        <v>454</v>
      </c>
      <c r="C230" s="13">
        <v>209</v>
      </c>
      <c r="D230" s="15" t="s">
        <v>108</v>
      </c>
      <c r="E230" s="13">
        <v>0</v>
      </c>
      <c r="F230" s="13">
        <f>ROUND(E230*C230,0)</f>
        <v>0</v>
      </c>
      <c r="G230" s="13">
        <v>0</v>
      </c>
      <c r="H230" s="13">
        <f>ROUND(G230*C230,0)</f>
        <v>0</v>
      </c>
      <c r="I230" s="13">
        <v>11024</v>
      </c>
      <c r="J230" s="13">
        <f>ROUND(I230*C230,0)</f>
        <v>2304016</v>
      </c>
      <c r="K230" s="13">
        <f>E230+G230+I230</f>
        <v>11024</v>
      </c>
      <c r="L230" s="13">
        <f>F230+H230+J230</f>
        <v>2304016</v>
      </c>
      <c r="M230" s="11"/>
    </row>
    <row r="231" spans="1:13">
      <c r="A231" s="11" t="s">
        <v>455</v>
      </c>
      <c r="B231" s="11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</row>
    <row r="232" spans="1:13">
      <c r="A232" s="11" t="s">
        <v>456</v>
      </c>
      <c r="B232" s="11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</row>
    <row r="233" spans="1:13">
      <c r="A233" s="11" t="s">
        <v>457</v>
      </c>
      <c r="B233" s="11" t="s">
        <v>458</v>
      </c>
      <c r="C233" s="13">
        <v>88</v>
      </c>
      <c r="D233" s="15" t="s">
        <v>240</v>
      </c>
      <c r="E233" s="13">
        <v>0</v>
      </c>
      <c r="F233" s="13">
        <f>ROUND(E233*C233,0)</f>
        <v>0</v>
      </c>
      <c r="G233" s="13">
        <v>20200</v>
      </c>
      <c r="H233" s="13">
        <f>ROUND(G233*C233,0)</f>
        <v>1777600</v>
      </c>
      <c r="I233" s="13">
        <v>2127</v>
      </c>
      <c r="J233" s="13">
        <f>ROUND(I233*C233,0)</f>
        <v>187176</v>
      </c>
      <c r="K233" s="13">
        <f>E233+G233+I233</f>
        <v>22327</v>
      </c>
      <c r="L233" s="13">
        <f>F233+H233+J233</f>
        <v>1964776</v>
      </c>
      <c r="M233" s="11"/>
    </row>
    <row r="234" spans="1:13">
      <c r="A234" s="11" t="s">
        <v>459</v>
      </c>
      <c r="B234" s="11" t="s">
        <v>460</v>
      </c>
      <c r="C234" s="13">
        <v>430</v>
      </c>
      <c r="D234" s="15" t="s">
        <v>240</v>
      </c>
      <c r="E234" s="13">
        <v>0</v>
      </c>
      <c r="F234" s="13">
        <f>ROUND(E234*C234,0)</f>
        <v>0</v>
      </c>
      <c r="G234" s="13">
        <v>25250</v>
      </c>
      <c r="H234" s="13">
        <f>ROUND(G234*C234,0)</f>
        <v>10857500</v>
      </c>
      <c r="I234" s="13">
        <v>2127</v>
      </c>
      <c r="J234" s="13">
        <f>ROUND(I234*C234,0)</f>
        <v>914610</v>
      </c>
      <c r="K234" s="13">
        <f>E234+G234+I234</f>
        <v>27377</v>
      </c>
      <c r="L234" s="13">
        <f>F234+H234+J234</f>
        <v>11772110</v>
      </c>
      <c r="M234" s="11"/>
    </row>
    <row r="235" spans="1:13">
      <c r="A235" s="11" t="s">
        <v>461</v>
      </c>
      <c r="B235" s="11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</row>
    <row r="236" spans="1:13">
      <c r="A236" s="11" t="s">
        <v>462</v>
      </c>
      <c r="B236" s="11" t="s">
        <v>463</v>
      </c>
      <c r="C236" s="13">
        <v>8</v>
      </c>
      <c r="D236" s="15" t="s">
        <v>210</v>
      </c>
      <c r="E236" s="13">
        <v>0</v>
      </c>
      <c r="F236" s="13">
        <f>ROUND(E236*C236,0)</f>
        <v>0</v>
      </c>
      <c r="G236" s="13">
        <v>10100</v>
      </c>
      <c r="H236" s="13">
        <f>ROUND(G236*C236,0)</f>
        <v>80800</v>
      </c>
      <c r="I236" s="13">
        <v>0</v>
      </c>
      <c r="J236" s="13">
        <f>ROUND(I236*C236,0)</f>
        <v>0</v>
      </c>
      <c r="K236" s="13">
        <f>E236+G236+I236</f>
        <v>10100</v>
      </c>
      <c r="L236" s="13">
        <f>F236+H236+J236</f>
        <v>80800</v>
      </c>
      <c r="M236" s="11"/>
    </row>
    <row r="237" spans="1:13">
      <c r="A237" s="11" t="s">
        <v>464</v>
      </c>
      <c r="B237" s="11" t="s">
        <v>366</v>
      </c>
      <c r="C237" s="13">
        <v>11</v>
      </c>
      <c r="D237" s="15" t="s">
        <v>210</v>
      </c>
      <c r="E237" s="13">
        <v>0</v>
      </c>
      <c r="F237" s="13">
        <f>ROUND(E237*C237,0)</f>
        <v>0</v>
      </c>
      <c r="G237" s="13">
        <v>15150</v>
      </c>
      <c r="H237" s="13">
        <f>ROUND(G237*C237,0)</f>
        <v>166650</v>
      </c>
      <c r="I237" s="13">
        <v>0</v>
      </c>
      <c r="J237" s="13">
        <f>ROUND(I237*C237,0)</f>
        <v>0</v>
      </c>
      <c r="K237" s="13">
        <f>E237+G237+I237</f>
        <v>15150</v>
      </c>
      <c r="L237" s="13">
        <f>F237+H237+J237</f>
        <v>166650</v>
      </c>
      <c r="M237" s="11"/>
    </row>
    <row r="238" spans="1:13">
      <c r="A238" s="11" t="s">
        <v>465</v>
      </c>
      <c r="B238" s="11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</row>
    <row r="239" spans="1:13">
      <c r="A239" s="11" t="s">
        <v>466</v>
      </c>
      <c r="B239" s="11" t="s">
        <v>467</v>
      </c>
      <c r="C239" s="13">
        <v>179</v>
      </c>
      <c r="D239" s="15" t="s">
        <v>108</v>
      </c>
      <c r="E239" s="13">
        <v>0</v>
      </c>
      <c r="F239" s="13">
        <f>ROUND(E239*C239,0)</f>
        <v>0</v>
      </c>
      <c r="G239" s="13">
        <v>25250</v>
      </c>
      <c r="H239" s="13">
        <f>ROUND(G239*C239,0)</f>
        <v>4519750</v>
      </c>
      <c r="I239" s="13">
        <v>0</v>
      </c>
      <c r="J239" s="13">
        <f>ROUND(I239*C239,0)</f>
        <v>0</v>
      </c>
      <c r="K239" s="13">
        <f>E239+G239+I239</f>
        <v>25250</v>
      </c>
      <c r="L239" s="13">
        <f>F239+H239+J239</f>
        <v>4519750</v>
      </c>
      <c r="M239" s="11"/>
    </row>
    <row r="240" spans="1:13">
      <c r="A240" s="11" t="s">
        <v>468</v>
      </c>
      <c r="B240" s="11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</row>
    <row r="241" spans="1:13">
      <c r="A241" s="11" t="s">
        <v>469</v>
      </c>
      <c r="B241" s="11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</row>
    <row r="242" spans="1:13">
      <c r="A242" s="11" t="s">
        <v>470</v>
      </c>
      <c r="B242" s="11" t="s">
        <v>471</v>
      </c>
      <c r="C242" s="13">
        <v>15</v>
      </c>
      <c r="D242" s="15" t="s">
        <v>210</v>
      </c>
      <c r="E242" s="13">
        <v>808000</v>
      </c>
      <c r="F242" s="13">
        <f>ROUND(E242*C242,0)</f>
        <v>12120000</v>
      </c>
      <c r="G242" s="13">
        <v>209575</v>
      </c>
      <c r="H242" s="13">
        <f>ROUND(G242*C242,0)</f>
        <v>3143625</v>
      </c>
      <c r="I242" s="13">
        <v>261830</v>
      </c>
      <c r="J242" s="13">
        <f>ROUND(I242*C242,0)</f>
        <v>3927450</v>
      </c>
      <c r="K242" s="13">
        <f>E242+G242+I242</f>
        <v>1279405</v>
      </c>
      <c r="L242" s="13">
        <f>F242+H242+J242</f>
        <v>19191075</v>
      </c>
      <c r="M242" s="11"/>
    </row>
    <row r="243" spans="1:13">
      <c r="A243" s="11" t="s">
        <v>472</v>
      </c>
      <c r="B243" s="11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</row>
    <row r="244" spans="1:13">
      <c r="A244" s="11" t="s">
        <v>473</v>
      </c>
      <c r="B244" s="11" t="s">
        <v>463</v>
      </c>
      <c r="C244" s="13">
        <v>8</v>
      </c>
      <c r="D244" s="15" t="s">
        <v>374</v>
      </c>
      <c r="E244" s="13">
        <v>0</v>
      </c>
      <c r="F244" s="13">
        <f>ROUND(E244*C244,0)</f>
        <v>0</v>
      </c>
      <c r="G244" s="13">
        <v>23230</v>
      </c>
      <c r="H244" s="13">
        <f>ROUND(G244*C244,0)</f>
        <v>185840</v>
      </c>
      <c r="I244" s="13">
        <v>0</v>
      </c>
      <c r="J244" s="13">
        <f>ROUND(I244*C244,0)</f>
        <v>0</v>
      </c>
      <c r="K244" s="13">
        <f>E244+G244+I244</f>
        <v>23230</v>
      </c>
      <c r="L244" s="13">
        <f>F244+H244+J244</f>
        <v>185840</v>
      </c>
      <c r="M244" s="11"/>
    </row>
    <row r="245" spans="1:13">
      <c r="A245" s="11" t="s">
        <v>474</v>
      </c>
      <c r="B245" s="11" t="s">
        <v>366</v>
      </c>
      <c r="C245" s="13">
        <v>28</v>
      </c>
      <c r="D245" s="15" t="s">
        <v>374</v>
      </c>
      <c r="E245" s="13">
        <v>0</v>
      </c>
      <c r="F245" s="13">
        <f>ROUND(E245*C245,0)</f>
        <v>0</v>
      </c>
      <c r="G245" s="13">
        <v>32320</v>
      </c>
      <c r="H245" s="13">
        <f>ROUND(G245*C245,0)</f>
        <v>904960</v>
      </c>
      <c r="I245" s="13">
        <v>0</v>
      </c>
      <c r="J245" s="13">
        <f>ROUND(I245*C245,0)</f>
        <v>0</v>
      </c>
      <c r="K245" s="13">
        <f>E245+G245+I245</f>
        <v>32320</v>
      </c>
      <c r="L245" s="13">
        <f>F245+H245+J245</f>
        <v>904960</v>
      </c>
      <c r="M245" s="11"/>
    </row>
    <row r="246" spans="1:13">
      <c r="A246" s="11" t="s">
        <v>475</v>
      </c>
      <c r="B246" s="11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</row>
    <row r="247" spans="1:13">
      <c r="A247" s="11" t="s">
        <v>476</v>
      </c>
      <c r="B247" s="11" t="s">
        <v>477</v>
      </c>
      <c r="C247" s="13">
        <v>8</v>
      </c>
      <c r="D247" s="15" t="s">
        <v>210</v>
      </c>
      <c r="E247" s="13">
        <v>0</v>
      </c>
      <c r="F247" s="13">
        <f>ROUND(E247*C247,0)</f>
        <v>0</v>
      </c>
      <c r="G247" s="13">
        <v>31563</v>
      </c>
      <c r="H247" s="13">
        <f>ROUND(G247*C247,0)</f>
        <v>252504</v>
      </c>
      <c r="I247" s="13">
        <v>0</v>
      </c>
      <c r="J247" s="13">
        <f>ROUND(I247*C247,0)</f>
        <v>0</v>
      </c>
      <c r="K247" s="13">
        <f>E247+G247+I247</f>
        <v>31563</v>
      </c>
      <c r="L247" s="13">
        <f>F247+H247+J247</f>
        <v>252504</v>
      </c>
      <c r="M247" s="11"/>
    </row>
    <row r="248" spans="1:13">
      <c r="A248" s="11" t="s">
        <v>478</v>
      </c>
      <c r="B248" s="11" t="s">
        <v>479</v>
      </c>
      <c r="C248" s="13">
        <v>28</v>
      </c>
      <c r="D248" s="15" t="s">
        <v>210</v>
      </c>
      <c r="E248" s="13">
        <v>0</v>
      </c>
      <c r="F248" s="13">
        <f>ROUND(E248*C248,0)</f>
        <v>0</v>
      </c>
      <c r="G248" s="13">
        <v>31563</v>
      </c>
      <c r="H248" s="13">
        <f>ROUND(G248*C248,0)</f>
        <v>883764</v>
      </c>
      <c r="I248" s="13">
        <v>0</v>
      </c>
      <c r="J248" s="13">
        <f>ROUND(I248*C248,0)</f>
        <v>0</v>
      </c>
      <c r="K248" s="13">
        <f>E248+G248+I248</f>
        <v>31563</v>
      </c>
      <c r="L248" s="13">
        <f>F248+H248+J248</f>
        <v>883764</v>
      </c>
      <c r="M248" s="11"/>
    </row>
    <row r="249" spans="1:13">
      <c r="A249" s="11" t="s">
        <v>480</v>
      </c>
      <c r="B249" s="11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</row>
    <row r="250" spans="1:13">
      <c r="A250" s="11" t="s">
        <v>331</v>
      </c>
      <c r="B250" s="11" t="s">
        <v>256</v>
      </c>
      <c r="C250" s="13">
        <v>11</v>
      </c>
      <c r="D250" s="15" t="s">
        <v>108</v>
      </c>
      <c r="E250" s="13">
        <v>0</v>
      </c>
      <c r="F250" s="13">
        <f t="shared" ref="F250:F259" si="39">ROUND(E250*C250,0)</f>
        <v>0</v>
      </c>
      <c r="G250" s="13">
        <v>11110</v>
      </c>
      <c r="H250" s="13">
        <f t="shared" ref="H250:H259" si="40">ROUND(G250*C250,0)</f>
        <v>122210</v>
      </c>
      <c r="I250" s="13">
        <v>19844</v>
      </c>
      <c r="J250" s="13">
        <f t="shared" ref="J250:J259" si="41">ROUND(I250*C250,0)</f>
        <v>218284</v>
      </c>
      <c r="K250" s="13">
        <f t="shared" ref="K250:K259" si="42">E250+G250+I250</f>
        <v>30954</v>
      </c>
      <c r="L250" s="13">
        <f t="shared" ref="L250:L259" si="43">F250+H250+J250</f>
        <v>340494</v>
      </c>
      <c r="M250" s="11"/>
    </row>
    <row r="251" spans="1:13">
      <c r="A251" s="11" t="s">
        <v>332</v>
      </c>
      <c r="B251" s="11" t="s">
        <v>481</v>
      </c>
      <c r="C251" s="13">
        <v>29</v>
      </c>
      <c r="D251" s="15" t="s">
        <v>102</v>
      </c>
      <c r="E251" s="13">
        <v>0</v>
      </c>
      <c r="F251" s="13">
        <f t="shared" si="39"/>
        <v>0</v>
      </c>
      <c r="G251" s="13">
        <v>20200</v>
      </c>
      <c r="H251" s="13">
        <f t="shared" si="40"/>
        <v>585800</v>
      </c>
      <c r="I251" s="13">
        <v>3859</v>
      </c>
      <c r="J251" s="13">
        <f t="shared" si="41"/>
        <v>111911</v>
      </c>
      <c r="K251" s="13">
        <f t="shared" si="42"/>
        <v>24059</v>
      </c>
      <c r="L251" s="13">
        <f t="shared" si="43"/>
        <v>697711</v>
      </c>
      <c r="M251" s="11"/>
    </row>
    <row r="252" spans="1:13">
      <c r="A252" s="11" t="s">
        <v>482</v>
      </c>
      <c r="B252" s="11" t="s">
        <v>483</v>
      </c>
      <c r="C252" s="24">
        <v>7.3</v>
      </c>
      <c r="D252" s="15" t="s">
        <v>240</v>
      </c>
      <c r="E252" s="13">
        <v>0</v>
      </c>
      <c r="F252" s="13">
        <f t="shared" si="39"/>
        <v>0</v>
      </c>
      <c r="G252" s="13">
        <v>21066</v>
      </c>
      <c r="H252" s="13">
        <f t="shared" si="40"/>
        <v>153782</v>
      </c>
      <c r="I252" s="13">
        <v>0</v>
      </c>
      <c r="J252" s="13">
        <f t="shared" si="41"/>
        <v>0</v>
      </c>
      <c r="K252" s="13">
        <f t="shared" si="42"/>
        <v>21066</v>
      </c>
      <c r="L252" s="13">
        <f t="shared" si="43"/>
        <v>153782</v>
      </c>
      <c r="M252" s="11"/>
    </row>
    <row r="253" spans="1:13">
      <c r="A253" s="11" t="s">
        <v>484</v>
      </c>
      <c r="B253" s="11" t="s">
        <v>460</v>
      </c>
      <c r="C253" s="24">
        <v>2.1</v>
      </c>
      <c r="D253" s="15" t="s">
        <v>240</v>
      </c>
      <c r="E253" s="13">
        <v>0</v>
      </c>
      <c r="F253" s="13">
        <f t="shared" si="39"/>
        <v>0</v>
      </c>
      <c r="G253" s="13">
        <v>26512</v>
      </c>
      <c r="H253" s="13">
        <f t="shared" si="40"/>
        <v>55675</v>
      </c>
      <c r="I253" s="13">
        <v>0</v>
      </c>
      <c r="J253" s="13">
        <f t="shared" si="41"/>
        <v>0</v>
      </c>
      <c r="K253" s="13">
        <f t="shared" si="42"/>
        <v>26512</v>
      </c>
      <c r="L253" s="13">
        <f t="shared" si="43"/>
        <v>55675</v>
      </c>
      <c r="M253" s="11"/>
    </row>
    <row r="254" spans="1:13">
      <c r="A254" s="11" t="s">
        <v>485</v>
      </c>
      <c r="B254" s="11" t="s">
        <v>486</v>
      </c>
      <c r="C254" s="13">
        <v>14</v>
      </c>
      <c r="D254" s="15" t="s">
        <v>210</v>
      </c>
      <c r="E254" s="13">
        <v>0</v>
      </c>
      <c r="F254" s="13">
        <f t="shared" si="39"/>
        <v>0</v>
      </c>
      <c r="G254" s="13">
        <v>10100</v>
      </c>
      <c r="H254" s="13">
        <f t="shared" si="40"/>
        <v>141400</v>
      </c>
      <c r="I254" s="13">
        <v>0</v>
      </c>
      <c r="J254" s="13">
        <f t="shared" si="41"/>
        <v>0</v>
      </c>
      <c r="K254" s="13">
        <f t="shared" si="42"/>
        <v>10100</v>
      </c>
      <c r="L254" s="13">
        <f t="shared" si="43"/>
        <v>141400</v>
      </c>
      <c r="M254" s="11"/>
    </row>
    <row r="255" spans="1:13">
      <c r="A255" s="11" t="s">
        <v>487</v>
      </c>
      <c r="B255" s="11" t="s">
        <v>366</v>
      </c>
      <c r="C255" s="13">
        <v>7</v>
      </c>
      <c r="D255" s="15" t="s">
        <v>210</v>
      </c>
      <c r="E255" s="13">
        <v>0</v>
      </c>
      <c r="F255" s="13">
        <f t="shared" si="39"/>
        <v>0</v>
      </c>
      <c r="G255" s="13">
        <v>10100</v>
      </c>
      <c r="H255" s="13">
        <f t="shared" si="40"/>
        <v>70700</v>
      </c>
      <c r="I255" s="13">
        <v>0</v>
      </c>
      <c r="J255" s="13">
        <f t="shared" si="41"/>
        <v>0</v>
      </c>
      <c r="K255" s="13">
        <f t="shared" si="42"/>
        <v>10100</v>
      </c>
      <c r="L255" s="13">
        <f t="shared" si="43"/>
        <v>70700</v>
      </c>
      <c r="M255" s="11"/>
    </row>
    <row r="256" spans="1:13">
      <c r="A256" s="11" t="s">
        <v>488</v>
      </c>
      <c r="B256" s="11" t="s">
        <v>486</v>
      </c>
      <c r="C256" s="13">
        <v>21</v>
      </c>
      <c r="D256" s="15" t="s">
        <v>210</v>
      </c>
      <c r="E256" s="13">
        <v>0</v>
      </c>
      <c r="F256" s="13">
        <f t="shared" si="39"/>
        <v>0</v>
      </c>
      <c r="G256" s="13">
        <v>15150</v>
      </c>
      <c r="H256" s="13">
        <f t="shared" si="40"/>
        <v>318150</v>
      </c>
      <c r="I256" s="13">
        <v>0</v>
      </c>
      <c r="J256" s="13">
        <f t="shared" si="41"/>
        <v>0</v>
      </c>
      <c r="K256" s="13">
        <f t="shared" si="42"/>
        <v>15150</v>
      </c>
      <c r="L256" s="13">
        <f t="shared" si="43"/>
        <v>318150</v>
      </c>
      <c r="M256" s="11"/>
    </row>
    <row r="257" spans="1:13">
      <c r="A257" s="11" t="s">
        <v>489</v>
      </c>
      <c r="B257" s="11" t="s">
        <v>366</v>
      </c>
      <c r="C257" s="13">
        <v>14</v>
      </c>
      <c r="D257" s="15" t="s">
        <v>210</v>
      </c>
      <c r="E257" s="13">
        <v>0</v>
      </c>
      <c r="F257" s="13">
        <f t="shared" si="39"/>
        <v>0</v>
      </c>
      <c r="G257" s="13">
        <v>20200</v>
      </c>
      <c r="H257" s="13">
        <f t="shared" si="40"/>
        <v>282800</v>
      </c>
      <c r="I257" s="13">
        <v>0</v>
      </c>
      <c r="J257" s="13">
        <f t="shared" si="41"/>
        <v>0</v>
      </c>
      <c r="K257" s="13">
        <f t="shared" si="42"/>
        <v>20200</v>
      </c>
      <c r="L257" s="13">
        <f t="shared" si="43"/>
        <v>282800</v>
      </c>
      <c r="M257" s="11"/>
    </row>
    <row r="258" spans="1:13">
      <c r="A258" s="11" t="s">
        <v>490</v>
      </c>
      <c r="B258" s="11" t="s">
        <v>491</v>
      </c>
      <c r="C258" s="13">
        <v>7</v>
      </c>
      <c r="D258" s="15" t="s">
        <v>374</v>
      </c>
      <c r="E258" s="13">
        <v>0</v>
      </c>
      <c r="F258" s="13">
        <f t="shared" si="39"/>
        <v>0</v>
      </c>
      <c r="G258" s="13">
        <v>15150</v>
      </c>
      <c r="H258" s="13">
        <f t="shared" si="40"/>
        <v>106050</v>
      </c>
      <c r="I258" s="13">
        <v>0</v>
      </c>
      <c r="J258" s="13">
        <f t="shared" si="41"/>
        <v>0</v>
      </c>
      <c r="K258" s="13">
        <f t="shared" si="42"/>
        <v>15150</v>
      </c>
      <c r="L258" s="13">
        <f t="shared" si="43"/>
        <v>106050</v>
      </c>
      <c r="M258" s="11"/>
    </row>
    <row r="259" spans="1:13">
      <c r="A259" s="11" t="s">
        <v>492</v>
      </c>
      <c r="B259" s="11" t="s">
        <v>493</v>
      </c>
      <c r="C259" s="13">
        <v>7</v>
      </c>
      <c r="D259" s="15" t="s">
        <v>374</v>
      </c>
      <c r="E259" s="13">
        <v>0</v>
      </c>
      <c r="F259" s="13">
        <f t="shared" si="39"/>
        <v>0</v>
      </c>
      <c r="G259" s="13">
        <v>10100</v>
      </c>
      <c r="H259" s="13">
        <f t="shared" si="40"/>
        <v>70700</v>
      </c>
      <c r="I259" s="13">
        <v>0</v>
      </c>
      <c r="J259" s="13">
        <f t="shared" si="41"/>
        <v>0</v>
      </c>
      <c r="K259" s="13">
        <f t="shared" si="42"/>
        <v>10100</v>
      </c>
      <c r="L259" s="13">
        <f t="shared" si="43"/>
        <v>70700</v>
      </c>
      <c r="M259" s="11"/>
    </row>
    <row r="260" spans="1:13">
      <c r="A260" s="11" t="s">
        <v>494</v>
      </c>
      <c r="B260" s="11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</row>
    <row r="261" spans="1:13">
      <c r="A261" s="11" t="s">
        <v>495</v>
      </c>
      <c r="B261" s="11" t="s">
        <v>285</v>
      </c>
      <c r="C261" s="13">
        <v>430</v>
      </c>
      <c r="D261" s="15" t="s">
        <v>240</v>
      </c>
      <c r="E261" s="13">
        <v>0</v>
      </c>
      <c r="F261" s="13">
        <f>ROUND(E261*C261,0)</f>
        <v>0</v>
      </c>
      <c r="G261" s="13">
        <v>0</v>
      </c>
      <c r="H261" s="13">
        <f>ROUND(G261*C261,0)</f>
        <v>0</v>
      </c>
      <c r="I261" s="13">
        <v>3859</v>
      </c>
      <c r="J261" s="13">
        <f>ROUND(I261*C261,0)</f>
        <v>1659370</v>
      </c>
      <c r="K261" s="13">
        <f t="shared" ref="K261:L263" si="44">E261+G261+I261</f>
        <v>3859</v>
      </c>
      <c r="L261" s="13">
        <f t="shared" si="44"/>
        <v>1659370</v>
      </c>
      <c r="M261" s="11"/>
    </row>
    <row r="262" spans="1:13">
      <c r="A262" s="11" t="s">
        <v>496</v>
      </c>
      <c r="B262" s="11" t="s">
        <v>287</v>
      </c>
      <c r="C262" s="13">
        <v>644</v>
      </c>
      <c r="D262" s="15" t="s">
        <v>240</v>
      </c>
      <c r="E262" s="13">
        <v>505</v>
      </c>
      <c r="F262" s="13">
        <f>ROUND(E262*C262,0)</f>
        <v>325220</v>
      </c>
      <c r="G262" s="13">
        <v>505</v>
      </c>
      <c r="H262" s="13">
        <f>ROUND(G262*C262,0)</f>
        <v>325220</v>
      </c>
      <c r="I262" s="13">
        <v>0</v>
      </c>
      <c r="J262" s="13">
        <f>ROUND(I262*C262,0)</f>
        <v>0</v>
      </c>
      <c r="K262" s="13">
        <f t="shared" si="44"/>
        <v>1010</v>
      </c>
      <c r="L262" s="13">
        <f t="shared" si="44"/>
        <v>650440</v>
      </c>
      <c r="M262" s="11"/>
    </row>
    <row r="263" spans="1:13">
      <c r="A263" s="11" t="s">
        <v>497</v>
      </c>
      <c r="B263" s="11" t="s">
        <v>366</v>
      </c>
      <c r="C263" s="13">
        <v>9</v>
      </c>
      <c r="D263" s="15" t="s">
        <v>195</v>
      </c>
      <c r="E263" s="13">
        <v>0</v>
      </c>
      <c r="F263" s="13">
        <f>ROUND(E263*C263,0)</f>
        <v>0</v>
      </c>
      <c r="G263" s="13">
        <v>0</v>
      </c>
      <c r="H263" s="13">
        <f>ROUND(G263*C263,0)</f>
        <v>0</v>
      </c>
      <c r="I263" s="13">
        <v>385855</v>
      </c>
      <c r="J263" s="13">
        <f>ROUND(I263*C263,0)</f>
        <v>3472695</v>
      </c>
      <c r="K263" s="13">
        <f t="shared" si="44"/>
        <v>385855</v>
      </c>
      <c r="L263" s="13">
        <f t="shared" si="44"/>
        <v>3472695</v>
      </c>
      <c r="M263" s="11"/>
    </row>
    <row r="264" spans="1:13">
      <c r="A264" s="11" t="s">
        <v>498</v>
      </c>
      <c r="B264" s="11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</row>
    <row r="265" spans="1:13">
      <c r="A265" s="11" t="s">
        <v>499</v>
      </c>
      <c r="B265" s="11" t="s">
        <v>500</v>
      </c>
      <c r="C265" s="13">
        <v>8</v>
      </c>
      <c r="D265" s="15" t="s">
        <v>210</v>
      </c>
      <c r="E265" s="13">
        <v>15150</v>
      </c>
      <c r="F265" s="13">
        <f>ROUND(E265*C265,0)</f>
        <v>121200</v>
      </c>
      <c r="G265" s="13">
        <v>25250</v>
      </c>
      <c r="H265" s="13">
        <f>ROUND(G265*C265,0)</f>
        <v>202000</v>
      </c>
      <c r="I265" s="13">
        <v>0</v>
      </c>
      <c r="J265" s="13">
        <f>ROUND(I265*C265,0)</f>
        <v>0</v>
      </c>
      <c r="K265" s="13">
        <f t="shared" ref="K265:L267" si="45">E265+G265+I265</f>
        <v>40400</v>
      </c>
      <c r="L265" s="13">
        <f t="shared" si="45"/>
        <v>323200</v>
      </c>
      <c r="M265" s="11"/>
    </row>
    <row r="266" spans="1:13">
      <c r="A266" s="11" t="s">
        <v>501</v>
      </c>
      <c r="B266" s="11" t="s">
        <v>502</v>
      </c>
      <c r="C266" s="13">
        <v>8</v>
      </c>
      <c r="D266" s="15" t="s">
        <v>210</v>
      </c>
      <c r="E266" s="13">
        <v>20200</v>
      </c>
      <c r="F266" s="13">
        <f>ROUND(E266*C266,0)</f>
        <v>161600</v>
      </c>
      <c r="G266" s="13">
        <v>25250</v>
      </c>
      <c r="H266" s="13">
        <f>ROUND(G266*C266,0)</f>
        <v>202000</v>
      </c>
      <c r="I266" s="13">
        <v>0</v>
      </c>
      <c r="J266" s="13">
        <f>ROUND(I266*C266,0)</f>
        <v>0</v>
      </c>
      <c r="K266" s="13">
        <f t="shared" si="45"/>
        <v>45450</v>
      </c>
      <c r="L266" s="13">
        <f t="shared" si="45"/>
        <v>363600</v>
      </c>
      <c r="M266" s="11"/>
    </row>
    <row r="267" spans="1:13" ht="33">
      <c r="A267" s="11" t="s">
        <v>503</v>
      </c>
      <c r="B267" s="11" t="s">
        <v>504</v>
      </c>
      <c r="C267" s="13">
        <v>8</v>
      </c>
      <c r="D267" s="15" t="s">
        <v>374</v>
      </c>
      <c r="E267" s="13">
        <v>10100</v>
      </c>
      <c r="F267" s="13">
        <f>ROUND(E267*C267,0)</f>
        <v>80800</v>
      </c>
      <c r="G267" s="13">
        <v>25250</v>
      </c>
      <c r="H267" s="13">
        <f>ROUND(G267*C267,0)</f>
        <v>202000</v>
      </c>
      <c r="I267" s="13">
        <v>0</v>
      </c>
      <c r="J267" s="13">
        <f>ROUND(I267*C267,0)</f>
        <v>0</v>
      </c>
      <c r="K267" s="13">
        <f t="shared" si="45"/>
        <v>35350</v>
      </c>
      <c r="L267" s="13">
        <f t="shared" si="45"/>
        <v>282800</v>
      </c>
      <c r="M267" s="11"/>
    </row>
    <row r="268" spans="1:13">
      <c r="A268" s="11" t="s">
        <v>505</v>
      </c>
      <c r="B268" s="11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</row>
    <row r="269" spans="1:13">
      <c r="A269" s="11" t="s">
        <v>382</v>
      </c>
      <c r="B269" s="11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</row>
    <row r="270" spans="1:13">
      <c r="A270" s="11" t="s">
        <v>383</v>
      </c>
      <c r="B270" s="11" t="s">
        <v>384</v>
      </c>
      <c r="C270" s="13">
        <v>11</v>
      </c>
      <c r="D270" s="15" t="s">
        <v>385</v>
      </c>
      <c r="E270" s="13">
        <v>5959</v>
      </c>
      <c r="F270" s="13">
        <f>ROUND(E270*C270,0)</f>
        <v>65549</v>
      </c>
      <c r="G270" s="13">
        <v>0</v>
      </c>
      <c r="H270" s="13">
        <f>ROUND(G270*C270,0)</f>
        <v>0</v>
      </c>
      <c r="I270" s="13">
        <v>0</v>
      </c>
      <c r="J270" s="13">
        <f>ROUND(I270*C270,0)</f>
        <v>0</v>
      </c>
      <c r="K270" s="13">
        <f>E270+G270+I270</f>
        <v>5959</v>
      </c>
      <c r="L270" s="13">
        <f>F270+H270+J270</f>
        <v>65549</v>
      </c>
      <c r="M270" s="11"/>
    </row>
    <row r="271" spans="1:13">
      <c r="A271" s="11" t="s">
        <v>506</v>
      </c>
      <c r="B271" s="11" t="s">
        <v>389</v>
      </c>
      <c r="C271" s="13">
        <v>11</v>
      </c>
      <c r="D271" s="15" t="s">
        <v>385</v>
      </c>
      <c r="E271" s="13">
        <v>0</v>
      </c>
      <c r="F271" s="13">
        <f>ROUND(E271*C271,0)</f>
        <v>0</v>
      </c>
      <c r="G271" s="13">
        <v>0</v>
      </c>
      <c r="H271" s="13">
        <f>ROUND(G271*C271,0)</f>
        <v>0</v>
      </c>
      <c r="I271" s="13">
        <v>1102</v>
      </c>
      <c r="J271" s="13">
        <f>ROUND(I271*C271,0)</f>
        <v>12122</v>
      </c>
      <c r="K271" s="13">
        <f>E271+G271+I271</f>
        <v>1102</v>
      </c>
      <c r="L271" s="13">
        <f>F271+H271+J271</f>
        <v>12122</v>
      </c>
      <c r="M271" s="11"/>
    </row>
    <row r="272" spans="1:13">
      <c r="A272" s="11" t="s">
        <v>390</v>
      </c>
      <c r="B272" s="11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</row>
    <row r="273" spans="1:13">
      <c r="A273" s="11" t="s">
        <v>391</v>
      </c>
      <c r="B273" s="11" t="s">
        <v>392</v>
      </c>
      <c r="C273" s="13">
        <v>187</v>
      </c>
      <c r="D273" s="15" t="s">
        <v>108</v>
      </c>
      <c r="E273" s="13">
        <v>26260</v>
      </c>
      <c r="F273" s="13">
        <f>ROUND(E273*C273,0)</f>
        <v>4910620</v>
      </c>
      <c r="G273" s="13">
        <v>0</v>
      </c>
      <c r="H273" s="13">
        <f>ROUND(G273*C273,0)</f>
        <v>0</v>
      </c>
      <c r="I273" s="13">
        <v>0</v>
      </c>
      <c r="J273" s="13">
        <f>ROUND(I273*C273,0)</f>
        <v>0</v>
      </c>
      <c r="K273" s="13">
        <f>E273+G273+I273</f>
        <v>26260</v>
      </c>
      <c r="L273" s="13">
        <f>F273+H273+J273</f>
        <v>4910620</v>
      </c>
      <c r="M273" s="11"/>
    </row>
    <row r="274" spans="1:13">
      <c r="A274" s="11" t="s">
        <v>397</v>
      </c>
      <c r="B274" s="11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</row>
    <row r="275" spans="1:13" ht="33">
      <c r="A275" s="11" t="s">
        <v>398</v>
      </c>
      <c r="B275" s="11" t="s">
        <v>399</v>
      </c>
      <c r="C275" s="24">
        <v>0.51</v>
      </c>
      <c r="D275" s="15" t="s">
        <v>400</v>
      </c>
      <c r="E275" s="13">
        <v>929622</v>
      </c>
      <c r="F275" s="13">
        <f>ROUND(E275*C275,0)</f>
        <v>474107</v>
      </c>
      <c r="G275" s="13">
        <v>0</v>
      </c>
      <c r="H275" s="13">
        <f>ROUND(G275*C275,0)</f>
        <v>0</v>
      </c>
      <c r="I275" s="13">
        <v>0</v>
      </c>
      <c r="J275" s="13">
        <f>ROUND(I275*C275,0)</f>
        <v>0</v>
      </c>
      <c r="K275" s="13">
        <f t="shared" ref="K275:L278" si="46">E275+G275+I275</f>
        <v>929622</v>
      </c>
      <c r="L275" s="13">
        <f t="shared" si="46"/>
        <v>474107</v>
      </c>
      <c r="M275" s="11"/>
    </row>
    <row r="276" spans="1:13" ht="33">
      <c r="A276" s="11" t="s">
        <v>507</v>
      </c>
      <c r="B276" s="11" t="s">
        <v>508</v>
      </c>
      <c r="C276" s="24">
        <v>0.58699999999999997</v>
      </c>
      <c r="D276" s="15" t="s">
        <v>400</v>
      </c>
      <c r="E276" s="13">
        <v>929070</v>
      </c>
      <c r="F276" s="13">
        <f>ROUND(E276*C276,0)</f>
        <v>545364</v>
      </c>
      <c r="G276" s="13">
        <v>0</v>
      </c>
      <c r="H276" s="13">
        <f>ROUND(G276*C276,0)</f>
        <v>0</v>
      </c>
      <c r="I276" s="13">
        <v>0</v>
      </c>
      <c r="J276" s="13">
        <f>ROUND(I276*C276,0)</f>
        <v>0</v>
      </c>
      <c r="K276" s="13">
        <f t="shared" si="46"/>
        <v>929070</v>
      </c>
      <c r="L276" s="13">
        <f t="shared" si="46"/>
        <v>545364</v>
      </c>
      <c r="M276" s="11"/>
    </row>
    <row r="277" spans="1:13">
      <c r="A277" s="11" t="s">
        <v>509</v>
      </c>
      <c r="B277" s="11" t="s">
        <v>408</v>
      </c>
      <c r="C277" s="24">
        <v>1.097</v>
      </c>
      <c r="D277" s="15" t="s">
        <v>400</v>
      </c>
      <c r="E277" s="13">
        <v>0</v>
      </c>
      <c r="F277" s="13">
        <f>ROUND(E277*C277,0)</f>
        <v>0</v>
      </c>
      <c r="G277" s="13">
        <v>0</v>
      </c>
      <c r="H277" s="13">
        <f>ROUND(G277*C277,0)</f>
        <v>0</v>
      </c>
      <c r="I277" s="13">
        <v>22049</v>
      </c>
      <c r="J277" s="13">
        <f>ROUND(I277*C277,0)</f>
        <v>24188</v>
      </c>
      <c r="K277" s="13">
        <f t="shared" si="46"/>
        <v>22049</v>
      </c>
      <c r="L277" s="13">
        <f t="shared" si="46"/>
        <v>24188</v>
      </c>
      <c r="M277" s="11"/>
    </row>
    <row r="278" spans="1:13">
      <c r="A278" s="11" t="s">
        <v>510</v>
      </c>
      <c r="B278" s="11" t="s">
        <v>410</v>
      </c>
      <c r="C278" s="24">
        <v>3.2000000000000001E-2</v>
      </c>
      <c r="D278" s="15" t="s">
        <v>400</v>
      </c>
      <c r="E278" s="13">
        <v>-400000</v>
      </c>
      <c r="F278" s="13">
        <f>ROUND(E278*C278,0)</f>
        <v>-12800</v>
      </c>
      <c r="G278" s="13">
        <v>0</v>
      </c>
      <c r="H278" s="13">
        <f>ROUND(G278*C278,0)</f>
        <v>0</v>
      </c>
      <c r="I278" s="13">
        <v>0</v>
      </c>
      <c r="J278" s="13">
        <f>ROUND(I278*C278,0)</f>
        <v>0</v>
      </c>
      <c r="K278" s="13">
        <f t="shared" si="46"/>
        <v>-400000</v>
      </c>
      <c r="L278" s="13">
        <f t="shared" si="46"/>
        <v>-12800</v>
      </c>
      <c r="M278" s="11"/>
    </row>
    <row r="279" spans="1:13">
      <c r="A279" s="11" t="s">
        <v>411</v>
      </c>
      <c r="B279" s="11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</row>
    <row r="280" spans="1:13">
      <c r="A280" s="11" t="s">
        <v>412</v>
      </c>
      <c r="B280" s="11" t="s">
        <v>413</v>
      </c>
      <c r="C280" s="13">
        <v>32</v>
      </c>
      <c r="D280" s="15" t="s">
        <v>108</v>
      </c>
      <c r="E280" s="13">
        <v>88880</v>
      </c>
      <c r="F280" s="13">
        <f>ROUND(E280*C280,0)</f>
        <v>2844160</v>
      </c>
      <c r="G280" s="13">
        <v>0</v>
      </c>
      <c r="H280" s="13">
        <f>ROUND(G280*C280,0)</f>
        <v>0</v>
      </c>
      <c r="I280" s="13">
        <v>0</v>
      </c>
      <c r="J280" s="13">
        <f>ROUND(I280*C280,0)</f>
        <v>0</v>
      </c>
      <c r="K280" s="13">
        <f>E280+G280+I280</f>
        <v>88880</v>
      </c>
      <c r="L280" s="13">
        <f>F280+H280+J280</f>
        <v>2844160</v>
      </c>
      <c r="M280" s="11"/>
    </row>
    <row r="281" spans="1:13">
      <c r="A281" s="11" t="s">
        <v>414</v>
      </c>
      <c r="B281" s="11" t="s">
        <v>415</v>
      </c>
      <c r="C281" s="13">
        <v>15</v>
      </c>
      <c r="D281" s="15" t="s">
        <v>108</v>
      </c>
      <c r="E281" s="13">
        <v>87062</v>
      </c>
      <c r="F281" s="13">
        <f>ROUND(E281*C281,0)</f>
        <v>1305930</v>
      </c>
      <c r="G281" s="13">
        <v>0</v>
      </c>
      <c r="H281" s="13">
        <f>ROUND(G281*C281,0)</f>
        <v>0</v>
      </c>
      <c r="I281" s="13">
        <v>0</v>
      </c>
      <c r="J281" s="13">
        <f>ROUND(I281*C281,0)</f>
        <v>0</v>
      </c>
      <c r="K281" s="13">
        <f>E281+G281+I281</f>
        <v>87062</v>
      </c>
      <c r="L281" s="13">
        <f>F281+H281+J281</f>
        <v>1305930</v>
      </c>
      <c r="M281" s="11"/>
    </row>
    <row r="282" spans="1:13">
      <c r="A282" s="11" t="s">
        <v>511</v>
      </c>
      <c r="B282" s="11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</row>
    <row r="283" spans="1:13">
      <c r="A283" s="11" t="s">
        <v>512</v>
      </c>
      <c r="B283" s="11" t="s">
        <v>513</v>
      </c>
      <c r="C283" s="13">
        <v>15</v>
      </c>
      <c r="D283" s="15" t="s">
        <v>377</v>
      </c>
      <c r="E283" s="13">
        <v>65650</v>
      </c>
      <c r="F283" s="13">
        <f>ROUND(E283*C283,0)</f>
        <v>984750</v>
      </c>
      <c r="G283" s="13">
        <v>0</v>
      </c>
      <c r="H283" s="13">
        <f>ROUND(G283*C283,0)</f>
        <v>0</v>
      </c>
      <c r="I283" s="13">
        <v>0</v>
      </c>
      <c r="J283" s="13">
        <f>ROUND(I283*C283,0)</f>
        <v>0</v>
      </c>
      <c r="K283" s="13">
        <f t="shared" ref="K283:L285" si="47">E283+G283+I283</f>
        <v>65650</v>
      </c>
      <c r="L283" s="13">
        <f t="shared" si="47"/>
        <v>984750</v>
      </c>
      <c r="M283" s="11"/>
    </row>
    <row r="284" spans="1:13">
      <c r="A284" s="11" t="s">
        <v>514</v>
      </c>
      <c r="B284" s="11" t="s">
        <v>515</v>
      </c>
      <c r="C284" s="13">
        <v>2</v>
      </c>
      <c r="D284" s="15" t="s">
        <v>377</v>
      </c>
      <c r="E284" s="13">
        <v>109080</v>
      </c>
      <c r="F284" s="13">
        <f>ROUND(E284*C284,0)</f>
        <v>218160</v>
      </c>
      <c r="G284" s="13">
        <v>0</v>
      </c>
      <c r="H284" s="13">
        <f>ROUND(G284*C284,0)</f>
        <v>0</v>
      </c>
      <c r="I284" s="13">
        <v>0</v>
      </c>
      <c r="J284" s="13">
        <f>ROUND(I284*C284,0)</f>
        <v>0</v>
      </c>
      <c r="K284" s="13">
        <f t="shared" si="47"/>
        <v>109080</v>
      </c>
      <c r="L284" s="13">
        <f t="shared" si="47"/>
        <v>218160</v>
      </c>
      <c r="M284" s="11"/>
    </row>
    <row r="285" spans="1:13">
      <c r="A285" s="11" t="s">
        <v>516</v>
      </c>
      <c r="B285" s="11" t="s">
        <v>376</v>
      </c>
      <c r="C285" s="13">
        <v>75</v>
      </c>
      <c r="D285" s="15" t="s">
        <v>377</v>
      </c>
      <c r="E285" s="13">
        <v>212100</v>
      </c>
      <c r="F285" s="13">
        <f>ROUND(E285*C285,0)</f>
        <v>15907500</v>
      </c>
      <c r="G285" s="13">
        <v>0</v>
      </c>
      <c r="H285" s="13">
        <f>ROUND(G285*C285,0)</f>
        <v>0</v>
      </c>
      <c r="I285" s="13">
        <v>0</v>
      </c>
      <c r="J285" s="13">
        <f>ROUND(I285*C285,0)</f>
        <v>0</v>
      </c>
      <c r="K285" s="13">
        <f t="shared" si="47"/>
        <v>212100</v>
      </c>
      <c r="L285" s="13">
        <f t="shared" si="47"/>
        <v>15907500</v>
      </c>
      <c r="M285" s="11"/>
    </row>
    <row r="286" spans="1:13">
      <c r="A286" s="11" t="s">
        <v>446</v>
      </c>
      <c r="B286" s="11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</row>
    <row r="287" spans="1:13">
      <c r="A287" s="11" t="s">
        <v>447</v>
      </c>
      <c r="B287" s="11" t="s">
        <v>448</v>
      </c>
      <c r="C287" s="13">
        <v>15</v>
      </c>
      <c r="D287" s="15" t="s">
        <v>449</v>
      </c>
      <c r="E287" s="13">
        <v>323200</v>
      </c>
      <c r="F287" s="13">
        <f>ROUND(E287*C287,0)</f>
        <v>4848000</v>
      </c>
      <c r="G287" s="13">
        <v>0</v>
      </c>
      <c r="H287" s="13">
        <f>ROUND(G287*C287,0)</f>
        <v>0</v>
      </c>
      <c r="I287" s="13">
        <v>0</v>
      </c>
      <c r="J287" s="13">
        <f>ROUND(I287*C287,0)</f>
        <v>0</v>
      </c>
      <c r="K287" s="13">
        <f>E287+G287+I287</f>
        <v>323200</v>
      </c>
      <c r="L287" s="13">
        <f>F287+H287+J287</f>
        <v>4848000</v>
      </c>
      <c r="M287" s="11"/>
    </row>
    <row r="288" spans="1:13">
      <c r="A288" s="19" t="s">
        <v>517</v>
      </c>
      <c r="B288" s="20"/>
      <c r="C288" s="21"/>
      <c r="D288" s="21"/>
      <c r="E288" s="21"/>
      <c r="F288" s="22">
        <f>SUM(F292:F416)</f>
        <v>123123425</v>
      </c>
      <c r="G288" s="21"/>
      <c r="H288" s="22">
        <f>SUM(H292:H416)</f>
        <v>79636480</v>
      </c>
      <c r="I288" s="21"/>
      <c r="J288" s="22">
        <f>SUM(J292:J416)</f>
        <v>20000629</v>
      </c>
      <c r="K288" s="21"/>
      <c r="L288" s="22">
        <f>F288+H288+J288</f>
        <v>222760534</v>
      </c>
      <c r="M288" s="21"/>
    </row>
    <row r="289" spans="1:13">
      <c r="A289" s="11" t="s">
        <v>451</v>
      </c>
      <c r="B289" s="11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</row>
    <row r="290" spans="1:13">
      <c r="A290" s="11" t="s">
        <v>221</v>
      </c>
      <c r="B290" s="11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</row>
    <row r="291" spans="1:13">
      <c r="A291" s="11" t="s">
        <v>159</v>
      </c>
      <c r="B291" s="11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</row>
    <row r="292" spans="1:13" ht="33">
      <c r="A292" s="11" t="s">
        <v>222</v>
      </c>
      <c r="B292" s="11" t="s">
        <v>224</v>
      </c>
      <c r="C292" s="13">
        <v>113</v>
      </c>
      <c r="D292" s="15" t="s">
        <v>108</v>
      </c>
      <c r="E292" s="13">
        <v>1010</v>
      </c>
      <c r="F292" s="13">
        <f>ROUND(E292*C292,0)</f>
        <v>114130</v>
      </c>
      <c r="G292" s="13">
        <v>6060</v>
      </c>
      <c r="H292" s="13">
        <f>ROUND(G292*C292,0)</f>
        <v>684780</v>
      </c>
      <c r="I292" s="13">
        <v>1102</v>
      </c>
      <c r="J292" s="13">
        <f>ROUND(I292*C292,0)</f>
        <v>124526</v>
      </c>
      <c r="K292" s="13">
        <f>E292+G292+I292</f>
        <v>8172</v>
      </c>
      <c r="L292" s="13">
        <f>F292+H292+J292</f>
        <v>923436</v>
      </c>
      <c r="M292" s="11"/>
    </row>
    <row r="293" spans="1:13">
      <c r="A293" s="11" t="s">
        <v>223</v>
      </c>
      <c r="B293" s="11" t="s">
        <v>116</v>
      </c>
      <c r="C293" s="13">
        <v>1901</v>
      </c>
      <c r="D293" s="15" t="s">
        <v>108</v>
      </c>
      <c r="E293" s="13">
        <v>1010</v>
      </c>
      <c r="F293" s="13">
        <f>ROUND(E293*C293,0)</f>
        <v>1920010</v>
      </c>
      <c r="G293" s="13">
        <v>3030</v>
      </c>
      <c r="H293" s="13">
        <f>ROUND(G293*C293,0)</f>
        <v>5760030</v>
      </c>
      <c r="I293" s="13">
        <v>2205</v>
      </c>
      <c r="J293" s="13">
        <f>ROUND(I293*C293,0)</f>
        <v>4191705</v>
      </c>
      <c r="K293" s="13">
        <f>E293+G293+I293</f>
        <v>6245</v>
      </c>
      <c r="L293" s="13">
        <f>F293+H293+J293</f>
        <v>11871745</v>
      </c>
      <c r="M293" s="11"/>
    </row>
    <row r="294" spans="1:13">
      <c r="A294" s="11" t="s">
        <v>227</v>
      </c>
      <c r="B294" s="11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</row>
    <row r="295" spans="1:13" ht="33">
      <c r="A295" s="11" t="s">
        <v>453</v>
      </c>
      <c r="B295" s="11" t="s">
        <v>230</v>
      </c>
      <c r="C295" s="13">
        <v>106</v>
      </c>
      <c r="D295" s="15" t="s">
        <v>108</v>
      </c>
      <c r="E295" s="13">
        <v>1010</v>
      </c>
      <c r="F295" s="13">
        <f>ROUND(E295*C295,0)</f>
        <v>107060</v>
      </c>
      <c r="G295" s="13">
        <v>3030</v>
      </c>
      <c r="H295" s="13">
        <f>ROUND(G295*C295,0)</f>
        <v>321180</v>
      </c>
      <c r="I295" s="13">
        <v>3307</v>
      </c>
      <c r="J295" s="13">
        <f>ROUND(I295*C295,0)</f>
        <v>350542</v>
      </c>
      <c r="K295" s="13">
        <f>E295+G295+I295</f>
        <v>7347</v>
      </c>
      <c r="L295" s="13">
        <f>F295+H295+J295</f>
        <v>778782</v>
      </c>
      <c r="M295" s="11"/>
    </row>
    <row r="296" spans="1:13" ht="33">
      <c r="A296" s="11" t="s">
        <v>518</v>
      </c>
      <c r="B296" s="11" t="s">
        <v>232</v>
      </c>
      <c r="C296" s="13">
        <v>1828</v>
      </c>
      <c r="D296" s="15" t="s">
        <v>108</v>
      </c>
      <c r="E296" s="13">
        <v>1010</v>
      </c>
      <c r="F296" s="13">
        <f>ROUND(E296*C296,0)</f>
        <v>1846280</v>
      </c>
      <c r="G296" s="13">
        <v>5050</v>
      </c>
      <c r="H296" s="13">
        <f>ROUND(G296*C296,0)</f>
        <v>9231400</v>
      </c>
      <c r="I296" s="13">
        <v>1102</v>
      </c>
      <c r="J296" s="13">
        <f>ROUND(I296*C296,0)</f>
        <v>2014456</v>
      </c>
      <c r="K296" s="13">
        <f>E296+G296+I296</f>
        <v>7162</v>
      </c>
      <c r="L296" s="13">
        <f>F296+H296+J296</f>
        <v>13092136</v>
      </c>
      <c r="M296" s="11"/>
    </row>
    <row r="297" spans="1:13">
      <c r="A297" s="11" t="s">
        <v>233</v>
      </c>
      <c r="B297" s="11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</row>
    <row r="298" spans="1:13">
      <c r="A298" s="11" t="s">
        <v>234</v>
      </c>
      <c r="B298" s="11" t="s">
        <v>454</v>
      </c>
      <c r="C298" s="13">
        <v>80</v>
      </c>
      <c r="D298" s="15" t="s">
        <v>108</v>
      </c>
      <c r="E298" s="13">
        <v>0</v>
      </c>
      <c r="F298" s="13">
        <f>ROUND(E298*C298,0)</f>
        <v>0</v>
      </c>
      <c r="G298" s="13">
        <v>0</v>
      </c>
      <c r="H298" s="13">
        <f>ROUND(G298*C298,0)</f>
        <v>0</v>
      </c>
      <c r="I298" s="13">
        <v>11024</v>
      </c>
      <c r="J298" s="13">
        <f>ROUND(I298*C298,0)</f>
        <v>881920</v>
      </c>
      <c r="K298" s="13">
        <f>E298+G298+I298</f>
        <v>11024</v>
      </c>
      <c r="L298" s="13">
        <f>F298+H298+J298</f>
        <v>881920</v>
      </c>
      <c r="M298" s="11"/>
    </row>
    <row r="299" spans="1:13">
      <c r="A299" s="11" t="s">
        <v>519</v>
      </c>
      <c r="B299" s="11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</row>
    <row r="300" spans="1:13">
      <c r="A300" s="11" t="s">
        <v>520</v>
      </c>
      <c r="B300" s="11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</row>
    <row r="301" spans="1:13">
      <c r="A301" s="11" t="s">
        <v>521</v>
      </c>
      <c r="B301" s="11" t="s">
        <v>522</v>
      </c>
      <c r="C301" s="13">
        <v>135</v>
      </c>
      <c r="D301" s="15" t="s">
        <v>240</v>
      </c>
      <c r="E301" s="13">
        <v>3030</v>
      </c>
      <c r="F301" s="13">
        <f>ROUND(E301*C301,0)</f>
        <v>409050</v>
      </c>
      <c r="G301" s="13">
        <v>16160</v>
      </c>
      <c r="H301" s="13">
        <f>ROUND(G301*C301,0)</f>
        <v>2181600</v>
      </c>
      <c r="I301" s="13">
        <v>1102</v>
      </c>
      <c r="J301" s="13">
        <f>ROUND(I301*C301,0)</f>
        <v>148770</v>
      </c>
      <c r="K301" s="13">
        <f>E301+G301+I301</f>
        <v>20292</v>
      </c>
      <c r="L301" s="13">
        <f>F301+H301+J301</f>
        <v>2739420</v>
      </c>
      <c r="M301" s="11"/>
    </row>
    <row r="302" spans="1:13">
      <c r="A302" s="11" t="s">
        <v>523</v>
      </c>
      <c r="B302" s="11" t="s">
        <v>524</v>
      </c>
      <c r="C302" s="13">
        <v>784</v>
      </c>
      <c r="D302" s="15" t="s">
        <v>240</v>
      </c>
      <c r="E302" s="13">
        <v>4242</v>
      </c>
      <c r="F302" s="13">
        <f>ROUND(E302*C302,0)</f>
        <v>3325728</v>
      </c>
      <c r="G302" s="13">
        <v>17170</v>
      </c>
      <c r="H302" s="13">
        <f>ROUND(G302*C302,0)</f>
        <v>13461280</v>
      </c>
      <c r="I302" s="13">
        <v>0</v>
      </c>
      <c r="J302" s="13">
        <f>ROUND(I302*C302,0)</f>
        <v>0</v>
      </c>
      <c r="K302" s="13">
        <f>E302+G302+I302</f>
        <v>21412</v>
      </c>
      <c r="L302" s="13">
        <f>F302+H302+J302</f>
        <v>16787008</v>
      </c>
      <c r="M302" s="11"/>
    </row>
    <row r="303" spans="1:13">
      <c r="A303" s="11" t="s">
        <v>525</v>
      </c>
      <c r="B303" s="11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</row>
    <row r="304" spans="1:13">
      <c r="A304" s="11" t="s">
        <v>526</v>
      </c>
      <c r="B304" s="11" t="s">
        <v>527</v>
      </c>
      <c r="C304" s="13">
        <v>17</v>
      </c>
      <c r="D304" s="15" t="s">
        <v>210</v>
      </c>
      <c r="E304" s="13">
        <v>17877</v>
      </c>
      <c r="F304" s="13">
        <f>ROUND(E304*C304,0)</f>
        <v>303909</v>
      </c>
      <c r="G304" s="13">
        <v>50500</v>
      </c>
      <c r="H304" s="13">
        <f>ROUND(G304*C304,0)</f>
        <v>858500</v>
      </c>
      <c r="I304" s="13">
        <v>0</v>
      </c>
      <c r="J304" s="13">
        <f>ROUND(I304*C304,0)</f>
        <v>0</v>
      </c>
      <c r="K304" s="13">
        <f t="shared" ref="K304:L307" si="48">E304+G304+I304</f>
        <v>68377</v>
      </c>
      <c r="L304" s="13">
        <f t="shared" si="48"/>
        <v>1162409</v>
      </c>
      <c r="M304" s="11"/>
    </row>
    <row r="305" spans="1:13">
      <c r="A305" s="11" t="s">
        <v>528</v>
      </c>
      <c r="B305" s="11" t="s">
        <v>463</v>
      </c>
      <c r="C305" s="13">
        <v>59</v>
      </c>
      <c r="D305" s="15" t="s">
        <v>210</v>
      </c>
      <c r="E305" s="13">
        <v>24947</v>
      </c>
      <c r="F305" s="13">
        <f>ROUND(E305*C305,0)</f>
        <v>1471873</v>
      </c>
      <c r="G305" s="13">
        <v>60600</v>
      </c>
      <c r="H305" s="13">
        <f>ROUND(G305*C305,0)</f>
        <v>3575400</v>
      </c>
      <c r="I305" s="13">
        <v>0</v>
      </c>
      <c r="J305" s="13">
        <f>ROUND(I305*C305,0)</f>
        <v>0</v>
      </c>
      <c r="K305" s="13">
        <f t="shared" si="48"/>
        <v>85547</v>
      </c>
      <c r="L305" s="13">
        <f t="shared" si="48"/>
        <v>5047273</v>
      </c>
      <c r="M305" s="11"/>
    </row>
    <row r="306" spans="1:13">
      <c r="A306" s="11" t="s">
        <v>529</v>
      </c>
      <c r="B306" s="11" t="s">
        <v>527</v>
      </c>
      <c r="C306" s="13">
        <v>33</v>
      </c>
      <c r="D306" s="15" t="s">
        <v>210</v>
      </c>
      <c r="E306" s="13">
        <v>26765</v>
      </c>
      <c r="F306" s="13">
        <f>ROUND(E306*C306,0)</f>
        <v>883245</v>
      </c>
      <c r="G306" s="13">
        <v>50500</v>
      </c>
      <c r="H306" s="13">
        <f>ROUND(G306*C306,0)</f>
        <v>1666500</v>
      </c>
      <c r="I306" s="13">
        <v>0</v>
      </c>
      <c r="J306" s="13">
        <f>ROUND(I306*C306,0)</f>
        <v>0</v>
      </c>
      <c r="K306" s="13">
        <f t="shared" si="48"/>
        <v>77265</v>
      </c>
      <c r="L306" s="13">
        <f t="shared" si="48"/>
        <v>2549745</v>
      </c>
      <c r="M306" s="11"/>
    </row>
    <row r="307" spans="1:13">
      <c r="A307" s="11" t="s">
        <v>530</v>
      </c>
      <c r="B307" s="11" t="s">
        <v>463</v>
      </c>
      <c r="C307" s="13">
        <v>76</v>
      </c>
      <c r="D307" s="15" t="s">
        <v>210</v>
      </c>
      <c r="E307" s="13">
        <v>35552</v>
      </c>
      <c r="F307" s="13">
        <f>ROUND(E307*C307,0)</f>
        <v>2701952</v>
      </c>
      <c r="G307" s="13">
        <v>60600</v>
      </c>
      <c r="H307" s="13">
        <f>ROUND(G307*C307,0)</f>
        <v>4605600</v>
      </c>
      <c r="I307" s="13">
        <v>0</v>
      </c>
      <c r="J307" s="13">
        <f>ROUND(I307*C307,0)</f>
        <v>0</v>
      </c>
      <c r="K307" s="13">
        <f t="shared" si="48"/>
        <v>96152</v>
      </c>
      <c r="L307" s="13">
        <f t="shared" si="48"/>
        <v>7307552</v>
      </c>
      <c r="M307" s="11"/>
    </row>
    <row r="308" spans="1:13">
      <c r="A308" s="11" t="s">
        <v>531</v>
      </c>
      <c r="B308" s="11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</row>
    <row r="309" spans="1:13">
      <c r="A309" s="11" t="s">
        <v>532</v>
      </c>
      <c r="B309" s="11" t="s">
        <v>527</v>
      </c>
      <c r="C309" s="13">
        <v>12</v>
      </c>
      <c r="D309" s="15" t="s">
        <v>210</v>
      </c>
      <c r="E309" s="13">
        <v>7171</v>
      </c>
      <c r="F309" s="13">
        <f>ROUND(E309*C309,0)</f>
        <v>86052</v>
      </c>
      <c r="G309" s="13">
        <v>20200</v>
      </c>
      <c r="H309" s="13">
        <f>ROUND(G309*C309,0)</f>
        <v>242400</v>
      </c>
      <c r="I309" s="13">
        <v>0</v>
      </c>
      <c r="J309" s="13">
        <f>ROUND(I309*C309,0)</f>
        <v>0</v>
      </c>
      <c r="K309" s="13">
        <f>E309+G309+I309</f>
        <v>27371</v>
      </c>
      <c r="L309" s="13">
        <f>F309+H309+J309</f>
        <v>328452</v>
      </c>
      <c r="M309" s="11"/>
    </row>
    <row r="310" spans="1:13">
      <c r="A310" s="11" t="s">
        <v>533</v>
      </c>
      <c r="B310" s="11" t="s">
        <v>463</v>
      </c>
      <c r="C310" s="13">
        <v>33</v>
      </c>
      <c r="D310" s="15" t="s">
        <v>210</v>
      </c>
      <c r="E310" s="13">
        <v>11817</v>
      </c>
      <c r="F310" s="13">
        <f>ROUND(E310*C310,0)</f>
        <v>389961</v>
      </c>
      <c r="G310" s="13">
        <v>30300</v>
      </c>
      <c r="H310" s="13">
        <f>ROUND(G310*C310,0)</f>
        <v>999900</v>
      </c>
      <c r="I310" s="13">
        <v>0</v>
      </c>
      <c r="J310" s="13">
        <f>ROUND(I310*C310,0)</f>
        <v>0</v>
      </c>
      <c r="K310" s="13">
        <f>E310+G310+I310</f>
        <v>42117</v>
      </c>
      <c r="L310" s="13">
        <f>F310+H310+J310</f>
        <v>1389861</v>
      </c>
      <c r="M310" s="11"/>
    </row>
    <row r="311" spans="1:13">
      <c r="A311" s="11" t="s">
        <v>534</v>
      </c>
      <c r="B311" s="11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</row>
    <row r="312" spans="1:13">
      <c r="A312" s="11" t="s">
        <v>535</v>
      </c>
      <c r="B312" s="11" t="s">
        <v>527</v>
      </c>
      <c r="C312" s="13">
        <v>57</v>
      </c>
      <c r="D312" s="15" t="s">
        <v>210</v>
      </c>
      <c r="E312" s="13">
        <v>0</v>
      </c>
      <c r="F312" s="13">
        <f>ROUND(E312*C312,0)</f>
        <v>0</v>
      </c>
      <c r="G312" s="13">
        <v>20200</v>
      </c>
      <c r="H312" s="13">
        <f>ROUND(G312*C312,0)</f>
        <v>1151400</v>
      </c>
      <c r="I312" s="13">
        <v>0</v>
      </c>
      <c r="J312" s="13">
        <f>ROUND(I312*C312,0)</f>
        <v>0</v>
      </c>
      <c r="K312" s="13">
        <f>E312+G312+I312</f>
        <v>20200</v>
      </c>
      <c r="L312" s="13">
        <f>F312+H312+J312</f>
        <v>1151400</v>
      </c>
      <c r="M312" s="11"/>
    </row>
    <row r="313" spans="1:13">
      <c r="A313" s="11" t="s">
        <v>536</v>
      </c>
      <c r="B313" s="11" t="s">
        <v>463</v>
      </c>
      <c r="C313" s="13">
        <v>18</v>
      </c>
      <c r="D313" s="15" t="s">
        <v>210</v>
      </c>
      <c r="E313" s="13">
        <v>0</v>
      </c>
      <c r="F313" s="13">
        <f>ROUND(E313*C313,0)</f>
        <v>0</v>
      </c>
      <c r="G313" s="13">
        <v>30300</v>
      </c>
      <c r="H313" s="13">
        <f>ROUND(G313*C313,0)</f>
        <v>545400</v>
      </c>
      <c r="I313" s="13">
        <v>0</v>
      </c>
      <c r="J313" s="13">
        <f>ROUND(I313*C313,0)</f>
        <v>0</v>
      </c>
      <c r="K313" s="13">
        <f>E313+G313+I313</f>
        <v>30300</v>
      </c>
      <c r="L313" s="13">
        <f>F313+H313+J313</f>
        <v>545400</v>
      </c>
      <c r="M313" s="11"/>
    </row>
    <row r="314" spans="1:13">
      <c r="A314" s="11" t="s">
        <v>537</v>
      </c>
      <c r="B314" s="11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</row>
    <row r="315" spans="1:13">
      <c r="A315" s="11" t="s">
        <v>538</v>
      </c>
      <c r="B315" s="11" t="s">
        <v>539</v>
      </c>
      <c r="C315" s="13">
        <v>32</v>
      </c>
      <c r="D315" s="15" t="s">
        <v>240</v>
      </c>
      <c r="E315" s="13">
        <v>0</v>
      </c>
      <c r="F315" s="13">
        <f>ROUND(E315*C315,0)</f>
        <v>0</v>
      </c>
      <c r="G315" s="13">
        <v>3030</v>
      </c>
      <c r="H315" s="13">
        <f>ROUND(G315*C315,0)</f>
        <v>96960</v>
      </c>
      <c r="I315" s="13">
        <v>0</v>
      </c>
      <c r="J315" s="13">
        <f>ROUND(I315*C315,0)</f>
        <v>0</v>
      </c>
      <c r="K315" s="13">
        <f>E315+G315+I315</f>
        <v>3030</v>
      </c>
      <c r="L315" s="13">
        <f>F315+H315+J315</f>
        <v>96960</v>
      </c>
      <c r="M315" s="11"/>
    </row>
    <row r="316" spans="1:13">
      <c r="A316" s="11" t="s">
        <v>540</v>
      </c>
      <c r="B316" s="11" t="s">
        <v>369</v>
      </c>
      <c r="C316" s="13">
        <v>49</v>
      </c>
      <c r="D316" s="15" t="s">
        <v>240</v>
      </c>
      <c r="E316" s="13">
        <v>0</v>
      </c>
      <c r="F316" s="13">
        <f>ROUND(E316*C316,0)</f>
        <v>0</v>
      </c>
      <c r="G316" s="13">
        <v>4040</v>
      </c>
      <c r="H316" s="13">
        <f>ROUND(G316*C316,0)</f>
        <v>197960</v>
      </c>
      <c r="I316" s="13">
        <v>0</v>
      </c>
      <c r="J316" s="13">
        <f>ROUND(I316*C316,0)</f>
        <v>0</v>
      </c>
      <c r="K316" s="13">
        <f>E316+G316+I316</f>
        <v>4040</v>
      </c>
      <c r="L316" s="13">
        <f>F316+H316+J316</f>
        <v>197960</v>
      </c>
      <c r="M316" s="11"/>
    </row>
    <row r="317" spans="1:13">
      <c r="A317" s="11" t="s">
        <v>541</v>
      </c>
      <c r="B317" s="11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</row>
    <row r="318" spans="1:13">
      <c r="A318" s="11" t="s">
        <v>542</v>
      </c>
      <c r="B318" s="11" t="s">
        <v>539</v>
      </c>
      <c r="C318" s="13">
        <v>6</v>
      </c>
      <c r="D318" s="15" t="s">
        <v>210</v>
      </c>
      <c r="E318" s="13">
        <v>0</v>
      </c>
      <c r="F318" s="13">
        <f>ROUND(E318*C318,0)</f>
        <v>0</v>
      </c>
      <c r="G318" s="13">
        <v>15150</v>
      </c>
      <c r="H318" s="13">
        <f>ROUND(G318*C318,0)</f>
        <v>90900</v>
      </c>
      <c r="I318" s="13">
        <v>0</v>
      </c>
      <c r="J318" s="13">
        <f>ROUND(I318*C318,0)</f>
        <v>0</v>
      </c>
      <c r="K318" s="13">
        <f t="shared" ref="K318:L321" si="49">E318+G318+I318</f>
        <v>15150</v>
      </c>
      <c r="L318" s="13">
        <f t="shared" si="49"/>
        <v>90900</v>
      </c>
      <c r="M318" s="11"/>
    </row>
    <row r="319" spans="1:13">
      <c r="A319" s="11" t="s">
        <v>543</v>
      </c>
      <c r="B319" s="11" t="s">
        <v>369</v>
      </c>
      <c r="C319" s="13">
        <v>16</v>
      </c>
      <c r="D319" s="15" t="s">
        <v>210</v>
      </c>
      <c r="E319" s="13">
        <v>0</v>
      </c>
      <c r="F319" s="13">
        <f>ROUND(E319*C319,0)</f>
        <v>0</v>
      </c>
      <c r="G319" s="13">
        <v>20200</v>
      </c>
      <c r="H319" s="13">
        <f>ROUND(G319*C319,0)</f>
        <v>323200</v>
      </c>
      <c r="I319" s="13">
        <v>0</v>
      </c>
      <c r="J319" s="13">
        <f>ROUND(I319*C319,0)</f>
        <v>0</v>
      </c>
      <c r="K319" s="13">
        <f t="shared" si="49"/>
        <v>20200</v>
      </c>
      <c r="L319" s="13">
        <f t="shared" si="49"/>
        <v>323200</v>
      </c>
      <c r="M319" s="11"/>
    </row>
    <row r="320" spans="1:13">
      <c r="A320" s="11" t="s">
        <v>544</v>
      </c>
      <c r="B320" s="11" t="s">
        <v>539</v>
      </c>
      <c r="C320" s="13">
        <v>12</v>
      </c>
      <c r="D320" s="15" t="s">
        <v>210</v>
      </c>
      <c r="E320" s="13">
        <v>0</v>
      </c>
      <c r="F320" s="13">
        <f>ROUND(E320*C320,0)</f>
        <v>0</v>
      </c>
      <c r="G320" s="13">
        <v>20200</v>
      </c>
      <c r="H320" s="13">
        <f>ROUND(G320*C320,0)</f>
        <v>242400</v>
      </c>
      <c r="I320" s="13">
        <v>0</v>
      </c>
      <c r="J320" s="13">
        <f>ROUND(I320*C320,0)</f>
        <v>0</v>
      </c>
      <c r="K320" s="13">
        <f t="shared" si="49"/>
        <v>20200</v>
      </c>
      <c r="L320" s="13">
        <f t="shared" si="49"/>
        <v>242400</v>
      </c>
      <c r="M320" s="11"/>
    </row>
    <row r="321" spans="1:13">
      <c r="A321" s="11" t="s">
        <v>545</v>
      </c>
      <c r="B321" s="11" t="s">
        <v>369</v>
      </c>
      <c r="C321" s="13">
        <v>32</v>
      </c>
      <c r="D321" s="15" t="s">
        <v>210</v>
      </c>
      <c r="E321" s="13">
        <v>0</v>
      </c>
      <c r="F321" s="13">
        <f>ROUND(E321*C321,0)</f>
        <v>0</v>
      </c>
      <c r="G321" s="13">
        <v>30300</v>
      </c>
      <c r="H321" s="13">
        <f>ROUND(G321*C321,0)</f>
        <v>969600</v>
      </c>
      <c r="I321" s="13">
        <v>0</v>
      </c>
      <c r="J321" s="13">
        <f>ROUND(I321*C321,0)</f>
        <v>0</v>
      </c>
      <c r="K321" s="13">
        <f t="shared" si="49"/>
        <v>30300</v>
      </c>
      <c r="L321" s="13">
        <f t="shared" si="49"/>
        <v>969600</v>
      </c>
      <c r="M321" s="11"/>
    </row>
    <row r="322" spans="1:13">
      <c r="A322" s="11" t="s">
        <v>546</v>
      </c>
      <c r="B322" s="11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</row>
    <row r="323" spans="1:13">
      <c r="A323" s="11" t="s">
        <v>547</v>
      </c>
      <c r="B323" s="11" t="s">
        <v>539</v>
      </c>
      <c r="C323" s="13">
        <v>3</v>
      </c>
      <c r="D323" s="15" t="s">
        <v>210</v>
      </c>
      <c r="E323" s="13">
        <v>0</v>
      </c>
      <c r="F323" s="13">
        <f>ROUND(E323*C323,0)</f>
        <v>0</v>
      </c>
      <c r="G323" s="13">
        <v>7070</v>
      </c>
      <c r="H323" s="13">
        <f>ROUND(G323*C323,0)</f>
        <v>21210</v>
      </c>
      <c r="I323" s="13">
        <v>0</v>
      </c>
      <c r="J323" s="13">
        <f>ROUND(I323*C323,0)</f>
        <v>0</v>
      </c>
      <c r="K323" s="13">
        <f>E323+G323+I323</f>
        <v>7070</v>
      </c>
      <c r="L323" s="13">
        <f>F323+H323+J323</f>
        <v>21210</v>
      </c>
      <c r="M323" s="11"/>
    </row>
    <row r="324" spans="1:13">
      <c r="A324" s="11" t="s">
        <v>548</v>
      </c>
      <c r="B324" s="11" t="s">
        <v>369</v>
      </c>
      <c r="C324" s="13">
        <v>8</v>
      </c>
      <c r="D324" s="15" t="s">
        <v>210</v>
      </c>
      <c r="E324" s="13">
        <v>0</v>
      </c>
      <c r="F324" s="13">
        <f>ROUND(E324*C324,0)</f>
        <v>0</v>
      </c>
      <c r="G324" s="13">
        <v>10100</v>
      </c>
      <c r="H324" s="13">
        <f>ROUND(G324*C324,0)</f>
        <v>80800</v>
      </c>
      <c r="I324" s="13">
        <v>0</v>
      </c>
      <c r="J324" s="13">
        <f>ROUND(I324*C324,0)</f>
        <v>0</v>
      </c>
      <c r="K324" s="13">
        <f>E324+G324+I324</f>
        <v>10100</v>
      </c>
      <c r="L324" s="13">
        <f>F324+H324+J324</f>
        <v>80800</v>
      </c>
      <c r="M324" s="11"/>
    </row>
    <row r="325" spans="1:13">
      <c r="A325" s="11" t="s">
        <v>549</v>
      </c>
      <c r="B325" s="11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</row>
    <row r="326" spans="1:13">
      <c r="A326" s="11" t="s">
        <v>550</v>
      </c>
      <c r="B326" s="11" t="s">
        <v>551</v>
      </c>
      <c r="C326" s="13">
        <v>2</v>
      </c>
      <c r="D326" s="15" t="s">
        <v>210</v>
      </c>
      <c r="E326" s="13">
        <v>50500</v>
      </c>
      <c r="F326" s="13">
        <f>ROUND(E326*C326,0)</f>
        <v>101000</v>
      </c>
      <c r="G326" s="13">
        <v>50500</v>
      </c>
      <c r="H326" s="13">
        <f>ROUND(G326*C326,0)</f>
        <v>101000</v>
      </c>
      <c r="I326" s="13">
        <v>0</v>
      </c>
      <c r="J326" s="13">
        <f>ROUND(I326*C326,0)</f>
        <v>0</v>
      </c>
      <c r="K326" s="13">
        <f t="shared" ref="K326:L328" si="50">E326+G326+I326</f>
        <v>101000</v>
      </c>
      <c r="L326" s="13">
        <f t="shared" si="50"/>
        <v>202000</v>
      </c>
      <c r="M326" s="11"/>
    </row>
    <row r="327" spans="1:13">
      <c r="A327" s="11" t="s">
        <v>552</v>
      </c>
      <c r="B327" s="11" t="s">
        <v>553</v>
      </c>
      <c r="C327" s="13">
        <v>1</v>
      </c>
      <c r="D327" s="15" t="s">
        <v>210</v>
      </c>
      <c r="E327" s="13">
        <v>55550</v>
      </c>
      <c r="F327" s="13">
        <f>ROUND(E327*C327,0)</f>
        <v>55550</v>
      </c>
      <c r="G327" s="13">
        <v>50500</v>
      </c>
      <c r="H327" s="13">
        <f>ROUND(G327*C327,0)</f>
        <v>50500</v>
      </c>
      <c r="I327" s="13">
        <v>0</v>
      </c>
      <c r="J327" s="13">
        <f>ROUND(I327*C327,0)</f>
        <v>0</v>
      </c>
      <c r="K327" s="13">
        <f t="shared" si="50"/>
        <v>106050</v>
      </c>
      <c r="L327" s="13">
        <f t="shared" si="50"/>
        <v>106050</v>
      </c>
      <c r="M327" s="11"/>
    </row>
    <row r="328" spans="1:13">
      <c r="A328" s="11" t="s">
        <v>554</v>
      </c>
      <c r="B328" s="11" t="s">
        <v>555</v>
      </c>
      <c r="C328" s="13">
        <v>8</v>
      </c>
      <c r="D328" s="15" t="s">
        <v>210</v>
      </c>
      <c r="E328" s="13">
        <v>136350</v>
      </c>
      <c r="F328" s="13">
        <f>ROUND(E328*C328,0)</f>
        <v>1090800</v>
      </c>
      <c r="G328" s="13">
        <v>50500</v>
      </c>
      <c r="H328" s="13">
        <f>ROUND(G328*C328,0)</f>
        <v>404000</v>
      </c>
      <c r="I328" s="13">
        <v>0</v>
      </c>
      <c r="J328" s="13">
        <f>ROUND(I328*C328,0)</f>
        <v>0</v>
      </c>
      <c r="K328" s="13">
        <f t="shared" si="50"/>
        <v>186850</v>
      </c>
      <c r="L328" s="13">
        <f t="shared" si="50"/>
        <v>1494800</v>
      </c>
      <c r="M328" s="11"/>
    </row>
    <row r="329" spans="1:13">
      <c r="A329" s="11" t="s">
        <v>556</v>
      </c>
      <c r="B329" s="11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</row>
    <row r="330" spans="1:13">
      <c r="A330" s="11" t="s">
        <v>557</v>
      </c>
      <c r="B330" s="11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</row>
    <row r="331" spans="1:13">
      <c r="A331" s="11" t="s">
        <v>558</v>
      </c>
      <c r="B331" s="11" t="s">
        <v>559</v>
      </c>
      <c r="C331" s="13">
        <v>3</v>
      </c>
      <c r="D331" s="15" t="s">
        <v>210</v>
      </c>
      <c r="E331" s="13">
        <v>45450</v>
      </c>
      <c r="F331" s="13">
        <f>ROUND(E331*C331,0)</f>
        <v>136350</v>
      </c>
      <c r="G331" s="13">
        <v>25250</v>
      </c>
      <c r="H331" s="13">
        <f>ROUND(G331*C331,0)</f>
        <v>75750</v>
      </c>
      <c r="I331" s="13">
        <v>0</v>
      </c>
      <c r="J331" s="13">
        <f>ROUND(I331*C331,0)</f>
        <v>0</v>
      </c>
      <c r="K331" s="13">
        <f>E331+G331+I331</f>
        <v>70700</v>
      </c>
      <c r="L331" s="13">
        <f>F331+H331+J331</f>
        <v>212100</v>
      </c>
      <c r="M331" s="11"/>
    </row>
    <row r="332" spans="1:13">
      <c r="A332" s="11" t="s">
        <v>560</v>
      </c>
      <c r="B332" s="11" t="s">
        <v>561</v>
      </c>
      <c r="C332" s="13">
        <v>8</v>
      </c>
      <c r="D332" s="15" t="s">
        <v>210</v>
      </c>
      <c r="E332" s="13">
        <v>121200</v>
      </c>
      <c r="F332" s="13">
        <f>ROUND(E332*C332,0)</f>
        <v>969600</v>
      </c>
      <c r="G332" s="13">
        <v>50500</v>
      </c>
      <c r="H332" s="13">
        <f>ROUND(G332*C332,0)</f>
        <v>404000</v>
      </c>
      <c r="I332" s="13">
        <v>0</v>
      </c>
      <c r="J332" s="13">
        <f>ROUND(I332*C332,0)</f>
        <v>0</v>
      </c>
      <c r="K332" s="13">
        <f>E332+G332+I332</f>
        <v>171700</v>
      </c>
      <c r="L332" s="13">
        <f>F332+H332+J332</f>
        <v>1373600</v>
      </c>
      <c r="M332" s="11"/>
    </row>
    <row r="333" spans="1:13">
      <c r="A333" s="11" t="s">
        <v>562</v>
      </c>
      <c r="B333" s="11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</row>
    <row r="334" spans="1:13">
      <c r="A334" s="11" t="s">
        <v>563</v>
      </c>
      <c r="B334" s="11" t="s">
        <v>564</v>
      </c>
      <c r="C334" s="13">
        <v>11</v>
      </c>
      <c r="D334" s="15" t="s">
        <v>210</v>
      </c>
      <c r="E334" s="13">
        <v>10100</v>
      </c>
      <c r="F334" s="13">
        <f>ROUND(E334*C334,0)</f>
        <v>111100</v>
      </c>
      <c r="G334" s="13">
        <v>60600</v>
      </c>
      <c r="H334" s="13">
        <f>ROUND(G334*C334,0)</f>
        <v>666600</v>
      </c>
      <c r="I334" s="13">
        <v>11024</v>
      </c>
      <c r="J334" s="13">
        <f>ROUND(I334*C334,0)</f>
        <v>121264</v>
      </c>
      <c r="K334" s="13">
        <f>E334+G334+I334</f>
        <v>81724</v>
      </c>
      <c r="L334" s="13">
        <f>F334+H334+J334</f>
        <v>898964</v>
      </c>
      <c r="M334" s="11"/>
    </row>
    <row r="335" spans="1:13">
      <c r="A335" s="11" t="s">
        <v>565</v>
      </c>
      <c r="B335" s="11" t="s">
        <v>566</v>
      </c>
      <c r="C335" s="13">
        <v>8</v>
      </c>
      <c r="D335" s="15" t="s">
        <v>210</v>
      </c>
      <c r="E335" s="13">
        <v>10100</v>
      </c>
      <c r="F335" s="13">
        <f>ROUND(E335*C335,0)</f>
        <v>80800</v>
      </c>
      <c r="G335" s="13">
        <v>80800</v>
      </c>
      <c r="H335" s="13">
        <f>ROUND(G335*C335,0)</f>
        <v>646400</v>
      </c>
      <c r="I335" s="13">
        <v>22049</v>
      </c>
      <c r="J335" s="13">
        <f>ROUND(I335*C335,0)</f>
        <v>176392</v>
      </c>
      <c r="K335" s="13">
        <f>E335+G335+I335</f>
        <v>112949</v>
      </c>
      <c r="L335" s="13">
        <f>F335+H335+J335</f>
        <v>903592</v>
      </c>
      <c r="M335" s="11"/>
    </row>
    <row r="336" spans="1:13">
      <c r="A336" s="11" t="s">
        <v>567</v>
      </c>
      <c r="B336" s="11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</row>
    <row r="337" spans="1:13">
      <c r="A337" s="11" t="s">
        <v>568</v>
      </c>
      <c r="B337" s="11" t="s">
        <v>564</v>
      </c>
      <c r="C337" s="13">
        <v>1</v>
      </c>
      <c r="D337" s="15" t="s">
        <v>210</v>
      </c>
      <c r="E337" s="13">
        <v>10100</v>
      </c>
      <c r="F337" s="13">
        <f>ROUND(E337*C337,0)</f>
        <v>10100</v>
      </c>
      <c r="G337" s="13">
        <v>50500</v>
      </c>
      <c r="H337" s="13">
        <f>ROUND(G337*C337,0)</f>
        <v>50500</v>
      </c>
      <c r="I337" s="13">
        <v>0</v>
      </c>
      <c r="J337" s="13">
        <f>ROUND(I337*C337,0)</f>
        <v>0</v>
      </c>
      <c r="K337" s="13">
        <f>E337+G337+I337</f>
        <v>60600</v>
      </c>
      <c r="L337" s="13">
        <f>F337+H337+J337</f>
        <v>60600</v>
      </c>
      <c r="M337" s="11"/>
    </row>
    <row r="338" spans="1:13">
      <c r="A338" s="11" t="s">
        <v>569</v>
      </c>
      <c r="B338" s="11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</row>
    <row r="339" spans="1:13">
      <c r="A339" s="11" t="s">
        <v>570</v>
      </c>
      <c r="B339" s="11" t="s">
        <v>571</v>
      </c>
      <c r="C339" s="13">
        <v>7</v>
      </c>
      <c r="D339" s="15" t="s">
        <v>210</v>
      </c>
      <c r="E339" s="13">
        <v>494900</v>
      </c>
      <c r="F339" s="13">
        <f>ROUND(E339*C339,0)</f>
        <v>3464300</v>
      </c>
      <c r="G339" s="13">
        <v>505000</v>
      </c>
      <c r="H339" s="13">
        <f>ROUND(G339*C339,0)</f>
        <v>3535000</v>
      </c>
      <c r="I339" s="13">
        <v>330733</v>
      </c>
      <c r="J339" s="13">
        <f>ROUND(I339*C339,0)</f>
        <v>2315131</v>
      </c>
      <c r="K339" s="13">
        <f>E339+G339+I339</f>
        <v>1330633</v>
      </c>
      <c r="L339" s="13">
        <f>F339+H339+J339</f>
        <v>9314431</v>
      </c>
      <c r="M339" s="11"/>
    </row>
    <row r="340" spans="1:13">
      <c r="A340" s="11" t="s">
        <v>572</v>
      </c>
      <c r="B340" s="11" t="s">
        <v>573</v>
      </c>
      <c r="C340" s="13">
        <v>7</v>
      </c>
      <c r="D340" s="15" t="s">
        <v>210</v>
      </c>
      <c r="E340" s="13">
        <v>181800</v>
      </c>
      <c r="F340" s="13">
        <f>ROUND(E340*C340,0)</f>
        <v>1272600</v>
      </c>
      <c r="G340" s="13">
        <v>202000</v>
      </c>
      <c r="H340" s="13">
        <f>ROUND(G340*C340,0)</f>
        <v>1414000</v>
      </c>
      <c r="I340" s="13">
        <v>55122</v>
      </c>
      <c r="J340" s="13">
        <f>ROUND(I340*C340,0)</f>
        <v>385854</v>
      </c>
      <c r="K340" s="13">
        <f>E340+G340+I340</f>
        <v>438922</v>
      </c>
      <c r="L340" s="13">
        <f>F340+H340+J340</f>
        <v>3072454</v>
      </c>
      <c r="M340" s="11"/>
    </row>
    <row r="341" spans="1:13">
      <c r="A341" s="11" t="s">
        <v>574</v>
      </c>
      <c r="B341" s="11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</row>
    <row r="342" spans="1:13">
      <c r="A342" s="11" t="s">
        <v>575</v>
      </c>
      <c r="B342" s="11" t="s">
        <v>576</v>
      </c>
      <c r="C342" s="13">
        <v>1</v>
      </c>
      <c r="D342" s="15" t="s">
        <v>102</v>
      </c>
      <c r="E342" s="13">
        <v>5050</v>
      </c>
      <c r="F342" s="13">
        <f>ROUND(E342*C342,0)</f>
        <v>5050</v>
      </c>
      <c r="G342" s="13">
        <v>10100</v>
      </c>
      <c r="H342" s="13">
        <f>ROUND(G342*C342,0)</f>
        <v>10100</v>
      </c>
      <c r="I342" s="13">
        <v>2205</v>
      </c>
      <c r="J342" s="13">
        <f>ROUND(I342*C342,0)</f>
        <v>2205</v>
      </c>
      <c r="K342" s="13">
        <f t="shared" ref="K342:L344" si="51">E342+G342+I342</f>
        <v>17355</v>
      </c>
      <c r="L342" s="13">
        <f t="shared" si="51"/>
        <v>17355</v>
      </c>
      <c r="M342" s="11"/>
    </row>
    <row r="343" spans="1:13">
      <c r="A343" s="11" t="s">
        <v>577</v>
      </c>
      <c r="B343" s="11" t="s">
        <v>578</v>
      </c>
      <c r="C343" s="13">
        <v>23</v>
      </c>
      <c r="D343" s="15" t="s">
        <v>102</v>
      </c>
      <c r="E343" s="13">
        <v>5050</v>
      </c>
      <c r="F343" s="13">
        <f>ROUND(E343*C343,0)</f>
        <v>116150</v>
      </c>
      <c r="G343" s="13">
        <v>10100</v>
      </c>
      <c r="H343" s="13">
        <f>ROUND(G343*C343,0)</f>
        <v>232300</v>
      </c>
      <c r="I343" s="13">
        <v>2205</v>
      </c>
      <c r="J343" s="13">
        <f>ROUND(I343*C343,0)</f>
        <v>50715</v>
      </c>
      <c r="K343" s="13">
        <f t="shared" si="51"/>
        <v>17355</v>
      </c>
      <c r="L343" s="13">
        <f t="shared" si="51"/>
        <v>399165</v>
      </c>
      <c r="M343" s="11"/>
    </row>
    <row r="344" spans="1:13">
      <c r="A344" s="11" t="s">
        <v>579</v>
      </c>
      <c r="B344" s="11" t="s">
        <v>580</v>
      </c>
      <c r="C344" s="13">
        <v>7</v>
      </c>
      <c r="D344" s="15" t="s">
        <v>210</v>
      </c>
      <c r="E344" s="13">
        <v>101000</v>
      </c>
      <c r="F344" s="13">
        <f>ROUND(E344*C344,0)</f>
        <v>707000</v>
      </c>
      <c r="G344" s="13">
        <v>101000</v>
      </c>
      <c r="H344" s="13">
        <f>ROUND(G344*C344,0)</f>
        <v>707000</v>
      </c>
      <c r="I344" s="13">
        <v>55122</v>
      </c>
      <c r="J344" s="13">
        <f>ROUND(I344*C344,0)</f>
        <v>385854</v>
      </c>
      <c r="K344" s="13">
        <f t="shared" si="51"/>
        <v>257122</v>
      </c>
      <c r="L344" s="13">
        <f t="shared" si="51"/>
        <v>1799854</v>
      </c>
      <c r="M344" s="11"/>
    </row>
    <row r="345" spans="1:13">
      <c r="A345" s="11" t="s">
        <v>581</v>
      </c>
      <c r="B345" s="11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</row>
    <row r="346" spans="1:13">
      <c r="A346" s="11" t="s">
        <v>582</v>
      </c>
      <c r="B346" s="11" t="s">
        <v>583</v>
      </c>
      <c r="C346" s="13">
        <v>1</v>
      </c>
      <c r="D346" s="15" t="s">
        <v>210</v>
      </c>
      <c r="E346" s="13">
        <v>12604800</v>
      </c>
      <c r="F346" s="13">
        <f>ROUND(E346*C346,0)</f>
        <v>12604800</v>
      </c>
      <c r="G346" s="13">
        <v>101000</v>
      </c>
      <c r="H346" s="13">
        <f>ROUND(G346*C346,0)</f>
        <v>101000</v>
      </c>
      <c r="I346" s="13">
        <v>551221</v>
      </c>
      <c r="J346" s="13">
        <f>ROUND(I346*C346,0)</f>
        <v>551221</v>
      </c>
      <c r="K346" s="13">
        <f>E346+G346+I346</f>
        <v>13257021</v>
      </c>
      <c r="L346" s="13">
        <f>F346+H346+J346</f>
        <v>13257021</v>
      </c>
      <c r="M346" s="11"/>
    </row>
    <row r="347" spans="1:13">
      <c r="A347" s="11" t="s">
        <v>584</v>
      </c>
      <c r="B347" s="11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</row>
    <row r="348" spans="1:13">
      <c r="A348" s="11" t="s">
        <v>585</v>
      </c>
      <c r="B348" s="11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</row>
    <row r="349" spans="1:13">
      <c r="A349" s="11" t="s">
        <v>586</v>
      </c>
      <c r="B349" s="11" t="s">
        <v>587</v>
      </c>
      <c r="C349" s="13">
        <v>1</v>
      </c>
      <c r="D349" s="15" t="s">
        <v>210</v>
      </c>
      <c r="E349" s="13">
        <v>1010000</v>
      </c>
      <c r="F349" s="13">
        <f>ROUND(E349*C349,0)</f>
        <v>1010000</v>
      </c>
      <c r="G349" s="13">
        <v>4040000</v>
      </c>
      <c r="H349" s="13">
        <f>ROUND(G349*C349,0)</f>
        <v>4040000</v>
      </c>
      <c r="I349" s="13">
        <v>1102443</v>
      </c>
      <c r="J349" s="13">
        <f>ROUND(I349*C349,0)</f>
        <v>1102443</v>
      </c>
      <c r="K349" s="13">
        <f t="shared" ref="K349:L351" si="52">E349+G349+I349</f>
        <v>6152443</v>
      </c>
      <c r="L349" s="13">
        <f t="shared" si="52"/>
        <v>6152443</v>
      </c>
      <c r="M349" s="11"/>
    </row>
    <row r="350" spans="1:13">
      <c r="A350" s="11" t="s">
        <v>588</v>
      </c>
      <c r="B350" s="11" t="s">
        <v>589</v>
      </c>
      <c r="C350" s="13">
        <v>1</v>
      </c>
      <c r="D350" s="15" t="s">
        <v>210</v>
      </c>
      <c r="E350" s="13">
        <v>303000</v>
      </c>
      <c r="F350" s="13">
        <f>ROUND(E350*C350,0)</f>
        <v>303000</v>
      </c>
      <c r="G350" s="13">
        <v>101000</v>
      </c>
      <c r="H350" s="13">
        <f>ROUND(G350*C350,0)</f>
        <v>101000</v>
      </c>
      <c r="I350" s="13">
        <v>110244</v>
      </c>
      <c r="J350" s="13">
        <f>ROUND(I350*C350,0)</f>
        <v>110244</v>
      </c>
      <c r="K350" s="13">
        <f t="shared" si="52"/>
        <v>514244</v>
      </c>
      <c r="L350" s="13">
        <f t="shared" si="52"/>
        <v>514244</v>
      </c>
      <c r="M350" s="11"/>
    </row>
    <row r="351" spans="1:13">
      <c r="A351" s="11" t="s">
        <v>590</v>
      </c>
      <c r="B351" s="11" t="s">
        <v>589</v>
      </c>
      <c r="C351" s="13">
        <v>3</v>
      </c>
      <c r="D351" s="15" t="s">
        <v>210</v>
      </c>
      <c r="E351" s="13">
        <v>303000</v>
      </c>
      <c r="F351" s="13">
        <f>ROUND(E351*C351,0)</f>
        <v>909000</v>
      </c>
      <c r="G351" s="13">
        <v>101000</v>
      </c>
      <c r="H351" s="13">
        <f>ROUND(G351*C351,0)</f>
        <v>303000</v>
      </c>
      <c r="I351" s="13">
        <v>110244</v>
      </c>
      <c r="J351" s="13">
        <f>ROUND(I351*C351,0)</f>
        <v>330732</v>
      </c>
      <c r="K351" s="13">
        <f t="shared" si="52"/>
        <v>514244</v>
      </c>
      <c r="L351" s="13">
        <f t="shared" si="52"/>
        <v>1542732</v>
      </c>
      <c r="M351" s="11"/>
    </row>
    <row r="352" spans="1:13">
      <c r="A352" s="11" t="s">
        <v>591</v>
      </c>
      <c r="B352" s="11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</row>
    <row r="353" spans="1:13">
      <c r="A353" s="11" t="s">
        <v>592</v>
      </c>
      <c r="B353" s="11" t="s">
        <v>593</v>
      </c>
      <c r="C353" s="13">
        <v>1</v>
      </c>
      <c r="D353" s="15" t="s">
        <v>210</v>
      </c>
      <c r="E353" s="13">
        <v>505000</v>
      </c>
      <c r="F353" s="13">
        <f>ROUND(E353*C353,0)</f>
        <v>505000</v>
      </c>
      <c r="G353" s="13">
        <v>2020000</v>
      </c>
      <c r="H353" s="13">
        <f>ROUND(G353*C353,0)</f>
        <v>2020000</v>
      </c>
      <c r="I353" s="13">
        <v>551221</v>
      </c>
      <c r="J353" s="13">
        <f>ROUND(I353*C353,0)</f>
        <v>551221</v>
      </c>
      <c r="K353" s="13">
        <f>E353+G353+I353</f>
        <v>3076221</v>
      </c>
      <c r="L353" s="13">
        <f>F353+H353+J353</f>
        <v>3076221</v>
      </c>
      <c r="M353" s="11"/>
    </row>
    <row r="354" spans="1:13">
      <c r="A354" s="11" t="s">
        <v>594</v>
      </c>
      <c r="B354" s="11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</row>
    <row r="355" spans="1:13">
      <c r="A355" s="11" t="s">
        <v>595</v>
      </c>
      <c r="B355" s="11" t="s">
        <v>593</v>
      </c>
      <c r="C355" s="13">
        <v>2</v>
      </c>
      <c r="D355" s="15" t="s">
        <v>210</v>
      </c>
      <c r="E355" s="13">
        <v>505000</v>
      </c>
      <c r="F355" s="13">
        <f>ROUND(E355*C355,0)</f>
        <v>1010000</v>
      </c>
      <c r="G355" s="13">
        <v>2020000</v>
      </c>
      <c r="H355" s="13">
        <f>ROUND(G355*C355,0)</f>
        <v>4040000</v>
      </c>
      <c r="I355" s="13">
        <v>551221</v>
      </c>
      <c r="J355" s="13">
        <f>ROUND(I355*C355,0)</f>
        <v>1102442</v>
      </c>
      <c r="K355" s="13">
        <f>E355+G355+I355</f>
        <v>3076221</v>
      </c>
      <c r="L355" s="13">
        <f>F355+H355+J355</f>
        <v>6152442</v>
      </c>
      <c r="M355" s="11"/>
    </row>
    <row r="356" spans="1:13">
      <c r="A356" s="11" t="s">
        <v>596</v>
      </c>
      <c r="B356" s="11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</row>
    <row r="357" spans="1:13">
      <c r="A357" s="11" t="s">
        <v>597</v>
      </c>
      <c r="B357" s="11" t="s">
        <v>598</v>
      </c>
      <c r="C357" s="13">
        <v>1</v>
      </c>
      <c r="D357" s="15" t="s">
        <v>210</v>
      </c>
      <c r="E357" s="13">
        <v>1010000</v>
      </c>
      <c r="F357" s="13">
        <f>ROUND(E357*C357,0)</f>
        <v>1010000</v>
      </c>
      <c r="G357" s="13">
        <v>4040000</v>
      </c>
      <c r="H357" s="13">
        <f>ROUND(G357*C357,0)</f>
        <v>4040000</v>
      </c>
      <c r="I357" s="13">
        <v>1102443</v>
      </c>
      <c r="J357" s="13">
        <f>ROUND(I357*C357,0)</f>
        <v>1102443</v>
      </c>
      <c r="K357" s="13">
        <f>E357+G357+I357</f>
        <v>6152443</v>
      </c>
      <c r="L357" s="13">
        <f>F357+H357+J357</f>
        <v>6152443</v>
      </c>
      <c r="M357" s="11"/>
    </row>
    <row r="358" spans="1:13">
      <c r="A358" s="11" t="s">
        <v>599</v>
      </c>
      <c r="B358" s="11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</row>
    <row r="359" spans="1:13">
      <c r="A359" s="11" t="s">
        <v>600</v>
      </c>
      <c r="B359" s="11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</row>
    <row r="360" spans="1:13">
      <c r="A360" s="11" t="s">
        <v>601</v>
      </c>
      <c r="B360" s="11" t="s">
        <v>602</v>
      </c>
      <c r="C360" s="13">
        <v>3</v>
      </c>
      <c r="D360" s="15" t="s">
        <v>210</v>
      </c>
      <c r="E360" s="13">
        <v>17170</v>
      </c>
      <c r="F360" s="13">
        <f>ROUND(E360*C360,0)</f>
        <v>51510</v>
      </c>
      <c r="G360" s="13">
        <v>50500</v>
      </c>
      <c r="H360" s="13">
        <f>ROUND(G360*C360,0)</f>
        <v>151500</v>
      </c>
      <c r="I360" s="13">
        <v>1102</v>
      </c>
      <c r="J360" s="13">
        <f>ROUND(I360*C360,0)</f>
        <v>3306</v>
      </c>
      <c r="K360" s="13">
        <f>E360+G360+I360</f>
        <v>68772</v>
      </c>
      <c r="L360" s="13">
        <f>F360+H360+J360</f>
        <v>206316</v>
      </c>
      <c r="M360" s="11"/>
    </row>
    <row r="361" spans="1:13">
      <c r="A361" s="11" t="s">
        <v>603</v>
      </c>
      <c r="B361" s="11" t="s">
        <v>604</v>
      </c>
      <c r="C361" s="13">
        <v>8</v>
      </c>
      <c r="D361" s="15" t="s">
        <v>210</v>
      </c>
      <c r="E361" s="13">
        <v>17170</v>
      </c>
      <c r="F361" s="13">
        <f>ROUND(E361*C361,0)</f>
        <v>137360</v>
      </c>
      <c r="G361" s="13">
        <v>50500</v>
      </c>
      <c r="H361" s="13">
        <f>ROUND(G361*C361,0)</f>
        <v>404000</v>
      </c>
      <c r="I361" s="13">
        <v>2205</v>
      </c>
      <c r="J361" s="13">
        <f>ROUND(I361*C361,0)</f>
        <v>17640</v>
      </c>
      <c r="K361" s="13">
        <f>E361+G361+I361</f>
        <v>69875</v>
      </c>
      <c r="L361" s="13">
        <f>F361+H361+J361</f>
        <v>559000</v>
      </c>
      <c r="M361" s="11"/>
    </row>
    <row r="362" spans="1:13">
      <c r="A362" s="11" t="s">
        <v>605</v>
      </c>
      <c r="B362" s="11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</row>
    <row r="363" spans="1:13">
      <c r="A363" s="11" t="s">
        <v>606</v>
      </c>
      <c r="B363" s="11" t="s">
        <v>527</v>
      </c>
      <c r="C363" s="13">
        <v>7</v>
      </c>
      <c r="D363" s="15" t="s">
        <v>210</v>
      </c>
      <c r="E363" s="13">
        <v>17170</v>
      </c>
      <c r="F363" s="13">
        <f>ROUND(E363*C363,0)</f>
        <v>120190</v>
      </c>
      <c r="G363" s="13">
        <v>50500</v>
      </c>
      <c r="H363" s="13">
        <f>ROUND(G363*C363,0)</f>
        <v>353500</v>
      </c>
      <c r="I363" s="13">
        <v>11024</v>
      </c>
      <c r="J363" s="13">
        <f>ROUND(I363*C363,0)</f>
        <v>77168</v>
      </c>
      <c r="K363" s="13">
        <f>E363+G363+I363</f>
        <v>78694</v>
      </c>
      <c r="L363" s="13">
        <f>F363+H363+J363</f>
        <v>550858</v>
      </c>
      <c r="M363" s="11"/>
    </row>
    <row r="364" spans="1:13">
      <c r="A364" s="11" t="s">
        <v>607</v>
      </c>
      <c r="B364" s="11" t="s">
        <v>463</v>
      </c>
      <c r="C364" s="13">
        <v>2</v>
      </c>
      <c r="D364" s="15" t="s">
        <v>210</v>
      </c>
      <c r="E364" s="13">
        <v>17170</v>
      </c>
      <c r="F364" s="13">
        <f>ROUND(E364*C364,0)</f>
        <v>34340</v>
      </c>
      <c r="G364" s="13">
        <v>50500</v>
      </c>
      <c r="H364" s="13">
        <f>ROUND(G364*C364,0)</f>
        <v>101000</v>
      </c>
      <c r="I364" s="13">
        <v>22049</v>
      </c>
      <c r="J364" s="13">
        <f>ROUND(I364*C364,0)</f>
        <v>44098</v>
      </c>
      <c r="K364" s="13">
        <f>E364+G364+I364</f>
        <v>89719</v>
      </c>
      <c r="L364" s="13">
        <f>F364+H364+J364</f>
        <v>179438</v>
      </c>
      <c r="M364" s="11"/>
    </row>
    <row r="365" spans="1:13">
      <c r="A365" s="11" t="s">
        <v>494</v>
      </c>
      <c r="B365" s="11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</row>
    <row r="366" spans="1:13">
      <c r="A366" s="11" t="s">
        <v>608</v>
      </c>
      <c r="B366" s="11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</row>
    <row r="367" spans="1:13">
      <c r="A367" s="11" t="s">
        <v>499</v>
      </c>
      <c r="B367" s="11" t="s">
        <v>500</v>
      </c>
      <c r="C367" s="13">
        <v>11</v>
      </c>
      <c r="D367" s="15" t="s">
        <v>210</v>
      </c>
      <c r="E367" s="13">
        <v>5050</v>
      </c>
      <c r="F367" s="13">
        <f>ROUND(E367*C367,0)</f>
        <v>55550</v>
      </c>
      <c r="G367" s="13">
        <v>25250</v>
      </c>
      <c r="H367" s="13">
        <f>ROUND(G367*C367,0)</f>
        <v>277750</v>
      </c>
      <c r="I367" s="13">
        <v>5512</v>
      </c>
      <c r="J367" s="13">
        <f>ROUND(I367*C367,0)</f>
        <v>60632</v>
      </c>
      <c r="K367" s="13">
        <f t="shared" ref="K367:L369" si="53">E367+G367+I367</f>
        <v>35812</v>
      </c>
      <c r="L367" s="13">
        <f t="shared" si="53"/>
        <v>393932</v>
      </c>
      <c r="M367" s="11"/>
    </row>
    <row r="368" spans="1:13">
      <c r="A368" s="11" t="s">
        <v>501</v>
      </c>
      <c r="B368" s="11" t="s">
        <v>502</v>
      </c>
      <c r="C368" s="13">
        <v>57</v>
      </c>
      <c r="D368" s="15" t="s">
        <v>210</v>
      </c>
      <c r="E368" s="13">
        <v>8080</v>
      </c>
      <c r="F368" s="13">
        <f>ROUND(E368*C368,0)</f>
        <v>460560</v>
      </c>
      <c r="G368" s="13">
        <v>101000</v>
      </c>
      <c r="H368" s="13">
        <f>ROUND(G368*C368,0)</f>
        <v>5757000</v>
      </c>
      <c r="I368" s="13">
        <v>0</v>
      </c>
      <c r="J368" s="13">
        <f>ROUND(I368*C368,0)</f>
        <v>0</v>
      </c>
      <c r="K368" s="13">
        <f t="shared" si="53"/>
        <v>109080</v>
      </c>
      <c r="L368" s="13">
        <f t="shared" si="53"/>
        <v>6217560</v>
      </c>
      <c r="M368" s="11"/>
    </row>
    <row r="369" spans="1:13">
      <c r="A369" s="11" t="s">
        <v>609</v>
      </c>
      <c r="B369" s="11" t="s">
        <v>287</v>
      </c>
      <c r="C369" s="13">
        <v>1379</v>
      </c>
      <c r="D369" s="15" t="s">
        <v>240</v>
      </c>
      <c r="E369" s="13">
        <v>505</v>
      </c>
      <c r="F369" s="13">
        <f>ROUND(E369*C369,0)</f>
        <v>696395</v>
      </c>
      <c r="G369" s="13">
        <v>505</v>
      </c>
      <c r="H369" s="13">
        <f>ROUND(G369*C369,0)</f>
        <v>696395</v>
      </c>
      <c r="I369" s="13">
        <v>0</v>
      </c>
      <c r="J369" s="13">
        <f>ROUND(I369*C369,0)</f>
        <v>0</v>
      </c>
      <c r="K369" s="13">
        <f t="shared" si="53"/>
        <v>1010</v>
      </c>
      <c r="L369" s="13">
        <f t="shared" si="53"/>
        <v>1392790</v>
      </c>
      <c r="M369" s="11"/>
    </row>
    <row r="370" spans="1:13">
      <c r="A370" s="11" t="s">
        <v>610</v>
      </c>
      <c r="B370" s="11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</row>
    <row r="371" spans="1:13">
      <c r="A371" s="11" t="s">
        <v>611</v>
      </c>
      <c r="B371" s="11"/>
      <c r="C371" s="13">
        <v>919</v>
      </c>
      <c r="D371" s="15" t="s">
        <v>240</v>
      </c>
      <c r="E371" s="13">
        <v>1010</v>
      </c>
      <c r="F371" s="13">
        <f>ROUND(E371*C371,0)</f>
        <v>928190</v>
      </c>
      <c r="G371" s="13">
        <v>1515</v>
      </c>
      <c r="H371" s="13">
        <f>ROUND(G371*C371,0)</f>
        <v>1392285</v>
      </c>
      <c r="I371" s="13">
        <v>1102</v>
      </c>
      <c r="J371" s="13">
        <f>ROUND(I371*C371,0)</f>
        <v>1012738</v>
      </c>
      <c r="K371" s="13">
        <f>E371+G371+I371</f>
        <v>3627</v>
      </c>
      <c r="L371" s="13">
        <f>F371+H371+J371</f>
        <v>3333213</v>
      </c>
      <c r="M371" s="11"/>
    </row>
    <row r="372" spans="1:13">
      <c r="A372" s="11" t="s">
        <v>612</v>
      </c>
      <c r="B372" s="11" t="s">
        <v>613</v>
      </c>
      <c r="C372" s="13">
        <v>150</v>
      </c>
      <c r="D372" s="15" t="s">
        <v>108</v>
      </c>
      <c r="E372" s="13">
        <v>2020</v>
      </c>
      <c r="F372" s="13">
        <f>ROUND(E372*C372,0)</f>
        <v>303000</v>
      </c>
      <c r="G372" s="13">
        <v>0</v>
      </c>
      <c r="H372" s="13">
        <f>ROUND(G372*C372,0)</f>
        <v>0</v>
      </c>
      <c r="I372" s="13">
        <v>0</v>
      </c>
      <c r="J372" s="13">
        <f>ROUND(I372*C372,0)</f>
        <v>0</v>
      </c>
      <c r="K372" s="13">
        <f>E372+G372+I372</f>
        <v>2020</v>
      </c>
      <c r="L372" s="13">
        <f>F372+H372+J372</f>
        <v>303000</v>
      </c>
      <c r="M372" s="11"/>
    </row>
    <row r="373" spans="1:13">
      <c r="A373" s="11" t="s">
        <v>614</v>
      </c>
      <c r="B373" s="11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</row>
    <row r="374" spans="1:13">
      <c r="A374" s="11" t="s">
        <v>615</v>
      </c>
      <c r="B374" s="11" t="s">
        <v>527</v>
      </c>
      <c r="C374" s="13">
        <v>1</v>
      </c>
      <c r="D374" s="15" t="s">
        <v>195</v>
      </c>
      <c r="E374" s="13">
        <v>0</v>
      </c>
      <c r="F374" s="13">
        <f>ROUND(E374*C374,0)</f>
        <v>0</v>
      </c>
      <c r="G374" s="13">
        <v>50500</v>
      </c>
      <c r="H374" s="13">
        <f>ROUND(G374*C374,0)</f>
        <v>50500</v>
      </c>
      <c r="I374" s="13">
        <v>275611</v>
      </c>
      <c r="J374" s="13">
        <f>ROUND(I374*C374,0)</f>
        <v>275611</v>
      </c>
      <c r="K374" s="13">
        <f>E374+G374+I374</f>
        <v>326111</v>
      </c>
      <c r="L374" s="13">
        <f>F374+H374+J374</f>
        <v>326111</v>
      </c>
      <c r="M374" s="11"/>
    </row>
    <row r="375" spans="1:13">
      <c r="A375" s="11" t="s">
        <v>616</v>
      </c>
      <c r="B375" s="11" t="s">
        <v>463</v>
      </c>
      <c r="C375" s="13">
        <v>4</v>
      </c>
      <c r="D375" s="15" t="s">
        <v>195</v>
      </c>
      <c r="E375" s="13">
        <v>0</v>
      </c>
      <c r="F375" s="13">
        <f>ROUND(E375*C375,0)</f>
        <v>0</v>
      </c>
      <c r="G375" s="13">
        <v>50500</v>
      </c>
      <c r="H375" s="13">
        <f>ROUND(G375*C375,0)</f>
        <v>202000</v>
      </c>
      <c r="I375" s="13">
        <v>330733</v>
      </c>
      <c r="J375" s="13">
        <f>ROUND(I375*C375,0)</f>
        <v>1322932</v>
      </c>
      <c r="K375" s="13">
        <f>E375+G375+I375</f>
        <v>381233</v>
      </c>
      <c r="L375" s="13">
        <f>F375+H375+J375</f>
        <v>1524932</v>
      </c>
      <c r="M375" s="11"/>
    </row>
    <row r="376" spans="1:13">
      <c r="A376" s="11" t="s">
        <v>505</v>
      </c>
      <c r="B376" s="11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</row>
    <row r="377" spans="1:13">
      <c r="A377" s="11" t="s">
        <v>617</v>
      </c>
      <c r="B377" s="11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</row>
    <row r="378" spans="1:13">
      <c r="A378" s="11" t="s">
        <v>412</v>
      </c>
      <c r="B378" s="11" t="s">
        <v>618</v>
      </c>
      <c r="C378" s="13">
        <v>2</v>
      </c>
      <c r="D378" s="15" t="s">
        <v>108</v>
      </c>
      <c r="E378" s="13">
        <v>91102</v>
      </c>
      <c r="F378" s="13">
        <f>ROUND(E378*C378,0)</f>
        <v>182204</v>
      </c>
      <c r="G378" s="13">
        <v>0</v>
      </c>
      <c r="H378" s="13">
        <f>ROUND(G378*C378,0)</f>
        <v>0</v>
      </c>
      <c r="I378" s="13">
        <v>0</v>
      </c>
      <c r="J378" s="13">
        <f>ROUND(I378*C378,0)</f>
        <v>0</v>
      </c>
      <c r="K378" s="13">
        <f t="shared" ref="K378:L380" si="54">E378+G378+I378</f>
        <v>91102</v>
      </c>
      <c r="L378" s="13">
        <f t="shared" si="54"/>
        <v>182204</v>
      </c>
      <c r="M378" s="11"/>
    </row>
    <row r="379" spans="1:13">
      <c r="A379" s="11" t="s">
        <v>414</v>
      </c>
      <c r="B379" s="11" t="s">
        <v>413</v>
      </c>
      <c r="C379" s="13">
        <v>35</v>
      </c>
      <c r="D379" s="15" t="s">
        <v>108</v>
      </c>
      <c r="E379" s="13">
        <v>88880</v>
      </c>
      <c r="F379" s="13">
        <f>ROUND(E379*C379,0)</f>
        <v>3110800</v>
      </c>
      <c r="G379" s="13">
        <v>0</v>
      </c>
      <c r="H379" s="13">
        <f>ROUND(G379*C379,0)</f>
        <v>0</v>
      </c>
      <c r="I379" s="13">
        <v>0</v>
      </c>
      <c r="J379" s="13">
        <f>ROUND(I379*C379,0)</f>
        <v>0</v>
      </c>
      <c r="K379" s="13">
        <f t="shared" si="54"/>
        <v>88880</v>
      </c>
      <c r="L379" s="13">
        <f t="shared" si="54"/>
        <v>3110800</v>
      </c>
      <c r="M379" s="11"/>
    </row>
    <row r="380" spans="1:13">
      <c r="A380" s="11" t="s">
        <v>619</v>
      </c>
      <c r="B380" s="11" t="s">
        <v>415</v>
      </c>
      <c r="C380" s="13">
        <v>6</v>
      </c>
      <c r="D380" s="15" t="s">
        <v>108</v>
      </c>
      <c r="E380" s="13">
        <v>87062</v>
      </c>
      <c r="F380" s="13">
        <f>ROUND(E380*C380,0)</f>
        <v>522372</v>
      </c>
      <c r="G380" s="13">
        <v>0</v>
      </c>
      <c r="H380" s="13">
        <f>ROUND(G380*C380,0)</f>
        <v>0</v>
      </c>
      <c r="I380" s="13">
        <v>0</v>
      </c>
      <c r="J380" s="13">
        <f>ROUND(I380*C380,0)</f>
        <v>0</v>
      </c>
      <c r="K380" s="13">
        <f t="shared" si="54"/>
        <v>87062</v>
      </c>
      <c r="L380" s="13">
        <f t="shared" si="54"/>
        <v>522372</v>
      </c>
      <c r="M380" s="11"/>
    </row>
    <row r="381" spans="1:13">
      <c r="A381" s="11" t="s">
        <v>620</v>
      </c>
      <c r="B381" s="11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</row>
    <row r="382" spans="1:13" ht="33">
      <c r="A382" s="11" t="s">
        <v>398</v>
      </c>
      <c r="B382" s="11" t="s">
        <v>399</v>
      </c>
      <c r="C382" s="24">
        <v>1.64</v>
      </c>
      <c r="D382" s="15" t="s">
        <v>400</v>
      </c>
      <c r="E382" s="13">
        <v>929623</v>
      </c>
      <c r="F382" s="13">
        <f>ROUND(E382*C382,0)</f>
        <v>1524582</v>
      </c>
      <c r="G382" s="13">
        <v>0</v>
      </c>
      <c r="H382" s="13">
        <f>ROUND(G382*C382,0)</f>
        <v>0</v>
      </c>
      <c r="I382" s="13">
        <v>0</v>
      </c>
      <c r="J382" s="13">
        <f>ROUND(I382*C382,0)</f>
        <v>0</v>
      </c>
      <c r="K382" s="13">
        <f t="shared" ref="K382:L385" si="55">E382+G382+I382</f>
        <v>929623</v>
      </c>
      <c r="L382" s="13">
        <f t="shared" si="55"/>
        <v>1524582</v>
      </c>
      <c r="M382" s="11"/>
    </row>
    <row r="383" spans="1:13" ht="33">
      <c r="A383" s="11" t="s">
        <v>507</v>
      </c>
      <c r="B383" s="11" t="s">
        <v>508</v>
      </c>
      <c r="C383" s="24">
        <v>2.5299999999999998</v>
      </c>
      <c r="D383" s="15" t="s">
        <v>400</v>
      </c>
      <c r="E383" s="13">
        <v>929071</v>
      </c>
      <c r="F383" s="13">
        <f>ROUND(E383*C383,0)</f>
        <v>2350550</v>
      </c>
      <c r="G383" s="13">
        <v>0</v>
      </c>
      <c r="H383" s="13">
        <f>ROUND(G383*C383,0)</f>
        <v>0</v>
      </c>
      <c r="I383" s="13">
        <v>0</v>
      </c>
      <c r="J383" s="13">
        <f>ROUND(I383*C383,0)</f>
        <v>0</v>
      </c>
      <c r="K383" s="13">
        <f t="shared" si="55"/>
        <v>929071</v>
      </c>
      <c r="L383" s="13">
        <f t="shared" si="55"/>
        <v>2350550</v>
      </c>
      <c r="M383" s="11"/>
    </row>
    <row r="384" spans="1:13">
      <c r="A384" s="11" t="s">
        <v>509</v>
      </c>
      <c r="B384" s="11" t="s">
        <v>408</v>
      </c>
      <c r="C384" s="24">
        <v>4.16</v>
      </c>
      <c r="D384" s="15" t="s">
        <v>400</v>
      </c>
      <c r="E384" s="13">
        <v>0</v>
      </c>
      <c r="F384" s="13">
        <f>ROUND(E384*C384,0)</f>
        <v>0</v>
      </c>
      <c r="G384" s="13">
        <v>0</v>
      </c>
      <c r="H384" s="13">
        <f>ROUND(G384*C384,0)</f>
        <v>0</v>
      </c>
      <c r="I384" s="13">
        <v>22049</v>
      </c>
      <c r="J384" s="13">
        <f>ROUND(I384*C384,0)</f>
        <v>91724</v>
      </c>
      <c r="K384" s="13">
        <f t="shared" si="55"/>
        <v>22049</v>
      </c>
      <c r="L384" s="13">
        <f t="shared" si="55"/>
        <v>91724</v>
      </c>
      <c r="M384" s="11"/>
    </row>
    <row r="385" spans="1:13">
      <c r="A385" s="11" t="s">
        <v>510</v>
      </c>
      <c r="B385" s="11" t="s">
        <v>410</v>
      </c>
      <c r="C385" s="24">
        <v>0.08</v>
      </c>
      <c r="D385" s="15" t="s">
        <v>400</v>
      </c>
      <c r="E385" s="13">
        <v>-400000</v>
      </c>
      <c r="F385" s="13">
        <f>ROUND(E385*C385,0)</f>
        <v>-32000</v>
      </c>
      <c r="G385" s="13">
        <v>0</v>
      </c>
      <c r="H385" s="13">
        <f>ROUND(G385*C385,0)</f>
        <v>0</v>
      </c>
      <c r="I385" s="13">
        <v>0</v>
      </c>
      <c r="J385" s="13">
        <f>ROUND(I385*C385,0)</f>
        <v>0</v>
      </c>
      <c r="K385" s="13">
        <f t="shared" si="55"/>
        <v>-400000</v>
      </c>
      <c r="L385" s="13">
        <f t="shared" si="55"/>
        <v>-32000</v>
      </c>
      <c r="M385" s="11"/>
    </row>
    <row r="386" spans="1:13">
      <c r="A386" s="11" t="s">
        <v>621</v>
      </c>
      <c r="B386" s="11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</row>
    <row r="387" spans="1:13">
      <c r="A387" s="11" t="s">
        <v>383</v>
      </c>
      <c r="B387" s="11" t="s">
        <v>384</v>
      </c>
      <c r="C387" s="13">
        <v>73</v>
      </c>
      <c r="D387" s="15" t="s">
        <v>385</v>
      </c>
      <c r="E387" s="13">
        <v>5959</v>
      </c>
      <c r="F387" s="13">
        <f>ROUND(E387*C387,0)</f>
        <v>435007</v>
      </c>
      <c r="G387" s="13">
        <v>0</v>
      </c>
      <c r="H387" s="13">
        <f>ROUND(G387*C387,0)</f>
        <v>0</v>
      </c>
      <c r="I387" s="13">
        <v>0</v>
      </c>
      <c r="J387" s="13">
        <f>ROUND(I387*C387,0)</f>
        <v>0</v>
      </c>
      <c r="K387" s="13">
        <f>E387+G387+I387</f>
        <v>5959</v>
      </c>
      <c r="L387" s="13">
        <f>F387+H387+J387</f>
        <v>435007</v>
      </c>
      <c r="M387" s="11"/>
    </row>
    <row r="388" spans="1:13">
      <c r="A388" s="11" t="s">
        <v>506</v>
      </c>
      <c r="B388" s="11" t="s">
        <v>389</v>
      </c>
      <c r="C388" s="13">
        <v>73</v>
      </c>
      <c r="D388" s="15" t="s">
        <v>385</v>
      </c>
      <c r="E388" s="13">
        <v>0</v>
      </c>
      <c r="F388" s="13">
        <f>ROUND(E388*C388,0)</f>
        <v>0</v>
      </c>
      <c r="G388" s="13">
        <v>0</v>
      </c>
      <c r="H388" s="13">
        <f>ROUND(G388*C388,0)</f>
        <v>0</v>
      </c>
      <c r="I388" s="13">
        <v>1102</v>
      </c>
      <c r="J388" s="13">
        <f>ROUND(I388*C388,0)</f>
        <v>80446</v>
      </c>
      <c r="K388" s="13">
        <f>E388+G388+I388</f>
        <v>1102</v>
      </c>
      <c r="L388" s="13">
        <f>F388+H388+J388</f>
        <v>80446</v>
      </c>
      <c r="M388" s="11"/>
    </row>
    <row r="389" spans="1:13">
      <c r="A389" s="11" t="s">
        <v>622</v>
      </c>
      <c r="B389" s="11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</row>
    <row r="390" spans="1:13">
      <c r="A390" s="11" t="s">
        <v>391</v>
      </c>
      <c r="B390" s="11" t="s">
        <v>392</v>
      </c>
      <c r="C390" s="13">
        <v>4</v>
      </c>
      <c r="D390" s="15" t="s">
        <v>108</v>
      </c>
      <c r="E390" s="13">
        <v>26260</v>
      </c>
      <c r="F390" s="13">
        <f>ROUND(E390*C390,0)</f>
        <v>105040</v>
      </c>
      <c r="G390" s="13">
        <v>0</v>
      </c>
      <c r="H390" s="13">
        <f>ROUND(G390*C390,0)</f>
        <v>0</v>
      </c>
      <c r="I390" s="13">
        <v>0</v>
      </c>
      <c r="J390" s="13">
        <f>ROUND(I390*C390,0)</f>
        <v>0</v>
      </c>
      <c r="K390" s="13">
        <f t="shared" ref="K390:L394" si="56">E390+G390+I390</f>
        <v>26260</v>
      </c>
      <c r="L390" s="13">
        <f t="shared" si="56"/>
        <v>105040</v>
      </c>
      <c r="M390" s="11"/>
    </row>
    <row r="391" spans="1:13">
      <c r="A391" s="11" t="s">
        <v>393</v>
      </c>
      <c r="B391" s="11" t="s">
        <v>394</v>
      </c>
      <c r="C391" s="13">
        <v>5</v>
      </c>
      <c r="D391" s="15" t="s">
        <v>108</v>
      </c>
      <c r="E391" s="13">
        <v>26260</v>
      </c>
      <c r="F391" s="13">
        <f>ROUND(E391*C391,0)</f>
        <v>131300</v>
      </c>
      <c r="G391" s="13">
        <v>0</v>
      </c>
      <c r="H391" s="13">
        <f>ROUND(G391*C391,0)</f>
        <v>0</v>
      </c>
      <c r="I391" s="13">
        <v>0</v>
      </c>
      <c r="J391" s="13">
        <f>ROUND(I391*C391,0)</f>
        <v>0</v>
      </c>
      <c r="K391" s="13">
        <f t="shared" si="56"/>
        <v>26260</v>
      </c>
      <c r="L391" s="13">
        <f t="shared" si="56"/>
        <v>131300</v>
      </c>
      <c r="M391" s="11"/>
    </row>
    <row r="392" spans="1:13">
      <c r="A392" s="11" t="s">
        <v>623</v>
      </c>
      <c r="B392" s="11" t="s">
        <v>624</v>
      </c>
      <c r="C392" s="13">
        <v>1</v>
      </c>
      <c r="D392" s="15" t="s">
        <v>108</v>
      </c>
      <c r="E392" s="13">
        <v>26260</v>
      </c>
      <c r="F392" s="13">
        <f>ROUND(E392*C392,0)</f>
        <v>26260</v>
      </c>
      <c r="G392" s="13">
        <v>0</v>
      </c>
      <c r="H392" s="13">
        <f>ROUND(G392*C392,0)</f>
        <v>0</v>
      </c>
      <c r="I392" s="13">
        <v>0</v>
      </c>
      <c r="J392" s="13">
        <f>ROUND(I392*C392,0)</f>
        <v>0</v>
      </c>
      <c r="K392" s="13">
        <f t="shared" si="56"/>
        <v>26260</v>
      </c>
      <c r="L392" s="13">
        <f t="shared" si="56"/>
        <v>26260</v>
      </c>
      <c r="M392" s="11"/>
    </row>
    <row r="393" spans="1:13">
      <c r="A393" s="11" t="s">
        <v>625</v>
      </c>
      <c r="B393" s="11" t="s">
        <v>626</v>
      </c>
      <c r="C393" s="13">
        <v>5</v>
      </c>
      <c r="D393" s="15" t="s">
        <v>108</v>
      </c>
      <c r="E393" s="13">
        <v>18180</v>
      </c>
      <c r="F393" s="13">
        <f>ROUND(E393*C393,0)</f>
        <v>90900</v>
      </c>
      <c r="G393" s="13">
        <v>0</v>
      </c>
      <c r="H393" s="13">
        <f>ROUND(G393*C393,0)</f>
        <v>0</v>
      </c>
      <c r="I393" s="13">
        <v>0</v>
      </c>
      <c r="J393" s="13">
        <f>ROUND(I393*C393,0)</f>
        <v>0</v>
      </c>
      <c r="K393" s="13">
        <f t="shared" si="56"/>
        <v>18180</v>
      </c>
      <c r="L393" s="13">
        <f t="shared" si="56"/>
        <v>90900</v>
      </c>
      <c r="M393" s="11"/>
    </row>
    <row r="394" spans="1:13">
      <c r="A394" s="11" t="s">
        <v>627</v>
      </c>
      <c r="B394" s="11" t="s">
        <v>396</v>
      </c>
      <c r="C394" s="13">
        <v>1</v>
      </c>
      <c r="D394" s="15" t="s">
        <v>108</v>
      </c>
      <c r="E394" s="13">
        <v>18180</v>
      </c>
      <c r="F394" s="13">
        <f>ROUND(E394*C394,0)</f>
        <v>18180</v>
      </c>
      <c r="G394" s="13">
        <v>0</v>
      </c>
      <c r="H394" s="13">
        <f>ROUND(G394*C394,0)</f>
        <v>0</v>
      </c>
      <c r="I394" s="13">
        <v>0</v>
      </c>
      <c r="J394" s="13">
        <f>ROUND(I394*C394,0)</f>
        <v>0</v>
      </c>
      <c r="K394" s="13">
        <f t="shared" si="56"/>
        <v>18180</v>
      </c>
      <c r="L394" s="13">
        <f t="shared" si="56"/>
        <v>18180</v>
      </c>
      <c r="M394" s="11"/>
    </row>
    <row r="395" spans="1:13">
      <c r="A395" s="11" t="s">
        <v>628</v>
      </c>
      <c r="B395" s="11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</row>
    <row r="396" spans="1:13" ht="33">
      <c r="A396" s="11" t="s">
        <v>629</v>
      </c>
      <c r="B396" s="11" t="s">
        <v>630</v>
      </c>
      <c r="C396" s="13">
        <v>24</v>
      </c>
      <c r="D396" s="15" t="s">
        <v>377</v>
      </c>
      <c r="E396" s="13">
        <v>239370</v>
      </c>
      <c r="F396" s="13">
        <f>ROUND(E396*C396,0)</f>
        <v>5744880</v>
      </c>
      <c r="G396" s="13">
        <v>0</v>
      </c>
      <c r="H396" s="13">
        <f>ROUND(G396*C396,0)</f>
        <v>0</v>
      </c>
      <c r="I396" s="13">
        <v>0</v>
      </c>
      <c r="J396" s="13">
        <f>ROUND(I396*C396,0)</f>
        <v>0</v>
      </c>
      <c r="K396" s="13">
        <f t="shared" ref="K396:L399" si="57">E396+G396+I396</f>
        <v>239370</v>
      </c>
      <c r="L396" s="13">
        <f t="shared" si="57"/>
        <v>5744880</v>
      </c>
      <c r="M396" s="11"/>
    </row>
    <row r="397" spans="1:13" ht="33">
      <c r="A397" s="11" t="s">
        <v>631</v>
      </c>
      <c r="B397" s="11" t="s">
        <v>632</v>
      </c>
      <c r="C397" s="13">
        <v>135</v>
      </c>
      <c r="D397" s="15" t="s">
        <v>377</v>
      </c>
      <c r="E397" s="13">
        <v>369660</v>
      </c>
      <c r="F397" s="13">
        <f>ROUND(E397*C397,0)</f>
        <v>49904100</v>
      </c>
      <c r="G397" s="13">
        <v>0</v>
      </c>
      <c r="H397" s="13">
        <f>ROUND(G397*C397,0)</f>
        <v>0</v>
      </c>
      <c r="I397" s="13">
        <v>0</v>
      </c>
      <c r="J397" s="13">
        <f>ROUND(I397*C397,0)</f>
        <v>0</v>
      </c>
      <c r="K397" s="13">
        <f t="shared" si="57"/>
        <v>369660</v>
      </c>
      <c r="L397" s="13">
        <f t="shared" si="57"/>
        <v>49904100</v>
      </c>
      <c r="M397" s="11"/>
    </row>
    <row r="398" spans="1:13">
      <c r="A398" s="11" t="s">
        <v>633</v>
      </c>
      <c r="B398" s="11" t="s">
        <v>634</v>
      </c>
      <c r="C398" s="13">
        <v>1977</v>
      </c>
      <c r="D398" s="15" t="s">
        <v>635</v>
      </c>
      <c r="E398" s="13">
        <v>3535</v>
      </c>
      <c r="F398" s="13">
        <f>ROUND(E398*C398,0)</f>
        <v>6988695</v>
      </c>
      <c r="G398" s="13">
        <v>0</v>
      </c>
      <c r="H398" s="13">
        <f>ROUND(G398*C398,0)</f>
        <v>0</v>
      </c>
      <c r="I398" s="13">
        <v>0</v>
      </c>
      <c r="J398" s="13">
        <f>ROUND(I398*C398,0)</f>
        <v>0</v>
      </c>
      <c r="K398" s="13">
        <f t="shared" si="57"/>
        <v>3535</v>
      </c>
      <c r="L398" s="13">
        <f t="shared" si="57"/>
        <v>6988695</v>
      </c>
      <c r="M398" s="11"/>
    </row>
    <row r="399" spans="1:13">
      <c r="A399" s="11" t="s">
        <v>636</v>
      </c>
      <c r="B399" s="11" t="s">
        <v>637</v>
      </c>
      <c r="C399" s="13">
        <v>46</v>
      </c>
      <c r="D399" s="15" t="s">
        <v>638</v>
      </c>
      <c r="E399" s="13">
        <v>0</v>
      </c>
      <c r="F399" s="13">
        <f>ROUND(E399*C399,0)</f>
        <v>0</v>
      </c>
      <c r="G399" s="13">
        <v>0</v>
      </c>
      <c r="H399" s="13">
        <f>ROUND(G399*C399,0)</f>
        <v>0</v>
      </c>
      <c r="I399" s="13">
        <v>22049</v>
      </c>
      <c r="J399" s="13">
        <f>ROUND(I399*C399,0)</f>
        <v>1014254</v>
      </c>
      <c r="K399" s="13">
        <f t="shared" si="57"/>
        <v>22049</v>
      </c>
      <c r="L399" s="13">
        <f t="shared" si="57"/>
        <v>1014254</v>
      </c>
      <c r="M399" s="11"/>
    </row>
    <row r="400" spans="1:13">
      <c r="A400" s="11" t="s">
        <v>639</v>
      </c>
      <c r="B400" s="11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</row>
    <row r="401" spans="1:13">
      <c r="A401" s="11" t="s">
        <v>640</v>
      </c>
      <c r="B401" s="11" t="s">
        <v>641</v>
      </c>
      <c r="C401" s="13">
        <v>39</v>
      </c>
      <c r="D401" s="15" t="s">
        <v>240</v>
      </c>
      <c r="E401" s="13">
        <v>4040</v>
      </c>
      <c r="F401" s="13">
        <f t="shared" ref="F401:F410" si="58">ROUND(E401*C401,0)</f>
        <v>157560</v>
      </c>
      <c r="G401" s="13">
        <v>0</v>
      </c>
      <c r="H401" s="13">
        <f t="shared" ref="H401:H410" si="59">ROUND(G401*C401,0)</f>
        <v>0</v>
      </c>
      <c r="I401" s="13">
        <v>0</v>
      </c>
      <c r="J401" s="13">
        <f t="shared" ref="J401:J410" si="60">ROUND(I401*C401,0)</f>
        <v>0</v>
      </c>
      <c r="K401" s="13">
        <f t="shared" ref="K401:K410" si="61">E401+G401+I401</f>
        <v>4040</v>
      </c>
      <c r="L401" s="13">
        <f t="shared" ref="L401:L410" si="62">F401+H401+J401</f>
        <v>157560</v>
      </c>
      <c r="M401" s="11"/>
    </row>
    <row r="402" spans="1:13">
      <c r="A402" s="11" t="s">
        <v>642</v>
      </c>
      <c r="B402" s="11" t="s">
        <v>372</v>
      </c>
      <c r="C402" s="13">
        <v>51</v>
      </c>
      <c r="D402" s="15" t="s">
        <v>240</v>
      </c>
      <c r="E402" s="13">
        <v>7070</v>
      </c>
      <c r="F402" s="13">
        <f t="shared" si="58"/>
        <v>360570</v>
      </c>
      <c r="G402" s="13">
        <v>0</v>
      </c>
      <c r="H402" s="13">
        <f t="shared" si="59"/>
        <v>0</v>
      </c>
      <c r="I402" s="13">
        <v>0</v>
      </c>
      <c r="J402" s="13">
        <f t="shared" si="60"/>
        <v>0</v>
      </c>
      <c r="K402" s="13">
        <f t="shared" si="61"/>
        <v>7070</v>
      </c>
      <c r="L402" s="13">
        <f t="shared" si="62"/>
        <v>360570</v>
      </c>
      <c r="M402" s="11"/>
    </row>
    <row r="403" spans="1:13">
      <c r="A403" s="11" t="s">
        <v>643</v>
      </c>
      <c r="B403" s="11" t="s">
        <v>644</v>
      </c>
      <c r="C403" s="13">
        <v>3</v>
      </c>
      <c r="D403" s="15" t="s">
        <v>374</v>
      </c>
      <c r="E403" s="13">
        <v>18180</v>
      </c>
      <c r="F403" s="13">
        <f t="shared" si="58"/>
        <v>54540</v>
      </c>
      <c r="G403" s="13">
        <v>0</v>
      </c>
      <c r="H403" s="13">
        <f t="shared" si="59"/>
        <v>0</v>
      </c>
      <c r="I403" s="13">
        <v>0</v>
      </c>
      <c r="J403" s="13">
        <f t="shared" si="60"/>
        <v>0</v>
      </c>
      <c r="K403" s="13">
        <f t="shared" si="61"/>
        <v>18180</v>
      </c>
      <c r="L403" s="13">
        <f t="shared" si="62"/>
        <v>54540</v>
      </c>
      <c r="M403" s="11"/>
    </row>
    <row r="404" spans="1:13">
      <c r="A404" s="11" t="s">
        <v>645</v>
      </c>
      <c r="B404" s="11" t="s">
        <v>646</v>
      </c>
      <c r="C404" s="13">
        <v>8</v>
      </c>
      <c r="D404" s="15" t="s">
        <v>374</v>
      </c>
      <c r="E404" s="13">
        <v>42420</v>
      </c>
      <c r="F404" s="13">
        <f t="shared" si="58"/>
        <v>339360</v>
      </c>
      <c r="G404" s="13">
        <v>0</v>
      </c>
      <c r="H404" s="13">
        <f t="shared" si="59"/>
        <v>0</v>
      </c>
      <c r="I404" s="13">
        <v>0</v>
      </c>
      <c r="J404" s="13">
        <f t="shared" si="60"/>
        <v>0</v>
      </c>
      <c r="K404" s="13">
        <f t="shared" si="61"/>
        <v>42420</v>
      </c>
      <c r="L404" s="13">
        <f t="shared" si="62"/>
        <v>339360</v>
      </c>
      <c r="M404" s="11"/>
    </row>
    <row r="405" spans="1:13">
      <c r="A405" s="11" t="s">
        <v>647</v>
      </c>
      <c r="B405" s="11" t="s">
        <v>641</v>
      </c>
      <c r="C405" s="13">
        <v>3</v>
      </c>
      <c r="D405" s="15" t="s">
        <v>374</v>
      </c>
      <c r="E405" s="13">
        <v>13130</v>
      </c>
      <c r="F405" s="13">
        <f t="shared" si="58"/>
        <v>39390</v>
      </c>
      <c r="G405" s="13">
        <v>0</v>
      </c>
      <c r="H405" s="13">
        <f t="shared" si="59"/>
        <v>0</v>
      </c>
      <c r="I405" s="13">
        <v>0</v>
      </c>
      <c r="J405" s="13">
        <f t="shared" si="60"/>
        <v>0</v>
      </c>
      <c r="K405" s="13">
        <f t="shared" si="61"/>
        <v>13130</v>
      </c>
      <c r="L405" s="13">
        <f t="shared" si="62"/>
        <v>39390</v>
      </c>
      <c r="M405" s="11"/>
    </row>
    <row r="406" spans="1:13">
      <c r="A406" s="11" t="s">
        <v>648</v>
      </c>
      <c r="B406" s="11" t="s">
        <v>372</v>
      </c>
      <c r="C406" s="13">
        <v>8</v>
      </c>
      <c r="D406" s="15" t="s">
        <v>374</v>
      </c>
      <c r="E406" s="13">
        <v>25250</v>
      </c>
      <c r="F406" s="13">
        <f t="shared" si="58"/>
        <v>202000</v>
      </c>
      <c r="G406" s="13">
        <v>0</v>
      </c>
      <c r="H406" s="13">
        <f t="shared" si="59"/>
        <v>0</v>
      </c>
      <c r="I406" s="13">
        <v>0</v>
      </c>
      <c r="J406" s="13">
        <f t="shared" si="60"/>
        <v>0</v>
      </c>
      <c r="K406" s="13">
        <f t="shared" si="61"/>
        <v>25250</v>
      </c>
      <c r="L406" s="13">
        <f t="shared" si="62"/>
        <v>202000</v>
      </c>
      <c r="M406" s="11"/>
    </row>
    <row r="407" spans="1:13">
      <c r="A407" s="11" t="s">
        <v>649</v>
      </c>
      <c r="B407" s="11" t="s">
        <v>641</v>
      </c>
      <c r="C407" s="13">
        <v>3</v>
      </c>
      <c r="D407" s="15" t="s">
        <v>374</v>
      </c>
      <c r="E407" s="13">
        <v>5050</v>
      </c>
      <c r="F407" s="13">
        <f t="shared" si="58"/>
        <v>15150</v>
      </c>
      <c r="G407" s="13">
        <v>0</v>
      </c>
      <c r="H407" s="13">
        <f t="shared" si="59"/>
        <v>0</v>
      </c>
      <c r="I407" s="13">
        <v>0</v>
      </c>
      <c r="J407" s="13">
        <f t="shared" si="60"/>
        <v>0</v>
      </c>
      <c r="K407" s="13">
        <f t="shared" si="61"/>
        <v>5050</v>
      </c>
      <c r="L407" s="13">
        <f t="shared" si="62"/>
        <v>15150</v>
      </c>
      <c r="M407" s="11"/>
    </row>
    <row r="408" spans="1:13">
      <c r="A408" s="11" t="s">
        <v>650</v>
      </c>
      <c r="B408" s="11" t="s">
        <v>372</v>
      </c>
      <c r="C408" s="13">
        <v>8</v>
      </c>
      <c r="D408" s="15" t="s">
        <v>374</v>
      </c>
      <c r="E408" s="13">
        <v>12120</v>
      </c>
      <c r="F408" s="13">
        <f t="shared" si="58"/>
        <v>96960</v>
      </c>
      <c r="G408" s="13">
        <v>0</v>
      </c>
      <c r="H408" s="13">
        <f t="shared" si="59"/>
        <v>0</v>
      </c>
      <c r="I408" s="13">
        <v>0</v>
      </c>
      <c r="J408" s="13">
        <f t="shared" si="60"/>
        <v>0</v>
      </c>
      <c r="K408" s="13">
        <f t="shared" si="61"/>
        <v>12120</v>
      </c>
      <c r="L408" s="13">
        <f t="shared" si="62"/>
        <v>96960</v>
      </c>
      <c r="M408" s="11"/>
    </row>
    <row r="409" spans="1:13">
      <c r="A409" s="11" t="s">
        <v>651</v>
      </c>
      <c r="B409" s="11" t="s">
        <v>641</v>
      </c>
      <c r="C409" s="13">
        <v>3</v>
      </c>
      <c r="D409" s="15" t="s">
        <v>374</v>
      </c>
      <c r="E409" s="13">
        <v>11110</v>
      </c>
      <c r="F409" s="13">
        <f t="shared" si="58"/>
        <v>33330</v>
      </c>
      <c r="G409" s="13">
        <v>0</v>
      </c>
      <c r="H409" s="13">
        <f t="shared" si="59"/>
        <v>0</v>
      </c>
      <c r="I409" s="13">
        <v>0</v>
      </c>
      <c r="J409" s="13">
        <f t="shared" si="60"/>
        <v>0</v>
      </c>
      <c r="K409" s="13">
        <f t="shared" si="61"/>
        <v>11110</v>
      </c>
      <c r="L409" s="13">
        <f t="shared" si="62"/>
        <v>33330</v>
      </c>
      <c r="M409" s="11"/>
    </row>
    <row r="410" spans="1:13">
      <c r="A410" s="11" t="s">
        <v>652</v>
      </c>
      <c r="B410" s="11" t="s">
        <v>372</v>
      </c>
      <c r="C410" s="13">
        <v>8</v>
      </c>
      <c r="D410" s="15" t="s">
        <v>374</v>
      </c>
      <c r="E410" s="13">
        <v>20200</v>
      </c>
      <c r="F410" s="13">
        <f t="shared" si="58"/>
        <v>161600</v>
      </c>
      <c r="G410" s="13">
        <v>0</v>
      </c>
      <c r="H410" s="13">
        <f t="shared" si="59"/>
        <v>0</v>
      </c>
      <c r="I410" s="13">
        <v>0</v>
      </c>
      <c r="J410" s="13">
        <f t="shared" si="60"/>
        <v>0</v>
      </c>
      <c r="K410" s="13">
        <f t="shared" si="61"/>
        <v>20200</v>
      </c>
      <c r="L410" s="13">
        <f t="shared" si="62"/>
        <v>161600</v>
      </c>
      <c r="M410" s="11"/>
    </row>
    <row r="411" spans="1:13">
      <c r="A411" s="11" t="s">
        <v>653</v>
      </c>
      <c r="B411" s="11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</row>
    <row r="412" spans="1:13">
      <c r="A412" s="11" t="s">
        <v>654</v>
      </c>
      <c r="B412" s="11" t="s">
        <v>564</v>
      </c>
      <c r="C412" s="13">
        <v>11</v>
      </c>
      <c r="D412" s="15" t="s">
        <v>374</v>
      </c>
      <c r="E412" s="13">
        <v>170690</v>
      </c>
      <c r="F412" s="13">
        <f>ROUND(E412*C412,0)</f>
        <v>1877590</v>
      </c>
      <c r="G412" s="13">
        <v>0</v>
      </c>
      <c r="H412" s="13">
        <f>ROUND(G412*C412,0)</f>
        <v>0</v>
      </c>
      <c r="I412" s="13">
        <v>0</v>
      </c>
      <c r="J412" s="13">
        <f>ROUND(I412*C412,0)</f>
        <v>0</v>
      </c>
      <c r="K412" s="13">
        <f t="shared" ref="K412:L414" si="63">E412+G412+I412</f>
        <v>170690</v>
      </c>
      <c r="L412" s="13">
        <f t="shared" si="63"/>
        <v>1877590</v>
      </c>
      <c r="M412" s="11"/>
    </row>
    <row r="413" spans="1:13">
      <c r="A413" s="11" t="s">
        <v>655</v>
      </c>
      <c r="B413" s="11" t="s">
        <v>566</v>
      </c>
      <c r="C413" s="13">
        <v>8</v>
      </c>
      <c r="D413" s="15" t="s">
        <v>374</v>
      </c>
      <c r="E413" s="13">
        <v>336330</v>
      </c>
      <c r="F413" s="13">
        <f>ROUND(E413*C413,0)</f>
        <v>2690640</v>
      </c>
      <c r="G413" s="13">
        <v>0</v>
      </c>
      <c r="H413" s="13">
        <f>ROUND(G413*C413,0)</f>
        <v>0</v>
      </c>
      <c r="I413" s="13">
        <v>0</v>
      </c>
      <c r="J413" s="13">
        <f>ROUND(I413*C413,0)</f>
        <v>0</v>
      </c>
      <c r="K413" s="13">
        <f t="shared" si="63"/>
        <v>336330</v>
      </c>
      <c r="L413" s="13">
        <f t="shared" si="63"/>
        <v>2690640</v>
      </c>
      <c r="M413" s="11"/>
    </row>
    <row r="414" spans="1:13">
      <c r="A414" s="11" t="s">
        <v>656</v>
      </c>
      <c r="B414" s="11" t="s">
        <v>657</v>
      </c>
      <c r="C414" s="13">
        <v>1</v>
      </c>
      <c r="D414" s="15" t="s">
        <v>374</v>
      </c>
      <c r="E414" s="13">
        <v>219170</v>
      </c>
      <c r="F414" s="13">
        <f>ROUND(E414*C414,0)</f>
        <v>219170</v>
      </c>
      <c r="G414" s="13">
        <v>0</v>
      </c>
      <c r="H414" s="13">
        <f>ROUND(G414*C414,0)</f>
        <v>0</v>
      </c>
      <c r="I414" s="13">
        <v>0</v>
      </c>
      <c r="J414" s="13">
        <f>ROUND(I414*C414,0)</f>
        <v>0</v>
      </c>
      <c r="K414" s="13">
        <f t="shared" si="63"/>
        <v>219170</v>
      </c>
      <c r="L414" s="13">
        <f t="shared" si="63"/>
        <v>219170</v>
      </c>
      <c r="M414" s="11"/>
    </row>
    <row r="415" spans="1:13">
      <c r="A415" s="11" t="s">
        <v>658</v>
      </c>
      <c r="B415" s="11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</row>
    <row r="416" spans="1:13">
      <c r="A416" s="11" t="s">
        <v>447</v>
      </c>
      <c r="B416" s="11" t="s">
        <v>659</v>
      </c>
      <c r="C416" s="13">
        <v>9</v>
      </c>
      <c r="D416" s="15" t="s">
        <v>449</v>
      </c>
      <c r="E416" s="13">
        <v>439350</v>
      </c>
      <c r="F416" s="13">
        <f>ROUND(E416*C416,0)</f>
        <v>3954150</v>
      </c>
      <c r="G416" s="13">
        <v>0</v>
      </c>
      <c r="H416" s="13">
        <f>ROUND(G416*C416,0)</f>
        <v>0</v>
      </c>
      <c r="I416" s="13">
        <v>0</v>
      </c>
      <c r="J416" s="13">
        <f>ROUND(I416*C416,0)</f>
        <v>0</v>
      </c>
      <c r="K416" s="13">
        <f>E416+G416+I416</f>
        <v>439350</v>
      </c>
      <c r="L416" s="13">
        <f>F416+H416+J416</f>
        <v>3954150</v>
      </c>
      <c r="M416" s="11"/>
    </row>
    <row r="417" spans="1:13">
      <c r="A417" s="19" t="s">
        <v>660</v>
      </c>
      <c r="B417" s="20"/>
      <c r="C417" s="21"/>
      <c r="D417" s="21"/>
      <c r="E417" s="21"/>
      <c r="F417" s="22">
        <f>SUM(F420:F513)</f>
        <v>546315565</v>
      </c>
      <c r="G417" s="21"/>
      <c r="H417" s="22">
        <f>SUM(H420:H513)</f>
        <v>127642639</v>
      </c>
      <c r="I417" s="21"/>
      <c r="J417" s="22">
        <f>SUM(J420:J513)</f>
        <v>114894296</v>
      </c>
      <c r="K417" s="21"/>
      <c r="L417" s="22">
        <f>F417+H417+J417</f>
        <v>788852500</v>
      </c>
      <c r="M417" s="21"/>
    </row>
    <row r="418" spans="1:13">
      <c r="A418" s="11" t="s">
        <v>220</v>
      </c>
      <c r="B418" s="11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</row>
    <row r="419" spans="1:13">
      <c r="A419" s="11" t="s">
        <v>221</v>
      </c>
      <c r="B419" s="11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</row>
    <row r="420" spans="1:13" ht="33">
      <c r="A420" s="11" t="s">
        <v>661</v>
      </c>
      <c r="B420" s="11" t="s">
        <v>452</v>
      </c>
      <c r="C420" s="13">
        <v>66</v>
      </c>
      <c r="D420" s="15" t="s">
        <v>108</v>
      </c>
      <c r="E420" s="13">
        <v>0</v>
      </c>
      <c r="F420" s="13">
        <f>ROUND(E420*C420,0)</f>
        <v>0</v>
      </c>
      <c r="G420" s="13">
        <v>2121</v>
      </c>
      <c r="H420" s="13">
        <f>ROUND(G420*C420,0)</f>
        <v>139986</v>
      </c>
      <c r="I420" s="13">
        <v>3859</v>
      </c>
      <c r="J420" s="13">
        <f>ROUND(I420*C420,0)</f>
        <v>254694</v>
      </c>
      <c r="K420" s="13">
        <f>E420+G420+I420</f>
        <v>5980</v>
      </c>
      <c r="L420" s="13">
        <f>F420+H420+J420</f>
        <v>394680</v>
      </c>
      <c r="M420" s="11"/>
    </row>
    <row r="421" spans="1:13">
      <c r="A421" s="11" t="s">
        <v>227</v>
      </c>
      <c r="B421" s="11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</row>
    <row r="422" spans="1:13" ht="33">
      <c r="A422" s="11" t="s">
        <v>228</v>
      </c>
      <c r="B422" s="11" t="s">
        <v>662</v>
      </c>
      <c r="C422" s="13">
        <v>60</v>
      </c>
      <c r="D422" s="15" t="s">
        <v>108</v>
      </c>
      <c r="E422" s="13">
        <v>0</v>
      </c>
      <c r="F422" s="13">
        <f>ROUND(E422*C422,0)</f>
        <v>0</v>
      </c>
      <c r="G422" s="13">
        <v>2525</v>
      </c>
      <c r="H422" s="13">
        <f>ROUND(G422*C422,0)</f>
        <v>151500</v>
      </c>
      <c r="I422" s="13">
        <v>4961</v>
      </c>
      <c r="J422" s="13">
        <f>ROUND(I422*C422,0)</f>
        <v>297660</v>
      </c>
      <c r="K422" s="13">
        <f>E422+G422+I422</f>
        <v>7486</v>
      </c>
      <c r="L422" s="13">
        <f>F422+H422+J422</f>
        <v>449160</v>
      </c>
      <c r="M422" s="11"/>
    </row>
    <row r="423" spans="1:13">
      <c r="A423" s="11" t="s">
        <v>233</v>
      </c>
      <c r="B423" s="11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</row>
    <row r="424" spans="1:13">
      <c r="A424" s="11" t="s">
        <v>234</v>
      </c>
      <c r="B424" s="11" t="s">
        <v>454</v>
      </c>
      <c r="C424" s="13">
        <v>7</v>
      </c>
      <c r="D424" s="15" t="s">
        <v>108</v>
      </c>
      <c r="E424" s="13">
        <v>0</v>
      </c>
      <c r="F424" s="13">
        <f>ROUND(E424*C424,0)</f>
        <v>0</v>
      </c>
      <c r="G424" s="13">
        <v>0</v>
      </c>
      <c r="H424" s="13">
        <f>ROUND(G424*C424,0)</f>
        <v>0</v>
      </c>
      <c r="I424" s="13">
        <v>11024</v>
      </c>
      <c r="J424" s="13">
        <f>ROUND(I424*C424,0)</f>
        <v>77168</v>
      </c>
      <c r="K424" s="13">
        <f>E424+G424+I424</f>
        <v>11024</v>
      </c>
      <c r="L424" s="13">
        <f>F424+H424+J424</f>
        <v>77168</v>
      </c>
      <c r="M424" s="11"/>
    </row>
    <row r="425" spans="1:13">
      <c r="A425" s="11" t="s">
        <v>663</v>
      </c>
      <c r="B425" s="11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</row>
    <row r="426" spans="1:13">
      <c r="A426" s="11" t="s">
        <v>664</v>
      </c>
      <c r="B426" s="11" t="s">
        <v>665</v>
      </c>
      <c r="C426" s="13">
        <v>6959</v>
      </c>
      <c r="D426" s="15" t="s">
        <v>102</v>
      </c>
      <c r="E426" s="13">
        <v>0</v>
      </c>
      <c r="F426" s="13">
        <f t="shared" ref="F426:F432" si="64">ROUND(E426*C426,0)</f>
        <v>0</v>
      </c>
      <c r="G426" s="13">
        <v>253</v>
      </c>
      <c r="H426" s="13">
        <f t="shared" ref="H426:H432" si="65">ROUND(G426*C426,0)</f>
        <v>1760627</v>
      </c>
      <c r="I426" s="13">
        <v>3418</v>
      </c>
      <c r="J426" s="13">
        <f t="shared" ref="J426:J432" si="66">ROUND(I426*C426,0)</f>
        <v>23785862</v>
      </c>
      <c r="K426" s="13">
        <f t="shared" ref="K426:L432" si="67">E426+G426+I426</f>
        <v>3671</v>
      </c>
      <c r="L426" s="13">
        <f t="shared" si="67"/>
        <v>25546489</v>
      </c>
      <c r="M426" s="11"/>
    </row>
    <row r="427" spans="1:13">
      <c r="A427" s="11" t="s">
        <v>666</v>
      </c>
      <c r="B427" s="11" t="s">
        <v>665</v>
      </c>
      <c r="C427" s="13">
        <v>4880</v>
      </c>
      <c r="D427" s="15" t="s">
        <v>102</v>
      </c>
      <c r="E427" s="13">
        <v>0</v>
      </c>
      <c r="F427" s="13">
        <f t="shared" si="64"/>
        <v>0</v>
      </c>
      <c r="G427" s="13">
        <v>253</v>
      </c>
      <c r="H427" s="13">
        <f t="shared" si="65"/>
        <v>1234640</v>
      </c>
      <c r="I427" s="13">
        <v>3418</v>
      </c>
      <c r="J427" s="13">
        <f t="shared" si="66"/>
        <v>16679840</v>
      </c>
      <c r="K427" s="13">
        <f t="shared" si="67"/>
        <v>3671</v>
      </c>
      <c r="L427" s="13">
        <f t="shared" si="67"/>
        <v>17914480</v>
      </c>
      <c r="M427" s="11"/>
    </row>
    <row r="428" spans="1:13">
      <c r="A428" s="11" t="s">
        <v>667</v>
      </c>
      <c r="B428" s="11" t="s">
        <v>668</v>
      </c>
      <c r="C428" s="13">
        <v>6952</v>
      </c>
      <c r="D428" s="15" t="s">
        <v>102</v>
      </c>
      <c r="E428" s="13">
        <v>0</v>
      </c>
      <c r="F428" s="13">
        <f t="shared" si="64"/>
        <v>0</v>
      </c>
      <c r="G428" s="13">
        <v>253</v>
      </c>
      <c r="H428" s="13">
        <f t="shared" si="65"/>
        <v>1758856</v>
      </c>
      <c r="I428" s="13">
        <v>3418</v>
      </c>
      <c r="J428" s="13">
        <f t="shared" si="66"/>
        <v>23761936</v>
      </c>
      <c r="K428" s="13">
        <f t="shared" si="67"/>
        <v>3671</v>
      </c>
      <c r="L428" s="13">
        <f t="shared" si="67"/>
        <v>25520792</v>
      </c>
      <c r="M428" s="11"/>
    </row>
    <row r="429" spans="1:13">
      <c r="A429" s="11" t="s">
        <v>669</v>
      </c>
      <c r="B429" s="11" t="s">
        <v>670</v>
      </c>
      <c r="C429" s="13">
        <v>4880</v>
      </c>
      <c r="D429" s="15" t="s">
        <v>102</v>
      </c>
      <c r="E429" s="13">
        <v>0</v>
      </c>
      <c r="F429" s="13">
        <f t="shared" si="64"/>
        <v>0</v>
      </c>
      <c r="G429" s="13">
        <v>0</v>
      </c>
      <c r="H429" s="13">
        <f t="shared" si="65"/>
        <v>0</v>
      </c>
      <c r="I429" s="13">
        <v>551</v>
      </c>
      <c r="J429" s="13">
        <f t="shared" si="66"/>
        <v>2688880</v>
      </c>
      <c r="K429" s="13">
        <f t="shared" si="67"/>
        <v>551</v>
      </c>
      <c r="L429" s="13">
        <f t="shared" si="67"/>
        <v>2688880</v>
      </c>
      <c r="M429" s="11"/>
    </row>
    <row r="430" spans="1:13">
      <c r="A430" s="11" t="s">
        <v>671</v>
      </c>
      <c r="B430" s="11" t="s">
        <v>672</v>
      </c>
      <c r="C430" s="13">
        <v>2079</v>
      </c>
      <c r="D430" s="15" t="s">
        <v>102</v>
      </c>
      <c r="E430" s="13">
        <v>0</v>
      </c>
      <c r="F430" s="13">
        <f t="shared" si="64"/>
        <v>0</v>
      </c>
      <c r="G430" s="13">
        <v>0</v>
      </c>
      <c r="H430" s="13">
        <f t="shared" si="65"/>
        <v>0</v>
      </c>
      <c r="I430" s="13">
        <v>551</v>
      </c>
      <c r="J430" s="13">
        <f t="shared" si="66"/>
        <v>1145529</v>
      </c>
      <c r="K430" s="13">
        <f t="shared" si="67"/>
        <v>551</v>
      </c>
      <c r="L430" s="13">
        <f t="shared" si="67"/>
        <v>1145529</v>
      </c>
      <c r="M430" s="11"/>
    </row>
    <row r="431" spans="1:13">
      <c r="A431" s="11" t="s">
        <v>673</v>
      </c>
      <c r="B431" s="11" t="s">
        <v>674</v>
      </c>
      <c r="C431" s="13">
        <v>6945</v>
      </c>
      <c r="D431" s="15" t="s">
        <v>102</v>
      </c>
      <c r="E431" s="13">
        <v>0</v>
      </c>
      <c r="F431" s="13">
        <f t="shared" si="64"/>
        <v>0</v>
      </c>
      <c r="G431" s="13">
        <v>0</v>
      </c>
      <c r="H431" s="13">
        <f t="shared" si="65"/>
        <v>0</v>
      </c>
      <c r="I431" s="13">
        <v>551</v>
      </c>
      <c r="J431" s="13">
        <f t="shared" si="66"/>
        <v>3826695</v>
      </c>
      <c r="K431" s="13">
        <f t="shared" si="67"/>
        <v>551</v>
      </c>
      <c r="L431" s="13">
        <f t="shared" si="67"/>
        <v>3826695</v>
      </c>
      <c r="M431" s="11"/>
    </row>
    <row r="432" spans="1:13">
      <c r="A432" s="11" t="s">
        <v>675</v>
      </c>
      <c r="B432" s="11" t="s">
        <v>676</v>
      </c>
      <c r="C432" s="13">
        <v>1625</v>
      </c>
      <c r="D432" s="15" t="s">
        <v>108</v>
      </c>
      <c r="E432" s="13">
        <v>0</v>
      </c>
      <c r="F432" s="13">
        <f t="shared" si="64"/>
        <v>0</v>
      </c>
      <c r="G432" s="13">
        <v>1515</v>
      </c>
      <c r="H432" s="13">
        <f t="shared" si="65"/>
        <v>2461875</v>
      </c>
      <c r="I432" s="13">
        <v>4961</v>
      </c>
      <c r="J432" s="13">
        <f t="shared" si="66"/>
        <v>8061625</v>
      </c>
      <c r="K432" s="13">
        <f t="shared" si="67"/>
        <v>6476</v>
      </c>
      <c r="L432" s="13">
        <f t="shared" si="67"/>
        <v>10523500</v>
      </c>
      <c r="M432" s="11"/>
    </row>
    <row r="433" spans="1:13">
      <c r="A433" s="11" t="s">
        <v>677</v>
      </c>
      <c r="B433" s="11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</row>
    <row r="434" spans="1:13">
      <c r="A434" s="11" t="s">
        <v>678</v>
      </c>
      <c r="B434" s="11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</row>
    <row r="435" spans="1:13">
      <c r="A435" s="11" t="s">
        <v>679</v>
      </c>
      <c r="B435" s="11" t="s">
        <v>680</v>
      </c>
      <c r="C435" s="13">
        <v>2645</v>
      </c>
      <c r="D435" s="15" t="s">
        <v>102</v>
      </c>
      <c r="E435" s="13">
        <v>0</v>
      </c>
      <c r="F435" s="13">
        <f>ROUND(E435*C435,0)</f>
        <v>0</v>
      </c>
      <c r="G435" s="13">
        <v>15150</v>
      </c>
      <c r="H435" s="13">
        <f>ROUND(G435*C435,0)</f>
        <v>40071750</v>
      </c>
      <c r="I435" s="13">
        <v>2503</v>
      </c>
      <c r="J435" s="13">
        <f>ROUND(I435*C435,0)</f>
        <v>6620435</v>
      </c>
      <c r="K435" s="13">
        <f>E435+G435+I435</f>
        <v>17653</v>
      </c>
      <c r="L435" s="13">
        <f>F435+H435+J435</f>
        <v>46692185</v>
      </c>
      <c r="M435" s="11"/>
    </row>
    <row r="436" spans="1:13">
      <c r="A436" s="11" t="s">
        <v>681</v>
      </c>
      <c r="B436" s="11" t="s">
        <v>682</v>
      </c>
      <c r="C436" s="13">
        <v>290</v>
      </c>
      <c r="D436" s="15" t="s">
        <v>108</v>
      </c>
      <c r="E436" s="13">
        <v>0</v>
      </c>
      <c r="F436" s="13">
        <f>ROUND(E436*C436,0)</f>
        <v>0</v>
      </c>
      <c r="G436" s="13">
        <v>1515</v>
      </c>
      <c r="H436" s="13">
        <f>ROUND(G436*C436,0)</f>
        <v>439350</v>
      </c>
      <c r="I436" s="13">
        <v>4961</v>
      </c>
      <c r="J436" s="13">
        <f>ROUND(I436*C436,0)</f>
        <v>1438690</v>
      </c>
      <c r="K436" s="13">
        <f>E436+G436+I436</f>
        <v>6476</v>
      </c>
      <c r="L436" s="13">
        <f>F436+H436+J436</f>
        <v>1878040</v>
      </c>
      <c r="M436" s="11"/>
    </row>
    <row r="437" spans="1:13">
      <c r="A437" s="11" t="s">
        <v>683</v>
      </c>
      <c r="B437" s="11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</row>
    <row r="438" spans="1:13">
      <c r="A438" s="11" t="s">
        <v>684</v>
      </c>
      <c r="B438" s="11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</row>
    <row r="439" spans="1:13">
      <c r="A439" s="11" t="s">
        <v>685</v>
      </c>
      <c r="B439" s="11" t="s">
        <v>686</v>
      </c>
      <c r="C439" s="13">
        <v>26</v>
      </c>
      <c r="D439" s="15" t="s">
        <v>102</v>
      </c>
      <c r="E439" s="13">
        <v>0</v>
      </c>
      <c r="F439" s="13">
        <f>ROUND(E439*C439,0)</f>
        <v>0</v>
      </c>
      <c r="G439" s="13">
        <v>13130</v>
      </c>
      <c r="H439" s="13">
        <f>ROUND(G439*C439,0)</f>
        <v>341380</v>
      </c>
      <c r="I439" s="13">
        <v>2503</v>
      </c>
      <c r="J439" s="13">
        <f>ROUND(I439*C439,0)</f>
        <v>65078</v>
      </c>
      <c r="K439" s="13">
        <f t="shared" ref="K439:L441" si="68">E439+G439+I439</f>
        <v>15633</v>
      </c>
      <c r="L439" s="13">
        <f t="shared" si="68"/>
        <v>406458</v>
      </c>
      <c r="M439" s="11"/>
    </row>
    <row r="440" spans="1:13">
      <c r="A440" s="11" t="s">
        <v>687</v>
      </c>
      <c r="B440" s="11" t="s">
        <v>686</v>
      </c>
      <c r="C440" s="13">
        <v>57</v>
      </c>
      <c r="D440" s="15" t="s">
        <v>102</v>
      </c>
      <c r="E440" s="13">
        <v>0</v>
      </c>
      <c r="F440" s="13">
        <f>ROUND(E440*C440,0)</f>
        <v>0</v>
      </c>
      <c r="G440" s="13">
        <v>13130</v>
      </c>
      <c r="H440" s="13">
        <f>ROUND(G440*C440,0)</f>
        <v>748410</v>
      </c>
      <c r="I440" s="13">
        <v>2503</v>
      </c>
      <c r="J440" s="13">
        <f>ROUND(I440*C440,0)</f>
        <v>142671</v>
      </c>
      <c r="K440" s="13">
        <f t="shared" si="68"/>
        <v>15633</v>
      </c>
      <c r="L440" s="13">
        <f t="shared" si="68"/>
        <v>891081</v>
      </c>
      <c r="M440" s="11"/>
    </row>
    <row r="441" spans="1:13">
      <c r="A441" s="11" t="s">
        <v>688</v>
      </c>
      <c r="B441" s="11" t="s">
        <v>689</v>
      </c>
      <c r="C441" s="13">
        <v>9</v>
      </c>
      <c r="D441" s="15" t="s">
        <v>108</v>
      </c>
      <c r="E441" s="13">
        <v>0</v>
      </c>
      <c r="F441" s="13">
        <f>ROUND(E441*C441,0)</f>
        <v>0</v>
      </c>
      <c r="G441" s="13">
        <v>1515</v>
      </c>
      <c r="H441" s="13">
        <f>ROUND(G441*C441,0)</f>
        <v>13635</v>
      </c>
      <c r="I441" s="13">
        <v>4961</v>
      </c>
      <c r="J441" s="13">
        <f>ROUND(I441*C441,0)</f>
        <v>44649</v>
      </c>
      <c r="K441" s="13">
        <f t="shared" si="68"/>
        <v>6476</v>
      </c>
      <c r="L441" s="13">
        <f t="shared" si="68"/>
        <v>58284</v>
      </c>
      <c r="M441" s="11"/>
    </row>
    <row r="442" spans="1:13">
      <c r="A442" s="11" t="s">
        <v>690</v>
      </c>
      <c r="B442" s="11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</row>
    <row r="443" spans="1:13">
      <c r="A443" s="11" t="s">
        <v>691</v>
      </c>
      <c r="B443" s="11" t="s">
        <v>692</v>
      </c>
      <c r="C443" s="13">
        <v>1612</v>
      </c>
      <c r="D443" s="15" t="s">
        <v>102</v>
      </c>
      <c r="E443" s="13">
        <v>6565</v>
      </c>
      <c r="F443" s="13">
        <f>ROUND(E443*C443,0)</f>
        <v>10582780</v>
      </c>
      <c r="G443" s="13">
        <v>14140</v>
      </c>
      <c r="H443" s="13">
        <f>ROUND(G443*C443,0)</f>
        <v>22793680</v>
      </c>
      <c r="I443" s="13">
        <v>3307</v>
      </c>
      <c r="J443" s="13">
        <f>ROUND(I443*C443,0)</f>
        <v>5330884</v>
      </c>
      <c r="K443" s="13">
        <f>E443+G443+I443</f>
        <v>24012</v>
      </c>
      <c r="L443" s="13">
        <f>F443+H443+J443</f>
        <v>38707344</v>
      </c>
      <c r="M443" s="11"/>
    </row>
    <row r="444" spans="1:13">
      <c r="A444" s="11" t="s">
        <v>693</v>
      </c>
      <c r="B444" s="11" t="s">
        <v>694</v>
      </c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</row>
    <row r="445" spans="1:13">
      <c r="A445" s="11" t="s">
        <v>664</v>
      </c>
      <c r="B445" s="11" t="s">
        <v>695</v>
      </c>
      <c r="C445" s="13">
        <v>79</v>
      </c>
      <c r="D445" s="15" t="s">
        <v>102</v>
      </c>
      <c r="E445" s="13">
        <v>0</v>
      </c>
      <c r="F445" s="13">
        <f>ROUND(E445*C445,0)</f>
        <v>0</v>
      </c>
      <c r="G445" s="13">
        <v>10231</v>
      </c>
      <c r="H445" s="13">
        <f>ROUND(G445*C445,0)</f>
        <v>808249</v>
      </c>
      <c r="I445" s="13">
        <v>21630</v>
      </c>
      <c r="J445" s="13">
        <f>ROUND(I445*C445,0)</f>
        <v>1708770</v>
      </c>
      <c r="K445" s="13">
        <f t="shared" ref="K445:L449" si="69">E445+G445+I445</f>
        <v>31861</v>
      </c>
      <c r="L445" s="13">
        <f t="shared" si="69"/>
        <v>2517019</v>
      </c>
      <c r="M445" s="11"/>
    </row>
    <row r="446" spans="1:13">
      <c r="A446" s="11" t="s">
        <v>696</v>
      </c>
      <c r="B446" s="11" t="s">
        <v>672</v>
      </c>
      <c r="C446" s="13">
        <v>256</v>
      </c>
      <c r="D446" s="15" t="s">
        <v>102</v>
      </c>
      <c r="E446" s="13">
        <v>0</v>
      </c>
      <c r="F446" s="13">
        <f>ROUND(E446*C446,0)</f>
        <v>0</v>
      </c>
      <c r="G446" s="13">
        <v>0</v>
      </c>
      <c r="H446" s="13">
        <f>ROUND(G446*C446,0)</f>
        <v>0</v>
      </c>
      <c r="I446" s="13">
        <v>551</v>
      </c>
      <c r="J446" s="13">
        <f>ROUND(I446*C446,0)</f>
        <v>141056</v>
      </c>
      <c r="K446" s="13">
        <f t="shared" si="69"/>
        <v>551</v>
      </c>
      <c r="L446" s="13">
        <f t="shared" si="69"/>
        <v>141056</v>
      </c>
      <c r="M446" s="11"/>
    </row>
    <row r="447" spans="1:13">
      <c r="A447" s="11" t="s">
        <v>697</v>
      </c>
      <c r="B447" s="11" t="s">
        <v>698</v>
      </c>
      <c r="C447" s="13">
        <v>64</v>
      </c>
      <c r="D447" s="15" t="s">
        <v>102</v>
      </c>
      <c r="E447" s="13">
        <v>6565</v>
      </c>
      <c r="F447" s="13">
        <f>ROUND(E447*C447,0)</f>
        <v>420160</v>
      </c>
      <c r="G447" s="13">
        <v>8585</v>
      </c>
      <c r="H447" s="13">
        <f>ROUND(G447*C447,0)</f>
        <v>549440</v>
      </c>
      <c r="I447" s="13">
        <v>1102</v>
      </c>
      <c r="J447" s="13">
        <f>ROUND(I447*C447,0)</f>
        <v>70528</v>
      </c>
      <c r="K447" s="13">
        <f t="shared" si="69"/>
        <v>16252</v>
      </c>
      <c r="L447" s="13">
        <f t="shared" si="69"/>
        <v>1040128</v>
      </c>
      <c r="M447" s="11"/>
    </row>
    <row r="448" spans="1:13">
      <c r="A448" s="11" t="s">
        <v>699</v>
      </c>
      <c r="B448" s="11" t="s">
        <v>700</v>
      </c>
      <c r="C448" s="13">
        <v>64</v>
      </c>
      <c r="D448" s="15" t="s">
        <v>102</v>
      </c>
      <c r="E448" s="13">
        <v>6565</v>
      </c>
      <c r="F448" s="13">
        <f>ROUND(E448*C448,0)</f>
        <v>420160</v>
      </c>
      <c r="G448" s="13">
        <v>8585</v>
      </c>
      <c r="H448" s="13">
        <f>ROUND(G448*C448,0)</f>
        <v>549440</v>
      </c>
      <c r="I448" s="13">
        <v>1102</v>
      </c>
      <c r="J448" s="13">
        <f>ROUND(I448*C448,0)</f>
        <v>70528</v>
      </c>
      <c r="K448" s="13">
        <f t="shared" si="69"/>
        <v>16252</v>
      </c>
      <c r="L448" s="13">
        <f t="shared" si="69"/>
        <v>1040128</v>
      </c>
      <c r="M448" s="11"/>
    </row>
    <row r="449" spans="1:13">
      <c r="A449" s="11" t="s">
        <v>701</v>
      </c>
      <c r="B449" s="11" t="s">
        <v>702</v>
      </c>
      <c r="C449" s="13">
        <v>128</v>
      </c>
      <c r="D449" s="15" t="s">
        <v>102</v>
      </c>
      <c r="E449" s="13">
        <v>0</v>
      </c>
      <c r="F449" s="13">
        <f>ROUND(E449*C449,0)</f>
        <v>0</v>
      </c>
      <c r="G449" s="13">
        <v>4545</v>
      </c>
      <c r="H449" s="13">
        <f>ROUND(G449*C449,0)</f>
        <v>581760</v>
      </c>
      <c r="I449" s="13">
        <v>1102</v>
      </c>
      <c r="J449" s="13">
        <f>ROUND(I449*C449,0)</f>
        <v>141056</v>
      </c>
      <c r="K449" s="13">
        <f t="shared" si="69"/>
        <v>5647</v>
      </c>
      <c r="L449" s="13">
        <f t="shared" si="69"/>
        <v>722816</v>
      </c>
      <c r="M449" s="11"/>
    </row>
    <row r="450" spans="1:13">
      <c r="A450" s="11" t="s">
        <v>703</v>
      </c>
      <c r="B450" s="11" t="s">
        <v>704</v>
      </c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</row>
    <row r="451" spans="1:13">
      <c r="A451" s="11" t="s">
        <v>664</v>
      </c>
      <c r="B451" s="11" t="s">
        <v>665</v>
      </c>
      <c r="C451" s="13">
        <v>96</v>
      </c>
      <c r="D451" s="15" t="s">
        <v>102</v>
      </c>
      <c r="E451" s="13">
        <v>0</v>
      </c>
      <c r="F451" s="13">
        <f t="shared" ref="F451:F457" si="70">ROUND(E451*C451,0)</f>
        <v>0</v>
      </c>
      <c r="G451" s="13">
        <v>10231</v>
      </c>
      <c r="H451" s="13">
        <f t="shared" ref="H451:H457" si="71">ROUND(G451*C451,0)</f>
        <v>982176</v>
      </c>
      <c r="I451" s="13">
        <v>21630</v>
      </c>
      <c r="J451" s="13">
        <f t="shared" ref="J451:J457" si="72">ROUND(I451*C451,0)</f>
        <v>2076480</v>
      </c>
      <c r="K451" s="13">
        <f t="shared" ref="K451:L457" si="73">E451+G451+I451</f>
        <v>31861</v>
      </c>
      <c r="L451" s="13">
        <f t="shared" si="73"/>
        <v>3058656</v>
      </c>
      <c r="M451" s="11"/>
    </row>
    <row r="452" spans="1:13">
      <c r="A452" s="11" t="s">
        <v>696</v>
      </c>
      <c r="B452" s="11" t="s">
        <v>672</v>
      </c>
      <c r="C452" s="13">
        <v>193</v>
      </c>
      <c r="D452" s="15" t="s">
        <v>102</v>
      </c>
      <c r="E452" s="13">
        <v>0</v>
      </c>
      <c r="F452" s="13">
        <f t="shared" si="70"/>
        <v>0</v>
      </c>
      <c r="G452" s="13">
        <v>0</v>
      </c>
      <c r="H452" s="13">
        <f t="shared" si="71"/>
        <v>0</v>
      </c>
      <c r="I452" s="13">
        <v>551</v>
      </c>
      <c r="J452" s="13">
        <f t="shared" si="72"/>
        <v>106343</v>
      </c>
      <c r="K452" s="13">
        <f t="shared" si="73"/>
        <v>551</v>
      </c>
      <c r="L452" s="13">
        <f t="shared" si="73"/>
        <v>106343</v>
      </c>
      <c r="M452" s="11"/>
    </row>
    <row r="453" spans="1:13">
      <c r="A453" s="11" t="s">
        <v>705</v>
      </c>
      <c r="B453" s="11" t="s">
        <v>692</v>
      </c>
      <c r="C453" s="13">
        <v>48</v>
      </c>
      <c r="D453" s="15" t="s">
        <v>102</v>
      </c>
      <c r="E453" s="13">
        <v>6565</v>
      </c>
      <c r="F453" s="13">
        <f t="shared" si="70"/>
        <v>315120</v>
      </c>
      <c r="G453" s="13">
        <v>14140</v>
      </c>
      <c r="H453" s="13">
        <f t="shared" si="71"/>
        <v>678720</v>
      </c>
      <c r="I453" s="13">
        <v>3307</v>
      </c>
      <c r="J453" s="13">
        <f t="shared" si="72"/>
        <v>158736</v>
      </c>
      <c r="K453" s="13">
        <f t="shared" si="73"/>
        <v>24012</v>
      </c>
      <c r="L453" s="13">
        <f t="shared" si="73"/>
        <v>1152576</v>
      </c>
      <c r="M453" s="11"/>
    </row>
    <row r="454" spans="1:13">
      <c r="A454" s="11" t="s">
        <v>699</v>
      </c>
      <c r="B454" s="11" t="s">
        <v>706</v>
      </c>
      <c r="C454" s="13">
        <v>24</v>
      </c>
      <c r="D454" s="15" t="s">
        <v>102</v>
      </c>
      <c r="E454" s="13">
        <v>6565</v>
      </c>
      <c r="F454" s="13">
        <f t="shared" si="70"/>
        <v>157560</v>
      </c>
      <c r="G454" s="13">
        <v>11110</v>
      </c>
      <c r="H454" s="13">
        <f t="shared" si="71"/>
        <v>266640</v>
      </c>
      <c r="I454" s="13">
        <v>1102</v>
      </c>
      <c r="J454" s="13">
        <f t="shared" si="72"/>
        <v>26448</v>
      </c>
      <c r="K454" s="13">
        <f t="shared" si="73"/>
        <v>18777</v>
      </c>
      <c r="L454" s="13">
        <f t="shared" si="73"/>
        <v>450648</v>
      </c>
      <c r="M454" s="11"/>
    </row>
    <row r="455" spans="1:13">
      <c r="A455" s="11" t="s">
        <v>707</v>
      </c>
      <c r="B455" s="11" t="s">
        <v>708</v>
      </c>
      <c r="C455" s="13">
        <v>2</v>
      </c>
      <c r="D455" s="15" t="s">
        <v>102</v>
      </c>
      <c r="E455" s="13">
        <v>6565</v>
      </c>
      <c r="F455" s="13">
        <f t="shared" si="70"/>
        <v>13130</v>
      </c>
      <c r="G455" s="13">
        <v>11110</v>
      </c>
      <c r="H455" s="13">
        <f t="shared" si="71"/>
        <v>22220</v>
      </c>
      <c r="I455" s="13">
        <v>1102</v>
      </c>
      <c r="J455" s="13">
        <f t="shared" si="72"/>
        <v>2204</v>
      </c>
      <c r="K455" s="13">
        <f t="shared" si="73"/>
        <v>18777</v>
      </c>
      <c r="L455" s="13">
        <f t="shared" si="73"/>
        <v>37554</v>
      </c>
      <c r="M455" s="11"/>
    </row>
    <row r="456" spans="1:13">
      <c r="A456" s="11" t="s">
        <v>709</v>
      </c>
      <c r="B456" s="11" t="s">
        <v>706</v>
      </c>
      <c r="C456" s="13">
        <v>24</v>
      </c>
      <c r="D456" s="15" t="s">
        <v>102</v>
      </c>
      <c r="E456" s="13">
        <v>6565</v>
      </c>
      <c r="F456" s="13">
        <f t="shared" si="70"/>
        <v>157560</v>
      </c>
      <c r="G456" s="13">
        <v>11110</v>
      </c>
      <c r="H456" s="13">
        <f t="shared" si="71"/>
        <v>266640</v>
      </c>
      <c r="I456" s="13">
        <v>1102</v>
      </c>
      <c r="J456" s="13">
        <f t="shared" si="72"/>
        <v>26448</v>
      </c>
      <c r="K456" s="13">
        <f t="shared" si="73"/>
        <v>18777</v>
      </c>
      <c r="L456" s="13">
        <f t="shared" si="73"/>
        <v>450648</v>
      </c>
      <c r="M456" s="11"/>
    </row>
    <row r="457" spans="1:13">
      <c r="A457" s="11" t="s">
        <v>710</v>
      </c>
      <c r="B457" s="11" t="s">
        <v>708</v>
      </c>
      <c r="C457" s="13">
        <v>2</v>
      </c>
      <c r="D457" s="15" t="s">
        <v>102</v>
      </c>
      <c r="E457" s="13">
        <v>0</v>
      </c>
      <c r="F457" s="13">
        <f t="shared" si="70"/>
        <v>0</v>
      </c>
      <c r="G457" s="13">
        <v>4545</v>
      </c>
      <c r="H457" s="13">
        <f t="shared" si="71"/>
        <v>9090</v>
      </c>
      <c r="I457" s="13">
        <v>0</v>
      </c>
      <c r="J457" s="13">
        <f t="shared" si="72"/>
        <v>0</v>
      </c>
      <c r="K457" s="13">
        <f t="shared" si="73"/>
        <v>4545</v>
      </c>
      <c r="L457" s="13">
        <f t="shared" si="73"/>
        <v>9090</v>
      </c>
      <c r="M457" s="11"/>
    </row>
    <row r="458" spans="1:13">
      <c r="A458" s="11" t="s">
        <v>711</v>
      </c>
      <c r="B458" s="11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</row>
    <row r="459" spans="1:13">
      <c r="A459" s="11" t="s">
        <v>712</v>
      </c>
      <c r="B459" s="11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</row>
    <row r="460" spans="1:13" ht="33">
      <c r="A460" s="11" t="s">
        <v>713</v>
      </c>
      <c r="B460" s="11" t="s">
        <v>714</v>
      </c>
      <c r="C460" s="13">
        <v>1235</v>
      </c>
      <c r="D460" s="15" t="s">
        <v>240</v>
      </c>
      <c r="E460" s="13">
        <v>0</v>
      </c>
      <c r="F460" s="13">
        <f>ROUND(E460*C460,0)</f>
        <v>0</v>
      </c>
      <c r="G460" s="13">
        <v>14140</v>
      </c>
      <c r="H460" s="13">
        <f>ROUND(G460*C460,0)</f>
        <v>17462900</v>
      </c>
      <c r="I460" s="13">
        <v>5358</v>
      </c>
      <c r="J460" s="13">
        <f>ROUND(I460*C460,0)</f>
        <v>6617130</v>
      </c>
      <c r="K460" s="13">
        <f t="shared" ref="K460:L463" si="74">E460+G460+I460</f>
        <v>19498</v>
      </c>
      <c r="L460" s="13">
        <f t="shared" si="74"/>
        <v>24080030</v>
      </c>
      <c r="M460" s="11"/>
    </row>
    <row r="461" spans="1:13" ht="33">
      <c r="A461" s="11" t="s">
        <v>715</v>
      </c>
      <c r="B461" s="11" t="s">
        <v>716</v>
      </c>
      <c r="C461" s="13">
        <v>114</v>
      </c>
      <c r="D461" s="15" t="s">
        <v>240</v>
      </c>
      <c r="E461" s="13">
        <v>0</v>
      </c>
      <c r="F461" s="13">
        <f>ROUND(E461*C461,0)</f>
        <v>0</v>
      </c>
      <c r="G461" s="13">
        <v>14140</v>
      </c>
      <c r="H461" s="13">
        <f>ROUND(G461*C461,0)</f>
        <v>1611960</v>
      </c>
      <c r="I461" s="13">
        <v>5358</v>
      </c>
      <c r="J461" s="13">
        <f>ROUND(I461*C461,0)</f>
        <v>610812</v>
      </c>
      <c r="K461" s="13">
        <f t="shared" si="74"/>
        <v>19498</v>
      </c>
      <c r="L461" s="13">
        <f t="shared" si="74"/>
        <v>2222772</v>
      </c>
      <c r="M461" s="11"/>
    </row>
    <row r="462" spans="1:13" ht="33">
      <c r="A462" s="11" t="s">
        <v>717</v>
      </c>
      <c r="B462" s="11" t="s">
        <v>718</v>
      </c>
      <c r="C462" s="13">
        <v>84</v>
      </c>
      <c r="D462" s="15" t="s">
        <v>240</v>
      </c>
      <c r="E462" s="13">
        <v>0</v>
      </c>
      <c r="F462" s="13">
        <f>ROUND(E462*C462,0)</f>
        <v>0</v>
      </c>
      <c r="G462" s="13">
        <v>14140</v>
      </c>
      <c r="H462" s="13">
        <f>ROUND(G462*C462,0)</f>
        <v>1187760</v>
      </c>
      <c r="I462" s="13">
        <v>5358</v>
      </c>
      <c r="J462" s="13">
        <f>ROUND(I462*C462,0)</f>
        <v>450072</v>
      </c>
      <c r="K462" s="13">
        <f t="shared" si="74"/>
        <v>19498</v>
      </c>
      <c r="L462" s="13">
        <f t="shared" si="74"/>
        <v>1637832</v>
      </c>
      <c r="M462" s="11"/>
    </row>
    <row r="463" spans="1:13" ht="33">
      <c r="A463" s="11" t="s">
        <v>719</v>
      </c>
      <c r="B463" s="11" t="s">
        <v>720</v>
      </c>
      <c r="C463" s="13">
        <v>113</v>
      </c>
      <c r="D463" s="15" t="s">
        <v>240</v>
      </c>
      <c r="E463" s="13">
        <v>0</v>
      </c>
      <c r="F463" s="13">
        <f>ROUND(E463*C463,0)</f>
        <v>0</v>
      </c>
      <c r="G463" s="13">
        <v>14140</v>
      </c>
      <c r="H463" s="13">
        <f>ROUND(G463*C463,0)</f>
        <v>1597820</v>
      </c>
      <c r="I463" s="13">
        <v>5358</v>
      </c>
      <c r="J463" s="13">
        <f>ROUND(I463*C463,0)</f>
        <v>605454</v>
      </c>
      <c r="K463" s="13">
        <f t="shared" si="74"/>
        <v>19498</v>
      </c>
      <c r="L463" s="13">
        <f t="shared" si="74"/>
        <v>2203274</v>
      </c>
      <c r="M463" s="11"/>
    </row>
    <row r="464" spans="1:13">
      <c r="A464" s="11" t="s">
        <v>721</v>
      </c>
      <c r="B464" s="11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</row>
    <row r="465" spans="1:13" ht="33">
      <c r="A465" s="11" t="s">
        <v>722</v>
      </c>
      <c r="B465" s="11" t="s">
        <v>723</v>
      </c>
      <c r="C465" s="13">
        <v>1297</v>
      </c>
      <c r="D465" s="15" t="s">
        <v>240</v>
      </c>
      <c r="E465" s="13">
        <v>0</v>
      </c>
      <c r="F465" s="13">
        <f>ROUND(E465*C465,0)</f>
        <v>0</v>
      </c>
      <c r="G465" s="13">
        <v>12120</v>
      </c>
      <c r="H465" s="13">
        <f>ROUND(G465*C465,0)</f>
        <v>15719640</v>
      </c>
      <c r="I465" s="13">
        <v>3859</v>
      </c>
      <c r="J465" s="13">
        <f>ROUND(I465*C465,0)</f>
        <v>5005123</v>
      </c>
      <c r="K465" s="13">
        <f>E465+G465+I465</f>
        <v>15979</v>
      </c>
      <c r="L465" s="13">
        <f>F465+H465+J465</f>
        <v>20724763</v>
      </c>
      <c r="M465" s="11"/>
    </row>
    <row r="466" spans="1:13">
      <c r="A466" s="11" t="s">
        <v>724</v>
      </c>
      <c r="B466" s="11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</row>
    <row r="467" spans="1:13">
      <c r="A467" s="11" t="s">
        <v>725</v>
      </c>
      <c r="B467" s="11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</row>
    <row r="468" spans="1:13">
      <c r="A468" s="11" t="s">
        <v>726</v>
      </c>
      <c r="B468" s="11" t="s">
        <v>727</v>
      </c>
      <c r="C468" s="13">
        <v>6</v>
      </c>
      <c r="D468" s="15" t="s">
        <v>188</v>
      </c>
      <c r="E468" s="13">
        <v>88880</v>
      </c>
      <c r="F468" s="13">
        <f t="shared" ref="F468:F476" si="75">ROUND(E468*C468,0)</f>
        <v>533280</v>
      </c>
      <c r="G468" s="13">
        <v>50500</v>
      </c>
      <c r="H468" s="13">
        <f t="shared" ref="H468:H476" si="76">ROUND(G468*C468,0)</f>
        <v>303000</v>
      </c>
      <c r="I468" s="13">
        <v>0</v>
      </c>
      <c r="J468" s="13">
        <f t="shared" ref="J468:J476" si="77">ROUND(I468*C468,0)</f>
        <v>0</v>
      </c>
      <c r="K468" s="13">
        <f t="shared" ref="K468:K476" si="78">E468+G468+I468</f>
        <v>139380</v>
      </c>
      <c r="L468" s="13">
        <f t="shared" ref="L468:L476" si="79">F468+H468+J468</f>
        <v>836280</v>
      </c>
      <c r="M468" s="11"/>
    </row>
    <row r="469" spans="1:13" ht="33">
      <c r="A469" s="11" t="s">
        <v>728</v>
      </c>
      <c r="B469" s="11" t="s">
        <v>729</v>
      </c>
      <c r="C469" s="13">
        <v>6</v>
      </c>
      <c r="D469" s="15" t="s">
        <v>188</v>
      </c>
      <c r="E469" s="13">
        <v>88880</v>
      </c>
      <c r="F469" s="13">
        <f t="shared" si="75"/>
        <v>533280</v>
      </c>
      <c r="G469" s="13">
        <v>50500</v>
      </c>
      <c r="H469" s="13">
        <f t="shared" si="76"/>
        <v>303000</v>
      </c>
      <c r="I469" s="13">
        <v>0</v>
      </c>
      <c r="J469" s="13">
        <f t="shared" si="77"/>
        <v>0</v>
      </c>
      <c r="K469" s="13">
        <f t="shared" si="78"/>
        <v>139380</v>
      </c>
      <c r="L469" s="13">
        <f t="shared" si="79"/>
        <v>836280</v>
      </c>
      <c r="M469" s="11"/>
    </row>
    <row r="470" spans="1:13" ht="33">
      <c r="A470" s="11" t="s">
        <v>730</v>
      </c>
      <c r="B470" s="11" t="s">
        <v>731</v>
      </c>
      <c r="C470" s="13">
        <v>1</v>
      </c>
      <c r="D470" s="15" t="s">
        <v>188</v>
      </c>
      <c r="E470" s="13">
        <v>88880</v>
      </c>
      <c r="F470" s="13">
        <f t="shared" si="75"/>
        <v>88880</v>
      </c>
      <c r="G470" s="13">
        <v>50500</v>
      </c>
      <c r="H470" s="13">
        <f t="shared" si="76"/>
        <v>50500</v>
      </c>
      <c r="I470" s="13">
        <v>0</v>
      </c>
      <c r="J470" s="13">
        <f t="shared" si="77"/>
        <v>0</v>
      </c>
      <c r="K470" s="13">
        <f t="shared" si="78"/>
        <v>139380</v>
      </c>
      <c r="L470" s="13">
        <f t="shared" si="79"/>
        <v>139380</v>
      </c>
      <c r="M470" s="11"/>
    </row>
    <row r="471" spans="1:13">
      <c r="A471" s="11" t="s">
        <v>732</v>
      </c>
      <c r="B471" s="11" t="s">
        <v>733</v>
      </c>
      <c r="C471" s="13">
        <v>2</v>
      </c>
      <c r="D471" s="15" t="s">
        <v>188</v>
      </c>
      <c r="E471" s="13">
        <v>80800</v>
      </c>
      <c r="F471" s="13">
        <f t="shared" si="75"/>
        <v>161600</v>
      </c>
      <c r="G471" s="13">
        <v>50500</v>
      </c>
      <c r="H471" s="13">
        <f t="shared" si="76"/>
        <v>101000</v>
      </c>
      <c r="I471" s="13">
        <v>0</v>
      </c>
      <c r="J471" s="13">
        <f t="shared" si="77"/>
        <v>0</v>
      </c>
      <c r="K471" s="13">
        <f t="shared" si="78"/>
        <v>131300</v>
      </c>
      <c r="L471" s="13">
        <f t="shared" si="79"/>
        <v>262600</v>
      </c>
      <c r="M471" s="11"/>
    </row>
    <row r="472" spans="1:13">
      <c r="A472" s="11" t="s">
        <v>734</v>
      </c>
      <c r="B472" s="11" t="s">
        <v>727</v>
      </c>
      <c r="C472" s="13">
        <v>1</v>
      </c>
      <c r="D472" s="15" t="s">
        <v>188</v>
      </c>
      <c r="E472" s="13">
        <v>88880</v>
      </c>
      <c r="F472" s="13">
        <f t="shared" si="75"/>
        <v>88880</v>
      </c>
      <c r="G472" s="13">
        <v>50500</v>
      </c>
      <c r="H472" s="13">
        <f t="shared" si="76"/>
        <v>50500</v>
      </c>
      <c r="I472" s="13">
        <v>0</v>
      </c>
      <c r="J472" s="13">
        <f t="shared" si="77"/>
        <v>0</v>
      </c>
      <c r="K472" s="13">
        <f t="shared" si="78"/>
        <v>139380</v>
      </c>
      <c r="L472" s="13">
        <f t="shared" si="79"/>
        <v>139380</v>
      </c>
      <c r="M472" s="11"/>
    </row>
    <row r="473" spans="1:13">
      <c r="A473" s="11" t="s">
        <v>735</v>
      </c>
      <c r="B473" s="11" t="s">
        <v>727</v>
      </c>
      <c r="C473" s="13">
        <v>1</v>
      </c>
      <c r="D473" s="15" t="s">
        <v>188</v>
      </c>
      <c r="E473" s="13">
        <v>88880</v>
      </c>
      <c r="F473" s="13">
        <f t="shared" si="75"/>
        <v>88880</v>
      </c>
      <c r="G473" s="13">
        <v>50500</v>
      </c>
      <c r="H473" s="13">
        <f t="shared" si="76"/>
        <v>50500</v>
      </c>
      <c r="I473" s="13">
        <v>0</v>
      </c>
      <c r="J473" s="13">
        <f t="shared" si="77"/>
        <v>0</v>
      </c>
      <c r="K473" s="13">
        <f t="shared" si="78"/>
        <v>139380</v>
      </c>
      <c r="L473" s="13">
        <f t="shared" si="79"/>
        <v>139380</v>
      </c>
      <c r="M473" s="11"/>
    </row>
    <row r="474" spans="1:13" ht="33">
      <c r="A474" s="11" t="s">
        <v>736</v>
      </c>
      <c r="B474" s="11" t="s">
        <v>737</v>
      </c>
      <c r="C474" s="13">
        <v>1</v>
      </c>
      <c r="D474" s="15" t="s">
        <v>188</v>
      </c>
      <c r="E474" s="13">
        <v>88880</v>
      </c>
      <c r="F474" s="13">
        <f t="shared" si="75"/>
        <v>88880</v>
      </c>
      <c r="G474" s="13">
        <v>50500</v>
      </c>
      <c r="H474" s="13">
        <f t="shared" si="76"/>
        <v>50500</v>
      </c>
      <c r="I474" s="13">
        <v>0</v>
      </c>
      <c r="J474" s="13">
        <f t="shared" si="77"/>
        <v>0</v>
      </c>
      <c r="K474" s="13">
        <f t="shared" si="78"/>
        <v>139380</v>
      </c>
      <c r="L474" s="13">
        <f t="shared" si="79"/>
        <v>139380</v>
      </c>
      <c r="M474" s="11"/>
    </row>
    <row r="475" spans="1:13" ht="33">
      <c r="A475" s="11" t="s">
        <v>738</v>
      </c>
      <c r="B475" s="11" t="s">
        <v>731</v>
      </c>
      <c r="C475" s="13">
        <v>1</v>
      </c>
      <c r="D475" s="15" t="s">
        <v>188</v>
      </c>
      <c r="E475" s="13">
        <v>88880</v>
      </c>
      <c r="F475" s="13">
        <f t="shared" si="75"/>
        <v>88880</v>
      </c>
      <c r="G475" s="13">
        <v>50500</v>
      </c>
      <c r="H475" s="13">
        <f t="shared" si="76"/>
        <v>50500</v>
      </c>
      <c r="I475" s="13">
        <v>0</v>
      </c>
      <c r="J475" s="13">
        <f t="shared" si="77"/>
        <v>0</v>
      </c>
      <c r="K475" s="13">
        <f t="shared" si="78"/>
        <v>139380</v>
      </c>
      <c r="L475" s="13">
        <f t="shared" si="79"/>
        <v>139380</v>
      </c>
      <c r="M475" s="11"/>
    </row>
    <row r="476" spans="1:13">
      <c r="A476" s="11" t="s">
        <v>739</v>
      </c>
      <c r="B476" s="11" t="s">
        <v>740</v>
      </c>
      <c r="C476" s="13">
        <v>4</v>
      </c>
      <c r="D476" s="15" t="s">
        <v>188</v>
      </c>
      <c r="E476" s="13">
        <v>85850</v>
      </c>
      <c r="F476" s="13">
        <f t="shared" si="75"/>
        <v>343400</v>
      </c>
      <c r="G476" s="13">
        <v>50500</v>
      </c>
      <c r="H476" s="13">
        <f t="shared" si="76"/>
        <v>202000</v>
      </c>
      <c r="I476" s="13">
        <v>0</v>
      </c>
      <c r="J476" s="13">
        <f t="shared" si="77"/>
        <v>0</v>
      </c>
      <c r="K476" s="13">
        <f t="shared" si="78"/>
        <v>136350</v>
      </c>
      <c r="L476" s="13">
        <f t="shared" si="79"/>
        <v>545400</v>
      </c>
      <c r="M476" s="11"/>
    </row>
    <row r="477" spans="1:13">
      <c r="A477" s="11" t="s">
        <v>741</v>
      </c>
      <c r="B477" s="11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</row>
    <row r="478" spans="1:13">
      <c r="A478" s="11" t="s">
        <v>742</v>
      </c>
      <c r="B478" s="11" t="s">
        <v>700</v>
      </c>
      <c r="C478" s="13">
        <v>111</v>
      </c>
      <c r="D478" s="15" t="s">
        <v>102</v>
      </c>
      <c r="E478" s="13">
        <v>6565</v>
      </c>
      <c r="F478" s="13">
        <f t="shared" ref="F478:F486" si="80">ROUND(E478*C478,0)</f>
        <v>728715</v>
      </c>
      <c r="G478" s="13">
        <v>8585</v>
      </c>
      <c r="H478" s="13">
        <f t="shared" ref="H478:H486" si="81">ROUND(G478*C478,0)</f>
        <v>952935</v>
      </c>
      <c r="I478" s="13">
        <v>1102</v>
      </c>
      <c r="J478" s="13">
        <f t="shared" ref="J478:J486" si="82">ROUND(I478*C478,0)</f>
        <v>122322</v>
      </c>
      <c r="K478" s="13">
        <f t="shared" ref="K478:K486" si="83">E478+G478+I478</f>
        <v>16252</v>
      </c>
      <c r="L478" s="13">
        <f t="shared" ref="L478:L486" si="84">F478+H478+J478</f>
        <v>1803972</v>
      </c>
      <c r="M478" s="11"/>
    </row>
    <row r="479" spans="1:13">
      <c r="A479" s="11" t="s">
        <v>743</v>
      </c>
      <c r="B479" s="11" t="s">
        <v>698</v>
      </c>
      <c r="C479" s="13">
        <v>214</v>
      </c>
      <c r="D479" s="15" t="s">
        <v>102</v>
      </c>
      <c r="E479" s="13">
        <v>6565</v>
      </c>
      <c r="F479" s="13">
        <f t="shared" si="80"/>
        <v>1404910</v>
      </c>
      <c r="G479" s="13">
        <v>8585</v>
      </c>
      <c r="H479" s="13">
        <f t="shared" si="81"/>
        <v>1837190</v>
      </c>
      <c r="I479" s="13">
        <v>1102</v>
      </c>
      <c r="J479" s="13">
        <f t="shared" si="82"/>
        <v>235828</v>
      </c>
      <c r="K479" s="13">
        <f t="shared" si="83"/>
        <v>16252</v>
      </c>
      <c r="L479" s="13">
        <f t="shared" si="84"/>
        <v>3477928</v>
      </c>
      <c r="M479" s="11"/>
    </row>
    <row r="480" spans="1:13">
      <c r="A480" s="11" t="s">
        <v>744</v>
      </c>
      <c r="B480" s="11" t="s">
        <v>745</v>
      </c>
      <c r="C480" s="13">
        <v>1</v>
      </c>
      <c r="D480" s="15" t="s">
        <v>102</v>
      </c>
      <c r="E480" s="13">
        <v>6565</v>
      </c>
      <c r="F480" s="13">
        <f t="shared" si="80"/>
        <v>6565</v>
      </c>
      <c r="G480" s="13">
        <v>8585</v>
      </c>
      <c r="H480" s="13">
        <f t="shared" si="81"/>
        <v>8585</v>
      </c>
      <c r="I480" s="13">
        <v>1102</v>
      </c>
      <c r="J480" s="13">
        <f t="shared" si="82"/>
        <v>1102</v>
      </c>
      <c r="K480" s="13">
        <f t="shared" si="83"/>
        <v>16252</v>
      </c>
      <c r="L480" s="13">
        <f t="shared" si="84"/>
        <v>16252</v>
      </c>
      <c r="M480" s="11"/>
    </row>
    <row r="481" spans="1:13">
      <c r="A481" s="11" t="s">
        <v>746</v>
      </c>
      <c r="B481" s="11" t="s">
        <v>706</v>
      </c>
      <c r="C481" s="13">
        <v>211</v>
      </c>
      <c r="D481" s="15" t="s">
        <v>102</v>
      </c>
      <c r="E481" s="13">
        <v>6565</v>
      </c>
      <c r="F481" s="13">
        <f t="shared" si="80"/>
        <v>1385215</v>
      </c>
      <c r="G481" s="13">
        <v>8585</v>
      </c>
      <c r="H481" s="13">
        <f t="shared" si="81"/>
        <v>1811435</v>
      </c>
      <c r="I481" s="13">
        <v>1102</v>
      </c>
      <c r="J481" s="13">
        <f t="shared" si="82"/>
        <v>232522</v>
      </c>
      <c r="K481" s="13">
        <f t="shared" si="83"/>
        <v>16252</v>
      </c>
      <c r="L481" s="13">
        <f t="shared" si="84"/>
        <v>3429172</v>
      </c>
      <c r="M481" s="11"/>
    </row>
    <row r="482" spans="1:13">
      <c r="A482" s="11" t="s">
        <v>747</v>
      </c>
      <c r="B482" s="11" t="s">
        <v>708</v>
      </c>
      <c r="C482" s="13">
        <v>26</v>
      </c>
      <c r="D482" s="15" t="s">
        <v>102</v>
      </c>
      <c r="E482" s="13">
        <v>6565</v>
      </c>
      <c r="F482" s="13">
        <f t="shared" si="80"/>
        <v>170690</v>
      </c>
      <c r="G482" s="13">
        <v>8585</v>
      </c>
      <c r="H482" s="13">
        <f t="shared" si="81"/>
        <v>223210</v>
      </c>
      <c r="I482" s="13">
        <v>1102</v>
      </c>
      <c r="J482" s="13">
        <f t="shared" si="82"/>
        <v>28652</v>
      </c>
      <c r="K482" s="13">
        <f t="shared" si="83"/>
        <v>16252</v>
      </c>
      <c r="L482" s="13">
        <f t="shared" si="84"/>
        <v>422552</v>
      </c>
      <c r="M482" s="11"/>
    </row>
    <row r="483" spans="1:13">
      <c r="A483" s="11" t="s">
        <v>748</v>
      </c>
      <c r="B483" s="11" t="s">
        <v>702</v>
      </c>
      <c r="C483" s="13">
        <v>324</v>
      </c>
      <c r="D483" s="15" t="s">
        <v>102</v>
      </c>
      <c r="E483" s="13">
        <v>6565</v>
      </c>
      <c r="F483" s="13">
        <f t="shared" si="80"/>
        <v>2127060</v>
      </c>
      <c r="G483" s="13">
        <v>4545</v>
      </c>
      <c r="H483" s="13">
        <f t="shared" si="81"/>
        <v>1472580</v>
      </c>
      <c r="I483" s="13">
        <v>1102</v>
      </c>
      <c r="J483" s="13">
        <f t="shared" si="82"/>
        <v>357048</v>
      </c>
      <c r="K483" s="13">
        <f t="shared" si="83"/>
        <v>12212</v>
      </c>
      <c r="L483" s="13">
        <f t="shared" si="84"/>
        <v>3956688</v>
      </c>
      <c r="M483" s="11"/>
    </row>
    <row r="484" spans="1:13">
      <c r="A484" s="11" t="s">
        <v>749</v>
      </c>
      <c r="B484" s="11" t="s">
        <v>750</v>
      </c>
      <c r="C484" s="13">
        <v>1</v>
      </c>
      <c r="D484" s="15" t="s">
        <v>102</v>
      </c>
      <c r="E484" s="13">
        <v>6565</v>
      </c>
      <c r="F484" s="13">
        <f t="shared" si="80"/>
        <v>6565</v>
      </c>
      <c r="G484" s="13">
        <v>4545</v>
      </c>
      <c r="H484" s="13">
        <f t="shared" si="81"/>
        <v>4545</v>
      </c>
      <c r="I484" s="13">
        <v>1102</v>
      </c>
      <c r="J484" s="13">
        <f t="shared" si="82"/>
        <v>1102</v>
      </c>
      <c r="K484" s="13">
        <f t="shared" si="83"/>
        <v>12212</v>
      </c>
      <c r="L484" s="13">
        <f t="shared" si="84"/>
        <v>12212</v>
      </c>
      <c r="M484" s="11"/>
    </row>
    <row r="485" spans="1:13">
      <c r="A485" s="11" t="s">
        <v>751</v>
      </c>
      <c r="B485" s="11" t="s">
        <v>706</v>
      </c>
      <c r="C485" s="13">
        <v>211</v>
      </c>
      <c r="D485" s="15" t="s">
        <v>102</v>
      </c>
      <c r="E485" s="13">
        <v>6565</v>
      </c>
      <c r="F485" s="13">
        <f t="shared" si="80"/>
        <v>1385215</v>
      </c>
      <c r="G485" s="13">
        <v>4545</v>
      </c>
      <c r="H485" s="13">
        <f t="shared" si="81"/>
        <v>958995</v>
      </c>
      <c r="I485" s="13">
        <v>1102</v>
      </c>
      <c r="J485" s="13">
        <f t="shared" si="82"/>
        <v>232522</v>
      </c>
      <c r="K485" s="13">
        <f t="shared" si="83"/>
        <v>12212</v>
      </c>
      <c r="L485" s="13">
        <f t="shared" si="84"/>
        <v>2576732</v>
      </c>
      <c r="M485" s="11"/>
    </row>
    <row r="486" spans="1:13">
      <c r="A486" s="11" t="s">
        <v>752</v>
      </c>
      <c r="B486" s="11" t="s">
        <v>708</v>
      </c>
      <c r="C486" s="13">
        <v>26</v>
      </c>
      <c r="D486" s="15" t="s">
        <v>102</v>
      </c>
      <c r="E486" s="13">
        <v>6565</v>
      </c>
      <c r="F486" s="13">
        <f t="shared" si="80"/>
        <v>170690</v>
      </c>
      <c r="G486" s="13">
        <v>4545</v>
      </c>
      <c r="H486" s="13">
        <f t="shared" si="81"/>
        <v>118170</v>
      </c>
      <c r="I486" s="13">
        <v>1102</v>
      </c>
      <c r="J486" s="13">
        <f t="shared" si="82"/>
        <v>28652</v>
      </c>
      <c r="K486" s="13">
        <f t="shared" si="83"/>
        <v>12212</v>
      </c>
      <c r="L486" s="13">
        <f t="shared" si="84"/>
        <v>317512</v>
      </c>
      <c r="M486" s="11"/>
    </row>
    <row r="487" spans="1:13">
      <c r="A487" s="11" t="s">
        <v>753</v>
      </c>
      <c r="B487" s="11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</row>
    <row r="488" spans="1:13">
      <c r="A488" s="11" t="s">
        <v>754</v>
      </c>
      <c r="B488" s="11" t="s">
        <v>755</v>
      </c>
      <c r="C488" s="13">
        <v>41</v>
      </c>
      <c r="D488" s="15" t="s">
        <v>188</v>
      </c>
      <c r="E488" s="13">
        <v>45450</v>
      </c>
      <c r="F488" s="13">
        <f>ROUND(E488*C488,0)</f>
        <v>1863450</v>
      </c>
      <c r="G488" s="13">
        <v>35350</v>
      </c>
      <c r="H488" s="13">
        <f>ROUND(G488*C488,0)</f>
        <v>1449350</v>
      </c>
      <c r="I488" s="13">
        <v>5512</v>
      </c>
      <c r="J488" s="13">
        <f>ROUND(I488*C488,0)</f>
        <v>225992</v>
      </c>
      <c r="K488" s="13">
        <f t="shared" ref="K488:L491" si="85">E488+G488+I488</f>
        <v>86312</v>
      </c>
      <c r="L488" s="13">
        <f t="shared" si="85"/>
        <v>3538792</v>
      </c>
      <c r="M488" s="11"/>
    </row>
    <row r="489" spans="1:13">
      <c r="A489" s="11" t="s">
        <v>756</v>
      </c>
      <c r="B489" s="11" t="s">
        <v>757</v>
      </c>
      <c r="C489" s="13">
        <v>6</v>
      </c>
      <c r="D489" s="15" t="s">
        <v>188</v>
      </c>
      <c r="E489" s="13">
        <v>303000</v>
      </c>
      <c r="F489" s="13">
        <f>ROUND(E489*C489,0)</f>
        <v>1818000</v>
      </c>
      <c r="G489" s="13">
        <v>151500</v>
      </c>
      <c r="H489" s="13">
        <f>ROUND(G489*C489,0)</f>
        <v>909000</v>
      </c>
      <c r="I489" s="13">
        <v>0</v>
      </c>
      <c r="J489" s="13">
        <f>ROUND(I489*C489,0)</f>
        <v>0</v>
      </c>
      <c r="K489" s="13">
        <f t="shared" si="85"/>
        <v>454500</v>
      </c>
      <c r="L489" s="13">
        <f t="shared" si="85"/>
        <v>2727000</v>
      </c>
      <c r="M489" s="11"/>
    </row>
    <row r="490" spans="1:13">
      <c r="A490" s="11" t="s">
        <v>758</v>
      </c>
      <c r="B490" s="11" t="s">
        <v>759</v>
      </c>
      <c r="C490" s="13">
        <v>25</v>
      </c>
      <c r="D490" s="15" t="s">
        <v>210</v>
      </c>
      <c r="E490" s="13">
        <v>252500</v>
      </c>
      <c r="F490" s="13">
        <f>ROUND(E490*C490,0)</f>
        <v>6312500</v>
      </c>
      <c r="G490" s="13">
        <v>101000</v>
      </c>
      <c r="H490" s="13">
        <f>ROUND(G490*C490,0)</f>
        <v>2525000</v>
      </c>
      <c r="I490" s="13">
        <v>55122</v>
      </c>
      <c r="J490" s="13">
        <f>ROUND(I490*C490,0)</f>
        <v>1378050</v>
      </c>
      <c r="K490" s="13">
        <f t="shared" si="85"/>
        <v>408622</v>
      </c>
      <c r="L490" s="13">
        <f t="shared" si="85"/>
        <v>10215550</v>
      </c>
      <c r="M490" s="11"/>
    </row>
    <row r="491" spans="1:13">
      <c r="A491" s="11" t="s">
        <v>760</v>
      </c>
      <c r="B491" s="11" t="s">
        <v>389</v>
      </c>
      <c r="C491" s="13">
        <v>10</v>
      </c>
      <c r="D491" s="15" t="s">
        <v>385</v>
      </c>
      <c r="E491" s="13">
        <v>0</v>
      </c>
      <c r="F491" s="13">
        <f>ROUND(E491*C491,0)</f>
        <v>0</v>
      </c>
      <c r="G491" s="13">
        <v>0</v>
      </c>
      <c r="H491" s="13">
        <f>ROUND(G491*C491,0)</f>
        <v>0</v>
      </c>
      <c r="I491" s="13">
        <v>1102</v>
      </c>
      <c r="J491" s="13">
        <f>ROUND(I491*C491,0)</f>
        <v>11020</v>
      </c>
      <c r="K491" s="13">
        <f t="shared" si="85"/>
        <v>1102</v>
      </c>
      <c r="L491" s="13">
        <f t="shared" si="85"/>
        <v>11020</v>
      </c>
      <c r="M491" s="11"/>
    </row>
    <row r="492" spans="1:13">
      <c r="A492" s="11" t="s">
        <v>761</v>
      </c>
      <c r="B492" s="11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</row>
    <row r="493" spans="1:13">
      <c r="A493" s="11" t="s">
        <v>617</v>
      </c>
      <c r="B493" s="11" t="s">
        <v>413</v>
      </c>
      <c r="C493" s="13">
        <v>188</v>
      </c>
      <c r="D493" s="15" t="s">
        <v>108</v>
      </c>
      <c r="E493" s="13">
        <v>88880</v>
      </c>
      <c r="F493" s="13">
        <f t="shared" ref="F493:F513" si="86">ROUND(E493*C493,0)</f>
        <v>16709440</v>
      </c>
      <c r="G493" s="13">
        <v>0</v>
      </c>
      <c r="H493" s="13">
        <f t="shared" ref="H493:H513" si="87">ROUND(G493*C493,0)</f>
        <v>0</v>
      </c>
      <c r="I493" s="13">
        <v>0</v>
      </c>
      <c r="J493" s="13">
        <f t="shared" ref="J493:J513" si="88">ROUND(I493*C493,0)</f>
        <v>0</v>
      </c>
      <c r="K493" s="13">
        <f t="shared" ref="K493:K513" si="89">E493+G493+I493</f>
        <v>88880</v>
      </c>
      <c r="L493" s="13">
        <f t="shared" ref="L493:L513" si="90">F493+H493+J493</f>
        <v>16709440</v>
      </c>
      <c r="M493" s="11"/>
    </row>
    <row r="494" spans="1:13">
      <c r="A494" s="11" t="s">
        <v>762</v>
      </c>
      <c r="B494" s="11" t="s">
        <v>763</v>
      </c>
      <c r="C494" s="13">
        <v>42</v>
      </c>
      <c r="D494" s="15" t="s">
        <v>108</v>
      </c>
      <c r="E494" s="13">
        <v>87062</v>
      </c>
      <c r="F494" s="13">
        <f t="shared" si="86"/>
        <v>3656604</v>
      </c>
      <c r="G494" s="13">
        <v>0</v>
      </c>
      <c r="H494" s="13">
        <f t="shared" si="87"/>
        <v>0</v>
      </c>
      <c r="I494" s="13">
        <v>0</v>
      </c>
      <c r="J494" s="13">
        <f t="shared" si="88"/>
        <v>0</v>
      </c>
      <c r="K494" s="13">
        <f t="shared" si="89"/>
        <v>87062</v>
      </c>
      <c r="L494" s="13">
        <f t="shared" si="90"/>
        <v>3656604</v>
      </c>
      <c r="M494" s="11"/>
    </row>
    <row r="495" spans="1:13">
      <c r="A495" s="11" t="s">
        <v>764</v>
      </c>
      <c r="B495" s="11" t="s">
        <v>384</v>
      </c>
      <c r="C495" s="13">
        <v>10</v>
      </c>
      <c r="D495" s="15" t="s">
        <v>385</v>
      </c>
      <c r="E495" s="13">
        <v>5959</v>
      </c>
      <c r="F495" s="13">
        <f t="shared" si="86"/>
        <v>59590</v>
      </c>
      <c r="G495" s="13">
        <v>0</v>
      </c>
      <c r="H495" s="13">
        <f t="shared" si="87"/>
        <v>0</v>
      </c>
      <c r="I495" s="13">
        <v>0</v>
      </c>
      <c r="J495" s="13">
        <f t="shared" si="88"/>
        <v>0</v>
      </c>
      <c r="K495" s="13">
        <f t="shared" si="89"/>
        <v>5959</v>
      </c>
      <c r="L495" s="13">
        <f t="shared" si="90"/>
        <v>59590</v>
      </c>
      <c r="M495" s="11"/>
    </row>
    <row r="496" spans="1:13">
      <c r="A496" s="11" t="s">
        <v>765</v>
      </c>
      <c r="B496" s="11" t="s">
        <v>392</v>
      </c>
      <c r="C496" s="13">
        <v>88</v>
      </c>
      <c r="D496" s="15" t="s">
        <v>108</v>
      </c>
      <c r="E496" s="13">
        <v>26260</v>
      </c>
      <c r="F496" s="13">
        <f t="shared" si="86"/>
        <v>2310880</v>
      </c>
      <c r="G496" s="13">
        <v>0</v>
      </c>
      <c r="H496" s="13">
        <f t="shared" si="87"/>
        <v>0</v>
      </c>
      <c r="I496" s="13">
        <v>0</v>
      </c>
      <c r="J496" s="13">
        <f t="shared" si="88"/>
        <v>0</v>
      </c>
      <c r="K496" s="13">
        <f t="shared" si="89"/>
        <v>26260</v>
      </c>
      <c r="L496" s="13">
        <f t="shared" si="90"/>
        <v>2310880</v>
      </c>
      <c r="M496" s="11"/>
    </row>
    <row r="497" spans="1:13">
      <c r="A497" s="11" t="s">
        <v>766</v>
      </c>
      <c r="B497" s="11" t="s">
        <v>624</v>
      </c>
      <c r="C497" s="13">
        <v>311</v>
      </c>
      <c r="D497" s="15" t="s">
        <v>108</v>
      </c>
      <c r="E497" s="13">
        <v>18180</v>
      </c>
      <c r="F497" s="13">
        <f t="shared" si="86"/>
        <v>5653980</v>
      </c>
      <c r="G497" s="13">
        <v>0</v>
      </c>
      <c r="H497" s="13">
        <f t="shared" si="87"/>
        <v>0</v>
      </c>
      <c r="I497" s="13">
        <v>0</v>
      </c>
      <c r="J497" s="13">
        <f t="shared" si="88"/>
        <v>0</v>
      </c>
      <c r="K497" s="13">
        <f t="shared" si="89"/>
        <v>18180</v>
      </c>
      <c r="L497" s="13">
        <f t="shared" si="90"/>
        <v>5653980</v>
      </c>
      <c r="M497" s="11"/>
    </row>
    <row r="498" spans="1:13">
      <c r="A498" s="11" t="s">
        <v>767</v>
      </c>
      <c r="B498" s="11" t="s">
        <v>768</v>
      </c>
      <c r="C498" s="13">
        <v>1014</v>
      </c>
      <c r="D498" s="15" t="s">
        <v>108</v>
      </c>
      <c r="E498" s="13">
        <v>18180</v>
      </c>
      <c r="F498" s="13">
        <f t="shared" si="86"/>
        <v>18434520</v>
      </c>
      <c r="G498" s="13">
        <v>0</v>
      </c>
      <c r="H498" s="13">
        <f t="shared" si="87"/>
        <v>0</v>
      </c>
      <c r="I498" s="13">
        <v>0</v>
      </c>
      <c r="J498" s="13">
        <f t="shared" si="88"/>
        <v>0</v>
      </c>
      <c r="K498" s="13">
        <f t="shared" si="89"/>
        <v>18180</v>
      </c>
      <c r="L498" s="13">
        <f t="shared" si="90"/>
        <v>18434520</v>
      </c>
      <c r="M498" s="11"/>
    </row>
    <row r="499" spans="1:13">
      <c r="A499" s="11" t="s">
        <v>769</v>
      </c>
      <c r="B499" s="11" t="s">
        <v>768</v>
      </c>
      <c r="C499" s="13">
        <v>676</v>
      </c>
      <c r="D499" s="15" t="s">
        <v>108</v>
      </c>
      <c r="E499" s="13">
        <v>18180</v>
      </c>
      <c r="F499" s="13">
        <f t="shared" si="86"/>
        <v>12289680</v>
      </c>
      <c r="G499" s="13">
        <v>0</v>
      </c>
      <c r="H499" s="13">
        <f t="shared" si="87"/>
        <v>0</v>
      </c>
      <c r="I499" s="13">
        <v>0</v>
      </c>
      <c r="J499" s="13">
        <f t="shared" si="88"/>
        <v>0</v>
      </c>
      <c r="K499" s="13">
        <f t="shared" si="89"/>
        <v>18180</v>
      </c>
      <c r="L499" s="13">
        <f t="shared" si="90"/>
        <v>12289680</v>
      </c>
      <c r="M499" s="11"/>
    </row>
    <row r="500" spans="1:13">
      <c r="A500" s="11" t="s">
        <v>770</v>
      </c>
      <c r="B500" s="11" t="s">
        <v>771</v>
      </c>
      <c r="C500" s="13">
        <v>54</v>
      </c>
      <c r="D500" s="15" t="s">
        <v>772</v>
      </c>
      <c r="E500" s="13">
        <v>272700</v>
      </c>
      <c r="F500" s="13">
        <f t="shared" si="86"/>
        <v>14725800</v>
      </c>
      <c r="G500" s="13">
        <v>0</v>
      </c>
      <c r="H500" s="13">
        <f t="shared" si="87"/>
        <v>0</v>
      </c>
      <c r="I500" s="13">
        <v>0</v>
      </c>
      <c r="J500" s="13">
        <f t="shared" si="88"/>
        <v>0</v>
      </c>
      <c r="K500" s="13">
        <f t="shared" si="89"/>
        <v>272700</v>
      </c>
      <c r="L500" s="13">
        <f t="shared" si="90"/>
        <v>14725800</v>
      </c>
      <c r="M500" s="11"/>
    </row>
    <row r="501" spans="1:13">
      <c r="A501" s="11" t="s">
        <v>773</v>
      </c>
      <c r="B501" s="11" t="s">
        <v>774</v>
      </c>
      <c r="C501" s="13">
        <v>46</v>
      </c>
      <c r="D501" s="15" t="s">
        <v>772</v>
      </c>
      <c r="E501" s="13">
        <v>272700</v>
      </c>
      <c r="F501" s="13">
        <f t="shared" si="86"/>
        <v>12544200</v>
      </c>
      <c r="G501" s="13">
        <v>0</v>
      </c>
      <c r="H501" s="13">
        <f t="shared" si="87"/>
        <v>0</v>
      </c>
      <c r="I501" s="13">
        <v>0</v>
      </c>
      <c r="J501" s="13">
        <f t="shared" si="88"/>
        <v>0</v>
      </c>
      <c r="K501" s="13">
        <f t="shared" si="89"/>
        <v>272700</v>
      </c>
      <c r="L501" s="13">
        <f t="shared" si="90"/>
        <v>12544200</v>
      </c>
      <c r="M501" s="11"/>
    </row>
    <row r="502" spans="1:13">
      <c r="A502" s="11" t="s">
        <v>775</v>
      </c>
      <c r="B502" s="11" t="s">
        <v>776</v>
      </c>
      <c r="C502" s="13">
        <v>880</v>
      </c>
      <c r="D502" s="15" t="s">
        <v>400</v>
      </c>
      <c r="E502" s="13">
        <v>102010</v>
      </c>
      <c r="F502" s="13">
        <f t="shared" si="86"/>
        <v>89768800</v>
      </c>
      <c r="G502" s="13">
        <v>0</v>
      </c>
      <c r="H502" s="13">
        <f t="shared" si="87"/>
        <v>0</v>
      </c>
      <c r="I502" s="13">
        <v>0</v>
      </c>
      <c r="J502" s="13">
        <f t="shared" si="88"/>
        <v>0</v>
      </c>
      <c r="K502" s="13">
        <f t="shared" si="89"/>
        <v>102010</v>
      </c>
      <c r="L502" s="13">
        <f t="shared" si="90"/>
        <v>89768800</v>
      </c>
      <c r="M502" s="11"/>
    </row>
    <row r="503" spans="1:13">
      <c r="A503" s="11" t="s">
        <v>777</v>
      </c>
      <c r="B503" s="11" t="s">
        <v>778</v>
      </c>
      <c r="C503" s="13">
        <v>702</v>
      </c>
      <c r="D503" s="15" t="s">
        <v>400</v>
      </c>
      <c r="E503" s="13">
        <v>95950</v>
      </c>
      <c r="F503" s="13">
        <f t="shared" si="86"/>
        <v>67356900</v>
      </c>
      <c r="G503" s="13">
        <v>0</v>
      </c>
      <c r="H503" s="13">
        <f t="shared" si="87"/>
        <v>0</v>
      </c>
      <c r="I503" s="13">
        <v>0</v>
      </c>
      <c r="J503" s="13">
        <f t="shared" si="88"/>
        <v>0</v>
      </c>
      <c r="K503" s="13">
        <f t="shared" si="89"/>
        <v>95950</v>
      </c>
      <c r="L503" s="13">
        <f t="shared" si="90"/>
        <v>67356900</v>
      </c>
      <c r="M503" s="11"/>
    </row>
    <row r="504" spans="1:13">
      <c r="A504" s="11" t="s">
        <v>779</v>
      </c>
      <c r="B504" s="11" t="s">
        <v>780</v>
      </c>
      <c r="C504" s="13">
        <v>669</v>
      </c>
      <c r="D504" s="15" t="s">
        <v>400</v>
      </c>
      <c r="E504" s="13">
        <v>91910</v>
      </c>
      <c r="F504" s="13">
        <f t="shared" si="86"/>
        <v>61487790</v>
      </c>
      <c r="G504" s="13">
        <v>0</v>
      </c>
      <c r="H504" s="13">
        <f t="shared" si="87"/>
        <v>0</v>
      </c>
      <c r="I504" s="13">
        <v>0</v>
      </c>
      <c r="J504" s="13">
        <f t="shared" si="88"/>
        <v>0</v>
      </c>
      <c r="K504" s="13">
        <f t="shared" si="89"/>
        <v>91910</v>
      </c>
      <c r="L504" s="13">
        <f t="shared" si="90"/>
        <v>61487790</v>
      </c>
      <c r="M504" s="11"/>
    </row>
    <row r="505" spans="1:13">
      <c r="A505" s="11" t="s">
        <v>781</v>
      </c>
      <c r="B505" s="11" t="s">
        <v>782</v>
      </c>
      <c r="C505" s="13">
        <v>1501</v>
      </c>
      <c r="D505" s="15" t="s">
        <v>400</v>
      </c>
      <c r="E505" s="13">
        <v>85850</v>
      </c>
      <c r="F505" s="13">
        <f t="shared" si="86"/>
        <v>128860850</v>
      </c>
      <c r="G505" s="13">
        <v>0</v>
      </c>
      <c r="H505" s="13">
        <f t="shared" si="87"/>
        <v>0</v>
      </c>
      <c r="I505" s="13">
        <v>0</v>
      </c>
      <c r="J505" s="13">
        <f t="shared" si="88"/>
        <v>0</v>
      </c>
      <c r="K505" s="13">
        <f t="shared" si="89"/>
        <v>85850</v>
      </c>
      <c r="L505" s="13">
        <f t="shared" si="90"/>
        <v>128860850</v>
      </c>
      <c r="M505" s="11"/>
    </row>
    <row r="506" spans="1:13">
      <c r="A506" s="11" t="s">
        <v>783</v>
      </c>
      <c r="B506" s="11" t="s">
        <v>784</v>
      </c>
      <c r="C506" s="13">
        <v>1272</v>
      </c>
      <c r="D506" s="15" t="s">
        <v>374</v>
      </c>
      <c r="E506" s="13">
        <v>18180</v>
      </c>
      <c r="F506" s="13">
        <f t="shared" si="86"/>
        <v>23124960</v>
      </c>
      <c r="G506" s="13">
        <v>0</v>
      </c>
      <c r="H506" s="13">
        <f t="shared" si="87"/>
        <v>0</v>
      </c>
      <c r="I506" s="13">
        <v>0</v>
      </c>
      <c r="J506" s="13">
        <f t="shared" si="88"/>
        <v>0</v>
      </c>
      <c r="K506" s="13">
        <f t="shared" si="89"/>
        <v>18180</v>
      </c>
      <c r="L506" s="13">
        <f t="shared" si="90"/>
        <v>23124960</v>
      </c>
      <c r="M506" s="11"/>
    </row>
    <row r="507" spans="1:13">
      <c r="A507" s="11" t="s">
        <v>785</v>
      </c>
      <c r="B507" s="11" t="s">
        <v>786</v>
      </c>
      <c r="C507" s="13">
        <v>117</v>
      </c>
      <c r="D507" s="15" t="s">
        <v>374</v>
      </c>
      <c r="E507" s="13">
        <v>27270</v>
      </c>
      <c r="F507" s="13">
        <f t="shared" si="86"/>
        <v>3190590</v>
      </c>
      <c r="G507" s="13">
        <v>0</v>
      </c>
      <c r="H507" s="13">
        <f t="shared" si="87"/>
        <v>0</v>
      </c>
      <c r="I507" s="13">
        <v>0</v>
      </c>
      <c r="J507" s="13">
        <f t="shared" si="88"/>
        <v>0</v>
      </c>
      <c r="K507" s="13">
        <f t="shared" si="89"/>
        <v>27270</v>
      </c>
      <c r="L507" s="13">
        <f t="shared" si="90"/>
        <v>3190590</v>
      </c>
      <c r="M507" s="11"/>
    </row>
    <row r="508" spans="1:13" ht="33">
      <c r="A508" s="11" t="s">
        <v>787</v>
      </c>
      <c r="B508" s="11" t="s">
        <v>788</v>
      </c>
      <c r="C508" s="13">
        <v>87</v>
      </c>
      <c r="D508" s="15" t="s">
        <v>374</v>
      </c>
      <c r="E508" s="13">
        <v>29290</v>
      </c>
      <c r="F508" s="13">
        <f t="shared" si="86"/>
        <v>2548230</v>
      </c>
      <c r="G508" s="13">
        <v>0</v>
      </c>
      <c r="H508" s="13">
        <f t="shared" si="87"/>
        <v>0</v>
      </c>
      <c r="I508" s="13">
        <v>0</v>
      </c>
      <c r="J508" s="13">
        <f t="shared" si="88"/>
        <v>0</v>
      </c>
      <c r="K508" s="13">
        <f t="shared" si="89"/>
        <v>29290</v>
      </c>
      <c r="L508" s="13">
        <f t="shared" si="90"/>
        <v>2548230</v>
      </c>
      <c r="M508" s="11"/>
    </row>
    <row r="509" spans="1:13">
      <c r="A509" s="11" t="s">
        <v>789</v>
      </c>
      <c r="B509" s="11" t="s">
        <v>790</v>
      </c>
      <c r="C509" s="13">
        <v>116</v>
      </c>
      <c r="D509" s="15" t="s">
        <v>374</v>
      </c>
      <c r="E509" s="13">
        <v>17170</v>
      </c>
      <c r="F509" s="13">
        <f t="shared" si="86"/>
        <v>1991720</v>
      </c>
      <c r="G509" s="13">
        <v>0</v>
      </c>
      <c r="H509" s="13">
        <f t="shared" si="87"/>
        <v>0</v>
      </c>
      <c r="I509" s="13">
        <v>0</v>
      </c>
      <c r="J509" s="13">
        <f t="shared" si="88"/>
        <v>0</v>
      </c>
      <c r="K509" s="13">
        <f t="shared" si="89"/>
        <v>17170</v>
      </c>
      <c r="L509" s="13">
        <f t="shared" si="90"/>
        <v>1991720</v>
      </c>
      <c r="M509" s="11"/>
    </row>
    <row r="510" spans="1:13" ht="33">
      <c r="A510" s="11" t="s">
        <v>791</v>
      </c>
      <c r="B510" s="11" t="s">
        <v>792</v>
      </c>
      <c r="C510" s="13">
        <v>1336</v>
      </c>
      <c r="D510" s="15" t="s">
        <v>374</v>
      </c>
      <c r="E510" s="13">
        <v>8585</v>
      </c>
      <c r="F510" s="13">
        <f t="shared" si="86"/>
        <v>11469560</v>
      </c>
      <c r="G510" s="13">
        <v>0</v>
      </c>
      <c r="H510" s="13">
        <f t="shared" si="87"/>
        <v>0</v>
      </c>
      <c r="I510" s="13">
        <v>0</v>
      </c>
      <c r="J510" s="13">
        <f t="shared" si="88"/>
        <v>0</v>
      </c>
      <c r="K510" s="13">
        <f t="shared" si="89"/>
        <v>8585</v>
      </c>
      <c r="L510" s="13">
        <f t="shared" si="90"/>
        <v>11469560</v>
      </c>
      <c r="M510" s="11"/>
    </row>
    <row r="511" spans="1:13">
      <c r="A511" s="11" t="s">
        <v>793</v>
      </c>
      <c r="B511" s="11" t="s">
        <v>794</v>
      </c>
      <c r="C511" s="13">
        <v>2750</v>
      </c>
      <c r="D511" s="15" t="s">
        <v>102</v>
      </c>
      <c r="E511" s="13">
        <v>12726</v>
      </c>
      <c r="F511" s="13">
        <f t="shared" si="86"/>
        <v>34996500</v>
      </c>
      <c r="G511" s="13">
        <v>0</v>
      </c>
      <c r="H511" s="13">
        <f t="shared" si="87"/>
        <v>0</v>
      </c>
      <c r="I511" s="13">
        <v>0</v>
      </c>
      <c r="J511" s="13">
        <f t="shared" si="88"/>
        <v>0</v>
      </c>
      <c r="K511" s="13">
        <f t="shared" si="89"/>
        <v>12726</v>
      </c>
      <c r="L511" s="13">
        <f t="shared" si="90"/>
        <v>34996500</v>
      </c>
      <c r="M511" s="11"/>
    </row>
    <row r="512" spans="1:13">
      <c r="A512" s="11" t="s">
        <v>795</v>
      </c>
      <c r="B512" s="11" t="s">
        <v>796</v>
      </c>
      <c r="C512" s="13">
        <v>300</v>
      </c>
      <c r="D512" s="15" t="s">
        <v>374</v>
      </c>
      <c r="E512" s="13">
        <v>3838</v>
      </c>
      <c r="F512" s="13">
        <f t="shared" si="86"/>
        <v>1151400</v>
      </c>
      <c r="G512" s="13">
        <v>0</v>
      </c>
      <c r="H512" s="13">
        <f t="shared" si="87"/>
        <v>0</v>
      </c>
      <c r="I512" s="13">
        <v>0</v>
      </c>
      <c r="J512" s="13">
        <f t="shared" si="88"/>
        <v>0</v>
      </c>
      <c r="K512" s="13">
        <f t="shared" si="89"/>
        <v>3838</v>
      </c>
      <c r="L512" s="13">
        <f t="shared" si="90"/>
        <v>1151400</v>
      </c>
      <c r="M512" s="11"/>
    </row>
    <row r="513" spans="1:13">
      <c r="A513" s="11" t="s">
        <v>797</v>
      </c>
      <c r="B513" s="11" t="s">
        <v>796</v>
      </c>
      <c r="C513" s="13">
        <v>657</v>
      </c>
      <c r="D513" s="15" t="s">
        <v>374</v>
      </c>
      <c r="E513" s="13">
        <v>3838</v>
      </c>
      <c r="F513" s="13">
        <f t="shared" si="86"/>
        <v>2521566</v>
      </c>
      <c r="G513" s="13">
        <v>0</v>
      </c>
      <c r="H513" s="13">
        <f t="shared" si="87"/>
        <v>0</v>
      </c>
      <c r="I513" s="13">
        <v>0</v>
      </c>
      <c r="J513" s="13">
        <f t="shared" si="88"/>
        <v>0</v>
      </c>
      <c r="K513" s="13">
        <f t="shared" si="89"/>
        <v>3838</v>
      </c>
      <c r="L513" s="13">
        <f t="shared" si="90"/>
        <v>2521566</v>
      </c>
      <c r="M513" s="11"/>
    </row>
    <row r="514" spans="1:13">
      <c r="A514" s="19" t="s">
        <v>798</v>
      </c>
      <c r="B514" s="20"/>
      <c r="C514" s="21"/>
      <c r="D514" s="21"/>
      <c r="E514" s="21"/>
      <c r="F514" s="22">
        <f>SUM(F516:F566)</f>
        <v>52234322</v>
      </c>
      <c r="G514" s="21"/>
      <c r="H514" s="22">
        <f>SUM(H516:H566)</f>
        <v>30966348</v>
      </c>
      <c r="I514" s="21"/>
      <c r="J514" s="22">
        <f>SUM(J516:J566)</f>
        <v>19500314</v>
      </c>
      <c r="K514" s="21"/>
      <c r="L514" s="22">
        <f>F514+H514+J514</f>
        <v>102700984</v>
      </c>
      <c r="M514" s="21"/>
    </row>
    <row r="515" spans="1:13">
      <c r="A515" s="11" t="s">
        <v>799</v>
      </c>
      <c r="B515" s="11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</row>
    <row r="516" spans="1:13">
      <c r="A516" s="11" t="s">
        <v>800</v>
      </c>
      <c r="B516" s="11" t="s">
        <v>353</v>
      </c>
      <c r="C516" s="13">
        <v>131</v>
      </c>
      <c r="D516" s="15" t="s">
        <v>108</v>
      </c>
      <c r="E516" s="13">
        <v>0</v>
      </c>
      <c r="F516" s="13">
        <f t="shared" ref="F516:F531" si="91">ROUND(E516*C516,0)</f>
        <v>0</v>
      </c>
      <c r="G516" s="13">
        <v>14140</v>
      </c>
      <c r="H516" s="13">
        <f t="shared" ref="H516:H531" si="92">ROUND(G516*C516,0)</f>
        <v>1852340</v>
      </c>
      <c r="I516" s="13">
        <v>13560</v>
      </c>
      <c r="J516" s="13">
        <f t="shared" ref="J516:J531" si="93">ROUND(I516*C516,0)</f>
        <v>1776360</v>
      </c>
      <c r="K516" s="13">
        <f t="shared" ref="K516:K531" si="94">E516+G516+I516</f>
        <v>27700</v>
      </c>
      <c r="L516" s="13">
        <f t="shared" ref="L516:L531" si="95">F516+H516+J516</f>
        <v>3628700</v>
      </c>
      <c r="M516" s="11"/>
    </row>
    <row r="517" spans="1:13">
      <c r="A517" s="11" t="s">
        <v>801</v>
      </c>
      <c r="B517" s="11" t="s">
        <v>256</v>
      </c>
      <c r="C517" s="13">
        <v>16</v>
      </c>
      <c r="D517" s="15" t="s">
        <v>108</v>
      </c>
      <c r="E517" s="13">
        <v>0</v>
      </c>
      <c r="F517" s="13">
        <f t="shared" si="91"/>
        <v>0</v>
      </c>
      <c r="G517" s="13">
        <v>13130</v>
      </c>
      <c r="H517" s="13">
        <f t="shared" si="92"/>
        <v>210080</v>
      </c>
      <c r="I517" s="13">
        <v>12127</v>
      </c>
      <c r="J517" s="13">
        <f t="shared" si="93"/>
        <v>194032</v>
      </c>
      <c r="K517" s="13">
        <f t="shared" si="94"/>
        <v>25257</v>
      </c>
      <c r="L517" s="13">
        <f t="shared" si="95"/>
        <v>404112</v>
      </c>
      <c r="M517" s="11"/>
    </row>
    <row r="518" spans="1:13">
      <c r="A518" s="11" t="s">
        <v>802</v>
      </c>
      <c r="B518" s="11" t="s">
        <v>803</v>
      </c>
      <c r="C518" s="24">
        <v>9.6229999999999993</v>
      </c>
      <c r="D518" s="15" t="s">
        <v>638</v>
      </c>
      <c r="E518" s="13">
        <v>75750</v>
      </c>
      <c r="F518" s="13">
        <f t="shared" si="91"/>
        <v>728942</v>
      </c>
      <c r="G518" s="13">
        <v>555500</v>
      </c>
      <c r="H518" s="13">
        <f t="shared" si="92"/>
        <v>5345577</v>
      </c>
      <c r="I518" s="13">
        <v>93708</v>
      </c>
      <c r="J518" s="13">
        <f t="shared" si="93"/>
        <v>901752</v>
      </c>
      <c r="K518" s="13">
        <f t="shared" si="94"/>
        <v>724958</v>
      </c>
      <c r="L518" s="13">
        <f t="shared" si="95"/>
        <v>6976271</v>
      </c>
      <c r="M518" s="11"/>
    </row>
    <row r="519" spans="1:13">
      <c r="A519" s="11" t="s">
        <v>804</v>
      </c>
      <c r="B519" s="11" t="s">
        <v>805</v>
      </c>
      <c r="C519" s="13">
        <v>136</v>
      </c>
      <c r="D519" s="15" t="s">
        <v>102</v>
      </c>
      <c r="E519" s="13">
        <v>5353</v>
      </c>
      <c r="F519" s="13">
        <f t="shared" si="91"/>
        <v>728008</v>
      </c>
      <c r="G519" s="13">
        <v>18180</v>
      </c>
      <c r="H519" s="13">
        <f t="shared" si="92"/>
        <v>2472480</v>
      </c>
      <c r="I519" s="13">
        <v>2205</v>
      </c>
      <c r="J519" s="13">
        <f t="shared" si="93"/>
        <v>299880</v>
      </c>
      <c r="K519" s="13">
        <f t="shared" si="94"/>
        <v>25738</v>
      </c>
      <c r="L519" s="13">
        <f t="shared" si="95"/>
        <v>3500368</v>
      </c>
      <c r="M519" s="11"/>
    </row>
    <row r="520" spans="1:13">
      <c r="A520" s="11" t="s">
        <v>806</v>
      </c>
      <c r="B520" s="11" t="s">
        <v>481</v>
      </c>
      <c r="C520" s="13">
        <v>244</v>
      </c>
      <c r="D520" s="15" t="s">
        <v>102</v>
      </c>
      <c r="E520" s="13">
        <v>9595</v>
      </c>
      <c r="F520" s="13">
        <f t="shared" si="91"/>
        <v>2341180</v>
      </c>
      <c r="G520" s="13">
        <v>32320</v>
      </c>
      <c r="H520" s="13">
        <f t="shared" si="92"/>
        <v>7886080</v>
      </c>
      <c r="I520" s="13">
        <v>2205</v>
      </c>
      <c r="J520" s="13">
        <f t="shared" si="93"/>
        <v>538020</v>
      </c>
      <c r="K520" s="13">
        <f t="shared" si="94"/>
        <v>44120</v>
      </c>
      <c r="L520" s="13">
        <f t="shared" si="95"/>
        <v>10765280</v>
      </c>
      <c r="M520" s="11"/>
    </row>
    <row r="521" spans="1:13">
      <c r="A521" s="11" t="s">
        <v>807</v>
      </c>
      <c r="B521" s="11" t="s">
        <v>258</v>
      </c>
      <c r="C521" s="13">
        <v>6</v>
      </c>
      <c r="D521" s="15" t="s">
        <v>102</v>
      </c>
      <c r="E521" s="13">
        <v>7575</v>
      </c>
      <c r="F521" s="13">
        <f t="shared" si="91"/>
        <v>45450</v>
      </c>
      <c r="G521" s="13">
        <v>20200</v>
      </c>
      <c r="H521" s="13">
        <f t="shared" si="92"/>
        <v>121200</v>
      </c>
      <c r="I521" s="13">
        <v>3859</v>
      </c>
      <c r="J521" s="13">
        <f t="shared" si="93"/>
        <v>23154</v>
      </c>
      <c r="K521" s="13">
        <f t="shared" si="94"/>
        <v>31634</v>
      </c>
      <c r="L521" s="13">
        <f t="shared" si="95"/>
        <v>189804</v>
      </c>
      <c r="M521" s="11"/>
    </row>
    <row r="522" spans="1:13">
      <c r="A522" s="11" t="s">
        <v>808</v>
      </c>
      <c r="B522" s="11" t="s">
        <v>809</v>
      </c>
      <c r="C522" s="13">
        <v>127</v>
      </c>
      <c r="D522" s="15" t="s">
        <v>102</v>
      </c>
      <c r="E522" s="13">
        <v>4545</v>
      </c>
      <c r="F522" s="13">
        <f t="shared" si="91"/>
        <v>577215</v>
      </c>
      <c r="G522" s="13">
        <v>12120</v>
      </c>
      <c r="H522" s="13">
        <f t="shared" si="92"/>
        <v>1539240</v>
      </c>
      <c r="I522" s="13">
        <v>2205</v>
      </c>
      <c r="J522" s="13">
        <f t="shared" si="93"/>
        <v>280035</v>
      </c>
      <c r="K522" s="13">
        <f t="shared" si="94"/>
        <v>18870</v>
      </c>
      <c r="L522" s="13">
        <f t="shared" si="95"/>
        <v>2396490</v>
      </c>
      <c r="M522" s="11"/>
    </row>
    <row r="523" spans="1:13">
      <c r="A523" s="11" t="s">
        <v>810</v>
      </c>
      <c r="B523" s="11" t="s">
        <v>811</v>
      </c>
      <c r="C523" s="13">
        <v>229</v>
      </c>
      <c r="D523" s="15" t="s">
        <v>102</v>
      </c>
      <c r="E523" s="13">
        <v>505</v>
      </c>
      <c r="F523" s="13">
        <f t="shared" si="91"/>
        <v>115645</v>
      </c>
      <c r="G523" s="13">
        <v>1010</v>
      </c>
      <c r="H523" s="13">
        <f t="shared" si="92"/>
        <v>231290</v>
      </c>
      <c r="I523" s="13">
        <v>0</v>
      </c>
      <c r="J523" s="13">
        <f t="shared" si="93"/>
        <v>0</v>
      </c>
      <c r="K523" s="13">
        <f t="shared" si="94"/>
        <v>1515</v>
      </c>
      <c r="L523" s="13">
        <f t="shared" si="95"/>
        <v>346935</v>
      </c>
      <c r="M523" s="11"/>
    </row>
    <row r="524" spans="1:13">
      <c r="A524" s="11" t="s">
        <v>812</v>
      </c>
      <c r="B524" s="11" t="s">
        <v>813</v>
      </c>
      <c r="C524" s="13">
        <v>136</v>
      </c>
      <c r="D524" s="15" t="s">
        <v>102</v>
      </c>
      <c r="E524" s="13">
        <v>505</v>
      </c>
      <c r="F524" s="13">
        <f t="shared" si="91"/>
        <v>68680</v>
      </c>
      <c r="G524" s="13">
        <v>1010</v>
      </c>
      <c r="H524" s="13">
        <f t="shared" si="92"/>
        <v>137360</v>
      </c>
      <c r="I524" s="13">
        <v>0</v>
      </c>
      <c r="J524" s="13">
        <f t="shared" si="93"/>
        <v>0</v>
      </c>
      <c r="K524" s="13">
        <f t="shared" si="94"/>
        <v>1515</v>
      </c>
      <c r="L524" s="13">
        <f t="shared" si="95"/>
        <v>206040</v>
      </c>
      <c r="M524" s="11"/>
    </row>
    <row r="525" spans="1:13">
      <c r="A525" s="11" t="s">
        <v>814</v>
      </c>
      <c r="B525" s="11" t="s">
        <v>815</v>
      </c>
      <c r="C525" s="13">
        <v>5</v>
      </c>
      <c r="D525" s="15" t="s">
        <v>240</v>
      </c>
      <c r="E525" s="13">
        <v>10100</v>
      </c>
      <c r="F525" s="13">
        <f t="shared" si="91"/>
        <v>50500</v>
      </c>
      <c r="G525" s="13">
        <v>5252</v>
      </c>
      <c r="H525" s="13">
        <f t="shared" si="92"/>
        <v>26260</v>
      </c>
      <c r="I525" s="13">
        <v>0</v>
      </c>
      <c r="J525" s="13">
        <f t="shared" si="93"/>
        <v>0</v>
      </c>
      <c r="K525" s="13">
        <f t="shared" si="94"/>
        <v>15352</v>
      </c>
      <c r="L525" s="13">
        <f t="shared" si="95"/>
        <v>76760</v>
      </c>
      <c r="M525" s="11"/>
    </row>
    <row r="526" spans="1:13">
      <c r="A526" s="11" t="s">
        <v>816</v>
      </c>
      <c r="B526" s="11" t="s">
        <v>817</v>
      </c>
      <c r="C526" s="13">
        <v>113</v>
      </c>
      <c r="D526" s="15" t="s">
        <v>102</v>
      </c>
      <c r="E526" s="13">
        <v>4636</v>
      </c>
      <c r="F526" s="13">
        <f t="shared" si="91"/>
        <v>523868</v>
      </c>
      <c r="G526" s="13">
        <v>9292</v>
      </c>
      <c r="H526" s="13">
        <f t="shared" si="92"/>
        <v>1049996</v>
      </c>
      <c r="I526" s="13">
        <v>661</v>
      </c>
      <c r="J526" s="13">
        <f t="shared" si="93"/>
        <v>74693</v>
      </c>
      <c r="K526" s="13">
        <f t="shared" si="94"/>
        <v>14589</v>
      </c>
      <c r="L526" s="13">
        <f t="shared" si="95"/>
        <v>1648557</v>
      </c>
      <c r="M526" s="11"/>
    </row>
    <row r="527" spans="1:13">
      <c r="A527" s="11" t="s">
        <v>818</v>
      </c>
      <c r="B527" s="11"/>
      <c r="C527" s="13">
        <v>113</v>
      </c>
      <c r="D527" s="15" t="s">
        <v>102</v>
      </c>
      <c r="E527" s="13">
        <v>1212</v>
      </c>
      <c r="F527" s="13">
        <f t="shared" si="91"/>
        <v>136956</v>
      </c>
      <c r="G527" s="13">
        <v>1010</v>
      </c>
      <c r="H527" s="13">
        <f t="shared" si="92"/>
        <v>114130</v>
      </c>
      <c r="I527" s="13">
        <v>0</v>
      </c>
      <c r="J527" s="13">
        <f t="shared" si="93"/>
        <v>0</v>
      </c>
      <c r="K527" s="13">
        <f t="shared" si="94"/>
        <v>2222</v>
      </c>
      <c r="L527" s="13">
        <f t="shared" si="95"/>
        <v>251086</v>
      </c>
      <c r="M527" s="11"/>
    </row>
    <row r="528" spans="1:13">
      <c r="A528" s="11" t="s">
        <v>819</v>
      </c>
      <c r="B528" s="11" t="s">
        <v>820</v>
      </c>
      <c r="C528" s="13">
        <v>15</v>
      </c>
      <c r="D528" s="15" t="s">
        <v>102</v>
      </c>
      <c r="E528" s="13">
        <v>12625</v>
      </c>
      <c r="F528" s="13">
        <f t="shared" si="91"/>
        <v>189375</v>
      </c>
      <c r="G528" s="13">
        <v>10100</v>
      </c>
      <c r="H528" s="13">
        <f t="shared" si="92"/>
        <v>151500</v>
      </c>
      <c r="I528" s="13">
        <v>0</v>
      </c>
      <c r="J528" s="13">
        <f t="shared" si="93"/>
        <v>0</v>
      </c>
      <c r="K528" s="13">
        <f t="shared" si="94"/>
        <v>22725</v>
      </c>
      <c r="L528" s="13">
        <f t="shared" si="95"/>
        <v>340875</v>
      </c>
      <c r="M528" s="11"/>
    </row>
    <row r="529" spans="1:13">
      <c r="A529" s="11" t="s">
        <v>821</v>
      </c>
      <c r="B529" s="11" t="s">
        <v>822</v>
      </c>
      <c r="C529" s="13">
        <v>307</v>
      </c>
      <c r="D529" s="15" t="s">
        <v>374</v>
      </c>
      <c r="E529" s="13">
        <v>12928</v>
      </c>
      <c r="F529" s="13">
        <f t="shared" si="91"/>
        <v>3968896</v>
      </c>
      <c r="G529" s="13">
        <v>2525</v>
      </c>
      <c r="H529" s="13">
        <f t="shared" si="92"/>
        <v>775175</v>
      </c>
      <c r="I529" s="13">
        <v>0</v>
      </c>
      <c r="J529" s="13">
        <f t="shared" si="93"/>
        <v>0</v>
      </c>
      <c r="K529" s="13">
        <f t="shared" si="94"/>
        <v>15453</v>
      </c>
      <c r="L529" s="13">
        <f t="shared" si="95"/>
        <v>4744071</v>
      </c>
      <c r="M529" s="11"/>
    </row>
    <row r="530" spans="1:13">
      <c r="A530" s="11" t="s">
        <v>823</v>
      </c>
      <c r="B530" s="11" t="s">
        <v>824</v>
      </c>
      <c r="C530" s="13">
        <v>117</v>
      </c>
      <c r="D530" s="15" t="s">
        <v>240</v>
      </c>
      <c r="E530" s="13">
        <v>3232</v>
      </c>
      <c r="F530" s="13">
        <f t="shared" si="91"/>
        <v>378144</v>
      </c>
      <c r="G530" s="13">
        <v>6565</v>
      </c>
      <c r="H530" s="13">
        <f t="shared" si="92"/>
        <v>768105</v>
      </c>
      <c r="I530" s="13">
        <v>0</v>
      </c>
      <c r="J530" s="13">
        <f t="shared" si="93"/>
        <v>0</v>
      </c>
      <c r="K530" s="13">
        <f t="shared" si="94"/>
        <v>9797</v>
      </c>
      <c r="L530" s="13">
        <f t="shared" si="95"/>
        <v>1146249</v>
      </c>
      <c r="M530" s="11"/>
    </row>
    <row r="531" spans="1:13">
      <c r="A531" s="11" t="s">
        <v>825</v>
      </c>
      <c r="B531" s="11" t="s">
        <v>826</v>
      </c>
      <c r="C531" s="13">
        <v>137</v>
      </c>
      <c r="D531" s="15" t="s">
        <v>108</v>
      </c>
      <c r="E531" s="13">
        <v>0</v>
      </c>
      <c r="F531" s="13">
        <f t="shared" si="91"/>
        <v>0</v>
      </c>
      <c r="G531" s="13">
        <v>2525</v>
      </c>
      <c r="H531" s="13">
        <f t="shared" si="92"/>
        <v>345925</v>
      </c>
      <c r="I531" s="13">
        <v>3439</v>
      </c>
      <c r="J531" s="13">
        <f t="shared" si="93"/>
        <v>471143</v>
      </c>
      <c r="K531" s="13">
        <f t="shared" si="94"/>
        <v>5964</v>
      </c>
      <c r="L531" s="13">
        <f t="shared" si="95"/>
        <v>817068</v>
      </c>
      <c r="M531" s="11"/>
    </row>
    <row r="532" spans="1:13">
      <c r="A532" s="11" t="s">
        <v>827</v>
      </c>
      <c r="B532" s="11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</row>
    <row r="533" spans="1:13">
      <c r="A533" s="11" t="s">
        <v>828</v>
      </c>
      <c r="B533" s="11" t="s">
        <v>408</v>
      </c>
      <c r="C533" s="24">
        <v>14.018000000000001</v>
      </c>
      <c r="D533" s="15" t="s">
        <v>400</v>
      </c>
      <c r="E533" s="13">
        <v>0</v>
      </c>
      <c r="F533" s="13">
        <f>ROUND(E533*C533,0)</f>
        <v>0</v>
      </c>
      <c r="G533" s="13">
        <v>0</v>
      </c>
      <c r="H533" s="13">
        <f>ROUND(G533*C533,0)</f>
        <v>0</v>
      </c>
      <c r="I533" s="13">
        <v>22049</v>
      </c>
      <c r="J533" s="13">
        <f>ROUND(I533*C533,0)</f>
        <v>309083</v>
      </c>
      <c r="K533" s="13">
        <f>E533+G533+I533</f>
        <v>22049</v>
      </c>
      <c r="L533" s="13">
        <f>F533+H533+J533</f>
        <v>309083</v>
      </c>
      <c r="M533" s="11"/>
    </row>
    <row r="534" spans="1:13">
      <c r="A534" s="11" t="s">
        <v>829</v>
      </c>
      <c r="B534" s="11" t="s">
        <v>410</v>
      </c>
      <c r="C534" s="24">
        <v>0.40799999999999997</v>
      </c>
      <c r="D534" s="15" t="s">
        <v>400</v>
      </c>
      <c r="E534" s="13">
        <v>-400000</v>
      </c>
      <c r="F534" s="13">
        <f>ROUND(E534*C534,0)</f>
        <v>-163200</v>
      </c>
      <c r="G534" s="13">
        <v>0</v>
      </c>
      <c r="H534" s="13">
        <f>ROUND(G534*C534,0)</f>
        <v>0</v>
      </c>
      <c r="I534" s="13">
        <v>0</v>
      </c>
      <c r="J534" s="13">
        <f>ROUND(I534*C534,0)</f>
        <v>0</v>
      </c>
      <c r="K534" s="13">
        <f>E534+G534+I534</f>
        <v>-400000</v>
      </c>
      <c r="L534" s="13">
        <f>F534+H534+J534</f>
        <v>-163200</v>
      </c>
      <c r="M534" s="11"/>
    </row>
    <row r="535" spans="1:13">
      <c r="A535" s="11" t="s">
        <v>830</v>
      </c>
      <c r="B535" s="11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</row>
    <row r="536" spans="1:13">
      <c r="A536" s="11" t="s">
        <v>412</v>
      </c>
      <c r="B536" s="11" t="s">
        <v>831</v>
      </c>
      <c r="C536" s="13">
        <v>132</v>
      </c>
      <c r="D536" s="15" t="s">
        <v>108</v>
      </c>
      <c r="E536" s="13">
        <v>95445</v>
      </c>
      <c r="F536" s="13">
        <f t="shared" ref="F536:F542" si="96">ROUND(E536*C536,0)</f>
        <v>12598740</v>
      </c>
      <c r="G536" s="13">
        <v>0</v>
      </c>
      <c r="H536" s="13">
        <f t="shared" ref="H536:H542" si="97">ROUND(G536*C536,0)</f>
        <v>0</v>
      </c>
      <c r="I536" s="13">
        <v>0</v>
      </c>
      <c r="J536" s="13">
        <f t="shared" ref="J536:J542" si="98">ROUND(I536*C536,0)</f>
        <v>0</v>
      </c>
      <c r="K536" s="13">
        <f t="shared" ref="K536:L542" si="99">E536+G536+I536</f>
        <v>95445</v>
      </c>
      <c r="L536" s="13">
        <f t="shared" si="99"/>
        <v>12598740</v>
      </c>
      <c r="M536" s="11"/>
    </row>
    <row r="537" spans="1:13">
      <c r="A537" s="11" t="s">
        <v>414</v>
      </c>
      <c r="B537" s="11" t="s">
        <v>832</v>
      </c>
      <c r="C537" s="13">
        <v>16</v>
      </c>
      <c r="D537" s="15" t="s">
        <v>108</v>
      </c>
      <c r="E537" s="13">
        <v>88880</v>
      </c>
      <c r="F537" s="13">
        <f t="shared" si="96"/>
        <v>1422080</v>
      </c>
      <c r="G537" s="13">
        <v>0</v>
      </c>
      <c r="H537" s="13">
        <f t="shared" si="97"/>
        <v>0</v>
      </c>
      <c r="I537" s="13">
        <v>0</v>
      </c>
      <c r="J537" s="13">
        <f t="shared" si="98"/>
        <v>0</v>
      </c>
      <c r="K537" s="13">
        <f t="shared" si="99"/>
        <v>88880</v>
      </c>
      <c r="L537" s="13">
        <f t="shared" si="99"/>
        <v>1422080</v>
      </c>
      <c r="M537" s="11"/>
    </row>
    <row r="538" spans="1:13">
      <c r="A538" s="11" t="s">
        <v>395</v>
      </c>
      <c r="B538" s="11" t="s">
        <v>768</v>
      </c>
      <c r="C538" s="13">
        <v>143</v>
      </c>
      <c r="D538" s="15" t="s">
        <v>108</v>
      </c>
      <c r="E538" s="13">
        <v>18180</v>
      </c>
      <c r="F538" s="13">
        <f t="shared" si="96"/>
        <v>2599740</v>
      </c>
      <c r="G538" s="13">
        <v>0</v>
      </c>
      <c r="H538" s="13">
        <f t="shared" si="97"/>
        <v>0</v>
      </c>
      <c r="I538" s="13">
        <v>0</v>
      </c>
      <c r="J538" s="13">
        <f t="shared" si="98"/>
        <v>0</v>
      </c>
      <c r="K538" s="13">
        <f t="shared" si="99"/>
        <v>18180</v>
      </c>
      <c r="L538" s="13">
        <f t="shared" si="99"/>
        <v>2599740</v>
      </c>
      <c r="M538" s="11"/>
    </row>
    <row r="539" spans="1:13" ht="33">
      <c r="A539" s="11" t="s">
        <v>405</v>
      </c>
      <c r="B539" s="11" t="s">
        <v>833</v>
      </c>
      <c r="C539" s="24">
        <v>4.1059999999999999</v>
      </c>
      <c r="D539" s="15" t="s">
        <v>834</v>
      </c>
      <c r="E539" s="13">
        <v>898953</v>
      </c>
      <c r="F539" s="13">
        <f t="shared" si="96"/>
        <v>3691101</v>
      </c>
      <c r="G539" s="13">
        <v>0</v>
      </c>
      <c r="H539" s="13">
        <f t="shared" si="97"/>
        <v>0</v>
      </c>
      <c r="I539" s="13">
        <v>0</v>
      </c>
      <c r="J539" s="13">
        <f t="shared" si="98"/>
        <v>0</v>
      </c>
      <c r="K539" s="13">
        <f t="shared" si="99"/>
        <v>898953</v>
      </c>
      <c r="L539" s="13">
        <f t="shared" si="99"/>
        <v>3691101</v>
      </c>
      <c r="M539" s="11"/>
    </row>
    <row r="540" spans="1:13" ht="33">
      <c r="A540" s="11" t="s">
        <v>835</v>
      </c>
      <c r="B540" s="11" t="s">
        <v>836</v>
      </c>
      <c r="C540" s="24">
        <v>5.2549999999999999</v>
      </c>
      <c r="D540" s="15" t="s">
        <v>834</v>
      </c>
      <c r="E540" s="13">
        <v>898965</v>
      </c>
      <c r="F540" s="13">
        <f t="shared" si="96"/>
        <v>4724061</v>
      </c>
      <c r="G540" s="13">
        <v>0</v>
      </c>
      <c r="H540" s="13">
        <f t="shared" si="97"/>
        <v>0</v>
      </c>
      <c r="I540" s="13">
        <v>0</v>
      </c>
      <c r="J540" s="13">
        <f t="shared" si="98"/>
        <v>0</v>
      </c>
      <c r="K540" s="13">
        <f t="shared" si="99"/>
        <v>898965</v>
      </c>
      <c r="L540" s="13">
        <f t="shared" si="99"/>
        <v>4724061</v>
      </c>
      <c r="M540" s="11"/>
    </row>
    <row r="541" spans="1:13" ht="33">
      <c r="A541" s="11" t="s">
        <v>837</v>
      </c>
      <c r="B541" s="11" t="s">
        <v>838</v>
      </c>
      <c r="C541" s="24">
        <v>4.2249999999999996</v>
      </c>
      <c r="D541" s="15" t="s">
        <v>834</v>
      </c>
      <c r="E541" s="13">
        <v>898780</v>
      </c>
      <c r="F541" s="13">
        <f t="shared" si="96"/>
        <v>3797346</v>
      </c>
      <c r="G541" s="13">
        <v>0</v>
      </c>
      <c r="H541" s="13">
        <f t="shared" si="97"/>
        <v>0</v>
      </c>
      <c r="I541" s="13">
        <v>0</v>
      </c>
      <c r="J541" s="13">
        <f t="shared" si="98"/>
        <v>0</v>
      </c>
      <c r="K541" s="13">
        <f t="shared" si="99"/>
        <v>898780</v>
      </c>
      <c r="L541" s="13">
        <f t="shared" si="99"/>
        <v>3797346</v>
      </c>
      <c r="M541" s="11"/>
    </row>
    <row r="542" spans="1:13" ht="33">
      <c r="A542" s="11" t="s">
        <v>839</v>
      </c>
      <c r="B542" s="11" t="s">
        <v>840</v>
      </c>
      <c r="C542" s="24">
        <v>0.432</v>
      </c>
      <c r="D542" s="15" t="s">
        <v>834</v>
      </c>
      <c r="E542" s="13">
        <v>898565</v>
      </c>
      <c r="F542" s="13">
        <f t="shared" si="96"/>
        <v>388180</v>
      </c>
      <c r="G542" s="13">
        <v>0</v>
      </c>
      <c r="H542" s="13">
        <f t="shared" si="97"/>
        <v>0</v>
      </c>
      <c r="I542" s="13">
        <v>0</v>
      </c>
      <c r="J542" s="13">
        <f t="shared" si="98"/>
        <v>0</v>
      </c>
      <c r="K542" s="13">
        <f t="shared" si="99"/>
        <v>898565</v>
      </c>
      <c r="L542" s="13">
        <f t="shared" si="99"/>
        <v>388180</v>
      </c>
      <c r="M542" s="11"/>
    </row>
    <row r="543" spans="1:13">
      <c r="A543" s="11" t="s">
        <v>841</v>
      </c>
      <c r="B543" s="11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</row>
    <row r="544" spans="1:13">
      <c r="A544" s="11" t="s">
        <v>842</v>
      </c>
      <c r="B544" s="11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</row>
    <row r="545" spans="1:13">
      <c r="A545" s="11" t="s">
        <v>843</v>
      </c>
      <c r="B545" s="11" t="s">
        <v>116</v>
      </c>
      <c r="C545" s="13">
        <v>449</v>
      </c>
      <c r="D545" s="15" t="s">
        <v>108</v>
      </c>
      <c r="E545" s="13">
        <v>0</v>
      </c>
      <c r="F545" s="13">
        <f>ROUND(E545*C545,0)</f>
        <v>0</v>
      </c>
      <c r="G545" s="13">
        <v>0</v>
      </c>
      <c r="H545" s="13">
        <f>ROUND(G545*C545,0)</f>
        <v>0</v>
      </c>
      <c r="I545" s="13">
        <v>1764</v>
      </c>
      <c r="J545" s="13">
        <f>ROUND(I545*C545,0)</f>
        <v>792036</v>
      </c>
      <c r="K545" s="13">
        <f t="shared" ref="K545:L549" si="100">E545+G545+I545</f>
        <v>1764</v>
      </c>
      <c r="L545" s="13">
        <f t="shared" si="100"/>
        <v>792036</v>
      </c>
      <c r="M545" s="11"/>
    </row>
    <row r="546" spans="1:13" ht="33">
      <c r="A546" s="11" t="s">
        <v>229</v>
      </c>
      <c r="B546" s="11" t="s">
        <v>232</v>
      </c>
      <c r="C546" s="13">
        <v>34</v>
      </c>
      <c r="D546" s="15" t="s">
        <v>108</v>
      </c>
      <c r="E546" s="13">
        <v>0</v>
      </c>
      <c r="F546" s="13">
        <f>ROUND(E546*C546,0)</f>
        <v>0</v>
      </c>
      <c r="G546" s="13">
        <v>2525</v>
      </c>
      <c r="H546" s="13">
        <f>ROUND(G546*C546,0)</f>
        <v>85850</v>
      </c>
      <c r="I546" s="13">
        <v>4961</v>
      </c>
      <c r="J546" s="13">
        <f>ROUND(I546*C546,0)</f>
        <v>168674</v>
      </c>
      <c r="K546" s="13">
        <f t="shared" si="100"/>
        <v>7486</v>
      </c>
      <c r="L546" s="13">
        <f t="shared" si="100"/>
        <v>254524</v>
      </c>
      <c r="M546" s="11"/>
    </row>
    <row r="547" spans="1:13">
      <c r="A547" s="11" t="s">
        <v>844</v>
      </c>
      <c r="B547" s="11" t="s">
        <v>235</v>
      </c>
      <c r="C547" s="13">
        <v>415</v>
      </c>
      <c r="D547" s="15" t="s">
        <v>108</v>
      </c>
      <c r="E547" s="13">
        <v>0</v>
      </c>
      <c r="F547" s="13">
        <f>ROUND(E547*C547,0)</f>
        <v>0</v>
      </c>
      <c r="G547" s="13">
        <v>0</v>
      </c>
      <c r="H547" s="13">
        <f>ROUND(G547*C547,0)</f>
        <v>0</v>
      </c>
      <c r="I547" s="13">
        <v>11024</v>
      </c>
      <c r="J547" s="13">
        <f>ROUND(I547*C547,0)</f>
        <v>4574960</v>
      </c>
      <c r="K547" s="13">
        <f t="shared" si="100"/>
        <v>11024</v>
      </c>
      <c r="L547" s="13">
        <f t="shared" si="100"/>
        <v>4574960</v>
      </c>
      <c r="M547" s="11"/>
    </row>
    <row r="548" spans="1:13">
      <c r="A548" s="11" t="s">
        <v>845</v>
      </c>
      <c r="B548" s="11" t="s">
        <v>258</v>
      </c>
      <c r="C548" s="13">
        <v>43</v>
      </c>
      <c r="D548" s="15" t="s">
        <v>102</v>
      </c>
      <c r="E548" s="13">
        <v>7575</v>
      </c>
      <c r="F548" s="13">
        <f>ROUND(E548*C548,0)</f>
        <v>325725</v>
      </c>
      <c r="G548" s="13">
        <v>20200</v>
      </c>
      <c r="H548" s="13">
        <f>ROUND(G548*C548,0)</f>
        <v>868600</v>
      </c>
      <c r="I548" s="13">
        <v>3859</v>
      </c>
      <c r="J548" s="13">
        <f>ROUND(I548*C548,0)</f>
        <v>165937</v>
      </c>
      <c r="K548" s="13">
        <f t="shared" si="100"/>
        <v>31634</v>
      </c>
      <c r="L548" s="13">
        <f t="shared" si="100"/>
        <v>1360262</v>
      </c>
      <c r="M548" s="11"/>
    </row>
    <row r="549" spans="1:13">
      <c r="A549" s="11" t="s">
        <v>846</v>
      </c>
      <c r="B549" s="11" t="s">
        <v>256</v>
      </c>
      <c r="C549" s="13">
        <v>21</v>
      </c>
      <c r="D549" s="15" t="s">
        <v>108</v>
      </c>
      <c r="E549" s="13">
        <v>0</v>
      </c>
      <c r="F549" s="13">
        <f>ROUND(E549*C549,0)</f>
        <v>0</v>
      </c>
      <c r="G549" s="13">
        <v>13130</v>
      </c>
      <c r="H549" s="13">
        <f>ROUND(G549*C549,0)</f>
        <v>275730</v>
      </c>
      <c r="I549" s="13">
        <v>12127</v>
      </c>
      <c r="J549" s="13">
        <f>ROUND(I549*C549,0)</f>
        <v>254667</v>
      </c>
      <c r="K549" s="13">
        <f t="shared" si="100"/>
        <v>25257</v>
      </c>
      <c r="L549" s="13">
        <f t="shared" si="100"/>
        <v>530397</v>
      </c>
      <c r="M549" s="11"/>
    </row>
    <row r="550" spans="1:13">
      <c r="A550" s="11" t="s">
        <v>847</v>
      </c>
      <c r="B550" s="11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</row>
    <row r="551" spans="1:13">
      <c r="A551" s="11" t="s">
        <v>848</v>
      </c>
      <c r="B551" s="11" t="s">
        <v>849</v>
      </c>
      <c r="C551" s="13">
        <v>9</v>
      </c>
      <c r="D551" s="15" t="s">
        <v>102</v>
      </c>
      <c r="E551" s="13">
        <v>0</v>
      </c>
      <c r="F551" s="13">
        <f>ROUND(E551*C551,0)</f>
        <v>0</v>
      </c>
      <c r="G551" s="13">
        <v>25250</v>
      </c>
      <c r="H551" s="13">
        <f>ROUND(G551*C551,0)</f>
        <v>227250</v>
      </c>
      <c r="I551" s="13">
        <v>11024</v>
      </c>
      <c r="J551" s="13">
        <f>ROUND(I551*C551,0)</f>
        <v>99216</v>
      </c>
      <c r="K551" s="13">
        <f>E551+G551+I551</f>
        <v>36274</v>
      </c>
      <c r="L551" s="13">
        <f>F551+H551+J551</f>
        <v>326466</v>
      </c>
      <c r="M551" s="11"/>
    </row>
    <row r="552" spans="1:13">
      <c r="A552" s="11" t="s">
        <v>850</v>
      </c>
      <c r="B552" s="11" t="s">
        <v>851</v>
      </c>
      <c r="C552" s="13">
        <v>166</v>
      </c>
      <c r="D552" s="15" t="s">
        <v>102</v>
      </c>
      <c r="E552" s="13">
        <v>0</v>
      </c>
      <c r="F552" s="13">
        <f>ROUND(E552*C552,0)</f>
        <v>0</v>
      </c>
      <c r="G552" s="13">
        <v>25250</v>
      </c>
      <c r="H552" s="13">
        <f>ROUND(G552*C552,0)</f>
        <v>4191500</v>
      </c>
      <c r="I552" s="13">
        <v>11024</v>
      </c>
      <c r="J552" s="13">
        <f>ROUND(I552*C552,0)</f>
        <v>1829984</v>
      </c>
      <c r="K552" s="13">
        <f>E552+G552+I552</f>
        <v>36274</v>
      </c>
      <c r="L552" s="13">
        <f>F552+H552+J552</f>
        <v>6021484</v>
      </c>
      <c r="M552" s="11"/>
    </row>
    <row r="553" spans="1:13">
      <c r="A553" s="11" t="s">
        <v>852</v>
      </c>
      <c r="B553" s="11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</row>
    <row r="554" spans="1:13">
      <c r="A554" s="11" t="s">
        <v>853</v>
      </c>
      <c r="B554" s="11"/>
      <c r="C554" s="13">
        <v>1134</v>
      </c>
      <c r="D554" s="15" t="s">
        <v>108</v>
      </c>
      <c r="E554" s="13">
        <v>0</v>
      </c>
      <c r="F554" s="13">
        <f>ROUND(E554*C554,0)</f>
        <v>0</v>
      </c>
      <c r="G554" s="13">
        <v>2020</v>
      </c>
      <c r="H554" s="13">
        <f>ROUND(G554*C554,0)</f>
        <v>2290680</v>
      </c>
      <c r="I554" s="13">
        <v>5512</v>
      </c>
      <c r="J554" s="13">
        <f>ROUND(I554*C554,0)</f>
        <v>6250608</v>
      </c>
      <c r="K554" s="13">
        <f>E554+G554+I554</f>
        <v>7532</v>
      </c>
      <c r="L554" s="13">
        <f>F554+H554+J554</f>
        <v>8541288</v>
      </c>
      <c r="M554" s="11"/>
    </row>
    <row r="555" spans="1:13">
      <c r="A555" s="11" t="s">
        <v>854</v>
      </c>
      <c r="B555" s="11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</row>
    <row r="556" spans="1:13">
      <c r="A556" s="11" t="s">
        <v>855</v>
      </c>
      <c r="B556" s="11" t="s">
        <v>856</v>
      </c>
      <c r="C556" s="13">
        <v>9</v>
      </c>
      <c r="D556" s="15" t="s">
        <v>102</v>
      </c>
      <c r="E556" s="13">
        <v>0</v>
      </c>
      <c r="F556" s="13">
        <f>ROUND(E556*C556,0)</f>
        <v>0</v>
      </c>
      <c r="G556" s="13">
        <v>0</v>
      </c>
      <c r="H556" s="13">
        <f>ROUND(G556*C556,0)</f>
        <v>0</v>
      </c>
      <c r="I556" s="13">
        <v>2756</v>
      </c>
      <c r="J556" s="13">
        <f>ROUND(I556*C556,0)</f>
        <v>24804</v>
      </c>
      <c r="K556" s="13">
        <f>E556+G556+I556</f>
        <v>2756</v>
      </c>
      <c r="L556" s="13">
        <f>F556+H556+J556</f>
        <v>24804</v>
      </c>
      <c r="M556" s="11"/>
    </row>
    <row r="557" spans="1:13">
      <c r="A557" s="11" t="s">
        <v>857</v>
      </c>
      <c r="B557" s="11" t="s">
        <v>856</v>
      </c>
      <c r="C557" s="13">
        <v>171</v>
      </c>
      <c r="D557" s="15" t="s">
        <v>102</v>
      </c>
      <c r="E557" s="13">
        <v>0</v>
      </c>
      <c r="F557" s="13">
        <f>ROUND(E557*C557,0)</f>
        <v>0</v>
      </c>
      <c r="G557" s="13">
        <v>0</v>
      </c>
      <c r="H557" s="13">
        <f>ROUND(G557*C557,0)</f>
        <v>0</v>
      </c>
      <c r="I557" s="13">
        <v>2756</v>
      </c>
      <c r="J557" s="13">
        <f>ROUND(I557*C557,0)</f>
        <v>471276</v>
      </c>
      <c r="K557" s="13">
        <f>E557+G557+I557</f>
        <v>2756</v>
      </c>
      <c r="L557" s="13">
        <f>F557+H557+J557</f>
        <v>471276</v>
      </c>
      <c r="M557" s="11"/>
    </row>
    <row r="558" spans="1:13">
      <c r="A558" s="11" t="s">
        <v>858</v>
      </c>
      <c r="B558" s="11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</row>
    <row r="559" spans="1:13">
      <c r="A559" s="11" t="s">
        <v>412</v>
      </c>
      <c r="B559" s="11" t="s">
        <v>618</v>
      </c>
      <c r="C559" s="13">
        <v>21</v>
      </c>
      <c r="D559" s="15" t="s">
        <v>108</v>
      </c>
      <c r="E559" s="13">
        <v>91102</v>
      </c>
      <c r="F559" s="13">
        <f t="shared" ref="F559:F566" si="101">ROUND(E559*C559,0)</f>
        <v>1913142</v>
      </c>
      <c r="G559" s="13">
        <v>0</v>
      </c>
      <c r="H559" s="13">
        <f t="shared" ref="H559:H566" si="102">ROUND(G559*C559,0)</f>
        <v>0</v>
      </c>
      <c r="I559" s="13">
        <v>0</v>
      </c>
      <c r="J559" s="13">
        <f t="shared" ref="J559:J566" si="103">ROUND(I559*C559,0)</f>
        <v>0</v>
      </c>
      <c r="K559" s="13">
        <f t="shared" ref="K559:L566" si="104">E559+G559+I559</f>
        <v>91102</v>
      </c>
      <c r="L559" s="13">
        <f t="shared" si="104"/>
        <v>1913142</v>
      </c>
      <c r="M559" s="11"/>
    </row>
    <row r="560" spans="1:13">
      <c r="A560" s="11" t="s">
        <v>393</v>
      </c>
      <c r="B560" s="11" t="s">
        <v>394</v>
      </c>
      <c r="C560" s="13">
        <v>86</v>
      </c>
      <c r="D560" s="15" t="s">
        <v>108</v>
      </c>
      <c r="E560" s="13">
        <v>26260</v>
      </c>
      <c r="F560" s="13">
        <f t="shared" si="101"/>
        <v>2258360</v>
      </c>
      <c r="G560" s="13">
        <v>0</v>
      </c>
      <c r="H560" s="13">
        <f t="shared" si="102"/>
        <v>0</v>
      </c>
      <c r="I560" s="13">
        <v>0</v>
      </c>
      <c r="J560" s="13">
        <f t="shared" si="103"/>
        <v>0</v>
      </c>
      <c r="K560" s="13">
        <f t="shared" si="104"/>
        <v>26260</v>
      </c>
      <c r="L560" s="13">
        <f t="shared" si="104"/>
        <v>2258360</v>
      </c>
      <c r="M560" s="11"/>
    </row>
    <row r="561" spans="1:13">
      <c r="A561" s="11" t="s">
        <v>859</v>
      </c>
      <c r="B561" s="11" t="s">
        <v>463</v>
      </c>
      <c r="C561" s="13">
        <v>74</v>
      </c>
      <c r="D561" s="15" t="s">
        <v>240</v>
      </c>
      <c r="E561" s="13">
        <v>5252</v>
      </c>
      <c r="F561" s="13">
        <f t="shared" si="101"/>
        <v>388648</v>
      </c>
      <c r="G561" s="13">
        <v>0</v>
      </c>
      <c r="H561" s="13">
        <f t="shared" si="102"/>
        <v>0</v>
      </c>
      <c r="I561" s="13">
        <v>0</v>
      </c>
      <c r="J561" s="13">
        <f t="shared" si="103"/>
        <v>0</v>
      </c>
      <c r="K561" s="13">
        <f t="shared" si="104"/>
        <v>5252</v>
      </c>
      <c r="L561" s="13">
        <f t="shared" si="104"/>
        <v>388648</v>
      </c>
      <c r="M561" s="11"/>
    </row>
    <row r="562" spans="1:13">
      <c r="A562" s="11" t="s">
        <v>860</v>
      </c>
      <c r="B562" s="11" t="s">
        <v>861</v>
      </c>
      <c r="C562" s="13">
        <v>74</v>
      </c>
      <c r="D562" s="15" t="s">
        <v>102</v>
      </c>
      <c r="E562" s="13">
        <v>6060</v>
      </c>
      <c r="F562" s="13">
        <f t="shared" si="101"/>
        <v>448440</v>
      </c>
      <c r="G562" s="13">
        <v>0</v>
      </c>
      <c r="H562" s="13">
        <f t="shared" si="102"/>
        <v>0</v>
      </c>
      <c r="I562" s="13">
        <v>0</v>
      </c>
      <c r="J562" s="13">
        <f t="shared" si="103"/>
        <v>0</v>
      </c>
      <c r="K562" s="13">
        <f t="shared" si="104"/>
        <v>6060</v>
      </c>
      <c r="L562" s="13">
        <f t="shared" si="104"/>
        <v>448440</v>
      </c>
      <c r="M562" s="11"/>
    </row>
    <row r="563" spans="1:13">
      <c r="A563" s="11" t="s">
        <v>862</v>
      </c>
      <c r="B563" s="11" t="s">
        <v>849</v>
      </c>
      <c r="C563" s="13">
        <v>9</v>
      </c>
      <c r="D563" s="15" t="s">
        <v>102</v>
      </c>
      <c r="E563" s="13">
        <v>23230</v>
      </c>
      <c r="F563" s="13">
        <f t="shared" si="101"/>
        <v>209070</v>
      </c>
      <c r="G563" s="13">
        <v>0</v>
      </c>
      <c r="H563" s="13">
        <f t="shared" si="102"/>
        <v>0</v>
      </c>
      <c r="I563" s="13">
        <v>0</v>
      </c>
      <c r="J563" s="13">
        <f t="shared" si="103"/>
        <v>0</v>
      </c>
      <c r="K563" s="13">
        <f t="shared" si="104"/>
        <v>23230</v>
      </c>
      <c r="L563" s="13">
        <f t="shared" si="104"/>
        <v>209070</v>
      </c>
      <c r="M563" s="11"/>
    </row>
    <row r="564" spans="1:13">
      <c r="A564" s="11" t="s">
        <v>863</v>
      </c>
      <c r="B564" s="11" t="s">
        <v>851</v>
      </c>
      <c r="C564" s="13">
        <v>171</v>
      </c>
      <c r="D564" s="15" t="s">
        <v>102</v>
      </c>
      <c r="E564" s="13">
        <v>32320</v>
      </c>
      <c r="F564" s="13">
        <f t="shared" si="101"/>
        <v>5526720</v>
      </c>
      <c r="G564" s="13">
        <v>0</v>
      </c>
      <c r="H564" s="13">
        <f t="shared" si="102"/>
        <v>0</v>
      </c>
      <c r="I564" s="13">
        <v>0</v>
      </c>
      <c r="J564" s="13">
        <f t="shared" si="103"/>
        <v>0</v>
      </c>
      <c r="K564" s="13">
        <f t="shared" si="104"/>
        <v>32320</v>
      </c>
      <c r="L564" s="13">
        <f t="shared" si="104"/>
        <v>5526720</v>
      </c>
      <c r="M564" s="11"/>
    </row>
    <row r="565" spans="1:13">
      <c r="A565" s="11" t="s">
        <v>864</v>
      </c>
      <c r="B565" s="11" t="s">
        <v>865</v>
      </c>
      <c r="C565" s="13">
        <v>1166</v>
      </c>
      <c r="D565" s="15" t="s">
        <v>102</v>
      </c>
      <c r="E565" s="13">
        <v>1616</v>
      </c>
      <c r="F565" s="13">
        <f t="shared" si="101"/>
        <v>1884256</v>
      </c>
      <c r="G565" s="13">
        <v>0</v>
      </c>
      <c r="H565" s="13">
        <f t="shared" si="102"/>
        <v>0</v>
      </c>
      <c r="I565" s="13">
        <v>0</v>
      </c>
      <c r="J565" s="13">
        <f t="shared" si="103"/>
        <v>0</v>
      </c>
      <c r="K565" s="13">
        <f t="shared" si="104"/>
        <v>1616</v>
      </c>
      <c r="L565" s="13">
        <f t="shared" si="104"/>
        <v>1884256</v>
      </c>
      <c r="M565" s="11"/>
    </row>
    <row r="566" spans="1:13">
      <c r="A566" s="11" t="s">
        <v>866</v>
      </c>
      <c r="B566" s="11" t="s">
        <v>867</v>
      </c>
      <c r="C566" s="13">
        <v>203</v>
      </c>
      <c r="D566" s="15" t="s">
        <v>102</v>
      </c>
      <c r="E566" s="13">
        <v>1818</v>
      </c>
      <c r="F566" s="13">
        <f t="shared" si="101"/>
        <v>369054</v>
      </c>
      <c r="G566" s="13">
        <v>0</v>
      </c>
      <c r="H566" s="13">
        <f t="shared" si="102"/>
        <v>0</v>
      </c>
      <c r="I566" s="13">
        <v>0</v>
      </c>
      <c r="J566" s="13">
        <f t="shared" si="103"/>
        <v>0</v>
      </c>
      <c r="K566" s="13">
        <f t="shared" si="104"/>
        <v>1818</v>
      </c>
      <c r="L566" s="13">
        <f t="shared" si="104"/>
        <v>369054</v>
      </c>
      <c r="M566" s="11"/>
    </row>
    <row r="567" spans="1:13">
      <c r="A567" s="19" t="s">
        <v>868</v>
      </c>
      <c r="B567" s="20"/>
      <c r="C567" s="21"/>
      <c r="D567" s="21"/>
      <c r="E567" s="21"/>
      <c r="F567" s="22">
        <f>SUM(F570:F622)</f>
        <v>129412082</v>
      </c>
      <c r="G567" s="21"/>
      <c r="H567" s="22">
        <f>SUM(H570:H622)</f>
        <v>162214452</v>
      </c>
      <c r="I567" s="21"/>
      <c r="J567" s="22">
        <f>SUM(J570:J622)</f>
        <v>312585780</v>
      </c>
      <c r="K567" s="21"/>
      <c r="L567" s="22">
        <f>F567+H567+J567</f>
        <v>604212314</v>
      </c>
      <c r="M567" s="21"/>
    </row>
    <row r="568" spans="1:13">
      <c r="A568" s="11" t="s">
        <v>869</v>
      </c>
      <c r="B568" s="11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</row>
    <row r="569" spans="1:13">
      <c r="A569" s="11" t="s">
        <v>221</v>
      </c>
      <c r="B569" s="11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</row>
    <row r="570" spans="1:13">
      <c r="A570" s="11" t="s">
        <v>843</v>
      </c>
      <c r="B570" s="11" t="s">
        <v>226</v>
      </c>
      <c r="C570" s="13">
        <v>3</v>
      </c>
      <c r="D570" s="15" t="s">
        <v>108</v>
      </c>
      <c r="E570" s="13">
        <v>0</v>
      </c>
      <c r="F570" s="13">
        <f>ROUND(E570*C570,0)</f>
        <v>0</v>
      </c>
      <c r="G570" s="13">
        <v>65650</v>
      </c>
      <c r="H570" s="13">
        <f>ROUND(G570*C570,0)</f>
        <v>196950</v>
      </c>
      <c r="I570" s="13">
        <v>0</v>
      </c>
      <c r="J570" s="13">
        <f>ROUND(I570*C570,0)</f>
        <v>0</v>
      </c>
      <c r="K570" s="13">
        <f>E570+G570+I570</f>
        <v>65650</v>
      </c>
      <c r="L570" s="13">
        <f>F570+H570+J570</f>
        <v>196950</v>
      </c>
      <c r="M570" s="11"/>
    </row>
    <row r="571" spans="1:13">
      <c r="A571" s="11" t="s">
        <v>115</v>
      </c>
      <c r="B571" s="11" t="s">
        <v>116</v>
      </c>
      <c r="C571" s="13">
        <v>1040</v>
      </c>
      <c r="D571" s="15" t="s">
        <v>108</v>
      </c>
      <c r="E571" s="13">
        <v>0</v>
      </c>
      <c r="F571" s="13">
        <f>ROUND(E571*C571,0)</f>
        <v>0</v>
      </c>
      <c r="G571" s="13">
        <v>0</v>
      </c>
      <c r="H571" s="13">
        <f>ROUND(G571*C571,0)</f>
        <v>0</v>
      </c>
      <c r="I571" s="13">
        <v>1764</v>
      </c>
      <c r="J571" s="13">
        <f>ROUND(I571*C571,0)</f>
        <v>1834560</v>
      </c>
      <c r="K571" s="13">
        <f>E571+G571+I571</f>
        <v>1764</v>
      </c>
      <c r="L571" s="13">
        <f>F571+H571+J571</f>
        <v>1834560</v>
      </c>
      <c r="M571" s="11"/>
    </row>
    <row r="572" spans="1:13">
      <c r="A572" s="11" t="s">
        <v>227</v>
      </c>
      <c r="B572" s="11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</row>
    <row r="573" spans="1:13">
      <c r="A573" s="11" t="s">
        <v>870</v>
      </c>
      <c r="B573" s="11" t="s">
        <v>226</v>
      </c>
      <c r="C573" s="13">
        <v>2</v>
      </c>
      <c r="D573" s="15" t="s">
        <v>108</v>
      </c>
      <c r="E573" s="13">
        <v>0</v>
      </c>
      <c r="F573" s="13">
        <f>ROUND(E573*C573,0)</f>
        <v>0</v>
      </c>
      <c r="G573" s="13">
        <v>28603</v>
      </c>
      <c r="H573" s="13">
        <f>ROUND(G573*C573,0)</f>
        <v>57206</v>
      </c>
      <c r="I573" s="13">
        <v>15655</v>
      </c>
      <c r="J573" s="13">
        <f>ROUND(I573*C573,0)</f>
        <v>31310</v>
      </c>
      <c r="K573" s="13">
        <f>E573+G573+I573</f>
        <v>44258</v>
      </c>
      <c r="L573" s="13">
        <f>F573+H573+J573</f>
        <v>88516</v>
      </c>
      <c r="M573" s="11"/>
    </row>
    <row r="574" spans="1:13">
      <c r="A574" s="11" t="s">
        <v>871</v>
      </c>
      <c r="B574" s="11" t="s">
        <v>118</v>
      </c>
      <c r="C574" s="13">
        <v>1040</v>
      </c>
      <c r="D574" s="15" t="s">
        <v>108</v>
      </c>
      <c r="E574" s="13">
        <v>0</v>
      </c>
      <c r="F574" s="13">
        <f>ROUND(E574*C574,0)</f>
        <v>0</v>
      </c>
      <c r="G574" s="13">
        <v>2525</v>
      </c>
      <c r="H574" s="13">
        <f>ROUND(G574*C574,0)</f>
        <v>2626000</v>
      </c>
      <c r="I574" s="13">
        <v>4961</v>
      </c>
      <c r="J574" s="13">
        <f>ROUND(I574*C574,0)</f>
        <v>5159440</v>
      </c>
      <c r="K574" s="13">
        <f>E574+G574+I574</f>
        <v>7486</v>
      </c>
      <c r="L574" s="13">
        <f>F574+H574+J574</f>
        <v>7785440</v>
      </c>
      <c r="M574" s="11"/>
    </row>
    <row r="575" spans="1:13">
      <c r="A575" s="11" t="s">
        <v>233</v>
      </c>
      <c r="B575" s="11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</row>
    <row r="576" spans="1:13">
      <c r="A576" s="11" t="s">
        <v>234</v>
      </c>
      <c r="B576" s="11" t="s">
        <v>454</v>
      </c>
      <c r="C576" s="13">
        <v>1</v>
      </c>
      <c r="D576" s="15" t="s">
        <v>108</v>
      </c>
      <c r="E576" s="13">
        <v>0</v>
      </c>
      <c r="F576" s="13">
        <f>ROUND(E576*C576,0)</f>
        <v>0</v>
      </c>
      <c r="G576" s="13">
        <v>0</v>
      </c>
      <c r="H576" s="13">
        <f>ROUND(G576*C576,0)</f>
        <v>0</v>
      </c>
      <c r="I576" s="13">
        <v>11024</v>
      </c>
      <c r="J576" s="13">
        <f>ROUND(I576*C576,0)</f>
        <v>11024</v>
      </c>
      <c r="K576" s="13">
        <f>E576+G576+I576</f>
        <v>11024</v>
      </c>
      <c r="L576" s="13">
        <f>F576+H576+J576</f>
        <v>11024</v>
      </c>
      <c r="M576" s="11"/>
    </row>
    <row r="577" spans="1:13">
      <c r="A577" s="11" t="s">
        <v>872</v>
      </c>
      <c r="B577" s="11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</row>
    <row r="578" spans="1:13">
      <c r="A578" s="11" t="s">
        <v>873</v>
      </c>
      <c r="B578" s="11" t="s">
        <v>874</v>
      </c>
      <c r="C578" s="13">
        <v>1242</v>
      </c>
      <c r="D578" s="15" t="s">
        <v>240</v>
      </c>
      <c r="E578" s="13">
        <v>53833</v>
      </c>
      <c r="F578" s="13">
        <f>ROUND(E578*C578,0)</f>
        <v>66860586</v>
      </c>
      <c r="G578" s="13">
        <v>20200</v>
      </c>
      <c r="H578" s="13">
        <f>ROUND(G578*C578,0)</f>
        <v>25088400</v>
      </c>
      <c r="I578" s="13">
        <v>14332</v>
      </c>
      <c r="J578" s="13">
        <f>ROUND(I578*C578,0)</f>
        <v>17800344</v>
      </c>
      <c r="K578" s="13">
        <f>E578+G578+I578</f>
        <v>88365</v>
      </c>
      <c r="L578" s="13">
        <f>F578+H578+J578</f>
        <v>109749330</v>
      </c>
      <c r="M578" s="11"/>
    </row>
    <row r="579" spans="1:13">
      <c r="A579" s="11" t="s">
        <v>875</v>
      </c>
      <c r="B579" s="11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</row>
    <row r="580" spans="1:13">
      <c r="A580" s="11" t="s">
        <v>876</v>
      </c>
      <c r="B580" s="11" t="s">
        <v>877</v>
      </c>
      <c r="C580" s="13">
        <v>272</v>
      </c>
      <c r="D580" s="15" t="s">
        <v>102</v>
      </c>
      <c r="E580" s="13">
        <v>333</v>
      </c>
      <c r="F580" s="13">
        <f>ROUND(E580*C580,0)</f>
        <v>90576</v>
      </c>
      <c r="G580" s="13">
        <v>1121</v>
      </c>
      <c r="H580" s="13">
        <f>ROUND(G580*C580,0)</f>
        <v>304912</v>
      </c>
      <c r="I580" s="13">
        <v>0</v>
      </c>
      <c r="J580" s="13">
        <f>ROUND(I580*C580,0)</f>
        <v>0</v>
      </c>
      <c r="K580" s="13">
        <f t="shared" ref="K580:L583" si="105">E580+G580+I580</f>
        <v>1454</v>
      </c>
      <c r="L580" s="13">
        <f t="shared" si="105"/>
        <v>395488</v>
      </c>
      <c r="M580" s="11"/>
    </row>
    <row r="581" spans="1:13">
      <c r="A581" s="11" t="s">
        <v>878</v>
      </c>
      <c r="B581" s="11" t="s">
        <v>879</v>
      </c>
      <c r="C581" s="13">
        <v>57</v>
      </c>
      <c r="D581" s="15" t="s">
        <v>374</v>
      </c>
      <c r="E581" s="13">
        <v>10100</v>
      </c>
      <c r="F581" s="13">
        <f>ROUND(E581*C581,0)</f>
        <v>575700</v>
      </c>
      <c r="G581" s="13">
        <v>20200</v>
      </c>
      <c r="H581" s="13">
        <f>ROUND(G581*C581,0)</f>
        <v>1151400</v>
      </c>
      <c r="I581" s="13">
        <v>17639</v>
      </c>
      <c r="J581" s="13">
        <f>ROUND(I581*C581,0)</f>
        <v>1005423</v>
      </c>
      <c r="K581" s="13">
        <f t="shared" si="105"/>
        <v>47939</v>
      </c>
      <c r="L581" s="13">
        <f t="shared" si="105"/>
        <v>2732523</v>
      </c>
      <c r="M581" s="11"/>
    </row>
    <row r="582" spans="1:13">
      <c r="A582" s="11" t="s">
        <v>880</v>
      </c>
      <c r="B582" s="11" t="s">
        <v>881</v>
      </c>
      <c r="C582" s="13">
        <v>9</v>
      </c>
      <c r="D582" s="15" t="s">
        <v>240</v>
      </c>
      <c r="E582" s="13">
        <v>0</v>
      </c>
      <c r="F582" s="13">
        <f>ROUND(E582*C582,0)</f>
        <v>0</v>
      </c>
      <c r="G582" s="13">
        <v>37774</v>
      </c>
      <c r="H582" s="13">
        <f>ROUND(G582*C582,0)</f>
        <v>339966</v>
      </c>
      <c r="I582" s="13">
        <v>41849</v>
      </c>
      <c r="J582" s="13">
        <f>ROUND(I582*C582,0)</f>
        <v>376641</v>
      </c>
      <c r="K582" s="13">
        <f t="shared" si="105"/>
        <v>79623</v>
      </c>
      <c r="L582" s="13">
        <f t="shared" si="105"/>
        <v>716607</v>
      </c>
      <c r="M582" s="11"/>
    </row>
    <row r="583" spans="1:13">
      <c r="A583" s="11" t="s">
        <v>882</v>
      </c>
      <c r="B583" s="11" t="s">
        <v>883</v>
      </c>
      <c r="C583" s="13">
        <v>108</v>
      </c>
      <c r="D583" s="15" t="s">
        <v>108</v>
      </c>
      <c r="E583" s="13">
        <v>0</v>
      </c>
      <c r="F583" s="13">
        <f>ROUND(E583*C583,0)</f>
        <v>0</v>
      </c>
      <c r="G583" s="13">
        <v>1515</v>
      </c>
      <c r="H583" s="13">
        <f>ROUND(G583*C583,0)</f>
        <v>163620</v>
      </c>
      <c r="I583" s="13">
        <v>5512</v>
      </c>
      <c r="J583" s="13">
        <f>ROUND(I583*C583,0)</f>
        <v>595296</v>
      </c>
      <c r="K583" s="13">
        <f t="shared" si="105"/>
        <v>7027</v>
      </c>
      <c r="L583" s="13">
        <f t="shared" si="105"/>
        <v>758916</v>
      </c>
      <c r="M583" s="11"/>
    </row>
    <row r="584" spans="1:13">
      <c r="A584" s="11" t="s">
        <v>884</v>
      </c>
      <c r="B584" s="11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</row>
    <row r="585" spans="1:13">
      <c r="A585" s="11" t="s">
        <v>876</v>
      </c>
      <c r="B585" s="11" t="s">
        <v>877</v>
      </c>
      <c r="C585" s="13">
        <v>1895</v>
      </c>
      <c r="D585" s="15" t="s">
        <v>102</v>
      </c>
      <c r="E585" s="13">
        <v>333</v>
      </c>
      <c r="F585" s="13">
        <f>ROUND(E585*C585,0)</f>
        <v>631035</v>
      </c>
      <c r="G585" s="13">
        <v>1121</v>
      </c>
      <c r="H585" s="13">
        <f>ROUND(G585*C585,0)</f>
        <v>2124295</v>
      </c>
      <c r="I585" s="13">
        <v>0</v>
      </c>
      <c r="J585" s="13">
        <f>ROUND(I585*C585,0)</f>
        <v>0</v>
      </c>
      <c r="K585" s="13">
        <f t="shared" ref="K585:L587" si="106">E585+G585+I585</f>
        <v>1454</v>
      </c>
      <c r="L585" s="13">
        <f t="shared" si="106"/>
        <v>2755330</v>
      </c>
      <c r="M585" s="11"/>
    </row>
    <row r="586" spans="1:13">
      <c r="A586" s="11" t="s">
        <v>885</v>
      </c>
      <c r="B586" s="11" t="s">
        <v>886</v>
      </c>
      <c r="C586" s="13">
        <v>1178</v>
      </c>
      <c r="D586" s="15" t="s">
        <v>374</v>
      </c>
      <c r="E586" s="13">
        <v>303</v>
      </c>
      <c r="F586" s="13">
        <f>ROUND(E586*C586,0)</f>
        <v>356934</v>
      </c>
      <c r="G586" s="13">
        <v>5131</v>
      </c>
      <c r="H586" s="13">
        <f>ROUND(G586*C586,0)</f>
        <v>6044318</v>
      </c>
      <c r="I586" s="13">
        <v>0</v>
      </c>
      <c r="J586" s="13">
        <f>ROUND(I586*C586,0)</f>
        <v>0</v>
      </c>
      <c r="K586" s="13">
        <f t="shared" si="106"/>
        <v>5434</v>
      </c>
      <c r="L586" s="13">
        <f t="shared" si="106"/>
        <v>6401252</v>
      </c>
      <c r="M586" s="11"/>
    </row>
    <row r="587" spans="1:13">
      <c r="A587" s="11" t="s">
        <v>887</v>
      </c>
      <c r="B587" s="11" t="s">
        <v>883</v>
      </c>
      <c r="C587" s="13">
        <v>259</v>
      </c>
      <c r="D587" s="15" t="s">
        <v>108</v>
      </c>
      <c r="E587" s="13">
        <v>0</v>
      </c>
      <c r="F587" s="13">
        <f>ROUND(E587*C587,0)</f>
        <v>0</v>
      </c>
      <c r="G587" s="13">
        <v>1515</v>
      </c>
      <c r="H587" s="13">
        <f>ROUND(G587*C587,0)</f>
        <v>392385</v>
      </c>
      <c r="I587" s="13">
        <v>5512</v>
      </c>
      <c r="J587" s="13">
        <f>ROUND(I587*C587,0)</f>
        <v>1427608</v>
      </c>
      <c r="K587" s="13">
        <f t="shared" si="106"/>
        <v>7027</v>
      </c>
      <c r="L587" s="13">
        <f t="shared" si="106"/>
        <v>1819993</v>
      </c>
      <c r="M587" s="11"/>
    </row>
    <row r="588" spans="1:13">
      <c r="A588" s="11" t="s">
        <v>888</v>
      </c>
      <c r="B588" s="11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</row>
    <row r="589" spans="1:13">
      <c r="A589" s="11" t="s">
        <v>889</v>
      </c>
      <c r="B589" s="11" t="s">
        <v>890</v>
      </c>
      <c r="C589" s="13">
        <v>1</v>
      </c>
      <c r="D589" s="15" t="s">
        <v>210</v>
      </c>
      <c r="E589" s="13">
        <v>15150000</v>
      </c>
      <c r="F589" s="13">
        <f>ROUND(E589*C589,0)</f>
        <v>15150000</v>
      </c>
      <c r="G589" s="13">
        <v>3535000</v>
      </c>
      <c r="H589" s="13">
        <f>ROUND(G589*C589,0)</f>
        <v>3535000</v>
      </c>
      <c r="I589" s="13">
        <v>3527816</v>
      </c>
      <c r="J589" s="13">
        <f>ROUND(I589*C589,0)</f>
        <v>3527816</v>
      </c>
      <c r="K589" s="13">
        <f>E589+G589+I589</f>
        <v>22212816</v>
      </c>
      <c r="L589" s="13">
        <f>F589+H589+J589</f>
        <v>22212816</v>
      </c>
      <c r="M589" s="11"/>
    </row>
    <row r="590" spans="1:13">
      <c r="A590" s="11" t="s">
        <v>891</v>
      </c>
      <c r="B590" s="11" t="s">
        <v>890</v>
      </c>
      <c r="C590" s="13">
        <v>1</v>
      </c>
      <c r="D590" s="15" t="s">
        <v>210</v>
      </c>
      <c r="E590" s="13">
        <v>27472000</v>
      </c>
      <c r="F590" s="13">
        <f>ROUND(E590*C590,0)</f>
        <v>27472000</v>
      </c>
      <c r="G590" s="13">
        <v>120190000</v>
      </c>
      <c r="H590" s="13">
        <f>ROUND(G590*C590,0)</f>
        <v>120190000</v>
      </c>
      <c r="I590" s="13">
        <v>0</v>
      </c>
      <c r="J590" s="13">
        <f>ROUND(I590*C590,0)</f>
        <v>0</v>
      </c>
      <c r="K590" s="13">
        <f>E590+G590+I590</f>
        <v>147662000</v>
      </c>
      <c r="L590" s="13">
        <f>F590+H590+J590</f>
        <v>147662000</v>
      </c>
      <c r="M590" s="11"/>
    </row>
    <row r="591" spans="1:13">
      <c r="A591" s="11" t="s">
        <v>892</v>
      </c>
      <c r="B591" s="11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</row>
    <row r="592" spans="1:13">
      <c r="A592" s="11" t="s">
        <v>893</v>
      </c>
      <c r="B592" s="11" t="s">
        <v>894</v>
      </c>
      <c r="C592" s="13">
        <v>1</v>
      </c>
      <c r="D592" s="15" t="s">
        <v>210</v>
      </c>
      <c r="E592" s="13">
        <v>1515000</v>
      </c>
      <c r="F592" s="13">
        <f>ROUND(E592*C592,0)</f>
        <v>1515000</v>
      </c>
      <c r="G592" s="13">
        <v>0</v>
      </c>
      <c r="H592" s="13">
        <f>ROUND(G592*C592,0)</f>
        <v>0</v>
      </c>
      <c r="I592" s="13">
        <v>0</v>
      </c>
      <c r="J592" s="13">
        <f>ROUND(I592*C592,0)</f>
        <v>0</v>
      </c>
      <c r="K592" s="13">
        <f>E592+G592+I592</f>
        <v>1515000</v>
      </c>
      <c r="L592" s="13">
        <f>F592+H592+J592</f>
        <v>1515000</v>
      </c>
      <c r="M592" s="11"/>
    </row>
    <row r="593" spans="1:13">
      <c r="A593" s="11" t="s">
        <v>895</v>
      </c>
      <c r="B593" s="11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</row>
    <row r="594" spans="1:13">
      <c r="A594" s="11" t="s">
        <v>896</v>
      </c>
      <c r="B594" s="11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</row>
    <row r="595" spans="1:13">
      <c r="A595" s="11" t="s">
        <v>897</v>
      </c>
      <c r="B595" s="11" t="s">
        <v>898</v>
      </c>
      <c r="C595" s="13">
        <v>100</v>
      </c>
      <c r="D595" s="15" t="s">
        <v>102</v>
      </c>
      <c r="E595" s="13">
        <v>0</v>
      </c>
      <c r="F595" s="13">
        <f t="shared" ref="F595:F601" si="107">ROUND(E595*C595,0)</f>
        <v>0</v>
      </c>
      <c r="G595" s="13">
        <v>0</v>
      </c>
      <c r="H595" s="13">
        <f t="shared" ref="H595:H601" si="108">ROUND(G595*C595,0)</f>
        <v>0</v>
      </c>
      <c r="I595" s="13">
        <v>220489</v>
      </c>
      <c r="J595" s="13">
        <f t="shared" ref="J595:J601" si="109">ROUND(I595*C595,0)</f>
        <v>22048900</v>
      </c>
      <c r="K595" s="13">
        <f t="shared" ref="K595:L601" si="110">E595+G595+I595</f>
        <v>220489</v>
      </c>
      <c r="L595" s="13">
        <f t="shared" si="110"/>
        <v>22048900</v>
      </c>
      <c r="M595" s="11"/>
    </row>
    <row r="596" spans="1:13">
      <c r="A596" s="11" t="s">
        <v>899</v>
      </c>
      <c r="B596" s="11" t="s">
        <v>898</v>
      </c>
      <c r="C596" s="13">
        <v>130</v>
      </c>
      <c r="D596" s="15" t="s">
        <v>102</v>
      </c>
      <c r="E596" s="13">
        <v>0</v>
      </c>
      <c r="F596" s="13">
        <f t="shared" si="107"/>
        <v>0</v>
      </c>
      <c r="G596" s="13">
        <v>0</v>
      </c>
      <c r="H596" s="13">
        <f t="shared" si="108"/>
        <v>0</v>
      </c>
      <c r="I596" s="13">
        <v>220489</v>
      </c>
      <c r="J596" s="13">
        <f t="shared" si="109"/>
        <v>28663570</v>
      </c>
      <c r="K596" s="13">
        <f t="shared" si="110"/>
        <v>220489</v>
      </c>
      <c r="L596" s="13">
        <f t="shared" si="110"/>
        <v>28663570</v>
      </c>
      <c r="M596" s="11"/>
    </row>
    <row r="597" spans="1:13">
      <c r="A597" s="11" t="s">
        <v>900</v>
      </c>
      <c r="B597" s="11" t="s">
        <v>898</v>
      </c>
      <c r="C597" s="13">
        <v>80</v>
      </c>
      <c r="D597" s="15" t="s">
        <v>102</v>
      </c>
      <c r="E597" s="13">
        <v>0</v>
      </c>
      <c r="F597" s="13">
        <f t="shared" si="107"/>
        <v>0</v>
      </c>
      <c r="G597" s="13">
        <v>0</v>
      </c>
      <c r="H597" s="13">
        <f t="shared" si="108"/>
        <v>0</v>
      </c>
      <c r="I597" s="13">
        <v>220489</v>
      </c>
      <c r="J597" s="13">
        <f t="shared" si="109"/>
        <v>17639120</v>
      </c>
      <c r="K597" s="13">
        <f t="shared" si="110"/>
        <v>220489</v>
      </c>
      <c r="L597" s="13">
        <f t="shared" si="110"/>
        <v>17639120</v>
      </c>
      <c r="M597" s="11"/>
    </row>
    <row r="598" spans="1:13">
      <c r="A598" s="11" t="s">
        <v>901</v>
      </c>
      <c r="B598" s="11" t="s">
        <v>898</v>
      </c>
      <c r="C598" s="13">
        <v>20</v>
      </c>
      <c r="D598" s="15" t="s">
        <v>102</v>
      </c>
      <c r="E598" s="13">
        <v>0</v>
      </c>
      <c r="F598" s="13">
        <f t="shared" si="107"/>
        <v>0</v>
      </c>
      <c r="G598" s="13">
        <v>0</v>
      </c>
      <c r="H598" s="13">
        <f t="shared" si="108"/>
        <v>0</v>
      </c>
      <c r="I598" s="13">
        <v>220489</v>
      </c>
      <c r="J598" s="13">
        <f t="shared" si="109"/>
        <v>4409780</v>
      </c>
      <c r="K598" s="13">
        <f t="shared" si="110"/>
        <v>220489</v>
      </c>
      <c r="L598" s="13">
        <f t="shared" si="110"/>
        <v>4409780</v>
      </c>
      <c r="M598" s="11"/>
    </row>
    <row r="599" spans="1:13">
      <c r="A599" s="11" t="s">
        <v>902</v>
      </c>
      <c r="B599" s="11" t="s">
        <v>898</v>
      </c>
      <c r="C599" s="13">
        <v>100</v>
      </c>
      <c r="D599" s="15" t="s">
        <v>102</v>
      </c>
      <c r="E599" s="13">
        <v>0</v>
      </c>
      <c r="F599" s="13">
        <f t="shared" si="107"/>
        <v>0</v>
      </c>
      <c r="G599" s="13">
        <v>0</v>
      </c>
      <c r="H599" s="13">
        <f t="shared" si="108"/>
        <v>0</v>
      </c>
      <c r="I599" s="13">
        <v>220489</v>
      </c>
      <c r="J599" s="13">
        <f t="shared" si="109"/>
        <v>22048900</v>
      </c>
      <c r="K599" s="13">
        <f t="shared" si="110"/>
        <v>220489</v>
      </c>
      <c r="L599" s="13">
        <f t="shared" si="110"/>
        <v>22048900</v>
      </c>
      <c r="M599" s="11"/>
    </row>
    <row r="600" spans="1:13">
      <c r="A600" s="11" t="s">
        <v>903</v>
      </c>
      <c r="B600" s="11" t="s">
        <v>898</v>
      </c>
      <c r="C600" s="13">
        <v>120</v>
      </c>
      <c r="D600" s="15" t="s">
        <v>102</v>
      </c>
      <c r="E600" s="13">
        <v>0</v>
      </c>
      <c r="F600" s="13">
        <f t="shared" si="107"/>
        <v>0</v>
      </c>
      <c r="G600" s="13">
        <v>0</v>
      </c>
      <c r="H600" s="13">
        <f t="shared" si="108"/>
        <v>0</v>
      </c>
      <c r="I600" s="13">
        <v>220489</v>
      </c>
      <c r="J600" s="13">
        <f t="shared" si="109"/>
        <v>26458680</v>
      </c>
      <c r="K600" s="13">
        <f t="shared" si="110"/>
        <v>220489</v>
      </c>
      <c r="L600" s="13">
        <f t="shared" si="110"/>
        <v>26458680</v>
      </c>
      <c r="M600" s="11"/>
    </row>
    <row r="601" spans="1:13">
      <c r="A601" s="11" t="s">
        <v>904</v>
      </c>
      <c r="B601" s="11" t="s">
        <v>905</v>
      </c>
      <c r="C601" s="13">
        <v>1</v>
      </c>
      <c r="D601" s="15" t="s">
        <v>210</v>
      </c>
      <c r="E601" s="13">
        <v>0</v>
      </c>
      <c r="F601" s="13">
        <f t="shared" si="107"/>
        <v>0</v>
      </c>
      <c r="G601" s="13">
        <v>0</v>
      </c>
      <c r="H601" s="13">
        <f t="shared" si="108"/>
        <v>0</v>
      </c>
      <c r="I601" s="13">
        <v>2756106</v>
      </c>
      <c r="J601" s="13">
        <f t="shared" si="109"/>
        <v>2756106</v>
      </c>
      <c r="K601" s="13">
        <f t="shared" si="110"/>
        <v>2756106</v>
      </c>
      <c r="L601" s="13">
        <f t="shared" si="110"/>
        <v>2756106</v>
      </c>
      <c r="M601" s="11"/>
    </row>
    <row r="602" spans="1:13">
      <c r="A602" s="11" t="s">
        <v>906</v>
      </c>
      <c r="B602" s="11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</row>
    <row r="603" spans="1:13">
      <c r="A603" s="11" t="s">
        <v>907</v>
      </c>
      <c r="B603" s="11" t="s">
        <v>908</v>
      </c>
      <c r="C603" s="13">
        <v>64150</v>
      </c>
      <c r="D603" s="15" t="s">
        <v>909</v>
      </c>
      <c r="E603" s="13">
        <v>0</v>
      </c>
      <c r="F603" s="13">
        <f>ROUND(E603*C603,0)</f>
        <v>0</v>
      </c>
      <c r="G603" s="13">
        <v>0</v>
      </c>
      <c r="H603" s="13">
        <f>ROUND(G603*C603,0)</f>
        <v>0</v>
      </c>
      <c r="I603" s="13">
        <v>2337</v>
      </c>
      <c r="J603" s="13">
        <f>ROUND(I603*C603,0)</f>
        <v>149918550</v>
      </c>
      <c r="K603" s="13">
        <f>E603+G603+I603</f>
        <v>2337</v>
      </c>
      <c r="L603" s="13">
        <f>F603+H603+J603</f>
        <v>149918550</v>
      </c>
      <c r="M603" s="11"/>
    </row>
    <row r="604" spans="1:13">
      <c r="A604" s="11" t="s">
        <v>910</v>
      </c>
      <c r="B604" s="11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</row>
    <row r="605" spans="1:13">
      <c r="A605" s="11" t="s">
        <v>911</v>
      </c>
      <c r="B605" s="11" t="s">
        <v>912</v>
      </c>
      <c r="C605" s="13">
        <v>1</v>
      </c>
      <c r="D605" s="15" t="s">
        <v>210</v>
      </c>
      <c r="E605" s="13">
        <v>0</v>
      </c>
      <c r="F605" s="13">
        <f>ROUND(E605*C605,0)</f>
        <v>0</v>
      </c>
      <c r="G605" s="13">
        <v>0</v>
      </c>
      <c r="H605" s="13">
        <f>ROUND(G605*C605,0)</f>
        <v>0</v>
      </c>
      <c r="I605" s="13">
        <v>5512213</v>
      </c>
      <c r="J605" s="13">
        <f>ROUND(I605*C605,0)</f>
        <v>5512213</v>
      </c>
      <c r="K605" s="13">
        <f>E605+G605+I605</f>
        <v>5512213</v>
      </c>
      <c r="L605" s="13">
        <f>F605+H605+J605</f>
        <v>5512213</v>
      </c>
      <c r="M605" s="11"/>
    </row>
    <row r="606" spans="1:13">
      <c r="A606" s="11" t="s">
        <v>913</v>
      </c>
      <c r="B606" s="11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</row>
    <row r="607" spans="1:13">
      <c r="A607" s="11" t="s">
        <v>914</v>
      </c>
      <c r="B607" s="11" t="s">
        <v>915</v>
      </c>
      <c r="C607" s="13">
        <v>38</v>
      </c>
      <c r="D607" s="15" t="s">
        <v>916</v>
      </c>
      <c r="E607" s="13">
        <v>0</v>
      </c>
      <c r="F607" s="13">
        <f>ROUND(E607*C607,0)</f>
        <v>0</v>
      </c>
      <c r="G607" s="13">
        <v>0</v>
      </c>
      <c r="H607" s="13">
        <f>ROUND(G607*C607,0)</f>
        <v>0</v>
      </c>
      <c r="I607" s="13">
        <v>11024</v>
      </c>
      <c r="J607" s="13">
        <f>ROUND(I607*C607,0)</f>
        <v>418912</v>
      </c>
      <c r="K607" s="13">
        <f t="shared" ref="K607:L609" si="111">E607+G607+I607</f>
        <v>11024</v>
      </c>
      <c r="L607" s="13">
        <f t="shared" si="111"/>
        <v>418912</v>
      </c>
      <c r="M607" s="11"/>
    </row>
    <row r="608" spans="1:13">
      <c r="A608" s="11" t="s">
        <v>917</v>
      </c>
      <c r="B608" s="11" t="s">
        <v>918</v>
      </c>
      <c r="C608" s="13">
        <v>70</v>
      </c>
      <c r="D608" s="15" t="s">
        <v>916</v>
      </c>
      <c r="E608" s="13">
        <v>0</v>
      </c>
      <c r="F608" s="13">
        <f>ROUND(E608*C608,0)</f>
        <v>0</v>
      </c>
      <c r="G608" s="13">
        <v>0</v>
      </c>
      <c r="H608" s="13">
        <f>ROUND(G608*C608,0)</f>
        <v>0</v>
      </c>
      <c r="I608" s="13">
        <v>11024</v>
      </c>
      <c r="J608" s="13">
        <f>ROUND(I608*C608,0)</f>
        <v>771680</v>
      </c>
      <c r="K608" s="13">
        <f t="shared" si="111"/>
        <v>11024</v>
      </c>
      <c r="L608" s="13">
        <f t="shared" si="111"/>
        <v>771680</v>
      </c>
      <c r="M608" s="11"/>
    </row>
    <row r="609" spans="1:13">
      <c r="A609" s="11" t="s">
        <v>919</v>
      </c>
      <c r="B609" s="11" t="s">
        <v>920</v>
      </c>
      <c r="C609" s="13">
        <v>11</v>
      </c>
      <c r="D609" s="15" t="s">
        <v>916</v>
      </c>
      <c r="E609" s="13">
        <v>0</v>
      </c>
      <c r="F609" s="13">
        <f>ROUND(E609*C609,0)</f>
        <v>0</v>
      </c>
      <c r="G609" s="13">
        <v>0</v>
      </c>
      <c r="H609" s="13">
        <f>ROUND(G609*C609,0)</f>
        <v>0</v>
      </c>
      <c r="I609" s="13">
        <v>11024</v>
      </c>
      <c r="J609" s="13">
        <f>ROUND(I609*C609,0)</f>
        <v>121264</v>
      </c>
      <c r="K609" s="13">
        <f t="shared" si="111"/>
        <v>11024</v>
      </c>
      <c r="L609" s="13">
        <f t="shared" si="111"/>
        <v>121264</v>
      </c>
      <c r="M609" s="11"/>
    </row>
    <row r="610" spans="1:13">
      <c r="A610" s="11" t="s">
        <v>921</v>
      </c>
      <c r="B610" s="11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</row>
    <row r="611" spans="1:13">
      <c r="A611" s="11" t="s">
        <v>922</v>
      </c>
      <c r="B611" s="11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</row>
    <row r="612" spans="1:13">
      <c r="A612" s="11" t="s">
        <v>923</v>
      </c>
      <c r="B612" s="11" t="s">
        <v>624</v>
      </c>
      <c r="C612" s="13">
        <v>57</v>
      </c>
      <c r="D612" s="15" t="s">
        <v>108</v>
      </c>
      <c r="E612" s="13">
        <v>18180</v>
      </c>
      <c r="F612" s="13">
        <f>ROUND(E612*C612,0)</f>
        <v>1036260</v>
      </c>
      <c r="G612" s="13">
        <v>0</v>
      </c>
      <c r="H612" s="13">
        <f>ROUND(G612*C612,0)</f>
        <v>0</v>
      </c>
      <c r="I612" s="13">
        <v>0</v>
      </c>
      <c r="J612" s="13">
        <f>ROUND(I612*C612,0)</f>
        <v>0</v>
      </c>
      <c r="K612" s="13">
        <f>E612+G612+I612</f>
        <v>18180</v>
      </c>
      <c r="L612" s="13">
        <f>F612+H612+J612</f>
        <v>1036260</v>
      </c>
      <c r="M612" s="11"/>
    </row>
    <row r="613" spans="1:13">
      <c r="A613" s="11" t="s">
        <v>620</v>
      </c>
      <c r="B613" s="11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</row>
    <row r="614" spans="1:13" ht="33">
      <c r="A614" s="11" t="s">
        <v>398</v>
      </c>
      <c r="B614" s="11" t="s">
        <v>399</v>
      </c>
      <c r="C614" s="24">
        <v>0.872</v>
      </c>
      <c r="D614" s="15" t="s">
        <v>400</v>
      </c>
      <c r="E614" s="13">
        <v>929623</v>
      </c>
      <c r="F614" s="13">
        <f>ROUND(E614*C614,0)</f>
        <v>810631</v>
      </c>
      <c r="G614" s="13">
        <v>0</v>
      </c>
      <c r="H614" s="13">
        <f>ROUND(G614*C614,0)</f>
        <v>0</v>
      </c>
      <c r="I614" s="13">
        <v>0</v>
      </c>
      <c r="J614" s="13">
        <f>ROUND(I614*C614,0)</f>
        <v>0</v>
      </c>
      <c r="K614" s="13">
        <f t="shared" ref="K614:L616" si="112">E614+G614+I614</f>
        <v>929623</v>
      </c>
      <c r="L614" s="13">
        <f t="shared" si="112"/>
        <v>810631</v>
      </c>
      <c r="M614" s="11"/>
    </row>
    <row r="615" spans="1:13">
      <c r="A615" s="11" t="s">
        <v>924</v>
      </c>
      <c r="B615" s="11" t="s">
        <v>925</v>
      </c>
      <c r="C615" s="24">
        <v>0.872</v>
      </c>
      <c r="D615" s="15" t="s">
        <v>638</v>
      </c>
      <c r="E615" s="13">
        <v>0</v>
      </c>
      <c r="F615" s="13">
        <f>ROUND(E615*C615,0)</f>
        <v>0</v>
      </c>
      <c r="G615" s="13">
        <v>0</v>
      </c>
      <c r="H615" s="13">
        <f>ROUND(G615*C615,0)</f>
        <v>0</v>
      </c>
      <c r="I615" s="13">
        <v>22049</v>
      </c>
      <c r="J615" s="13">
        <f>ROUND(I615*C615,0)</f>
        <v>19227</v>
      </c>
      <c r="K615" s="13">
        <f t="shared" si="112"/>
        <v>22049</v>
      </c>
      <c r="L615" s="13">
        <f t="shared" si="112"/>
        <v>19227</v>
      </c>
      <c r="M615" s="11"/>
    </row>
    <row r="616" spans="1:13">
      <c r="A616" s="11" t="s">
        <v>926</v>
      </c>
      <c r="B616" s="11" t="s">
        <v>410</v>
      </c>
      <c r="C616" s="24">
        <v>2.5999999999999999E-2</v>
      </c>
      <c r="D616" s="15" t="s">
        <v>400</v>
      </c>
      <c r="E616" s="13">
        <v>-400000</v>
      </c>
      <c r="F616" s="13">
        <f>ROUND(E616*C616,0)</f>
        <v>-10400</v>
      </c>
      <c r="G616" s="13">
        <v>0</v>
      </c>
      <c r="H616" s="13">
        <f>ROUND(G616*C616,0)</f>
        <v>0</v>
      </c>
      <c r="I616" s="13">
        <v>0</v>
      </c>
      <c r="J616" s="13">
        <f>ROUND(I616*C616,0)</f>
        <v>0</v>
      </c>
      <c r="K616" s="13">
        <f t="shared" si="112"/>
        <v>-400000</v>
      </c>
      <c r="L616" s="13">
        <f t="shared" si="112"/>
        <v>-10400</v>
      </c>
      <c r="M616" s="11"/>
    </row>
    <row r="617" spans="1:13">
      <c r="A617" s="11" t="s">
        <v>927</v>
      </c>
      <c r="B617" s="11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</row>
    <row r="618" spans="1:13">
      <c r="A618" s="11" t="s">
        <v>412</v>
      </c>
      <c r="B618" s="11" t="s">
        <v>928</v>
      </c>
      <c r="C618" s="13">
        <v>51</v>
      </c>
      <c r="D618" s="15" t="s">
        <v>108</v>
      </c>
      <c r="E618" s="13">
        <v>93021</v>
      </c>
      <c r="F618" s="13">
        <f>ROUND(E618*C618,0)</f>
        <v>4744071</v>
      </c>
      <c r="G618" s="13">
        <v>0</v>
      </c>
      <c r="H618" s="13">
        <f>ROUND(G618*C618,0)</f>
        <v>0</v>
      </c>
      <c r="I618" s="13">
        <v>0</v>
      </c>
      <c r="J618" s="13">
        <f>ROUND(I618*C618,0)</f>
        <v>0</v>
      </c>
      <c r="K618" s="13">
        <f>E618+G618+I618</f>
        <v>93021</v>
      </c>
      <c r="L618" s="13">
        <f>F618+H618+J618</f>
        <v>4744071</v>
      </c>
      <c r="M618" s="11"/>
    </row>
    <row r="619" spans="1:13">
      <c r="A619" s="11" t="s">
        <v>414</v>
      </c>
      <c r="B619" s="11" t="s">
        <v>763</v>
      </c>
      <c r="C619" s="13">
        <v>109</v>
      </c>
      <c r="D619" s="15" t="s">
        <v>108</v>
      </c>
      <c r="E619" s="13">
        <v>87062</v>
      </c>
      <c r="F619" s="13">
        <f>ROUND(E619*C619,0)</f>
        <v>9489758</v>
      </c>
      <c r="G619" s="13">
        <v>0</v>
      </c>
      <c r="H619" s="13">
        <f>ROUND(G619*C619,0)</f>
        <v>0</v>
      </c>
      <c r="I619" s="13">
        <v>0</v>
      </c>
      <c r="J619" s="13">
        <f>ROUND(I619*C619,0)</f>
        <v>0</v>
      </c>
      <c r="K619" s="13">
        <f>E619+G619+I619</f>
        <v>87062</v>
      </c>
      <c r="L619" s="13">
        <f>F619+H619+J619</f>
        <v>9489758</v>
      </c>
      <c r="M619" s="11"/>
    </row>
    <row r="620" spans="1:13">
      <c r="A620" s="11" t="s">
        <v>929</v>
      </c>
      <c r="B620" s="11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</row>
    <row r="621" spans="1:13">
      <c r="A621" s="11" t="s">
        <v>417</v>
      </c>
      <c r="B621" s="11" t="s">
        <v>930</v>
      </c>
      <c r="C621" s="13">
        <v>9</v>
      </c>
      <c r="D621" s="15" t="s">
        <v>419</v>
      </c>
      <c r="E621" s="13">
        <v>76659</v>
      </c>
      <c r="F621" s="13">
        <f>ROUND(E621*C621,0)</f>
        <v>689931</v>
      </c>
      <c r="G621" s="13">
        <v>0</v>
      </c>
      <c r="H621" s="13">
        <f>ROUND(G621*C621,0)</f>
        <v>0</v>
      </c>
      <c r="I621" s="13">
        <v>0</v>
      </c>
      <c r="J621" s="13">
        <f>ROUND(I621*C621,0)</f>
        <v>0</v>
      </c>
      <c r="K621" s="13">
        <f>E621+G621+I621</f>
        <v>76659</v>
      </c>
      <c r="L621" s="13">
        <f>F621+H621+J621</f>
        <v>689931</v>
      </c>
      <c r="M621" s="11"/>
    </row>
    <row r="622" spans="1:13">
      <c r="A622" s="11" t="s">
        <v>931</v>
      </c>
      <c r="B622" s="11" t="s">
        <v>932</v>
      </c>
      <c r="C622" s="13">
        <v>4</v>
      </c>
      <c r="D622" s="15" t="s">
        <v>377</v>
      </c>
      <c r="E622" s="13">
        <v>0</v>
      </c>
      <c r="F622" s="13">
        <f>ROUND(E622*C622,0)</f>
        <v>0</v>
      </c>
      <c r="G622" s="13">
        <v>0</v>
      </c>
      <c r="H622" s="13">
        <f>ROUND(G622*C622,0)</f>
        <v>0</v>
      </c>
      <c r="I622" s="13">
        <v>7354</v>
      </c>
      <c r="J622" s="13">
        <f>ROUND(I622*C622,0)</f>
        <v>29416</v>
      </c>
      <c r="K622" s="13">
        <f>E622+G622+I622</f>
        <v>7354</v>
      </c>
      <c r="L622" s="13">
        <f>F622+H622+J622</f>
        <v>29416</v>
      </c>
      <c r="M622" s="11"/>
    </row>
    <row r="623" spans="1:13">
      <c r="A623" s="11" t="s">
        <v>933</v>
      </c>
      <c r="B623" s="11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</row>
    <row r="624" spans="1:13">
      <c r="A624" s="19" t="s">
        <v>934</v>
      </c>
      <c r="B624" s="20" t="s">
        <v>935</v>
      </c>
      <c r="C624" s="21"/>
      <c r="D624" s="21"/>
      <c r="E624" s="21"/>
      <c r="F624" s="22">
        <f>SUM(F627:F703)</f>
        <v>41675940</v>
      </c>
      <c r="G624" s="21"/>
      <c r="H624" s="22">
        <f>SUM(H627:H703)</f>
        <v>37212134</v>
      </c>
      <c r="I624" s="21"/>
      <c r="J624" s="22">
        <f>SUM(J627:J703)</f>
        <v>315674970</v>
      </c>
      <c r="K624" s="21"/>
      <c r="L624" s="22">
        <f>F624+H624+J624</f>
        <v>394563044</v>
      </c>
      <c r="M624" s="21"/>
    </row>
    <row r="625" spans="1:13">
      <c r="A625" s="11" t="s">
        <v>936</v>
      </c>
      <c r="B625" s="11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</row>
    <row r="626" spans="1:13">
      <c r="A626" s="11" t="s">
        <v>937</v>
      </c>
      <c r="B626" s="11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</row>
    <row r="627" spans="1:13">
      <c r="A627" s="11" t="s">
        <v>843</v>
      </c>
      <c r="B627" s="11" t="s">
        <v>116</v>
      </c>
      <c r="C627" s="13">
        <v>397</v>
      </c>
      <c r="D627" s="15" t="s">
        <v>108</v>
      </c>
      <c r="E627" s="13">
        <v>0</v>
      </c>
      <c r="F627" s="13">
        <f>ROUND(E627*C627,0)</f>
        <v>0</v>
      </c>
      <c r="G627" s="13">
        <v>0</v>
      </c>
      <c r="H627" s="13">
        <f>ROUND(G627*C627,0)</f>
        <v>0</v>
      </c>
      <c r="I627" s="13">
        <v>1753</v>
      </c>
      <c r="J627" s="13">
        <f>ROUND(I627*C627,0)</f>
        <v>695941</v>
      </c>
      <c r="K627" s="13">
        <f>E627+G627+I627</f>
        <v>1753</v>
      </c>
      <c r="L627" s="13">
        <f>F627+H627+J627</f>
        <v>695941</v>
      </c>
      <c r="M627" s="11"/>
    </row>
    <row r="628" spans="1:13">
      <c r="A628" s="11" t="s">
        <v>938</v>
      </c>
      <c r="B628" s="11" t="s">
        <v>939</v>
      </c>
      <c r="C628" s="13">
        <v>264</v>
      </c>
      <c r="D628" s="15" t="s">
        <v>108</v>
      </c>
      <c r="E628" s="13">
        <v>0</v>
      </c>
      <c r="F628" s="13">
        <f>ROUND(E628*C628,0)</f>
        <v>0</v>
      </c>
      <c r="G628" s="13">
        <v>2525</v>
      </c>
      <c r="H628" s="13">
        <f>ROUND(G628*C628,0)</f>
        <v>666600</v>
      </c>
      <c r="I628" s="13">
        <v>4961</v>
      </c>
      <c r="J628" s="13">
        <f>ROUND(I628*C628,0)</f>
        <v>1309704</v>
      </c>
      <c r="K628" s="13">
        <f>E628+G628+I628</f>
        <v>7486</v>
      </c>
      <c r="L628" s="13">
        <f>F628+H628+J628</f>
        <v>1976304</v>
      </c>
      <c r="M628" s="11"/>
    </row>
    <row r="629" spans="1:13">
      <c r="A629" s="11" t="s">
        <v>940</v>
      </c>
      <c r="B629" s="11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</row>
    <row r="630" spans="1:13">
      <c r="A630" s="11" t="s">
        <v>941</v>
      </c>
      <c r="B630" s="11" t="s">
        <v>942</v>
      </c>
      <c r="C630" s="13">
        <v>110</v>
      </c>
      <c r="D630" s="15" t="s">
        <v>108</v>
      </c>
      <c r="E630" s="13">
        <v>0</v>
      </c>
      <c r="F630" s="13">
        <f t="shared" ref="F630:F644" si="113">ROUND(E630*C630,0)</f>
        <v>0</v>
      </c>
      <c r="G630" s="13">
        <v>14140</v>
      </c>
      <c r="H630" s="13">
        <f t="shared" ref="H630:H644" si="114">ROUND(G630*C630,0)</f>
        <v>1555400</v>
      </c>
      <c r="I630" s="13">
        <v>13560</v>
      </c>
      <c r="J630" s="13">
        <f t="shared" ref="J630:J644" si="115">ROUND(I630*C630,0)</f>
        <v>1491600</v>
      </c>
      <c r="K630" s="13">
        <f t="shared" ref="K630:K644" si="116">E630+G630+I630</f>
        <v>27700</v>
      </c>
      <c r="L630" s="13">
        <f t="shared" ref="L630:L644" si="117">F630+H630+J630</f>
        <v>3047000</v>
      </c>
      <c r="M630" s="11"/>
    </row>
    <row r="631" spans="1:13">
      <c r="A631" s="11" t="s">
        <v>943</v>
      </c>
      <c r="B631" s="11" t="s">
        <v>256</v>
      </c>
      <c r="C631" s="13">
        <v>6</v>
      </c>
      <c r="D631" s="15" t="s">
        <v>108</v>
      </c>
      <c r="E631" s="13">
        <v>0</v>
      </c>
      <c r="F631" s="13">
        <f t="shared" si="113"/>
        <v>0</v>
      </c>
      <c r="G631" s="13">
        <v>13130</v>
      </c>
      <c r="H631" s="13">
        <f t="shared" si="114"/>
        <v>78780</v>
      </c>
      <c r="I631" s="13">
        <v>12127</v>
      </c>
      <c r="J631" s="13">
        <f t="shared" si="115"/>
        <v>72762</v>
      </c>
      <c r="K631" s="13">
        <f t="shared" si="116"/>
        <v>25257</v>
      </c>
      <c r="L631" s="13">
        <f t="shared" si="117"/>
        <v>151542</v>
      </c>
      <c r="M631" s="11"/>
    </row>
    <row r="632" spans="1:13">
      <c r="A632" s="11" t="s">
        <v>355</v>
      </c>
      <c r="B632" s="11" t="s">
        <v>944</v>
      </c>
      <c r="C632" s="13">
        <v>47</v>
      </c>
      <c r="D632" s="15" t="s">
        <v>102</v>
      </c>
      <c r="E632" s="13">
        <v>9595</v>
      </c>
      <c r="F632" s="13">
        <f t="shared" si="113"/>
        <v>450965</v>
      </c>
      <c r="G632" s="13">
        <v>32320</v>
      </c>
      <c r="H632" s="13">
        <f t="shared" si="114"/>
        <v>1519040</v>
      </c>
      <c r="I632" s="13">
        <v>13229</v>
      </c>
      <c r="J632" s="13">
        <f t="shared" si="115"/>
        <v>621763</v>
      </c>
      <c r="K632" s="13">
        <f t="shared" si="116"/>
        <v>55144</v>
      </c>
      <c r="L632" s="13">
        <f t="shared" si="117"/>
        <v>2591768</v>
      </c>
      <c r="M632" s="11"/>
    </row>
    <row r="633" spans="1:13">
      <c r="A633" s="11" t="s">
        <v>845</v>
      </c>
      <c r="B633" s="11" t="s">
        <v>258</v>
      </c>
      <c r="C633" s="13">
        <v>3</v>
      </c>
      <c r="D633" s="15" t="s">
        <v>102</v>
      </c>
      <c r="E633" s="13">
        <v>7575</v>
      </c>
      <c r="F633" s="13">
        <f t="shared" si="113"/>
        <v>22725</v>
      </c>
      <c r="G633" s="13">
        <v>20200</v>
      </c>
      <c r="H633" s="13">
        <f t="shared" si="114"/>
        <v>60600</v>
      </c>
      <c r="I633" s="13">
        <v>3859</v>
      </c>
      <c r="J633" s="13">
        <f t="shared" si="115"/>
        <v>11577</v>
      </c>
      <c r="K633" s="13">
        <f t="shared" si="116"/>
        <v>31634</v>
      </c>
      <c r="L633" s="13">
        <f t="shared" si="117"/>
        <v>94902</v>
      </c>
      <c r="M633" s="11"/>
    </row>
    <row r="634" spans="1:13">
      <c r="A634" s="11" t="s">
        <v>945</v>
      </c>
      <c r="B634" s="11" t="s">
        <v>946</v>
      </c>
      <c r="C634" s="13">
        <v>362</v>
      </c>
      <c r="D634" s="15" t="s">
        <v>102</v>
      </c>
      <c r="E634" s="13">
        <v>9595</v>
      </c>
      <c r="F634" s="13">
        <f t="shared" si="113"/>
        <v>3473390</v>
      </c>
      <c r="G634" s="13">
        <v>31310</v>
      </c>
      <c r="H634" s="13">
        <f t="shared" si="114"/>
        <v>11334220</v>
      </c>
      <c r="I634" s="13">
        <v>3859</v>
      </c>
      <c r="J634" s="13">
        <f t="shared" si="115"/>
        <v>1396958</v>
      </c>
      <c r="K634" s="13">
        <f t="shared" si="116"/>
        <v>44764</v>
      </c>
      <c r="L634" s="13">
        <f t="shared" si="117"/>
        <v>16204568</v>
      </c>
      <c r="M634" s="11"/>
    </row>
    <row r="635" spans="1:13">
      <c r="A635" s="11" t="s">
        <v>947</v>
      </c>
      <c r="B635" s="11" t="s">
        <v>948</v>
      </c>
      <c r="C635" s="24">
        <v>11.558999999999999</v>
      </c>
      <c r="D635" s="15" t="s">
        <v>638</v>
      </c>
      <c r="E635" s="13">
        <v>72966</v>
      </c>
      <c r="F635" s="13">
        <f t="shared" si="113"/>
        <v>843414</v>
      </c>
      <c r="G635" s="13">
        <v>535085</v>
      </c>
      <c r="H635" s="13">
        <f t="shared" si="114"/>
        <v>6185048</v>
      </c>
      <c r="I635" s="13">
        <v>90264</v>
      </c>
      <c r="J635" s="13">
        <f t="shared" si="115"/>
        <v>1043362</v>
      </c>
      <c r="K635" s="13">
        <f t="shared" si="116"/>
        <v>698315</v>
      </c>
      <c r="L635" s="13">
        <f t="shared" si="117"/>
        <v>8071824</v>
      </c>
      <c r="M635" s="11"/>
    </row>
    <row r="636" spans="1:13">
      <c r="A636" s="11" t="s">
        <v>949</v>
      </c>
      <c r="B636" s="11" t="s">
        <v>809</v>
      </c>
      <c r="C636" s="13">
        <v>201</v>
      </c>
      <c r="D636" s="15" t="s">
        <v>102</v>
      </c>
      <c r="E636" s="13">
        <v>6060</v>
      </c>
      <c r="F636" s="13">
        <f t="shared" si="113"/>
        <v>1218060</v>
      </c>
      <c r="G636" s="13">
        <v>8585</v>
      </c>
      <c r="H636" s="13">
        <f t="shared" si="114"/>
        <v>1725585</v>
      </c>
      <c r="I636" s="13">
        <v>5512</v>
      </c>
      <c r="J636" s="13">
        <f t="shared" si="115"/>
        <v>1107912</v>
      </c>
      <c r="K636" s="13">
        <f t="shared" si="116"/>
        <v>20157</v>
      </c>
      <c r="L636" s="13">
        <f t="shared" si="117"/>
        <v>4051557</v>
      </c>
      <c r="M636" s="11"/>
    </row>
    <row r="637" spans="1:13">
      <c r="A637" s="11" t="s">
        <v>950</v>
      </c>
      <c r="B637" s="11" t="s">
        <v>809</v>
      </c>
      <c r="C637" s="13">
        <v>130</v>
      </c>
      <c r="D637" s="15" t="s">
        <v>951</v>
      </c>
      <c r="E637" s="13">
        <v>5252</v>
      </c>
      <c r="F637" s="13">
        <f t="shared" si="113"/>
        <v>682760</v>
      </c>
      <c r="G637" s="13">
        <v>7676</v>
      </c>
      <c r="H637" s="13">
        <f t="shared" si="114"/>
        <v>997880</v>
      </c>
      <c r="I637" s="13">
        <v>3307</v>
      </c>
      <c r="J637" s="13">
        <f t="shared" si="115"/>
        <v>429910</v>
      </c>
      <c r="K637" s="13">
        <f t="shared" si="116"/>
        <v>16235</v>
      </c>
      <c r="L637" s="13">
        <f t="shared" si="117"/>
        <v>2110550</v>
      </c>
      <c r="M637" s="11"/>
    </row>
    <row r="638" spans="1:13">
      <c r="A638" s="11" t="s">
        <v>952</v>
      </c>
      <c r="B638" s="11" t="s">
        <v>813</v>
      </c>
      <c r="C638" s="13">
        <v>47</v>
      </c>
      <c r="D638" s="15" t="s">
        <v>102</v>
      </c>
      <c r="E638" s="13">
        <v>505</v>
      </c>
      <c r="F638" s="13">
        <f t="shared" si="113"/>
        <v>23735</v>
      </c>
      <c r="G638" s="13">
        <v>1010</v>
      </c>
      <c r="H638" s="13">
        <f t="shared" si="114"/>
        <v>47470</v>
      </c>
      <c r="I638" s="13">
        <v>0</v>
      </c>
      <c r="J638" s="13">
        <f t="shared" si="115"/>
        <v>0</v>
      </c>
      <c r="K638" s="13">
        <f t="shared" si="116"/>
        <v>1515</v>
      </c>
      <c r="L638" s="13">
        <f t="shared" si="117"/>
        <v>71205</v>
      </c>
      <c r="M638" s="11"/>
    </row>
    <row r="639" spans="1:13">
      <c r="A639" s="11" t="s">
        <v>953</v>
      </c>
      <c r="B639" s="11" t="s">
        <v>811</v>
      </c>
      <c r="C639" s="13">
        <v>362</v>
      </c>
      <c r="D639" s="15" t="s">
        <v>102</v>
      </c>
      <c r="E639" s="13">
        <v>505</v>
      </c>
      <c r="F639" s="13">
        <f t="shared" si="113"/>
        <v>182810</v>
      </c>
      <c r="G639" s="13">
        <v>1010</v>
      </c>
      <c r="H639" s="13">
        <f t="shared" si="114"/>
        <v>365620</v>
      </c>
      <c r="I639" s="13">
        <v>0</v>
      </c>
      <c r="J639" s="13">
        <f t="shared" si="115"/>
        <v>0</v>
      </c>
      <c r="K639" s="13">
        <f t="shared" si="116"/>
        <v>1515</v>
      </c>
      <c r="L639" s="13">
        <f t="shared" si="117"/>
        <v>548430</v>
      </c>
      <c r="M639" s="11"/>
    </row>
    <row r="640" spans="1:13">
      <c r="A640" s="11" t="s">
        <v>954</v>
      </c>
      <c r="B640" s="11"/>
      <c r="C640" s="13">
        <v>30</v>
      </c>
      <c r="D640" s="15" t="s">
        <v>102</v>
      </c>
      <c r="E640" s="13">
        <v>0</v>
      </c>
      <c r="F640" s="13">
        <f t="shared" si="113"/>
        <v>0</v>
      </c>
      <c r="G640" s="13">
        <v>30576</v>
      </c>
      <c r="H640" s="13">
        <f t="shared" si="114"/>
        <v>917280</v>
      </c>
      <c r="I640" s="13">
        <v>2670</v>
      </c>
      <c r="J640" s="13">
        <f t="shared" si="115"/>
        <v>80100</v>
      </c>
      <c r="K640" s="13">
        <f t="shared" si="116"/>
        <v>33246</v>
      </c>
      <c r="L640" s="13">
        <f t="shared" si="117"/>
        <v>997380</v>
      </c>
      <c r="M640" s="11"/>
    </row>
    <row r="641" spans="1:13">
      <c r="A641" s="11" t="s">
        <v>955</v>
      </c>
      <c r="B641" s="11" t="s">
        <v>956</v>
      </c>
      <c r="C641" s="13">
        <v>80</v>
      </c>
      <c r="D641" s="15" t="s">
        <v>240</v>
      </c>
      <c r="E641" s="13">
        <v>4545</v>
      </c>
      <c r="F641" s="13">
        <f t="shared" si="113"/>
        <v>363600</v>
      </c>
      <c r="G641" s="13">
        <v>15150</v>
      </c>
      <c r="H641" s="13">
        <f t="shared" si="114"/>
        <v>1212000</v>
      </c>
      <c r="I641" s="13">
        <v>0</v>
      </c>
      <c r="J641" s="13">
        <f t="shared" si="115"/>
        <v>0</v>
      </c>
      <c r="K641" s="13">
        <f t="shared" si="116"/>
        <v>19695</v>
      </c>
      <c r="L641" s="13">
        <f t="shared" si="117"/>
        <v>1575600</v>
      </c>
      <c r="M641" s="11"/>
    </row>
    <row r="642" spans="1:13">
      <c r="A642" s="11" t="s">
        <v>957</v>
      </c>
      <c r="B642" s="11" t="s">
        <v>958</v>
      </c>
      <c r="C642" s="13">
        <v>166</v>
      </c>
      <c r="D642" s="15" t="s">
        <v>959</v>
      </c>
      <c r="E642" s="13">
        <v>0</v>
      </c>
      <c r="F642" s="13">
        <f t="shared" si="113"/>
        <v>0</v>
      </c>
      <c r="G642" s="13">
        <v>0</v>
      </c>
      <c r="H642" s="13">
        <f t="shared" si="114"/>
        <v>0</v>
      </c>
      <c r="I642" s="13">
        <v>17639</v>
      </c>
      <c r="J642" s="13">
        <f t="shared" si="115"/>
        <v>2928074</v>
      </c>
      <c r="K642" s="13">
        <f t="shared" si="116"/>
        <v>17639</v>
      </c>
      <c r="L642" s="13">
        <f t="shared" si="117"/>
        <v>2928074</v>
      </c>
      <c r="M642" s="11"/>
    </row>
    <row r="643" spans="1:13">
      <c r="A643" s="11" t="s">
        <v>960</v>
      </c>
      <c r="B643" s="11" t="s">
        <v>961</v>
      </c>
      <c r="C643" s="13">
        <v>252</v>
      </c>
      <c r="D643" s="15" t="s">
        <v>959</v>
      </c>
      <c r="E643" s="13">
        <v>0</v>
      </c>
      <c r="F643" s="13">
        <f t="shared" si="113"/>
        <v>0</v>
      </c>
      <c r="G643" s="13">
        <v>0</v>
      </c>
      <c r="H643" s="13">
        <f t="shared" si="114"/>
        <v>0</v>
      </c>
      <c r="I643" s="13">
        <v>16537</v>
      </c>
      <c r="J643" s="13">
        <f t="shared" si="115"/>
        <v>4167324</v>
      </c>
      <c r="K643" s="13">
        <f t="shared" si="116"/>
        <v>16537</v>
      </c>
      <c r="L643" s="13">
        <f t="shared" si="117"/>
        <v>4167324</v>
      </c>
      <c r="M643" s="11"/>
    </row>
    <row r="644" spans="1:13">
      <c r="A644" s="11" t="s">
        <v>962</v>
      </c>
      <c r="B644" s="11" t="s">
        <v>958</v>
      </c>
      <c r="C644" s="13">
        <v>57</v>
      </c>
      <c r="D644" s="15" t="s">
        <v>959</v>
      </c>
      <c r="E644" s="13">
        <v>0</v>
      </c>
      <c r="F644" s="13">
        <f t="shared" si="113"/>
        <v>0</v>
      </c>
      <c r="G644" s="13">
        <v>0</v>
      </c>
      <c r="H644" s="13">
        <f t="shared" si="114"/>
        <v>0</v>
      </c>
      <c r="I644" s="13">
        <v>17639</v>
      </c>
      <c r="J644" s="13">
        <f t="shared" si="115"/>
        <v>1005423</v>
      </c>
      <c r="K644" s="13">
        <f t="shared" si="116"/>
        <v>17639</v>
      </c>
      <c r="L644" s="13">
        <f t="shared" si="117"/>
        <v>1005423</v>
      </c>
      <c r="M644" s="11"/>
    </row>
    <row r="645" spans="1:13">
      <c r="A645" s="11" t="s">
        <v>963</v>
      </c>
      <c r="B645" s="11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</row>
    <row r="646" spans="1:13">
      <c r="A646" s="11" t="s">
        <v>412</v>
      </c>
      <c r="B646" s="11" t="s">
        <v>964</v>
      </c>
      <c r="C646" s="13">
        <v>111</v>
      </c>
      <c r="D646" s="15" t="s">
        <v>108</v>
      </c>
      <c r="E646" s="13">
        <v>97970</v>
      </c>
      <c r="F646" s="13">
        <f t="shared" ref="F646:F652" si="118">ROUND(E646*C646,0)</f>
        <v>10874670</v>
      </c>
      <c r="G646" s="13">
        <v>0</v>
      </c>
      <c r="H646" s="13">
        <f t="shared" ref="H646:H652" si="119">ROUND(G646*C646,0)</f>
        <v>0</v>
      </c>
      <c r="I646" s="13">
        <v>0</v>
      </c>
      <c r="J646" s="13">
        <f t="shared" ref="J646:J652" si="120">ROUND(I646*C646,0)</f>
        <v>0</v>
      </c>
      <c r="K646" s="13">
        <f t="shared" ref="K646:L652" si="121">E646+G646+I646</f>
        <v>97970</v>
      </c>
      <c r="L646" s="13">
        <f t="shared" si="121"/>
        <v>10874670</v>
      </c>
      <c r="M646" s="11"/>
    </row>
    <row r="647" spans="1:13">
      <c r="A647" s="11" t="s">
        <v>414</v>
      </c>
      <c r="B647" s="11" t="s">
        <v>763</v>
      </c>
      <c r="C647" s="13">
        <v>6</v>
      </c>
      <c r="D647" s="15" t="s">
        <v>108</v>
      </c>
      <c r="E647" s="13">
        <v>87062</v>
      </c>
      <c r="F647" s="13">
        <f t="shared" si="118"/>
        <v>522372</v>
      </c>
      <c r="G647" s="13">
        <v>0</v>
      </c>
      <c r="H647" s="13">
        <f t="shared" si="119"/>
        <v>0</v>
      </c>
      <c r="I647" s="13">
        <v>0</v>
      </c>
      <c r="J647" s="13">
        <f t="shared" si="120"/>
        <v>0</v>
      </c>
      <c r="K647" s="13">
        <f t="shared" si="121"/>
        <v>87062</v>
      </c>
      <c r="L647" s="13">
        <f t="shared" si="121"/>
        <v>522372</v>
      </c>
      <c r="M647" s="11"/>
    </row>
    <row r="648" spans="1:13" ht="33">
      <c r="A648" s="11" t="s">
        <v>403</v>
      </c>
      <c r="B648" s="11" t="s">
        <v>833</v>
      </c>
      <c r="C648" s="24">
        <v>3.9</v>
      </c>
      <c r="D648" s="15" t="s">
        <v>834</v>
      </c>
      <c r="E648" s="13">
        <v>876479</v>
      </c>
      <c r="F648" s="13">
        <f t="shared" si="118"/>
        <v>3418268</v>
      </c>
      <c r="G648" s="13">
        <v>0</v>
      </c>
      <c r="H648" s="13">
        <f t="shared" si="119"/>
        <v>0</v>
      </c>
      <c r="I648" s="13">
        <v>0</v>
      </c>
      <c r="J648" s="13">
        <f t="shared" si="120"/>
        <v>0</v>
      </c>
      <c r="K648" s="13">
        <f t="shared" si="121"/>
        <v>876479</v>
      </c>
      <c r="L648" s="13">
        <f t="shared" si="121"/>
        <v>3418268</v>
      </c>
      <c r="M648" s="11"/>
    </row>
    <row r="649" spans="1:13" ht="33">
      <c r="A649" s="11" t="s">
        <v>405</v>
      </c>
      <c r="B649" s="11" t="s">
        <v>836</v>
      </c>
      <c r="C649" s="24">
        <v>7.3810000000000002</v>
      </c>
      <c r="D649" s="15" t="s">
        <v>834</v>
      </c>
      <c r="E649" s="13">
        <v>947894</v>
      </c>
      <c r="F649" s="13">
        <f t="shared" si="118"/>
        <v>6996406</v>
      </c>
      <c r="G649" s="13">
        <v>0</v>
      </c>
      <c r="H649" s="13">
        <f t="shared" si="119"/>
        <v>0</v>
      </c>
      <c r="I649" s="13">
        <v>0</v>
      </c>
      <c r="J649" s="13">
        <f t="shared" si="120"/>
        <v>0</v>
      </c>
      <c r="K649" s="13">
        <f t="shared" si="121"/>
        <v>947894</v>
      </c>
      <c r="L649" s="13">
        <f t="shared" si="121"/>
        <v>6996406</v>
      </c>
      <c r="M649" s="11"/>
    </row>
    <row r="650" spans="1:13" ht="33">
      <c r="A650" s="11" t="s">
        <v>835</v>
      </c>
      <c r="B650" s="11" t="s">
        <v>838</v>
      </c>
      <c r="C650" s="24">
        <v>0.625</v>
      </c>
      <c r="D650" s="15" t="s">
        <v>834</v>
      </c>
      <c r="E650" s="13">
        <v>561737</v>
      </c>
      <c r="F650" s="13">
        <f t="shared" si="118"/>
        <v>351086</v>
      </c>
      <c r="G650" s="13">
        <v>0</v>
      </c>
      <c r="H650" s="13">
        <f t="shared" si="119"/>
        <v>0</v>
      </c>
      <c r="I650" s="13">
        <v>0</v>
      </c>
      <c r="J650" s="13">
        <f t="shared" si="120"/>
        <v>0</v>
      </c>
      <c r="K650" s="13">
        <f t="shared" si="121"/>
        <v>561737</v>
      </c>
      <c r="L650" s="13">
        <f t="shared" si="121"/>
        <v>351086</v>
      </c>
      <c r="M650" s="11"/>
    </row>
    <row r="651" spans="1:13">
      <c r="A651" s="11" t="s">
        <v>965</v>
      </c>
      <c r="B651" s="11" t="s">
        <v>966</v>
      </c>
      <c r="C651" s="24">
        <v>11.906000000000001</v>
      </c>
      <c r="D651" s="15" t="s">
        <v>638</v>
      </c>
      <c r="E651" s="13">
        <v>0</v>
      </c>
      <c r="F651" s="13">
        <f t="shared" si="118"/>
        <v>0</v>
      </c>
      <c r="G651" s="13">
        <v>0</v>
      </c>
      <c r="H651" s="13">
        <f t="shared" si="119"/>
        <v>0</v>
      </c>
      <c r="I651" s="13">
        <v>21876</v>
      </c>
      <c r="J651" s="13">
        <f t="shared" si="120"/>
        <v>260456</v>
      </c>
      <c r="K651" s="13">
        <f t="shared" si="121"/>
        <v>21876</v>
      </c>
      <c r="L651" s="13">
        <f t="shared" si="121"/>
        <v>260456</v>
      </c>
      <c r="M651" s="11"/>
    </row>
    <row r="652" spans="1:13">
      <c r="A652" s="11" t="s">
        <v>967</v>
      </c>
      <c r="B652" s="11" t="s">
        <v>410</v>
      </c>
      <c r="C652" s="24">
        <v>0.34699999999999998</v>
      </c>
      <c r="D652" s="15" t="s">
        <v>400</v>
      </c>
      <c r="E652" s="13">
        <v>-400000</v>
      </c>
      <c r="F652" s="13">
        <f t="shared" si="118"/>
        <v>-138800</v>
      </c>
      <c r="G652" s="13">
        <v>0</v>
      </c>
      <c r="H652" s="13">
        <f t="shared" si="119"/>
        <v>0</v>
      </c>
      <c r="I652" s="13">
        <v>0</v>
      </c>
      <c r="J652" s="13">
        <f t="shared" si="120"/>
        <v>0</v>
      </c>
      <c r="K652" s="13">
        <f t="shared" si="121"/>
        <v>-400000</v>
      </c>
      <c r="L652" s="13">
        <f t="shared" si="121"/>
        <v>-138800</v>
      </c>
      <c r="M652" s="11"/>
    </row>
    <row r="653" spans="1:13">
      <c r="A653" s="11" t="s">
        <v>968</v>
      </c>
      <c r="B653" s="11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</row>
    <row r="654" spans="1:13">
      <c r="A654" s="11" t="s">
        <v>969</v>
      </c>
      <c r="B654" s="11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</row>
    <row r="655" spans="1:13">
      <c r="A655" s="11" t="s">
        <v>970</v>
      </c>
      <c r="B655" s="11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</row>
    <row r="656" spans="1:13">
      <c r="A656" s="11" t="s">
        <v>971</v>
      </c>
      <c r="B656" s="11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</row>
    <row r="657" spans="1:13">
      <c r="A657" s="11" t="s">
        <v>972</v>
      </c>
      <c r="B657" s="11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</row>
    <row r="658" spans="1:13">
      <c r="A658" s="11" t="s">
        <v>937</v>
      </c>
      <c r="B658" s="11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</row>
    <row r="659" spans="1:13" ht="33">
      <c r="A659" s="11" t="s">
        <v>661</v>
      </c>
      <c r="B659" s="11" t="s">
        <v>145</v>
      </c>
      <c r="C659" s="13">
        <v>63</v>
      </c>
      <c r="D659" s="15" t="s">
        <v>108</v>
      </c>
      <c r="E659" s="13">
        <v>0</v>
      </c>
      <c r="F659" s="13">
        <f>ROUND(E659*C659,0)</f>
        <v>0</v>
      </c>
      <c r="G659" s="13">
        <v>0</v>
      </c>
      <c r="H659" s="13">
        <f>ROUND(G659*C659,0)</f>
        <v>0</v>
      </c>
      <c r="I659" s="13">
        <v>1764</v>
      </c>
      <c r="J659" s="13">
        <f>ROUND(I659*C659,0)</f>
        <v>111132</v>
      </c>
      <c r="K659" s="13">
        <f t="shared" ref="K659:L663" si="122">E659+G659+I659</f>
        <v>1764</v>
      </c>
      <c r="L659" s="13">
        <f t="shared" si="122"/>
        <v>111132</v>
      </c>
      <c r="M659" s="11"/>
    </row>
    <row r="660" spans="1:13" ht="33">
      <c r="A660" s="11" t="s">
        <v>973</v>
      </c>
      <c r="B660" s="11" t="s">
        <v>452</v>
      </c>
      <c r="C660" s="13">
        <v>16</v>
      </c>
      <c r="D660" s="15" t="s">
        <v>108</v>
      </c>
      <c r="E660" s="13">
        <v>0</v>
      </c>
      <c r="F660" s="13">
        <f>ROUND(E660*C660,0)</f>
        <v>0</v>
      </c>
      <c r="G660" s="13">
        <v>3131</v>
      </c>
      <c r="H660" s="13">
        <f>ROUND(G660*C660,0)</f>
        <v>50096</v>
      </c>
      <c r="I660" s="13">
        <v>4410</v>
      </c>
      <c r="J660" s="13">
        <f>ROUND(I660*C660,0)</f>
        <v>70560</v>
      </c>
      <c r="K660" s="13">
        <f t="shared" si="122"/>
        <v>7541</v>
      </c>
      <c r="L660" s="13">
        <f t="shared" si="122"/>
        <v>120656</v>
      </c>
      <c r="M660" s="11"/>
    </row>
    <row r="661" spans="1:13">
      <c r="A661" s="11" t="s">
        <v>974</v>
      </c>
      <c r="B661" s="11" t="s">
        <v>226</v>
      </c>
      <c r="C661" s="13">
        <v>18</v>
      </c>
      <c r="D661" s="15" t="s">
        <v>108</v>
      </c>
      <c r="E661" s="13">
        <v>0</v>
      </c>
      <c r="F661" s="13">
        <f>ROUND(E661*C661,0)</f>
        <v>0</v>
      </c>
      <c r="G661" s="13">
        <v>65650</v>
      </c>
      <c r="H661" s="13">
        <f>ROUND(G661*C661,0)</f>
        <v>1181700</v>
      </c>
      <c r="I661" s="13">
        <v>0</v>
      </c>
      <c r="J661" s="13">
        <f>ROUND(I661*C661,0)</f>
        <v>0</v>
      </c>
      <c r="K661" s="13">
        <f t="shared" si="122"/>
        <v>65650</v>
      </c>
      <c r="L661" s="13">
        <f t="shared" si="122"/>
        <v>1181700</v>
      </c>
      <c r="M661" s="11"/>
    </row>
    <row r="662" spans="1:13" ht="33">
      <c r="A662" s="11" t="s">
        <v>975</v>
      </c>
      <c r="B662" s="11" t="s">
        <v>232</v>
      </c>
      <c r="C662" s="13">
        <v>92</v>
      </c>
      <c r="D662" s="15" t="s">
        <v>108</v>
      </c>
      <c r="E662" s="13">
        <v>0</v>
      </c>
      <c r="F662" s="13">
        <f>ROUND(E662*C662,0)</f>
        <v>0</v>
      </c>
      <c r="G662" s="13">
        <v>2525</v>
      </c>
      <c r="H662" s="13">
        <f>ROUND(G662*C662,0)</f>
        <v>232300</v>
      </c>
      <c r="I662" s="13">
        <v>4961</v>
      </c>
      <c r="J662" s="13">
        <f>ROUND(I662*C662,0)</f>
        <v>456412</v>
      </c>
      <c r="K662" s="13">
        <f t="shared" si="122"/>
        <v>7486</v>
      </c>
      <c r="L662" s="13">
        <f t="shared" si="122"/>
        <v>688712</v>
      </c>
      <c r="M662" s="11"/>
    </row>
    <row r="663" spans="1:13">
      <c r="A663" s="11" t="s">
        <v>976</v>
      </c>
      <c r="B663" s="11" t="s">
        <v>454</v>
      </c>
      <c r="C663" s="13">
        <v>5</v>
      </c>
      <c r="D663" s="15" t="s">
        <v>108</v>
      </c>
      <c r="E663" s="13">
        <v>0</v>
      </c>
      <c r="F663" s="13">
        <f>ROUND(E663*C663,0)</f>
        <v>0</v>
      </c>
      <c r="G663" s="13">
        <v>0</v>
      </c>
      <c r="H663" s="13">
        <f>ROUND(G663*C663,0)</f>
        <v>0</v>
      </c>
      <c r="I663" s="13">
        <v>11024</v>
      </c>
      <c r="J663" s="13">
        <f>ROUND(I663*C663,0)</f>
        <v>55120</v>
      </c>
      <c r="K663" s="13">
        <f t="shared" si="122"/>
        <v>11024</v>
      </c>
      <c r="L663" s="13">
        <f t="shared" si="122"/>
        <v>55120</v>
      </c>
      <c r="M663" s="11"/>
    </row>
    <row r="664" spans="1:13">
      <c r="A664" s="11" t="s">
        <v>977</v>
      </c>
      <c r="B664" s="11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</row>
    <row r="665" spans="1:13">
      <c r="A665" s="11" t="s">
        <v>978</v>
      </c>
      <c r="B665" s="11" t="s">
        <v>665</v>
      </c>
      <c r="C665" s="13">
        <v>142</v>
      </c>
      <c r="D665" s="15" t="s">
        <v>102</v>
      </c>
      <c r="E665" s="13">
        <v>0</v>
      </c>
      <c r="F665" s="13">
        <f>ROUND(E665*C665,0)</f>
        <v>0</v>
      </c>
      <c r="G665" s="13">
        <v>10231</v>
      </c>
      <c r="H665" s="13">
        <f>ROUND(G665*C665,0)</f>
        <v>1452802</v>
      </c>
      <c r="I665" s="13">
        <v>36381</v>
      </c>
      <c r="J665" s="13">
        <f>ROUND(I665*C665,0)</f>
        <v>5166102</v>
      </c>
      <c r="K665" s="13">
        <f t="shared" ref="K665:L669" si="123">E665+G665+I665</f>
        <v>46612</v>
      </c>
      <c r="L665" s="13">
        <f t="shared" si="123"/>
        <v>6618904</v>
      </c>
      <c r="M665" s="11"/>
    </row>
    <row r="666" spans="1:13">
      <c r="A666" s="11" t="s">
        <v>979</v>
      </c>
      <c r="B666" s="11" t="s">
        <v>980</v>
      </c>
      <c r="C666" s="13">
        <v>142</v>
      </c>
      <c r="D666" s="15" t="s">
        <v>102</v>
      </c>
      <c r="E666" s="13">
        <v>0</v>
      </c>
      <c r="F666" s="13">
        <f>ROUND(E666*C666,0)</f>
        <v>0</v>
      </c>
      <c r="G666" s="13">
        <v>10231</v>
      </c>
      <c r="H666" s="13">
        <f>ROUND(G666*C666,0)</f>
        <v>1452802</v>
      </c>
      <c r="I666" s="13">
        <v>36381</v>
      </c>
      <c r="J666" s="13">
        <f>ROUND(I666*C666,0)</f>
        <v>5166102</v>
      </c>
      <c r="K666" s="13">
        <f t="shared" si="123"/>
        <v>46612</v>
      </c>
      <c r="L666" s="13">
        <f t="shared" si="123"/>
        <v>6618904</v>
      </c>
      <c r="M666" s="11"/>
    </row>
    <row r="667" spans="1:13">
      <c r="A667" s="11" t="s">
        <v>981</v>
      </c>
      <c r="B667" s="11" t="s">
        <v>672</v>
      </c>
      <c r="C667" s="13">
        <v>142</v>
      </c>
      <c r="D667" s="15" t="s">
        <v>102</v>
      </c>
      <c r="E667" s="13">
        <v>0</v>
      </c>
      <c r="F667" s="13">
        <f>ROUND(E667*C667,0)</f>
        <v>0</v>
      </c>
      <c r="G667" s="13">
        <v>0</v>
      </c>
      <c r="H667" s="13">
        <f>ROUND(G667*C667,0)</f>
        <v>0</v>
      </c>
      <c r="I667" s="13">
        <v>551</v>
      </c>
      <c r="J667" s="13">
        <f>ROUND(I667*C667,0)</f>
        <v>78242</v>
      </c>
      <c r="K667" s="13">
        <f t="shared" si="123"/>
        <v>551</v>
      </c>
      <c r="L667" s="13">
        <f t="shared" si="123"/>
        <v>78242</v>
      </c>
      <c r="M667" s="11"/>
    </row>
    <row r="668" spans="1:13">
      <c r="A668" s="11" t="s">
        <v>982</v>
      </c>
      <c r="B668" s="11" t="s">
        <v>674</v>
      </c>
      <c r="C668" s="13">
        <v>142</v>
      </c>
      <c r="D668" s="15" t="s">
        <v>102</v>
      </c>
      <c r="E668" s="13">
        <v>0</v>
      </c>
      <c r="F668" s="13">
        <f>ROUND(E668*C668,0)</f>
        <v>0</v>
      </c>
      <c r="G668" s="13">
        <v>0</v>
      </c>
      <c r="H668" s="13">
        <f>ROUND(G668*C668,0)</f>
        <v>0</v>
      </c>
      <c r="I668" s="13">
        <v>551</v>
      </c>
      <c r="J668" s="13">
        <f>ROUND(I668*C668,0)</f>
        <v>78242</v>
      </c>
      <c r="K668" s="13">
        <f t="shared" si="123"/>
        <v>551</v>
      </c>
      <c r="L668" s="13">
        <f t="shared" si="123"/>
        <v>78242</v>
      </c>
      <c r="M668" s="11"/>
    </row>
    <row r="669" spans="1:13">
      <c r="A669" s="11" t="s">
        <v>983</v>
      </c>
      <c r="B669" s="11" t="s">
        <v>984</v>
      </c>
      <c r="C669" s="13">
        <v>36</v>
      </c>
      <c r="D669" s="15" t="s">
        <v>108</v>
      </c>
      <c r="E669" s="13">
        <v>0</v>
      </c>
      <c r="F669" s="13">
        <f>ROUND(E669*C669,0)</f>
        <v>0</v>
      </c>
      <c r="G669" s="13">
        <v>2525</v>
      </c>
      <c r="H669" s="13">
        <f>ROUND(G669*C669,0)</f>
        <v>90900</v>
      </c>
      <c r="I669" s="13">
        <v>4961</v>
      </c>
      <c r="J669" s="13">
        <f>ROUND(I669*C669,0)</f>
        <v>178596</v>
      </c>
      <c r="K669" s="13">
        <f t="shared" si="123"/>
        <v>7486</v>
      </c>
      <c r="L669" s="13">
        <f t="shared" si="123"/>
        <v>269496</v>
      </c>
      <c r="M669" s="11"/>
    </row>
    <row r="670" spans="1:13">
      <c r="A670" s="11" t="s">
        <v>985</v>
      </c>
      <c r="B670" s="11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</row>
    <row r="671" spans="1:13" ht="33">
      <c r="A671" s="11" t="s">
        <v>713</v>
      </c>
      <c r="B671" s="11" t="s">
        <v>714</v>
      </c>
      <c r="C671" s="13">
        <v>63</v>
      </c>
      <c r="D671" s="15" t="s">
        <v>240</v>
      </c>
      <c r="E671" s="13">
        <v>0</v>
      </c>
      <c r="F671" s="13">
        <f>ROUND(E671*C671,0)</f>
        <v>0</v>
      </c>
      <c r="G671" s="13">
        <v>14140</v>
      </c>
      <c r="H671" s="13">
        <f>ROUND(G671*C671,0)</f>
        <v>890820</v>
      </c>
      <c r="I671" s="13">
        <v>5358</v>
      </c>
      <c r="J671" s="13">
        <f>ROUND(I671*C671,0)</f>
        <v>337554</v>
      </c>
      <c r="K671" s="13">
        <f>E671+G671+I671</f>
        <v>19498</v>
      </c>
      <c r="L671" s="13">
        <f>F671+H671+J671</f>
        <v>1228374</v>
      </c>
      <c r="M671" s="11"/>
    </row>
    <row r="672" spans="1:13">
      <c r="A672" s="11" t="s">
        <v>986</v>
      </c>
      <c r="B672" s="11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</row>
    <row r="673" spans="1:13">
      <c r="A673" s="11" t="s">
        <v>742</v>
      </c>
      <c r="B673" s="11" t="s">
        <v>698</v>
      </c>
      <c r="C673" s="13">
        <v>11</v>
      </c>
      <c r="D673" s="15" t="s">
        <v>102</v>
      </c>
      <c r="E673" s="13">
        <v>6565</v>
      </c>
      <c r="F673" s="13">
        <f>ROUND(E673*C673,0)</f>
        <v>72215</v>
      </c>
      <c r="G673" s="13">
        <v>8585</v>
      </c>
      <c r="H673" s="13">
        <f>ROUND(G673*C673,0)</f>
        <v>94435</v>
      </c>
      <c r="I673" s="13">
        <v>1102</v>
      </c>
      <c r="J673" s="13">
        <f>ROUND(I673*C673,0)</f>
        <v>12122</v>
      </c>
      <c r="K673" s="13">
        <f>E673+G673+I673</f>
        <v>16252</v>
      </c>
      <c r="L673" s="13">
        <f>F673+H673+J673</f>
        <v>178772</v>
      </c>
      <c r="M673" s="11"/>
    </row>
    <row r="674" spans="1:13">
      <c r="A674" s="11" t="s">
        <v>987</v>
      </c>
      <c r="B674" s="11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</row>
    <row r="675" spans="1:13" ht="33">
      <c r="A675" s="11" t="s">
        <v>238</v>
      </c>
      <c r="B675" s="11" t="s">
        <v>239</v>
      </c>
      <c r="C675" s="13">
        <v>44</v>
      </c>
      <c r="D675" s="15" t="s">
        <v>240</v>
      </c>
      <c r="E675" s="13">
        <v>2121</v>
      </c>
      <c r="F675" s="13">
        <f>ROUND(E675*C675,0)</f>
        <v>93324</v>
      </c>
      <c r="G675" s="13">
        <v>31512</v>
      </c>
      <c r="H675" s="13">
        <f>ROUND(G675*C675,0)</f>
        <v>1386528</v>
      </c>
      <c r="I675" s="13">
        <v>38034</v>
      </c>
      <c r="J675" s="13">
        <f>ROUND(I675*C675,0)</f>
        <v>1673496</v>
      </c>
      <c r="K675" s="13">
        <f t="shared" ref="K675:L678" si="124">E675+G675+I675</f>
        <v>71667</v>
      </c>
      <c r="L675" s="13">
        <f t="shared" si="124"/>
        <v>3153348</v>
      </c>
      <c r="M675" s="11"/>
    </row>
    <row r="676" spans="1:13">
      <c r="A676" s="11" t="s">
        <v>271</v>
      </c>
      <c r="B676" s="11" t="s">
        <v>270</v>
      </c>
      <c r="C676" s="13">
        <v>6</v>
      </c>
      <c r="D676" s="15" t="s">
        <v>210</v>
      </c>
      <c r="E676" s="13">
        <v>0</v>
      </c>
      <c r="F676" s="13">
        <f>ROUND(E676*C676,0)</f>
        <v>0</v>
      </c>
      <c r="G676" s="13">
        <v>64590</v>
      </c>
      <c r="H676" s="13">
        <f>ROUND(G676*C676,0)</f>
        <v>387540</v>
      </c>
      <c r="I676" s="13">
        <v>21167</v>
      </c>
      <c r="J676" s="13">
        <f>ROUND(I676*C676,0)</f>
        <v>127002</v>
      </c>
      <c r="K676" s="13">
        <f t="shared" si="124"/>
        <v>85757</v>
      </c>
      <c r="L676" s="13">
        <f t="shared" si="124"/>
        <v>514542</v>
      </c>
      <c r="M676" s="11"/>
    </row>
    <row r="677" spans="1:13" ht="33">
      <c r="A677" s="11" t="s">
        <v>988</v>
      </c>
      <c r="B677" s="11" t="s">
        <v>319</v>
      </c>
      <c r="C677" s="13">
        <v>5</v>
      </c>
      <c r="D677" s="15" t="s">
        <v>210</v>
      </c>
      <c r="E677" s="13">
        <v>66155</v>
      </c>
      <c r="F677" s="13">
        <f>ROUND(E677*C677,0)</f>
        <v>330775</v>
      </c>
      <c r="G677" s="13">
        <v>54540</v>
      </c>
      <c r="H677" s="13">
        <f>ROUND(G677*C677,0)</f>
        <v>272700</v>
      </c>
      <c r="I677" s="13">
        <v>73820</v>
      </c>
      <c r="J677" s="13">
        <f>ROUND(I677*C677,0)</f>
        <v>369100</v>
      </c>
      <c r="K677" s="13">
        <f t="shared" si="124"/>
        <v>194515</v>
      </c>
      <c r="L677" s="13">
        <f t="shared" si="124"/>
        <v>972575</v>
      </c>
      <c r="M677" s="11"/>
    </row>
    <row r="678" spans="1:13" ht="33">
      <c r="A678" s="11" t="s">
        <v>989</v>
      </c>
      <c r="B678" s="11" t="s">
        <v>990</v>
      </c>
      <c r="C678" s="13">
        <v>1</v>
      </c>
      <c r="D678" s="15" t="s">
        <v>210</v>
      </c>
      <c r="E678" s="13">
        <v>454500</v>
      </c>
      <c r="F678" s="13">
        <f>ROUND(E678*C678,0)</f>
        <v>454500</v>
      </c>
      <c r="G678" s="13">
        <v>104788</v>
      </c>
      <c r="H678" s="13">
        <f>ROUND(G678*C678,0)</f>
        <v>104788</v>
      </c>
      <c r="I678" s="13">
        <v>130916</v>
      </c>
      <c r="J678" s="13">
        <f>ROUND(I678*C678,0)</f>
        <v>130916</v>
      </c>
      <c r="K678" s="13">
        <f t="shared" si="124"/>
        <v>690204</v>
      </c>
      <c r="L678" s="13">
        <f t="shared" si="124"/>
        <v>690204</v>
      </c>
      <c r="M678" s="11"/>
    </row>
    <row r="679" spans="1:13">
      <c r="A679" s="11" t="s">
        <v>991</v>
      </c>
      <c r="B679" s="11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</row>
    <row r="680" spans="1:13" ht="33">
      <c r="A680" s="11" t="s">
        <v>992</v>
      </c>
      <c r="B680" s="11" t="s">
        <v>993</v>
      </c>
      <c r="C680" s="13">
        <v>86</v>
      </c>
      <c r="D680" s="15" t="s">
        <v>240</v>
      </c>
      <c r="E680" s="13">
        <v>14898</v>
      </c>
      <c r="F680" s="13">
        <f>ROUND(E680*C680,0)</f>
        <v>1281228</v>
      </c>
      <c r="G680" s="13">
        <v>28280</v>
      </c>
      <c r="H680" s="13">
        <f>ROUND(G680*C680,0)</f>
        <v>2432080</v>
      </c>
      <c r="I680" s="13">
        <v>5512</v>
      </c>
      <c r="J680" s="13">
        <f>ROUND(I680*C680,0)</f>
        <v>474032</v>
      </c>
      <c r="K680" s="13">
        <f>E680+G680+I680</f>
        <v>48690</v>
      </c>
      <c r="L680" s="13">
        <f>F680+H680+J680</f>
        <v>4187340</v>
      </c>
      <c r="M680" s="11"/>
    </row>
    <row r="681" spans="1:13">
      <c r="A681" s="11" t="s">
        <v>994</v>
      </c>
      <c r="B681" s="11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</row>
    <row r="682" spans="1:13" ht="33">
      <c r="A682" s="11" t="s">
        <v>995</v>
      </c>
      <c r="B682" s="11" t="s">
        <v>996</v>
      </c>
      <c r="C682" s="13">
        <v>2</v>
      </c>
      <c r="D682" s="15" t="s">
        <v>210</v>
      </c>
      <c r="E682" s="13">
        <v>121200</v>
      </c>
      <c r="F682" s="13">
        <f>ROUND(E682*C682,0)</f>
        <v>242400</v>
      </c>
      <c r="G682" s="13">
        <v>258560</v>
      </c>
      <c r="H682" s="13">
        <f>ROUND(G682*C682,0)</f>
        <v>517120</v>
      </c>
      <c r="I682" s="13">
        <v>49610</v>
      </c>
      <c r="J682" s="13">
        <f>ROUND(I682*C682,0)</f>
        <v>99220</v>
      </c>
      <c r="K682" s="13">
        <f>E682+G682+I682</f>
        <v>429370</v>
      </c>
      <c r="L682" s="13">
        <f>F682+H682+J682</f>
        <v>858740</v>
      </c>
      <c r="M682" s="11"/>
    </row>
    <row r="683" spans="1:13">
      <c r="A683" s="11" t="s">
        <v>997</v>
      </c>
      <c r="B683" s="11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</row>
    <row r="684" spans="1:13">
      <c r="A684" s="11" t="s">
        <v>412</v>
      </c>
      <c r="B684" s="11" t="s">
        <v>763</v>
      </c>
      <c r="C684" s="13">
        <v>10</v>
      </c>
      <c r="D684" s="15" t="s">
        <v>108</v>
      </c>
      <c r="E684" s="13">
        <v>87062</v>
      </c>
      <c r="F684" s="13">
        <f t="shared" ref="F684:F703" si="125">ROUND(E684*C684,0)</f>
        <v>870620</v>
      </c>
      <c r="G684" s="13">
        <v>0</v>
      </c>
      <c r="H684" s="13">
        <f t="shared" ref="H684:H703" si="126">ROUND(G684*C684,0)</f>
        <v>0</v>
      </c>
      <c r="I684" s="13">
        <v>0</v>
      </c>
      <c r="J684" s="13">
        <f t="shared" ref="J684:J703" si="127">ROUND(I684*C684,0)</f>
        <v>0</v>
      </c>
      <c r="K684" s="13">
        <f t="shared" ref="K684:K703" si="128">E684+G684+I684</f>
        <v>87062</v>
      </c>
      <c r="L684" s="13">
        <f t="shared" ref="L684:L703" si="129">F684+H684+J684</f>
        <v>870620</v>
      </c>
      <c r="M684" s="11"/>
    </row>
    <row r="685" spans="1:13">
      <c r="A685" s="11" t="s">
        <v>998</v>
      </c>
      <c r="B685" s="11" t="s">
        <v>768</v>
      </c>
      <c r="C685" s="13">
        <v>37</v>
      </c>
      <c r="D685" s="15" t="s">
        <v>108</v>
      </c>
      <c r="E685" s="13">
        <v>18180</v>
      </c>
      <c r="F685" s="13">
        <f t="shared" si="125"/>
        <v>672660</v>
      </c>
      <c r="G685" s="13">
        <v>0</v>
      </c>
      <c r="H685" s="13">
        <f t="shared" si="126"/>
        <v>0</v>
      </c>
      <c r="I685" s="13">
        <v>0</v>
      </c>
      <c r="J685" s="13">
        <f t="shared" si="127"/>
        <v>0</v>
      </c>
      <c r="K685" s="13">
        <f t="shared" si="128"/>
        <v>18180</v>
      </c>
      <c r="L685" s="13">
        <f t="shared" si="129"/>
        <v>672660</v>
      </c>
      <c r="M685" s="11"/>
    </row>
    <row r="686" spans="1:13">
      <c r="A686" s="11" t="s">
        <v>999</v>
      </c>
      <c r="B686" s="11" t="s">
        <v>771</v>
      </c>
      <c r="C686" s="13">
        <v>1</v>
      </c>
      <c r="D686" s="15" t="s">
        <v>772</v>
      </c>
      <c r="E686" s="13">
        <v>272700</v>
      </c>
      <c r="F686" s="13">
        <f t="shared" si="125"/>
        <v>272700</v>
      </c>
      <c r="G686" s="13">
        <v>0</v>
      </c>
      <c r="H686" s="13">
        <f t="shared" si="126"/>
        <v>0</v>
      </c>
      <c r="I686" s="13">
        <v>0</v>
      </c>
      <c r="J686" s="13">
        <f t="shared" si="127"/>
        <v>0</v>
      </c>
      <c r="K686" s="13">
        <f t="shared" si="128"/>
        <v>272700</v>
      </c>
      <c r="L686" s="13">
        <f t="shared" si="129"/>
        <v>272700</v>
      </c>
      <c r="M686" s="11"/>
    </row>
    <row r="687" spans="1:13">
      <c r="A687" s="11" t="s">
        <v>1000</v>
      </c>
      <c r="B687" s="11" t="s">
        <v>774</v>
      </c>
      <c r="C687" s="13">
        <v>1</v>
      </c>
      <c r="D687" s="15" t="s">
        <v>772</v>
      </c>
      <c r="E687" s="13">
        <v>272700</v>
      </c>
      <c r="F687" s="13">
        <f t="shared" si="125"/>
        <v>272700</v>
      </c>
      <c r="G687" s="13">
        <v>0</v>
      </c>
      <c r="H687" s="13">
        <f t="shared" si="126"/>
        <v>0</v>
      </c>
      <c r="I687" s="13">
        <v>0</v>
      </c>
      <c r="J687" s="13">
        <f t="shared" si="127"/>
        <v>0</v>
      </c>
      <c r="K687" s="13">
        <f t="shared" si="128"/>
        <v>272700</v>
      </c>
      <c r="L687" s="13">
        <f t="shared" si="129"/>
        <v>272700</v>
      </c>
      <c r="M687" s="11"/>
    </row>
    <row r="688" spans="1:13">
      <c r="A688" s="11" t="s">
        <v>1001</v>
      </c>
      <c r="B688" s="11" t="s">
        <v>776</v>
      </c>
      <c r="C688" s="13">
        <v>17</v>
      </c>
      <c r="D688" s="15" t="s">
        <v>400</v>
      </c>
      <c r="E688" s="13">
        <v>102010</v>
      </c>
      <c r="F688" s="13">
        <f t="shared" si="125"/>
        <v>1734170</v>
      </c>
      <c r="G688" s="13">
        <v>0</v>
      </c>
      <c r="H688" s="13">
        <f t="shared" si="126"/>
        <v>0</v>
      </c>
      <c r="I688" s="13">
        <v>0</v>
      </c>
      <c r="J688" s="13">
        <f t="shared" si="127"/>
        <v>0</v>
      </c>
      <c r="K688" s="13">
        <f t="shared" si="128"/>
        <v>102010</v>
      </c>
      <c r="L688" s="13">
        <f t="shared" si="129"/>
        <v>1734170</v>
      </c>
      <c r="M688" s="11"/>
    </row>
    <row r="689" spans="1:13">
      <c r="A689" s="11" t="s">
        <v>1002</v>
      </c>
      <c r="B689" s="11" t="s">
        <v>780</v>
      </c>
      <c r="C689" s="13">
        <v>44</v>
      </c>
      <c r="D689" s="15" t="s">
        <v>400</v>
      </c>
      <c r="E689" s="13">
        <v>91910</v>
      </c>
      <c r="F689" s="13">
        <f t="shared" si="125"/>
        <v>4044040</v>
      </c>
      <c r="G689" s="13">
        <v>0</v>
      </c>
      <c r="H689" s="13">
        <f t="shared" si="126"/>
        <v>0</v>
      </c>
      <c r="I689" s="13">
        <v>0</v>
      </c>
      <c r="J689" s="13">
        <f t="shared" si="127"/>
        <v>0</v>
      </c>
      <c r="K689" s="13">
        <f t="shared" si="128"/>
        <v>91910</v>
      </c>
      <c r="L689" s="13">
        <f t="shared" si="129"/>
        <v>4044040</v>
      </c>
      <c r="M689" s="11"/>
    </row>
    <row r="690" spans="1:13">
      <c r="A690" s="11" t="s">
        <v>1003</v>
      </c>
      <c r="B690" s="11" t="s">
        <v>784</v>
      </c>
      <c r="C690" s="13">
        <v>65</v>
      </c>
      <c r="D690" s="15" t="s">
        <v>374</v>
      </c>
      <c r="E690" s="13">
        <v>18180</v>
      </c>
      <c r="F690" s="13">
        <f t="shared" si="125"/>
        <v>1181700</v>
      </c>
      <c r="G690" s="13">
        <v>0</v>
      </c>
      <c r="H690" s="13">
        <f t="shared" si="126"/>
        <v>0</v>
      </c>
      <c r="I690" s="13">
        <v>0</v>
      </c>
      <c r="J690" s="13">
        <f t="shared" si="127"/>
        <v>0</v>
      </c>
      <c r="K690" s="13">
        <f t="shared" si="128"/>
        <v>18180</v>
      </c>
      <c r="L690" s="13">
        <f t="shared" si="129"/>
        <v>1181700</v>
      </c>
      <c r="M690" s="11"/>
    </row>
    <row r="691" spans="1:13">
      <c r="A691" s="11" t="s">
        <v>1004</v>
      </c>
      <c r="B691" s="11" t="s">
        <v>384</v>
      </c>
      <c r="C691" s="13">
        <v>1</v>
      </c>
      <c r="D691" s="15" t="s">
        <v>385</v>
      </c>
      <c r="E691" s="13">
        <v>5959</v>
      </c>
      <c r="F691" s="13">
        <f t="shared" si="125"/>
        <v>5959</v>
      </c>
      <c r="G691" s="13">
        <v>0</v>
      </c>
      <c r="H691" s="13">
        <f t="shared" si="126"/>
        <v>0</v>
      </c>
      <c r="I691" s="13">
        <v>0</v>
      </c>
      <c r="J691" s="13">
        <f t="shared" si="127"/>
        <v>0</v>
      </c>
      <c r="K691" s="13">
        <f t="shared" si="128"/>
        <v>5959</v>
      </c>
      <c r="L691" s="13">
        <f t="shared" si="129"/>
        <v>5959</v>
      </c>
      <c r="M691" s="11"/>
    </row>
    <row r="692" spans="1:13">
      <c r="A692" s="11" t="s">
        <v>1005</v>
      </c>
      <c r="B692" s="11" t="s">
        <v>389</v>
      </c>
      <c r="C692" s="13">
        <v>1</v>
      </c>
      <c r="D692" s="15" t="s">
        <v>385</v>
      </c>
      <c r="E692" s="13">
        <v>0</v>
      </c>
      <c r="F692" s="13">
        <f t="shared" si="125"/>
        <v>0</v>
      </c>
      <c r="G692" s="13">
        <v>0</v>
      </c>
      <c r="H692" s="13">
        <f t="shared" si="126"/>
        <v>0</v>
      </c>
      <c r="I692" s="13">
        <v>1102</v>
      </c>
      <c r="J692" s="13">
        <f t="shared" si="127"/>
        <v>1102</v>
      </c>
      <c r="K692" s="13">
        <f t="shared" si="128"/>
        <v>1102</v>
      </c>
      <c r="L692" s="13">
        <f t="shared" si="129"/>
        <v>1102</v>
      </c>
      <c r="M692" s="11"/>
    </row>
    <row r="693" spans="1:13">
      <c r="A693" s="11" t="s">
        <v>1006</v>
      </c>
      <c r="B693" s="11" t="s">
        <v>418</v>
      </c>
      <c r="C693" s="13">
        <v>46</v>
      </c>
      <c r="D693" s="15" t="s">
        <v>419</v>
      </c>
      <c r="E693" s="13">
        <v>18728</v>
      </c>
      <c r="F693" s="13">
        <f t="shared" si="125"/>
        <v>861488</v>
      </c>
      <c r="G693" s="13">
        <v>0</v>
      </c>
      <c r="H693" s="13">
        <f t="shared" si="126"/>
        <v>0</v>
      </c>
      <c r="I693" s="13">
        <v>0</v>
      </c>
      <c r="J693" s="13">
        <f t="shared" si="127"/>
        <v>0</v>
      </c>
      <c r="K693" s="13">
        <f t="shared" si="128"/>
        <v>18728</v>
      </c>
      <c r="L693" s="13">
        <f t="shared" si="129"/>
        <v>861488</v>
      </c>
      <c r="M693" s="11"/>
    </row>
    <row r="694" spans="1:13">
      <c r="A694" s="11" t="s">
        <v>438</v>
      </c>
      <c r="B694" s="11" t="s">
        <v>433</v>
      </c>
      <c r="C694" s="13">
        <v>19</v>
      </c>
      <c r="D694" s="15" t="s">
        <v>377</v>
      </c>
      <c r="E694" s="13">
        <v>0</v>
      </c>
      <c r="F694" s="13">
        <f t="shared" si="125"/>
        <v>0</v>
      </c>
      <c r="G694" s="13">
        <v>0</v>
      </c>
      <c r="H694" s="13">
        <f t="shared" si="126"/>
        <v>0</v>
      </c>
      <c r="I694" s="13">
        <v>1941</v>
      </c>
      <c r="J694" s="13">
        <f t="shared" si="127"/>
        <v>36879</v>
      </c>
      <c r="K694" s="13">
        <f t="shared" si="128"/>
        <v>1941</v>
      </c>
      <c r="L694" s="13">
        <f t="shared" si="129"/>
        <v>36879</v>
      </c>
      <c r="M694" s="11"/>
    </row>
    <row r="695" spans="1:13">
      <c r="A695" s="11" t="s">
        <v>1007</v>
      </c>
      <c r="B695" s="11"/>
      <c r="C695" s="13">
        <v>1</v>
      </c>
      <c r="D695" s="15" t="s">
        <v>25</v>
      </c>
      <c r="E695" s="13">
        <v>0</v>
      </c>
      <c r="F695" s="13">
        <f t="shared" si="125"/>
        <v>0</v>
      </c>
      <c r="G695" s="13">
        <v>0</v>
      </c>
      <c r="H695" s="13">
        <f t="shared" si="126"/>
        <v>0</v>
      </c>
      <c r="I695" s="13">
        <v>93707615</v>
      </c>
      <c r="J695" s="13">
        <f t="shared" si="127"/>
        <v>93707615</v>
      </c>
      <c r="K695" s="13">
        <f t="shared" si="128"/>
        <v>93707615</v>
      </c>
      <c r="L695" s="13">
        <f t="shared" si="129"/>
        <v>93707615</v>
      </c>
      <c r="M695" s="11"/>
    </row>
    <row r="696" spans="1:13">
      <c r="A696" s="11" t="s">
        <v>1008</v>
      </c>
      <c r="B696" s="11"/>
      <c r="C696" s="13">
        <v>1</v>
      </c>
      <c r="D696" s="15" t="s">
        <v>25</v>
      </c>
      <c r="E696" s="13">
        <v>0</v>
      </c>
      <c r="F696" s="13">
        <f t="shared" si="125"/>
        <v>0</v>
      </c>
      <c r="G696" s="13">
        <v>0</v>
      </c>
      <c r="H696" s="13">
        <f t="shared" si="126"/>
        <v>0</v>
      </c>
      <c r="I696" s="13">
        <v>16536638</v>
      </c>
      <c r="J696" s="13">
        <f t="shared" si="127"/>
        <v>16536638</v>
      </c>
      <c r="K696" s="13">
        <f t="shared" si="128"/>
        <v>16536638</v>
      </c>
      <c r="L696" s="13">
        <f t="shared" si="129"/>
        <v>16536638</v>
      </c>
      <c r="M696" s="11"/>
    </row>
    <row r="697" spans="1:13">
      <c r="A697" s="11" t="s">
        <v>1009</v>
      </c>
      <c r="B697" s="11"/>
      <c r="C697" s="13">
        <v>1</v>
      </c>
      <c r="D697" s="15" t="s">
        <v>25</v>
      </c>
      <c r="E697" s="13">
        <v>0</v>
      </c>
      <c r="F697" s="13">
        <f t="shared" si="125"/>
        <v>0</v>
      </c>
      <c r="G697" s="13">
        <v>0</v>
      </c>
      <c r="H697" s="13">
        <f t="shared" si="126"/>
        <v>0</v>
      </c>
      <c r="I697" s="13">
        <v>22048851</v>
      </c>
      <c r="J697" s="13">
        <f t="shared" si="127"/>
        <v>22048851</v>
      </c>
      <c r="K697" s="13">
        <f t="shared" si="128"/>
        <v>22048851</v>
      </c>
      <c r="L697" s="13">
        <f t="shared" si="129"/>
        <v>22048851</v>
      </c>
      <c r="M697" s="11"/>
    </row>
    <row r="698" spans="1:13">
      <c r="A698" s="11" t="s">
        <v>1010</v>
      </c>
      <c r="B698" s="11" t="s">
        <v>1011</v>
      </c>
      <c r="C698" s="13">
        <v>1</v>
      </c>
      <c r="D698" s="15" t="s">
        <v>25</v>
      </c>
      <c r="E698" s="13">
        <v>0</v>
      </c>
      <c r="F698" s="13">
        <f t="shared" si="125"/>
        <v>0</v>
      </c>
      <c r="G698" s="13">
        <v>0</v>
      </c>
      <c r="H698" s="13">
        <f t="shared" si="126"/>
        <v>0</v>
      </c>
      <c r="I698" s="13">
        <v>16536638</v>
      </c>
      <c r="J698" s="13">
        <f t="shared" si="127"/>
        <v>16536638</v>
      </c>
      <c r="K698" s="13">
        <f t="shared" si="128"/>
        <v>16536638</v>
      </c>
      <c r="L698" s="13">
        <f t="shared" si="129"/>
        <v>16536638</v>
      </c>
      <c r="M698" s="11"/>
    </row>
    <row r="699" spans="1:13">
      <c r="A699" s="11" t="s">
        <v>1012</v>
      </c>
      <c r="B699" s="11" t="s">
        <v>1011</v>
      </c>
      <c r="C699" s="13">
        <v>1</v>
      </c>
      <c r="D699" s="15" t="s">
        <v>25</v>
      </c>
      <c r="E699" s="13">
        <v>0</v>
      </c>
      <c r="F699" s="13">
        <f t="shared" si="125"/>
        <v>0</v>
      </c>
      <c r="G699" s="13">
        <v>0</v>
      </c>
      <c r="H699" s="13">
        <f t="shared" si="126"/>
        <v>0</v>
      </c>
      <c r="I699" s="13">
        <v>16536638</v>
      </c>
      <c r="J699" s="13">
        <f t="shared" si="127"/>
        <v>16536638</v>
      </c>
      <c r="K699" s="13">
        <f t="shared" si="128"/>
        <v>16536638</v>
      </c>
      <c r="L699" s="13">
        <f t="shared" si="129"/>
        <v>16536638</v>
      </c>
      <c r="M699" s="11"/>
    </row>
    <row r="700" spans="1:13">
      <c r="A700" s="11" t="s">
        <v>1013</v>
      </c>
      <c r="B700" s="11"/>
      <c r="C700" s="13">
        <v>1</v>
      </c>
      <c r="D700" s="15" t="s">
        <v>25</v>
      </c>
      <c r="E700" s="13">
        <v>0</v>
      </c>
      <c r="F700" s="13">
        <f t="shared" si="125"/>
        <v>0</v>
      </c>
      <c r="G700" s="13">
        <v>0</v>
      </c>
      <c r="H700" s="13">
        <f t="shared" si="126"/>
        <v>0</v>
      </c>
      <c r="I700" s="13">
        <v>33073276</v>
      </c>
      <c r="J700" s="13">
        <f t="shared" si="127"/>
        <v>33073276</v>
      </c>
      <c r="K700" s="13">
        <f t="shared" si="128"/>
        <v>33073276</v>
      </c>
      <c r="L700" s="13">
        <f t="shared" si="129"/>
        <v>33073276</v>
      </c>
      <c r="M700" s="11"/>
    </row>
    <row r="701" spans="1:13">
      <c r="A701" s="11" t="s">
        <v>1014</v>
      </c>
      <c r="B701" s="11"/>
      <c r="C701" s="13">
        <v>1</v>
      </c>
      <c r="D701" s="15" t="s">
        <v>25</v>
      </c>
      <c r="E701" s="13">
        <v>0</v>
      </c>
      <c r="F701" s="13">
        <f t="shared" si="125"/>
        <v>0</v>
      </c>
      <c r="G701" s="13">
        <v>0</v>
      </c>
      <c r="H701" s="13">
        <f t="shared" si="126"/>
        <v>0</v>
      </c>
      <c r="I701" s="13">
        <v>11024425</v>
      </c>
      <c r="J701" s="13">
        <f t="shared" si="127"/>
        <v>11024425</v>
      </c>
      <c r="K701" s="13">
        <f t="shared" si="128"/>
        <v>11024425</v>
      </c>
      <c r="L701" s="13">
        <f t="shared" si="129"/>
        <v>11024425</v>
      </c>
      <c r="M701" s="11"/>
    </row>
    <row r="702" spans="1:13">
      <c r="A702" s="11" t="s">
        <v>1015</v>
      </c>
      <c r="B702" s="11"/>
      <c r="C702" s="13">
        <v>1</v>
      </c>
      <c r="D702" s="15" t="s">
        <v>25</v>
      </c>
      <c r="E702" s="13">
        <v>0</v>
      </c>
      <c r="F702" s="13">
        <f t="shared" si="125"/>
        <v>0</v>
      </c>
      <c r="G702" s="13">
        <v>0</v>
      </c>
      <c r="H702" s="13">
        <f t="shared" si="126"/>
        <v>0</v>
      </c>
      <c r="I702" s="13">
        <v>8819540</v>
      </c>
      <c r="J702" s="13">
        <f t="shared" si="127"/>
        <v>8819540</v>
      </c>
      <c r="K702" s="13">
        <f t="shared" si="128"/>
        <v>8819540</v>
      </c>
      <c r="L702" s="13">
        <f t="shared" si="129"/>
        <v>8819540</v>
      </c>
      <c r="M702" s="11"/>
    </row>
    <row r="703" spans="1:13">
      <c r="A703" s="11" t="s">
        <v>1016</v>
      </c>
      <c r="B703" s="11" t="s">
        <v>1017</v>
      </c>
      <c r="C703" s="13">
        <v>1</v>
      </c>
      <c r="D703" s="15" t="s">
        <v>25</v>
      </c>
      <c r="E703" s="13">
        <v>0</v>
      </c>
      <c r="F703" s="13">
        <f t="shared" si="125"/>
        <v>0</v>
      </c>
      <c r="G703" s="13">
        <v>0</v>
      </c>
      <c r="H703" s="13">
        <f t="shared" si="126"/>
        <v>0</v>
      </c>
      <c r="I703" s="13">
        <v>66146552</v>
      </c>
      <c r="J703" s="13">
        <f t="shared" si="127"/>
        <v>66146552</v>
      </c>
      <c r="K703" s="13">
        <f t="shared" si="128"/>
        <v>66146552</v>
      </c>
      <c r="L703" s="13">
        <f t="shared" si="129"/>
        <v>66146552</v>
      </c>
      <c r="M703" s="11"/>
    </row>
    <row r="704" spans="1:13">
      <c r="A704" s="19" t="s">
        <v>1018</v>
      </c>
      <c r="B704" s="20" t="s">
        <v>1019</v>
      </c>
      <c r="C704" s="21"/>
      <c r="D704" s="21"/>
      <c r="E704" s="21"/>
      <c r="F704" s="22">
        <f>SUM(F707:F719)</f>
        <v>374130866</v>
      </c>
      <c r="G704" s="21"/>
      <c r="H704" s="22">
        <f>SUM(H707:H719)</f>
        <v>138808729</v>
      </c>
      <c r="I704" s="21"/>
      <c r="J704" s="22">
        <f>SUM(J707:J719)</f>
        <v>105717387</v>
      </c>
      <c r="K704" s="21"/>
      <c r="L704" s="22">
        <f>F704+H704+J704</f>
        <v>618656982</v>
      </c>
      <c r="M704" s="21"/>
    </row>
    <row r="705" spans="1:13">
      <c r="A705" s="11" t="s">
        <v>220</v>
      </c>
      <c r="B705" s="11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</row>
    <row r="706" spans="1:13">
      <c r="A706" s="11" t="s">
        <v>221</v>
      </c>
      <c r="B706" s="11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</row>
    <row r="707" spans="1:13">
      <c r="A707" s="11" t="s">
        <v>843</v>
      </c>
      <c r="B707" s="11" t="s">
        <v>116</v>
      </c>
      <c r="C707" s="13">
        <v>6487</v>
      </c>
      <c r="D707" s="15" t="s">
        <v>108</v>
      </c>
      <c r="E707" s="13">
        <v>0</v>
      </c>
      <c r="F707" s="13">
        <f>ROUND(E707*C707,0)</f>
        <v>0</v>
      </c>
      <c r="G707" s="13">
        <v>246</v>
      </c>
      <c r="H707" s="13">
        <f>ROUND(G707*C707,0)</f>
        <v>1595802</v>
      </c>
      <c r="I707" s="13">
        <v>1382</v>
      </c>
      <c r="J707" s="13">
        <f>ROUND(I707*C707,0)</f>
        <v>8965034</v>
      </c>
      <c r="K707" s="13">
        <f>E707+G707+I707</f>
        <v>1628</v>
      </c>
      <c r="L707" s="13">
        <f>F707+H707+J707</f>
        <v>10560836</v>
      </c>
      <c r="M707" s="11"/>
    </row>
    <row r="708" spans="1:13">
      <c r="A708" s="11" t="s">
        <v>227</v>
      </c>
      <c r="B708" s="11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</row>
    <row r="709" spans="1:13" ht="33">
      <c r="A709" s="11" t="s">
        <v>228</v>
      </c>
      <c r="B709" s="11" t="s">
        <v>232</v>
      </c>
      <c r="C709" s="13">
        <v>1834</v>
      </c>
      <c r="D709" s="15" t="s">
        <v>108</v>
      </c>
      <c r="E709" s="13">
        <v>0</v>
      </c>
      <c r="F709" s="13">
        <f>ROUND(E709*C709,0)</f>
        <v>0</v>
      </c>
      <c r="G709" s="13">
        <v>687</v>
      </c>
      <c r="H709" s="13">
        <f>ROUND(G709*C709,0)</f>
        <v>1259958</v>
      </c>
      <c r="I709" s="13">
        <v>2723</v>
      </c>
      <c r="J709" s="13">
        <f>ROUND(I709*C709,0)</f>
        <v>4993982</v>
      </c>
      <c r="K709" s="13">
        <f>E709+G709+I709</f>
        <v>3410</v>
      </c>
      <c r="L709" s="13">
        <f>F709+H709+J709</f>
        <v>6253940</v>
      </c>
      <c r="M709" s="11"/>
    </row>
    <row r="710" spans="1:13">
      <c r="A710" s="11" t="s">
        <v>233</v>
      </c>
      <c r="B710" s="11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</row>
    <row r="711" spans="1:13">
      <c r="A711" s="11" t="s">
        <v>234</v>
      </c>
      <c r="B711" s="11" t="s">
        <v>235</v>
      </c>
      <c r="C711" s="13">
        <v>4653</v>
      </c>
      <c r="D711" s="15" t="s">
        <v>108</v>
      </c>
      <c r="E711" s="13">
        <v>0</v>
      </c>
      <c r="F711" s="13">
        <f>ROUND(E711*C711,0)</f>
        <v>0</v>
      </c>
      <c r="G711" s="13">
        <v>0</v>
      </c>
      <c r="H711" s="13">
        <f>ROUND(G711*C711,0)</f>
        <v>0</v>
      </c>
      <c r="I711" s="13">
        <v>11024</v>
      </c>
      <c r="J711" s="13">
        <f>ROUND(I711*C711,0)</f>
        <v>51294672</v>
      </c>
      <c r="K711" s="13">
        <f>E711+G711+I711</f>
        <v>11024</v>
      </c>
      <c r="L711" s="13">
        <f>F711+H711+J711</f>
        <v>51294672</v>
      </c>
      <c r="M711" s="11"/>
    </row>
    <row r="712" spans="1:13">
      <c r="A712" s="11" t="s">
        <v>1020</v>
      </c>
      <c r="B712" s="11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</row>
    <row r="713" spans="1:13">
      <c r="A713" s="11" t="s">
        <v>1021</v>
      </c>
      <c r="B713" s="11" t="s">
        <v>1022</v>
      </c>
      <c r="C713" s="13">
        <v>45</v>
      </c>
      <c r="D713" s="15" t="s">
        <v>959</v>
      </c>
      <c r="E713" s="13">
        <v>3232</v>
      </c>
      <c r="F713" s="13">
        <f>ROUND(E713*C713,0)</f>
        <v>145440</v>
      </c>
      <c r="G713" s="13">
        <v>4444</v>
      </c>
      <c r="H713" s="13">
        <f>ROUND(G713*C713,0)</f>
        <v>199980</v>
      </c>
      <c r="I713" s="13">
        <v>1102</v>
      </c>
      <c r="J713" s="13">
        <f>ROUND(I713*C713,0)</f>
        <v>49590</v>
      </c>
      <c r="K713" s="13">
        <f t="shared" ref="K713:L717" si="130">E713+G713+I713</f>
        <v>8778</v>
      </c>
      <c r="L713" s="13">
        <f t="shared" si="130"/>
        <v>395010</v>
      </c>
      <c r="M713" s="11"/>
    </row>
    <row r="714" spans="1:13">
      <c r="A714" s="11" t="s">
        <v>1023</v>
      </c>
      <c r="B714" s="11"/>
      <c r="C714" s="13">
        <v>1693</v>
      </c>
      <c r="D714" s="15" t="s">
        <v>1024</v>
      </c>
      <c r="E714" s="13">
        <v>212706</v>
      </c>
      <c r="F714" s="13">
        <f>ROUND(E714*C714,0)</f>
        <v>360111258</v>
      </c>
      <c r="G714" s="13">
        <v>78982</v>
      </c>
      <c r="H714" s="13">
        <f>ROUND(G714*C714,0)</f>
        <v>133716526</v>
      </c>
      <c r="I714" s="13">
        <v>17088</v>
      </c>
      <c r="J714" s="13">
        <f>ROUND(I714*C714,0)</f>
        <v>28929984</v>
      </c>
      <c r="K714" s="13">
        <f t="shared" si="130"/>
        <v>308776</v>
      </c>
      <c r="L714" s="13">
        <f t="shared" si="130"/>
        <v>522757768</v>
      </c>
      <c r="M714" s="11"/>
    </row>
    <row r="715" spans="1:13">
      <c r="A715" s="11" t="s">
        <v>1025</v>
      </c>
      <c r="B715" s="11" t="s">
        <v>1026</v>
      </c>
      <c r="C715" s="13">
        <v>1250</v>
      </c>
      <c r="D715" s="15" t="s">
        <v>959</v>
      </c>
      <c r="E715" s="13">
        <v>909</v>
      </c>
      <c r="F715" s="13">
        <f>ROUND(E715*C715,0)</f>
        <v>1136250</v>
      </c>
      <c r="G715" s="13">
        <v>202</v>
      </c>
      <c r="H715" s="13">
        <f>ROUND(G715*C715,0)</f>
        <v>252500</v>
      </c>
      <c r="I715" s="13">
        <v>0</v>
      </c>
      <c r="J715" s="13">
        <f>ROUND(I715*C715,0)</f>
        <v>0</v>
      </c>
      <c r="K715" s="13">
        <f t="shared" si="130"/>
        <v>1111</v>
      </c>
      <c r="L715" s="13">
        <f t="shared" si="130"/>
        <v>1388750</v>
      </c>
      <c r="M715" s="11"/>
    </row>
    <row r="716" spans="1:13">
      <c r="A716" s="11" t="s">
        <v>1027</v>
      </c>
      <c r="B716" s="11" t="s">
        <v>1028</v>
      </c>
      <c r="C716" s="13">
        <v>1</v>
      </c>
      <c r="D716" s="15" t="s">
        <v>210</v>
      </c>
      <c r="E716" s="13">
        <v>471266</v>
      </c>
      <c r="F716" s="13">
        <f>ROUND(E716*C716,0)</f>
        <v>471266</v>
      </c>
      <c r="G716" s="13">
        <v>158368</v>
      </c>
      <c r="H716" s="13">
        <f>ROUND(G716*C716,0)</f>
        <v>158368</v>
      </c>
      <c r="I716" s="13">
        <v>91172</v>
      </c>
      <c r="J716" s="13">
        <f>ROUND(I716*C716,0)</f>
        <v>91172</v>
      </c>
      <c r="K716" s="13">
        <f t="shared" si="130"/>
        <v>720806</v>
      </c>
      <c r="L716" s="13">
        <f t="shared" si="130"/>
        <v>720806</v>
      </c>
      <c r="M716" s="11"/>
    </row>
    <row r="717" spans="1:13">
      <c r="A717" s="11" t="s">
        <v>1029</v>
      </c>
      <c r="B717" s="11" t="s">
        <v>1030</v>
      </c>
      <c r="C717" s="13">
        <v>87</v>
      </c>
      <c r="D717" s="15" t="s">
        <v>210</v>
      </c>
      <c r="E717" s="13">
        <v>140996</v>
      </c>
      <c r="F717" s="13">
        <f>ROUND(E717*C717,0)</f>
        <v>12266652</v>
      </c>
      <c r="G717" s="13">
        <v>18685</v>
      </c>
      <c r="H717" s="13">
        <f>ROUND(G717*C717,0)</f>
        <v>1625595</v>
      </c>
      <c r="I717" s="13">
        <v>4630</v>
      </c>
      <c r="J717" s="13">
        <f>ROUND(I717*C717,0)</f>
        <v>402810</v>
      </c>
      <c r="K717" s="13">
        <f t="shared" si="130"/>
        <v>164311</v>
      </c>
      <c r="L717" s="13">
        <f t="shared" si="130"/>
        <v>14295057</v>
      </c>
      <c r="M717" s="11"/>
    </row>
    <row r="718" spans="1:13">
      <c r="A718" s="11" t="s">
        <v>1031</v>
      </c>
      <c r="B718" s="11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</row>
    <row r="719" spans="1:13">
      <c r="A719" s="11" t="s">
        <v>1032</v>
      </c>
      <c r="B719" s="11" t="s">
        <v>1033</v>
      </c>
      <c r="C719" s="24">
        <v>3115.12</v>
      </c>
      <c r="D719" s="15" t="s">
        <v>400</v>
      </c>
      <c r="E719" s="13">
        <v>0</v>
      </c>
      <c r="F719" s="13">
        <f>ROUND(E719*C719,0)</f>
        <v>0</v>
      </c>
      <c r="G719" s="13">
        <v>0</v>
      </c>
      <c r="H719" s="13">
        <f>ROUND(G719*C719,0)</f>
        <v>0</v>
      </c>
      <c r="I719" s="13">
        <v>3528</v>
      </c>
      <c r="J719" s="13">
        <f>ROUND(I719*C719,0)</f>
        <v>10990143</v>
      </c>
      <c r="K719" s="13">
        <f>E719+G719+I719</f>
        <v>3528</v>
      </c>
      <c r="L719" s="13">
        <f>F719+H719+J719</f>
        <v>10990143</v>
      </c>
      <c r="M719" s="11"/>
    </row>
    <row r="720" spans="1:13">
      <c r="A720" s="19" t="s">
        <v>1034</v>
      </c>
      <c r="B720" s="20"/>
      <c r="C720" s="21"/>
      <c r="D720" s="21"/>
      <c r="E720" s="21"/>
      <c r="F720" s="22">
        <f>SUM(F723:F822)</f>
        <v>73065420</v>
      </c>
      <c r="G720" s="21"/>
      <c r="H720" s="22">
        <f>SUM(H723:H822)</f>
        <v>53756240</v>
      </c>
      <c r="I720" s="21"/>
      <c r="J720" s="22">
        <f>SUM(J723:J822)</f>
        <v>651653728</v>
      </c>
      <c r="K720" s="21"/>
      <c r="L720" s="22">
        <f>F720+H720+J720</f>
        <v>778475388</v>
      </c>
      <c r="M720" s="21"/>
    </row>
    <row r="721" spans="1:13">
      <c r="A721" s="11" t="s">
        <v>1035</v>
      </c>
      <c r="B721" s="11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</row>
    <row r="722" spans="1:13">
      <c r="A722" s="11" t="s">
        <v>1036</v>
      </c>
      <c r="B722" s="11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</row>
    <row r="723" spans="1:13">
      <c r="A723" s="11" t="s">
        <v>1037</v>
      </c>
      <c r="B723" s="11" t="s">
        <v>1038</v>
      </c>
      <c r="C723" s="13">
        <v>10</v>
      </c>
      <c r="D723" s="15" t="s">
        <v>199</v>
      </c>
      <c r="E723" s="13">
        <v>0</v>
      </c>
      <c r="F723" s="13">
        <f t="shared" ref="F723:F733" si="131">ROUND(E723*C723,0)</f>
        <v>0</v>
      </c>
      <c r="G723" s="13">
        <v>0</v>
      </c>
      <c r="H723" s="13">
        <f t="shared" ref="H723:H733" si="132">ROUND(G723*C723,0)</f>
        <v>0</v>
      </c>
      <c r="I723" s="13">
        <v>606343</v>
      </c>
      <c r="J723" s="13">
        <f t="shared" ref="J723:J733" si="133">ROUND(I723*C723,0)</f>
        <v>6063430</v>
      </c>
      <c r="K723" s="13">
        <f t="shared" ref="K723:K733" si="134">E723+G723+I723</f>
        <v>606343</v>
      </c>
      <c r="L723" s="13">
        <f t="shared" ref="L723:L733" si="135">F723+H723+J723</f>
        <v>6063430</v>
      </c>
      <c r="M723" s="11"/>
    </row>
    <row r="724" spans="1:13">
      <c r="A724" s="11" t="s">
        <v>1039</v>
      </c>
      <c r="B724" s="11" t="s">
        <v>1040</v>
      </c>
      <c r="C724" s="13">
        <v>55</v>
      </c>
      <c r="D724" s="15" t="s">
        <v>199</v>
      </c>
      <c r="E724" s="13">
        <v>0</v>
      </c>
      <c r="F724" s="13">
        <f t="shared" si="131"/>
        <v>0</v>
      </c>
      <c r="G724" s="13">
        <v>0</v>
      </c>
      <c r="H724" s="13">
        <f t="shared" si="132"/>
        <v>0</v>
      </c>
      <c r="I724" s="13">
        <v>937076</v>
      </c>
      <c r="J724" s="13">
        <f t="shared" si="133"/>
        <v>51539180</v>
      </c>
      <c r="K724" s="13">
        <f t="shared" si="134"/>
        <v>937076</v>
      </c>
      <c r="L724" s="13">
        <f t="shared" si="135"/>
        <v>51539180</v>
      </c>
      <c r="M724" s="11"/>
    </row>
    <row r="725" spans="1:13">
      <c r="A725" s="11" t="s">
        <v>1041</v>
      </c>
      <c r="B725" s="11" t="s">
        <v>1042</v>
      </c>
      <c r="C725" s="13">
        <v>7</v>
      </c>
      <c r="D725" s="15" t="s">
        <v>199</v>
      </c>
      <c r="E725" s="13">
        <v>0</v>
      </c>
      <c r="F725" s="13">
        <f t="shared" si="131"/>
        <v>0</v>
      </c>
      <c r="G725" s="13">
        <v>0</v>
      </c>
      <c r="H725" s="13">
        <f t="shared" si="132"/>
        <v>0</v>
      </c>
      <c r="I725" s="13">
        <v>165366</v>
      </c>
      <c r="J725" s="13">
        <f t="shared" si="133"/>
        <v>1157562</v>
      </c>
      <c r="K725" s="13">
        <f t="shared" si="134"/>
        <v>165366</v>
      </c>
      <c r="L725" s="13">
        <f t="shared" si="135"/>
        <v>1157562</v>
      </c>
      <c r="M725" s="11"/>
    </row>
    <row r="726" spans="1:13">
      <c r="A726" s="11" t="s">
        <v>1043</v>
      </c>
      <c r="B726" s="11" t="s">
        <v>1044</v>
      </c>
      <c r="C726" s="13">
        <v>3</v>
      </c>
      <c r="D726" s="15" t="s">
        <v>199</v>
      </c>
      <c r="E726" s="13">
        <v>0</v>
      </c>
      <c r="F726" s="13">
        <f t="shared" si="131"/>
        <v>0</v>
      </c>
      <c r="G726" s="13">
        <v>0</v>
      </c>
      <c r="H726" s="13">
        <f t="shared" si="132"/>
        <v>0</v>
      </c>
      <c r="I726" s="13">
        <v>132293</v>
      </c>
      <c r="J726" s="13">
        <f t="shared" si="133"/>
        <v>396879</v>
      </c>
      <c r="K726" s="13">
        <f t="shared" si="134"/>
        <v>132293</v>
      </c>
      <c r="L726" s="13">
        <f t="shared" si="135"/>
        <v>396879</v>
      </c>
      <c r="M726" s="11"/>
    </row>
    <row r="727" spans="1:13">
      <c r="A727" s="11" t="s">
        <v>1045</v>
      </c>
      <c r="B727" s="11" t="s">
        <v>1046</v>
      </c>
      <c r="C727" s="13">
        <v>8</v>
      </c>
      <c r="D727" s="15" t="s">
        <v>199</v>
      </c>
      <c r="E727" s="13">
        <v>0</v>
      </c>
      <c r="F727" s="13">
        <f t="shared" si="131"/>
        <v>0</v>
      </c>
      <c r="G727" s="13">
        <v>0</v>
      </c>
      <c r="H727" s="13">
        <f t="shared" si="132"/>
        <v>0</v>
      </c>
      <c r="I727" s="13">
        <v>165366</v>
      </c>
      <c r="J727" s="13">
        <f t="shared" si="133"/>
        <v>1322928</v>
      </c>
      <c r="K727" s="13">
        <f t="shared" si="134"/>
        <v>165366</v>
      </c>
      <c r="L727" s="13">
        <f t="shared" si="135"/>
        <v>1322928</v>
      </c>
      <c r="M727" s="11"/>
    </row>
    <row r="728" spans="1:13">
      <c r="A728" s="11" t="s">
        <v>1047</v>
      </c>
      <c r="B728" s="11" t="s">
        <v>1048</v>
      </c>
      <c r="C728" s="13">
        <v>15</v>
      </c>
      <c r="D728" s="15" t="s">
        <v>199</v>
      </c>
      <c r="E728" s="13">
        <v>0</v>
      </c>
      <c r="F728" s="13">
        <f t="shared" si="131"/>
        <v>0</v>
      </c>
      <c r="G728" s="13">
        <v>0</v>
      </c>
      <c r="H728" s="13">
        <f t="shared" si="132"/>
        <v>0</v>
      </c>
      <c r="I728" s="13">
        <v>132293</v>
      </c>
      <c r="J728" s="13">
        <f t="shared" si="133"/>
        <v>1984395</v>
      </c>
      <c r="K728" s="13">
        <f t="shared" si="134"/>
        <v>132293</v>
      </c>
      <c r="L728" s="13">
        <f t="shared" si="135"/>
        <v>1984395</v>
      </c>
      <c r="M728" s="11"/>
    </row>
    <row r="729" spans="1:13">
      <c r="A729" s="11" t="s">
        <v>1049</v>
      </c>
      <c r="B729" s="11" t="s">
        <v>1048</v>
      </c>
      <c r="C729" s="13">
        <v>21</v>
      </c>
      <c r="D729" s="15" t="s">
        <v>199</v>
      </c>
      <c r="E729" s="13">
        <v>0</v>
      </c>
      <c r="F729" s="13">
        <f t="shared" si="131"/>
        <v>0</v>
      </c>
      <c r="G729" s="13">
        <v>0</v>
      </c>
      <c r="H729" s="13">
        <f t="shared" si="132"/>
        <v>0</v>
      </c>
      <c r="I729" s="13">
        <v>132293</v>
      </c>
      <c r="J729" s="13">
        <f t="shared" si="133"/>
        <v>2778153</v>
      </c>
      <c r="K729" s="13">
        <f t="shared" si="134"/>
        <v>132293</v>
      </c>
      <c r="L729" s="13">
        <f t="shared" si="135"/>
        <v>2778153</v>
      </c>
      <c r="M729" s="11"/>
    </row>
    <row r="730" spans="1:13">
      <c r="A730" s="11" t="s">
        <v>1050</v>
      </c>
      <c r="B730" s="11" t="s">
        <v>1051</v>
      </c>
      <c r="C730" s="13">
        <v>20</v>
      </c>
      <c r="D730" s="15" t="s">
        <v>199</v>
      </c>
      <c r="E730" s="13">
        <v>0</v>
      </c>
      <c r="F730" s="13">
        <f t="shared" si="131"/>
        <v>0</v>
      </c>
      <c r="G730" s="13">
        <v>0</v>
      </c>
      <c r="H730" s="13">
        <f t="shared" si="132"/>
        <v>0</v>
      </c>
      <c r="I730" s="13">
        <v>148830</v>
      </c>
      <c r="J730" s="13">
        <f t="shared" si="133"/>
        <v>2976600</v>
      </c>
      <c r="K730" s="13">
        <f t="shared" si="134"/>
        <v>148830</v>
      </c>
      <c r="L730" s="13">
        <f t="shared" si="135"/>
        <v>2976600</v>
      </c>
      <c r="M730" s="11"/>
    </row>
    <row r="731" spans="1:13">
      <c r="A731" s="11" t="s">
        <v>1052</v>
      </c>
      <c r="B731" s="11" t="s">
        <v>1053</v>
      </c>
      <c r="C731" s="13">
        <v>1770</v>
      </c>
      <c r="D731" s="15" t="s">
        <v>199</v>
      </c>
      <c r="E731" s="13">
        <v>0</v>
      </c>
      <c r="F731" s="13">
        <f t="shared" si="131"/>
        <v>0</v>
      </c>
      <c r="G731" s="13">
        <v>0</v>
      </c>
      <c r="H731" s="13">
        <f t="shared" si="132"/>
        <v>0</v>
      </c>
      <c r="I731" s="13">
        <v>3859</v>
      </c>
      <c r="J731" s="13">
        <f t="shared" si="133"/>
        <v>6830430</v>
      </c>
      <c r="K731" s="13">
        <f t="shared" si="134"/>
        <v>3859</v>
      </c>
      <c r="L731" s="13">
        <f t="shared" si="135"/>
        <v>6830430</v>
      </c>
      <c r="M731" s="11"/>
    </row>
    <row r="732" spans="1:13">
      <c r="A732" s="11" t="s">
        <v>1054</v>
      </c>
      <c r="B732" s="11" t="s">
        <v>1053</v>
      </c>
      <c r="C732" s="13">
        <v>1250</v>
      </c>
      <c r="D732" s="15" t="s">
        <v>199</v>
      </c>
      <c r="E732" s="13">
        <v>0</v>
      </c>
      <c r="F732" s="13">
        <f t="shared" si="131"/>
        <v>0</v>
      </c>
      <c r="G732" s="13">
        <v>0</v>
      </c>
      <c r="H732" s="13">
        <f t="shared" si="132"/>
        <v>0</v>
      </c>
      <c r="I732" s="13">
        <v>3859</v>
      </c>
      <c r="J732" s="13">
        <f t="shared" si="133"/>
        <v>4823750</v>
      </c>
      <c r="K732" s="13">
        <f t="shared" si="134"/>
        <v>3859</v>
      </c>
      <c r="L732" s="13">
        <f t="shared" si="135"/>
        <v>4823750</v>
      </c>
      <c r="M732" s="11"/>
    </row>
    <row r="733" spans="1:13">
      <c r="A733" s="11" t="s">
        <v>1055</v>
      </c>
      <c r="B733" s="11" t="s">
        <v>1056</v>
      </c>
      <c r="C733" s="13">
        <v>1100</v>
      </c>
      <c r="D733" s="15" t="s">
        <v>959</v>
      </c>
      <c r="E733" s="13">
        <v>0</v>
      </c>
      <c r="F733" s="13">
        <f t="shared" si="131"/>
        <v>0</v>
      </c>
      <c r="G733" s="13">
        <v>0</v>
      </c>
      <c r="H733" s="13">
        <f t="shared" si="132"/>
        <v>0</v>
      </c>
      <c r="I733" s="13">
        <v>18742</v>
      </c>
      <c r="J733" s="13">
        <f t="shared" si="133"/>
        <v>20616200</v>
      </c>
      <c r="K733" s="13">
        <f t="shared" si="134"/>
        <v>18742</v>
      </c>
      <c r="L733" s="13">
        <f t="shared" si="135"/>
        <v>20616200</v>
      </c>
      <c r="M733" s="11"/>
    </row>
    <row r="734" spans="1:13">
      <c r="A734" s="11" t="s">
        <v>1057</v>
      </c>
      <c r="B734" s="11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</row>
    <row r="735" spans="1:13">
      <c r="A735" s="11" t="s">
        <v>1058</v>
      </c>
      <c r="B735" s="11" t="s">
        <v>1059</v>
      </c>
      <c r="C735" s="13">
        <v>1</v>
      </c>
      <c r="D735" s="15" t="s">
        <v>1060</v>
      </c>
      <c r="E735" s="13">
        <v>0</v>
      </c>
      <c r="F735" s="13">
        <f t="shared" ref="F735:F741" si="136">ROUND(E735*C735,0)</f>
        <v>0</v>
      </c>
      <c r="G735" s="13">
        <v>0</v>
      </c>
      <c r="H735" s="13">
        <f t="shared" ref="H735:H741" si="137">ROUND(G735*C735,0)</f>
        <v>0</v>
      </c>
      <c r="I735" s="13">
        <v>2756106</v>
      </c>
      <c r="J735" s="13">
        <f t="shared" ref="J735:J741" si="138">ROUND(I735*C735,0)</f>
        <v>2756106</v>
      </c>
      <c r="K735" s="13">
        <f t="shared" ref="K735:L741" si="139">E735+G735+I735</f>
        <v>2756106</v>
      </c>
      <c r="L735" s="13">
        <f t="shared" si="139"/>
        <v>2756106</v>
      </c>
      <c r="M735" s="11"/>
    </row>
    <row r="736" spans="1:13">
      <c r="A736" s="11" t="s">
        <v>1061</v>
      </c>
      <c r="B736" s="11" t="s">
        <v>1062</v>
      </c>
      <c r="C736" s="13">
        <v>1</v>
      </c>
      <c r="D736" s="15" t="s">
        <v>1060</v>
      </c>
      <c r="E736" s="13">
        <v>0</v>
      </c>
      <c r="F736" s="13">
        <f t="shared" si="136"/>
        <v>0</v>
      </c>
      <c r="G736" s="13">
        <v>0</v>
      </c>
      <c r="H736" s="13">
        <f t="shared" si="137"/>
        <v>0</v>
      </c>
      <c r="I736" s="13">
        <v>4409770</v>
      </c>
      <c r="J736" s="13">
        <f t="shared" si="138"/>
        <v>4409770</v>
      </c>
      <c r="K736" s="13">
        <f t="shared" si="139"/>
        <v>4409770</v>
      </c>
      <c r="L736" s="13">
        <f t="shared" si="139"/>
        <v>4409770</v>
      </c>
      <c r="M736" s="11"/>
    </row>
    <row r="737" spans="1:13">
      <c r="A737" s="11" t="s">
        <v>1063</v>
      </c>
      <c r="B737" s="11" t="s">
        <v>1064</v>
      </c>
      <c r="C737" s="13">
        <v>1</v>
      </c>
      <c r="D737" s="15" t="s">
        <v>1060</v>
      </c>
      <c r="E737" s="13">
        <v>0</v>
      </c>
      <c r="F737" s="13">
        <f t="shared" si="136"/>
        <v>0</v>
      </c>
      <c r="G737" s="13">
        <v>0</v>
      </c>
      <c r="H737" s="13">
        <f t="shared" si="137"/>
        <v>0</v>
      </c>
      <c r="I737" s="13">
        <v>3858549</v>
      </c>
      <c r="J737" s="13">
        <f t="shared" si="138"/>
        <v>3858549</v>
      </c>
      <c r="K737" s="13">
        <f t="shared" si="139"/>
        <v>3858549</v>
      </c>
      <c r="L737" s="13">
        <f t="shared" si="139"/>
        <v>3858549</v>
      </c>
      <c r="M737" s="11"/>
    </row>
    <row r="738" spans="1:13">
      <c r="A738" s="11" t="s">
        <v>1065</v>
      </c>
      <c r="B738" s="11" t="s">
        <v>1066</v>
      </c>
      <c r="C738" s="13">
        <v>1</v>
      </c>
      <c r="D738" s="15" t="s">
        <v>1060</v>
      </c>
      <c r="E738" s="13">
        <v>0</v>
      </c>
      <c r="F738" s="13">
        <f t="shared" si="136"/>
        <v>0</v>
      </c>
      <c r="G738" s="13">
        <v>0</v>
      </c>
      <c r="H738" s="13">
        <f t="shared" si="137"/>
        <v>0</v>
      </c>
      <c r="I738" s="13">
        <v>3858549</v>
      </c>
      <c r="J738" s="13">
        <f t="shared" si="138"/>
        <v>3858549</v>
      </c>
      <c r="K738" s="13">
        <f t="shared" si="139"/>
        <v>3858549</v>
      </c>
      <c r="L738" s="13">
        <f t="shared" si="139"/>
        <v>3858549</v>
      </c>
      <c r="M738" s="11"/>
    </row>
    <row r="739" spans="1:13">
      <c r="A739" s="11" t="s">
        <v>1067</v>
      </c>
      <c r="B739" s="11" t="s">
        <v>1068</v>
      </c>
      <c r="C739" s="13">
        <v>1</v>
      </c>
      <c r="D739" s="15" t="s">
        <v>210</v>
      </c>
      <c r="E739" s="13">
        <v>0</v>
      </c>
      <c r="F739" s="13">
        <f t="shared" si="136"/>
        <v>0</v>
      </c>
      <c r="G739" s="13">
        <v>0</v>
      </c>
      <c r="H739" s="13">
        <f t="shared" si="137"/>
        <v>0</v>
      </c>
      <c r="I739" s="13">
        <v>13780532</v>
      </c>
      <c r="J739" s="13">
        <f t="shared" si="138"/>
        <v>13780532</v>
      </c>
      <c r="K739" s="13">
        <f t="shared" si="139"/>
        <v>13780532</v>
      </c>
      <c r="L739" s="13">
        <f t="shared" si="139"/>
        <v>13780532</v>
      </c>
      <c r="M739" s="11"/>
    </row>
    <row r="740" spans="1:13">
      <c r="A740" s="11" t="s">
        <v>1069</v>
      </c>
      <c r="B740" s="11" t="s">
        <v>1070</v>
      </c>
      <c r="C740" s="13">
        <v>9</v>
      </c>
      <c r="D740" s="15" t="s">
        <v>1060</v>
      </c>
      <c r="E740" s="13">
        <v>0</v>
      </c>
      <c r="F740" s="13">
        <f t="shared" si="136"/>
        <v>0</v>
      </c>
      <c r="G740" s="13">
        <v>0</v>
      </c>
      <c r="H740" s="13">
        <f t="shared" si="137"/>
        <v>0</v>
      </c>
      <c r="I740" s="13">
        <v>1488297</v>
      </c>
      <c r="J740" s="13">
        <f t="shared" si="138"/>
        <v>13394673</v>
      </c>
      <c r="K740" s="13">
        <f t="shared" si="139"/>
        <v>1488297</v>
      </c>
      <c r="L740" s="13">
        <f t="shared" si="139"/>
        <v>13394673</v>
      </c>
      <c r="M740" s="11"/>
    </row>
    <row r="741" spans="1:13">
      <c r="A741" s="11" t="s">
        <v>1071</v>
      </c>
      <c r="B741" s="11" t="s">
        <v>1072</v>
      </c>
      <c r="C741" s="13">
        <v>3</v>
      </c>
      <c r="D741" s="15" t="s">
        <v>1060</v>
      </c>
      <c r="E741" s="13">
        <v>0</v>
      </c>
      <c r="F741" s="13">
        <f t="shared" si="136"/>
        <v>0</v>
      </c>
      <c r="G741" s="13">
        <v>0</v>
      </c>
      <c r="H741" s="13">
        <f t="shared" si="137"/>
        <v>0</v>
      </c>
      <c r="I741" s="13">
        <v>2315129</v>
      </c>
      <c r="J741" s="13">
        <f t="shared" si="138"/>
        <v>6945387</v>
      </c>
      <c r="K741" s="13">
        <f t="shared" si="139"/>
        <v>2315129</v>
      </c>
      <c r="L741" s="13">
        <f t="shared" si="139"/>
        <v>6945387</v>
      </c>
      <c r="M741" s="11"/>
    </row>
    <row r="742" spans="1:13">
      <c r="A742" s="11" t="s">
        <v>1073</v>
      </c>
      <c r="B742" s="11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</row>
    <row r="743" spans="1:13">
      <c r="A743" s="11" t="s">
        <v>1074</v>
      </c>
      <c r="B743" s="11" t="s">
        <v>1075</v>
      </c>
      <c r="C743" s="13">
        <v>68</v>
      </c>
      <c r="D743" s="15" t="s">
        <v>959</v>
      </c>
      <c r="E743" s="13">
        <v>0</v>
      </c>
      <c r="F743" s="13">
        <f t="shared" ref="F743:F749" si="140">ROUND(E743*C743,0)</f>
        <v>0</v>
      </c>
      <c r="G743" s="13">
        <v>0</v>
      </c>
      <c r="H743" s="13">
        <f t="shared" ref="H743:H749" si="141">ROUND(G743*C743,0)</f>
        <v>0</v>
      </c>
      <c r="I743" s="13">
        <v>21498</v>
      </c>
      <c r="J743" s="13">
        <f t="shared" ref="J743:J749" si="142">ROUND(I743*C743,0)</f>
        <v>1461864</v>
      </c>
      <c r="K743" s="13">
        <f t="shared" ref="K743:L749" si="143">E743+G743+I743</f>
        <v>21498</v>
      </c>
      <c r="L743" s="13">
        <f t="shared" si="143"/>
        <v>1461864</v>
      </c>
      <c r="M743" s="11"/>
    </row>
    <row r="744" spans="1:13">
      <c r="A744" s="11" t="s">
        <v>1076</v>
      </c>
      <c r="B744" s="11" t="s">
        <v>1077</v>
      </c>
      <c r="C744" s="13">
        <v>143</v>
      </c>
      <c r="D744" s="15" t="s">
        <v>959</v>
      </c>
      <c r="E744" s="13">
        <v>0</v>
      </c>
      <c r="F744" s="13">
        <f t="shared" si="140"/>
        <v>0</v>
      </c>
      <c r="G744" s="13">
        <v>0</v>
      </c>
      <c r="H744" s="13">
        <f t="shared" si="141"/>
        <v>0</v>
      </c>
      <c r="I744" s="13">
        <v>32522</v>
      </c>
      <c r="J744" s="13">
        <f t="shared" si="142"/>
        <v>4650646</v>
      </c>
      <c r="K744" s="13">
        <f t="shared" si="143"/>
        <v>32522</v>
      </c>
      <c r="L744" s="13">
        <f t="shared" si="143"/>
        <v>4650646</v>
      </c>
      <c r="M744" s="11"/>
    </row>
    <row r="745" spans="1:13">
      <c r="A745" s="11" t="s">
        <v>1078</v>
      </c>
      <c r="B745" s="11" t="s">
        <v>1079</v>
      </c>
      <c r="C745" s="13">
        <v>224</v>
      </c>
      <c r="D745" s="15" t="s">
        <v>959</v>
      </c>
      <c r="E745" s="13">
        <v>0</v>
      </c>
      <c r="F745" s="13">
        <f t="shared" si="140"/>
        <v>0</v>
      </c>
      <c r="G745" s="13">
        <v>0</v>
      </c>
      <c r="H745" s="13">
        <f t="shared" si="141"/>
        <v>0</v>
      </c>
      <c r="I745" s="13">
        <v>46303</v>
      </c>
      <c r="J745" s="13">
        <f t="shared" si="142"/>
        <v>10371872</v>
      </c>
      <c r="K745" s="13">
        <f t="shared" si="143"/>
        <v>46303</v>
      </c>
      <c r="L745" s="13">
        <f t="shared" si="143"/>
        <v>10371872</v>
      </c>
      <c r="M745" s="11"/>
    </row>
    <row r="746" spans="1:13">
      <c r="A746" s="11" t="s">
        <v>1080</v>
      </c>
      <c r="B746" s="11" t="s">
        <v>1081</v>
      </c>
      <c r="C746" s="13">
        <v>315</v>
      </c>
      <c r="D746" s="15" t="s">
        <v>240</v>
      </c>
      <c r="E746" s="13">
        <v>0</v>
      </c>
      <c r="F746" s="13">
        <f t="shared" si="140"/>
        <v>0</v>
      </c>
      <c r="G746" s="13">
        <v>0</v>
      </c>
      <c r="H746" s="13">
        <f t="shared" si="141"/>
        <v>0</v>
      </c>
      <c r="I746" s="13">
        <v>27561</v>
      </c>
      <c r="J746" s="13">
        <f t="shared" si="142"/>
        <v>8681715</v>
      </c>
      <c r="K746" s="13">
        <f t="shared" si="143"/>
        <v>27561</v>
      </c>
      <c r="L746" s="13">
        <f t="shared" si="143"/>
        <v>8681715</v>
      </c>
      <c r="M746" s="11"/>
    </row>
    <row r="747" spans="1:13">
      <c r="A747" s="11" t="s">
        <v>1082</v>
      </c>
      <c r="B747" s="11" t="s">
        <v>1083</v>
      </c>
      <c r="C747" s="13">
        <v>17</v>
      </c>
      <c r="D747" s="15" t="s">
        <v>959</v>
      </c>
      <c r="E747" s="13">
        <v>0</v>
      </c>
      <c r="F747" s="13">
        <f t="shared" si="140"/>
        <v>0</v>
      </c>
      <c r="G747" s="13">
        <v>0</v>
      </c>
      <c r="H747" s="13">
        <f t="shared" si="141"/>
        <v>0</v>
      </c>
      <c r="I747" s="13">
        <v>38585</v>
      </c>
      <c r="J747" s="13">
        <f t="shared" si="142"/>
        <v>655945</v>
      </c>
      <c r="K747" s="13">
        <f t="shared" si="143"/>
        <v>38585</v>
      </c>
      <c r="L747" s="13">
        <f t="shared" si="143"/>
        <v>655945</v>
      </c>
      <c r="M747" s="11"/>
    </row>
    <row r="748" spans="1:13">
      <c r="A748" s="11" t="s">
        <v>1084</v>
      </c>
      <c r="B748" s="11" t="s">
        <v>1085</v>
      </c>
      <c r="C748" s="13">
        <v>459</v>
      </c>
      <c r="D748" s="15" t="s">
        <v>240</v>
      </c>
      <c r="E748" s="13">
        <v>0</v>
      </c>
      <c r="F748" s="13">
        <f t="shared" si="140"/>
        <v>0</v>
      </c>
      <c r="G748" s="13">
        <v>0</v>
      </c>
      <c r="H748" s="13">
        <f t="shared" si="141"/>
        <v>0</v>
      </c>
      <c r="I748" s="13">
        <v>20946</v>
      </c>
      <c r="J748" s="13">
        <f t="shared" si="142"/>
        <v>9614214</v>
      </c>
      <c r="K748" s="13">
        <f t="shared" si="143"/>
        <v>20946</v>
      </c>
      <c r="L748" s="13">
        <f t="shared" si="143"/>
        <v>9614214</v>
      </c>
      <c r="M748" s="11"/>
    </row>
    <row r="749" spans="1:13">
      <c r="A749" s="11" t="s">
        <v>1086</v>
      </c>
      <c r="B749" s="11" t="s">
        <v>1087</v>
      </c>
      <c r="C749" s="13">
        <v>10</v>
      </c>
      <c r="D749" s="15" t="s">
        <v>240</v>
      </c>
      <c r="E749" s="13">
        <v>0</v>
      </c>
      <c r="F749" s="13">
        <f t="shared" si="140"/>
        <v>0</v>
      </c>
      <c r="G749" s="13">
        <v>0</v>
      </c>
      <c r="H749" s="13">
        <f t="shared" si="141"/>
        <v>0</v>
      </c>
      <c r="I749" s="13">
        <v>18742</v>
      </c>
      <c r="J749" s="13">
        <f t="shared" si="142"/>
        <v>187420</v>
      </c>
      <c r="K749" s="13">
        <f t="shared" si="143"/>
        <v>18742</v>
      </c>
      <c r="L749" s="13">
        <f t="shared" si="143"/>
        <v>187420</v>
      </c>
      <c r="M749" s="11"/>
    </row>
    <row r="750" spans="1:13">
      <c r="A750" s="11" t="s">
        <v>1088</v>
      </c>
      <c r="B750" s="11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</row>
    <row r="751" spans="1:13">
      <c r="A751" s="11" t="s">
        <v>1089</v>
      </c>
      <c r="B751" s="11" t="s">
        <v>1090</v>
      </c>
      <c r="C751" s="13">
        <v>4</v>
      </c>
      <c r="D751" s="15" t="s">
        <v>1060</v>
      </c>
      <c r="E751" s="13">
        <v>0</v>
      </c>
      <c r="F751" s="13">
        <f>ROUND(E751*C751,0)</f>
        <v>0</v>
      </c>
      <c r="G751" s="13">
        <v>0</v>
      </c>
      <c r="H751" s="13">
        <f>ROUND(G751*C751,0)</f>
        <v>0</v>
      </c>
      <c r="I751" s="13">
        <v>385855</v>
      </c>
      <c r="J751" s="13">
        <f>ROUND(I751*C751,0)</f>
        <v>1543420</v>
      </c>
      <c r="K751" s="13">
        <f t="shared" ref="K751:L755" si="144">E751+G751+I751</f>
        <v>385855</v>
      </c>
      <c r="L751" s="13">
        <f t="shared" si="144"/>
        <v>1543420</v>
      </c>
      <c r="M751" s="11"/>
    </row>
    <row r="752" spans="1:13">
      <c r="A752" s="11" t="s">
        <v>1091</v>
      </c>
      <c r="B752" s="11" t="s">
        <v>1092</v>
      </c>
      <c r="C752" s="13">
        <v>24</v>
      </c>
      <c r="D752" s="15" t="s">
        <v>1093</v>
      </c>
      <c r="E752" s="13">
        <v>0</v>
      </c>
      <c r="F752" s="13">
        <f>ROUND(E752*C752,0)</f>
        <v>0</v>
      </c>
      <c r="G752" s="13">
        <v>0</v>
      </c>
      <c r="H752" s="13">
        <f>ROUND(G752*C752,0)</f>
        <v>0</v>
      </c>
      <c r="I752" s="13">
        <v>17639</v>
      </c>
      <c r="J752" s="13">
        <f>ROUND(I752*C752,0)</f>
        <v>423336</v>
      </c>
      <c r="K752" s="13">
        <f t="shared" si="144"/>
        <v>17639</v>
      </c>
      <c r="L752" s="13">
        <f t="shared" si="144"/>
        <v>423336</v>
      </c>
      <c r="M752" s="11"/>
    </row>
    <row r="753" spans="1:13">
      <c r="A753" s="11" t="s">
        <v>1094</v>
      </c>
      <c r="B753" s="11" t="s">
        <v>1095</v>
      </c>
      <c r="C753" s="13">
        <v>32</v>
      </c>
      <c r="D753" s="15" t="s">
        <v>1093</v>
      </c>
      <c r="E753" s="13">
        <v>0</v>
      </c>
      <c r="F753" s="13">
        <f>ROUND(E753*C753,0)</f>
        <v>0</v>
      </c>
      <c r="G753" s="13">
        <v>0</v>
      </c>
      <c r="H753" s="13">
        <f>ROUND(G753*C753,0)</f>
        <v>0</v>
      </c>
      <c r="I753" s="13">
        <v>14332</v>
      </c>
      <c r="J753" s="13">
        <f>ROUND(I753*C753,0)</f>
        <v>458624</v>
      </c>
      <c r="K753" s="13">
        <f t="shared" si="144"/>
        <v>14332</v>
      </c>
      <c r="L753" s="13">
        <f t="shared" si="144"/>
        <v>458624</v>
      </c>
      <c r="M753" s="11"/>
    </row>
    <row r="754" spans="1:13">
      <c r="A754" s="11" t="s">
        <v>1096</v>
      </c>
      <c r="B754" s="11" t="s">
        <v>1092</v>
      </c>
      <c r="C754" s="13">
        <v>61</v>
      </c>
      <c r="D754" s="15" t="s">
        <v>240</v>
      </c>
      <c r="E754" s="13">
        <v>0</v>
      </c>
      <c r="F754" s="13">
        <f>ROUND(E754*C754,0)</f>
        <v>0</v>
      </c>
      <c r="G754" s="13">
        <v>0</v>
      </c>
      <c r="H754" s="13">
        <f>ROUND(G754*C754,0)</f>
        <v>0</v>
      </c>
      <c r="I754" s="13">
        <v>38585</v>
      </c>
      <c r="J754" s="13">
        <f>ROUND(I754*C754,0)</f>
        <v>2353685</v>
      </c>
      <c r="K754" s="13">
        <f t="shared" si="144"/>
        <v>38585</v>
      </c>
      <c r="L754" s="13">
        <f t="shared" si="144"/>
        <v>2353685</v>
      </c>
      <c r="M754" s="11"/>
    </row>
    <row r="755" spans="1:13">
      <c r="A755" s="11" t="s">
        <v>1097</v>
      </c>
      <c r="B755" s="11" t="s">
        <v>1098</v>
      </c>
      <c r="C755" s="13">
        <v>48</v>
      </c>
      <c r="D755" s="15" t="s">
        <v>240</v>
      </c>
      <c r="E755" s="13">
        <v>0</v>
      </c>
      <c r="F755" s="13">
        <f>ROUND(E755*C755,0)</f>
        <v>0</v>
      </c>
      <c r="G755" s="13">
        <v>0</v>
      </c>
      <c r="H755" s="13">
        <f>ROUND(G755*C755,0)</f>
        <v>0</v>
      </c>
      <c r="I755" s="13">
        <v>137805</v>
      </c>
      <c r="J755" s="13">
        <f>ROUND(I755*C755,0)</f>
        <v>6614640</v>
      </c>
      <c r="K755" s="13">
        <f t="shared" si="144"/>
        <v>137805</v>
      </c>
      <c r="L755" s="13">
        <f t="shared" si="144"/>
        <v>6614640</v>
      </c>
      <c r="M755" s="11"/>
    </row>
    <row r="756" spans="1:13">
      <c r="A756" s="11" t="s">
        <v>1099</v>
      </c>
      <c r="B756" s="11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</row>
    <row r="757" spans="1:13">
      <c r="A757" s="11" t="s">
        <v>1036</v>
      </c>
      <c r="B757" s="11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</row>
    <row r="758" spans="1:13">
      <c r="A758" s="11" t="s">
        <v>1037</v>
      </c>
      <c r="B758" s="11" t="s">
        <v>1038</v>
      </c>
      <c r="C758" s="13">
        <v>9</v>
      </c>
      <c r="D758" s="15" t="s">
        <v>199</v>
      </c>
      <c r="E758" s="13">
        <v>0</v>
      </c>
      <c r="F758" s="13">
        <f t="shared" ref="F758:F772" si="145">ROUND(E758*C758,0)</f>
        <v>0</v>
      </c>
      <c r="G758" s="13">
        <v>0</v>
      </c>
      <c r="H758" s="13">
        <f t="shared" ref="H758:H772" si="146">ROUND(G758*C758,0)</f>
        <v>0</v>
      </c>
      <c r="I758" s="13">
        <v>606343</v>
      </c>
      <c r="J758" s="13">
        <f t="shared" ref="J758:J772" si="147">ROUND(I758*C758,0)</f>
        <v>5457087</v>
      </c>
      <c r="K758" s="13">
        <f t="shared" ref="K758:K772" si="148">E758+G758+I758</f>
        <v>606343</v>
      </c>
      <c r="L758" s="13">
        <f t="shared" ref="L758:L772" si="149">F758+H758+J758</f>
        <v>5457087</v>
      </c>
      <c r="M758" s="11"/>
    </row>
    <row r="759" spans="1:13">
      <c r="A759" s="11" t="s">
        <v>1039</v>
      </c>
      <c r="B759" s="11" t="s">
        <v>1040</v>
      </c>
      <c r="C759" s="13">
        <v>27</v>
      </c>
      <c r="D759" s="15" t="s">
        <v>199</v>
      </c>
      <c r="E759" s="13">
        <v>0</v>
      </c>
      <c r="F759" s="13">
        <f t="shared" si="145"/>
        <v>0</v>
      </c>
      <c r="G759" s="13">
        <v>0</v>
      </c>
      <c r="H759" s="13">
        <f t="shared" si="146"/>
        <v>0</v>
      </c>
      <c r="I759" s="13">
        <v>937076</v>
      </c>
      <c r="J759" s="13">
        <f t="shared" si="147"/>
        <v>25301052</v>
      </c>
      <c r="K759" s="13">
        <f t="shared" si="148"/>
        <v>937076</v>
      </c>
      <c r="L759" s="13">
        <f t="shared" si="149"/>
        <v>25301052</v>
      </c>
      <c r="M759" s="11"/>
    </row>
    <row r="760" spans="1:13">
      <c r="A760" s="11" t="s">
        <v>1041</v>
      </c>
      <c r="B760" s="11" t="s">
        <v>1042</v>
      </c>
      <c r="C760" s="13">
        <v>11</v>
      </c>
      <c r="D760" s="15" t="s">
        <v>199</v>
      </c>
      <c r="E760" s="13">
        <v>0</v>
      </c>
      <c r="F760" s="13">
        <f t="shared" si="145"/>
        <v>0</v>
      </c>
      <c r="G760" s="13">
        <v>0</v>
      </c>
      <c r="H760" s="13">
        <f t="shared" si="146"/>
        <v>0</v>
      </c>
      <c r="I760" s="13">
        <v>165366</v>
      </c>
      <c r="J760" s="13">
        <f t="shared" si="147"/>
        <v>1819026</v>
      </c>
      <c r="K760" s="13">
        <f t="shared" si="148"/>
        <v>165366</v>
      </c>
      <c r="L760" s="13">
        <f t="shared" si="149"/>
        <v>1819026</v>
      </c>
      <c r="M760" s="11"/>
    </row>
    <row r="761" spans="1:13">
      <c r="A761" s="11" t="s">
        <v>1043</v>
      </c>
      <c r="B761" s="11" t="s">
        <v>1044</v>
      </c>
      <c r="C761" s="13">
        <v>3</v>
      </c>
      <c r="D761" s="15" t="s">
        <v>199</v>
      </c>
      <c r="E761" s="13">
        <v>0</v>
      </c>
      <c r="F761" s="13">
        <f t="shared" si="145"/>
        <v>0</v>
      </c>
      <c r="G761" s="13">
        <v>0</v>
      </c>
      <c r="H761" s="13">
        <f t="shared" si="146"/>
        <v>0</v>
      </c>
      <c r="I761" s="13">
        <v>132293</v>
      </c>
      <c r="J761" s="13">
        <f t="shared" si="147"/>
        <v>396879</v>
      </c>
      <c r="K761" s="13">
        <f t="shared" si="148"/>
        <v>132293</v>
      </c>
      <c r="L761" s="13">
        <f t="shared" si="149"/>
        <v>396879</v>
      </c>
      <c r="M761" s="11"/>
    </row>
    <row r="762" spans="1:13">
      <c r="A762" s="11" t="s">
        <v>1045</v>
      </c>
      <c r="B762" s="11" t="s">
        <v>1046</v>
      </c>
      <c r="C762" s="13">
        <v>14</v>
      </c>
      <c r="D762" s="15" t="s">
        <v>199</v>
      </c>
      <c r="E762" s="13">
        <v>0</v>
      </c>
      <c r="F762" s="13">
        <f t="shared" si="145"/>
        <v>0</v>
      </c>
      <c r="G762" s="13">
        <v>0</v>
      </c>
      <c r="H762" s="13">
        <f t="shared" si="146"/>
        <v>0</v>
      </c>
      <c r="I762" s="13">
        <v>165366</v>
      </c>
      <c r="J762" s="13">
        <f t="shared" si="147"/>
        <v>2315124</v>
      </c>
      <c r="K762" s="13">
        <f t="shared" si="148"/>
        <v>165366</v>
      </c>
      <c r="L762" s="13">
        <f t="shared" si="149"/>
        <v>2315124</v>
      </c>
      <c r="M762" s="11"/>
    </row>
    <row r="763" spans="1:13">
      <c r="A763" s="11" t="s">
        <v>1047</v>
      </c>
      <c r="B763" s="11" t="s">
        <v>1048</v>
      </c>
      <c r="C763" s="13">
        <v>5</v>
      </c>
      <c r="D763" s="15" t="s">
        <v>199</v>
      </c>
      <c r="E763" s="13">
        <v>0</v>
      </c>
      <c r="F763" s="13">
        <f t="shared" si="145"/>
        <v>0</v>
      </c>
      <c r="G763" s="13">
        <v>0</v>
      </c>
      <c r="H763" s="13">
        <f t="shared" si="146"/>
        <v>0</v>
      </c>
      <c r="I763" s="13">
        <v>132293</v>
      </c>
      <c r="J763" s="13">
        <f t="shared" si="147"/>
        <v>661465</v>
      </c>
      <c r="K763" s="13">
        <f t="shared" si="148"/>
        <v>132293</v>
      </c>
      <c r="L763" s="13">
        <f t="shared" si="149"/>
        <v>661465</v>
      </c>
      <c r="M763" s="11"/>
    </row>
    <row r="764" spans="1:13">
      <c r="A764" s="11" t="s">
        <v>1049</v>
      </c>
      <c r="B764" s="11" t="s">
        <v>1048</v>
      </c>
      <c r="C764" s="13">
        <v>6</v>
      </c>
      <c r="D764" s="15" t="s">
        <v>199</v>
      </c>
      <c r="E764" s="13">
        <v>0</v>
      </c>
      <c r="F764" s="13">
        <f t="shared" si="145"/>
        <v>0</v>
      </c>
      <c r="G764" s="13">
        <v>0</v>
      </c>
      <c r="H764" s="13">
        <f t="shared" si="146"/>
        <v>0</v>
      </c>
      <c r="I764" s="13">
        <v>132293</v>
      </c>
      <c r="J764" s="13">
        <f t="shared" si="147"/>
        <v>793758</v>
      </c>
      <c r="K764" s="13">
        <f t="shared" si="148"/>
        <v>132293</v>
      </c>
      <c r="L764" s="13">
        <f t="shared" si="149"/>
        <v>793758</v>
      </c>
      <c r="M764" s="11"/>
    </row>
    <row r="765" spans="1:13">
      <c r="A765" s="11" t="s">
        <v>1100</v>
      </c>
      <c r="B765" s="11" t="s">
        <v>1051</v>
      </c>
      <c r="C765" s="13">
        <v>6</v>
      </c>
      <c r="D765" s="15" t="s">
        <v>199</v>
      </c>
      <c r="E765" s="13">
        <v>0</v>
      </c>
      <c r="F765" s="13">
        <f t="shared" si="145"/>
        <v>0</v>
      </c>
      <c r="G765" s="13">
        <v>0</v>
      </c>
      <c r="H765" s="13">
        <f t="shared" si="146"/>
        <v>0</v>
      </c>
      <c r="I765" s="13">
        <v>165366</v>
      </c>
      <c r="J765" s="13">
        <f t="shared" si="147"/>
        <v>992196</v>
      </c>
      <c r="K765" s="13">
        <f t="shared" si="148"/>
        <v>165366</v>
      </c>
      <c r="L765" s="13">
        <f t="shared" si="149"/>
        <v>992196</v>
      </c>
      <c r="M765" s="11"/>
    </row>
    <row r="766" spans="1:13">
      <c r="A766" s="11" t="s">
        <v>1101</v>
      </c>
      <c r="B766" s="11" t="s">
        <v>1051</v>
      </c>
      <c r="C766" s="13">
        <v>5</v>
      </c>
      <c r="D766" s="15" t="s">
        <v>199</v>
      </c>
      <c r="E766" s="13">
        <v>0</v>
      </c>
      <c r="F766" s="13">
        <f t="shared" si="145"/>
        <v>0</v>
      </c>
      <c r="G766" s="13">
        <v>0</v>
      </c>
      <c r="H766" s="13">
        <f t="shared" si="146"/>
        <v>0</v>
      </c>
      <c r="I766" s="13">
        <v>165366</v>
      </c>
      <c r="J766" s="13">
        <f t="shared" si="147"/>
        <v>826830</v>
      </c>
      <c r="K766" s="13">
        <f t="shared" si="148"/>
        <v>165366</v>
      </c>
      <c r="L766" s="13">
        <f t="shared" si="149"/>
        <v>826830</v>
      </c>
      <c r="M766" s="11"/>
    </row>
    <row r="767" spans="1:13">
      <c r="A767" s="11" t="s">
        <v>1102</v>
      </c>
      <c r="B767" s="11" t="s">
        <v>1051</v>
      </c>
      <c r="C767" s="13">
        <v>5</v>
      </c>
      <c r="D767" s="15" t="s">
        <v>199</v>
      </c>
      <c r="E767" s="13">
        <v>0</v>
      </c>
      <c r="F767" s="13">
        <f t="shared" si="145"/>
        <v>0</v>
      </c>
      <c r="G767" s="13">
        <v>0</v>
      </c>
      <c r="H767" s="13">
        <f t="shared" si="146"/>
        <v>0</v>
      </c>
      <c r="I767" s="13">
        <v>165366</v>
      </c>
      <c r="J767" s="13">
        <f t="shared" si="147"/>
        <v>826830</v>
      </c>
      <c r="K767" s="13">
        <f t="shared" si="148"/>
        <v>165366</v>
      </c>
      <c r="L767" s="13">
        <f t="shared" si="149"/>
        <v>826830</v>
      </c>
      <c r="M767" s="11"/>
    </row>
    <row r="768" spans="1:13">
      <c r="A768" s="11" t="s">
        <v>1103</v>
      </c>
      <c r="B768" s="11" t="s">
        <v>1053</v>
      </c>
      <c r="C768" s="13">
        <v>160</v>
      </c>
      <c r="D768" s="15" t="s">
        <v>199</v>
      </c>
      <c r="E768" s="13">
        <v>0</v>
      </c>
      <c r="F768" s="13">
        <f t="shared" si="145"/>
        <v>0</v>
      </c>
      <c r="G768" s="13">
        <v>0</v>
      </c>
      <c r="H768" s="13">
        <f t="shared" si="146"/>
        <v>0</v>
      </c>
      <c r="I768" s="13">
        <v>3859</v>
      </c>
      <c r="J768" s="13">
        <f t="shared" si="147"/>
        <v>617440</v>
      </c>
      <c r="K768" s="13">
        <f t="shared" si="148"/>
        <v>3859</v>
      </c>
      <c r="L768" s="13">
        <f t="shared" si="149"/>
        <v>617440</v>
      </c>
      <c r="M768" s="11"/>
    </row>
    <row r="769" spans="1:13">
      <c r="A769" s="11" t="s">
        <v>1104</v>
      </c>
      <c r="B769" s="11" t="s">
        <v>1053</v>
      </c>
      <c r="C769" s="13">
        <v>800</v>
      </c>
      <c r="D769" s="15" t="s">
        <v>199</v>
      </c>
      <c r="E769" s="13">
        <v>0</v>
      </c>
      <c r="F769" s="13">
        <f t="shared" si="145"/>
        <v>0</v>
      </c>
      <c r="G769" s="13">
        <v>0</v>
      </c>
      <c r="H769" s="13">
        <f t="shared" si="146"/>
        <v>0</v>
      </c>
      <c r="I769" s="13">
        <v>3859</v>
      </c>
      <c r="J769" s="13">
        <f t="shared" si="147"/>
        <v>3087200</v>
      </c>
      <c r="K769" s="13">
        <f t="shared" si="148"/>
        <v>3859</v>
      </c>
      <c r="L769" s="13">
        <f t="shared" si="149"/>
        <v>3087200</v>
      </c>
      <c r="M769" s="11"/>
    </row>
    <row r="770" spans="1:13">
      <c r="A770" s="11" t="s">
        <v>1105</v>
      </c>
      <c r="B770" s="11" t="s">
        <v>1053</v>
      </c>
      <c r="C770" s="13">
        <v>330</v>
      </c>
      <c r="D770" s="15" t="s">
        <v>199</v>
      </c>
      <c r="E770" s="13">
        <v>0</v>
      </c>
      <c r="F770" s="13">
        <f t="shared" si="145"/>
        <v>0</v>
      </c>
      <c r="G770" s="13">
        <v>0</v>
      </c>
      <c r="H770" s="13">
        <f t="shared" si="146"/>
        <v>0</v>
      </c>
      <c r="I770" s="13">
        <v>3859</v>
      </c>
      <c r="J770" s="13">
        <f t="shared" si="147"/>
        <v>1273470</v>
      </c>
      <c r="K770" s="13">
        <f t="shared" si="148"/>
        <v>3859</v>
      </c>
      <c r="L770" s="13">
        <f t="shared" si="149"/>
        <v>1273470</v>
      </c>
      <c r="M770" s="11"/>
    </row>
    <row r="771" spans="1:13">
      <c r="A771" s="11" t="s">
        <v>1106</v>
      </c>
      <c r="B771" s="11" t="s">
        <v>1107</v>
      </c>
      <c r="C771" s="13">
        <v>720</v>
      </c>
      <c r="D771" s="15" t="s">
        <v>199</v>
      </c>
      <c r="E771" s="13">
        <v>0</v>
      </c>
      <c r="F771" s="13">
        <f t="shared" si="145"/>
        <v>0</v>
      </c>
      <c r="G771" s="13">
        <v>0</v>
      </c>
      <c r="H771" s="13">
        <f t="shared" si="146"/>
        <v>0</v>
      </c>
      <c r="I771" s="13">
        <v>3859</v>
      </c>
      <c r="J771" s="13">
        <f t="shared" si="147"/>
        <v>2778480</v>
      </c>
      <c r="K771" s="13">
        <f t="shared" si="148"/>
        <v>3859</v>
      </c>
      <c r="L771" s="13">
        <f t="shared" si="149"/>
        <v>2778480</v>
      </c>
      <c r="M771" s="11"/>
    </row>
    <row r="772" spans="1:13">
      <c r="A772" s="11" t="s">
        <v>1108</v>
      </c>
      <c r="B772" s="11" t="s">
        <v>1056</v>
      </c>
      <c r="C772" s="13">
        <v>1100</v>
      </c>
      <c r="D772" s="15" t="s">
        <v>959</v>
      </c>
      <c r="E772" s="13">
        <v>0</v>
      </c>
      <c r="F772" s="13">
        <f t="shared" si="145"/>
        <v>0</v>
      </c>
      <c r="G772" s="13">
        <v>0</v>
      </c>
      <c r="H772" s="13">
        <f t="shared" si="146"/>
        <v>0</v>
      </c>
      <c r="I772" s="13">
        <v>18742</v>
      </c>
      <c r="J772" s="13">
        <f t="shared" si="147"/>
        <v>20616200</v>
      </c>
      <c r="K772" s="13">
        <f t="shared" si="148"/>
        <v>18742</v>
      </c>
      <c r="L772" s="13">
        <f t="shared" si="149"/>
        <v>20616200</v>
      </c>
      <c r="M772" s="11"/>
    </row>
    <row r="773" spans="1:13">
      <c r="A773" s="11" t="s">
        <v>1057</v>
      </c>
      <c r="B773" s="11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</row>
    <row r="774" spans="1:13">
      <c r="A774" s="11" t="s">
        <v>1109</v>
      </c>
      <c r="B774" s="11" t="s">
        <v>1110</v>
      </c>
      <c r="C774" s="13">
        <v>1</v>
      </c>
      <c r="D774" s="15" t="s">
        <v>1060</v>
      </c>
      <c r="E774" s="13">
        <v>0</v>
      </c>
      <c r="F774" s="13">
        <f t="shared" ref="F774:F781" si="150">ROUND(E774*C774,0)</f>
        <v>0</v>
      </c>
      <c r="G774" s="13">
        <v>0</v>
      </c>
      <c r="H774" s="13">
        <f t="shared" ref="H774:H781" si="151">ROUND(G774*C774,0)</f>
        <v>0</v>
      </c>
      <c r="I774" s="13">
        <v>3858549</v>
      </c>
      <c r="J774" s="13">
        <f t="shared" ref="J774:J781" si="152">ROUND(I774*C774,0)</f>
        <v>3858549</v>
      </c>
      <c r="K774" s="13">
        <f t="shared" ref="K774:L781" si="153">E774+G774+I774</f>
        <v>3858549</v>
      </c>
      <c r="L774" s="13">
        <f t="shared" si="153"/>
        <v>3858549</v>
      </c>
      <c r="M774" s="11"/>
    </row>
    <row r="775" spans="1:13">
      <c r="A775" s="11" t="s">
        <v>1111</v>
      </c>
      <c r="B775" s="11" t="s">
        <v>1112</v>
      </c>
      <c r="C775" s="13">
        <v>1</v>
      </c>
      <c r="D775" s="15" t="s">
        <v>1060</v>
      </c>
      <c r="E775" s="13">
        <v>0</v>
      </c>
      <c r="F775" s="13">
        <f t="shared" si="150"/>
        <v>0</v>
      </c>
      <c r="G775" s="13">
        <v>0</v>
      </c>
      <c r="H775" s="13">
        <f t="shared" si="151"/>
        <v>0</v>
      </c>
      <c r="I775" s="13">
        <v>4409770</v>
      </c>
      <c r="J775" s="13">
        <f t="shared" si="152"/>
        <v>4409770</v>
      </c>
      <c r="K775" s="13">
        <f t="shared" si="153"/>
        <v>4409770</v>
      </c>
      <c r="L775" s="13">
        <f t="shared" si="153"/>
        <v>4409770</v>
      </c>
      <c r="M775" s="11"/>
    </row>
    <row r="776" spans="1:13">
      <c r="A776" s="11" t="s">
        <v>1113</v>
      </c>
      <c r="B776" s="11" t="s">
        <v>1114</v>
      </c>
      <c r="C776" s="13">
        <v>1</v>
      </c>
      <c r="D776" s="15" t="s">
        <v>1060</v>
      </c>
      <c r="E776" s="13">
        <v>0</v>
      </c>
      <c r="F776" s="13">
        <f t="shared" si="150"/>
        <v>0</v>
      </c>
      <c r="G776" s="13">
        <v>0</v>
      </c>
      <c r="H776" s="13">
        <f t="shared" si="151"/>
        <v>0</v>
      </c>
      <c r="I776" s="13">
        <v>3858549</v>
      </c>
      <c r="J776" s="13">
        <f t="shared" si="152"/>
        <v>3858549</v>
      </c>
      <c r="K776" s="13">
        <f t="shared" si="153"/>
        <v>3858549</v>
      </c>
      <c r="L776" s="13">
        <f t="shared" si="153"/>
        <v>3858549</v>
      </c>
      <c r="M776" s="11"/>
    </row>
    <row r="777" spans="1:13">
      <c r="A777" s="11" t="s">
        <v>1115</v>
      </c>
      <c r="B777" s="11" t="s">
        <v>1116</v>
      </c>
      <c r="C777" s="13">
        <v>1</v>
      </c>
      <c r="D777" s="15" t="s">
        <v>210</v>
      </c>
      <c r="E777" s="13">
        <v>0</v>
      </c>
      <c r="F777" s="13">
        <f t="shared" si="150"/>
        <v>0</v>
      </c>
      <c r="G777" s="13">
        <v>0</v>
      </c>
      <c r="H777" s="13">
        <f t="shared" si="151"/>
        <v>0</v>
      </c>
      <c r="I777" s="13">
        <v>13780532</v>
      </c>
      <c r="J777" s="13">
        <f t="shared" si="152"/>
        <v>13780532</v>
      </c>
      <c r="K777" s="13">
        <f t="shared" si="153"/>
        <v>13780532</v>
      </c>
      <c r="L777" s="13">
        <f t="shared" si="153"/>
        <v>13780532</v>
      </c>
      <c r="M777" s="11"/>
    </row>
    <row r="778" spans="1:13">
      <c r="A778" s="11" t="s">
        <v>1117</v>
      </c>
      <c r="B778" s="11" t="s">
        <v>1118</v>
      </c>
      <c r="C778" s="13">
        <v>3</v>
      </c>
      <c r="D778" s="15" t="s">
        <v>1060</v>
      </c>
      <c r="E778" s="13">
        <v>0</v>
      </c>
      <c r="F778" s="13">
        <f t="shared" si="150"/>
        <v>0</v>
      </c>
      <c r="G778" s="13">
        <v>0</v>
      </c>
      <c r="H778" s="13">
        <f t="shared" si="151"/>
        <v>0</v>
      </c>
      <c r="I778" s="13">
        <v>1488297</v>
      </c>
      <c r="J778" s="13">
        <f t="shared" si="152"/>
        <v>4464891</v>
      </c>
      <c r="K778" s="13">
        <f t="shared" si="153"/>
        <v>1488297</v>
      </c>
      <c r="L778" s="13">
        <f t="shared" si="153"/>
        <v>4464891</v>
      </c>
      <c r="M778" s="11"/>
    </row>
    <row r="779" spans="1:13">
      <c r="A779" s="11" t="s">
        <v>1069</v>
      </c>
      <c r="B779" s="11" t="s">
        <v>1070</v>
      </c>
      <c r="C779" s="13">
        <v>4</v>
      </c>
      <c r="D779" s="15" t="s">
        <v>1060</v>
      </c>
      <c r="E779" s="13">
        <v>0</v>
      </c>
      <c r="F779" s="13">
        <f t="shared" si="150"/>
        <v>0</v>
      </c>
      <c r="G779" s="13">
        <v>0</v>
      </c>
      <c r="H779" s="13">
        <f t="shared" si="151"/>
        <v>0</v>
      </c>
      <c r="I779" s="13">
        <v>1488297</v>
      </c>
      <c r="J779" s="13">
        <f t="shared" si="152"/>
        <v>5953188</v>
      </c>
      <c r="K779" s="13">
        <f t="shared" si="153"/>
        <v>1488297</v>
      </c>
      <c r="L779" s="13">
        <f t="shared" si="153"/>
        <v>5953188</v>
      </c>
      <c r="M779" s="11"/>
    </row>
    <row r="780" spans="1:13">
      <c r="A780" s="11" t="s">
        <v>1071</v>
      </c>
      <c r="B780" s="11" t="s">
        <v>1072</v>
      </c>
      <c r="C780" s="13">
        <v>3</v>
      </c>
      <c r="D780" s="15" t="s">
        <v>1060</v>
      </c>
      <c r="E780" s="13">
        <v>0</v>
      </c>
      <c r="F780" s="13">
        <f t="shared" si="150"/>
        <v>0</v>
      </c>
      <c r="G780" s="13">
        <v>0</v>
      </c>
      <c r="H780" s="13">
        <f t="shared" si="151"/>
        <v>0</v>
      </c>
      <c r="I780" s="13">
        <v>2315129</v>
      </c>
      <c r="J780" s="13">
        <f t="shared" si="152"/>
        <v>6945387</v>
      </c>
      <c r="K780" s="13">
        <f t="shared" si="153"/>
        <v>2315129</v>
      </c>
      <c r="L780" s="13">
        <f t="shared" si="153"/>
        <v>6945387</v>
      </c>
      <c r="M780" s="11"/>
    </row>
    <row r="781" spans="1:13">
      <c r="A781" s="11" t="s">
        <v>1119</v>
      </c>
      <c r="B781" s="11" t="s">
        <v>1072</v>
      </c>
      <c r="C781" s="13">
        <v>23</v>
      </c>
      <c r="D781" s="15" t="s">
        <v>1120</v>
      </c>
      <c r="E781" s="13">
        <v>0</v>
      </c>
      <c r="F781" s="13">
        <f t="shared" si="150"/>
        <v>0</v>
      </c>
      <c r="G781" s="13">
        <v>0</v>
      </c>
      <c r="H781" s="13">
        <f t="shared" si="151"/>
        <v>0</v>
      </c>
      <c r="I781" s="13">
        <v>52366</v>
      </c>
      <c r="J781" s="13">
        <f t="shared" si="152"/>
        <v>1204418</v>
      </c>
      <c r="K781" s="13">
        <f t="shared" si="153"/>
        <v>52366</v>
      </c>
      <c r="L781" s="13">
        <f t="shared" si="153"/>
        <v>1204418</v>
      </c>
      <c r="M781" s="11"/>
    </row>
    <row r="782" spans="1:13">
      <c r="A782" s="11" t="s">
        <v>1073</v>
      </c>
      <c r="B782" s="11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</row>
    <row r="783" spans="1:13">
      <c r="A783" s="11" t="s">
        <v>1074</v>
      </c>
      <c r="B783" s="11" t="s">
        <v>1075</v>
      </c>
      <c r="C783" s="13">
        <v>122</v>
      </c>
      <c r="D783" s="15" t="s">
        <v>959</v>
      </c>
      <c r="E783" s="13">
        <v>0</v>
      </c>
      <c r="F783" s="13">
        <f t="shared" ref="F783:F788" si="154">ROUND(E783*C783,0)</f>
        <v>0</v>
      </c>
      <c r="G783" s="13">
        <v>0</v>
      </c>
      <c r="H783" s="13">
        <f t="shared" ref="H783:H788" si="155">ROUND(G783*C783,0)</f>
        <v>0</v>
      </c>
      <c r="I783" s="13">
        <v>21498</v>
      </c>
      <c r="J783" s="13">
        <f t="shared" ref="J783:J788" si="156">ROUND(I783*C783,0)</f>
        <v>2622756</v>
      </c>
      <c r="K783" s="13">
        <f t="shared" ref="K783:L788" si="157">E783+G783+I783</f>
        <v>21498</v>
      </c>
      <c r="L783" s="13">
        <f t="shared" si="157"/>
        <v>2622756</v>
      </c>
      <c r="M783" s="11"/>
    </row>
    <row r="784" spans="1:13">
      <c r="A784" s="11" t="s">
        <v>1076</v>
      </c>
      <c r="B784" s="11" t="s">
        <v>1077</v>
      </c>
      <c r="C784" s="13">
        <v>21</v>
      </c>
      <c r="D784" s="15" t="s">
        <v>959</v>
      </c>
      <c r="E784" s="13">
        <v>0</v>
      </c>
      <c r="F784" s="13">
        <f t="shared" si="154"/>
        <v>0</v>
      </c>
      <c r="G784" s="13">
        <v>0</v>
      </c>
      <c r="H784" s="13">
        <f t="shared" si="155"/>
        <v>0</v>
      </c>
      <c r="I784" s="13">
        <v>32522</v>
      </c>
      <c r="J784" s="13">
        <f t="shared" si="156"/>
        <v>682962</v>
      </c>
      <c r="K784" s="13">
        <f t="shared" si="157"/>
        <v>32522</v>
      </c>
      <c r="L784" s="13">
        <f t="shared" si="157"/>
        <v>682962</v>
      </c>
      <c r="M784" s="11"/>
    </row>
    <row r="785" spans="1:13">
      <c r="A785" s="11" t="s">
        <v>1078</v>
      </c>
      <c r="B785" s="11" t="s">
        <v>1079</v>
      </c>
      <c r="C785" s="13">
        <v>169</v>
      </c>
      <c r="D785" s="15" t="s">
        <v>959</v>
      </c>
      <c r="E785" s="13">
        <v>0</v>
      </c>
      <c r="F785" s="13">
        <f t="shared" si="154"/>
        <v>0</v>
      </c>
      <c r="G785" s="13">
        <v>0</v>
      </c>
      <c r="H785" s="13">
        <f t="shared" si="155"/>
        <v>0</v>
      </c>
      <c r="I785" s="13">
        <v>46303</v>
      </c>
      <c r="J785" s="13">
        <f t="shared" si="156"/>
        <v>7825207</v>
      </c>
      <c r="K785" s="13">
        <f t="shared" si="157"/>
        <v>46303</v>
      </c>
      <c r="L785" s="13">
        <f t="shared" si="157"/>
        <v>7825207</v>
      </c>
      <c r="M785" s="11"/>
    </row>
    <row r="786" spans="1:13">
      <c r="A786" s="11" t="s">
        <v>1080</v>
      </c>
      <c r="B786" s="11" t="s">
        <v>1081</v>
      </c>
      <c r="C786" s="13">
        <v>225</v>
      </c>
      <c r="D786" s="15" t="s">
        <v>240</v>
      </c>
      <c r="E786" s="13">
        <v>0</v>
      </c>
      <c r="F786" s="13">
        <f t="shared" si="154"/>
        <v>0</v>
      </c>
      <c r="G786" s="13">
        <v>0</v>
      </c>
      <c r="H786" s="13">
        <f t="shared" si="155"/>
        <v>0</v>
      </c>
      <c r="I786" s="13">
        <v>27561</v>
      </c>
      <c r="J786" s="13">
        <f t="shared" si="156"/>
        <v>6201225</v>
      </c>
      <c r="K786" s="13">
        <f t="shared" si="157"/>
        <v>27561</v>
      </c>
      <c r="L786" s="13">
        <f t="shared" si="157"/>
        <v>6201225</v>
      </c>
      <c r="M786" s="11"/>
    </row>
    <row r="787" spans="1:13">
      <c r="A787" s="11" t="s">
        <v>1121</v>
      </c>
      <c r="B787" s="11" t="s">
        <v>1085</v>
      </c>
      <c r="C787" s="13">
        <v>243</v>
      </c>
      <c r="D787" s="15" t="s">
        <v>240</v>
      </c>
      <c r="E787" s="13">
        <v>0</v>
      </c>
      <c r="F787" s="13">
        <f t="shared" si="154"/>
        <v>0</v>
      </c>
      <c r="G787" s="13">
        <v>0</v>
      </c>
      <c r="H787" s="13">
        <f t="shared" si="155"/>
        <v>0</v>
      </c>
      <c r="I787" s="13">
        <v>20946</v>
      </c>
      <c r="J787" s="13">
        <f t="shared" si="156"/>
        <v>5089878</v>
      </c>
      <c r="K787" s="13">
        <f t="shared" si="157"/>
        <v>20946</v>
      </c>
      <c r="L787" s="13">
        <f t="shared" si="157"/>
        <v>5089878</v>
      </c>
      <c r="M787" s="11"/>
    </row>
    <row r="788" spans="1:13">
      <c r="A788" s="11" t="s">
        <v>1122</v>
      </c>
      <c r="B788" s="11" t="s">
        <v>1087</v>
      </c>
      <c r="C788" s="13">
        <v>29</v>
      </c>
      <c r="D788" s="15" t="s">
        <v>240</v>
      </c>
      <c r="E788" s="13">
        <v>0</v>
      </c>
      <c r="F788" s="13">
        <f t="shared" si="154"/>
        <v>0</v>
      </c>
      <c r="G788" s="13">
        <v>0</v>
      </c>
      <c r="H788" s="13">
        <f t="shared" si="155"/>
        <v>0</v>
      </c>
      <c r="I788" s="13">
        <v>18742</v>
      </c>
      <c r="J788" s="13">
        <f t="shared" si="156"/>
        <v>543518</v>
      </c>
      <c r="K788" s="13">
        <f t="shared" si="157"/>
        <v>18742</v>
      </c>
      <c r="L788" s="13">
        <f t="shared" si="157"/>
        <v>543518</v>
      </c>
      <c r="M788" s="11"/>
    </row>
    <row r="789" spans="1:13">
      <c r="A789" s="11" t="s">
        <v>1088</v>
      </c>
      <c r="B789" s="11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</row>
    <row r="790" spans="1:13">
      <c r="A790" s="11" t="s">
        <v>1089</v>
      </c>
      <c r="B790" s="11" t="s">
        <v>1090</v>
      </c>
      <c r="C790" s="13">
        <v>8</v>
      </c>
      <c r="D790" s="15" t="s">
        <v>1060</v>
      </c>
      <c r="E790" s="13">
        <v>0</v>
      </c>
      <c r="F790" s="13">
        <f>ROUND(E790*C790,0)</f>
        <v>0</v>
      </c>
      <c r="G790" s="13">
        <v>0</v>
      </c>
      <c r="H790" s="13">
        <f>ROUND(G790*C790,0)</f>
        <v>0</v>
      </c>
      <c r="I790" s="13">
        <v>385855</v>
      </c>
      <c r="J790" s="13">
        <f>ROUND(I790*C790,0)</f>
        <v>3086840</v>
      </c>
      <c r="K790" s="13">
        <f t="shared" ref="K790:L793" si="158">E790+G790+I790</f>
        <v>385855</v>
      </c>
      <c r="L790" s="13">
        <f t="shared" si="158"/>
        <v>3086840</v>
      </c>
      <c r="M790" s="11"/>
    </row>
    <row r="791" spans="1:13">
      <c r="A791" s="11" t="s">
        <v>1091</v>
      </c>
      <c r="B791" s="11" t="s">
        <v>1092</v>
      </c>
      <c r="C791" s="13">
        <v>20</v>
      </c>
      <c r="D791" s="15" t="s">
        <v>1093</v>
      </c>
      <c r="E791" s="13">
        <v>0</v>
      </c>
      <c r="F791" s="13">
        <f>ROUND(E791*C791,0)</f>
        <v>0</v>
      </c>
      <c r="G791" s="13">
        <v>0</v>
      </c>
      <c r="H791" s="13">
        <f>ROUND(G791*C791,0)</f>
        <v>0</v>
      </c>
      <c r="I791" s="13">
        <v>17639</v>
      </c>
      <c r="J791" s="13">
        <f>ROUND(I791*C791,0)</f>
        <v>352780</v>
      </c>
      <c r="K791" s="13">
        <f t="shared" si="158"/>
        <v>17639</v>
      </c>
      <c r="L791" s="13">
        <f t="shared" si="158"/>
        <v>352780</v>
      </c>
      <c r="M791" s="11"/>
    </row>
    <row r="792" spans="1:13">
      <c r="A792" s="11" t="s">
        <v>1094</v>
      </c>
      <c r="B792" s="11" t="s">
        <v>1095</v>
      </c>
      <c r="C792" s="13">
        <v>82</v>
      </c>
      <c r="D792" s="15" t="s">
        <v>1093</v>
      </c>
      <c r="E792" s="13">
        <v>0</v>
      </c>
      <c r="F792" s="13">
        <f>ROUND(E792*C792,0)</f>
        <v>0</v>
      </c>
      <c r="G792" s="13">
        <v>0</v>
      </c>
      <c r="H792" s="13">
        <f>ROUND(G792*C792,0)</f>
        <v>0</v>
      </c>
      <c r="I792" s="13">
        <v>14332</v>
      </c>
      <c r="J792" s="13">
        <f>ROUND(I792*C792,0)</f>
        <v>1175224</v>
      </c>
      <c r="K792" s="13">
        <f t="shared" si="158"/>
        <v>14332</v>
      </c>
      <c r="L792" s="13">
        <f t="shared" si="158"/>
        <v>1175224</v>
      </c>
      <c r="M792" s="11"/>
    </row>
    <row r="793" spans="1:13">
      <c r="A793" s="11" t="s">
        <v>1096</v>
      </c>
      <c r="B793" s="11" t="s">
        <v>1092</v>
      </c>
      <c r="C793" s="13">
        <v>88</v>
      </c>
      <c r="D793" s="15" t="s">
        <v>240</v>
      </c>
      <c r="E793" s="13">
        <v>0</v>
      </c>
      <c r="F793" s="13">
        <f>ROUND(E793*C793,0)</f>
        <v>0</v>
      </c>
      <c r="G793" s="13">
        <v>0</v>
      </c>
      <c r="H793" s="13">
        <f>ROUND(G793*C793,0)</f>
        <v>0</v>
      </c>
      <c r="I793" s="13">
        <v>38585</v>
      </c>
      <c r="J793" s="13">
        <f>ROUND(I793*C793,0)</f>
        <v>3395480</v>
      </c>
      <c r="K793" s="13">
        <f t="shared" si="158"/>
        <v>38585</v>
      </c>
      <c r="L793" s="13">
        <f t="shared" si="158"/>
        <v>3395480</v>
      </c>
      <c r="M793" s="11"/>
    </row>
    <row r="794" spans="1:13">
      <c r="A794" s="11" t="s">
        <v>1123</v>
      </c>
      <c r="B794" s="11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</row>
    <row r="795" spans="1:13">
      <c r="A795" s="11" t="s">
        <v>1036</v>
      </c>
      <c r="B795" s="11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</row>
    <row r="796" spans="1:13">
      <c r="A796" s="11" t="s">
        <v>1124</v>
      </c>
      <c r="B796" s="11" t="s">
        <v>1125</v>
      </c>
      <c r="C796" s="13">
        <v>55</v>
      </c>
      <c r="D796" s="15" t="s">
        <v>199</v>
      </c>
      <c r="E796" s="13">
        <v>143420</v>
      </c>
      <c r="F796" s="13">
        <f t="shared" ref="F796:F802" si="159">ROUND(E796*C796,0)</f>
        <v>7888100</v>
      </c>
      <c r="G796" s="13">
        <v>133320</v>
      </c>
      <c r="H796" s="13">
        <f t="shared" ref="H796:H802" si="160">ROUND(G796*C796,0)</f>
        <v>7332600</v>
      </c>
      <c r="I796" s="13">
        <v>23151</v>
      </c>
      <c r="J796" s="13">
        <f t="shared" ref="J796:J802" si="161">ROUND(I796*C796,0)</f>
        <v>1273305</v>
      </c>
      <c r="K796" s="13">
        <f t="shared" ref="K796:L802" si="162">E796+G796+I796</f>
        <v>299891</v>
      </c>
      <c r="L796" s="13">
        <f t="shared" si="162"/>
        <v>16494005</v>
      </c>
      <c r="M796" s="11"/>
    </row>
    <row r="797" spans="1:13">
      <c r="A797" s="11" t="s">
        <v>1126</v>
      </c>
      <c r="B797" s="11" t="s">
        <v>1127</v>
      </c>
      <c r="C797" s="13">
        <v>5</v>
      </c>
      <c r="D797" s="15" t="s">
        <v>199</v>
      </c>
      <c r="E797" s="13">
        <v>242400</v>
      </c>
      <c r="F797" s="13">
        <f t="shared" si="159"/>
        <v>1212000</v>
      </c>
      <c r="G797" s="13">
        <v>252500</v>
      </c>
      <c r="H797" s="13">
        <f t="shared" si="160"/>
        <v>1262500</v>
      </c>
      <c r="I797" s="13">
        <v>66147</v>
      </c>
      <c r="J797" s="13">
        <f t="shared" si="161"/>
        <v>330735</v>
      </c>
      <c r="K797" s="13">
        <f t="shared" si="162"/>
        <v>561047</v>
      </c>
      <c r="L797" s="13">
        <f t="shared" si="162"/>
        <v>2805235</v>
      </c>
      <c r="M797" s="11"/>
    </row>
    <row r="798" spans="1:13">
      <c r="A798" s="11" t="s">
        <v>1128</v>
      </c>
      <c r="B798" s="11" t="s">
        <v>1040</v>
      </c>
      <c r="C798" s="13">
        <v>45</v>
      </c>
      <c r="D798" s="15" t="s">
        <v>199</v>
      </c>
      <c r="E798" s="13">
        <v>0</v>
      </c>
      <c r="F798" s="13">
        <f t="shared" si="159"/>
        <v>0</v>
      </c>
      <c r="G798" s="13">
        <v>0</v>
      </c>
      <c r="H798" s="13">
        <f t="shared" si="160"/>
        <v>0</v>
      </c>
      <c r="I798" s="13">
        <v>937076</v>
      </c>
      <c r="J798" s="13">
        <f t="shared" si="161"/>
        <v>42168420</v>
      </c>
      <c r="K798" s="13">
        <f t="shared" si="162"/>
        <v>937076</v>
      </c>
      <c r="L798" s="13">
        <f t="shared" si="162"/>
        <v>42168420</v>
      </c>
      <c r="M798" s="11"/>
    </row>
    <row r="799" spans="1:13">
      <c r="A799" s="11" t="s">
        <v>1129</v>
      </c>
      <c r="B799" s="11" t="s">
        <v>1051</v>
      </c>
      <c r="C799" s="13">
        <v>35</v>
      </c>
      <c r="D799" s="15" t="s">
        <v>199</v>
      </c>
      <c r="E799" s="13">
        <v>0</v>
      </c>
      <c r="F799" s="13">
        <f t="shared" si="159"/>
        <v>0</v>
      </c>
      <c r="G799" s="13">
        <v>0</v>
      </c>
      <c r="H799" s="13">
        <f t="shared" si="160"/>
        <v>0</v>
      </c>
      <c r="I799" s="13">
        <v>165366</v>
      </c>
      <c r="J799" s="13">
        <f t="shared" si="161"/>
        <v>5787810</v>
      </c>
      <c r="K799" s="13">
        <f t="shared" si="162"/>
        <v>165366</v>
      </c>
      <c r="L799" s="13">
        <f t="shared" si="162"/>
        <v>5787810</v>
      </c>
      <c r="M799" s="11"/>
    </row>
    <row r="800" spans="1:13">
      <c r="A800" s="11" t="s">
        <v>1130</v>
      </c>
      <c r="B800" s="11" t="s">
        <v>1048</v>
      </c>
      <c r="C800" s="13">
        <v>35</v>
      </c>
      <c r="D800" s="15" t="s">
        <v>199</v>
      </c>
      <c r="E800" s="13">
        <v>0</v>
      </c>
      <c r="F800" s="13">
        <f t="shared" si="159"/>
        <v>0</v>
      </c>
      <c r="G800" s="13">
        <v>0</v>
      </c>
      <c r="H800" s="13">
        <f t="shared" si="160"/>
        <v>0</v>
      </c>
      <c r="I800" s="13">
        <v>165366</v>
      </c>
      <c r="J800" s="13">
        <f t="shared" si="161"/>
        <v>5787810</v>
      </c>
      <c r="K800" s="13">
        <f t="shared" si="162"/>
        <v>165366</v>
      </c>
      <c r="L800" s="13">
        <f t="shared" si="162"/>
        <v>5787810</v>
      </c>
      <c r="M800" s="11"/>
    </row>
    <row r="801" spans="1:13">
      <c r="A801" s="11" t="s">
        <v>1131</v>
      </c>
      <c r="B801" s="11" t="s">
        <v>1053</v>
      </c>
      <c r="C801" s="13">
        <v>1470</v>
      </c>
      <c r="D801" s="15" t="s">
        <v>199</v>
      </c>
      <c r="E801" s="13">
        <v>0</v>
      </c>
      <c r="F801" s="13">
        <f t="shared" si="159"/>
        <v>0</v>
      </c>
      <c r="G801" s="13">
        <v>0</v>
      </c>
      <c r="H801" s="13">
        <f t="shared" si="160"/>
        <v>0</v>
      </c>
      <c r="I801" s="13">
        <v>3859</v>
      </c>
      <c r="J801" s="13">
        <f t="shared" si="161"/>
        <v>5672730</v>
      </c>
      <c r="K801" s="13">
        <f t="shared" si="162"/>
        <v>3859</v>
      </c>
      <c r="L801" s="13">
        <f t="shared" si="162"/>
        <v>5672730</v>
      </c>
      <c r="M801" s="11"/>
    </row>
    <row r="802" spans="1:13">
      <c r="A802" s="11" t="s">
        <v>1132</v>
      </c>
      <c r="B802" s="11" t="s">
        <v>121</v>
      </c>
      <c r="C802" s="13">
        <v>2900</v>
      </c>
      <c r="D802" s="15" t="s">
        <v>102</v>
      </c>
      <c r="E802" s="13">
        <v>0</v>
      </c>
      <c r="F802" s="13">
        <f t="shared" si="159"/>
        <v>0</v>
      </c>
      <c r="G802" s="13">
        <v>0</v>
      </c>
      <c r="H802" s="13">
        <f t="shared" si="160"/>
        <v>0</v>
      </c>
      <c r="I802" s="13">
        <v>8268</v>
      </c>
      <c r="J802" s="13">
        <f t="shared" si="161"/>
        <v>23977200</v>
      </c>
      <c r="K802" s="13">
        <f t="shared" si="162"/>
        <v>8268</v>
      </c>
      <c r="L802" s="13">
        <f t="shared" si="162"/>
        <v>23977200</v>
      </c>
      <c r="M802" s="11"/>
    </row>
    <row r="803" spans="1:13">
      <c r="A803" s="11" t="s">
        <v>1133</v>
      </c>
      <c r="B803" s="11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</row>
    <row r="804" spans="1:13">
      <c r="A804" s="11" t="s">
        <v>1036</v>
      </c>
      <c r="B804" s="11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</row>
    <row r="805" spans="1:13">
      <c r="A805" s="11" t="s">
        <v>1124</v>
      </c>
      <c r="B805" s="11" t="s">
        <v>1134</v>
      </c>
      <c r="C805" s="13">
        <v>300</v>
      </c>
      <c r="D805" s="15" t="s">
        <v>199</v>
      </c>
      <c r="E805" s="13">
        <v>143420</v>
      </c>
      <c r="F805" s="13">
        <f t="shared" ref="F805:F812" si="163">ROUND(E805*C805,0)</f>
        <v>43026000</v>
      </c>
      <c r="G805" s="13">
        <v>133320</v>
      </c>
      <c r="H805" s="13">
        <f t="shared" ref="H805:H812" si="164">ROUND(G805*C805,0)</f>
        <v>39996000</v>
      </c>
      <c r="I805" s="13">
        <v>23151</v>
      </c>
      <c r="J805" s="13">
        <f t="shared" ref="J805:J812" si="165">ROUND(I805*C805,0)</f>
        <v>6945300</v>
      </c>
      <c r="K805" s="13">
        <f t="shared" ref="K805:L812" si="166">E805+G805+I805</f>
        <v>299891</v>
      </c>
      <c r="L805" s="13">
        <f t="shared" si="166"/>
        <v>89967300</v>
      </c>
      <c r="M805" s="11"/>
    </row>
    <row r="806" spans="1:13">
      <c r="A806" s="11" t="s">
        <v>1135</v>
      </c>
      <c r="B806" s="11" t="s">
        <v>1127</v>
      </c>
      <c r="C806" s="13">
        <v>26</v>
      </c>
      <c r="D806" s="15" t="s">
        <v>199</v>
      </c>
      <c r="E806" s="13">
        <v>143420</v>
      </c>
      <c r="F806" s="13">
        <f t="shared" si="163"/>
        <v>3728920</v>
      </c>
      <c r="G806" s="13">
        <v>133320</v>
      </c>
      <c r="H806" s="13">
        <f t="shared" si="164"/>
        <v>3466320</v>
      </c>
      <c r="I806" s="13">
        <v>23151</v>
      </c>
      <c r="J806" s="13">
        <f t="shared" si="165"/>
        <v>601926</v>
      </c>
      <c r="K806" s="13">
        <f t="shared" si="166"/>
        <v>299891</v>
      </c>
      <c r="L806" s="13">
        <f t="shared" si="166"/>
        <v>7797166</v>
      </c>
      <c r="M806" s="11"/>
    </row>
    <row r="807" spans="1:13">
      <c r="A807" s="11" t="s">
        <v>1136</v>
      </c>
      <c r="B807" s="11" t="s">
        <v>1137</v>
      </c>
      <c r="C807" s="13">
        <v>5</v>
      </c>
      <c r="D807" s="15" t="s">
        <v>199</v>
      </c>
      <c r="E807" s="13">
        <v>242400</v>
      </c>
      <c r="F807" s="13">
        <f t="shared" si="163"/>
        <v>1212000</v>
      </c>
      <c r="G807" s="13">
        <v>252500</v>
      </c>
      <c r="H807" s="13">
        <f t="shared" si="164"/>
        <v>1262500</v>
      </c>
      <c r="I807" s="13">
        <v>66147</v>
      </c>
      <c r="J807" s="13">
        <f t="shared" si="165"/>
        <v>330735</v>
      </c>
      <c r="K807" s="13">
        <f t="shared" si="166"/>
        <v>561047</v>
      </c>
      <c r="L807" s="13">
        <f t="shared" si="166"/>
        <v>2805235</v>
      </c>
      <c r="M807" s="11"/>
    </row>
    <row r="808" spans="1:13">
      <c r="A808" s="11" t="s">
        <v>1138</v>
      </c>
      <c r="B808" s="11" t="s">
        <v>1040</v>
      </c>
      <c r="C808" s="13">
        <v>141</v>
      </c>
      <c r="D808" s="15" t="s">
        <v>199</v>
      </c>
      <c r="E808" s="13">
        <v>0</v>
      </c>
      <c r="F808" s="13">
        <f t="shared" si="163"/>
        <v>0</v>
      </c>
      <c r="G808" s="13">
        <v>0</v>
      </c>
      <c r="H808" s="13">
        <f t="shared" si="164"/>
        <v>0</v>
      </c>
      <c r="I808" s="13">
        <v>937076</v>
      </c>
      <c r="J808" s="13">
        <f t="shared" si="165"/>
        <v>132127716</v>
      </c>
      <c r="K808" s="13">
        <f t="shared" si="166"/>
        <v>937076</v>
      </c>
      <c r="L808" s="13">
        <f t="shared" si="166"/>
        <v>132127716</v>
      </c>
      <c r="M808" s="11"/>
    </row>
    <row r="809" spans="1:13">
      <c r="A809" s="11" t="s">
        <v>1139</v>
      </c>
      <c r="B809" s="11" t="s">
        <v>1051</v>
      </c>
      <c r="C809" s="13">
        <v>50</v>
      </c>
      <c r="D809" s="15" t="s">
        <v>199</v>
      </c>
      <c r="E809" s="13">
        <v>0</v>
      </c>
      <c r="F809" s="13">
        <f t="shared" si="163"/>
        <v>0</v>
      </c>
      <c r="G809" s="13">
        <v>0</v>
      </c>
      <c r="H809" s="13">
        <f t="shared" si="164"/>
        <v>0</v>
      </c>
      <c r="I809" s="13">
        <v>165366</v>
      </c>
      <c r="J809" s="13">
        <f t="shared" si="165"/>
        <v>8268300</v>
      </c>
      <c r="K809" s="13">
        <f t="shared" si="166"/>
        <v>165366</v>
      </c>
      <c r="L809" s="13">
        <f t="shared" si="166"/>
        <v>8268300</v>
      </c>
      <c r="M809" s="11"/>
    </row>
    <row r="810" spans="1:13">
      <c r="A810" s="11" t="s">
        <v>1047</v>
      </c>
      <c r="B810" s="11" t="s">
        <v>1048</v>
      </c>
      <c r="C810" s="13">
        <v>45</v>
      </c>
      <c r="D810" s="15" t="s">
        <v>199</v>
      </c>
      <c r="E810" s="13">
        <v>0</v>
      </c>
      <c r="F810" s="13">
        <f t="shared" si="163"/>
        <v>0</v>
      </c>
      <c r="G810" s="13">
        <v>0</v>
      </c>
      <c r="H810" s="13">
        <f t="shared" si="164"/>
        <v>0</v>
      </c>
      <c r="I810" s="13">
        <v>165366</v>
      </c>
      <c r="J810" s="13">
        <f t="shared" si="165"/>
        <v>7441470</v>
      </c>
      <c r="K810" s="13">
        <f t="shared" si="166"/>
        <v>165366</v>
      </c>
      <c r="L810" s="13">
        <f t="shared" si="166"/>
        <v>7441470</v>
      </c>
      <c r="M810" s="11"/>
    </row>
    <row r="811" spans="1:13">
      <c r="A811" s="11" t="s">
        <v>1140</v>
      </c>
      <c r="B811" s="11" t="s">
        <v>1053</v>
      </c>
      <c r="C811" s="13">
        <v>2670</v>
      </c>
      <c r="D811" s="15" t="s">
        <v>199</v>
      </c>
      <c r="E811" s="13">
        <v>0</v>
      </c>
      <c r="F811" s="13">
        <f t="shared" si="163"/>
        <v>0</v>
      </c>
      <c r="G811" s="13">
        <v>0</v>
      </c>
      <c r="H811" s="13">
        <f t="shared" si="164"/>
        <v>0</v>
      </c>
      <c r="I811" s="13">
        <v>3859</v>
      </c>
      <c r="J811" s="13">
        <f t="shared" si="165"/>
        <v>10303530</v>
      </c>
      <c r="K811" s="13">
        <f t="shared" si="166"/>
        <v>3859</v>
      </c>
      <c r="L811" s="13">
        <f t="shared" si="166"/>
        <v>10303530</v>
      </c>
      <c r="M811" s="11"/>
    </row>
    <row r="812" spans="1:13">
      <c r="A812" s="11" t="s">
        <v>1141</v>
      </c>
      <c r="B812" s="11" t="s">
        <v>121</v>
      </c>
      <c r="C812" s="13">
        <v>7300</v>
      </c>
      <c r="D812" s="15" t="s">
        <v>102</v>
      </c>
      <c r="E812" s="13">
        <v>0</v>
      </c>
      <c r="F812" s="13">
        <f t="shared" si="163"/>
        <v>0</v>
      </c>
      <c r="G812" s="13">
        <v>0</v>
      </c>
      <c r="H812" s="13">
        <f t="shared" si="164"/>
        <v>0</v>
      </c>
      <c r="I812" s="13">
        <v>8268</v>
      </c>
      <c r="J812" s="13">
        <f t="shared" si="165"/>
        <v>60356400</v>
      </c>
      <c r="K812" s="13">
        <f t="shared" si="166"/>
        <v>8268</v>
      </c>
      <c r="L812" s="13">
        <f t="shared" si="166"/>
        <v>60356400</v>
      </c>
      <c r="M812" s="11"/>
    </row>
    <row r="813" spans="1:13">
      <c r="A813" s="11" t="s">
        <v>1142</v>
      </c>
      <c r="B813" s="11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</row>
    <row r="814" spans="1:13">
      <c r="A814" s="11" t="s">
        <v>1036</v>
      </c>
      <c r="B814" s="11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</row>
    <row r="815" spans="1:13">
      <c r="A815" s="11" t="s">
        <v>1143</v>
      </c>
      <c r="B815" s="11" t="s">
        <v>1144</v>
      </c>
      <c r="C815" s="13">
        <v>144</v>
      </c>
      <c r="D815" s="15" t="s">
        <v>199</v>
      </c>
      <c r="E815" s="13">
        <v>0</v>
      </c>
      <c r="F815" s="13">
        <f>ROUND(E815*C815,0)</f>
        <v>0</v>
      </c>
      <c r="G815" s="13">
        <v>0</v>
      </c>
      <c r="H815" s="13">
        <f>ROUND(G815*C815,0)</f>
        <v>0</v>
      </c>
      <c r="I815" s="13">
        <v>3859</v>
      </c>
      <c r="J815" s="13">
        <f>ROUND(I815*C815,0)</f>
        <v>555696</v>
      </c>
      <c r="K815" s="13">
        <f>E815+G815+I815</f>
        <v>3859</v>
      </c>
      <c r="L815" s="13">
        <f>F815+H815+J815</f>
        <v>555696</v>
      </c>
      <c r="M815" s="11"/>
    </row>
    <row r="816" spans="1:13">
      <c r="A816" s="11" t="s">
        <v>1057</v>
      </c>
      <c r="B816" s="11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</row>
    <row r="817" spans="1:13">
      <c r="A817" s="11" t="s">
        <v>1145</v>
      </c>
      <c r="B817" s="11" t="s">
        <v>1146</v>
      </c>
      <c r="C817" s="13">
        <v>144</v>
      </c>
      <c r="D817" s="15" t="s">
        <v>1060</v>
      </c>
      <c r="E817" s="13">
        <v>111100</v>
      </c>
      <c r="F817" s="13">
        <f>ROUND(E817*C817,0)</f>
        <v>15998400</v>
      </c>
      <c r="G817" s="13">
        <v>3030</v>
      </c>
      <c r="H817" s="13">
        <f>ROUND(G817*C817,0)</f>
        <v>436320</v>
      </c>
      <c r="I817" s="13">
        <v>0</v>
      </c>
      <c r="J817" s="13">
        <f>ROUND(I817*C817,0)</f>
        <v>0</v>
      </c>
      <c r="K817" s="13">
        <f t="shared" ref="K817:L820" si="167">E817+G817+I817</f>
        <v>114130</v>
      </c>
      <c r="L817" s="13">
        <f t="shared" si="167"/>
        <v>16434720</v>
      </c>
      <c r="M817" s="11"/>
    </row>
    <row r="818" spans="1:13" ht="33">
      <c r="A818" s="11" t="s">
        <v>1147</v>
      </c>
      <c r="B818" s="11"/>
      <c r="C818" s="13">
        <v>1</v>
      </c>
      <c r="D818" s="15" t="s">
        <v>1148</v>
      </c>
      <c r="E818" s="13">
        <v>0</v>
      </c>
      <c r="F818" s="13">
        <f>ROUND(E818*C818,0)</f>
        <v>0</v>
      </c>
      <c r="G818" s="13">
        <v>0</v>
      </c>
      <c r="H818" s="13">
        <f>ROUND(G818*C818,0)</f>
        <v>0</v>
      </c>
      <c r="I818" s="13">
        <v>0</v>
      </c>
      <c r="J818" s="13">
        <f>ROUND(I818*C818,0)</f>
        <v>0</v>
      </c>
      <c r="K818" s="13">
        <f t="shared" si="167"/>
        <v>0</v>
      </c>
      <c r="L818" s="13">
        <f t="shared" si="167"/>
        <v>0</v>
      </c>
      <c r="M818" s="11" t="s">
        <v>1149</v>
      </c>
    </row>
    <row r="819" spans="1:13" ht="33">
      <c r="A819" s="11" t="s">
        <v>1150</v>
      </c>
      <c r="B819" s="11"/>
      <c r="C819" s="13">
        <v>1</v>
      </c>
      <c r="D819" s="15" t="s">
        <v>1148</v>
      </c>
      <c r="E819" s="13">
        <v>0</v>
      </c>
      <c r="F819" s="13">
        <f>ROUND(E819*C819,0)</f>
        <v>0</v>
      </c>
      <c r="G819" s="13">
        <v>0</v>
      </c>
      <c r="H819" s="13">
        <f>ROUND(G819*C819,0)</f>
        <v>0</v>
      </c>
      <c r="I819" s="13">
        <v>0</v>
      </c>
      <c r="J819" s="13">
        <f>ROUND(I819*C819,0)</f>
        <v>0</v>
      </c>
      <c r="K819" s="13">
        <f t="shared" si="167"/>
        <v>0</v>
      </c>
      <c r="L819" s="13">
        <f t="shared" si="167"/>
        <v>0</v>
      </c>
      <c r="M819" s="11" t="s">
        <v>1149</v>
      </c>
    </row>
    <row r="820" spans="1:13" ht="49.5">
      <c r="A820" s="11" t="s">
        <v>1151</v>
      </c>
      <c r="B820" s="11"/>
      <c r="C820" s="13">
        <v>1</v>
      </c>
      <c r="D820" s="15" t="s">
        <v>1152</v>
      </c>
      <c r="E820" s="13">
        <v>0</v>
      </c>
      <c r="F820" s="13">
        <f>ROUND(E820*C820,0)</f>
        <v>0</v>
      </c>
      <c r="G820" s="13">
        <v>0</v>
      </c>
      <c r="H820" s="13">
        <f>ROUND(G820*C820,0)</f>
        <v>0</v>
      </c>
      <c r="I820" s="13">
        <v>0</v>
      </c>
      <c r="J820" s="13">
        <f>ROUND(I820*C820,0)</f>
        <v>0</v>
      </c>
      <c r="K820" s="13">
        <f t="shared" si="167"/>
        <v>0</v>
      </c>
      <c r="L820" s="13">
        <f t="shared" si="167"/>
        <v>0</v>
      </c>
      <c r="M820" s="11" t="s">
        <v>1153</v>
      </c>
    </row>
    <row r="821" spans="1:13">
      <c r="A821" s="11" t="s">
        <v>1154</v>
      </c>
      <c r="B821" s="11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 spans="1:13" ht="49.5">
      <c r="A822" s="11" t="s">
        <v>1155</v>
      </c>
      <c r="B822" s="11" t="s">
        <v>1156</v>
      </c>
      <c r="C822" s="13">
        <v>14</v>
      </c>
      <c r="D822" s="15" t="s">
        <v>1157</v>
      </c>
      <c r="E822" s="13">
        <v>0</v>
      </c>
      <c r="F822" s="13">
        <f>ROUND(E822*C822,0)</f>
        <v>0</v>
      </c>
      <c r="G822" s="13">
        <v>0</v>
      </c>
      <c r="H822" s="13">
        <f>ROUND(G822*C822,0)</f>
        <v>0</v>
      </c>
      <c r="I822" s="13">
        <v>0</v>
      </c>
      <c r="J822" s="13">
        <f>ROUND(I822*C822,0)</f>
        <v>0</v>
      </c>
      <c r="K822" s="13">
        <f>E822+G822+I822</f>
        <v>0</v>
      </c>
      <c r="L822" s="13">
        <f>F822+H822+J822</f>
        <v>0</v>
      </c>
      <c r="M822" s="11" t="s">
        <v>1153</v>
      </c>
    </row>
    <row r="823" spans="1:13">
      <c r="A823" s="19" t="s">
        <v>1158</v>
      </c>
      <c r="B823" s="20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</row>
    <row r="824" spans="1:13">
      <c r="A824" s="19" t="s">
        <v>1159</v>
      </c>
      <c r="B824" s="20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</row>
    <row r="825" spans="1:13">
      <c r="A825" s="19" t="s">
        <v>1158</v>
      </c>
      <c r="B825" s="20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</row>
    <row r="826" spans="1:13">
      <c r="A826" s="11" t="s">
        <v>1160</v>
      </c>
      <c r="B826" s="11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</row>
    <row r="827" spans="1:13">
      <c r="A827" s="19" t="s">
        <v>1159</v>
      </c>
      <c r="B827" s="20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</row>
    <row r="828" spans="1:13">
      <c r="A828" s="5" t="s">
        <v>1161</v>
      </c>
      <c r="B828" s="6"/>
      <c r="C828" s="6"/>
      <c r="D828" s="6"/>
      <c r="E828" s="6"/>
      <c r="F828" s="9">
        <f>F4+F83+F220+F288+F417+F514+F567+F624+F704+F720</f>
        <v>1925138664</v>
      </c>
      <c r="G828" s="6"/>
      <c r="H828" s="9">
        <f>H4+H83+H220+H288+H417+H514+H567+H624+H704+H720</f>
        <v>969436568</v>
      </c>
      <c r="I828" s="6"/>
      <c r="J828" s="9">
        <f>J4+J83+J220+J288+J417+J514+J567+J624+J704+J720</f>
        <v>2248494057</v>
      </c>
      <c r="K828" s="6"/>
      <c r="L828" s="9">
        <f>F828+H828+J828</f>
        <v>5143069289</v>
      </c>
      <c r="M828" s="6"/>
    </row>
    <row r="830" spans="1:13">
      <c r="A830" s="46" t="s">
        <v>1162</v>
      </c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</row>
    <row r="831" spans="1:13">
      <c r="A831" s="19" t="s">
        <v>98</v>
      </c>
      <c r="B831" s="20"/>
      <c r="C831" s="21"/>
      <c r="D831" s="21"/>
      <c r="E831" s="21"/>
      <c r="F831" s="22">
        <f>SUM(F833:F869)</f>
        <v>11155930</v>
      </c>
      <c r="G831" s="21"/>
      <c r="H831" s="22">
        <f>SUM(H833:H869)</f>
        <v>21570204</v>
      </c>
      <c r="I831" s="21"/>
      <c r="J831" s="22">
        <f>SUM(J833:J869)</f>
        <v>62251066</v>
      </c>
      <c r="K831" s="21"/>
      <c r="L831" s="22">
        <f>F831+H831+J831</f>
        <v>94977200</v>
      </c>
      <c r="M831" s="21"/>
    </row>
    <row r="832" spans="1:13">
      <c r="A832" s="11" t="s">
        <v>1163</v>
      </c>
      <c r="B832" s="11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</row>
    <row r="833" spans="1:13">
      <c r="A833" s="11" t="s">
        <v>1164</v>
      </c>
      <c r="B833" s="11" t="s">
        <v>1165</v>
      </c>
      <c r="C833" s="13">
        <v>1418</v>
      </c>
      <c r="D833" s="15" t="s">
        <v>959</v>
      </c>
      <c r="E833" s="13">
        <v>0</v>
      </c>
      <c r="F833" s="13">
        <f>ROUND(E833*C833,0)</f>
        <v>0</v>
      </c>
      <c r="G833" s="13">
        <v>721</v>
      </c>
      <c r="H833" s="13">
        <f>ROUND(G833*C833,0)</f>
        <v>1022378</v>
      </c>
      <c r="I833" s="13">
        <v>1124</v>
      </c>
      <c r="J833" s="13">
        <f>ROUND(I833*C833,0)</f>
        <v>1593832</v>
      </c>
      <c r="K833" s="13">
        <f>E833+G833+I833</f>
        <v>1845</v>
      </c>
      <c r="L833" s="13">
        <f>F833+H833+J833</f>
        <v>2616210</v>
      </c>
      <c r="M833" s="11"/>
    </row>
    <row r="834" spans="1:13">
      <c r="A834" s="11" t="s">
        <v>1166</v>
      </c>
      <c r="B834" s="11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</row>
    <row r="835" spans="1:13">
      <c r="A835" s="11" t="s">
        <v>120</v>
      </c>
      <c r="B835" s="11" t="s">
        <v>121</v>
      </c>
      <c r="C835" s="13">
        <v>1640</v>
      </c>
      <c r="D835" s="15" t="s">
        <v>102</v>
      </c>
      <c r="E835" s="13">
        <v>6386</v>
      </c>
      <c r="F835" s="13">
        <f>ROUND(E835*C835,0)</f>
        <v>10473040</v>
      </c>
      <c r="G835" s="13">
        <v>1339</v>
      </c>
      <c r="H835" s="13">
        <f>ROUND(G835*C835,0)</f>
        <v>2195960</v>
      </c>
      <c r="I835" s="13">
        <v>0</v>
      </c>
      <c r="J835" s="13">
        <f>ROUND(I835*C835,0)</f>
        <v>0</v>
      </c>
      <c r="K835" s="13">
        <f>E835+G835+I835</f>
        <v>7725</v>
      </c>
      <c r="L835" s="13">
        <f>F835+H835+J835</f>
        <v>12669000</v>
      </c>
      <c r="M835" s="11"/>
    </row>
    <row r="836" spans="1:13">
      <c r="A836" s="11" t="s">
        <v>122</v>
      </c>
      <c r="B836" s="11" t="s">
        <v>123</v>
      </c>
      <c r="C836" s="13">
        <v>0</v>
      </c>
      <c r="D836" s="15" t="s">
        <v>102</v>
      </c>
      <c r="E836" s="13">
        <v>0</v>
      </c>
      <c r="F836" s="13">
        <f>ROUND(E836*C836,0)</f>
        <v>0</v>
      </c>
      <c r="G836" s="13">
        <v>0</v>
      </c>
      <c r="H836" s="13">
        <f>ROUND(G836*C836,0)</f>
        <v>0</v>
      </c>
      <c r="I836" s="13">
        <v>0</v>
      </c>
      <c r="J836" s="13">
        <f>ROUND(I836*C836,0)</f>
        <v>0</v>
      </c>
      <c r="K836" s="13">
        <f>E836+G836+I836</f>
        <v>0</v>
      </c>
      <c r="L836" s="13">
        <f>F836+H836+J836</f>
        <v>0</v>
      </c>
      <c r="M836" s="11"/>
    </row>
    <row r="837" spans="1:13">
      <c r="A837" s="11" t="s">
        <v>1167</v>
      </c>
      <c r="B837" s="11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</row>
    <row r="838" spans="1:13">
      <c r="A838" s="11" t="s">
        <v>125</v>
      </c>
      <c r="B838" s="11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</row>
    <row r="839" spans="1:13">
      <c r="A839" s="11" t="s">
        <v>128</v>
      </c>
      <c r="B839" s="11" t="s">
        <v>129</v>
      </c>
      <c r="C839" s="13">
        <v>725</v>
      </c>
      <c r="D839" s="15" t="s">
        <v>108</v>
      </c>
      <c r="E839" s="13">
        <v>0</v>
      </c>
      <c r="F839" s="13">
        <f>ROUND(E839*C839,0)</f>
        <v>0</v>
      </c>
      <c r="G839" s="13">
        <v>375</v>
      </c>
      <c r="H839" s="13">
        <f>ROUND(G839*C839,0)</f>
        <v>271875</v>
      </c>
      <c r="I839" s="13">
        <v>2100</v>
      </c>
      <c r="J839" s="13">
        <f>ROUND(I839*C839,0)</f>
        <v>1522500</v>
      </c>
      <c r="K839" s="13">
        <f>E839+G839+I839</f>
        <v>2475</v>
      </c>
      <c r="L839" s="13">
        <f>F839+H839+J839</f>
        <v>1794375</v>
      </c>
      <c r="M839" s="11"/>
    </row>
    <row r="840" spans="1:13">
      <c r="A840" s="11" t="s">
        <v>1168</v>
      </c>
      <c r="B840" s="11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</row>
    <row r="841" spans="1:13" ht="33">
      <c r="A841" s="11" t="s">
        <v>144</v>
      </c>
      <c r="B841" s="11" t="s">
        <v>145</v>
      </c>
      <c r="C841" s="13">
        <v>142</v>
      </c>
      <c r="D841" s="15" t="s">
        <v>108</v>
      </c>
      <c r="E841" s="13">
        <v>0</v>
      </c>
      <c r="F841" s="13">
        <f>ROUND(E841*C841,0)</f>
        <v>0</v>
      </c>
      <c r="G841" s="13">
        <v>319</v>
      </c>
      <c r="H841" s="13">
        <f>ROUND(G841*C841,0)</f>
        <v>45298</v>
      </c>
      <c r="I841" s="13">
        <v>1787</v>
      </c>
      <c r="J841" s="13">
        <f>ROUND(I841*C841,0)</f>
        <v>253754</v>
      </c>
      <c r="K841" s="13">
        <f>E841+G841+I841</f>
        <v>2106</v>
      </c>
      <c r="L841" s="13">
        <f>F841+H841+J841</f>
        <v>299052</v>
      </c>
      <c r="M841" s="11"/>
    </row>
    <row r="842" spans="1:13">
      <c r="A842" s="11" t="s">
        <v>1169</v>
      </c>
      <c r="B842" s="11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</row>
    <row r="843" spans="1:13">
      <c r="A843" s="11" t="s">
        <v>1170</v>
      </c>
      <c r="B843" s="11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</row>
    <row r="844" spans="1:13" ht="33">
      <c r="A844" s="11" t="s">
        <v>152</v>
      </c>
      <c r="B844" s="11" t="s">
        <v>153</v>
      </c>
      <c r="C844" s="13">
        <v>1710</v>
      </c>
      <c r="D844" s="15" t="s">
        <v>108</v>
      </c>
      <c r="E844" s="13">
        <v>0</v>
      </c>
      <c r="F844" s="13">
        <f>ROUND(E844*C844,0)</f>
        <v>0</v>
      </c>
      <c r="G844" s="13">
        <v>494</v>
      </c>
      <c r="H844" s="13">
        <f>ROUND(G844*C844,0)</f>
        <v>844740</v>
      </c>
      <c r="I844" s="13">
        <v>3133</v>
      </c>
      <c r="J844" s="13">
        <f>ROUND(I844*C844,0)</f>
        <v>5357430</v>
      </c>
      <c r="K844" s="13">
        <f>E844+G844+I844</f>
        <v>3627</v>
      </c>
      <c r="L844" s="13">
        <f>F844+H844+J844</f>
        <v>6202170</v>
      </c>
      <c r="M844" s="11"/>
    </row>
    <row r="845" spans="1:13">
      <c r="A845" s="11" t="s">
        <v>1171</v>
      </c>
      <c r="B845" s="11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</row>
    <row r="846" spans="1:13" ht="33">
      <c r="A846" s="11" t="s">
        <v>152</v>
      </c>
      <c r="B846" s="11" t="s">
        <v>155</v>
      </c>
      <c r="C846" s="13">
        <v>25732</v>
      </c>
      <c r="D846" s="15" t="s">
        <v>108</v>
      </c>
      <c r="E846" s="13">
        <v>0</v>
      </c>
      <c r="F846" s="13">
        <f>ROUND(E846*C846,0)</f>
        <v>0</v>
      </c>
      <c r="G846" s="13">
        <v>494</v>
      </c>
      <c r="H846" s="13">
        <f>ROUND(G846*C846,0)</f>
        <v>12711608</v>
      </c>
      <c r="I846" s="13">
        <v>1871</v>
      </c>
      <c r="J846" s="13">
        <f>ROUND(I846*C846,0)</f>
        <v>48144572</v>
      </c>
      <c r="K846" s="13">
        <f>E846+G846+I846</f>
        <v>2365</v>
      </c>
      <c r="L846" s="13">
        <f>F846+H846+J846</f>
        <v>60856180</v>
      </c>
      <c r="M846" s="11"/>
    </row>
    <row r="847" spans="1:13">
      <c r="A847" s="11" t="s">
        <v>1172</v>
      </c>
      <c r="B847" s="11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</row>
    <row r="848" spans="1:13" ht="33">
      <c r="A848" s="11" t="s">
        <v>152</v>
      </c>
      <c r="B848" s="11" t="s">
        <v>155</v>
      </c>
      <c r="C848" s="13">
        <v>34</v>
      </c>
      <c r="D848" s="15" t="s">
        <v>108</v>
      </c>
      <c r="E848" s="13">
        <v>0</v>
      </c>
      <c r="F848" s="13">
        <f>ROUND(E848*C848,0)</f>
        <v>0</v>
      </c>
      <c r="G848" s="13">
        <v>494</v>
      </c>
      <c r="H848" s="13">
        <f>ROUND(G848*C848,0)</f>
        <v>16796</v>
      </c>
      <c r="I848" s="13">
        <v>1871</v>
      </c>
      <c r="J848" s="13">
        <f>ROUND(I848*C848,0)</f>
        <v>63614</v>
      </c>
      <c r="K848" s="13">
        <f>E848+G848+I848</f>
        <v>2365</v>
      </c>
      <c r="L848" s="13">
        <f>F848+H848+J848</f>
        <v>80410</v>
      </c>
      <c r="M848" s="11"/>
    </row>
    <row r="849" spans="1:13">
      <c r="A849" s="11" t="s">
        <v>1173</v>
      </c>
      <c r="B849" s="11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</row>
    <row r="850" spans="1:13">
      <c r="A850" s="11" t="s">
        <v>1174</v>
      </c>
      <c r="B850" s="11"/>
      <c r="C850" s="13">
        <v>774</v>
      </c>
      <c r="D850" s="15" t="s">
        <v>1024</v>
      </c>
      <c r="E850" s="13">
        <v>0</v>
      </c>
      <c r="F850" s="13">
        <f>ROUND(E850*C850,0)</f>
        <v>0</v>
      </c>
      <c r="G850" s="13">
        <v>351</v>
      </c>
      <c r="H850" s="13">
        <f>ROUND(G850*C850,0)</f>
        <v>271674</v>
      </c>
      <c r="I850" s="13">
        <v>1968</v>
      </c>
      <c r="J850" s="13">
        <f>ROUND(I850*C850,0)</f>
        <v>1523232</v>
      </c>
      <c r="K850" s="13">
        <f>E850+G850+I850</f>
        <v>2319</v>
      </c>
      <c r="L850" s="13">
        <f>F850+H850+J850</f>
        <v>1794906</v>
      </c>
      <c r="M850" s="11"/>
    </row>
    <row r="851" spans="1:13">
      <c r="A851" s="11" t="s">
        <v>157</v>
      </c>
      <c r="B851" s="11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</row>
    <row r="852" spans="1:13">
      <c r="A852" s="11" t="s">
        <v>158</v>
      </c>
      <c r="B852" s="11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</row>
    <row r="853" spans="1:13">
      <c r="A853" s="11" t="s">
        <v>159</v>
      </c>
      <c r="B853" s="11"/>
      <c r="C853" s="13">
        <v>1266</v>
      </c>
      <c r="D853" s="15" t="s">
        <v>108</v>
      </c>
      <c r="E853" s="13">
        <v>0</v>
      </c>
      <c r="F853" s="13">
        <f>ROUND(E853*C853,0)</f>
        <v>0</v>
      </c>
      <c r="G853" s="13">
        <v>72</v>
      </c>
      <c r="H853" s="13">
        <f>ROUND(G853*C853,0)</f>
        <v>91152</v>
      </c>
      <c r="I853" s="13">
        <v>487</v>
      </c>
      <c r="J853" s="13">
        <f>ROUND(I853*C853,0)</f>
        <v>616542</v>
      </c>
      <c r="K853" s="13">
        <f>E853+G853+I853</f>
        <v>559</v>
      </c>
      <c r="L853" s="13">
        <f>F853+H853+J853</f>
        <v>707694</v>
      </c>
      <c r="M853" s="11"/>
    </row>
    <row r="854" spans="1:13">
      <c r="A854" s="11" t="s">
        <v>160</v>
      </c>
      <c r="B854" s="11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</row>
    <row r="855" spans="1:13">
      <c r="A855" s="11" t="s">
        <v>161</v>
      </c>
      <c r="B855" s="11" t="s">
        <v>1175</v>
      </c>
      <c r="C855" s="13">
        <v>185</v>
      </c>
      <c r="D855" s="15" t="s">
        <v>108</v>
      </c>
      <c r="E855" s="13">
        <v>0</v>
      </c>
      <c r="F855" s="13">
        <f>ROUND(E855*C855,0)</f>
        <v>0</v>
      </c>
      <c r="G855" s="13">
        <v>245</v>
      </c>
      <c r="H855" s="13">
        <f>ROUND(G855*C855,0)</f>
        <v>45325</v>
      </c>
      <c r="I855" s="13">
        <v>1666</v>
      </c>
      <c r="J855" s="13">
        <f>ROUND(I855*C855,0)</f>
        <v>308210</v>
      </c>
      <c r="K855" s="13">
        <f>E855+G855+I855</f>
        <v>1911</v>
      </c>
      <c r="L855" s="13">
        <f>F855+H855+J855</f>
        <v>353535</v>
      </c>
      <c r="M855" s="11"/>
    </row>
    <row r="856" spans="1:13">
      <c r="A856" s="11" t="s">
        <v>165</v>
      </c>
      <c r="B856" s="11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</row>
    <row r="857" spans="1:13" ht="33">
      <c r="A857" s="11" t="s">
        <v>166</v>
      </c>
      <c r="B857" s="11" t="s">
        <v>1176</v>
      </c>
      <c r="C857" s="13">
        <v>136</v>
      </c>
      <c r="D857" s="15" t="s">
        <v>108</v>
      </c>
      <c r="E857" s="13">
        <v>0</v>
      </c>
      <c r="F857" s="13">
        <f>ROUND(E857*C857,0)</f>
        <v>0</v>
      </c>
      <c r="G857" s="13">
        <v>666</v>
      </c>
      <c r="H857" s="13">
        <f>ROUND(G857*C857,0)</f>
        <v>90576</v>
      </c>
      <c r="I857" s="13">
        <v>3343</v>
      </c>
      <c r="J857" s="13">
        <f>ROUND(I857*C857,0)</f>
        <v>454648</v>
      </c>
      <c r="K857" s="13">
        <f>E857+G857+I857</f>
        <v>4009</v>
      </c>
      <c r="L857" s="13">
        <f>F857+H857+J857</f>
        <v>545224</v>
      </c>
      <c r="M857" s="11"/>
    </row>
    <row r="858" spans="1:13">
      <c r="A858" s="11" t="s">
        <v>185</v>
      </c>
      <c r="B858" s="11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</row>
    <row r="859" spans="1:13">
      <c r="A859" s="11" t="s">
        <v>186</v>
      </c>
      <c r="B859" s="11" t="s">
        <v>187</v>
      </c>
      <c r="C859" s="13">
        <v>36</v>
      </c>
      <c r="D859" s="15" t="s">
        <v>188</v>
      </c>
      <c r="E859" s="13">
        <v>10300</v>
      </c>
      <c r="F859" s="13">
        <f>ROUND(E859*C859,0)</f>
        <v>370800</v>
      </c>
      <c r="G859" s="13">
        <v>72512</v>
      </c>
      <c r="H859" s="13">
        <f>ROUND(G859*C859,0)</f>
        <v>2610432</v>
      </c>
      <c r="I859" s="13">
        <v>0</v>
      </c>
      <c r="J859" s="13">
        <f>ROUND(I859*C859,0)</f>
        <v>0</v>
      </c>
      <c r="K859" s="13">
        <f>E859+G859+I859</f>
        <v>82812</v>
      </c>
      <c r="L859" s="13">
        <f>F859+H859+J859</f>
        <v>2981232</v>
      </c>
      <c r="M859" s="11"/>
    </row>
    <row r="860" spans="1:13">
      <c r="A860" s="11" t="s">
        <v>189</v>
      </c>
      <c r="B860" s="11" t="s">
        <v>190</v>
      </c>
      <c r="C860" s="13">
        <v>6</v>
      </c>
      <c r="D860" s="15" t="s">
        <v>188</v>
      </c>
      <c r="E860" s="13">
        <v>32960</v>
      </c>
      <c r="F860" s="13">
        <f>ROUND(E860*C860,0)</f>
        <v>197760</v>
      </c>
      <c r="G860" s="13">
        <v>96305</v>
      </c>
      <c r="H860" s="13">
        <f>ROUND(G860*C860,0)</f>
        <v>577830</v>
      </c>
      <c r="I860" s="13">
        <v>0</v>
      </c>
      <c r="J860" s="13">
        <f>ROUND(I860*C860,0)</f>
        <v>0</v>
      </c>
      <c r="K860" s="13">
        <f>E860+G860+I860</f>
        <v>129265</v>
      </c>
      <c r="L860" s="13">
        <f>F860+H860+J860</f>
        <v>775590</v>
      </c>
      <c r="M860" s="11"/>
    </row>
    <row r="861" spans="1:13">
      <c r="A861" s="11" t="s">
        <v>1177</v>
      </c>
      <c r="B861" s="11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</row>
    <row r="862" spans="1:13">
      <c r="A862" s="11" t="s">
        <v>212</v>
      </c>
      <c r="B862" s="11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</row>
    <row r="863" spans="1:13">
      <c r="A863" s="11" t="s">
        <v>213</v>
      </c>
      <c r="B863" s="11" t="s">
        <v>214</v>
      </c>
      <c r="C863" s="13">
        <v>20</v>
      </c>
      <c r="D863" s="15" t="s">
        <v>108</v>
      </c>
      <c r="E863" s="13">
        <v>0</v>
      </c>
      <c r="F863" s="13">
        <f>ROUND(E863*C863,0)</f>
        <v>0</v>
      </c>
      <c r="G863" s="13">
        <v>9064</v>
      </c>
      <c r="H863" s="13">
        <f>ROUND(G863*C863,0)</f>
        <v>181280</v>
      </c>
      <c r="I863" s="13">
        <v>32829</v>
      </c>
      <c r="J863" s="13">
        <f>ROUND(I863*C863,0)</f>
        <v>656580</v>
      </c>
      <c r="K863" s="13">
        <f t="shared" ref="K863:L867" si="168">E863+G863+I863</f>
        <v>41893</v>
      </c>
      <c r="L863" s="13">
        <f t="shared" si="168"/>
        <v>837860</v>
      </c>
      <c r="M863" s="11"/>
    </row>
    <row r="864" spans="1:13">
      <c r="A864" s="11" t="s">
        <v>215</v>
      </c>
      <c r="B864" s="11" t="s">
        <v>214</v>
      </c>
      <c r="C864" s="13">
        <v>10</v>
      </c>
      <c r="D864" s="15" t="s">
        <v>108</v>
      </c>
      <c r="E864" s="13">
        <v>0</v>
      </c>
      <c r="F864" s="13">
        <f>ROUND(E864*C864,0)</f>
        <v>0</v>
      </c>
      <c r="G864" s="13">
        <v>4532</v>
      </c>
      <c r="H864" s="13">
        <f>ROUND(G864*C864,0)</f>
        <v>45320</v>
      </c>
      <c r="I864" s="13">
        <v>26533</v>
      </c>
      <c r="J864" s="13">
        <f>ROUND(I864*C864,0)</f>
        <v>265330</v>
      </c>
      <c r="K864" s="13">
        <f t="shared" si="168"/>
        <v>31065</v>
      </c>
      <c r="L864" s="13">
        <f t="shared" si="168"/>
        <v>310650</v>
      </c>
      <c r="M864" s="11"/>
    </row>
    <row r="865" spans="1:13">
      <c r="A865" s="11" t="s">
        <v>1178</v>
      </c>
      <c r="B865" s="11"/>
      <c r="C865" s="13">
        <v>30</v>
      </c>
      <c r="D865" s="15" t="s">
        <v>240</v>
      </c>
      <c r="E865" s="13">
        <v>3811</v>
      </c>
      <c r="F865" s="13">
        <f>ROUND(E865*C865,0)</f>
        <v>114330</v>
      </c>
      <c r="G865" s="13">
        <v>1442</v>
      </c>
      <c r="H865" s="13">
        <f>ROUND(G865*C865,0)</f>
        <v>43260</v>
      </c>
      <c r="I865" s="13">
        <v>0</v>
      </c>
      <c r="J865" s="13">
        <f>ROUND(I865*C865,0)</f>
        <v>0</v>
      </c>
      <c r="K865" s="13">
        <f t="shared" si="168"/>
        <v>5253</v>
      </c>
      <c r="L865" s="13">
        <f t="shared" si="168"/>
        <v>157590</v>
      </c>
      <c r="M865" s="11"/>
    </row>
    <row r="866" spans="1:13">
      <c r="A866" s="11" t="s">
        <v>1179</v>
      </c>
      <c r="B866" s="11" t="s">
        <v>1180</v>
      </c>
      <c r="C866" s="13">
        <v>162</v>
      </c>
      <c r="D866" s="15" t="s">
        <v>1024</v>
      </c>
      <c r="E866" s="13">
        <v>0</v>
      </c>
      <c r="F866" s="13">
        <f>ROUND(E866*C866,0)</f>
        <v>0</v>
      </c>
      <c r="G866" s="13">
        <v>1545</v>
      </c>
      <c r="H866" s="13">
        <f>ROUND(G866*C866,0)</f>
        <v>250290</v>
      </c>
      <c r="I866" s="13">
        <v>5621</v>
      </c>
      <c r="J866" s="13">
        <f>ROUND(I866*C866,0)</f>
        <v>910602</v>
      </c>
      <c r="K866" s="13">
        <f t="shared" si="168"/>
        <v>7166</v>
      </c>
      <c r="L866" s="13">
        <f t="shared" si="168"/>
        <v>1160892</v>
      </c>
      <c r="M866" s="11"/>
    </row>
    <row r="867" spans="1:13">
      <c r="A867" s="11" t="s">
        <v>1181</v>
      </c>
      <c r="B867" s="11" t="s">
        <v>1180</v>
      </c>
      <c r="C867" s="13">
        <v>22</v>
      </c>
      <c r="D867" s="15" t="s">
        <v>1024</v>
      </c>
      <c r="E867" s="13">
        <v>0</v>
      </c>
      <c r="F867" s="13">
        <f>ROUND(E867*C867,0)</f>
        <v>0</v>
      </c>
      <c r="G867" s="13">
        <v>1545</v>
      </c>
      <c r="H867" s="13">
        <f>ROUND(G867*C867,0)</f>
        <v>33990</v>
      </c>
      <c r="I867" s="13">
        <v>4497</v>
      </c>
      <c r="J867" s="13">
        <f>ROUND(I867*C867,0)</f>
        <v>98934</v>
      </c>
      <c r="K867" s="13">
        <f t="shared" si="168"/>
        <v>6042</v>
      </c>
      <c r="L867" s="13">
        <f t="shared" si="168"/>
        <v>132924</v>
      </c>
      <c r="M867" s="11"/>
    </row>
    <row r="868" spans="1:13">
      <c r="A868" s="11" t="s">
        <v>216</v>
      </c>
      <c r="B868" s="11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</row>
    <row r="869" spans="1:13">
      <c r="A869" s="11" t="s">
        <v>217</v>
      </c>
      <c r="B869" s="11" t="s">
        <v>218</v>
      </c>
      <c r="C869" s="13">
        <v>214</v>
      </c>
      <c r="D869" s="15" t="s">
        <v>108</v>
      </c>
      <c r="E869" s="13">
        <v>0</v>
      </c>
      <c r="F869" s="13">
        <f>ROUND(E869*C869,0)</f>
        <v>0</v>
      </c>
      <c r="G869" s="13">
        <v>1030</v>
      </c>
      <c r="H869" s="13">
        <f>ROUND(G869*C869,0)</f>
        <v>220420</v>
      </c>
      <c r="I869" s="13">
        <v>2249</v>
      </c>
      <c r="J869" s="13">
        <f>ROUND(I869*C869,0)</f>
        <v>481286</v>
      </c>
      <c r="K869" s="13">
        <f>E869+G869+I869</f>
        <v>3279</v>
      </c>
      <c r="L869" s="13">
        <f>F869+H869+J869</f>
        <v>701706</v>
      </c>
      <c r="M869" s="11"/>
    </row>
    <row r="870" spans="1:13">
      <c r="A870" s="19" t="s">
        <v>219</v>
      </c>
      <c r="B870" s="20"/>
      <c r="C870" s="21"/>
      <c r="D870" s="21"/>
      <c r="E870" s="21"/>
      <c r="F870" s="22">
        <f>SUM(F874:F924)</f>
        <v>107374191</v>
      </c>
      <c r="G870" s="21"/>
      <c r="H870" s="22">
        <f>SUM(H874:H924)</f>
        <v>52913671</v>
      </c>
      <c r="I870" s="21"/>
      <c r="J870" s="22">
        <f>SUM(J874:J924)</f>
        <v>55426588</v>
      </c>
      <c r="K870" s="21"/>
      <c r="L870" s="22">
        <f>F870+H870+J870</f>
        <v>215714450</v>
      </c>
      <c r="M870" s="21"/>
    </row>
    <row r="871" spans="1:13">
      <c r="A871" s="11" t="s">
        <v>220</v>
      </c>
      <c r="B871" s="11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</row>
    <row r="872" spans="1:13">
      <c r="A872" s="11" t="s">
        <v>221</v>
      </c>
      <c r="B872" s="11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</row>
    <row r="873" spans="1:13">
      <c r="A873" s="11" t="s">
        <v>159</v>
      </c>
      <c r="B873" s="11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</row>
    <row r="874" spans="1:13">
      <c r="A874" s="11" t="s">
        <v>222</v>
      </c>
      <c r="B874" s="11" t="s">
        <v>116</v>
      </c>
      <c r="C874" s="13">
        <v>2694</v>
      </c>
      <c r="D874" s="15" t="s">
        <v>108</v>
      </c>
      <c r="E874" s="13">
        <v>0</v>
      </c>
      <c r="F874" s="13">
        <f>ROUND(E874*C874,0)</f>
        <v>0</v>
      </c>
      <c r="G874" s="13">
        <v>2060</v>
      </c>
      <c r="H874" s="13">
        <f>ROUND(G874*C874,0)</f>
        <v>5549640</v>
      </c>
      <c r="I874" s="13">
        <v>5059</v>
      </c>
      <c r="J874" s="13">
        <f>ROUND(I874*C874,0)</f>
        <v>13628946</v>
      </c>
      <c r="K874" s="13">
        <f>E874+G874+I874</f>
        <v>7119</v>
      </c>
      <c r="L874" s="13">
        <f>F874+H874+J874</f>
        <v>19178586</v>
      </c>
      <c r="M874" s="11"/>
    </row>
    <row r="875" spans="1:13">
      <c r="A875" s="11" t="s">
        <v>227</v>
      </c>
      <c r="B875" s="11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</row>
    <row r="876" spans="1:13" ht="33">
      <c r="A876" s="11" t="s">
        <v>228</v>
      </c>
      <c r="B876" s="11" t="s">
        <v>232</v>
      </c>
      <c r="C876" s="13">
        <v>2103</v>
      </c>
      <c r="D876" s="15" t="s">
        <v>108</v>
      </c>
      <c r="E876" s="13">
        <v>0</v>
      </c>
      <c r="F876" s="13">
        <f>ROUND(E876*C876,0)</f>
        <v>0</v>
      </c>
      <c r="G876" s="13">
        <v>2060</v>
      </c>
      <c r="H876" s="13">
        <f>ROUND(G876*C876,0)</f>
        <v>4332180</v>
      </c>
      <c r="I876" s="13">
        <v>5621</v>
      </c>
      <c r="J876" s="13">
        <f>ROUND(I876*C876,0)</f>
        <v>11820963</v>
      </c>
      <c r="K876" s="13">
        <f>E876+G876+I876</f>
        <v>7681</v>
      </c>
      <c r="L876" s="13">
        <f>F876+H876+J876</f>
        <v>16153143</v>
      </c>
      <c r="M876" s="11"/>
    </row>
    <row r="877" spans="1:13">
      <c r="A877" s="11" t="s">
        <v>233</v>
      </c>
      <c r="B877" s="11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</row>
    <row r="878" spans="1:13">
      <c r="A878" s="11" t="s">
        <v>234</v>
      </c>
      <c r="B878" s="11" t="s">
        <v>235</v>
      </c>
      <c r="C878" s="13">
        <v>591</v>
      </c>
      <c r="D878" s="15" t="s">
        <v>108</v>
      </c>
      <c r="E878" s="13">
        <v>0</v>
      </c>
      <c r="F878" s="13">
        <f>ROUND(E878*C878,0)</f>
        <v>0</v>
      </c>
      <c r="G878" s="13">
        <v>0</v>
      </c>
      <c r="H878" s="13">
        <f>ROUND(G878*C878,0)</f>
        <v>0</v>
      </c>
      <c r="I878" s="13">
        <v>11243</v>
      </c>
      <c r="J878" s="13">
        <f>ROUND(I878*C878,0)</f>
        <v>6644613</v>
      </c>
      <c r="K878" s="13">
        <f>E878+G878+I878</f>
        <v>11243</v>
      </c>
      <c r="L878" s="13">
        <f>F878+H878+J878</f>
        <v>6644613</v>
      </c>
      <c r="M878" s="11"/>
    </row>
    <row r="879" spans="1:13">
      <c r="A879" s="11" t="s">
        <v>236</v>
      </c>
      <c r="B879" s="11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</row>
    <row r="880" spans="1:13">
      <c r="A880" s="11" t="s">
        <v>237</v>
      </c>
      <c r="B880" s="11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</row>
    <row r="881" spans="1:13" ht="33">
      <c r="A881" s="11" t="s">
        <v>238</v>
      </c>
      <c r="B881" s="11" t="s">
        <v>239</v>
      </c>
      <c r="C881" s="13">
        <v>107</v>
      </c>
      <c r="D881" s="15" t="s">
        <v>240</v>
      </c>
      <c r="E881" s="13">
        <v>0</v>
      </c>
      <c r="F881" s="13">
        <f>ROUND(E881*C881,0)</f>
        <v>0</v>
      </c>
      <c r="G881" s="13">
        <v>14152</v>
      </c>
      <c r="H881" s="13">
        <f>ROUND(G881*C881,0)</f>
        <v>1514264</v>
      </c>
      <c r="I881" s="13">
        <v>14189</v>
      </c>
      <c r="J881" s="13">
        <f>ROUND(I881*C881,0)</f>
        <v>1518223</v>
      </c>
      <c r="K881" s="13">
        <f>E881+G881+I881</f>
        <v>28341</v>
      </c>
      <c r="L881" s="13">
        <f>F881+H881+J881</f>
        <v>3032487</v>
      </c>
      <c r="M881" s="11"/>
    </row>
    <row r="882" spans="1:13" ht="33">
      <c r="A882" s="11" t="s">
        <v>243</v>
      </c>
      <c r="B882" s="11" t="s">
        <v>244</v>
      </c>
      <c r="C882" s="13">
        <v>275</v>
      </c>
      <c r="D882" s="15" t="s">
        <v>240</v>
      </c>
      <c r="E882" s="13">
        <v>0</v>
      </c>
      <c r="F882" s="13">
        <f>ROUND(E882*C882,0)</f>
        <v>0</v>
      </c>
      <c r="G882" s="13">
        <v>18355</v>
      </c>
      <c r="H882" s="13">
        <f>ROUND(G882*C882,0)</f>
        <v>5047625</v>
      </c>
      <c r="I882" s="13">
        <v>18438</v>
      </c>
      <c r="J882" s="13">
        <f>ROUND(I882*C882,0)</f>
        <v>5070450</v>
      </c>
      <c r="K882" s="13">
        <f>E882+G882+I882</f>
        <v>36793</v>
      </c>
      <c r="L882" s="13">
        <f>F882+H882+J882</f>
        <v>10118075</v>
      </c>
      <c r="M882" s="11"/>
    </row>
    <row r="883" spans="1:13">
      <c r="A883" s="11" t="s">
        <v>253</v>
      </c>
      <c r="B883" s="11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</row>
    <row r="884" spans="1:13">
      <c r="A884" s="11" t="s">
        <v>254</v>
      </c>
      <c r="B884" s="11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</row>
    <row r="885" spans="1:13">
      <c r="A885" s="11" t="s">
        <v>255</v>
      </c>
      <c r="B885" s="11" t="s">
        <v>256</v>
      </c>
      <c r="C885" s="13">
        <v>134</v>
      </c>
      <c r="D885" s="15" t="s">
        <v>108</v>
      </c>
      <c r="E885" s="13">
        <v>0</v>
      </c>
      <c r="F885" s="13">
        <f>ROUND(E885*C885,0)</f>
        <v>0</v>
      </c>
      <c r="G885" s="13">
        <v>10300</v>
      </c>
      <c r="H885" s="13">
        <f>ROUND(G885*C885,0)</f>
        <v>1380200</v>
      </c>
      <c r="I885" s="13">
        <v>20237</v>
      </c>
      <c r="J885" s="13">
        <f>ROUND(I885*C885,0)</f>
        <v>2711758</v>
      </c>
      <c r="K885" s="13">
        <f>E885+G885+I885</f>
        <v>30537</v>
      </c>
      <c r="L885" s="13">
        <f>F885+H885+J885</f>
        <v>4091958</v>
      </c>
      <c r="M885" s="11"/>
    </row>
    <row r="886" spans="1:13">
      <c r="A886" s="11" t="s">
        <v>257</v>
      </c>
      <c r="B886" s="11" t="s">
        <v>258</v>
      </c>
      <c r="C886" s="13">
        <v>508</v>
      </c>
      <c r="D886" s="15" t="s">
        <v>102</v>
      </c>
      <c r="E886" s="13">
        <v>7725</v>
      </c>
      <c r="F886" s="13">
        <f>ROUND(E886*C886,0)</f>
        <v>3924300</v>
      </c>
      <c r="G886" s="13">
        <v>29355</v>
      </c>
      <c r="H886" s="13">
        <f>ROUND(G886*C886,0)</f>
        <v>14912340</v>
      </c>
      <c r="I886" s="13">
        <v>2249</v>
      </c>
      <c r="J886" s="13">
        <f>ROUND(I886*C886,0)</f>
        <v>1142492</v>
      </c>
      <c r="K886" s="13">
        <f>E886+G886+I886</f>
        <v>39329</v>
      </c>
      <c r="L886" s="13">
        <f>F886+H886+J886</f>
        <v>19979132</v>
      </c>
      <c r="M886" s="11"/>
    </row>
    <row r="887" spans="1:13">
      <c r="A887" s="11" t="s">
        <v>259</v>
      </c>
      <c r="B887" s="11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</row>
    <row r="888" spans="1:13">
      <c r="A888" s="11" t="s">
        <v>260</v>
      </c>
      <c r="B888" s="11" t="s">
        <v>263</v>
      </c>
      <c r="C888" s="13">
        <v>28</v>
      </c>
      <c r="D888" s="15" t="s">
        <v>210</v>
      </c>
      <c r="E888" s="13">
        <v>0</v>
      </c>
      <c r="F888" s="13">
        <f>ROUND(E888*C888,0)</f>
        <v>0</v>
      </c>
      <c r="G888" s="13">
        <v>60770</v>
      </c>
      <c r="H888" s="13">
        <f>ROUND(G888*C888,0)</f>
        <v>1701560</v>
      </c>
      <c r="I888" s="13">
        <v>30131</v>
      </c>
      <c r="J888" s="13">
        <f>ROUND(I888*C888,0)</f>
        <v>843668</v>
      </c>
      <c r="K888" s="13">
        <f>E888+G888+I888</f>
        <v>90901</v>
      </c>
      <c r="L888" s="13">
        <f>F888+H888+J888</f>
        <v>2545228</v>
      </c>
      <c r="M888" s="11"/>
    </row>
    <row r="889" spans="1:13">
      <c r="A889" s="11" t="s">
        <v>268</v>
      </c>
      <c r="B889" s="11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 spans="1:13">
      <c r="A890" s="11" t="s">
        <v>269</v>
      </c>
      <c r="B890" s="11" t="s">
        <v>270</v>
      </c>
      <c r="C890" s="13">
        <v>28</v>
      </c>
      <c r="D890" s="15" t="s">
        <v>210</v>
      </c>
      <c r="E890" s="13">
        <v>0</v>
      </c>
      <c r="F890" s="13">
        <f>ROUND(E890*C890,0)</f>
        <v>0</v>
      </c>
      <c r="G890" s="13">
        <v>38996</v>
      </c>
      <c r="H890" s="13">
        <f>ROUND(G890*C890,0)</f>
        <v>1091888</v>
      </c>
      <c r="I890" s="13">
        <v>20080</v>
      </c>
      <c r="J890" s="13">
        <f>ROUND(I890*C890,0)</f>
        <v>562240</v>
      </c>
      <c r="K890" s="13">
        <f>E890+G890+I890</f>
        <v>59076</v>
      </c>
      <c r="L890" s="13">
        <f>F890+H890+J890</f>
        <v>1654128</v>
      </c>
      <c r="M890" s="11"/>
    </row>
    <row r="891" spans="1:13">
      <c r="A891" s="11" t="s">
        <v>271</v>
      </c>
      <c r="B891" s="11" t="s">
        <v>274</v>
      </c>
      <c r="C891" s="13">
        <v>5</v>
      </c>
      <c r="D891" s="15" t="s">
        <v>210</v>
      </c>
      <c r="E891" s="13">
        <v>0</v>
      </c>
      <c r="F891" s="13">
        <f>ROUND(E891*C891,0)</f>
        <v>0</v>
      </c>
      <c r="G891" s="13">
        <v>56650</v>
      </c>
      <c r="H891" s="13">
        <f>ROUND(G891*C891,0)</f>
        <v>283250</v>
      </c>
      <c r="I891" s="13">
        <v>28107</v>
      </c>
      <c r="J891" s="13">
        <f>ROUND(I891*C891,0)</f>
        <v>140535</v>
      </c>
      <c r="K891" s="13">
        <f>E891+G891+I891</f>
        <v>84757</v>
      </c>
      <c r="L891" s="13">
        <f>F891+H891+J891</f>
        <v>423785</v>
      </c>
      <c r="M891" s="11"/>
    </row>
    <row r="892" spans="1:13">
      <c r="A892" s="11" t="s">
        <v>283</v>
      </c>
      <c r="B892" s="11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</row>
    <row r="893" spans="1:13">
      <c r="A893" s="11" t="s">
        <v>1182</v>
      </c>
      <c r="B893" s="11" t="s">
        <v>287</v>
      </c>
      <c r="C893" s="13">
        <v>275</v>
      </c>
      <c r="D893" s="15" t="s">
        <v>240</v>
      </c>
      <c r="E893" s="13">
        <v>515</v>
      </c>
      <c r="F893" s="13">
        <f>ROUND(E893*C893,0)</f>
        <v>141625</v>
      </c>
      <c r="G893" s="13">
        <v>515</v>
      </c>
      <c r="H893" s="13">
        <f>ROUND(G893*C893,0)</f>
        <v>141625</v>
      </c>
      <c r="I893" s="13">
        <v>0</v>
      </c>
      <c r="J893" s="13">
        <f>ROUND(I893*C893,0)</f>
        <v>0</v>
      </c>
      <c r="K893" s="13">
        <f>E893+G893+I893</f>
        <v>1030</v>
      </c>
      <c r="L893" s="13">
        <f>F893+H893+J893</f>
        <v>283250</v>
      </c>
      <c r="M893" s="11"/>
    </row>
    <row r="894" spans="1:13">
      <c r="A894" s="11" t="s">
        <v>290</v>
      </c>
      <c r="B894" s="11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</row>
    <row r="895" spans="1:13">
      <c r="A895" s="11" t="s">
        <v>291</v>
      </c>
      <c r="B895" s="11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</row>
    <row r="896" spans="1:13">
      <c r="A896" s="11" t="s">
        <v>1183</v>
      </c>
      <c r="B896" s="11" t="s">
        <v>1184</v>
      </c>
      <c r="C896" s="13">
        <v>5</v>
      </c>
      <c r="D896" s="15" t="s">
        <v>210</v>
      </c>
      <c r="E896" s="13">
        <v>875500</v>
      </c>
      <c r="F896" s="13">
        <f>ROUND(E896*C896,0)</f>
        <v>4377500</v>
      </c>
      <c r="G896" s="13">
        <v>170980</v>
      </c>
      <c r="H896" s="13">
        <f>ROUND(G896*C896,0)</f>
        <v>854900</v>
      </c>
      <c r="I896" s="13">
        <v>193994</v>
      </c>
      <c r="J896" s="13">
        <f>ROUND(I896*C896,0)</f>
        <v>969970</v>
      </c>
      <c r="K896" s="13">
        <f>E896+G896+I896</f>
        <v>1240474</v>
      </c>
      <c r="L896" s="13">
        <f>F896+H896+J896</f>
        <v>6202370</v>
      </c>
      <c r="M896" s="11"/>
    </row>
    <row r="897" spans="1:13">
      <c r="A897" s="11" t="s">
        <v>1185</v>
      </c>
      <c r="B897" s="11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</row>
    <row r="898" spans="1:13">
      <c r="A898" s="11" t="s">
        <v>312</v>
      </c>
      <c r="B898" s="11" t="s">
        <v>313</v>
      </c>
      <c r="C898" s="24">
        <v>1.1579999999999999</v>
      </c>
      <c r="D898" s="15" t="s">
        <v>108</v>
      </c>
      <c r="E898" s="13">
        <v>0</v>
      </c>
      <c r="F898" s="13">
        <f>ROUND(E898*C898,0)</f>
        <v>0</v>
      </c>
      <c r="G898" s="13">
        <v>178911</v>
      </c>
      <c r="H898" s="13">
        <f>ROUND(G898*C898,0)</f>
        <v>207179</v>
      </c>
      <c r="I898" s="13">
        <v>0</v>
      </c>
      <c r="J898" s="13">
        <f>ROUND(I898*C898,0)</f>
        <v>0</v>
      </c>
      <c r="K898" s="13">
        <f>E898+G898+I898</f>
        <v>178911</v>
      </c>
      <c r="L898" s="13">
        <f>F898+H898+J898</f>
        <v>207179</v>
      </c>
      <c r="M898" s="11"/>
    </row>
    <row r="899" spans="1:13">
      <c r="A899" s="11" t="s">
        <v>316</v>
      </c>
      <c r="B899" s="11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</row>
    <row r="900" spans="1:13">
      <c r="A900" s="11" t="s">
        <v>317</v>
      </c>
      <c r="B900" s="11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</row>
    <row r="901" spans="1:13" ht="33">
      <c r="A901" s="11" t="s">
        <v>318</v>
      </c>
      <c r="B901" s="11" t="s">
        <v>319</v>
      </c>
      <c r="C901" s="13">
        <v>28</v>
      </c>
      <c r="D901" s="15" t="s">
        <v>210</v>
      </c>
      <c r="E901" s="13">
        <v>75190</v>
      </c>
      <c r="F901" s="13">
        <f>ROUND(E901*C901,0)</f>
        <v>2105320</v>
      </c>
      <c r="G901" s="13">
        <v>51500</v>
      </c>
      <c r="H901" s="13">
        <f>ROUND(G901*C901,0)</f>
        <v>1442000</v>
      </c>
      <c r="I901" s="13">
        <v>70267</v>
      </c>
      <c r="J901" s="13">
        <f>ROUND(I901*C901,0)</f>
        <v>1967476</v>
      </c>
      <c r="K901" s="13">
        <f>E901+G901+I901</f>
        <v>196957</v>
      </c>
      <c r="L901" s="13">
        <f>F901+H901+J901</f>
        <v>5514796</v>
      </c>
      <c r="M901" s="11"/>
    </row>
    <row r="902" spans="1:13">
      <c r="A902" s="11" t="s">
        <v>320</v>
      </c>
      <c r="B902" s="11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</row>
    <row r="903" spans="1:13">
      <c r="A903" s="11" t="s">
        <v>321</v>
      </c>
      <c r="B903" s="11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</row>
    <row r="904" spans="1:13" ht="33">
      <c r="A904" s="11" t="s">
        <v>322</v>
      </c>
      <c r="B904" s="11" t="s">
        <v>323</v>
      </c>
      <c r="C904" s="13">
        <v>72</v>
      </c>
      <c r="D904" s="15" t="s">
        <v>240</v>
      </c>
      <c r="E904" s="13">
        <v>904340</v>
      </c>
      <c r="F904" s="13">
        <f>ROUND(E904*C904,0)</f>
        <v>65112480</v>
      </c>
      <c r="G904" s="13">
        <v>185400</v>
      </c>
      <c r="H904" s="13">
        <f>ROUND(G904*C904,0)</f>
        <v>13348800</v>
      </c>
      <c r="I904" s="13">
        <v>61835</v>
      </c>
      <c r="J904" s="13">
        <f>ROUND(I904*C904,0)</f>
        <v>4452120</v>
      </c>
      <c r="K904" s="13">
        <f>E904+G904+I904</f>
        <v>1151575</v>
      </c>
      <c r="L904" s="13">
        <f>F904+H904+J904</f>
        <v>82913400</v>
      </c>
      <c r="M904" s="11"/>
    </row>
    <row r="905" spans="1:13">
      <c r="A905" s="11" t="s">
        <v>1186</v>
      </c>
      <c r="B905" s="11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</row>
    <row r="906" spans="1:13">
      <c r="A906" s="11" t="s">
        <v>331</v>
      </c>
      <c r="B906" s="11" t="s">
        <v>256</v>
      </c>
      <c r="C906" s="13">
        <v>18</v>
      </c>
      <c r="D906" s="15" t="s">
        <v>108</v>
      </c>
      <c r="E906" s="13">
        <v>0</v>
      </c>
      <c r="F906" s="13">
        <f>ROUND(E906*C906,0)</f>
        <v>0</v>
      </c>
      <c r="G906" s="13">
        <v>13390</v>
      </c>
      <c r="H906" s="13">
        <f>ROUND(G906*C906,0)</f>
        <v>241020</v>
      </c>
      <c r="I906" s="13">
        <v>12367</v>
      </c>
      <c r="J906" s="13">
        <f>ROUND(I906*C906,0)</f>
        <v>222606</v>
      </c>
      <c r="K906" s="13">
        <f>E906+G906+I906</f>
        <v>25757</v>
      </c>
      <c r="L906" s="13">
        <f>F906+H906+J906</f>
        <v>463626</v>
      </c>
      <c r="M906" s="11"/>
    </row>
    <row r="907" spans="1:13">
      <c r="A907" s="11" t="s">
        <v>332</v>
      </c>
      <c r="B907" s="11" t="s">
        <v>258</v>
      </c>
      <c r="C907" s="13">
        <v>30</v>
      </c>
      <c r="D907" s="15" t="s">
        <v>102</v>
      </c>
      <c r="E907" s="13">
        <v>7725</v>
      </c>
      <c r="F907" s="13">
        <f>ROUND(E907*C907,0)</f>
        <v>231750</v>
      </c>
      <c r="G907" s="13">
        <v>28840</v>
      </c>
      <c r="H907" s="13">
        <f>ROUND(G907*C907,0)</f>
        <v>865200</v>
      </c>
      <c r="I907" s="13">
        <v>1686</v>
      </c>
      <c r="J907" s="13">
        <f>ROUND(I907*C907,0)</f>
        <v>50580</v>
      </c>
      <c r="K907" s="13">
        <f>E907+G907+I907</f>
        <v>38251</v>
      </c>
      <c r="L907" s="13">
        <f>F907+H907+J907</f>
        <v>1147530</v>
      </c>
      <c r="M907" s="11"/>
    </row>
    <row r="908" spans="1:13">
      <c r="A908" s="11" t="s">
        <v>505</v>
      </c>
      <c r="B908" s="11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</row>
    <row r="909" spans="1:13">
      <c r="A909" s="11" t="s">
        <v>382</v>
      </c>
      <c r="B909" s="11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</row>
    <row r="910" spans="1:13">
      <c r="A910" s="11" t="s">
        <v>383</v>
      </c>
      <c r="B910" s="11" t="s">
        <v>384</v>
      </c>
      <c r="C910" s="13">
        <v>17</v>
      </c>
      <c r="D910" s="15" t="s">
        <v>385</v>
      </c>
      <c r="E910" s="13">
        <v>6490</v>
      </c>
      <c r="F910" s="13">
        <f>ROUND(E910*C910,0)</f>
        <v>110330</v>
      </c>
      <c r="G910" s="13">
        <v>0</v>
      </c>
      <c r="H910" s="13">
        <f>ROUND(G910*C910,0)</f>
        <v>0</v>
      </c>
      <c r="I910" s="13">
        <v>0</v>
      </c>
      <c r="J910" s="13">
        <f>ROUND(I910*C910,0)</f>
        <v>0</v>
      </c>
      <c r="K910" s="13">
        <f>E910+G910+I910</f>
        <v>6490</v>
      </c>
      <c r="L910" s="13">
        <f>F910+H910+J910</f>
        <v>110330</v>
      </c>
      <c r="M910" s="11"/>
    </row>
    <row r="911" spans="1:13">
      <c r="A911" s="11" t="s">
        <v>506</v>
      </c>
      <c r="B911" s="11" t="s">
        <v>389</v>
      </c>
      <c r="C911" s="13">
        <v>17</v>
      </c>
      <c r="D911" s="15" t="s">
        <v>385</v>
      </c>
      <c r="E911" s="13">
        <v>0</v>
      </c>
      <c r="F911" s="13">
        <f>ROUND(E911*C911,0)</f>
        <v>0</v>
      </c>
      <c r="G911" s="13">
        <v>0</v>
      </c>
      <c r="H911" s="13">
        <f>ROUND(G911*C911,0)</f>
        <v>0</v>
      </c>
      <c r="I911" s="13">
        <v>1201</v>
      </c>
      <c r="J911" s="13">
        <f>ROUND(I911*C911,0)</f>
        <v>20417</v>
      </c>
      <c r="K911" s="13">
        <f>E911+G911+I911</f>
        <v>1201</v>
      </c>
      <c r="L911" s="13">
        <f>F911+H911+J911</f>
        <v>20417</v>
      </c>
      <c r="M911" s="11"/>
    </row>
    <row r="912" spans="1:13">
      <c r="A912" s="11" t="s">
        <v>390</v>
      </c>
      <c r="B912" s="11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</row>
    <row r="913" spans="1:13">
      <c r="A913" s="11" t="s">
        <v>391</v>
      </c>
      <c r="B913" s="11" t="s">
        <v>392</v>
      </c>
      <c r="C913" s="13">
        <v>18</v>
      </c>
      <c r="D913" s="15" t="s">
        <v>108</v>
      </c>
      <c r="E913" s="13">
        <v>26780</v>
      </c>
      <c r="F913" s="13">
        <f>ROUND(E913*C913,0)</f>
        <v>482040</v>
      </c>
      <c r="G913" s="13">
        <v>0</v>
      </c>
      <c r="H913" s="13">
        <f>ROUND(G913*C913,0)</f>
        <v>0</v>
      </c>
      <c r="I913" s="13">
        <v>0</v>
      </c>
      <c r="J913" s="13">
        <f>ROUND(I913*C913,0)</f>
        <v>0</v>
      </c>
      <c r="K913" s="13">
        <f>E913+G913+I913</f>
        <v>26780</v>
      </c>
      <c r="L913" s="13">
        <f>F913+H913+J913</f>
        <v>482040</v>
      </c>
      <c r="M913" s="11"/>
    </row>
    <row r="914" spans="1:13">
      <c r="A914" s="11" t="s">
        <v>1187</v>
      </c>
      <c r="B914" s="11" t="s">
        <v>396</v>
      </c>
      <c r="C914" s="13">
        <v>3</v>
      </c>
      <c r="D914" s="15" t="s">
        <v>108</v>
      </c>
      <c r="E914" s="13">
        <v>18540</v>
      </c>
      <c r="F914" s="13">
        <f>ROUND(E914*C914,0)</f>
        <v>55620</v>
      </c>
      <c r="G914" s="13">
        <v>0</v>
      </c>
      <c r="H914" s="13">
        <f>ROUND(G914*C914,0)</f>
        <v>0</v>
      </c>
      <c r="I914" s="13">
        <v>0</v>
      </c>
      <c r="J914" s="13">
        <f>ROUND(I914*C914,0)</f>
        <v>0</v>
      </c>
      <c r="K914" s="13">
        <f>E914+G914+I914</f>
        <v>18540</v>
      </c>
      <c r="L914" s="13">
        <f>F914+H914+J914</f>
        <v>55620</v>
      </c>
      <c r="M914" s="11"/>
    </row>
    <row r="915" spans="1:13">
      <c r="A915" s="11" t="s">
        <v>927</v>
      </c>
      <c r="B915" s="11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</row>
    <row r="916" spans="1:13">
      <c r="A916" s="11" t="s">
        <v>412</v>
      </c>
      <c r="B916" s="11" t="s">
        <v>413</v>
      </c>
      <c r="C916" s="13">
        <v>134</v>
      </c>
      <c r="D916" s="15" t="s">
        <v>108</v>
      </c>
      <c r="E916" s="13">
        <v>90640</v>
      </c>
      <c r="F916" s="13">
        <f>ROUND(E916*C916,0)</f>
        <v>12145760</v>
      </c>
      <c r="G916" s="13">
        <v>0</v>
      </c>
      <c r="H916" s="13">
        <f>ROUND(G916*C916,0)</f>
        <v>0</v>
      </c>
      <c r="I916" s="13">
        <v>0</v>
      </c>
      <c r="J916" s="13">
        <f>ROUND(I916*C916,0)</f>
        <v>0</v>
      </c>
      <c r="K916" s="13">
        <f>E916+G916+I916</f>
        <v>90640</v>
      </c>
      <c r="L916" s="13">
        <f>F916+H916+J916</f>
        <v>12145760</v>
      </c>
      <c r="M916" s="11"/>
    </row>
    <row r="917" spans="1:13">
      <c r="A917" s="11" t="s">
        <v>414</v>
      </c>
      <c r="B917" s="11" t="s">
        <v>415</v>
      </c>
      <c r="C917" s="13">
        <v>18</v>
      </c>
      <c r="D917" s="15" t="s">
        <v>108</v>
      </c>
      <c r="E917" s="13">
        <v>88786</v>
      </c>
      <c r="F917" s="13">
        <f>ROUND(E917*C917,0)</f>
        <v>1598148</v>
      </c>
      <c r="G917" s="13">
        <v>0</v>
      </c>
      <c r="H917" s="13">
        <f>ROUND(G917*C917,0)</f>
        <v>0</v>
      </c>
      <c r="I917" s="13">
        <v>0</v>
      </c>
      <c r="J917" s="13">
        <f>ROUND(I917*C917,0)</f>
        <v>0</v>
      </c>
      <c r="K917" s="13">
        <f>E917+G917+I917</f>
        <v>88786</v>
      </c>
      <c r="L917" s="13">
        <f>F917+H917+J917</f>
        <v>1598148</v>
      </c>
      <c r="M917" s="11"/>
    </row>
    <row r="918" spans="1:13">
      <c r="A918" s="11" t="s">
        <v>1188</v>
      </c>
      <c r="B918" s="11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</row>
    <row r="919" spans="1:13">
      <c r="A919" s="11" t="s">
        <v>417</v>
      </c>
      <c r="B919" s="11" t="s">
        <v>418</v>
      </c>
      <c r="C919" s="13">
        <v>107</v>
      </c>
      <c r="D919" s="15" t="s">
        <v>419</v>
      </c>
      <c r="E919" s="13">
        <v>19099</v>
      </c>
      <c r="F919" s="13">
        <f>ROUND(E919*C919,0)</f>
        <v>2043593</v>
      </c>
      <c r="G919" s="13">
        <v>0</v>
      </c>
      <c r="H919" s="13">
        <f>ROUND(G919*C919,0)</f>
        <v>0</v>
      </c>
      <c r="I919" s="13">
        <v>4834</v>
      </c>
      <c r="J919" s="13">
        <f>ROUND(I919*C919,0)</f>
        <v>517238</v>
      </c>
      <c r="K919" s="13">
        <f t="shared" ref="K919:L922" si="169">E919+G919+I919</f>
        <v>23933</v>
      </c>
      <c r="L919" s="13">
        <f t="shared" si="169"/>
        <v>2560831</v>
      </c>
      <c r="M919" s="11"/>
    </row>
    <row r="920" spans="1:13">
      <c r="A920" s="11" t="s">
        <v>420</v>
      </c>
      <c r="B920" s="11" t="s">
        <v>423</v>
      </c>
      <c r="C920" s="13">
        <v>275</v>
      </c>
      <c r="D920" s="15" t="s">
        <v>419</v>
      </c>
      <c r="E920" s="13">
        <v>48719</v>
      </c>
      <c r="F920" s="13">
        <f>ROUND(E920*C920,0)</f>
        <v>13397725</v>
      </c>
      <c r="G920" s="13">
        <v>0</v>
      </c>
      <c r="H920" s="13">
        <f>ROUND(G920*C920,0)</f>
        <v>0</v>
      </c>
      <c r="I920" s="13">
        <v>9219</v>
      </c>
      <c r="J920" s="13">
        <f>ROUND(I920*C920,0)</f>
        <v>2535225</v>
      </c>
      <c r="K920" s="13">
        <f t="shared" si="169"/>
        <v>57938</v>
      </c>
      <c r="L920" s="13">
        <f t="shared" si="169"/>
        <v>15932950</v>
      </c>
      <c r="M920" s="11"/>
    </row>
    <row r="921" spans="1:13">
      <c r="A921" s="11" t="s">
        <v>1189</v>
      </c>
      <c r="B921" s="11" t="s">
        <v>433</v>
      </c>
      <c r="C921" s="13">
        <v>43</v>
      </c>
      <c r="D921" s="15" t="s">
        <v>377</v>
      </c>
      <c r="E921" s="13">
        <v>0</v>
      </c>
      <c r="F921" s="13">
        <f>ROUND(E921*C921,0)</f>
        <v>0</v>
      </c>
      <c r="G921" s="13">
        <v>0</v>
      </c>
      <c r="H921" s="13">
        <f>ROUND(G921*C921,0)</f>
        <v>0</v>
      </c>
      <c r="I921" s="13">
        <v>2361</v>
      </c>
      <c r="J921" s="13">
        <f>ROUND(I921*C921,0)</f>
        <v>101523</v>
      </c>
      <c r="K921" s="13">
        <f t="shared" si="169"/>
        <v>2361</v>
      </c>
      <c r="L921" s="13">
        <f t="shared" si="169"/>
        <v>101523</v>
      </c>
      <c r="M921" s="11"/>
    </row>
    <row r="922" spans="1:13">
      <c r="A922" s="11" t="s">
        <v>1190</v>
      </c>
      <c r="B922" s="11" t="s">
        <v>437</v>
      </c>
      <c r="C922" s="13">
        <v>110</v>
      </c>
      <c r="D922" s="15" t="s">
        <v>377</v>
      </c>
      <c r="E922" s="13">
        <v>0</v>
      </c>
      <c r="F922" s="13">
        <f>ROUND(E922*C922,0)</f>
        <v>0</v>
      </c>
      <c r="G922" s="13">
        <v>0</v>
      </c>
      <c r="H922" s="13">
        <f>ROUND(G922*C922,0)</f>
        <v>0</v>
      </c>
      <c r="I922" s="13">
        <v>3676</v>
      </c>
      <c r="J922" s="13">
        <f>ROUND(I922*C922,0)</f>
        <v>404360</v>
      </c>
      <c r="K922" s="13">
        <f t="shared" si="169"/>
        <v>3676</v>
      </c>
      <c r="L922" s="13">
        <f t="shared" si="169"/>
        <v>404360</v>
      </c>
      <c r="M922" s="11"/>
    </row>
    <row r="923" spans="1:13">
      <c r="A923" s="11" t="s">
        <v>1191</v>
      </c>
      <c r="B923" s="11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 spans="1:13">
      <c r="A924" s="11" t="s">
        <v>447</v>
      </c>
      <c r="B924" s="11" t="s">
        <v>448</v>
      </c>
      <c r="C924" s="13">
        <v>5</v>
      </c>
      <c r="D924" s="15" t="s">
        <v>449</v>
      </c>
      <c r="E924" s="13">
        <v>329600</v>
      </c>
      <c r="F924" s="13">
        <f>ROUND(E924*C924,0)</f>
        <v>1648000</v>
      </c>
      <c r="G924" s="13">
        <v>0</v>
      </c>
      <c r="H924" s="13">
        <f>ROUND(G924*C924,0)</f>
        <v>0</v>
      </c>
      <c r="I924" s="13">
        <v>20237</v>
      </c>
      <c r="J924" s="13">
        <f>ROUND(I924*C924,0)</f>
        <v>101185</v>
      </c>
      <c r="K924" s="13">
        <f>E924+G924+I924</f>
        <v>349837</v>
      </c>
      <c r="L924" s="13">
        <f>F924+H924+J924</f>
        <v>1749185</v>
      </c>
      <c r="M924" s="11"/>
    </row>
    <row r="925" spans="1:13">
      <c r="A925" s="19" t="s">
        <v>1192</v>
      </c>
      <c r="B925" s="20"/>
      <c r="C925" s="21"/>
      <c r="D925" s="21"/>
      <c r="E925" s="21"/>
      <c r="F925" s="22">
        <f>SUM(F929:F966)</f>
        <v>18357029</v>
      </c>
      <c r="G925" s="21"/>
      <c r="H925" s="22">
        <f>SUM(H929:H966)</f>
        <v>13694365</v>
      </c>
      <c r="I925" s="21"/>
      <c r="J925" s="22">
        <f>SUM(J929:J966)</f>
        <v>3440158</v>
      </c>
      <c r="K925" s="21"/>
      <c r="L925" s="22">
        <f>F925+H925+J925</f>
        <v>35491552</v>
      </c>
      <c r="M925" s="21"/>
    </row>
    <row r="926" spans="1:13">
      <c r="A926" s="11" t="s">
        <v>451</v>
      </c>
      <c r="B926" s="11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</row>
    <row r="927" spans="1:13">
      <c r="A927" s="11" t="s">
        <v>221</v>
      </c>
      <c r="B927" s="11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</row>
    <row r="928" spans="1:13">
      <c r="A928" s="11" t="s">
        <v>159</v>
      </c>
      <c r="B928" s="11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</row>
    <row r="929" spans="1:13" ht="33">
      <c r="A929" s="11" t="s">
        <v>222</v>
      </c>
      <c r="B929" s="11" t="s">
        <v>224</v>
      </c>
      <c r="C929" s="13">
        <v>328</v>
      </c>
      <c r="D929" s="15" t="s">
        <v>108</v>
      </c>
      <c r="E929" s="13">
        <v>1030</v>
      </c>
      <c r="F929" s="13">
        <f>ROUND(E929*C929,0)</f>
        <v>337840</v>
      </c>
      <c r="G929" s="13">
        <v>6180</v>
      </c>
      <c r="H929" s="13">
        <f>ROUND(G929*C929,0)</f>
        <v>2027040</v>
      </c>
      <c r="I929" s="13">
        <v>1124</v>
      </c>
      <c r="J929" s="13">
        <f>ROUND(I929*C929,0)</f>
        <v>368672</v>
      </c>
      <c r="K929" s="13">
        <f>E929+G929+I929</f>
        <v>8334</v>
      </c>
      <c r="L929" s="13">
        <f>F929+H929+J929</f>
        <v>2733552</v>
      </c>
      <c r="M929" s="11"/>
    </row>
    <row r="930" spans="1:13">
      <c r="A930" s="11" t="s">
        <v>227</v>
      </c>
      <c r="B930" s="11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</row>
    <row r="931" spans="1:13" ht="33">
      <c r="A931" s="11" t="s">
        <v>453</v>
      </c>
      <c r="B931" s="11" t="s">
        <v>230</v>
      </c>
      <c r="C931" s="13">
        <v>320</v>
      </c>
      <c r="D931" s="15" t="s">
        <v>108</v>
      </c>
      <c r="E931" s="13">
        <v>1030</v>
      </c>
      <c r="F931" s="13">
        <f>ROUND(E931*C931,0)</f>
        <v>329600</v>
      </c>
      <c r="G931" s="13">
        <v>3090</v>
      </c>
      <c r="H931" s="13">
        <f>ROUND(G931*C931,0)</f>
        <v>988800</v>
      </c>
      <c r="I931" s="13">
        <v>3373</v>
      </c>
      <c r="J931" s="13">
        <f>ROUND(I931*C931,0)</f>
        <v>1079360</v>
      </c>
      <c r="K931" s="13">
        <f>E931+G931+I931</f>
        <v>7493</v>
      </c>
      <c r="L931" s="13">
        <f>F931+H931+J931</f>
        <v>2397760</v>
      </c>
      <c r="M931" s="11"/>
    </row>
    <row r="932" spans="1:13">
      <c r="A932" s="11" t="s">
        <v>233</v>
      </c>
      <c r="B932" s="11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</row>
    <row r="933" spans="1:13">
      <c r="A933" s="11" t="s">
        <v>234</v>
      </c>
      <c r="B933" s="11" t="s">
        <v>454</v>
      </c>
      <c r="C933" s="13">
        <v>8</v>
      </c>
      <c r="D933" s="15" t="s">
        <v>108</v>
      </c>
      <c r="E933" s="13">
        <v>0</v>
      </c>
      <c r="F933" s="13">
        <f>ROUND(E933*C933,0)</f>
        <v>0</v>
      </c>
      <c r="G933" s="13">
        <v>0</v>
      </c>
      <c r="H933" s="13">
        <f>ROUND(G933*C933,0)</f>
        <v>0</v>
      </c>
      <c r="I933" s="13">
        <v>11243</v>
      </c>
      <c r="J933" s="13">
        <f>ROUND(I933*C933,0)</f>
        <v>89944</v>
      </c>
      <c r="K933" s="13">
        <f>E933+G933+I933</f>
        <v>11243</v>
      </c>
      <c r="L933" s="13">
        <f>F933+H933+J933</f>
        <v>89944</v>
      </c>
      <c r="M933" s="11"/>
    </row>
    <row r="934" spans="1:13">
      <c r="A934" s="11" t="s">
        <v>519</v>
      </c>
      <c r="B934" s="11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</row>
    <row r="935" spans="1:13">
      <c r="A935" s="11" t="s">
        <v>520</v>
      </c>
      <c r="B935" s="11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</row>
    <row r="936" spans="1:13">
      <c r="A936" s="11" t="s">
        <v>521</v>
      </c>
      <c r="B936" s="11" t="s">
        <v>522</v>
      </c>
      <c r="C936" s="13">
        <v>312</v>
      </c>
      <c r="D936" s="15" t="s">
        <v>240</v>
      </c>
      <c r="E936" s="13">
        <v>3090</v>
      </c>
      <c r="F936" s="13">
        <f>ROUND(E936*C936,0)</f>
        <v>964080</v>
      </c>
      <c r="G936" s="13">
        <v>16480</v>
      </c>
      <c r="H936" s="13">
        <f>ROUND(G936*C936,0)</f>
        <v>5141760</v>
      </c>
      <c r="I936" s="13">
        <v>1124</v>
      </c>
      <c r="J936" s="13">
        <f>ROUND(I936*C936,0)</f>
        <v>350688</v>
      </c>
      <c r="K936" s="13">
        <f>E936+G936+I936</f>
        <v>20694</v>
      </c>
      <c r="L936" s="13">
        <f>F936+H936+J936</f>
        <v>6456528</v>
      </c>
      <c r="M936" s="11"/>
    </row>
    <row r="937" spans="1:13">
      <c r="A937" s="11" t="s">
        <v>525</v>
      </c>
      <c r="B937" s="11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</row>
    <row r="938" spans="1:13">
      <c r="A938" s="11" t="s">
        <v>526</v>
      </c>
      <c r="B938" s="11" t="s">
        <v>527</v>
      </c>
      <c r="C938" s="13">
        <v>6</v>
      </c>
      <c r="D938" s="15" t="s">
        <v>210</v>
      </c>
      <c r="E938" s="13">
        <v>18231</v>
      </c>
      <c r="F938" s="13">
        <f>ROUND(E938*C938,0)</f>
        <v>109386</v>
      </c>
      <c r="G938" s="13">
        <v>51500</v>
      </c>
      <c r="H938" s="13">
        <f>ROUND(G938*C938,0)</f>
        <v>309000</v>
      </c>
      <c r="I938" s="13">
        <v>0</v>
      </c>
      <c r="J938" s="13">
        <f>ROUND(I938*C938,0)</f>
        <v>0</v>
      </c>
      <c r="K938" s="13">
        <f>E938+G938+I938</f>
        <v>69731</v>
      </c>
      <c r="L938" s="13">
        <f>F938+H938+J938</f>
        <v>418386</v>
      </c>
      <c r="M938" s="11"/>
    </row>
    <row r="939" spans="1:13">
      <c r="A939" s="11" t="s">
        <v>1193</v>
      </c>
      <c r="B939" s="11" t="s">
        <v>527</v>
      </c>
      <c r="C939" s="13">
        <v>6</v>
      </c>
      <c r="D939" s="15" t="s">
        <v>210</v>
      </c>
      <c r="E939" s="13">
        <v>27295</v>
      </c>
      <c r="F939" s="13">
        <f>ROUND(E939*C939,0)</f>
        <v>163770</v>
      </c>
      <c r="G939" s="13">
        <v>61800</v>
      </c>
      <c r="H939" s="13">
        <f>ROUND(G939*C939,0)</f>
        <v>370800</v>
      </c>
      <c r="I939" s="13">
        <v>0</v>
      </c>
      <c r="J939" s="13">
        <f>ROUND(I939*C939,0)</f>
        <v>0</v>
      </c>
      <c r="K939" s="13">
        <f>E939+G939+I939</f>
        <v>89095</v>
      </c>
      <c r="L939" s="13">
        <f>F939+H939+J939</f>
        <v>534570</v>
      </c>
      <c r="M939" s="11"/>
    </row>
    <row r="940" spans="1:13">
      <c r="A940" s="11" t="s">
        <v>531</v>
      </c>
      <c r="B940" s="11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</row>
    <row r="941" spans="1:13">
      <c r="A941" s="11" t="s">
        <v>532</v>
      </c>
      <c r="B941" s="11" t="s">
        <v>527</v>
      </c>
      <c r="C941" s="13">
        <v>1</v>
      </c>
      <c r="D941" s="15" t="s">
        <v>210</v>
      </c>
      <c r="E941" s="13">
        <v>7313</v>
      </c>
      <c r="F941" s="13">
        <f>ROUND(E941*C941,0)</f>
        <v>7313</v>
      </c>
      <c r="G941" s="13">
        <v>20600</v>
      </c>
      <c r="H941" s="13">
        <f>ROUND(G941*C941,0)</f>
        <v>20600</v>
      </c>
      <c r="I941" s="13">
        <v>0</v>
      </c>
      <c r="J941" s="13">
        <f>ROUND(I941*C941,0)</f>
        <v>0</v>
      </c>
      <c r="K941" s="13">
        <f>E941+G941+I941</f>
        <v>27913</v>
      </c>
      <c r="L941" s="13">
        <f>F941+H941+J941</f>
        <v>27913</v>
      </c>
      <c r="M941" s="11"/>
    </row>
    <row r="942" spans="1:13">
      <c r="A942" s="11" t="s">
        <v>534</v>
      </c>
      <c r="B942" s="11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</row>
    <row r="943" spans="1:13">
      <c r="A943" s="11" t="s">
        <v>535</v>
      </c>
      <c r="B943" s="11" t="s">
        <v>527</v>
      </c>
      <c r="C943" s="13">
        <v>6</v>
      </c>
      <c r="D943" s="15" t="s">
        <v>210</v>
      </c>
      <c r="E943" s="13">
        <v>0</v>
      </c>
      <c r="F943" s="13">
        <f>ROUND(E943*C943,0)</f>
        <v>0</v>
      </c>
      <c r="G943" s="13">
        <v>20600</v>
      </c>
      <c r="H943" s="13">
        <f>ROUND(G943*C943,0)</f>
        <v>123600</v>
      </c>
      <c r="I943" s="13">
        <v>0</v>
      </c>
      <c r="J943" s="13">
        <f>ROUND(I943*C943,0)</f>
        <v>0</v>
      </c>
      <c r="K943" s="13">
        <f>E943+G943+I943</f>
        <v>20600</v>
      </c>
      <c r="L943" s="13">
        <f>F943+H943+J943</f>
        <v>123600</v>
      </c>
      <c r="M943" s="11"/>
    </row>
    <row r="944" spans="1:13">
      <c r="A944" s="11" t="s">
        <v>556</v>
      </c>
      <c r="B944" s="11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</row>
    <row r="945" spans="1:13">
      <c r="A945" s="11" t="s">
        <v>1194</v>
      </c>
      <c r="B945" s="11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</row>
    <row r="946" spans="1:13">
      <c r="A946" s="11" t="s">
        <v>563</v>
      </c>
      <c r="B946" s="11" t="s">
        <v>564</v>
      </c>
      <c r="C946" s="13">
        <v>2</v>
      </c>
      <c r="D946" s="15" t="s">
        <v>210</v>
      </c>
      <c r="E946" s="13">
        <v>10300</v>
      </c>
      <c r="F946" s="13">
        <f>ROUND(E946*C946,0)</f>
        <v>20600</v>
      </c>
      <c r="G946" s="13">
        <v>61800</v>
      </c>
      <c r="H946" s="13">
        <f>ROUND(G946*C946,0)</f>
        <v>123600</v>
      </c>
      <c r="I946" s="13">
        <v>11243</v>
      </c>
      <c r="J946" s="13">
        <f>ROUND(I946*C946,0)</f>
        <v>22486</v>
      </c>
      <c r="K946" s="13">
        <f>E946+G946+I946</f>
        <v>83343</v>
      </c>
      <c r="L946" s="13">
        <f>F946+H946+J946</f>
        <v>166686</v>
      </c>
      <c r="M946" s="11"/>
    </row>
    <row r="947" spans="1:13">
      <c r="A947" s="11" t="s">
        <v>584</v>
      </c>
      <c r="B947" s="11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</row>
    <row r="948" spans="1:13">
      <c r="A948" s="11" t="s">
        <v>585</v>
      </c>
      <c r="B948" s="11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</row>
    <row r="949" spans="1:13">
      <c r="A949" s="11" t="s">
        <v>586</v>
      </c>
      <c r="B949" s="11" t="s">
        <v>587</v>
      </c>
      <c r="C949" s="13">
        <v>1</v>
      </c>
      <c r="D949" s="15" t="s">
        <v>210</v>
      </c>
      <c r="E949" s="13">
        <v>1030000</v>
      </c>
      <c r="F949" s="13">
        <f>ROUND(E949*C949,0)</f>
        <v>1030000</v>
      </c>
      <c r="G949" s="13">
        <v>4120000</v>
      </c>
      <c r="H949" s="13">
        <f>ROUND(G949*C949,0)</f>
        <v>4120000</v>
      </c>
      <c r="I949" s="13">
        <v>1124273</v>
      </c>
      <c r="J949" s="13">
        <f>ROUND(I949*C949,0)</f>
        <v>1124273</v>
      </c>
      <c r="K949" s="13">
        <f>E949+G949+I949</f>
        <v>6274273</v>
      </c>
      <c r="L949" s="13">
        <f>F949+H949+J949</f>
        <v>6274273</v>
      </c>
      <c r="M949" s="11"/>
    </row>
    <row r="950" spans="1:13">
      <c r="A950" s="11" t="s">
        <v>588</v>
      </c>
      <c r="B950" s="11" t="s">
        <v>589</v>
      </c>
      <c r="C950" s="13">
        <v>2</v>
      </c>
      <c r="D950" s="15" t="s">
        <v>210</v>
      </c>
      <c r="E950" s="13">
        <v>309000</v>
      </c>
      <c r="F950" s="13">
        <f>ROUND(E950*C950,0)</f>
        <v>618000</v>
      </c>
      <c r="G950" s="13">
        <v>103000</v>
      </c>
      <c r="H950" s="13">
        <f>ROUND(G950*C950,0)</f>
        <v>206000</v>
      </c>
      <c r="I950" s="13">
        <v>112427</v>
      </c>
      <c r="J950" s="13">
        <f>ROUND(I950*C950,0)</f>
        <v>224854</v>
      </c>
      <c r="K950" s="13">
        <f>E950+G950+I950</f>
        <v>524427</v>
      </c>
      <c r="L950" s="13">
        <f>F950+H950+J950</f>
        <v>1048854</v>
      </c>
      <c r="M950" s="11"/>
    </row>
    <row r="951" spans="1:13">
      <c r="A951" s="11" t="s">
        <v>1195</v>
      </c>
      <c r="B951" s="11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</row>
    <row r="952" spans="1:13">
      <c r="A952" s="11" t="s">
        <v>606</v>
      </c>
      <c r="B952" s="11" t="s">
        <v>527</v>
      </c>
      <c r="C952" s="13">
        <v>2</v>
      </c>
      <c r="D952" s="15" t="s">
        <v>210</v>
      </c>
      <c r="E952" s="13">
        <v>17510</v>
      </c>
      <c r="F952" s="13">
        <f>ROUND(E952*C952,0)</f>
        <v>35020</v>
      </c>
      <c r="G952" s="13">
        <v>51500</v>
      </c>
      <c r="H952" s="13">
        <f>ROUND(G952*C952,0)</f>
        <v>103000</v>
      </c>
      <c r="I952" s="13">
        <v>11243</v>
      </c>
      <c r="J952" s="13">
        <f>ROUND(I952*C952,0)</f>
        <v>22486</v>
      </c>
      <c r="K952" s="13">
        <f>E952+G952+I952</f>
        <v>80253</v>
      </c>
      <c r="L952" s="13">
        <f>F952+H952+J952</f>
        <v>160506</v>
      </c>
      <c r="M952" s="11"/>
    </row>
    <row r="953" spans="1:13">
      <c r="A953" s="11" t="s">
        <v>494</v>
      </c>
      <c r="B953" s="11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</row>
    <row r="954" spans="1:13">
      <c r="A954" s="11" t="s">
        <v>608</v>
      </c>
      <c r="B954" s="11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</row>
    <row r="955" spans="1:13">
      <c r="A955" s="11" t="s">
        <v>1182</v>
      </c>
      <c r="B955" s="11" t="s">
        <v>287</v>
      </c>
      <c r="C955" s="13">
        <v>311</v>
      </c>
      <c r="D955" s="15" t="s">
        <v>240</v>
      </c>
      <c r="E955" s="13">
        <v>515</v>
      </c>
      <c r="F955" s="13">
        <f>ROUND(E955*C955,0)</f>
        <v>160165</v>
      </c>
      <c r="G955" s="13">
        <v>515</v>
      </c>
      <c r="H955" s="13">
        <f>ROUND(G955*C955,0)</f>
        <v>160165</v>
      </c>
      <c r="I955" s="13">
        <v>0</v>
      </c>
      <c r="J955" s="13">
        <f>ROUND(I955*C955,0)</f>
        <v>0</v>
      </c>
      <c r="K955" s="13">
        <f>E955+G955+I955</f>
        <v>1030</v>
      </c>
      <c r="L955" s="13">
        <f>F955+H955+J955</f>
        <v>320330</v>
      </c>
      <c r="M955" s="11"/>
    </row>
    <row r="956" spans="1:13">
      <c r="A956" s="11" t="s">
        <v>505</v>
      </c>
      <c r="B956" s="11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</row>
    <row r="957" spans="1:13">
      <c r="A957" s="11" t="s">
        <v>617</v>
      </c>
      <c r="B957" s="11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</row>
    <row r="958" spans="1:13">
      <c r="A958" s="11" t="s">
        <v>412</v>
      </c>
      <c r="B958" s="11" t="s">
        <v>415</v>
      </c>
      <c r="C958" s="13">
        <v>1</v>
      </c>
      <c r="D958" s="15" t="s">
        <v>108</v>
      </c>
      <c r="E958" s="13">
        <v>94820</v>
      </c>
      <c r="F958" s="13">
        <f>ROUND(E958*C958,0)</f>
        <v>94820</v>
      </c>
      <c r="G958" s="13">
        <v>0</v>
      </c>
      <c r="H958" s="13">
        <f>ROUND(G958*C958,0)</f>
        <v>0</v>
      </c>
      <c r="I958" s="13">
        <v>0</v>
      </c>
      <c r="J958" s="13">
        <f>ROUND(I958*C958,0)</f>
        <v>0</v>
      </c>
      <c r="K958" s="13">
        <f>E958+G958+I958</f>
        <v>94820</v>
      </c>
      <c r="L958" s="13">
        <f>F958+H958+J958</f>
        <v>94820</v>
      </c>
      <c r="M958" s="11"/>
    </row>
    <row r="959" spans="1:13">
      <c r="A959" s="11" t="s">
        <v>1196</v>
      </c>
      <c r="B959" s="11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</row>
    <row r="960" spans="1:13" ht="33">
      <c r="A960" s="11" t="s">
        <v>629</v>
      </c>
      <c r="B960" s="11" t="s">
        <v>630</v>
      </c>
      <c r="C960" s="13">
        <v>54</v>
      </c>
      <c r="D960" s="15" t="s">
        <v>377</v>
      </c>
      <c r="E960" s="13">
        <v>244110</v>
      </c>
      <c r="F960" s="13">
        <f>ROUND(E960*C960,0)</f>
        <v>13181940</v>
      </c>
      <c r="G960" s="13">
        <v>0</v>
      </c>
      <c r="H960" s="13">
        <f>ROUND(G960*C960,0)</f>
        <v>0</v>
      </c>
      <c r="I960" s="13">
        <v>0</v>
      </c>
      <c r="J960" s="13">
        <f>ROUND(I960*C960,0)</f>
        <v>0</v>
      </c>
      <c r="K960" s="13">
        <f t="shared" ref="K960:L962" si="170">E960+G960+I960</f>
        <v>244110</v>
      </c>
      <c r="L960" s="13">
        <f t="shared" si="170"/>
        <v>13181940</v>
      </c>
      <c r="M960" s="11"/>
    </row>
    <row r="961" spans="1:13">
      <c r="A961" s="11" t="s">
        <v>633</v>
      </c>
      <c r="B961" s="11" t="s">
        <v>634</v>
      </c>
      <c r="C961" s="13">
        <v>141</v>
      </c>
      <c r="D961" s="15" t="s">
        <v>635</v>
      </c>
      <c r="E961" s="13">
        <v>3605</v>
      </c>
      <c r="F961" s="13">
        <f>ROUND(E961*C961,0)</f>
        <v>508305</v>
      </c>
      <c r="G961" s="13">
        <v>0</v>
      </c>
      <c r="H961" s="13">
        <f>ROUND(G961*C961,0)</f>
        <v>0</v>
      </c>
      <c r="I961" s="13">
        <v>0</v>
      </c>
      <c r="J961" s="13">
        <f>ROUND(I961*C961,0)</f>
        <v>0</v>
      </c>
      <c r="K961" s="13">
        <f t="shared" si="170"/>
        <v>3605</v>
      </c>
      <c r="L961" s="13">
        <f t="shared" si="170"/>
        <v>508305</v>
      </c>
      <c r="M961" s="11"/>
    </row>
    <row r="962" spans="1:13">
      <c r="A962" s="11" t="s">
        <v>636</v>
      </c>
      <c r="B962" s="11" t="s">
        <v>637</v>
      </c>
      <c r="C962" s="13">
        <v>7</v>
      </c>
      <c r="D962" s="15" t="s">
        <v>638</v>
      </c>
      <c r="E962" s="13">
        <v>0</v>
      </c>
      <c r="F962" s="13">
        <f>ROUND(E962*C962,0)</f>
        <v>0</v>
      </c>
      <c r="G962" s="13">
        <v>0</v>
      </c>
      <c r="H962" s="13">
        <f>ROUND(G962*C962,0)</f>
        <v>0</v>
      </c>
      <c r="I962" s="13">
        <v>22485</v>
      </c>
      <c r="J962" s="13">
        <f>ROUND(I962*C962,0)</f>
        <v>157395</v>
      </c>
      <c r="K962" s="13">
        <f t="shared" si="170"/>
        <v>22485</v>
      </c>
      <c r="L962" s="13">
        <f t="shared" si="170"/>
        <v>157395</v>
      </c>
      <c r="M962" s="11"/>
    </row>
    <row r="963" spans="1:13">
      <c r="A963" s="11" t="s">
        <v>1197</v>
      </c>
      <c r="B963" s="11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</row>
    <row r="964" spans="1:13">
      <c r="A964" s="11" t="s">
        <v>654</v>
      </c>
      <c r="B964" s="11" t="s">
        <v>564</v>
      </c>
      <c r="C964" s="13">
        <v>2</v>
      </c>
      <c r="D964" s="15" t="s">
        <v>374</v>
      </c>
      <c r="E964" s="13">
        <v>174070</v>
      </c>
      <c r="F964" s="13">
        <f>ROUND(E964*C964,0)</f>
        <v>348140</v>
      </c>
      <c r="G964" s="13">
        <v>0</v>
      </c>
      <c r="H964" s="13">
        <f>ROUND(G964*C964,0)</f>
        <v>0</v>
      </c>
      <c r="I964" s="13">
        <v>0</v>
      </c>
      <c r="J964" s="13">
        <f>ROUND(I964*C964,0)</f>
        <v>0</v>
      </c>
      <c r="K964" s="13">
        <f>E964+G964+I964</f>
        <v>174070</v>
      </c>
      <c r="L964" s="13">
        <f>F964+H964+J964</f>
        <v>348140</v>
      </c>
      <c r="M964" s="11"/>
    </row>
    <row r="965" spans="1:13">
      <c r="A965" s="11" t="s">
        <v>1198</v>
      </c>
      <c r="B965" s="11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</row>
    <row r="966" spans="1:13">
      <c r="A966" s="11" t="s">
        <v>447</v>
      </c>
      <c r="B966" s="11" t="s">
        <v>659</v>
      </c>
      <c r="C966" s="13">
        <v>1</v>
      </c>
      <c r="D966" s="15" t="s">
        <v>449</v>
      </c>
      <c r="E966" s="13">
        <v>448050</v>
      </c>
      <c r="F966" s="13">
        <f>ROUND(E966*C966,0)</f>
        <v>448050</v>
      </c>
      <c r="G966" s="13">
        <v>0</v>
      </c>
      <c r="H966" s="13">
        <f>ROUND(G966*C966,0)</f>
        <v>0</v>
      </c>
      <c r="I966" s="13">
        <v>0</v>
      </c>
      <c r="J966" s="13">
        <f>ROUND(I966*C966,0)</f>
        <v>0</v>
      </c>
      <c r="K966" s="13">
        <f>E966+G966+I966</f>
        <v>448050</v>
      </c>
      <c r="L966" s="13">
        <f>F966+H966+J966</f>
        <v>448050</v>
      </c>
      <c r="M966" s="11"/>
    </row>
    <row r="967" spans="1:13">
      <c r="A967" s="19" t="s">
        <v>1199</v>
      </c>
      <c r="B967" s="20"/>
      <c r="C967" s="21"/>
      <c r="D967" s="21"/>
      <c r="E967" s="21"/>
      <c r="F967" s="22">
        <f>SUM(F969:F1040)</f>
        <v>249473819</v>
      </c>
      <c r="G967" s="21"/>
      <c r="H967" s="22">
        <f>SUM(H969:H1040)</f>
        <v>52941540</v>
      </c>
      <c r="I967" s="21"/>
      <c r="J967" s="22">
        <f>SUM(J969:J1040)</f>
        <v>59157100</v>
      </c>
      <c r="K967" s="21"/>
      <c r="L967" s="22">
        <f>F967+H967+J967</f>
        <v>361572459</v>
      </c>
      <c r="M967" s="21"/>
    </row>
    <row r="968" spans="1:13">
      <c r="A968" s="11" t="s">
        <v>1200</v>
      </c>
      <c r="B968" s="11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</row>
    <row r="969" spans="1:13">
      <c r="A969" s="11" t="s">
        <v>664</v>
      </c>
      <c r="B969" s="11" t="s">
        <v>665</v>
      </c>
      <c r="C969" s="13">
        <v>2180</v>
      </c>
      <c r="D969" s="15" t="s">
        <v>102</v>
      </c>
      <c r="E969" s="13">
        <v>0</v>
      </c>
      <c r="F969" s="13">
        <f t="shared" ref="F969:F975" si="171">ROUND(E969*C969,0)</f>
        <v>0</v>
      </c>
      <c r="G969" s="13">
        <v>381</v>
      </c>
      <c r="H969" s="13">
        <f t="shared" ref="H969:H975" si="172">ROUND(G969*C969,0)</f>
        <v>830580</v>
      </c>
      <c r="I969" s="13">
        <v>2923</v>
      </c>
      <c r="J969" s="13">
        <f t="shared" ref="J969:J975" si="173">ROUND(I969*C969,0)</f>
        <v>6372140</v>
      </c>
      <c r="K969" s="13">
        <f t="shared" ref="K969:L975" si="174">E969+G969+I969</f>
        <v>3304</v>
      </c>
      <c r="L969" s="13">
        <f t="shared" si="174"/>
        <v>7202720</v>
      </c>
      <c r="M969" s="11"/>
    </row>
    <row r="970" spans="1:13">
      <c r="A970" s="11" t="s">
        <v>666</v>
      </c>
      <c r="B970" s="11" t="s">
        <v>665</v>
      </c>
      <c r="C970" s="13">
        <v>2180</v>
      </c>
      <c r="D970" s="15" t="s">
        <v>102</v>
      </c>
      <c r="E970" s="13">
        <v>0</v>
      </c>
      <c r="F970" s="13">
        <f t="shared" si="171"/>
        <v>0</v>
      </c>
      <c r="G970" s="13">
        <v>381</v>
      </c>
      <c r="H970" s="13">
        <f t="shared" si="172"/>
        <v>830580</v>
      </c>
      <c r="I970" s="13">
        <v>2923</v>
      </c>
      <c r="J970" s="13">
        <f t="shared" si="173"/>
        <v>6372140</v>
      </c>
      <c r="K970" s="13">
        <f t="shared" si="174"/>
        <v>3304</v>
      </c>
      <c r="L970" s="13">
        <f t="shared" si="174"/>
        <v>7202720</v>
      </c>
      <c r="M970" s="11"/>
    </row>
    <row r="971" spans="1:13">
      <c r="A971" s="11" t="s">
        <v>667</v>
      </c>
      <c r="B971" s="11" t="s">
        <v>668</v>
      </c>
      <c r="C971" s="13">
        <v>2180</v>
      </c>
      <c r="D971" s="15" t="s">
        <v>102</v>
      </c>
      <c r="E971" s="13">
        <v>0</v>
      </c>
      <c r="F971" s="13">
        <f t="shared" si="171"/>
        <v>0</v>
      </c>
      <c r="G971" s="13">
        <v>762</v>
      </c>
      <c r="H971" s="13">
        <f t="shared" si="172"/>
        <v>1661160</v>
      </c>
      <c r="I971" s="13">
        <v>5846</v>
      </c>
      <c r="J971" s="13">
        <f t="shared" si="173"/>
        <v>12744280</v>
      </c>
      <c r="K971" s="13">
        <f t="shared" si="174"/>
        <v>6608</v>
      </c>
      <c r="L971" s="13">
        <f t="shared" si="174"/>
        <v>14405440</v>
      </c>
      <c r="M971" s="11"/>
    </row>
    <row r="972" spans="1:13">
      <c r="A972" s="11" t="s">
        <v>669</v>
      </c>
      <c r="B972" s="11" t="s">
        <v>670</v>
      </c>
      <c r="C972" s="13">
        <v>2180</v>
      </c>
      <c r="D972" s="15" t="s">
        <v>102</v>
      </c>
      <c r="E972" s="13">
        <v>0</v>
      </c>
      <c r="F972" s="13">
        <f t="shared" si="171"/>
        <v>0</v>
      </c>
      <c r="G972" s="13">
        <v>0</v>
      </c>
      <c r="H972" s="13">
        <f t="shared" si="172"/>
        <v>0</v>
      </c>
      <c r="I972" s="13">
        <v>225</v>
      </c>
      <c r="J972" s="13">
        <f t="shared" si="173"/>
        <v>490500</v>
      </c>
      <c r="K972" s="13">
        <f t="shared" si="174"/>
        <v>225</v>
      </c>
      <c r="L972" s="13">
        <f t="shared" si="174"/>
        <v>490500</v>
      </c>
      <c r="M972" s="11"/>
    </row>
    <row r="973" spans="1:13">
      <c r="A973" s="11" t="s">
        <v>671</v>
      </c>
      <c r="B973" s="11" t="s">
        <v>672</v>
      </c>
      <c r="C973" s="13">
        <v>2180</v>
      </c>
      <c r="D973" s="15" t="s">
        <v>102</v>
      </c>
      <c r="E973" s="13">
        <v>0</v>
      </c>
      <c r="F973" s="13">
        <f t="shared" si="171"/>
        <v>0</v>
      </c>
      <c r="G973" s="13">
        <v>0</v>
      </c>
      <c r="H973" s="13">
        <f t="shared" si="172"/>
        <v>0</v>
      </c>
      <c r="I973" s="13">
        <v>225</v>
      </c>
      <c r="J973" s="13">
        <f t="shared" si="173"/>
        <v>490500</v>
      </c>
      <c r="K973" s="13">
        <f t="shared" si="174"/>
        <v>225</v>
      </c>
      <c r="L973" s="13">
        <f t="shared" si="174"/>
        <v>490500</v>
      </c>
      <c r="M973" s="11"/>
    </row>
    <row r="974" spans="1:13">
      <c r="A974" s="11" t="s">
        <v>673</v>
      </c>
      <c r="B974" s="11" t="s">
        <v>674</v>
      </c>
      <c r="C974" s="13">
        <v>4360</v>
      </c>
      <c r="D974" s="15" t="s">
        <v>102</v>
      </c>
      <c r="E974" s="13">
        <v>0</v>
      </c>
      <c r="F974" s="13">
        <f t="shared" si="171"/>
        <v>0</v>
      </c>
      <c r="G974" s="13">
        <v>0</v>
      </c>
      <c r="H974" s="13">
        <f t="shared" si="172"/>
        <v>0</v>
      </c>
      <c r="I974" s="13">
        <v>337</v>
      </c>
      <c r="J974" s="13">
        <f t="shared" si="173"/>
        <v>1469320</v>
      </c>
      <c r="K974" s="13">
        <f t="shared" si="174"/>
        <v>337</v>
      </c>
      <c r="L974" s="13">
        <f t="shared" si="174"/>
        <v>1469320</v>
      </c>
      <c r="M974" s="11"/>
    </row>
    <row r="975" spans="1:13">
      <c r="A975" s="11" t="s">
        <v>675</v>
      </c>
      <c r="B975" s="11" t="s">
        <v>676</v>
      </c>
      <c r="C975" s="13">
        <v>678</v>
      </c>
      <c r="D975" s="15" t="s">
        <v>108</v>
      </c>
      <c r="E975" s="13">
        <v>0</v>
      </c>
      <c r="F975" s="13">
        <f t="shared" si="171"/>
        <v>0</v>
      </c>
      <c r="G975" s="13">
        <v>1545</v>
      </c>
      <c r="H975" s="13">
        <f t="shared" si="172"/>
        <v>1047510</v>
      </c>
      <c r="I975" s="13">
        <v>5082</v>
      </c>
      <c r="J975" s="13">
        <f t="shared" si="173"/>
        <v>3445596</v>
      </c>
      <c r="K975" s="13">
        <f t="shared" si="174"/>
        <v>6627</v>
      </c>
      <c r="L975" s="13">
        <f t="shared" si="174"/>
        <v>4493106</v>
      </c>
      <c r="M975" s="11"/>
    </row>
    <row r="976" spans="1:13">
      <c r="A976" s="11" t="s">
        <v>677</v>
      </c>
      <c r="B976" s="11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</row>
    <row r="977" spans="1:13">
      <c r="A977" s="11" t="s">
        <v>678</v>
      </c>
      <c r="B977" s="11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</row>
    <row r="978" spans="1:13">
      <c r="A978" s="11" t="s">
        <v>679</v>
      </c>
      <c r="B978" s="11" t="s">
        <v>680</v>
      </c>
      <c r="C978" s="13">
        <v>840</v>
      </c>
      <c r="D978" s="15" t="s">
        <v>102</v>
      </c>
      <c r="E978" s="13">
        <v>0</v>
      </c>
      <c r="F978" s="13">
        <f>ROUND(E978*C978,0)</f>
        <v>0</v>
      </c>
      <c r="G978" s="13">
        <v>15450</v>
      </c>
      <c r="H978" s="13">
        <f>ROUND(G978*C978,0)</f>
        <v>12978000</v>
      </c>
      <c r="I978" s="13">
        <v>3216</v>
      </c>
      <c r="J978" s="13">
        <f>ROUND(I978*C978,0)</f>
        <v>2701440</v>
      </c>
      <c r="K978" s="13">
        <f>E978+G978+I978</f>
        <v>18666</v>
      </c>
      <c r="L978" s="13">
        <f>F978+H978+J978</f>
        <v>15679440</v>
      </c>
      <c r="M978" s="11"/>
    </row>
    <row r="979" spans="1:13">
      <c r="A979" s="11" t="s">
        <v>681</v>
      </c>
      <c r="B979" s="11" t="s">
        <v>682</v>
      </c>
      <c r="C979" s="13">
        <v>84</v>
      </c>
      <c r="D979" s="15" t="s">
        <v>108</v>
      </c>
      <c r="E979" s="13">
        <v>0</v>
      </c>
      <c r="F979" s="13">
        <f>ROUND(E979*C979,0)</f>
        <v>0</v>
      </c>
      <c r="G979" s="13">
        <v>1545</v>
      </c>
      <c r="H979" s="13">
        <f>ROUND(G979*C979,0)</f>
        <v>129780</v>
      </c>
      <c r="I979" s="13">
        <v>5082</v>
      </c>
      <c r="J979" s="13">
        <f>ROUND(I979*C979,0)</f>
        <v>426888</v>
      </c>
      <c r="K979" s="13">
        <f>E979+G979+I979</f>
        <v>6627</v>
      </c>
      <c r="L979" s="13">
        <f>F979+H979+J979</f>
        <v>556668</v>
      </c>
      <c r="M979" s="11"/>
    </row>
    <row r="980" spans="1:13">
      <c r="A980" s="11" t="s">
        <v>683</v>
      </c>
      <c r="B980" s="11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</row>
    <row r="981" spans="1:13">
      <c r="A981" s="11" t="s">
        <v>684</v>
      </c>
      <c r="B981" s="11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</row>
    <row r="982" spans="1:13">
      <c r="A982" s="11" t="s">
        <v>685</v>
      </c>
      <c r="B982" s="11" t="s">
        <v>686</v>
      </c>
      <c r="C982" s="13">
        <v>184</v>
      </c>
      <c r="D982" s="15" t="s">
        <v>102</v>
      </c>
      <c r="E982" s="13">
        <v>0</v>
      </c>
      <c r="F982" s="13">
        <f>ROUND(E982*C982,0)</f>
        <v>0</v>
      </c>
      <c r="G982" s="13">
        <v>13390</v>
      </c>
      <c r="H982" s="13">
        <f>ROUND(G982*C982,0)</f>
        <v>2463760</v>
      </c>
      <c r="I982" s="13">
        <v>4891</v>
      </c>
      <c r="J982" s="13">
        <f>ROUND(I982*C982,0)</f>
        <v>899944</v>
      </c>
      <c r="K982" s="13">
        <f t="shared" ref="K982:L984" si="175">E982+G982+I982</f>
        <v>18281</v>
      </c>
      <c r="L982" s="13">
        <f t="shared" si="175"/>
        <v>3363704</v>
      </c>
      <c r="M982" s="11"/>
    </row>
    <row r="983" spans="1:13">
      <c r="A983" s="11" t="s">
        <v>687</v>
      </c>
      <c r="B983" s="11" t="s">
        <v>686</v>
      </c>
      <c r="C983" s="13">
        <v>11</v>
      </c>
      <c r="D983" s="15" t="s">
        <v>102</v>
      </c>
      <c r="E983" s="13">
        <v>0</v>
      </c>
      <c r="F983" s="13">
        <f>ROUND(E983*C983,0)</f>
        <v>0</v>
      </c>
      <c r="G983" s="13">
        <v>13390</v>
      </c>
      <c r="H983" s="13">
        <f>ROUND(G983*C983,0)</f>
        <v>147290</v>
      </c>
      <c r="I983" s="13">
        <v>4891</v>
      </c>
      <c r="J983" s="13">
        <f>ROUND(I983*C983,0)</f>
        <v>53801</v>
      </c>
      <c r="K983" s="13">
        <f t="shared" si="175"/>
        <v>18281</v>
      </c>
      <c r="L983" s="13">
        <f t="shared" si="175"/>
        <v>201091</v>
      </c>
      <c r="M983" s="11"/>
    </row>
    <row r="984" spans="1:13">
      <c r="A984" s="11" t="s">
        <v>688</v>
      </c>
      <c r="B984" s="11" t="s">
        <v>689</v>
      </c>
      <c r="C984" s="13">
        <v>20</v>
      </c>
      <c r="D984" s="15" t="s">
        <v>108</v>
      </c>
      <c r="E984" s="13">
        <v>0</v>
      </c>
      <c r="F984" s="13">
        <f>ROUND(E984*C984,0)</f>
        <v>0</v>
      </c>
      <c r="G984" s="13">
        <v>1545</v>
      </c>
      <c r="H984" s="13">
        <f>ROUND(G984*C984,0)</f>
        <v>30900</v>
      </c>
      <c r="I984" s="13">
        <v>5082</v>
      </c>
      <c r="J984" s="13">
        <f>ROUND(I984*C984,0)</f>
        <v>101640</v>
      </c>
      <c r="K984" s="13">
        <f t="shared" si="175"/>
        <v>6627</v>
      </c>
      <c r="L984" s="13">
        <f t="shared" si="175"/>
        <v>132540</v>
      </c>
      <c r="M984" s="11"/>
    </row>
    <row r="985" spans="1:13">
      <c r="A985" s="11" t="s">
        <v>690</v>
      </c>
      <c r="B985" s="11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</row>
    <row r="986" spans="1:13">
      <c r="A986" s="11" t="s">
        <v>691</v>
      </c>
      <c r="B986" s="11" t="s">
        <v>692</v>
      </c>
      <c r="C986" s="13">
        <v>420</v>
      </c>
      <c r="D986" s="15" t="s">
        <v>102</v>
      </c>
      <c r="E986" s="13">
        <v>6180</v>
      </c>
      <c r="F986" s="13">
        <f>ROUND(E986*C986,0)</f>
        <v>2595600</v>
      </c>
      <c r="G986" s="13">
        <v>14420</v>
      </c>
      <c r="H986" s="13">
        <f>ROUND(G986*C986,0)</f>
        <v>6056400</v>
      </c>
      <c r="I986" s="13">
        <v>4497</v>
      </c>
      <c r="J986" s="13">
        <f>ROUND(I986*C986,0)</f>
        <v>1888740</v>
      </c>
      <c r="K986" s="13">
        <f>E986+G986+I986</f>
        <v>25097</v>
      </c>
      <c r="L986" s="13">
        <f>F986+H986+J986</f>
        <v>10540740</v>
      </c>
      <c r="M986" s="11"/>
    </row>
    <row r="987" spans="1:13">
      <c r="A987" s="11" t="s">
        <v>693</v>
      </c>
      <c r="B987" s="11" t="s">
        <v>694</v>
      </c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</row>
    <row r="988" spans="1:13">
      <c r="A988" s="11" t="s">
        <v>664</v>
      </c>
      <c r="B988" s="11" t="s">
        <v>695</v>
      </c>
      <c r="C988" s="13">
        <v>76</v>
      </c>
      <c r="D988" s="15" t="s">
        <v>102</v>
      </c>
      <c r="E988" s="13">
        <v>0</v>
      </c>
      <c r="F988" s="13">
        <f>ROUND(E988*C988,0)</f>
        <v>0</v>
      </c>
      <c r="G988" s="13">
        <v>5150</v>
      </c>
      <c r="H988" s="13">
        <f>ROUND(G988*C988,0)</f>
        <v>391400</v>
      </c>
      <c r="I988" s="13">
        <v>32604</v>
      </c>
      <c r="J988" s="13">
        <f>ROUND(I988*C988,0)</f>
        <v>2477904</v>
      </c>
      <c r="K988" s="13">
        <f t="shared" ref="K988:L992" si="176">E988+G988+I988</f>
        <v>37754</v>
      </c>
      <c r="L988" s="13">
        <f t="shared" si="176"/>
        <v>2869304</v>
      </c>
      <c r="M988" s="11"/>
    </row>
    <row r="989" spans="1:13">
      <c r="A989" s="11" t="s">
        <v>696</v>
      </c>
      <c r="B989" s="11" t="s">
        <v>672</v>
      </c>
      <c r="C989" s="13">
        <v>152</v>
      </c>
      <c r="D989" s="15" t="s">
        <v>102</v>
      </c>
      <c r="E989" s="13">
        <v>0</v>
      </c>
      <c r="F989" s="13">
        <f>ROUND(E989*C989,0)</f>
        <v>0</v>
      </c>
      <c r="G989" s="13">
        <v>0</v>
      </c>
      <c r="H989" s="13">
        <f>ROUND(G989*C989,0)</f>
        <v>0</v>
      </c>
      <c r="I989" s="13">
        <v>562</v>
      </c>
      <c r="J989" s="13">
        <f>ROUND(I989*C989,0)</f>
        <v>85424</v>
      </c>
      <c r="K989" s="13">
        <f t="shared" si="176"/>
        <v>562</v>
      </c>
      <c r="L989" s="13">
        <f t="shared" si="176"/>
        <v>85424</v>
      </c>
      <c r="M989" s="11"/>
    </row>
    <row r="990" spans="1:13">
      <c r="A990" s="11" t="s">
        <v>697</v>
      </c>
      <c r="B990" s="11" t="s">
        <v>698</v>
      </c>
      <c r="C990" s="13">
        <v>38</v>
      </c>
      <c r="D990" s="15" t="s">
        <v>102</v>
      </c>
      <c r="E990" s="13">
        <v>6695</v>
      </c>
      <c r="F990" s="13">
        <f>ROUND(E990*C990,0)</f>
        <v>254410</v>
      </c>
      <c r="G990" s="13">
        <v>9785</v>
      </c>
      <c r="H990" s="13">
        <f>ROUND(G990*C990,0)</f>
        <v>371830</v>
      </c>
      <c r="I990" s="13">
        <v>2249</v>
      </c>
      <c r="J990" s="13">
        <f>ROUND(I990*C990,0)</f>
        <v>85462</v>
      </c>
      <c r="K990" s="13">
        <f t="shared" si="176"/>
        <v>18729</v>
      </c>
      <c r="L990" s="13">
        <f t="shared" si="176"/>
        <v>711702</v>
      </c>
      <c r="M990" s="11"/>
    </row>
    <row r="991" spans="1:13">
      <c r="A991" s="11" t="s">
        <v>699</v>
      </c>
      <c r="B991" s="11" t="s">
        <v>700</v>
      </c>
      <c r="C991" s="13">
        <v>38</v>
      </c>
      <c r="D991" s="15" t="s">
        <v>102</v>
      </c>
      <c r="E991" s="13">
        <v>6695</v>
      </c>
      <c r="F991" s="13">
        <f>ROUND(E991*C991,0)</f>
        <v>254410</v>
      </c>
      <c r="G991" s="13">
        <v>9785</v>
      </c>
      <c r="H991" s="13">
        <f>ROUND(G991*C991,0)</f>
        <v>371830</v>
      </c>
      <c r="I991" s="13">
        <v>2249</v>
      </c>
      <c r="J991" s="13">
        <f>ROUND(I991*C991,0)</f>
        <v>85462</v>
      </c>
      <c r="K991" s="13">
        <f t="shared" si="176"/>
        <v>18729</v>
      </c>
      <c r="L991" s="13">
        <f t="shared" si="176"/>
        <v>711702</v>
      </c>
      <c r="M991" s="11"/>
    </row>
    <row r="992" spans="1:13">
      <c r="A992" s="11" t="s">
        <v>701</v>
      </c>
      <c r="B992" s="11" t="s">
        <v>702</v>
      </c>
      <c r="C992" s="13">
        <v>76</v>
      </c>
      <c r="D992" s="15" t="s">
        <v>102</v>
      </c>
      <c r="E992" s="13">
        <v>0</v>
      </c>
      <c r="F992" s="13">
        <f>ROUND(E992*C992,0)</f>
        <v>0</v>
      </c>
      <c r="G992" s="13">
        <v>0</v>
      </c>
      <c r="H992" s="13">
        <f>ROUND(G992*C992,0)</f>
        <v>0</v>
      </c>
      <c r="I992" s="13">
        <v>5621</v>
      </c>
      <c r="J992" s="13">
        <f>ROUND(I992*C992,0)</f>
        <v>427196</v>
      </c>
      <c r="K992" s="13">
        <f t="shared" si="176"/>
        <v>5621</v>
      </c>
      <c r="L992" s="13">
        <f t="shared" si="176"/>
        <v>427196</v>
      </c>
      <c r="M992" s="11"/>
    </row>
    <row r="993" spans="1:13">
      <c r="A993" s="11" t="s">
        <v>1201</v>
      </c>
      <c r="B993" s="11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</row>
    <row r="994" spans="1:13">
      <c r="A994" s="11" t="s">
        <v>712</v>
      </c>
      <c r="B994" s="11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</row>
    <row r="995" spans="1:13" ht="33">
      <c r="A995" s="11" t="s">
        <v>713</v>
      </c>
      <c r="B995" s="11" t="s">
        <v>714</v>
      </c>
      <c r="C995" s="13">
        <v>623</v>
      </c>
      <c r="D995" s="15" t="s">
        <v>240</v>
      </c>
      <c r="E995" s="13">
        <v>0</v>
      </c>
      <c r="F995" s="13">
        <f>ROUND(E995*C995,0)</f>
        <v>0</v>
      </c>
      <c r="G995" s="13">
        <v>13390</v>
      </c>
      <c r="H995" s="13">
        <f>ROUND(G995*C995,0)</f>
        <v>8341970</v>
      </c>
      <c r="I995" s="13">
        <v>5891</v>
      </c>
      <c r="J995" s="13">
        <f>ROUND(I995*C995,0)</f>
        <v>3670093</v>
      </c>
      <c r="K995" s="13">
        <f t="shared" ref="K995:L997" si="177">E995+G995+I995</f>
        <v>19281</v>
      </c>
      <c r="L995" s="13">
        <f t="shared" si="177"/>
        <v>12012063</v>
      </c>
      <c r="M995" s="11"/>
    </row>
    <row r="996" spans="1:13" ht="33">
      <c r="A996" s="11" t="s">
        <v>1202</v>
      </c>
      <c r="B996" s="11" t="s">
        <v>718</v>
      </c>
      <c r="C996" s="13">
        <v>11</v>
      </c>
      <c r="D996" s="15" t="s">
        <v>240</v>
      </c>
      <c r="E996" s="13">
        <v>0</v>
      </c>
      <c r="F996" s="13">
        <f>ROUND(E996*C996,0)</f>
        <v>0</v>
      </c>
      <c r="G996" s="13">
        <v>13390</v>
      </c>
      <c r="H996" s="13">
        <f>ROUND(G996*C996,0)</f>
        <v>147290</v>
      </c>
      <c r="I996" s="13">
        <v>5891</v>
      </c>
      <c r="J996" s="13">
        <f>ROUND(I996*C996,0)</f>
        <v>64801</v>
      </c>
      <c r="K996" s="13">
        <f t="shared" si="177"/>
        <v>19281</v>
      </c>
      <c r="L996" s="13">
        <f t="shared" si="177"/>
        <v>212091</v>
      </c>
      <c r="M996" s="11"/>
    </row>
    <row r="997" spans="1:13" ht="33">
      <c r="A997" s="11" t="s">
        <v>1203</v>
      </c>
      <c r="B997" s="11" t="s">
        <v>720</v>
      </c>
      <c r="C997" s="13">
        <v>26</v>
      </c>
      <c r="D997" s="15" t="s">
        <v>240</v>
      </c>
      <c r="E997" s="13">
        <v>0</v>
      </c>
      <c r="F997" s="13">
        <f>ROUND(E997*C997,0)</f>
        <v>0</v>
      </c>
      <c r="G997" s="13">
        <v>13390</v>
      </c>
      <c r="H997" s="13">
        <f>ROUND(G997*C997,0)</f>
        <v>348140</v>
      </c>
      <c r="I997" s="13">
        <v>5891</v>
      </c>
      <c r="J997" s="13">
        <f>ROUND(I997*C997,0)</f>
        <v>153166</v>
      </c>
      <c r="K997" s="13">
        <f t="shared" si="177"/>
        <v>19281</v>
      </c>
      <c r="L997" s="13">
        <f t="shared" si="177"/>
        <v>501306</v>
      </c>
      <c r="M997" s="11"/>
    </row>
    <row r="998" spans="1:13">
      <c r="A998" s="11" t="s">
        <v>721</v>
      </c>
      <c r="B998" s="11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</row>
    <row r="999" spans="1:13" ht="33">
      <c r="A999" s="11" t="s">
        <v>722</v>
      </c>
      <c r="B999" s="11" t="s">
        <v>723</v>
      </c>
      <c r="C999" s="13">
        <v>385</v>
      </c>
      <c r="D999" s="15" t="s">
        <v>240</v>
      </c>
      <c r="E999" s="13">
        <v>0</v>
      </c>
      <c r="F999" s="13">
        <f>ROUND(E999*C999,0)</f>
        <v>0</v>
      </c>
      <c r="G999" s="13">
        <v>12360</v>
      </c>
      <c r="H999" s="13">
        <f>ROUND(G999*C999,0)</f>
        <v>4758600</v>
      </c>
      <c r="I999" s="13">
        <v>4722</v>
      </c>
      <c r="J999" s="13">
        <f>ROUND(I999*C999,0)</f>
        <v>1817970</v>
      </c>
      <c r="K999" s="13">
        <f>E999+G999+I999</f>
        <v>17082</v>
      </c>
      <c r="L999" s="13">
        <f>F999+H999+J999</f>
        <v>6576570</v>
      </c>
      <c r="M999" s="11"/>
    </row>
    <row r="1000" spans="1:13">
      <c r="A1000" s="11" t="s">
        <v>1204</v>
      </c>
      <c r="B1000" s="11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</row>
    <row r="1001" spans="1:13">
      <c r="A1001" s="11" t="s">
        <v>1205</v>
      </c>
      <c r="B1001" s="11"/>
      <c r="C1001" s="13">
        <v>552</v>
      </c>
      <c r="D1001" s="15" t="s">
        <v>959</v>
      </c>
      <c r="E1001" s="13">
        <v>0</v>
      </c>
      <c r="F1001" s="13">
        <f>ROUND(E1001*C1001,0)</f>
        <v>0</v>
      </c>
      <c r="G1001" s="13">
        <v>2060</v>
      </c>
      <c r="H1001" s="13">
        <f>ROUND(G1001*C1001,0)</f>
        <v>1137120</v>
      </c>
      <c r="I1001" s="13">
        <v>15740</v>
      </c>
      <c r="J1001" s="13">
        <f>ROUND(I1001*C1001,0)</f>
        <v>8688480</v>
      </c>
      <c r="K1001" s="13">
        <f>E1001+G1001+I1001</f>
        <v>17800</v>
      </c>
      <c r="L1001" s="13">
        <f>F1001+H1001+J1001</f>
        <v>9825600</v>
      </c>
      <c r="M1001" s="11"/>
    </row>
    <row r="1002" spans="1:13">
      <c r="A1002" s="11" t="s">
        <v>724</v>
      </c>
      <c r="B1002" s="11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</row>
    <row r="1003" spans="1:13">
      <c r="A1003" s="11" t="s">
        <v>725</v>
      </c>
      <c r="B1003" s="11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</row>
    <row r="1004" spans="1:13">
      <c r="A1004" s="11" t="s">
        <v>726</v>
      </c>
      <c r="B1004" s="11" t="s">
        <v>727</v>
      </c>
      <c r="C1004" s="13">
        <v>4</v>
      </c>
      <c r="D1004" s="15" t="s">
        <v>188</v>
      </c>
      <c r="E1004" s="13">
        <v>90640</v>
      </c>
      <c r="F1004" s="13">
        <f>ROUND(E1004*C1004,0)</f>
        <v>362560</v>
      </c>
      <c r="G1004" s="13">
        <v>51500</v>
      </c>
      <c r="H1004" s="13">
        <f>ROUND(G1004*C1004,0)</f>
        <v>206000</v>
      </c>
      <c r="I1004" s="13">
        <v>0</v>
      </c>
      <c r="J1004" s="13">
        <f>ROUND(I1004*C1004,0)</f>
        <v>0</v>
      </c>
      <c r="K1004" s="13">
        <f t="shared" ref="K1004:L1006" si="178">E1004+G1004+I1004</f>
        <v>142140</v>
      </c>
      <c r="L1004" s="13">
        <f t="shared" si="178"/>
        <v>568560</v>
      </c>
      <c r="M1004" s="11"/>
    </row>
    <row r="1005" spans="1:13" ht="33">
      <c r="A1005" s="11" t="s">
        <v>728</v>
      </c>
      <c r="B1005" s="11" t="s">
        <v>729</v>
      </c>
      <c r="C1005" s="13">
        <v>2</v>
      </c>
      <c r="D1005" s="15" t="s">
        <v>188</v>
      </c>
      <c r="E1005" s="13">
        <v>90640</v>
      </c>
      <c r="F1005" s="13">
        <f>ROUND(E1005*C1005,0)</f>
        <v>181280</v>
      </c>
      <c r="G1005" s="13">
        <v>51500</v>
      </c>
      <c r="H1005" s="13">
        <f>ROUND(G1005*C1005,0)</f>
        <v>103000</v>
      </c>
      <c r="I1005" s="13">
        <v>0</v>
      </c>
      <c r="J1005" s="13">
        <f>ROUND(I1005*C1005,0)</f>
        <v>0</v>
      </c>
      <c r="K1005" s="13">
        <f t="shared" si="178"/>
        <v>142140</v>
      </c>
      <c r="L1005" s="13">
        <f t="shared" si="178"/>
        <v>284280</v>
      </c>
      <c r="M1005" s="11"/>
    </row>
    <row r="1006" spans="1:13">
      <c r="A1006" s="11" t="s">
        <v>1206</v>
      </c>
      <c r="B1006" s="11" t="s">
        <v>1207</v>
      </c>
      <c r="C1006" s="13">
        <v>2</v>
      </c>
      <c r="D1006" s="15" t="s">
        <v>188</v>
      </c>
      <c r="E1006" s="13">
        <v>90640</v>
      </c>
      <c r="F1006" s="13">
        <f>ROUND(E1006*C1006,0)</f>
        <v>181280</v>
      </c>
      <c r="G1006" s="13">
        <v>51500</v>
      </c>
      <c r="H1006" s="13">
        <f>ROUND(G1006*C1006,0)</f>
        <v>103000</v>
      </c>
      <c r="I1006" s="13">
        <v>0</v>
      </c>
      <c r="J1006" s="13">
        <f>ROUND(I1006*C1006,0)</f>
        <v>0</v>
      </c>
      <c r="K1006" s="13">
        <f t="shared" si="178"/>
        <v>142140</v>
      </c>
      <c r="L1006" s="13">
        <f t="shared" si="178"/>
        <v>284280</v>
      </c>
      <c r="M1006" s="11"/>
    </row>
    <row r="1007" spans="1:13">
      <c r="A1007" s="11" t="s">
        <v>741</v>
      </c>
      <c r="B1007" s="11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</row>
    <row r="1008" spans="1:13">
      <c r="A1008" s="11" t="s">
        <v>742</v>
      </c>
      <c r="B1008" s="11" t="s">
        <v>700</v>
      </c>
      <c r="C1008" s="13">
        <v>149</v>
      </c>
      <c r="D1008" s="15" t="s">
        <v>102</v>
      </c>
      <c r="E1008" s="13">
        <v>6695</v>
      </c>
      <c r="F1008" s="13">
        <f t="shared" ref="F1008:F1015" si="179">ROUND(E1008*C1008,0)</f>
        <v>997555</v>
      </c>
      <c r="G1008" s="13">
        <v>9785</v>
      </c>
      <c r="H1008" s="13">
        <f t="shared" ref="H1008:H1015" si="180">ROUND(G1008*C1008,0)</f>
        <v>1457965</v>
      </c>
      <c r="I1008" s="13">
        <v>2249</v>
      </c>
      <c r="J1008" s="13">
        <f t="shared" ref="J1008:J1015" si="181">ROUND(I1008*C1008,0)</f>
        <v>335101</v>
      </c>
      <c r="K1008" s="13">
        <f t="shared" ref="K1008:L1015" si="182">E1008+G1008+I1008</f>
        <v>18729</v>
      </c>
      <c r="L1008" s="13">
        <f t="shared" si="182"/>
        <v>2790621</v>
      </c>
      <c r="M1008" s="11"/>
    </row>
    <row r="1009" spans="1:13">
      <c r="A1009" s="11" t="s">
        <v>743</v>
      </c>
      <c r="B1009" s="11" t="s">
        <v>1208</v>
      </c>
      <c r="C1009" s="13">
        <v>2</v>
      </c>
      <c r="D1009" s="15" t="s">
        <v>102</v>
      </c>
      <c r="E1009" s="13">
        <v>6695</v>
      </c>
      <c r="F1009" s="13">
        <f t="shared" si="179"/>
        <v>13390</v>
      </c>
      <c r="G1009" s="13">
        <v>9785</v>
      </c>
      <c r="H1009" s="13">
        <f t="shared" si="180"/>
        <v>19570</v>
      </c>
      <c r="I1009" s="13">
        <v>2249</v>
      </c>
      <c r="J1009" s="13">
        <f t="shared" si="181"/>
        <v>4498</v>
      </c>
      <c r="K1009" s="13">
        <f t="shared" si="182"/>
        <v>18729</v>
      </c>
      <c r="L1009" s="13">
        <f t="shared" si="182"/>
        <v>37458</v>
      </c>
      <c r="M1009" s="11"/>
    </row>
    <row r="1010" spans="1:13">
      <c r="A1010" s="11" t="s">
        <v>1209</v>
      </c>
      <c r="B1010" s="11" t="s">
        <v>706</v>
      </c>
      <c r="C1010" s="13">
        <v>59</v>
      </c>
      <c r="D1010" s="15" t="s">
        <v>102</v>
      </c>
      <c r="E1010" s="13">
        <v>6695</v>
      </c>
      <c r="F1010" s="13">
        <f t="shared" si="179"/>
        <v>395005</v>
      </c>
      <c r="G1010" s="13">
        <v>9785</v>
      </c>
      <c r="H1010" s="13">
        <f t="shared" si="180"/>
        <v>577315</v>
      </c>
      <c r="I1010" s="13">
        <v>2249</v>
      </c>
      <c r="J1010" s="13">
        <f t="shared" si="181"/>
        <v>132691</v>
      </c>
      <c r="K1010" s="13">
        <f t="shared" si="182"/>
        <v>18729</v>
      </c>
      <c r="L1010" s="13">
        <f t="shared" si="182"/>
        <v>1105011</v>
      </c>
      <c r="M1010" s="11"/>
    </row>
    <row r="1011" spans="1:13">
      <c r="A1011" s="11" t="s">
        <v>746</v>
      </c>
      <c r="B1011" s="11" t="s">
        <v>708</v>
      </c>
      <c r="C1011" s="13">
        <v>7</v>
      </c>
      <c r="D1011" s="15" t="s">
        <v>102</v>
      </c>
      <c r="E1011" s="13">
        <v>6695</v>
      </c>
      <c r="F1011" s="13">
        <f t="shared" si="179"/>
        <v>46865</v>
      </c>
      <c r="G1011" s="13">
        <v>9785</v>
      </c>
      <c r="H1011" s="13">
        <f t="shared" si="180"/>
        <v>68495</v>
      </c>
      <c r="I1011" s="13">
        <v>2249</v>
      </c>
      <c r="J1011" s="13">
        <f t="shared" si="181"/>
        <v>15743</v>
      </c>
      <c r="K1011" s="13">
        <f t="shared" si="182"/>
        <v>18729</v>
      </c>
      <c r="L1011" s="13">
        <f t="shared" si="182"/>
        <v>131103</v>
      </c>
      <c r="M1011" s="11"/>
    </row>
    <row r="1012" spans="1:13">
      <c r="A1012" s="11" t="s">
        <v>1210</v>
      </c>
      <c r="B1012" s="11" t="s">
        <v>702</v>
      </c>
      <c r="C1012" s="13">
        <v>149</v>
      </c>
      <c r="D1012" s="15" t="s">
        <v>102</v>
      </c>
      <c r="E1012" s="13">
        <v>6695</v>
      </c>
      <c r="F1012" s="13">
        <f t="shared" si="179"/>
        <v>997555</v>
      </c>
      <c r="G1012" s="13">
        <v>9785</v>
      </c>
      <c r="H1012" s="13">
        <f t="shared" si="180"/>
        <v>1457965</v>
      </c>
      <c r="I1012" s="13">
        <v>2249</v>
      </c>
      <c r="J1012" s="13">
        <f t="shared" si="181"/>
        <v>335101</v>
      </c>
      <c r="K1012" s="13">
        <f t="shared" si="182"/>
        <v>18729</v>
      </c>
      <c r="L1012" s="13">
        <f t="shared" si="182"/>
        <v>2790621</v>
      </c>
      <c r="M1012" s="11"/>
    </row>
    <row r="1013" spans="1:13">
      <c r="A1013" s="11" t="s">
        <v>748</v>
      </c>
      <c r="B1013" s="11" t="s">
        <v>750</v>
      </c>
      <c r="C1013" s="13">
        <v>2</v>
      </c>
      <c r="D1013" s="15" t="s">
        <v>102</v>
      </c>
      <c r="E1013" s="13">
        <v>6695</v>
      </c>
      <c r="F1013" s="13">
        <f t="shared" si="179"/>
        <v>13390</v>
      </c>
      <c r="G1013" s="13">
        <v>9785</v>
      </c>
      <c r="H1013" s="13">
        <f t="shared" si="180"/>
        <v>19570</v>
      </c>
      <c r="I1013" s="13">
        <v>2249</v>
      </c>
      <c r="J1013" s="13">
        <f t="shared" si="181"/>
        <v>4498</v>
      </c>
      <c r="K1013" s="13">
        <f t="shared" si="182"/>
        <v>18729</v>
      </c>
      <c r="L1013" s="13">
        <f t="shared" si="182"/>
        <v>37458</v>
      </c>
      <c r="M1013" s="11"/>
    </row>
    <row r="1014" spans="1:13">
      <c r="A1014" s="11" t="s">
        <v>749</v>
      </c>
      <c r="B1014" s="11" t="s">
        <v>706</v>
      </c>
      <c r="C1014" s="13">
        <v>59</v>
      </c>
      <c r="D1014" s="15" t="s">
        <v>102</v>
      </c>
      <c r="E1014" s="13">
        <v>6695</v>
      </c>
      <c r="F1014" s="13">
        <f t="shared" si="179"/>
        <v>395005</v>
      </c>
      <c r="G1014" s="13">
        <v>9785</v>
      </c>
      <c r="H1014" s="13">
        <f t="shared" si="180"/>
        <v>577315</v>
      </c>
      <c r="I1014" s="13">
        <v>2249</v>
      </c>
      <c r="J1014" s="13">
        <f t="shared" si="181"/>
        <v>132691</v>
      </c>
      <c r="K1014" s="13">
        <f t="shared" si="182"/>
        <v>18729</v>
      </c>
      <c r="L1014" s="13">
        <f t="shared" si="182"/>
        <v>1105011</v>
      </c>
      <c r="M1014" s="11"/>
    </row>
    <row r="1015" spans="1:13">
      <c r="A1015" s="11" t="s">
        <v>751</v>
      </c>
      <c r="B1015" s="11" t="s">
        <v>708</v>
      </c>
      <c r="C1015" s="13">
        <v>7</v>
      </c>
      <c r="D1015" s="15" t="s">
        <v>102</v>
      </c>
      <c r="E1015" s="13">
        <v>6695</v>
      </c>
      <c r="F1015" s="13">
        <f t="shared" si="179"/>
        <v>46865</v>
      </c>
      <c r="G1015" s="13">
        <v>9785</v>
      </c>
      <c r="H1015" s="13">
        <f t="shared" si="180"/>
        <v>68495</v>
      </c>
      <c r="I1015" s="13">
        <v>2249</v>
      </c>
      <c r="J1015" s="13">
        <f t="shared" si="181"/>
        <v>15743</v>
      </c>
      <c r="K1015" s="13">
        <f t="shared" si="182"/>
        <v>18729</v>
      </c>
      <c r="L1015" s="13">
        <f t="shared" si="182"/>
        <v>131103</v>
      </c>
      <c r="M1015" s="11"/>
    </row>
    <row r="1016" spans="1:13">
      <c r="A1016" s="11" t="s">
        <v>753</v>
      </c>
      <c r="B1016" s="11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</row>
    <row r="1017" spans="1:13">
      <c r="A1017" s="11" t="s">
        <v>754</v>
      </c>
      <c r="B1017" s="11" t="s">
        <v>755</v>
      </c>
      <c r="C1017" s="13">
        <v>36</v>
      </c>
      <c r="D1017" s="15" t="s">
        <v>188</v>
      </c>
      <c r="E1017" s="13">
        <v>66950</v>
      </c>
      <c r="F1017" s="13">
        <f>ROUND(E1017*C1017,0)</f>
        <v>2410200</v>
      </c>
      <c r="G1017" s="13">
        <v>15450</v>
      </c>
      <c r="H1017" s="13">
        <f>ROUND(G1017*C1017,0)</f>
        <v>556200</v>
      </c>
      <c r="I1017" s="13">
        <v>0</v>
      </c>
      <c r="J1017" s="13">
        <f>ROUND(I1017*C1017,0)</f>
        <v>0</v>
      </c>
      <c r="K1017" s="13">
        <f t="shared" ref="K1017:L1020" si="183">E1017+G1017+I1017</f>
        <v>82400</v>
      </c>
      <c r="L1017" s="13">
        <f t="shared" si="183"/>
        <v>2966400</v>
      </c>
      <c r="M1017" s="11"/>
    </row>
    <row r="1018" spans="1:13">
      <c r="A1018" s="11" t="s">
        <v>756</v>
      </c>
      <c r="B1018" s="11" t="s">
        <v>757</v>
      </c>
      <c r="C1018" s="13">
        <v>1</v>
      </c>
      <c r="D1018" s="15" t="s">
        <v>188</v>
      </c>
      <c r="E1018" s="13">
        <v>185400</v>
      </c>
      <c r="F1018" s="13">
        <f>ROUND(E1018*C1018,0)</f>
        <v>185400</v>
      </c>
      <c r="G1018" s="13">
        <v>53560</v>
      </c>
      <c r="H1018" s="13">
        <f>ROUND(G1018*C1018,0)</f>
        <v>53560</v>
      </c>
      <c r="I1018" s="13">
        <v>0</v>
      </c>
      <c r="J1018" s="13">
        <f>ROUND(I1018*C1018,0)</f>
        <v>0</v>
      </c>
      <c r="K1018" s="13">
        <f t="shared" si="183"/>
        <v>238960</v>
      </c>
      <c r="L1018" s="13">
        <f t="shared" si="183"/>
        <v>238960</v>
      </c>
      <c r="M1018" s="11"/>
    </row>
    <row r="1019" spans="1:13">
      <c r="A1019" s="11" t="s">
        <v>758</v>
      </c>
      <c r="B1019" s="11" t="s">
        <v>759</v>
      </c>
      <c r="C1019" s="13">
        <v>20</v>
      </c>
      <c r="D1019" s="15" t="s">
        <v>210</v>
      </c>
      <c r="E1019" s="13">
        <v>329600</v>
      </c>
      <c r="F1019" s="13">
        <f>ROUND(E1019*C1019,0)</f>
        <v>6592000</v>
      </c>
      <c r="G1019" s="13">
        <v>103000</v>
      </c>
      <c r="H1019" s="13">
        <f>ROUND(G1019*C1019,0)</f>
        <v>2060000</v>
      </c>
      <c r="I1019" s="13">
        <v>56214</v>
      </c>
      <c r="J1019" s="13">
        <f>ROUND(I1019*C1019,0)</f>
        <v>1124280</v>
      </c>
      <c r="K1019" s="13">
        <f t="shared" si="183"/>
        <v>488814</v>
      </c>
      <c r="L1019" s="13">
        <f t="shared" si="183"/>
        <v>9776280</v>
      </c>
      <c r="M1019" s="11"/>
    </row>
    <row r="1020" spans="1:13">
      <c r="A1020" s="11" t="s">
        <v>760</v>
      </c>
      <c r="B1020" s="11" t="s">
        <v>389</v>
      </c>
      <c r="C1020" s="13">
        <v>21</v>
      </c>
      <c r="D1020" s="15" t="s">
        <v>385</v>
      </c>
      <c r="E1020" s="13">
        <v>0</v>
      </c>
      <c r="F1020" s="13">
        <f>ROUND(E1020*C1020,0)</f>
        <v>0</v>
      </c>
      <c r="G1020" s="13">
        <v>0</v>
      </c>
      <c r="H1020" s="13">
        <f>ROUND(G1020*C1020,0)</f>
        <v>0</v>
      </c>
      <c r="I1020" s="13">
        <v>1201</v>
      </c>
      <c r="J1020" s="13">
        <f>ROUND(I1020*C1020,0)</f>
        <v>25221</v>
      </c>
      <c r="K1020" s="13">
        <f t="shared" si="183"/>
        <v>1201</v>
      </c>
      <c r="L1020" s="13">
        <f t="shared" si="183"/>
        <v>25221</v>
      </c>
      <c r="M1020" s="11"/>
    </row>
    <row r="1021" spans="1:13">
      <c r="A1021" s="11" t="s">
        <v>1211</v>
      </c>
      <c r="B1021" s="11" t="s">
        <v>961</v>
      </c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</row>
    <row r="1022" spans="1:13">
      <c r="A1022" s="11" t="s">
        <v>1212</v>
      </c>
      <c r="B1022" s="11" t="s">
        <v>1213</v>
      </c>
      <c r="C1022" s="13">
        <v>63</v>
      </c>
      <c r="D1022" s="15" t="s">
        <v>1120</v>
      </c>
      <c r="E1022" s="13">
        <v>303850</v>
      </c>
      <c r="F1022" s="13">
        <f>ROUND(E1022*C1022,0)</f>
        <v>19142550</v>
      </c>
      <c r="G1022" s="13">
        <v>56650</v>
      </c>
      <c r="H1022" s="13">
        <f>ROUND(G1022*C1022,0)</f>
        <v>3568950</v>
      </c>
      <c r="I1022" s="13">
        <v>32042</v>
      </c>
      <c r="J1022" s="13">
        <f>ROUND(I1022*C1022,0)</f>
        <v>2018646</v>
      </c>
      <c r="K1022" s="13">
        <f>E1022+G1022+I1022</f>
        <v>392542</v>
      </c>
      <c r="L1022" s="13">
        <f>F1022+H1022+J1022</f>
        <v>24730146</v>
      </c>
      <c r="M1022" s="11"/>
    </row>
    <row r="1023" spans="1:13">
      <c r="A1023" s="11" t="s">
        <v>761</v>
      </c>
      <c r="B1023" s="11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</row>
    <row r="1024" spans="1:13">
      <c r="A1024" s="11" t="s">
        <v>617</v>
      </c>
      <c r="B1024" s="11" t="s">
        <v>413</v>
      </c>
      <c r="C1024" s="13">
        <v>66</v>
      </c>
      <c r="D1024" s="15" t="s">
        <v>108</v>
      </c>
      <c r="E1024" s="13">
        <v>96800</v>
      </c>
      <c r="F1024" s="13">
        <f t="shared" ref="F1024:F1040" si="184">ROUND(E1024*C1024,0)</f>
        <v>6388800</v>
      </c>
      <c r="G1024" s="13">
        <v>0</v>
      </c>
      <c r="H1024" s="13">
        <f t="shared" ref="H1024:H1040" si="185">ROUND(G1024*C1024,0)</f>
        <v>0</v>
      </c>
      <c r="I1024" s="13">
        <v>0</v>
      </c>
      <c r="J1024" s="13">
        <f t="shared" ref="J1024:J1040" si="186">ROUND(I1024*C1024,0)</f>
        <v>0</v>
      </c>
      <c r="K1024" s="13">
        <f t="shared" ref="K1024:K1040" si="187">E1024+G1024+I1024</f>
        <v>96800</v>
      </c>
      <c r="L1024" s="13">
        <f t="shared" ref="L1024:L1040" si="188">F1024+H1024+J1024</f>
        <v>6388800</v>
      </c>
      <c r="M1024" s="11"/>
    </row>
    <row r="1025" spans="1:13">
      <c r="A1025" s="11" t="s">
        <v>762</v>
      </c>
      <c r="B1025" s="11" t="s">
        <v>763</v>
      </c>
      <c r="C1025" s="13">
        <v>46</v>
      </c>
      <c r="D1025" s="15" t="s">
        <v>108</v>
      </c>
      <c r="E1025" s="13">
        <v>94820</v>
      </c>
      <c r="F1025" s="13">
        <f t="shared" si="184"/>
        <v>4361720</v>
      </c>
      <c r="G1025" s="13">
        <v>0</v>
      </c>
      <c r="H1025" s="13">
        <f t="shared" si="185"/>
        <v>0</v>
      </c>
      <c r="I1025" s="13">
        <v>0</v>
      </c>
      <c r="J1025" s="13">
        <f t="shared" si="186"/>
        <v>0</v>
      </c>
      <c r="K1025" s="13">
        <f t="shared" si="187"/>
        <v>94820</v>
      </c>
      <c r="L1025" s="13">
        <f t="shared" si="188"/>
        <v>4361720</v>
      </c>
      <c r="M1025" s="11"/>
    </row>
    <row r="1026" spans="1:13">
      <c r="A1026" s="11" t="s">
        <v>764</v>
      </c>
      <c r="B1026" s="11" t="s">
        <v>384</v>
      </c>
      <c r="C1026" s="13">
        <v>5</v>
      </c>
      <c r="D1026" s="15" t="s">
        <v>385</v>
      </c>
      <c r="E1026" s="13">
        <v>6490</v>
      </c>
      <c r="F1026" s="13">
        <f t="shared" si="184"/>
        <v>32450</v>
      </c>
      <c r="G1026" s="13">
        <v>0</v>
      </c>
      <c r="H1026" s="13">
        <f t="shared" si="185"/>
        <v>0</v>
      </c>
      <c r="I1026" s="13">
        <v>0</v>
      </c>
      <c r="J1026" s="13">
        <f t="shared" si="186"/>
        <v>0</v>
      </c>
      <c r="K1026" s="13">
        <f t="shared" si="187"/>
        <v>6490</v>
      </c>
      <c r="L1026" s="13">
        <f t="shared" si="188"/>
        <v>32450</v>
      </c>
      <c r="M1026" s="11"/>
    </row>
    <row r="1027" spans="1:13">
      <c r="A1027" s="11" t="s">
        <v>765</v>
      </c>
      <c r="B1027" s="11" t="s">
        <v>392</v>
      </c>
      <c r="C1027" s="13">
        <v>42</v>
      </c>
      <c r="D1027" s="15" t="s">
        <v>108</v>
      </c>
      <c r="E1027" s="13">
        <v>26780</v>
      </c>
      <c r="F1027" s="13">
        <f t="shared" si="184"/>
        <v>1124760</v>
      </c>
      <c r="G1027" s="13">
        <v>0</v>
      </c>
      <c r="H1027" s="13">
        <f t="shared" si="185"/>
        <v>0</v>
      </c>
      <c r="I1027" s="13">
        <v>0</v>
      </c>
      <c r="J1027" s="13">
        <f t="shared" si="186"/>
        <v>0</v>
      </c>
      <c r="K1027" s="13">
        <f t="shared" si="187"/>
        <v>26780</v>
      </c>
      <c r="L1027" s="13">
        <f t="shared" si="188"/>
        <v>1124760</v>
      </c>
      <c r="M1027" s="11"/>
    </row>
    <row r="1028" spans="1:13">
      <c r="A1028" s="11" t="s">
        <v>766</v>
      </c>
      <c r="B1028" s="11" t="s">
        <v>624</v>
      </c>
      <c r="C1028" s="13">
        <v>1004</v>
      </c>
      <c r="D1028" s="15" t="s">
        <v>108</v>
      </c>
      <c r="E1028" s="13">
        <v>18540</v>
      </c>
      <c r="F1028" s="13">
        <f t="shared" si="184"/>
        <v>18614160</v>
      </c>
      <c r="G1028" s="13">
        <v>0</v>
      </c>
      <c r="H1028" s="13">
        <f t="shared" si="185"/>
        <v>0</v>
      </c>
      <c r="I1028" s="13">
        <v>0</v>
      </c>
      <c r="J1028" s="13">
        <f t="shared" si="186"/>
        <v>0</v>
      </c>
      <c r="K1028" s="13">
        <f t="shared" si="187"/>
        <v>18540</v>
      </c>
      <c r="L1028" s="13">
        <f t="shared" si="188"/>
        <v>18614160</v>
      </c>
      <c r="M1028" s="11"/>
    </row>
    <row r="1029" spans="1:13">
      <c r="A1029" s="11" t="s">
        <v>1214</v>
      </c>
      <c r="B1029" s="11" t="s">
        <v>771</v>
      </c>
      <c r="C1029" s="13">
        <v>9</v>
      </c>
      <c r="D1029" s="15" t="s">
        <v>772</v>
      </c>
      <c r="E1029" s="13">
        <v>278100</v>
      </c>
      <c r="F1029" s="13">
        <f t="shared" si="184"/>
        <v>2502900</v>
      </c>
      <c r="G1029" s="13">
        <v>0</v>
      </c>
      <c r="H1029" s="13">
        <f t="shared" si="185"/>
        <v>0</v>
      </c>
      <c r="I1029" s="13">
        <v>0</v>
      </c>
      <c r="J1029" s="13">
        <f t="shared" si="186"/>
        <v>0</v>
      </c>
      <c r="K1029" s="13">
        <f t="shared" si="187"/>
        <v>278100</v>
      </c>
      <c r="L1029" s="13">
        <f t="shared" si="188"/>
        <v>2502900</v>
      </c>
      <c r="M1029" s="11"/>
    </row>
    <row r="1030" spans="1:13">
      <c r="A1030" s="11" t="s">
        <v>1215</v>
      </c>
      <c r="B1030" s="11" t="s">
        <v>774</v>
      </c>
      <c r="C1030" s="13">
        <v>8</v>
      </c>
      <c r="D1030" s="15" t="s">
        <v>772</v>
      </c>
      <c r="E1030" s="13">
        <v>278100</v>
      </c>
      <c r="F1030" s="13">
        <f t="shared" si="184"/>
        <v>2224800</v>
      </c>
      <c r="G1030" s="13">
        <v>0</v>
      </c>
      <c r="H1030" s="13">
        <f t="shared" si="185"/>
        <v>0</v>
      </c>
      <c r="I1030" s="13">
        <v>0</v>
      </c>
      <c r="J1030" s="13">
        <f t="shared" si="186"/>
        <v>0</v>
      </c>
      <c r="K1030" s="13">
        <f t="shared" si="187"/>
        <v>278100</v>
      </c>
      <c r="L1030" s="13">
        <f t="shared" si="188"/>
        <v>2224800</v>
      </c>
      <c r="M1030" s="11"/>
    </row>
    <row r="1031" spans="1:13">
      <c r="A1031" s="11" t="s">
        <v>1216</v>
      </c>
      <c r="B1031" s="11" t="s">
        <v>776</v>
      </c>
      <c r="C1031" s="13">
        <v>339</v>
      </c>
      <c r="D1031" s="15" t="s">
        <v>400</v>
      </c>
      <c r="E1031" s="13">
        <v>111100</v>
      </c>
      <c r="F1031" s="13">
        <f t="shared" si="184"/>
        <v>37662900</v>
      </c>
      <c r="G1031" s="13">
        <v>0</v>
      </c>
      <c r="H1031" s="13">
        <f t="shared" si="185"/>
        <v>0</v>
      </c>
      <c r="I1031" s="13">
        <v>0</v>
      </c>
      <c r="J1031" s="13">
        <f t="shared" si="186"/>
        <v>0</v>
      </c>
      <c r="K1031" s="13">
        <f t="shared" si="187"/>
        <v>111100</v>
      </c>
      <c r="L1031" s="13">
        <f t="shared" si="188"/>
        <v>37662900</v>
      </c>
      <c r="M1031" s="11"/>
    </row>
    <row r="1032" spans="1:13">
      <c r="A1032" s="11" t="s">
        <v>1217</v>
      </c>
      <c r="B1032" s="11" t="s">
        <v>778</v>
      </c>
      <c r="C1032" s="13">
        <v>339</v>
      </c>
      <c r="D1032" s="15" t="s">
        <v>400</v>
      </c>
      <c r="E1032" s="13">
        <v>104500</v>
      </c>
      <c r="F1032" s="13">
        <f t="shared" si="184"/>
        <v>35425500</v>
      </c>
      <c r="G1032" s="13">
        <v>0</v>
      </c>
      <c r="H1032" s="13">
        <f t="shared" si="185"/>
        <v>0</v>
      </c>
      <c r="I1032" s="13">
        <v>0</v>
      </c>
      <c r="J1032" s="13">
        <f t="shared" si="186"/>
        <v>0</v>
      </c>
      <c r="K1032" s="13">
        <f t="shared" si="187"/>
        <v>104500</v>
      </c>
      <c r="L1032" s="13">
        <f t="shared" si="188"/>
        <v>35425500</v>
      </c>
      <c r="M1032" s="11"/>
    </row>
    <row r="1033" spans="1:13">
      <c r="A1033" s="11" t="s">
        <v>775</v>
      </c>
      <c r="B1033" s="11" t="s">
        <v>780</v>
      </c>
      <c r="C1033" s="13">
        <v>774</v>
      </c>
      <c r="D1033" s="15" t="s">
        <v>400</v>
      </c>
      <c r="E1033" s="13">
        <v>100100</v>
      </c>
      <c r="F1033" s="13">
        <f t="shared" si="184"/>
        <v>77477400</v>
      </c>
      <c r="G1033" s="13">
        <v>0</v>
      </c>
      <c r="H1033" s="13">
        <f t="shared" si="185"/>
        <v>0</v>
      </c>
      <c r="I1033" s="13">
        <v>0</v>
      </c>
      <c r="J1033" s="13">
        <f t="shared" si="186"/>
        <v>0</v>
      </c>
      <c r="K1033" s="13">
        <f t="shared" si="187"/>
        <v>100100</v>
      </c>
      <c r="L1033" s="13">
        <f t="shared" si="188"/>
        <v>77477400</v>
      </c>
      <c r="M1033" s="11"/>
    </row>
    <row r="1034" spans="1:13">
      <c r="A1034" s="11" t="s">
        <v>1218</v>
      </c>
      <c r="B1034" s="11" t="s">
        <v>784</v>
      </c>
      <c r="C1034" s="13">
        <v>642</v>
      </c>
      <c r="D1034" s="15" t="s">
        <v>374</v>
      </c>
      <c r="E1034" s="13">
        <v>18540</v>
      </c>
      <c r="F1034" s="13">
        <f t="shared" si="184"/>
        <v>11902680</v>
      </c>
      <c r="G1034" s="13">
        <v>0</v>
      </c>
      <c r="H1034" s="13">
        <f t="shared" si="185"/>
        <v>0</v>
      </c>
      <c r="I1034" s="13">
        <v>0</v>
      </c>
      <c r="J1034" s="13">
        <f t="shared" si="186"/>
        <v>0</v>
      </c>
      <c r="K1034" s="13">
        <f t="shared" si="187"/>
        <v>18540</v>
      </c>
      <c r="L1034" s="13">
        <f t="shared" si="188"/>
        <v>11902680</v>
      </c>
      <c r="M1034" s="11"/>
    </row>
    <row r="1035" spans="1:13" ht="33">
      <c r="A1035" s="11" t="s">
        <v>1219</v>
      </c>
      <c r="B1035" s="11" t="s">
        <v>788</v>
      </c>
      <c r="C1035" s="13">
        <v>11</v>
      </c>
      <c r="D1035" s="15" t="s">
        <v>374</v>
      </c>
      <c r="E1035" s="13">
        <v>27810</v>
      </c>
      <c r="F1035" s="13">
        <f t="shared" si="184"/>
        <v>305910</v>
      </c>
      <c r="G1035" s="13">
        <v>0</v>
      </c>
      <c r="H1035" s="13">
        <f t="shared" si="185"/>
        <v>0</v>
      </c>
      <c r="I1035" s="13">
        <v>0</v>
      </c>
      <c r="J1035" s="13">
        <f t="shared" si="186"/>
        <v>0</v>
      </c>
      <c r="K1035" s="13">
        <f t="shared" si="187"/>
        <v>27810</v>
      </c>
      <c r="L1035" s="13">
        <f t="shared" si="188"/>
        <v>305910</v>
      </c>
      <c r="M1035" s="11"/>
    </row>
    <row r="1036" spans="1:13">
      <c r="A1036" s="11" t="s">
        <v>1220</v>
      </c>
      <c r="B1036" s="11" t="s">
        <v>790</v>
      </c>
      <c r="C1036" s="13">
        <v>30</v>
      </c>
      <c r="D1036" s="15" t="s">
        <v>374</v>
      </c>
      <c r="E1036" s="13">
        <v>29870</v>
      </c>
      <c r="F1036" s="13">
        <f t="shared" si="184"/>
        <v>896100</v>
      </c>
      <c r="G1036" s="13">
        <v>0</v>
      </c>
      <c r="H1036" s="13">
        <f t="shared" si="185"/>
        <v>0</v>
      </c>
      <c r="I1036" s="13">
        <v>0</v>
      </c>
      <c r="J1036" s="13">
        <f t="shared" si="186"/>
        <v>0</v>
      </c>
      <c r="K1036" s="13">
        <f t="shared" si="187"/>
        <v>29870</v>
      </c>
      <c r="L1036" s="13">
        <f t="shared" si="188"/>
        <v>896100</v>
      </c>
      <c r="M1036" s="11"/>
    </row>
    <row r="1037" spans="1:13" ht="33">
      <c r="A1037" s="11" t="s">
        <v>1221</v>
      </c>
      <c r="B1037" s="11" t="s">
        <v>792</v>
      </c>
      <c r="C1037" s="13">
        <v>397</v>
      </c>
      <c r="D1037" s="15" t="s">
        <v>374</v>
      </c>
      <c r="E1037" s="13">
        <v>8755</v>
      </c>
      <c r="F1037" s="13">
        <f t="shared" si="184"/>
        <v>3475735</v>
      </c>
      <c r="G1037" s="13">
        <v>0</v>
      </c>
      <c r="H1037" s="13">
        <f t="shared" si="185"/>
        <v>0</v>
      </c>
      <c r="I1037" s="13">
        <v>0</v>
      </c>
      <c r="J1037" s="13">
        <f t="shared" si="186"/>
        <v>0</v>
      </c>
      <c r="K1037" s="13">
        <f t="shared" si="187"/>
        <v>8755</v>
      </c>
      <c r="L1037" s="13">
        <f t="shared" si="188"/>
        <v>3475735</v>
      </c>
      <c r="M1037" s="11"/>
    </row>
    <row r="1038" spans="1:13">
      <c r="A1038" s="11" t="s">
        <v>1222</v>
      </c>
      <c r="B1038" s="11" t="s">
        <v>794</v>
      </c>
      <c r="C1038" s="13">
        <v>865</v>
      </c>
      <c r="D1038" s="15" t="s">
        <v>102</v>
      </c>
      <c r="E1038" s="13">
        <v>12978</v>
      </c>
      <c r="F1038" s="13">
        <f t="shared" si="184"/>
        <v>11225970</v>
      </c>
      <c r="G1038" s="13">
        <v>0</v>
      </c>
      <c r="H1038" s="13">
        <f t="shared" si="185"/>
        <v>0</v>
      </c>
      <c r="I1038" s="13">
        <v>0</v>
      </c>
      <c r="J1038" s="13">
        <f t="shared" si="186"/>
        <v>0</v>
      </c>
      <c r="K1038" s="13">
        <f t="shared" si="187"/>
        <v>12978</v>
      </c>
      <c r="L1038" s="13">
        <f t="shared" si="188"/>
        <v>11225970</v>
      </c>
      <c r="M1038" s="11"/>
    </row>
    <row r="1039" spans="1:13">
      <c r="A1039" s="11" t="s">
        <v>1223</v>
      </c>
      <c r="B1039" s="11" t="s">
        <v>796</v>
      </c>
      <c r="C1039" s="13">
        <v>190</v>
      </c>
      <c r="D1039" s="15" t="s">
        <v>374</v>
      </c>
      <c r="E1039" s="13">
        <v>3914</v>
      </c>
      <c r="F1039" s="13">
        <f t="shared" si="184"/>
        <v>743660</v>
      </c>
      <c r="G1039" s="13">
        <v>0</v>
      </c>
      <c r="H1039" s="13">
        <f t="shared" si="185"/>
        <v>0</v>
      </c>
      <c r="I1039" s="13">
        <v>0</v>
      </c>
      <c r="J1039" s="13">
        <f t="shared" si="186"/>
        <v>0</v>
      </c>
      <c r="K1039" s="13">
        <f t="shared" si="187"/>
        <v>3914</v>
      </c>
      <c r="L1039" s="13">
        <f t="shared" si="188"/>
        <v>743660</v>
      </c>
      <c r="M1039" s="11"/>
    </row>
    <row r="1040" spans="1:13">
      <c r="A1040" s="11" t="s">
        <v>1224</v>
      </c>
      <c r="B1040" s="11" t="s">
        <v>796</v>
      </c>
      <c r="C1040" s="13">
        <v>11</v>
      </c>
      <c r="D1040" s="15" t="s">
        <v>374</v>
      </c>
      <c r="E1040" s="13">
        <v>3914</v>
      </c>
      <c r="F1040" s="13">
        <f t="shared" si="184"/>
        <v>43054</v>
      </c>
      <c r="G1040" s="13">
        <v>0</v>
      </c>
      <c r="H1040" s="13">
        <f t="shared" si="185"/>
        <v>0</v>
      </c>
      <c r="I1040" s="13">
        <v>0</v>
      </c>
      <c r="J1040" s="13">
        <f t="shared" si="186"/>
        <v>0</v>
      </c>
      <c r="K1040" s="13">
        <f t="shared" si="187"/>
        <v>3914</v>
      </c>
      <c r="L1040" s="13">
        <f t="shared" si="188"/>
        <v>43054</v>
      </c>
      <c r="M1040" s="11"/>
    </row>
    <row r="1041" spans="1:13">
      <c r="A1041" s="19" t="s">
        <v>1225</v>
      </c>
      <c r="B1041" s="20"/>
      <c r="C1041" s="21"/>
      <c r="D1041" s="21"/>
      <c r="E1041" s="21"/>
      <c r="F1041" s="22">
        <f>SUM(F1043:F1069)</f>
        <v>83360430</v>
      </c>
      <c r="G1041" s="21"/>
      <c r="H1041" s="22">
        <f>SUM(H1043:H1069)</f>
        <v>65688774</v>
      </c>
      <c r="I1041" s="21"/>
      <c r="J1041" s="22">
        <f>SUM(J1043:J1069)</f>
        <v>10047235</v>
      </c>
      <c r="K1041" s="21"/>
      <c r="L1041" s="22">
        <f>F1041+H1041+J1041</f>
        <v>159096439</v>
      </c>
      <c r="M1041" s="21"/>
    </row>
    <row r="1042" spans="1:13">
      <c r="A1042" s="11" t="s">
        <v>1226</v>
      </c>
      <c r="B1042" s="11" t="s">
        <v>1227</v>
      </c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</row>
    <row r="1043" spans="1:13">
      <c r="A1043" s="11" t="s">
        <v>800</v>
      </c>
      <c r="B1043" s="11" t="s">
        <v>353</v>
      </c>
      <c r="C1043" s="13">
        <v>247</v>
      </c>
      <c r="D1043" s="15" t="s">
        <v>108</v>
      </c>
      <c r="E1043" s="13">
        <v>0</v>
      </c>
      <c r="F1043" s="13">
        <f t="shared" ref="F1043:F1058" si="189">ROUND(E1043*C1043,0)</f>
        <v>0</v>
      </c>
      <c r="G1043" s="13">
        <v>14420</v>
      </c>
      <c r="H1043" s="13">
        <f t="shared" ref="H1043:H1058" si="190">ROUND(G1043*C1043,0)</f>
        <v>3561740</v>
      </c>
      <c r="I1043" s="13">
        <v>13829</v>
      </c>
      <c r="J1043" s="13">
        <f t="shared" ref="J1043:J1058" si="191">ROUND(I1043*C1043,0)</f>
        <v>3415763</v>
      </c>
      <c r="K1043" s="13">
        <f t="shared" ref="K1043:K1058" si="192">E1043+G1043+I1043</f>
        <v>28249</v>
      </c>
      <c r="L1043" s="13">
        <f t="shared" ref="L1043:L1058" si="193">F1043+H1043+J1043</f>
        <v>6977503</v>
      </c>
      <c r="M1043" s="11"/>
    </row>
    <row r="1044" spans="1:13">
      <c r="A1044" s="11" t="s">
        <v>801</v>
      </c>
      <c r="B1044" s="11" t="s">
        <v>256</v>
      </c>
      <c r="C1044" s="13">
        <v>36</v>
      </c>
      <c r="D1044" s="15" t="s">
        <v>108</v>
      </c>
      <c r="E1044" s="13">
        <v>0</v>
      </c>
      <c r="F1044" s="13">
        <f t="shared" si="189"/>
        <v>0</v>
      </c>
      <c r="G1044" s="13">
        <v>13390</v>
      </c>
      <c r="H1044" s="13">
        <f t="shared" si="190"/>
        <v>482040</v>
      </c>
      <c r="I1044" s="13">
        <v>12367</v>
      </c>
      <c r="J1044" s="13">
        <f t="shared" si="191"/>
        <v>445212</v>
      </c>
      <c r="K1044" s="13">
        <f t="shared" si="192"/>
        <v>25757</v>
      </c>
      <c r="L1044" s="13">
        <f t="shared" si="193"/>
        <v>927252</v>
      </c>
      <c r="M1044" s="11"/>
    </row>
    <row r="1045" spans="1:13">
      <c r="A1045" s="11" t="s">
        <v>802</v>
      </c>
      <c r="B1045" s="11" t="s">
        <v>803</v>
      </c>
      <c r="C1045" s="24">
        <v>22.33</v>
      </c>
      <c r="D1045" s="15" t="s">
        <v>638</v>
      </c>
      <c r="E1045" s="13">
        <v>87550</v>
      </c>
      <c r="F1045" s="13">
        <f t="shared" si="189"/>
        <v>1954992</v>
      </c>
      <c r="G1045" s="13">
        <v>556200</v>
      </c>
      <c r="H1045" s="13">
        <f t="shared" si="190"/>
        <v>12419946</v>
      </c>
      <c r="I1045" s="13">
        <v>106806</v>
      </c>
      <c r="J1045" s="13">
        <f t="shared" si="191"/>
        <v>2384978</v>
      </c>
      <c r="K1045" s="13">
        <f t="shared" si="192"/>
        <v>750556</v>
      </c>
      <c r="L1045" s="13">
        <f t="shared" si="193"/>
        <v>16759916</v>
      </c>
      <c r="M1045" s="11"/>
    </row>
    <row r="1046" spans="1:13">
      <c r="A1046" s="11" t="s">
        <v>804</v>
      </c>
      <c r="B1046" s="11" t="s">
        <v>805</v>
      </c>
      <c r="C1046" s="13">
        <v>370</v>
      </c>
      <c r="D1046" s="15" t="s">
        <v>102</v>
      </c>
      <c r="E1046" s="13">
        <v>6695</v>
      </c>
      <c r="F1046" s="13">
        <f t="shared" si="189"/>
        <v>2477150</v>
      </c>
      <c r="G1046" s="13">
        <v>15450</v>
      </c>
      <c r="H1046" s="13">
        <f t="shared" si="190"/>
        <v>5716500</v>
      </c>
      <c r="I1046" s="13">
        <v>2249</v>
      </c>
      <c r="J1046" s="13">
        <f t="shared" si="191"/>
        <v>832130</v>
      </c>
      <c r="K1046" s="13">
        <f t="shared" si="192"/>
        <v>24394</v>
      </c>
      <c r="L1046" s="13">
        <f t="shared" si="193"/>
        <v>9025780</v>
      </c>
      <c r="M1046" s="11"/>
    </row>
    <row r="1047" spans="1:13">
      <c r="A1047" s="11" t="s">
        <v>806</v>
      </c>
      <c r="B1047" s="11" t="s">
        <v>481</v>
      </c>
      <c r="C1047" s="13">
        <v>727</v>
      </c>
      <c r="D1047" s="15" t="s">
        <v>102</v>
      </c>
      <c r="E1047" s="13">
        <v>9785</v>
      </c>
      <c r="F1047" s="13">
        <f t="shared" si="189"/>
        <v>7113695</v>
      </c>
      <c r="G1047" s="13">
        <v>32960</v>
      </c>
      <c r="H1047" s="13">
        <f t="shared" si="190"/>
        <v>23961920</v>
      </c>
      <c r="I1047" s="13">
        <v>1686</v>
      </c>
      <c r="J1047" s="13">
        <f t="shared" si="191"/>
        <v>1225722</v>
      </c>
      <c r="K1047" s="13">
        <f t="shared" si="192"/>
        <v>44431</v>
      </c>
      <c r="L1047" s="13">
        <f t="shared" si="193"/>
        <v>32301337</v>
      </c>
      <c r="M1047" s="11"/>
    </row>
    <row r="1048" spans="1:13">
      <c r="A1048" s="11" t="s">
        <v>807</v>
      </c>
      <c r="B1048" s="11" t="s">
        <v>258</v>
      </c>
      <c r="C1048" s="13">
        <v>35</v>
      </c>
      <c r="D1048" s="15" t="s">
        <v>102</v>
      </c>
      <c r="E1048" s="13">
        <v>7725</v>
      </c>
      <c r="F1048" s="13">
        <f t="shared" si="189"/>
        <v>270375</v>
      </c>
      <c r="G1048" s="13">
        <v>28840</v>
      </c>
      <c r="H1048" s="13">
        <f t="shared" si="190"/>
        <v>1009400</v>
      </c>
      <c r="I1048" s="13">
        <v>1686</v>
      </c>
      <c r="J1048" s="13">
        <f t="shared" si="191"/>
        <v>59010</v>
      </c>
      <c r="K1048" s="13">
        <f t="shared" si="192"/>
        <v>38251</v>
      </c>
      <c r="L1048" s="13">
        <f t="shared" si="193"/>
        <v>1338785</v>
      </c>
      <c r="M1048" s="11"/>
    </row>
    <row r="1049" spans="1:13">
      <c r="A1049" s="11" t="s">
        <v>808</v>
      </c>
      <c r="B1049" s="11" t="s">
        <v>809</v>
      </c>
      <c r="C1049" s="13">
        <v>281</v>
      </c>
      <c r="D1049" s="15" t="s">
        <v>102</v>
      </c>
      <c r="E1049" s="13">
        <v>7725</v>
      </c>
      <c r="F1049" s="13">
        <f t="shared" si="189"/>
        <v>2170725</v>
      </c>
      <c r="G1049" s="13">
        <v>15450</v>
      </c>
      <c r="H1049" s="13">
        <f t="shared" si="190"/>
        <v>4341450</v>
      </c>
      <c r="I1049" s="13">
        <v>2249</v>
      </c>
      <c r="J1049" s="13">
        <f t="shared" si="191"/>
        <v>631969</v>
      </c>
      <c r="K1049" s="13">
        <f t="shared" si="192"/>
        <v>25424</v>
      </c>
      <c r="L1049" s="13">
        <f t="shared" si="193"/>
        <v>7144144</v>
      </c>
      <c r="M1049" s="11"/>
    </row>
    <row r="1050" spans="1:13">
      <c r="A1050" s="11" t="s">
        <v>810</v>
      </c>
      <c r="B1050" s="11" t="s">
        <v>811</v>
      </c>
      <c r="C1050" s="13">
        <v>2802</v>
      </c>
      <c r="D1050" s="15" t="s">
        <v>102</v>
      </c>
      <c r="E1050" s="13">
        <v>515</v>
      </c>
      <c r="F1050" s="13">
        <f t="shared" si="189"/>
        <v>1443030</v>
      </c>
      <c r="G1050" s="13">
        <v>1030</v>
      </c>
      <c r="H1050" s="13">
        <f t="shared" si="190"/>
        <v>2886060</v>
      </c>
      <c r="I1050" s="13">
        <v>0</v>
      </c>
      <c r="J1050" s="13">
        <f t="shared" si="191"/>
        <v>0</v>
      </c>
      <c r="K1050" s="13">
        <f t="shared" si="192"/>
        <v>1545</v>
      </c>
      <c r="L1050" s="13">
        <f t="shared" si="193"/>
        <v>4329090</v>
      </c>
      <c r="M1050" s="11"/>
    </row>
    <row r="1051" spans="1:13">
      <c r="A1051" s="11" t="s">
        <v>812</v>
      </c>
      <c r="B1051" s="11" t="s">
        <v>813</v>
      </c>
      <c r="C1051" s="13">
        <v>2000</v>
      </c>
      <c r="D1051" s="15" t="s">
        <v>102</v>
      </c>
      <c r="E1051" s="13">
        <v>515</v>
      </c>
      <c r="F1051" s="13">
        <f t="shared" si="189"/>
        <v>1030000</v>
      </c>
      <c r="G1051" s="13">
        <v>1030</v>
      </c>
      <c r="H1051" s="13">
        <f t="shared" si="190"/>
        <v>2060000</v>
      </c>
      <c r="I1051" s="13">
        <v>0</v>
      </c>
      <c r="J1051" s="13">
        <f t="shared" si="191"/>
        <v>0</v>
      </c>
      <c r="K1051" s="13">
        <f t="shared" si="192"/>
        <v>1545</v>
      </c>
      <c r="L1051" s="13">
        <f t="shared" si="193"/>
        <v>3090000</v>
      </c>
      <c r="M1051" s="11"/>
    </row>
    <row r="1052" spans="1:13">
      <c r="A1052" s="11" t="s">
        <v>814</v>
      </c>
      <c r="B1052" s="11" t="s">
        <v>815</v>
      </c>
      <c r="C1052" s="13">
        <v>23</v>
      </c>
      <c r="D1052" s="15" t="s">
        <v>240</v>
      </c>
      <c r="E1052" s="13">
        <v>10300</v>
      </c>
      <c r="F1052" s="13">
        <f t="shared" si="189"/>
        <v>236900</v>
      </c>
      <c r="G1052" s="13">
        <v>5356</v>
      </c>
      <c r="H1052" s="13">
        <f t="shared" si="190"/>
        <v>123188</v>
      </c>
      <c r="I1052" s="13">
        <v>0</v>
      </c>
      <c r="J1052" s="13">
        <f t="shared" si="191"/>
        <v>0</v>
      </c>
      <c r="K1052" s="13">
        <f t="shared" si="192"/>
        <v>15656</v>
      </c>
      <c r="L1052" s="13">
        <f t="shared" si="193"/>
        <v>360088</v>
      </c>
      <c r="M1052" s="11"/>
    </row>
    <row r="1053" spans="1:13">
      <c r="A1053" s="11" t="s">
        <v>816</v>
      </c>
      <c r="B1053" s="11" t="s">
        <v>817</v>
      </c>
      <c r="C1053" s="13">
        <v>254</v>
      </c>
      <c r="D1053" s="15" t="s">
        <v>102</v>
      </c>
      <c r="E1053" s="13">
        <v>3543</v>
      </c>
      <c r="F1053" s="13">
        <f t="shared" si="189"/>
        <v>899922</v>
      </c>
      <c r="G1053" s="13">
        <v>8755</v>
      </c>
      <c r="H1053" s="13">
        <f t="shared" si="190"/>
        <v>2223770</v>
      </c>
      <c r="I1053" s="13">
        <v>337</v>
      </c>
      <c r="J1053" s="13">
        <f t="shared" si="191"/>
        <v>85598</v>
      </c>
      <c r="K1053" s="13">
        <f t="shared" si="192"/>
        <v>12635</v>
      </c>
      <c r="L1053" s="13">
        <f t="shared" si="193"/>
        <v>3209290</v>
      </c>
      <c r="M1053" s="11"/>
    </row>
    <row r="1054" spans="1:13">
      <c r="A1054" s="11" t="s">
        <v>818</v>
      </c>
      <c r="B1054" s="11"/>
      <c r="C1054" s="13">
        <v>254</v>
      </c>
      <c r="D1054" s="15" t="s">
        <v>102</v>
      </c>
      <c r="E1054" s="13">
        <v>1185</v>
      </c>
      <c r="F1054" s="13">
        <f t="shared" si="189"/>
        <v>300990</v>
      </c>
      <c r="G1054" s="13">
        <v>1030</v>
      </c>
      <c r="H1054" s="13">
        <f t="shared" si="190"/>
        <v>261620</v>
      </c>
      <c r="I1054" s="13">
        <v>562</v>
      </c>
      <c r="J1054" s="13">
        <f t="shared" si="191"/>
        <v>142748</v>
      </c>
      <c r="K1054" s="13">
        <f t="shared" si="192"/>
        <v>2777</v>
      </c>
      <c r="L1054" s="13">
        <f t="shared" si="193"/>
        <v>705358</v>
      </c>
      <c r="M1054" s="11"/>
    </row>
    <row r="1055" spans="1:13">
      <c r="A1055" s="11" t="s">
        <v>819</v>
      </c>
      <c r="B1055" s="11" t="s">
        <v>820</v>
      </c>
      <c r="C1055" s="13">
        <v>39</v>
      </c>
      <c r="D1055" s="15" t="s">
        <v>102</v>
      </c>
      <c r="E1055" s="13">
        <v>9270</v>
      </c>
      <c r="F1055" s="13">
        <f t="shared" si="189"/>
        <v>361530</v>
      </c>
      <c r="G1055" s="13">
        <v>12360</v>
      </c>
      <c r="H1055" s="13">
        <f t="shared" si="190"/>
        <v>482040</v>
      </c>
      <c r="I1055" s="13">
        <v>0</v>
      </c>
      <c r="J1055" s="13">
        <f t="shared" si="191"/>
        <v>0</v>
      </c>
      <c r="K1055" s="13">
        <f t="shared" si="192"/>
        <v>21630</v>
      </c>
      <c r="L1055" s="13">
        <f t="shared" si="193"/>
        <v>843570</v>
      </c>
      <c r="M1055" s="11"/>
    </row>
    <row r="1056" spans="1:13">
      <c r="A1056" s="11" t="s">
        <v>821</v>
      </c>
      <c r="B1056" s="11" t="s">
        <v>822</v>
      </c>
      <c r="C1056" s="13">
        <v>795</v>
      </c>
      <c r="D1056" s="15" t="s">
        <v>374</v>
      </c>
      <c r="E1056" s="13">
        <v>14214</v>
      </c>
      <c r="F1056" s="13">
        <f t="shared" si="189"/>
        <v>11300130</v>
      </c>
      <c r="G1056" s="13">
        <v>5480</v>
      </c>
      <c r="H1056" s="13">
        <f t="shared" si="190"/>
        <v>4356600</v>
      </c>
      <c r="I1056" s="13">
        <v>0</v>
      </c>
      <c r="J1056" s="13">
        <f t="shared" si="191"/>
        <v>0</v>
      </c>
      <c r="K1056" s="13">
        <f t="shared" si="192"/>
        <v>19694</v>
      </c>
      <c r="L1056" s="13">
        <f t="shared" si="193"/>
        <v>15656730</v>
      </c>
      <c r="M1056" s="11"/>
    </row>
    <row r="1057" spans="1:13">
      <c r="A1057" s="11" t="s">
        <v>823</v>
      </c>
      <c r="B1057" s="11" t="s">
        <v>824</v>
      </c>
      <c r="C1057" s="13">
        <v>322</v>
      </c>
      <c r="D1057" s="15" t="s">
        <v>240</v>
      </c>
      <c r="E1057" s="13">
        <v>2060</v>
      </c>
      <c r="F1057" s="13">
        <f t="shared" si="189"/>
        <v>663320</v>
      </c>
      <c r="G1057" s="13">
        <v>5150</v>
      </c>
      <c r="H1057" s="13">
        <f t="shared" si="190"/>
        <v>1658300</v>
      </c>
      <c r="I1057" s="13">
        <v>0</v>
      </c>
      <c r="J1057" s="13">
        <f t="shared" si="191"/>
        <v>0</v>
      </c>
      <c r="K1057" s="13">
        <f t="shared" si="192"/>
        <v>7210</v>
      </c>
      <c r="L1057" s="13">
        <f t="shared" si="193"/>
        <v>2321620</v>
      </c>
      <c r="M1057" s="11"/>
    </row>
    <row r="1058" spans="1:13">
      <c r="A1058" s="11" t="s">
        <v>825</v>
      </c>
      <c r="B1058" s="11" t="s">
        <v>826</v>
      </c>
      <c r="C1058" s="13">
        <v>70</v>
      </c>
      <c r="D1058" s="15" t="s">
        <v>108</v>
      </c>
      <c r="E1058" s="13">
        <v>0</v>
      </c>
      <c r="F1058" s="13">
        <f t="shared" si="189"/>
        <v>0</v>
      </c>
      <c r="G1058" s="13">
        <v>2060</v>
      </c>
      <c r="H1058" s="13">
        <f t="shared" si="190"/>
        <v>144200</v>
      </c>
      <c r="I1058" s="13">
        <v>4385</v>
      </c>
      <c r="J1058" s="13">
        <f t="shared" si="191"/>
        <v>306950</v>
      </c>
      <c r="K1058" s="13">
        <f t="shared" si="192"/>
        <v>6445</v>
      </c>
      <c r="L1058" s="13">
        <f t="shared" si="193"/>
        <v>451150</v>
      </c>
      <c r="M1058" s="11"/>
    </row>
    <row r="1059" spans="1:13">
      <c r="A1059" s="11" t="s">
        <v>827</v>
      </c>
      <c r="B1059" s="11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</row>
    <row r="1060" spans="1:13">
      <c r="A1060" s="11" t="s">
        <v>828</v>
      </c>
      <c r="B1060" s="11" t="s">
        <v>408</v>
      </c>
      <c r="C1060" s="13">
        <v>23</v>
      </c>
      <c r="D1060" s="15" t="s">
        <v>400</v>
      </c>
      <c r="E1060" s="13">
        <v>0</v>
      </c>
      <c r="F1060" s="13">
        <f>ROUND(E1060*C1060,0)</f>
        <v>0</v>
      </c>
      <c r="G1060" s="13">
        <v>0</v>
      </c>
      <c r="H1060" s="13">
        <f>ROUND(G1060*C1060,0)</f>
        <v>0</v>
      </c>
      <c r="I1060" s="13">
        <v>22485</v>
      </c>
      <c r="J1060" s="13">
        <f>ROUND(I1060*C1060,0)</f>
        <v>517155</v>
      </c>
      <c r="K1060" s="13">
        <f>E1060+G1060+I1060</f>
        <v>22485</v>
      </c>
      <c r="L1060" s="13">
        <f>F1060+H1060+J1060</f>
        <v>517155</v>
      </c>
      <c r="M1060" s="11"/>
    </row>
    <row r="1061" spans="1:13">
      <c r="A1061" s="11" t="s">
        <v>829</v>
      </c>
      <c r="B1061" s="11" t="s">
        <v>410</v>
      </c>
      <c r="C1061" s="24">
        <v>0.46899999999999997</v>
      </c>
      <c r="D1061" s="15" t="s">
        <v>400</v>
      </c>
      <c r="E1061" s="13">
        <v>-440000</v>
      </c>
      <c r="F1061" s="13">
        <f>ROUND(E1061*C1061,0)</f>
        <v>-206360</v>
      </c>
      <c r="G1061" s="13">
        <v>0</v>
      </c>
      <c r="H1061" s="13">
        <f>ROUND(G1061*C1061,0)</f>
        <v>0</v>
      </c>
      <c r="I1061" s="13">
        <v>0</v>
      </c>
      <c r="J1061" s="13">
        <f>ROUND(I1061*C1061,0)</f>
        <v>0</v>
      </c>
      <c r="K1061" s="13">
        <f>E1061+G1061+I1061</f>
        <v>-440000</v>
      </c>
      <c r="L1061" s="13">
        <f>F1061+H1061+J1061</f>
        <v>-206360</v>
      </c>
      <c r="M1061" s="11"/>
    </row>
    <row r="1062" spans="1:13">
      <c r="A1062" s="11" t="s">
        <v>830</v>
      </c>
      <c r="B1062" s="11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</row>
    <row r="1063" spans="1:13">
      <c r="A1063" s="11" t="s">
        <v>412</v>
      </c>
      <c r="B1063" s="11" t="s">
        <v>831</v>
      </c>
      <c r="C1063" s="13">
        <v>250</v>
      </c>
      <c r="D1063" s="15" t="s">
        <v>108</v>
      </c>
      <c r="E1063" s="13">
        <v>103950</v>
      </c>
      <c r="F1063" s="13">
        <f t="shared" ref="F1063:F1069" si="194">ROUND(E1063*C1063,0)</f>
        <v>25987500</v>
      </c>
      <c r="G1063" s="13">
        <v>0</v>
      </c>
      <c r="H1063" s="13">
        <f t="shared" ref="H1063:H1069" si="195">ROUND(G1063*C1063,0)</f>
        <v>0</v>
      </c>
      <c r="I1063" s="13">
        <v>0</v>
      </c>
      <c r="J1063" s="13">
        <f t="shared" ref="J1063:J1069" si="196">ROUND(I1063*C1063,0)</f>
        <v>0</v>
      </c>
      <c r="K1063" s="13">
        <f t="shared" ref="K1063:L1069" si="197">E1063+G1063+I1063</f>
        <v>103950</v>
      </c>
      <c r="L1063" s="13">
        <f t="shared" si="197"/>
        <v>25987500</v>
      </c>
      <c r="M1063" s="11"/>
    </row>
    <row r="1064" spans="1:13">
      <c r="A1064" s="11" t="s">
        <v>414</v>
      </c>
      <c r="B1064" s="11" t="s">
        <v>832</v>
      </c>
      <c r="C1064" s="13">
        <v>36</v>
      </c>
      <c r="D1064" s="15" t="s">
        <v>108</v>
      </c>
      <c r="E1064" s="13">
        <v>96800</v>
      </c>
      <c r="F1064" s="13">
        <f t="shared" si="194"/>
        <v>3484800</v>
      </c>
      <c r="G1064" s="13">
        <v>0</v>
      </c>
      <c r="H1064" s="13">
        <f t="shared" si="195"/>
        <v>0</v>
      </c>
      <c r="I1064" s="13">
        <v>0</v>
      </c>
      <c r="J1064" s="13">
        <f t="shared" si="196"/>
        <v>0</v>
      </c>
      <c r="K1064" s="13">
        <f t="shared" si="197"/>
        <v>96800</v>
      </c>
      <c r="L1064" s="13">
        <f t="shared" si="197"/>
        <v>3484800</v>
      </c>
      <c r="M1064" s="11"/>
    </row>
    <row r="1065" spans="1:13">
      <c r="A1065" s="11" t="s">
        <v>395</v>
      </c>
      <c r="B1065" s="11" t="s">
        <v>768</v>
      </c>
      <c r="C1065" s="13">
        <v>73</v>
      </c>
      <c r="D1065" s="15" t="s">
        <v>108</v>
      </c>
      <c r="E1065" s="13">
        <v>18540</v>
      </c>
      <c r="F1065" s="13">
        <f t="shared" si="194"/>
        <v>1353420</v>
      </c>
      <c r="G1065" s="13">
        <v>0</v>
      </c>
      <c r="H1065" s="13">
        <f t="shared" si="195"/>
        <v>0</v>
      </c>
      <c r="I1065" s="13">
        <v>0</v>
      </c>
      <c r="J1065" s="13">
        <f t="shared" si="196"/>
        <v>0</v>
      </c>
      <c r="K1065" s="13">
        <f t="shared" si="197"/>
        <v>18540</v>
      </c>
      <c r="L1065" s="13">
        <f t="shared" si="197"/>
        <v>1353420</v>
      </c>
      <c r="M1065" s="11"/>
    </row>
    <row r="1066" spans="1:13" ht="33">
      <c r="A1066" s="11" t="s">
        <v>405</v>
      </c>
      <c r="B1066" s="11" t="s">
        <v>833</v>
      </c>
      <c r="C1066" s="13">
        <v>23</v>
      </c>
      <c r="D1066" s="15" t="s">
        <v>834</v>
      </c>
      <c r="E1066" s="13">
        <v>979057</v>
      </c>
      <c r="F1066" s="13">
        <f t="shared" si="194"/>
        <v>22518311</v>
      </c>
      <c r="G1066" s="13">
        <v>0</v>
      </c>
      <c r="H1066" s="13">
        <f t="shared" si="195"/>
        <v>0</v>
      </c>
      <c r="I1066" s="13">
        <v>0</v>
      </c>
      <c r="J1066" s="13">
        <f t="shared" si="196"/>
        <v>0</v>
      </c>
      <c r="K1066" s="13">
        <f t="shared" si="197"/>
        <v>979057</v>
      </c>
      <c r="L1066" s="13">
        <f t="shared" si="197"/>
        <v>22518311</v>
      </c>
      <c r="M1066" s="11"/>
    </row>
    <row r="1067" spans="1:13" ht="33">
      <c r="A1067" s="11" t="s">
        <v>835</v>
      </c>
      <c r="B1067" s="11" t="s">
        <v>836</v>
      </c>
      <c r="C1067" s="13">
        <v>0</v>
      </c>
      <c r="D1067" s="15" t="s">
        <v>834</v>
      </c>
      <c r="E1067" s="13">
        <v>0</v>
      </c>
      <c r="F1067" s="13">
        <f t="shared" si="194"/>
        <v>0</v>
      </c>
      <c r="G1067" s="13">
        <v>0</v>
      </c>
      <c r="H1067" s="13">
        <f t="shared" si="195"/>
        <v>0</v>
      </c>
      <c r="I1067" s="13">
        <v>0</v>
      </c>
      <c r="J1067" s="13">
        <f t="shared" si="196"/>
        <v>0</v>
      </c>
      <c r="K1067" s="13">
        <f t="shared" si="197"/>
        <v>0</v>
      </c>
      <c r="L1067" s="13">
        <f t="shared" si="197"/>
        <v>0</v>
      </c>
      <c r="M1067" s="11"/>
    </row>
    <row r="1068" spans="1:13" ht="33">
      <c r="A1068" s="11" t="s">
        <v>837</v>
      </c>
      <c r="B1068" s="11" t="s">
        <v>838</v>
      </c>
      <c r="C1068" s="13">
        <v>0</v>
      </c>
      <c r="D1068" s="15" t="s">
        <v>834</v>
      </c>
      <c r="E1068" s="13">
        <v>979057</v>
      </c>
      <c r="F1068" s="13">
        <f t="shared" si="194"/>
        <v>0</v>
      </c>
      <c r="G1068" s="13">
        <v>0</v>
      </c>
      <c r="H1068" s="13">
        <f t="shared" si="195"/>
        <v>0</v>
      </c>
      <c r="I1068" s="13">
        <v>0</v>
      </c>
      <c r="J1068" s="13">
        <f t="shared" si="196"/>
        <v>0</v>
      </c>
      <c r="K1068" s="13">
        <f t="shared" si="197"/>
        <v>979057</v>
      </c>
      <c r="L1068" s="13">
        <f t="shared" si="197"/>
        <v>0</v>
      </c>
      <c r="M1068" s="11"/>
    </row>
    <row r="1069" spans="1:13" ht="33">
      <c r="A1069" s="11" t="s">
        <v>839</v>
      </c>
      <c r="B1069" s="11" t="s">
        <v>840</v>
      </c>
      <c r="C1069" s="13">
        <v>0</v>
      </c>
      <c r="D1069" s="15" t="s">
        <v>834</v>
      </c>
      <c r="E1069" s="13">
        <v>0</v>
      </c>
      <c r="F1069" s="13">
        <f t="shared" si="194"/>
        <v>0</v>
      </c>
      <c r="G1069" s="13">
        <v>0</v>
      </c>
      <c r="H1069" s="13">
        <f t="shared" si="195"/>
        <v>0</v>
      </c>
      <c r="I1069" s="13">
        <v>0</v>
      </c>
      <c r="J1069" s="13">
        <f t="shared" si="196"/>
        <v>0</v>
      </c>
      <c r="K1069" s="13">
        <f t="shared" si="197"/>
        <v>0</v>
      </c>
      <c r="L1069" s="13">
        <f t="shared" si="197"/>
        <v>0</v>
      </c>
      <c r="M1069" s="11"/>
    </row>
    <row r="1070" spans="1:13">
      <c r="A1070" s="19" t="s">
        <v>1228</v>
      </c>
      <c r="B1070" s="20"/>
      <c r="C1070" s="21"/>
      <c r="D1070" s="21"/>
      <c r="E1070" s="21"/>
      <c r="F1070" s="22">
        <f>SUM(F1073:F1081)</f>
        <v>0</v>
      </c>
      <c r="G1070" s="21"/>
      <c r="H1070" s="22">
        <f>SUM(H1073:H1081)</f>
        <v>1457450</v>
      </c>
      <c r="I1070" s="21"/>
      <c r="J1070" s="22">
        <f>SUM(J1073:J1081)</f>
        <v>501418</v>
      </c>
      <c r="K1070" s="21"/>
      <c r="L1070" s="22">
        <f>F1070+H1070+J1070</f>
        <v>1958868</v>
      </c>
      <c r="M1070" s="21"/>
    </row>
    <row r="1071" spans="1:13">
      <c r="A1071" s="11" t="s">
        <v>869</v>
      </c>
      <c r="B1071" s="11"/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</row>
    <row r="1072" spans="1:13">
      <c r="A1072" s="11" t="s">
        <v>221</v>
      </c>
      <c r="B1072" s="11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</row>
    <row r="1073" spans="1:13">
      <c r="A1073" s="11" t="s">
        <v>843</v>
      </c>
      <c r="B1073" s="11" t="s">
        <v>226</v>
      </c>
      <c r="C1073" s="13">
        <v>19</v>
      </c>
      <c r="D1073" s="15" t="s">
        <v>108</v>
      </c>
      <c r="E1073" s="13">
        <v>0</v>
      </c>
      <c r="F1073" s="13">
        <f>ROUND(E1073*C1073,0)</f>
        <v>0</v>
      </c>
      <c r="G1073" s="13">
        <v>46350</v>
      </c>
      <c r="H1073" s="13">
        <f>ROUND(G1073*C1073,0)</f>
        <v>880650</v>
      </c>
      <c r="I1073" s="13">
        <v>13491</v>
      </c>
      <c r="J1073" s="13">
        <f>ROUND(I1073*C1073,0)</f>
        <v>256329</v>
      </c>
      <c r="K1073" s="13">
        <f>E1073+G1073+I1073</f>
        <v>59841</v>
      </c>
      <c r="L1073" s="13">
        <f>F1073+H1073+J1073</f>
        <v>1136979</v>
      </c>
      <c r="M1073" s="11"/>
    </row>
    <row r="1074" spans="1:13">
      <c r="A1074" s="11" t="s">
        <v>227</v>
      </c>
      <c r="B1074" s="11"/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</row>
    <row r="1075" spans="1:13">
      <c r="A1075" s="11" t="s">
        <v>870</v>
      </c>
      <c r="B1075" s="11" t="s">
        <v>226</v>
      </c>
      <c r="C1075" s="13">
        <v>14</v>
      </c>
      <c r="D1075" s="15" t="s">
        <v>108</v>
      </c>
      <c r="E1075" s="13">
        <v>0</v>
      </c>
      <c r="F1075" s="13">
        <f>ROUND(E1075*C1075,0)</f>
        <v>0</v>
      </c>
      <c r="G1075" s="13">
        <v>41200</v>
      </c>
      <c r="H1075" s="13">
        <f>ROUND(G1075*C1075,0)</f>
        <v>576800</v>
      </c>
      <c r="I1075" s="13">
        <v>13491</v>
      </c>
      <c r="J1075" s="13">
        <f>ROUND(I1075*C1075,0)</f>
        <v>188874</v>
      </c>
      <c r="K1075" s="13">
        <f>E1075+G1075+I1075</f>
        <v>54691</v>
      </c>
      <c r="L1075" s="13">
        <f>F1075+H1075+J1075</f>
        <v>765674</v>
      </c>
      <c r="M1075" s="11"/>
    </row>
    <row r="1076" spans="1:13">
      <c r="A1076" s="11" t="s">
        <v>233</v>
      </c>
      <c r="B1076" s="11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</row>
    <row r="1077" spans="1:13">
      <c r="A1077" s="11" t="s">
        <v>234</v>
      </c>
      <c r="B1077" s="11" t="s">
        <v>454</v>
      </c>
      <c r="C1077" s="13">
        <v>5</v>
      </c>
      <c r="D1077" s="15" t="s">
        <v>108</v>
      </c>
      <c r="E1077" s="13">
        <v>0</v>
      </c>
      <c r="F1077" s="13">
        <f>ROUND(E1077*C1077,0)</f>
        <v>0</v>
      </c>
      <c r="G1077" s="13">
        <v>0</v>
      </c>
      <c r="H1077" s="13">
        <f>ROUND(G1077*C1077,0)</f>
        <v>0</v>
      </c>
      <c r="I1077" s="13">
        <v>11243</v>
      </c>
      <c r="J1077" s="13">
        <f>ROUND(I1077*C1077,0)</f>
        <v>56215</v>
      </c>
      <c r="K1077" s="13">
        <f>E1077+G1077+I1077</f>
        <v>11243</v>
      </c>
      <c r="L1077" s="13">
        <f>F1077+H1077+J1077</f>
        <v>56215</v>
      </c>
      <c r="M1077" s="11"/>
    </row>
    <row r="1078" spans="1:13">
      <c r="A1078" s="11" t="s">
        <v>1229</v>
      </c>
      <c r="B1078" s="11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</row>
    <row r="1079" spans="1:13" ht="33">
      <c r="A1079" s="11" t="s">
        <v>1147</v>
      </c>
      <c r="B1079" s="11"/>
      <c r="C1079" s="13">
        <v>1</v>
      </c>
      <c r="D1079" s="15" t="s">
        <v>1148</v>
      </c>
      <c r="E1079" s="13">
        <v>0</v>
      </c>
      <c r="F1079" s="13">
        <f>ROUND(E1079*C1079,0)</f>
        <v>0</v>
      </c>
      <c r="G1079" s="13">
        <v>0</v>
      </c>
      <c r="H1079" s="13">
        <f>ROUND(G1079*C1079,0)</f>
        <v>0</v>
      </c>
      <c r="I1079" s="13">
        <v>0</v>
      </c>
      <c r="J1079" s="13">
        <f>ROUND(I1079*C1079,0)</f>
        <v>0</v>
      </c>
      <c r="K1079" s="13">
        <f t="shared" ref="K1079:L1081" si="198">E1079+G1079+I1079</f>
        <v>0</v>
      </c>
      <c r="L1079" s="13">
        <f t="shared" si="198"/>
        <v>0</v>
      </c>
      <c r="M1079" s="11" t="s">
        <v>1149</v>
      </c>
    </row>
    <row r="1080" spans="1:13" ht="33">
      <c r="A1080" s="11" t="s">
        <v>1150</v>
      </c>
      <c r="B1080" s="11"/>
      <c r="C1080" s="13">
        <v>1</v>
      </c>
      <c r="D1080" s="15" t="s">
        <v>1148</v>
      </c>
      <c r="E1080" s="13">
        <v>0</v>
      </c>
      <c r="F1080" s="13">
        <f>ROUND(E1080*C1080,0)</f>
        <v>0</v>
      </c>
      <c r="G1080" s="13">
        <v>0</v>
      </c>
      <c r="H1080" s="13">
        <f>ROUND(G1080*C1080,0)</f>
        <v>0</v>
      </c>
      <c r="I1080" s="13">
        <v>0</v>
      </c>
      <c r="J1080" s="13">
        <f>ROUND(I1080*C1080,0)</f>
        <v>0</v>
      </c>
      <c r="K1080" s="13">
        <f t="shared" si="198"/>
        <v>0</v>
      </c>
      <c r="L1080" s="13">
        <f t="shared" si="198"/>
        <v>0</v>
      </c>
      <c r="M1080" s="11" t="s">
        <v>1149</v>
      </c>
    </row>
    <row r="1081" spans="1:13" ht="49.5">
      <c r="A1081" s="11" t="s">
        <v>1151</v>
      </c>
      <c r="B1081" s="11"/>
      <c r="C1081" s="13">
        <v>1</v>
      </c>
      <c r="D1081" s="15" t="s">
        <v>1152</v>
      </c>
      <c r="E1081" s="13">
        <v>0</v>
      </c>
      <c r="F1081" s="13">
        <f>ROUND(E1081*C1081,0)</f>
        <v>0</v>
      </c>
      <c r="G1081" s="13">
        <v>0</v>
      </c>
      <c r="H1081" s="13">
        <f>ROUND(G1081*C1081,0)</f>
        <v>0</v>
      </c>
      <c r="I1081" s="13">
        <v>0</v>
      </c>
      <c r="J1081" s="13">
        <f>ROUND(I1081*C1081,0)</f>
        <v>0</v>
      </c>
      <c r="K1081" s="13">
        <f t="shared" si="198"/>
        <v>0</v>
      </c>
      <c r="L1081" s="13">
        <f t="shared" si="198"/>
        <v>0</v>
      </c>
      <c r="M1081" s="11" t="s">
        <v>1153</v>
      </c>
    </row>
    <row r="1082" spans="1:13">
      <c r="A1082" s="5" t="s">
        <v>1230</v>
      </c>
      <c r="B1082" s="6"/>
      <c r="C1082" s="6"/>
      <c r="D1082" s="6"/>
      <c r="E1082" s="6"/>
      <c r="F1082" s="9">
        <f>F831+F870+F925+F967+F1041+F1070</f>
        <v>469721399</v>
      </c>
      <c r="G1082" s="6"/>
      <c r="H1082" s="9">
        <f>H831+H870+H925+H967+H1041+H1070</f>
        <v>208266004</v>
      </c>
      <c r="I1082" s="6"/>
      <c r="J1082" s="9">
        <f>J831+J870+J925+J967+J1041+J1070</f>
        <v>190823565</v>
      </c>
      <c r="K1082" s="6"/>
      <c r="L1082" s="9">
        <f>F1082+H1082+J1082</f>
        <v>868810968</v>
      </c>
      <c r="M1082" s="6"/>
    </row>
    <row r="1084" spans="1:13">
      <c r="A1084" s="46" t="s">
        <v>1231</v>
      </c>
      <c r="B1084" s="40"/>
      <c r="C1084" s="40"/>
      <c r="D1084" s="40"/>
      <c r="E1084" s="40"/>
      <c r="F1084" s="40"/>
      <c r="G1084" s="40"/>
      <c r="H1084" s="40"/>
      <c r="I1084" s="40"/>
      <c r="J1084" s="40"/>
      <c r="K1084" s="40"/>
      <c r="L1084" s="40"/>
      <c r="M1084" s="40"/>
    </row>
    <row r="1085" spans="1:13">
      <c r="A1085" s="19" t="s">
        <v>98</v>
      </c>
      <c r="B1085" s="20"/>
      <c r="C1085" s="21"/>
      <c r="D1085" s="21"/>
      <c r="E1085" s="21"/>
      <c r="F1085" s="22">
        <f>SUM(F1087:F1124)</f>
        <v>2461320</v>
      </c>
      <c r="G1085" s="21"/>
      <c r="H1085" s="22">
        <f>SUM(H1087:H1124)</f>
        <v>13667974</v>
      </c>
      <c r="I1085" s="21"/>
      <c r="J1085" s="22">
        <f>SUM(J1087:J1124)</f>
        <v>37904447</v>
      </c>
      <c r="K1085" s="21"/>
      <c r="L1085" s="22">
        <f>F1085+H1085+J1085</f>
        <v>54033741</v>
      </c>
      <c r="M1085" s="21"/>
    </row>
    <row r="1086" spans="1:13">
      <c r="A1086" s="11" t="s">
        <v>1163</v>
      </c>
      <c r="B1086" s="11"/>
      <c r="C1086" s="23"/>
      <c r="D1086" s="23"/>
      <c r="E1086" s="23"/>
      <c r="F1086" s="23"/>
      <c r="G1086" s="23"/>
      <c r="H1086" s="23"/>
      <c r="I1086" s="23"/>
      <c r="J1086" s="23"/>
      <c r="K1086" s="23"/>
      <c r="L1086" s="23"/>
      <c r="M1086" s="23"/>
    </row>
    <row r="1087" spans="1:13">
      <c r="A1087" s="11" t="s">
        <v>1164</v>
      </c>
      <c r="B1087" s="11" t="s">
        <v>1165</v>
      </c>
      <c r="C1087" s="13">
        <v>3022</v>
      </c>
      <c r="D1087" s="15" t="s">
        <v>959</v>
      </c>
      <c r="E1087" s="13">
        <v>0</v>
      </c>
      <c r="F1087" s="13">
        <f>ROUND(E1087*C1087,0)</f>
        <v>0</v>
      </c>
      <c r="G1087" s="13">
        <v>278</v>
      </c>
      <c r="H1087" s="13">
        <f>ROUND(G1087*C1087,0)</f>
        <v>840116</v>
      </c>
      <c r="I1087" s="13">
        <v>1555</v>
      </c>
      <c r="J1087" s="13">
        <f>ROUND(I1087*C1087,0)</f>
        <v>4699210</v>
      </c>
      <c r="K1087" s="13">
        <f>E1087+G1087+I1087</f>
        <v>1833</v>
      </c>
      <c r="L1087" s="13">
        <f>F1087+H1087+J1087</f>
        <v>5539326</v>
      </c>
      <c r="M1087" s="11"/>
    </row>
    <row r="1088" spans="1:13">
      <c r="A1088" s="11" t="s">
        <v>1166</v>
      </c>
      <c r="B1088" s="11"/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</row>
    <row r="1089" spans="1:13">
      <c r="A1089" s="11" t="s">
        <v>120</v>
      </c>
      <c r="B1089" s="11" t="s">
        <v>121</v>
      </c>
      <c r="C1089" s="13">
        <v>245</v>
      </c>
      <c r="D1089" s="15" t="s">
        <v>102</v>
      </c>
      <c r="E1089" s="13">
        <v>6572</v>
      </c>
      <c r="F1089" s="13">
        <f>ROUND(E1089*C1089,0)</f>
        <v>1610140</v>
      </c>
      <c r="G1089" s="13">
        <v>1378</v>
      </c>
      <c r="H1089" s="13">
        <f>ROUND(G1089*C1089,0)</f>
        <v>337610</v>
      </c>
      <c r="I1089" s="13">
        <v>0</v>
      </c>
      <c r="J1089" s="13">
        <f>ROUND(I1089*C1089,0)</f>
        <v>0</v>
      </c>
      <c r="K1089" s="13">
        <f>E1089+G1089+I1089</f>
        <v>7950</v>
      </c>
      <c r="L1089" s="13">
        <f>F1089+H1089+J1089</f>
        <v>1947750</v>
      </c>
      <c r="M1089" s="11"/>
    </row>
    <row r="1090" spans="1:13">
      <c r="A1090" s="11" t="s">
        <v>1167</v>
      </c>
      <c r="B1090" s="11"/>
      <c r="C1090" s="23"/>
      <c r="D1090" s="23"/>
      <c r="E1090" s="23"/>
      <c r="F1090" s="23"/>
      <c r="G1090" s="23"/>
      <c r="H1090" s="23"/>
      <c r="I1090" s="23"/>
      <c r="J1090" s="23"/>
      <c r="K1090" s="23"/>
      <c r="L1090" s="23"/>
      <c r="M1090" s="23"/>
    </row>
    <row r="1091" spans="1:13">
      <c r="A1091" s="11" t="s">
        <v>125</v>
      </c>
      <c r="B1091" s="11"/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</row>
    <row r="1092" spans="1:13">
      <c r="A1092" s="11" t="s">
        <v>128</v>
      </c>
      <c r="B1092" s="11" t="s">
        <v>129</v>
      </c>
      <c r="C1092" s="13">
        <v>578</v>
      </c>
      <c r="D1092" s="15" t="s">
        <v>108</v>
      </c>
      <c r="E1092" s="13">
        <v>0</v>
      </c>
      <c r="F1092" s="13">
        <f>ROUND(E1092*C1092,0)</f>
        <v>0</v>
      </c>
      <c r="G1092" s="13">
        <v>322</v>
      </c>
      <c r="H1092" s="13">
        <f>ROUND(G1092*C1092,0)</f>
        <v>186116</v>
      </c>
      <c r="I1092" s="13">
        <v>1808</v>
      </c>
      <c r="J1092" s="13">
        <f>ROUND(I1092*C1092,0)</f>
        <v>1045024</v>
      </c>
      <c r="K1092" s="13">
        <f>E1092+G1092+I1092</f>
        <v>2130</v>
      </c>
      <c r="L1092" s="13">
        <f>F1092+H1092+J1092</f>
        <v>1231140</v>
      </c>
      <c r="M1092" s="11"/>
    </row>
    <row r="1093" spans="1:13">
      <c r="A1093" s="11" t="s">
        <v>1168</v>
      </c>
      <c r="B1093" s="11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</row>
    <row r="1094" spans="1:13" ht="33">
      <c r="A1094" s="11" t="s">
        <v>144</v>
      </c>
      <c r="B1094" s="11" t="s">
        <v>145</v>
      </c>
      <c r="C1094" s="13">
        <v>2132</v>
      </c>
      <c r="D1094" s="15" t="s">
        <v>108</v>
      </c>
      <c r="E1094" s="13">
        <v>0</v>
      </c>
      <c r="F1094" s="13">
        <f>ROUND(E1094*C1094,0)</f>
        <v>0</v>
      </c>
      <c r="G1094" s="13">
        <v>657</v>
      </c>
      <c r="H1094" s="13">
        <f>ROUND(G1094*C1094,0)</f>
        <v>1400724</v>
      </c>
      <c r="I1094" s="13">
        <v>3678</v>
      </c>
      <c r="J1094" s="13">
        <f>ROUND(I1094*C1094,0)</f>
        <v>7841496</v>
      </c>
      <c r="K1094" s="13">
        <f>E1094+G1094+I1094</f>
        <v>4335</v>
      </c>
      <c r="L1094" s="13">
        <f>F1094+H1094+J1094</f>
        <v>9242220</v>
      </c>
      <c r="M1094" s="11"/>
    </row>
    <row r="1095" spans="1:13">
      <c r="A1095" s="11" t="s">
        <v>1169</v>
      </c>
      <c r="B1095" s="11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</row>
    <row r="1096" spans="1:13">
      <c r="A1096" s="11" t="s">
        <v>1170</v>
      </c>
      <c r="B1096" s="11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</row>
    <row r="1097" spans="1:13" ht="33">
      <c r="A1097" s="11" t="s">
        <v>152</v>
      </c>
      <c r="B1097" s="11" t="s">
        <v>153</v>
      </c>
      <c r="C1097" s="13">
        <v>1216</v>
      </c>
      <c r="D1097" s="15" t="s">
        <v>108</v>
      </c>
      <c r="E1097" s="13">
        <v>0</v>
      </c>
      <c r="F1097" s="13">
        <f>ROUND(E1097*C1097,0)</f>
        <v>0</v>
      </c>
      <c r="G1097" s="13">
        <v>636</v>
      </c>
      <c r="H1097" s="13">
        <f>ROUND(G1097*C1097,0)</f>
        <v>773376</v>
      </c>
      <c r="I1097" s="13">
        <v>3626</v>
      </c>
      <c r="J1097" s="13">
        <f>ROUND(I1097*C1097,0)</f>
        <v>4409216</v>
      </c>
      <c r="K1097" s="13">
        <f>E1097+G1097+I1097</f>
        <v>4262</v>
      </c>
      <c r="L1097" s="13">
        <f>F1097+H1097+J1097</f>
        <v>5182592</v>
      </c>
      <c r="M1097" s="11"/>
    </row>
    <row r="1098" spans="1:13">
      <c r="A1098" s="11" t="s">
        <v>1171</v>
      </c>
      <c r="B1098" s="11"/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</row>
    <row r="1099" spans="1:13" ht="33">
      <c r="A1099" s="11" t="s">
        <v>152</v>
      </c>
      <c r="B1099" s="11" t="s">
        <v>155</v>
      </c>
      <c r="C1099" s="13">
        <v>1406</v>
      </c>
      <c r="D1099" s="15" t="s">
        <v>108</v>
      </c>
      <c r="E1099" s="13">
        <v>0</v>
      </c>
      <c r="F1099" s="13">
        <f>ROUND(E1099*C1099,0)</f>
        <v>0</v>
      </c>
      <c r="G1099" s="13">
        <v>636</v>
      </c>
      <c r="H1099" s="13">
        <f>ROUND(G1099*C1099,0)</f>
        <v>894216</v>
      </c>
      <c r="I1099" s="13">
        <v>2071</v>
      </c>
      <c r="J1099" s="13">
        <f>ROUND(I1099*C1099,0)</f>
        <v>2911826</v>
      </c>
      <c r="K1099" s="13">
        <f>E1099+G1099+I1099</f>
        <v>2707</v>
      </c>
      <c r="L1099" s="13">
        <f>F1099+H1099+J1099</f>
        <v>3806042</v>
      </c>
      <c r="M1099" s="11"/>
    </row>
    <row r="1100" spans="1:13">
      <c r="A1100" s="11" t="s">
        <v>1172</v>
      </c>
      <c r="B1100" s="11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</row>
    <row r="1101" spans="1:13" ht="33">
      <c r="A1101" s="11" t="s">
        <v>152</v>
      </c>
      <c r="B1101" s="11" t="s">
        <v>155</v>
      </c>
      <c r="C1101" s="13">
        <v>1787</v>
      </c>
      <c r="D1101" s="15" t="s">
        <v>108</v>
      </c>
      <c r="E1101" s="13">
        <v>0</v>
      </c>
      <c r="F1101" s="13">
        <f>ROUND(E1101*C1101,0)</f>
        <v>0</v>
      </c>
      <c r="G1101" s="13">
        <v>636</v>
      </c>
      <c r="H1101" s="13">
        <f>ROUND(G1101*C1101,0)</f>
        <v>1136532</v>
      </c>
      <c r="I1101" s="13">
        <v>2071</v>
      </c>
      <c r="J1101" s="13">
        <f>ROUND(I1101*C1101,0)</f>
        <v>3700877</v>
      </c>
      <c r="K1101" s="13">
        <f>E1101+G1101+I1101</f>
        <v>2707</v>
      </c>
      <c r="L1101" s="13">
        <f>F1101+H1101+J1101</f>
        <v>4837409</v>
      </c>
      <c r="M1101" s="11"/>
    </row>
    <row r="1102" spans="1:13">
      <c r="A1102" s="11" t="s">
        <v>1173</v>
      </c>
      <c r="B1102" s="11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</row>
    <row r="1103" spans="1:13">
      <c r="A1103" s="11" t="s">
        <v>1174</v>
      </c>
      <c r="B1103" s="11"/>
      <c r="C1103" s="13">
        <v>161</v>
      </c>
      <c r="D1103" s="15" t="s">
        <v>1024</v>
      </c>
      <c r="E1103" s="13">
        <v>0</v>
      </c>
      <c r="F1103" s="13">
        <f>ROUND(E1103*C1103,0)</f>
        <v>0</v>
      </c>
      <c r="G1103" s="13">
        <v>580</v>
      </c>
      <c r="H1103" s="13">
        <f>ROUND(G1103*C1103,0)</f>
        <v>93380</v>
      </c>
      <c r="I1103" s="13">
        <v>3244</v>
      </c>
      <c r="J1103" s="13">
        <f>ROUND(I1103*C1103,0)</f>
        <v>522284</v>
      </c>
      <c r="K1103" s="13">
        <f>E1103+G1103+I1103</f>
        <v>3824</v>
      </c>
      <c r="L1103" s="13">
        <f>F1103+H1103+J1103</f>
        <v>615664</v>
      </c>
      <c r="M1103" s="11"/>
    </row>
    <row r="1104" spans="1:13">
      <c r="A1104" s="11" t="s">
        <v>157</v>
      </c>
      <c r="B1104" s="11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</row>
    <row r="1105" spans="1:13">
      <c r="A1105" s="11" t="s">
        <v>158</v>
      </c>
      <c r="B1105" s="11"/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</row>
    <row r="1106" spans="1:13">
      <c r="A1106" s="11" t="s">
        <v>159</v>
      </c>
      <c r="B1106" s="11"/>
      <c r="C1106" s="13">
        <v>2720</v>
      </c>
      <c r="D1106" s="15" t="s">
        <v>108</v>
      </c>
      <c r="E1106" s="13">
        <v>0</v>
      </c>
      <c r="F1106" s="13">
        <f>ROUND(E1106*C1106,0)</f>
        <v>0</v>
      </c>
      <c r="G1106" s="13">
        <v>103</v>
      </c>
      <c r="H1106" s="13">
        <f>ROUND(G1106*C1106,0)</f>
        <v>280160</v>
      </c>
      <c r="I1106" s="13">
        <v>700</v>
      </c>
      <c r="J1106" s="13">
        <f>ROUND(I1106*C1106,0)</f>
        <v>1904000</v>
      </c>
      <c r="K1106" s="13">
        <f>E1106+G1106+I1106</f>
        <v>803</v>
      </c>
      <c r="L1106" s="13">
        <f>F1106+H1106+J1106</f>
        <v>2184160</v>
      </c>
      <c r="M1106" s="11"/>
    </row>
    <row r="1107" spans="1:13">
      <c r="A1107" s="11" t="s">
        <v>160</v>
      </c>
      <c r="B1107" s="11"/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</row>
    <row r="1108" spans="1:13">
      <c r="A1108" s="11" t="s">
        <v>161</v>
      </c>
      <c r="B1108" s="11" t="s">
        <v>1232</v>
      </c>
      <c r="C1108" s="13">
        <v>206</v>
      </c>
      <c r="D1108" s="15" t="s">
        <v>108</v>
      </c>
      <c r="E1108" s="13">
        <v>0</v>
      </c>
      <c r="F1108" s="13">
        <f>ROUND(E1108*C1108,0)</f>
        <v>0</v>
      </c>
      <c r="G1108" s="13">
        <v>117</v>
      </c>
      <c r="H1108" s="13">
        <f>ROUND(G1108*C1108,0)</f>
        <v>24102</v>
      </c>
      <c r="I1108" s="13">
        <v>694</v>
      </c>
      <c r="J1108" s="13">
        <f>ROUND(I1108*C1108,0)</f>
        <v>142964</v>
      </c>
      <c r="K1108" s="13">
        <f>E1108+G1108+I1108</f>
        <v>811</v>
      </c>
      <c r="L1108" s="13">
        <f>F1108+H1108+J1108</f>
        <v>167066</v>
      </c>
      <c r="M1108" s="11"/>
    </row>
    <row r="1109" spans="1:13">
      <c r="A1109" s="11" t="s">
        <v>165</v>
      </c>
      <c r="B1109" s="11"/>
      <c r="C1109" s="23"/>
      <c r="D1109" s="23"/>
      <c r="E1109" s="23"/>
      <c r="F1109" s="23"/>
      <c r="G1109" s="23"/>
      <c r="H1109" s="23"/>
      <c r="I1109" s="23"/>
      <c r="J1109" s="23"/>
      <c r="K1109" s="23"/>
      <c r="L1109" s="23"/>
      <c r="M1109" s="23"/>
    </row>
    <row r="1110" spans="1:13" ht="33">
      <c r="A1110" s="11" t="s">
        <v>166</v>
      </c>
      <c r="B1110" s="11" t="s">
        <v>1233</v>
      </c>
      <c r="C1110" s="13">
        <v>136</v>
      </c>
      <c r="D1110" s="15" t="s">
        <v>108</v>
      </c>
      <c r="E1110" s="13">
        <v>0</v>
      </c>
      <c r="F1110" s="13">
        <f>ROUND(E1110*C1110,0)</f>
        <v>0</v>
      </c>
      <c r="G1110" s="13">
        <v>689</v>
      </c>
      <c r="H1110" s="13">
        <f>ROUND(G1110*C1110,0)</f>
        <v>93704</v>
      </c>
      <c r="I1110" s="13">
        <v>3483</v>
      </c>
      <c r="J1110" s="13">
        <f>ROUND(I1110*C1110,0)</f>
        <v>473688</v>
      </c>
      <c r="K1110" s="13">
        <f>E1110+G1110+I1110</f>
        <v>4172</v>
      </c>
      <c r="L1110" s="13">
        <f>F1110+H1110+J1110</f>
        <v>567392</v>
      </c>
      <c r="M1110" s="11"/>
    </row>
    <row r="1111" spans="1:13">
      <c r="A1111" s="11" t="s">
        <v>185</v>
      </c>
      <c r="B1111" s="11"/>
      <c r="C1111" s="23"/>
      <c r="D1111" s="23"/>
      <c r="E1111" s="23"/>
      <c r="F1111" s="23"/>
      <c r="G1111" s="23"/>
      <c r="H1111" s="23"/>
      <c r="I1111" s="23"/>
      <c r="J1111" s="23"/>
      <c r="K1111" s="23"/>
      <c r="L1111" s="23"/>
      <c r="M1111" s="23"/>
    </row>
    <row r="1112" spans="1:13">
      <c r="A1112" s="11" t="s">
        <v>186</v>
      </c>
      <c r="B1112" s="11" t="s">
        <v>187</v>
      </c>
      <c r="C1112" s="13">
        <v>44</v>
      </c>
      <c r="D1112" s="15" t="s">
        <v>188</v>
      </c>
      <c r="E1112" s="13">
        <v>10600</v>
      </c>
      <c r="F1112" s="13">
        <f>ROUND(E1112*C1112,0)</f>
        <v>466400</v>
      </c>
      <c r="G1112" s="13">
        <v>74624</v>
      </c>
      <c r="H1112" s="13">
        <f>ROUND(G1112*C1112,0)</f>
        <v>3283456</v>
      </c>
      <c r="I1112" s="13">
        <v>0</v>
      </c>
      <c r="J1112" s="13">
        <f>ROUND(I1112*C1112,0)</f>
        <v>0</v>
      </c>
      <c r="K1112" s="13">
        <f>E1112+G1112+I1112</f>
        <v>85224</v>
      </c>
      <c r="L1112" s="13">
        <f>F1112+H1112+J1112</f>
        <v>3749856</v>
      </c>
      <c r="M1112" s="11"/>
    </row>
    <row r="1113" spans="1:13">
      <c r="A1113" s="11" t="s">
        <v>189</v>
      </c>
      <c r="B1113" s="11" t="s">
        <v>190</v>
      </c>
      <c r="C1113" s="13">
        <v>4</v>
      </c>
      <c r="D1113" s="15" t="s">
        <v>188</v>
      </c>
      <c r="E1113" s="13">
        <v>33920</v>
      </c>
      <c r="F1113" s="13">
        <f>ROUND(E1113*C1113,0)</f>
        <v>135680</v>
      </c>
      <c r="G1113" s="13">
        <v>99110</v>
      </c>
      <c r="H1113" s="13">
        <f>ROUND(G1113*C1113,0)</f>
        <v>396440</v>
      </c>
      <c r="I1113" s="13">
        <v>0</v>
      </c>
      <c r="J1113" s="13">
        <f>ROUND(I1113*C1113,0)</f>
        <v>0</v>
      </c>
      <c r="K1113" s="13">
        <f>E1113+G1113+I1113</f>
        <v>133030</v>
      </c>
      <c r="L1113" s="13">
        <f>F1113+H1113+J1113</f>
        <v>532120</v>
      </c>
      <c r="M1113" s="11"/>
    </row>
    <row r="1114" spans="1:13">
      <c r="A1114" s="11" t="s">
        <v>1177</v>
      </c>
      <c r="B1114" s="11"/>
      <c r="C1114" s="23"/>
      <c r="D1114" s="23"/>
      <c r="E1114" s="23"/>
      <c r="F1114" s="23"/>
      <c r="G1114" s="23"/>
      <c r="H1114" s="23"/>
      <c r="I1114" s="23"/>
      <c r="J1114" s="23"/>
      <c r="K1114" s="23"/>
      <c r="L1114" s="23"/>
      <c r="M1114" s="23"/>
    </row>
    <row r="1115" spans="1:13">
      <c r="A1115" s="11" t="s">
        <v>212</v>
      </c>
      <c r="B1115" s="11"/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</row>
    <row r="1116" spans="1:13">
      <c r="A1116" s="11" t="s">
        <v>213</v>
      </c>
      <c r="B1116" s="11" t="s">
        <v>214</v>
      </c>
      <c r="C1116" s="13">
        <v>13</v>
      </c>
      <c r="D1116" s="15" t="s">
        <v>108</v>
      </c>
      <c r="E1116" s="13">
        <v>0</v>
      </c>
      <c r="F1116" s="13">
        <f t="shared" ref="F1116:F1122" si="199">ROUND(E1116*C1116,0)</f>
        <v>0</v>
      </c>
      <c r="G1116" s="13">
        <v>14416</v>
      </c>
      <c r="H1116" s="13">
        <f t="shared" ref="H1116:H1122" si="200">ROUND(G1116*C1116,0)</f>
        <v>187408</v>
      </c>
      <c r="I1116" s="13">
        <v>28231</v>
      </c>
      <c r="J1116" s="13">
        <f t="shared" ref="J1116:J1122" si="201">ROUND(I1116*C1116,0)</f>
        <v>367003</v>
      </c>
      <c r="K1116" s="13">
        <f t="shared" ref="K1116:L1122" si="202">E1116+G1116+I1116</f>
        <v>42647</v>
      </c>
      <c r="L1116" s="13">
        <f t="shared" si="202"/>
        <v>554411</v>
      </c>
      <c r="M1116" s="11"/>
    </row>
    <row r="1117" spans="1:13">
      <c r="A1117" s="11" t="s">
        <v>215</v>
      </c>
      <c r="B1117" s="11" t="s">
        <v>214</v>
      </c>
      <c r="C1117" s="13">
        <v>72</v>
      </c>
      <c r="D1117" s="15" t="s">
        <v>108</v>
      </c>
      <c r="E1117" s="13">
        <v>0</v>
      </c>
      <c r="F1117" s="13">
        <f t="shared" si="199"/>
        <v>0</v>
      </c>
      <c r="G1117" s="13">
        <v>5194</v>
      </c>
      <c r="H1117" s="13">
        <f t="shared" si="200"/>
        <v>373968</v>
      </c>
      <c r="I1117" s="13">
        <v>26727</v>
      </c>
      <c r="J1117" s="13">
        <f t="shared" si="201"/>
        <v>1924344</v>
      </c>
      <c r="K1117" s="13">
        <f t="shared" si="202"/>
        <v>31921</v>
      </c>
      <c r="L1117" s="13">
        <f t="shared" si="202"/>
        <v>2298312</v>
      </c>
      <c r="M1117" s="11"/>
    </row>
    <row r="1118" spans="1:13">
      <c r="A1118" s="11" t="s">
        <v>1178</v>
      </c>
      <c r="B1118" s="11"/>
      <c r="C1118" s="13">
        <v>30</v>
      </c>
      <c r="D1118" s="15" t="s">
        <v>240</v>
      </c>
      <c r="E1118" s="13">
        <v>5300</v>
      </c>
      <c r="F1118" s="13">
        <f t="shared" si="199"/>
        <v>159000</v>
      </c>
      <c r="G1118" s="13">
        <v>1484</v>
      </c>
      <c r="H1118" s="13">
        <f t="shared" si="200"/>
        <v>44520</v>
      </c>
      <c r="I1118" s="13">
        <v>0</v>
      </c>
      <c r="J1118" s="13">
        <f t="shared" si="201"/>
        <v>0</v>
      </c>
      <c r="K1118" s="13">
        <f t="shared" si="202"/>
        <v>6784</v>
      </c>
      <c r="L1118" s="13">
        <f t="shared" si="202"/>
        <v>203520</v>
      </c>
      <c r="M1118" s="11"/>
    </row>
    <row r="1119" spans="1:13">
      <c r="A1119" s="11" t="s">
        <v>1234</v>
      </c>
      <c r="B1119" s="11"/>
      <c r="C1119" s="13">
        <v>17</v>
      </c>
      <c r="D1119" s="15" t="s">
        <v>240</v>
      </c>
      <c r="E1119" s="13">
        <v>5300</v>
      </c>
      <c r="F1119" s="13">
        <f t="shared" si="199"/>
        <v>90100</v>
      </c>
      <c r="G1119" s="13">
        <v>1484</v>
      </c>
      <c r="H1119" s="13">
        <f t="shared" si="200"/>
        <v>25228</v>
      </c>
      <c r="I1119" s="13">
        <v>0</v>
      </c>
      <c r="J1119" s="13">
        <f t="shared" si="201"/>
        <v>0</v>
      </c>
      <c r="K1119" s="13">
        <f t="shared" si="202"/>
        <v>6784</v>
      </c>
      <c r="L1119" s="13">
        <f t="shared" si="202"/>
        <v>115328</v>
      </c>
      <c r="M1119" s="11"/>
    </row>
    <row r="1120" spans="1:13">
      <c r="A1120" s="11" t="s">
        <v>1235</v>
      </c>
      <c r="B1120" s="11" t="s">
        <v>1180</v>
      </c>
      <c r="C1120" s="13">
        <v>631</v>
      </c>
      <c r="D1120" s="15" t="s">
        <v>1024</v>
      </c>
      <c r="E1120" s="13">
        <v>0</v>
      </c>
      <c r="F1120" s="13">
        <f t="shared" si="199"/>
        <v>0</v>
      </c>
      <c r="G1120" s="13">
        <v>1590</v>
      </c>
      <c r="H1120" s="13">
        <f t="shared" si="200"/>
        <v>1003290</v>
      </c>
      <c r="I1120" s="13">
        <v>5785</v>
      </c>
      <c r="J1120" s="13">
        <f t="shared" si="201"/>
        <v>3650335</v>
      </c>
      <c r="K1120" s="13">
        <f t="shared" si="202"/>
        <v>7375</v>
      </c>
      <c r="L1120" s="13">
        <f t="shared" si="202"/>
        <v>4653625</v>
      </c>
      <c r="M1120" s="11"/>
    </row>
    <row r="1121" spans="1:13">
      <c r="A1121" s="11" t="s">
        <v>1236</v>
      </c>
      <c r="B1121" s="11" t="s">
        <v>1180</v>
      </c>
      <c r="C1121" s="13">
        <v>11</v>
      </c>
      <c r="D1121" s="15" t="s">
        <v>1024</v>
      </c>
      <c r="E1121" s="13">
        <v>0</v>
      </c>
      <c r="F1121" s="13">
        <f t="shared" si="199"/>
        <v>0</v>
      </c>
      <c r="G1121" s="13">
        <v>1590</v>
      </c>
      <c r="H1121" s="13">
        <f t="shared" si="200"/>
        <v>17490</v>
      </c>
      <c r="I1121" s="13">
        <v>5785</v>
      </c>
      <c r="J1121" s="13">
        <f t="shared" si="201"/>
        <v>63635</v>
      </c>
      <c r="K1121" s="13">
        <f t="shared" si="202"/>
        <v>7375</v>
      </c>
      <c r="L1121" s="13">
        <f t="shared" si="202"/>
        <v>81125</v>
      </c>
      <c r="M1121" s="11"/>
    </row>
    <row r="1122" spans="1:13">
      <c r="A1122" s="11" t="s">
        <v>1237</v>
      </c>
      <c r="B1122" s="11" t="s">
        <v>1238</v>
      </c>
      <c r="C1122" s="13">
        <v>249</v>
      </c>
      <c r="D1122" s="15" t="s">
        <v>240</v>
      </c>
      <c r="E1122" s="13">
        <v>0</v>
      </c>
      <c r="F1122" s="13">
        <f t="shared" si="199"/>
        <v>0</v>
      </c>
      <c r="G1122" s="13">
        <v>6042</v>
      </c>
      <c r="H1122" s="13">
        <f t="shared" si="200"/>
        <v>1504458</v>
      </c>
      <c r="I1122" s="13">
        <v>10297</v>
      </c>
      <c r="J1122" s="13">
        <f t="shared" si="201"/>
        <v>2563953</v>
      </c>
      <c r="K1122" s="13">
        <f t="shared" si="202"/>
        <v>16339</v>
      </c>
      <c r="L1122" s="13">
        <f t="shared" si="202"/>
        <v>4068411</v>
      </c>
      <c r="M1122" s="11"/>
    </row>
    <row r="1123" spans="1:13">
      <c r="A1123" s="11" t="s">
        <v>216</v>
      </c>
      <c r="B1123" s="11"/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</row>
    <row r="1124" spans="1:13">
      <c r="A1124" s="11" t="s">
        <v>217</v>
      </c>
      <c r="B1124" s="11" t="s">
        <v>218</v>
      </c>
      <c r="C1124" s="13">
        <v>728</v>
      </c>
      <c r="D1124" s="15" t="s">
        <v>108</v>
      </c>
      <c r="E1124" s="13">
        <v>0</v>
      </c>
      <c r="F1124" s="13">
        <f>ROUND(E1124*C1124,0)</f>
        <v>0</v>
      </c>
      <c r="G1124" s="13">
        <v>1060</v>
      </c>
      <c r="H1124" s="13">
        <f>ROUND(G1124*C1124,0)</f>
        <v>771680</v>
      </c>
      <c r="I1124" s="13">
        <v>2314</v>
      </c>
      <c r="J1124" s="13">
        <f>ROUND(I1124*C1124,0)</f>
        <v>1684592</v>
      </c>
      <c r="K1124" s="13">
        <f>E1124+G1124+I1124</f>
        <v>3374</v>
      </c>
      <c r="L1124" s="13">
        <f>F1124+H1124+J1124</f>
        <v>2456272</v>
      </c>
      <c r="M1124" s="11"/>
    </row>
    <row r="1125" spans="1:13">
      <c r="A1125" s="19" t="s">
        <v>219</v>
      </c>
      <c r="B1125" s="20"/>
      <c r="C1125" s="21"/>
      <c r="D1125" s="21"/>
      <c r="E1125" s="21"/>
      <c r="F1125" s="22">
        <f>SUM(F1129:F1194)</f>
        <v>37930151</v>
      </c>
      <c r="G1125" s="21"/>
      <c r="H1125" s="22">
        <f>SUM(H1129:H1194)</f>
        <v>33088160</v>
      </c>
      <c r="I1125" s="21"/>
      <c r="J1125" s="22">
        <f>SUM(J1129:J1194)</f>
        <v>36270668</v>
      </c>
      <c r="K1125" s="21"/>
      <c r="L1125" s="22">
        <f>F1125+H1125+J1125</f>
        <v>107288979</v>
      </c>
      <c r="M1125" s="21"/>
    </row>
    <row r="1126" spans="1:13">
      <c r="A1126" s="11" t="s">
        <v>220</v>
      </c>
      <c r="B1126" s="11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</row>
    <row r="1127" spans="1:13">
      <c r="A1127" s="11" t="s">
        <v>221</v>
      </c>
      <c r="B1127" s="11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</row>
    <row r="1128" spans="1:13">
      <c r="A1128" s="11" t="s">
        <v>159</v>
      </c>
      <c r="B1128" s="11"/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</row>
    <row r="1129" spans="1:13">
      <c r="A1129" s="11" t="s">
        <v>222</v>
      </c>
      <c r="B1129" s="11" t="s">
        <v>116</v>
      </c>
      <c r="C1129" s="13">
        <v>1711</v>
      </c>
      <c r="D1129" s="15" t="s">
        <v>108</v>
      </c>
      <c r="E1129" s="13">
        <v>0</v>
      </c>
      <c r="F1129" s="13">
        <f>ROUND(E1129*C1129,0)</f>
        <v>0</v>
      </c>
      <c r="G1129" s="13">
        <v>0</v>
      </c>
      <c r="H1129" s="13">
        <f>ROUND(G1129*C1129,0)</f>
        <v>0</v>
      </c>
      <c r="I1129" s="13">
        <v>1851</v>
      </c>
      <c r="J1129" s="13">
        <f>ROUND(I1129*C1129,0)</f>
        <v>3167061</v>
      </c>
      <c r="K1129" s="13">
        <f>E1129+G1129+I1129</f>
        <v>1851</v>
      </c>
      <c r="L1129" s="13">
        <f>F1129+H1129+J1129</f>
        <v>3167061</v>
      </c>
      <c r="M1129" s="11"/>
    </row>
    <row r="1130" spans="1:13">
      <c r="A1130" s="11" t="s">
        <v>227</v>
      </c>
      <c r="B1130" s="11"/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</row>
    <row r="1131" spans="1:13" ht="33">
      <c r="A1131" s="11" t="s">
        <v>228</v>
      </c>
      <c r="B1131" s="11" t="s">
        <v>232</v>
      </c>
      <c r="C1131" s="13">
        <v>1504</v>
      </c>
      <c r="D1131" s="15" t="s">
        <v>108</v>
      </c>
      <c r="E1131" s="13">
        <v>0</v>
      </c>
      <c r="F1131" s="13">
        <f>ROUND(E1131*C1131,0)</f>
        <v>0</v>
      </c>
      <c r="G1131" s="13">
        <v>2650</v>
      </c>
      <c r="H1131" s="13">
        <f>ROUND(G1131*C1131,0)</f>
        <v>3985600</v>
      </c>
      <c r="I1131" s="13">
        <v>5207</v>
      </c>
      <c r="J1131" s="13">
        <f>ROUND(I1131*C1131,0)</f>
        <v>7831328</v>
      </c>
      <c r="K1131" s="13">
        <f>E1131+G1131+I1131</f>
        <v>7857</v>
      </c>
      <c r="L1131" s="13">
        <f>F1131+H1131+J1131</f>
        <v>11816928</v>
      </c>
      <c r="M1131" s="11"/>
    </row>
    <row r="1132" spans="1:13">
      <c r="A1132" s="11" t="s">
        <v>233</v>
      </c>
      <c r="B1132" s="11"/>
      <c r="C1132" s="23"/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</row>
    <row r="1133" spans="1:13">
      <c r="A1133" s="11" t="s">
        <v>234</v>
      </c>
      <c r="B1133" s="11" t="s">
        <v>235</v>
      </c>
      <c r="C1133" s="13">
        <v>207</v>
      </c>
      <c r="D1133" s="15" t="s">
        <v>108</v>
      </c>
      <c r="E1133" s="13">
        <v>0</v>
      </c>
      <c r="F1133" s="13">
        <f>ROUND(E1133*C1133,0)</f>
        <v>0</v>
      </c>
      <c r="G1133" s="13">
        <v>0</v>
      </c>
      <c r="H1133" s="13">
        <f>ROUND(G1133*C1133,0)</f>
        <v>0</v>
      </c>
      <c r="I1133" s="13">
        <v>11570</v>
      </c>
      <c r="J1133" s="13">
        <f>ROUND(I1133*C1133,0)</f>
        <v>2394990</v>
      </c>
      <c r="K1133" s="13">
        <f>E1133+G1133+I1133</f>
        <v>11570</v>
      </c>
      <c r="L1133" s="13">
        <f>F1133+H1133+J1133</f>
        <v>2394990</v>
      </c>
      <c r="M1133" s="11"/>
    </row>
    <row r="1134" spans="1:13">
      <c r="A1134" s="11" t="s">
        <v>236</v>
      </c>
      <c r="B1134" s="11"/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</row>
    <row r="1135" spans="1:13">
      <c r="A1135" s="11" t="s">
        <v>237</v>
      </c>
      <c r="B1135" s="11"/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</row>
    <row r="1136" spans="1:13" ht="33">
      <c r="A1136" s="11" t="s">
        <v>238</v>
      </c>
      <c r="B1136" s="11" t="s">
        <v>239</v>
      </c>
      <c r="C1136" s="13">
        <v>145</v>
      </c>
      <c r="D1136" s="15" t="s">
        <v>240</v>
      </c>
      <c r="E1136" s="13">
        <v>0</v>
      </c>
      <c r="F1136" s="13">
        <f>ROUND(E1136*C1136,0)</f>
        <v>0</v>
      </c>
      <c r="G1136" s="13">
        <v>33072</v>
      </c>
      <c r="H1136" s="13">
        <f>ROUND(G1136*C1136,0)</f>
        <v>4795440</v>
      </c>
      <c r="I1136" s="13">
        <v>39917</v>
      </c>
      <c r="J1136" s="13">
        <f>ROUND(I1136*C1136,0)</f>
        <v>5787965</v>
      </c>
      <c r="K1136" s="13">
        <f>E1136+G1136+I1136</f>
        <v>72989</v>
      </c>
      <c r="L1136" s="13">
        <f>F1136+H1136+J1136</f>
        <v>10583405</v>
      </c>
      <c r="M1136" s="11"/>
    </row>
    <row r="1137" spans="1:13" ht="33">
      <c r="A1137" s="11" t="s">
        <v>243</v>
      </c>
      <c r="B1137" s="11" t="s">
        <v>244</v>
      </c>
      <c r="C1137" s="13">
        <v>177</v>
      </c>
      <c r="D1137" s="15" t="s">
        <v>240</v>
      </c>
      <c r="E1137" s="13">
        <v>0</v>
      </c>
      <c r="F1137" s="13">
        <f>ROUND(E1137*C1137,0)</f>
        <v>0</v>
      </c>
      <c r="G1137" s="13">
        <v>39644</v>
      </c>
      <c r="H1137" s="13">
        <f>ROUND(G1137*C1137,0)</f>
        <v>7016988</v>
      </c>
      <c r="I1137" s="13">
        <v>43921</v>
      </c>
      <c r="J1137" s="13">
        <f>ROUND(I1137*C1137,0)</f>
        <v>7774017</v>
      </c>
      <c r="K1137" s="13">
        <f>E1137+G1137+I1137</f>
        <v>83565</v>
      </c>
      <c r="L1137" s="13">
        <f>F1137+H1137+J1137</f>
        <v>14791005</v>
      </c>
      <c r="M1137" s="11"/>
    </row>
    <row r="1138" spans="1:13">
      <c r="A1138" s="11" t="s">
        <v>253</v>
      </c>
      <c r="B1138" s="11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</row>
    <row r="1139" spans="1:13">
      <c r="A1139" s="11" t="s">
        <v>254</v>
      </c>
      <c r="B1139" s="11"/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</row>
    <row r="1140" spans="1:13">
      <c r="A1140" s="11" t="s">
        <v>255</v>
      </c>
      <c r="B1140" s="11" t="s">
        <v>256</v>
      </c>
      <c r="C1140" s="13">
        <v>71</v>
      </c>
      <c r="D1140" s="15" t="s">
        <v>108</v>
      </c>
      <c r="E1140" s="13">
        <v>0</v>
      </c>
      <c r="F1140" s="13">
        <f>ROUND(E1140*C1140,0)</f>
        <v>0</v>
      </c>
      <c r="G1140" s="13">
        <v>11660</v>
      </c>
      <c r="H1140" s="13">
        <f>ROUND(G1140*C1140,0)</f>
        <v>827860</v>
      </c>
      <c r="I1140" s="13">
        <v>20826</v>
      </c>
      <c r="J1140" s="13">
        <f>ROUND(I1140*C1140,0)</f>
        <v>1478646</v>
      </c>
      <c r="K1140" s="13">
        <f>E1140+G1140+I1140</f>
        <v>32486</v>
      </c>
      <c r="L1140" s="13">
        <f>F1140+H1140+J1140</f>
        <v>2306506</v>
      </c>
      <c r="M1140" s="11"/>
    </row>
    <row r="1141" spans="1:13">
      <c r="A1141" s="11" t="s">
        <v>257</v>
      </c>
      <c r="B1141" s="11" t="s">
        <v>258</v>
      </c>
      <c r="C1141" s="13">
        <v>230</v>
      </c>
      <c r="D1141" s="15" t="s">
        <v>102</v>
      </c>
      <c r="E1141" s="13">
        <v>7950</v>
      </c>
      <c r="F1141" s="13">
        <f>ROUND(E1141*C1141,0)</f>
        <v>1828500</v>
      </c>
      <c r="G1141" s="13">
        <v>21200</v>
      </c>
      <c r="H1141" s="13">
        <f>ROUND(G1141*C1141,0)</f>
        <v>4876000</v>
      </c>
      <c r="I1141" s="13">
        <v>4050</v>
      </c>
      <c r="J1141" s="13">
        <f>ROUND(I1141*C1141,0)</f>
        <v>931500</v>
      </c>
      <c r="K1141" s="13">
        <f>E1141+G1141+I1141</f>
        <v>33200</v>
      </c>
      <c r="L1141" s="13">
        <f>F1141+H1141+J1141</f>
        <v>7636000</v>
      </c>
      <c r="M1141" s="11"/>
    </row>
    <row r="1142" spans="1:13">
      <c r="A1142" s="11" t="s">
        <v>259</v>
      </c>
      <c r="B1142" s="11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</row>
    <row r="1143" spans="1:13">
      <c r="A1143" s="11" t="s">
        <v>260</v>
      </c>
      <c r="B1143" s="11" t="s">
        <v>263</v>
      </c>
      <c r="C1143" s="13">
        <v>22</v>
      </c>
      <c r="D1143" s="15" t="s">
        <v>210</v>
      </c>
      <c r="E1143" s="13">
        <v>0</v>
      </c>
      <c r="F1143" s="13">
        <f>ROUND(E1143*C1143,0)</f>
        <v>0</v>
      </c>
      <c r="G1143" s="13">
        <v>63600</v>
      </c>
      <c r="H1143" s="13">
        <f>ROUND(G1143*C1143,0)</f>
        <v>1399200</v>
      </c>
      <c r="I1143" s="13">
        <v>20826</v>
      </c>
      <c r="J1143" s="13">
        <f>ROUND(I1143*C1143,0)</f>
        <v>458172</v>
      </c>
      <c r="K1143" s="13">
        <f>E1143+G1143+I1143</f>
        <v>84426</v>
      </c>
      <c r="L1143" s="13">
        <f>F1143+H1143+J1143</f>
        <v>1857372</v>
      </c>
      <c r="M1143" s="11"/>
    </row>
    <row r="1144" spans="1:13">
      <c r="A1144" s="11" t="s">
        <v>268</v>
      </c>
      <c r="B1144" s="11"/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</row>
    <row r="1145" spans="1:13">
      <c r="A1145" s="11" t="s">
        <v>269</v>
      </c>
      <c r="B1145" s="11" t="s">
        <v>270</v>
      </c>
      <c r="C1145" s="13">
        <v>22</v>
      </c>
      <c r="D1145" s="15" t="s">
        <v>210</v>
      </c>
      <c r="E1145" s="13">
        <v>0</v>
      </c>
      <c r="F1145" s="13">
        <f>ROUND(E1145*C1145,0)</f>
        <v>0</v>
      </c>
      <c r="G1145" s="13">
        <v>67787</v>
      </c>
      <c r="H1145" s="13">
        <f>ROUND(G1145*C1145,0)</f>
        <v>1491314</v>
      </c>
      <c r="I1145" s="13">
        <v>22215</v>
      </c>
      <c r="J1145" s="13">
        <f>ROUND(I1145*C1145,0)</f>
        <v>488730</v>
      </c>
      <c r="K1145" s="13">
        <f>E1145+G1145+I1145</f>
        <v>90002</v>
      </c>
      <c r="L1145" s="13">
        <f>F1145+H1145+J1145</f>
        <v>1980044</v>
      </c>
      <c r="M1145" s="11"/>
    </row>
    <row r="1146" spans="1:13">
      <c r="A1146" s="11" t="s">
        <v>271</v>
      </c>
      <c r="B1146" s="11" t="s">
        <v>274</v>
      </c>
      <c r="C1146" s="13">
        <v>4</v>
      </c>
      <c r="D1146" s="15" t="s">
        <v>210</v>
      </c>
      <c r="E1146" s="13">
        <v>0</v>
      </c>
      <c r="F1146" s="13">
        <f>ROUND(E1146*C1146,0)</f>
        <v>0</v>
      </c>
      <c r="G1146" s="13">
        <v>67787</v>
      </c>
      <c r="H1146" s="13">
        <f>ROUND(G1146*C1146,0)</f>
        <v>271148</v>
      </c>
      <c r="I1146" s="13">
        <v>22215</v>
      </c>
      <c r="J1146" s="13">
        <f>ROUND(I1146*C1146,0)</f>
        <v>88860</v>
      </c>
      <c r="K1146" s="13">
        <f>E1146+G1146+I1146</f>
        <v>90002</v>
      </c>
      <c r="L1146" s="13">
        <f>F1146+H1146+J1146</f>
        <v>360008</v>
      </c>
      <c r="M1146" s="11"/>
    </row>
    <row r="1147" spans="1:13">
      <c r="A1147" s="11" t="s">
        <v>283</v>
      </c>
      <c r="B1147" s="11"/>
      <c r="C1147" s="23"/>
      <c r="D1147" s="23"/>
      <c r="E1147" s="23"/>
      <c r="F1147" s="23"/>
      <c r="G1147" s="23"/>
      <c r="H1147" s="23"/>
      <c r="I1147" s="23"/>
      <c r="J1147" s="23"/>
      <c r="K1147" s="23"/>
      <c r="L1147" s="23"/>
      <c r="M1147" s="23"/>
    </row>
    <row r="1148" spans="1:13">
      <c r="A1148" s="11" t="s">
        <v>1182</v>
      </c>
      <c r="B1148" s="11" t="s">
        <v>287</v>
      </c>
      <c r="C1148" s="13">
        <v>177</v>
      </c>
      <c r="D1148" s="15" t="s">
        <v>240</v>
      </c>
      <c r="E1148" s="13">
        <v>530</v>
      </c>
      <c r="F1148" s="13">
        <f>ROUND(E1148*C1148,0)</f>
        <v>93810</v>
      </c>
      <c r="G1148" s="13">
        <v>530</v>
      </c>
      <c r="H1148" s="13">
        <f>ROUND(G1148*C1148,0)</f>
        <v>93810</v>
      </c>
      <c r="I1148" s="13">
        <v>0</v>
      </c>
      <c r="J1148" s="13">
        <f>ROUND(I1148*C1148,0)</f>
        <v>0</v>
      </c>
      <c r="K1148" s="13">
        <f>E1148+G1148+I1148</f>
        <v>1060</v>
      </c>
      <c r="L1148" s="13">
        <f>F1148+H1148+J1148</f>
        <v>187620</v>
      </c>
      <c r="M1148" s="11"/>
    </row>
    <row r="1149" spans="1:13">
      <c r="A1149" s="11" t="s">
        <v>290</v>
      </c>
      <c r="B1149" s="11"/>
      <c r="C1149" s="23"/>
      <c r="D1149" s="23"/>
      <c r="E1149" s="23"/>
      <c r="F1149" s="23"/>
      <c r="G1149" s="23"/>
      <c r="H1149" s="23"/>
      <c r="I1149" s="23"/>
      <c r="J1149" s="23"/>
      <c r="K1149" s="23"/>
      <c r="L1149" s="23"/>
      <c r="M1149" s="23"/>
    </row>
    <row r="1150" spans="1:13">
      <c r="A1150" s="11" t="s">
        <v>291</v>
      </c>
      <c r="B1150" s="11"/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</row>
    <row r="1151" spans="1:13">
      <c r="A1151" s="11" t="s">
        <v>1183</v>
      </c>
      <c r="B1151" s="11" t="s">
        <v>1184</v>
      </c>
      <c r="C1151" s="13">
        <v>4</v>
      </c>
      <c r="D1151" s="15" t="s">
        <v>210</v>
      </c>
      <c r="E1151" s="13">
        <v>901000</v>
      </c>
      <c r="F1151" s="13">
        <f>ROUND(E1151*C1151,0)</f>
        <v>3604000</v>
      </c>
      <c r="G1151" s="13">
        <v>219950</v>
      </c>
      <c r="H1151" s="13">
        <f>ROUND(G1151*C1151,0)</f>
        <v>879800</v>
      </c>
      <c r="I1151" s="13">
        <v>274792</v>
      </c>
      <c r="J1151" s="13">
        <f>ROUND(I1151*C1151,0)</f>
        <v>1099168</v>
      </c>
      <c r="K1151" s="13">
        <f>E1151+G1151+I1151</f>
        <v>1395742</v>
      </c>
      <c r="L1151" s="13">
        <f>F1151+H1151+J1151</f>
        <v>5582968</v>
      </c>
      <c r="M1151" s="11"/>
    </row>
    <row r="1152" spans="1:13">
      <c r="A1152" s="11" t="s">
        <v>1185</v>
      </c>
      <c r="B1152" s="11"/>
      <c r="C1152" s="23"/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</row>
    <row r="1153" spans="1:13">
      <c r="A1153" s="11" t="s">
        <v>312</v>
      </c>
      <c r="B1153" s="11" t="s">
        <v>313</v>
      </c>
      <c r="C1153" s="24">
        <v>0.92600000000000005</v>
      </c>
      <c r="D1153" s="15" t="s">
        <v>108</v>
      </c>
      <c r="E1153" s="13">
        <v>0</v>
      </c>
      <c r="F1153" s="13">
        <f>ROUND(E1153*C1153,0)</f>
        <v>0</v>
      </c>
      <c r="G1153" s="13">
        <v>196312</v>
      </c>
      <c r="H1153" s="13">
        <f>ROUND(G1153*C1153,0)</f>
        <v>181785</v>
      </c>
      <c r="I1153" s="13">
        <v>0</v>
      </c>
      <c r="J1153" s="13">
        <f>ROUND(I1153*C1153,0)</f>
        <v>0</v>
      </c>
      <c r="K1153" s="13">
        <f>E1153+G1153+I1153</f>
        <v>196312</v>
      </c>
      <c r="L1153" s="13">
        <f>F1153+H1153+J1153</f>
        <v>181785</v>
      </c>
      <c r="M1153" s="11"/>
    </row>
    <row r="1154" spans="1:13">
      <c r="A1154" s="11" t="s">
        <v>316</v>
      </c>
      <c r="B1154" s="11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</row>
    <row r="1155" spans="1:13">
      <c r="A1155" s="11" t="s">
        <v>317</v>
      </c>
      <c r="B1155" s="11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</row>
    <row r="1156" spans="1:13" ht="33">
      <c r="A1156" s="11" t="s">
        <v>318</v>
      </c>
      <c r="B1156" s="11" t="s">
        <v>319</v>
      </c>
      <c r="C1156" s="13">
        <v>22</v>
      </c>
      <c r="D1156" s="15" t="s">
        <v>210</v>
      </c>
      <c r="E1156" s="13">
        <v>77380</v>
      </c>
      <c r="F1156" s="13">
        <f>ROUND(E1156*C1156,0)</f>
        <v>1702360</v>
      </c>
      <c r="G1156" s="13">
        <v>57240</v>
      </c>
      <c r="H1156" s="13">
        <f>ROUND(G1156*C1156,0)</f>
        <v>1259280</v>
      </c>
      <c r="I1156" s="13">
        <v>77474</v>
      </c>
      <c r="J1156" s="13">
        <f>ROUND(I1156*C1156,0)</f>
        <v>1704428</v>
      </c>
      <c r="K1156" s="13">
        <f>E1156+G1156+I1156</f>
        <v>212094</v>
      </c>
      <c r="L1156" s="13">
        <f>F1156+H1156+J1156</f>
        <v>4666068</v>
      </c>
      <c r="M1156" s="11"/>
    </row>
    <row r="1157" spans="1:13">
      <c r="A1157" s="11" t="s">
        <v>1239</v>
      </c>
      <c r="B1157" s="11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</row>
    <row r="1158" spans="1:13">
      <c r="A1158" s="11" t="s">
        <v>1240</v>
      </c>
      <c r="B1158" s="11" t="s">
        <v>1241</v>
      </c>
      <c r="C1158" s="13">
        <v>54</v>
      </c>
      <c r="D1158" s="15" t="s">
        <v>240</v>
      </c>
      <c r="E1158" s="13">
        <v>100700</v>
      </c>
      <c r="F1158" s="13">
        <f>ROUND(E1158*C1158,0)</f>
        <v>5437800</v>
      </c>
      <c r="G1158" s="13">
        <v>24486</v>
      </c>
      <c r="H1158" s="13">
        <f>ROUND(G1158*C1158,0)</f>
        <v>1322244</v>
      </c>
      <c r="I1158" s="13">
        <v>40194</v>
      </c>
      <c r="J1158" s="13">
        <f>ROUND(I1158*C1158,0)</f>
        <v>2170476</v>
      </c>
      <c r="K1158" s="13">
        <f>E1158+G1158+I1158</f>
        <v>165380</v>
      </c>
      <c r="L1158" s="13">
        <f>F1158+H1158+J1158</f>
        <v>8930520</v>
      </c>
      <c r="M1158" s="11"/>
    </row>
    <row r="1159" spans="1:13">
      <c r="A1159" s="11" t="s">
        <v>1242</v>
      </c>
      <c r="B1159" s="11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</row>
    <row r="1160" spans="1:13">
      <c r="A1160" s="11" t="s">
        <v>800</v>
      </c>
      <c r="B1160" s="11" t="s">
        <v>353</v>
      </c>
      <c r="C1160" s="13">
        <v>10</v>
      </c>
      <c r="D1160" s="15" t="s">
        <v>108</v>
      </c>
      <c r="E1160" s="13">
        <v>0</v>
      </c>
      <c r="F1160" s="13">
        <f t="shared" ref="F1160:F1170" si="203">ROUND(E1160*C1160,0)</f>
        <v>0</v>
      </c>
      <c r="G1160" s="13">
        <v>14840</v>
      </c>
      <c r="H1160" s="13">
        <f t="shared" ref="H1160:H1170" si="204">ROUND(G1160*C1160,0)</f>
        <v>148400</v>
      </c>
      <c r="I1160" s="13">
        <v>14231</v>
      </c>
      <c r="J1160" s="13">
        <f t="shared" ref="J1160:J1170" si="205">ROUND(I1160*C1160,0)</f>
        <v>142310</v>
      </c>
      <c r="K1160" s="13">
        <f t="shared" ref="K1160:K1170" si="206">E1160+G1160+I1160</f>
        <v>29071</v>
      </c>
      <c r="L1160" s="13">
        <f t="shared" ref="L1160:L1170" si="207">F1160+H1160+J1160</f>
        <v>290710</v>
      </c>
      <c r="M1160" s="11"/>
    </row>
    <row r="1161" spans="1:13">
      <c r="A1161" s="11" t="s">
        <v>801</v>
      </c>
      <c r="B1161" s="11" t="s">
        <v>256</v>
      </c>
      <c r="C1161" s="13">
        <v>1</v>
      </c>
      <c r="D1161" s="15" t="s">
        <v>108</v>
      </c>
      <c r="E1161" s="13">
        <v>0</v>
      </c>
      <c r="F1161" s="13">
        <f t="shared" si="203"/>
        <v>0</v>
      </c>
      <c r="G1161" s="13">
        <v>13780</v>
      </c>
      <c r="H1161" s="13">
        <f t="shared" si="204"/>
        <v>13780</v>
      </c>
      <c r="I1161" s="13">
        <v>12727</v>
      </c>
      <c r="J1161" s="13">
        <f t="shared" si="205"/>
        <v>12727</v>
      </c>
      <c r="K1161" s="13">
        <f t="shared" si="206"/>
        <v>26507</v>
      </c>
      <c r="L1161" s="13">
        <f t="shared" si="207"/>
        <v>26507</v>
      </c>
      <c r="M1161" s="11"/>
    </row>
    <row r="1162" spans="1:13">
      <c r="A1162" s="11" t="s">
        <v>802</v>
      </c>
      <c r="B1162" s="11" t="s">
        <v>803</v>
      </c>
      <c r="C1162" s="24">
        <v>1.167</v>
      </c>
      <c r="D1162" s="15" t="s">
        <v>638</v>
      </c>
      <c r="E1162" s="13">
        <v>79500</v>
      </c>
      <c r="F1162" s="13">
        <f t="shared" si="203"/>
        <v>92777</v>
      </c>
      <c r="G1162" s="13">
        <v>583000</v>
      </c>
      <c r="H1162" s="13">
        <f t="shared" si="204"/>
        <v>680361</v>
      </c>
      <c r="I1162" s="13">
        <v>98346</v>
      </c>
      <c r="J1162" s="13">
        <f t="shared" si="205"/>
        <v>114770</v>
      </c>
      <c r="K1162" s="13">
        <f t="shared" si="206"/>
        <v>760846</v>
      </c>
      <c r="L1162" s="13">
        <f t="shared" si="207"/>
        <v>887908</v>
      </c>
      <c r="M1162" s="11"/>
    </row>
    <row r="1163" spans="1:13">
      <c r="A1163" s="11" t="s">
        <v>1243</v>
      </c>
      <c r="B1163" s="11" t="s">
        <v>481</v>
      </c>
      <c r="C1163" s="13">
        <v>97</v>
      </c>
      <c r="D1163" s="15" t="s">
        <v>102</v>
      </c>
      <c r="E1163" s="13">
        <v>10070</v>
      </c>
      <c r="F1163" s="13">
        <f t="shared" si="203"/>
        <v>976790</v>
      </c>
      <c r="G1163" s="13">
        <v>33920</v>
      </c>
      <c r="H1163" s="13">
        <f t="shared" si="204"/>
        <v>3290240</v>
      </c>
      <c r="I1163" s="13">
        <v>2314</v>
      </c>
      <c r="J1163" s="13">
        <f t="shared" si="205"/>
        <v>224458</v>
      </c>
      <c r="K1163" s="13">
        <f t="shared" si="206"/>
        <v>46304</v>
      </c>
      <c r="L1163" s="13">
        <f t="shared" si="207"/>
        <v>4491488</v>
      </c>
      <c r="M1163" s="11"/>
    </row>
    <row r="1164" spans="1:13">
      <c r="A1164" s="11" t="s">
        <v>806</v>
      </c>
      <c r="B1164" s="11" t="s">
        <v>258</v>
      </c>
      <c r="C1164" s="13">
        <v>1</v>
      </c>
      <c r="D1164" s="15" t="s">
        <v>102</v>
      </c>
      <c r="E1164" s="13">
        <v>7950</v>
      </c>
      <c r="F1164" s="13">
        <f t="shared" si="203"/>
        <v>7950</v>
      </c>
      <c r="G1164" s="13">
        <v>21200</v>
      </c>
      <c r="H1164" s="13">
        <f t="shared" si="204"/>
        <v>21200</v>
      </c>
      <c r="I1164" s="13">
        <v>4050</v>
      </c>
      <c r="J1164" s="13">
        <f t="shared" si="205"/>
        <v>4050</v>
      </c>
      <c r="K1164" s="13">
        <f t="shared" si="206"/>
        <v>33200</v>
      </c>
      <c r="L1164" s="13">
        <f t="shared" si="207"/>
        <v>33200</v>
      </c>
      <c r="M1164" s="11"/>
    </row>
    <row r="1165" spans="1:13">
      <c r="A1165" s="11" t="s">
        <v>1244</v>
      </c>
      <c r="B1165" s="11" t="s">
        <v>811</v>
      </c>
      <c r="C1165" s="13">
        <v>88</v>
      </c>
      <c r="D1165" s="15" t="s">
        <v>102</v>
      </c>
      <c r="E1165" s="13">
        <v>530</v>
      </c>
      <c r="F1165" s="13">
        <f t="shared" si="203"/>
        <v>46640</v>
      </c>
      <c r="G1165" s="13">
        <v>1060</v>
      </c>
      <c r="H1165" s="13">
        <f t="shared" si="204"/>
        <v>93280</v>
      </c>
      <c r="I1165" s="13">
        <v>0</v>
      </c>
      <c r="J1165" s="13">
        <f t="shared" si="205"/>
        <v>0</v>
      </c>
      <c r="K1165" s="13">
        <f t="shared" si="206"/>
        <v>1590</v>
      </c>
      <c r="L1165" s="13">
        <f t="shared" si="207"/>
        <v>139920</v>
      </c>
      <c r="M1165" s="11"/>
    </row>
    <row r="1166" spans="1:13">
      <c r="A1166" s="11" t="s">
        <v>1245</v>
      </c>
      <c r="B1166" s="11" t="s">
        <v>813</v>
      </c>
      <c r="C1166" s="13">
        <v>15</v>
      </c>
      <c r="D1166" s="15" t="s">
        <v>102</v>
      </c>
      <c r="E1166" s="13">
        <v>530</v>
      </c>
      <c r="F1166" s="13">
        <f t="shared" si="203"/>
        <v>7950</v>
      </c>
      <c r="G1166" s="13">
        <v>1060</v>
      </c>
      <c r="H1166" s="13">
        <f t="shared" si="204"/>
        <v>15900</v>
      </c>
      <c r="I1166" s="13">
        <v>0</v>
      </c>
      <c r="J1166" s="13">
        <f t="shared" si="205"/>
        <v>0</v>
      </c>
      <c r="K1166" s="13">
        <f t="shared" si="206"/>
        <v>1590</v>
      </c>
      <c r="L1166" s="13">
        <f t="shared" si="207"/>
        <v>23850</v>
      </c>
      <c r="M1166" s="11"/>
    </row>
    <row r="1167" spans="1:13">
      <c r="A1167" s="11" t="s">
        <v>1246</v>
      </c>
      <c r="B1167" s="11" t="s">
        <v>820</v>
      </c>
      <c r="C1167" s="13">
        <v>5</v>
      </c>
      <c r="D1167" s="15" t="s">
        <v>102</v>
      </c>
      <c r="E1167" s="13">
        <v>13250</v>
      </c>
      <c r="F1167" s="13">
        <f t="shared" si="203"/>
        <v>66250</v>
      </c>
      <c r="G1167" s="13">
        <v>10600</v>
      </c>
      <c r="H1167" s="13">
        <f t="shared" si="204"/>
        <v>53000</v>
      </c>
      <c r="I1167" s="13">
        <v>0</v>
      </c>
      <c r="J1167" s="13">
        <f t="shared" si="205"/>
        <v>0</v>
      </c>
      <c r="K1167" s="13">
        <f t="shared" si="206"/>
        <v>23850</v>
      </c>
      <c r="L1167" s="13">
        <f t="shared" si="207"/>
        <v>119250</v>
      </c>
      <c r="M1167" s="11"/>
    </row>
    <row r="1168" spans="1:13">
      <c r="A1168" s="11" t="s">
        <v>1247</v>
      </c>
      <c r="B1168" s="11" t="s">
        <v>822</v>
      </c>
      <c r="C1168" s="13">
        <v>72</v>
      </c>
      <c r="D1168" s="15" t="s">
        <v>374</v>
      </c>
      <c r="E1168" s="13">
        <v>13568</v>
      </c>
      <c r="F1168" s="13">
        <f t="shared" si="203"/>
        <v>976896</v>
      </c>
      <c r="G1168" s="13">
        <v>2650</v>
      </c>
      <c r="H1168" s="13">
        <f t="shared" si="204"/>
        <v>190800</v>
      </c>
      <c r="I1168" s="13">
        <v>0</v>
      </c>
      <c r="J1168" s="13">
        <f t="shared" si="205"/>
        <v>0</v>
      </c>
      <c r="K1168" s="13">
        <f t="shared" si="206"/>
        <v>16218</v>
      </c>
      <c r="L1168" s="13">
        <f t="shared" si="207"/>
        <v>1167696</v>
      </c>
      <c r="M1168" s="11"/>
    </row>
    <row r="1169" spans="1:13">
      <c r="A1169" s="11" t="s">
        <v>823</v>
      </c>
      <c r="B1169" s="11" t="s">
        <v>824</v>
      </c>
      <c r="C1169" s="13">
        <v>22</v>
      </c>
      <c r="D1169" s="15" t="s">
        <v>240</v>
      </c>
      <c r="E1169" s="13">
        <v>3392</v>
      </c>
      <c r="F1169" s="13">
        <f t="shared" si="203"/>
        <v>74624</v>
      </c>
      <c r="G1169" s="13">
        <v>6890</v>
      </c>
      <c r="H1169" s="13">
        <f t="shared" si="204"/>
        <v>151580</v>
      </c>
      <c r="I1169" s="13">
        <v>0</v>
      </c>
      <c r="J1169" s="13">
        <f t="shared" si="205"/>
        <v>0</v>
      </c>
      <c r="K1169" s="13">
        <f t="shared" si="206"/>
        <v>10282</v>
      </c>
      <c r="L1169" s="13">
        <f t="shared" si="207"/>
        <v>226204</v>
      </c>
      <c r="M1169" s="11"/>
    </row>
    <row r="1170" spans="1:13">
      <c r="A1170" s="11" t="s">
        <v>825</v>
      </c>
      <c r="B1170" s="11" t="s">
        <v>826</v>
      </c>
      <c r="C1170" s="13">
        <v>11</v>
      </c>
      <c r="D1170" s="15" t="s">
        <v>108</v>
      </c>
      <c r="E1170" s="13">
        <v>0</v>
      </c>
      <c r="F1170" s="13">
        <f t="shared" si="203"/>
        <v>0</v>
      </c>
      <c r="G1170" s="13">
        <v>2650</v>
      </c>
      <c r="H1170" s="13">
        <f t="shared" si="204"/>
        <v>29150</v>
      </c>
      <c r="I1170" s="13">
        <v>3610</v>
      </c>
      <c r="J1170" s="13">
        <f t="shared" si="205"/>
        <v>39710</v>
      </c>
      <c r="K1170" s="13">
        <f t="shared" si="206"/>
        <v>6260</v>
      </c>
      <c r="L1170" s="13">
        <f t="shared" si="207"/>
        <v>68860</v>
      </c>
      <c r="M1170" s="11"/>
    </row>
    <row r="1171" spans="1:13">
      <c r="A1171" s="11" t="s">
        <v>827</v>
      </c>
      <c r="B1171" s="11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</row>
    <row r="1172" spans="1:13">
      <c r="A1172" s="11" t="s">
        <v>828</v>
      </c>
      <c r="B1172" s="11" t="s">
        <v>408</v>
      </c>
      <c r="C1172" s="24">
        <v>1.2070000000000001</v>
      </c>
      <c r="D1172" s="15" t="s">
        <v>400</v>
      </c>
      <c r="E1172" s="13">
        <v>0</v>
      </c>
      <c r="F1172" s="13">
        <f>ROUND(E1172*C1172,0)</f>
        <v>0</v>
      </c>
      <c r="G1172" s="13">
        <v>0</v>
      </c>
      <c r="H1172" s="13">
        <f>ROUND(G1172*C1172,0)</f>
        <v>0</v>
      </c>
      <c r="I1172" s="13">
        <v>23140</v>
      </c>
      <c r="J1172" s="13">
        <f>ROUND(I1172*C1172,0)</f>
        <v>27930</v>
      </c>
      <c r="K1172" s="13">
        <f>E1172+G1172+I1172</f>
        <v>23140</v>
      </c>
      <c r="L1172" s="13">
        <f>F1172+H1172+J1172</f>
        <v>27930</v>
      </c>
      <c r="M1172" s="11"/>
    </row>
    <row r="1173" spans="1:13">
      <c r="A1173" s="11" t="s">
        <v>829</v>
      </c>
      <c r="B1173" s="11" t="s">
        <v>410</v>
      </c>
      <c r="C1173" s="24">
        <v>2.8000000000000001E-2</v>
      </c>
      <c r="D1173" s="15" t="s">
        <v>400</v>
      </c>
      <c r="E1173" s="13">
        <v>-400000</v>
      </c>
      <c r="F1173" s="13">
        <f>ROUND(E1173*C1173,0)</f>
        <v>-11200</v>
      </c>
      <c r="G1173" s="13">
        <v>0</v>
      </c>
      <c r="H1173" s="13">
        <f>ROUND(G1173*C1173,0)</f>
        <v>0</v>
      </c>
      <c r="I1173" s="13">
        <v>0</v>
      </c>
      <c r="J1173" s="13">
        <f>ROUND(I1173*C1173,0)</f>
        <v>0</v>
      </c>
      <c r="K1173" s="13">
        <f>E1173+G1173+I1173</f>
        <v>-400000</v>
      </c>
      <c r="L1173" s="13">
        <f>F1173+H1173+J1173</f>
        <v>-11200</v>
      </c>
      <c r="M1173" s="11"/>
    </row>
    <row r="1174" spans="1:13">
      <c r="A1174" s="11" t="s">
        <v>505</v>
      </c>
      <c r="B1174" s="11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</row>
    <row r="1175" spans="1:13">
      <c r="A1175" s="11" t="s">
        <v>382</v>
      </c>
      <c r="B1175" s="11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</row>
    <row r="1176" spans="1:13">
      <c r="A1176" s="11" t="s">
        <v>383</v>
      </c>
      <c r="B1176" s="11" t="s">
        <v>384</v>
      </c>
      <c r="C1176" s="13">
        <v>17</v>
      </c>
      <c r="D1176" s="15" t="s">
        <v>385</v>
      </c>
      <c r="E1176" s="13">
        <v>6490</v>
      </c>
      <c r="F1176" s="13">
        <f>ROUND(E1176*C1176,0)</f>
        <v>110330</v>
      </c>
      <c r="G1176" s="13">
        <v>0</v>
      </c>
      <c r="H1176" s="13">
        <f>ROUND(G1176*C1176,0)</f>
        <v>0</v>
      </c>
      <c r="I1176" s="13">
        <v>0</v>
      </c>
      <c r="J1176" s="13">
        <f>ROUND(I1176*C1176,0)</f>
        <v>0</v>
      </c>
      <c r="K1176" s="13">
        <f>E1176+G1176+I1176</f>
        <v>6490</v>
      </c>
      <c r="L1176" s="13">
        <f>F1176+H1176+J1176</f>
        <v>110330</v>
      </c>
      <c r="M1176" s="11"/>
    </row>
    <row r="1177" spans="1:13">
      <c r="A1177" s="11" t="s">
        <v>506</v>
      </c>
      <c r="B1177" s="11" t="s">
        <v>389</v>
      </c>
      <c r="C1177" s="13">
        <v>17</v>
      </c>
      <c r="D1177" s="15" t="s">
        <v>385</v>
      </c>
      <c r="E1177" s="13">
        <v>0</v>
      </c>
      <c r="F1177" s="13">
        <f>ROUND(E1177*C1177,0)</f>
        <v>0</v>
      </c>
      <c r="G1177" s="13">
        <v>0</v>
      </c>
      <c r="H1177" s="13">
        <f>ROUND(G1177*C1177,0)</f>
        <v>0</v>
      </c>
      <c r="I1177" s="13">
        <v>1201</v>
      </c>
      <c r="J1177" s="13">
        <f>ROUND(I1177*C1177,0)</f>
        <v>20417</v>
      </c>
      <c r="K1177" s="13">
        <f>E1177+G1177+I1177</f>
        <v>1201</v>
      </c>
      <c r="L1177" s="13">
        <f>F1177+H1177+J1177</f>
        <v>20417</v>
      </c>
      <c r="M1177" s="11"/>
    </row>
    <row r="1178" spans="1:13">
      <c r="A1178" s="11" t="s">
        <v>390</v>
      </c>
      <c r="B1178" s="11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</row>
    <row r="1179" spans="1:13">
      <c r="A1179" s="11" t="s">
        <v>391</v>
      </c>
      <c r="B1179" s="11" t="s">
        <v>392</v>
      </c>
      <c r="C1179" s="13">
        <v>22</v>
      </c>
      <c r="D1179" s="15" t="s">
        <v>108</v>
      </c>
      <c r="E1179" s="13">
        <v>27560</v>
      </c>
      <c r="F1179" s="13">
        <f>ROUND(E1179*C1179,0)</f>
        <v>606320</v>
      </c>
      <c r="G1179" s="13">
        <v>0</v>
      </c>
      <c r="H1179" s="13">
        <f>ROUND(G1179*C1179,0)</f>
        <v>0</v>
      </c>
      <c r="I1179" s="13">
        <v>0</v>
      </c>
      <c r="J1179" s="13">
        <f>ROUND(I1179*C1179,0)</f>
        <v>0</v>
      </c>
      <c r="K1179" s="13">
        <f>E1179+G1179+I1179</f>
        <v>27560</v>
      </c>
      <c r="L1179" s="13">
        <f>F1179+H1179+J1179</f>
        <v>606320</v>
      </c>
      <c r="M1179" s="11"/>
    </row>
    <row r="1180" spans="1:13">
      <c r="A1180" s="11" t="s">
        <v>1187</v>
      </c>
      <c r="B1180" s="11" t="s">
        <v>396</v>
      </c>
      <c r="C1180" s="13">
        <v>2</v>
      </c>
      <c r="D1180" s="15" t="s">
        <v>108</v>
      </c>
      <c r="E1180" s="13">
        <v>19080</v>
      </c>
      <c r="F1180" s="13">
        <f>ROUND(E1180*C1180,0)</f>
        <v>38160</v>
      </c>
      <c r="G1180" s="13">
        <v>0</v>
      </c>
      <c r="H1180" s="13">
        <f>ROUND(G1180*C1180,0)</f>
        <v>0</v>
      </c>
      <c r="I1180" s="13">
        <v>0</v>
      </c>
      <c r="J1180" s="13">
        <f>ROUND(I1180*C1180,0)</f>
        <v>0</v>
      </c>
      <c r="K1180" s="13">
        <f>E1180+G1180+I1180</f>
        <v>19080</v>
      </c>
      <c r="L1180" s="13">
        <f>F1180+H1180+J1180</f>
        <v>38160</v>
      </c>
      <c r="M1180" s="11"/>
    </row>
    <row r="1181" spans="1:13">
      <c r="A1181" s="11" t="s">
        <v>927</v>
      </c>
      <c r="B1181" s="11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</row>
    <row r="1182" spans="1:13">
      <c r="A1182" s="11" t="s">
        <v>412</v>
      </c>
      <c r="B1182" s="11" t="s">
        <v>413</v>
      </c>
      <c r="C1182" s="13">
        <v>71</v>
      </c>
      <c r="D1182" s="15" t="s">
        <v>108</v>
      </c>
      <c r="E1182" s="13">
        <v>96800</v>
      </c>
      <c r="F1182" s="13">
        <f>ROUND(E1182*C1182,0)</f>
        <v>6872800</v>
      </c>
      <c r="G1182" s="13">
        <v>0</v>
      </c>
      <c r="H1182" s="13">
        <f>ROUND(G1182*C1182,0)</f>
        <v>0</v>
      </c>
      <c r="I1182" s="13">
        <v>0</v>
      </c>
      <c r="J1182" s="13">
        <f>ROUND(I1182*C1182,0)</f>
        <v>0</v>
      </c>
      <c r="K1182" s="13">
        <f t="shared" ref="K1182:L1184" si="208">E1182+G1182+I1182</f>
        <v>96800</v>
      </c>
      <c r="L1182" s="13">
        <f t="shared" si="208"/>
        <v>6872800</v>
      </c>
      <c r="M1182" s="11"/>
    </row>
    <row r="1183" spans="1:13">
      <c r="A1183" s="11" t="s">
        <v>414</v>
      </c>
      <c r="B1183" s="11" t="s">
        <v>415</v>
      </c>
      <c r="C1183" s="13">
        <v>1</v>
      </c>
      <c r="D1183" s="15" t="s">
        <v>108</v>
      </c>
      <c r="E1183" s="13">
        <v>94820</v>
      </c>
      <c r="F1183" s="13">
        <f>ROUND(E1183*C1183,0)</f>
        <v>94820</v>
      </c>
      <c r="G1183" s="13">
        <v>0</v>
      </c>
      <c r="H1183" s="13">
        <f>ROUND(G1183*C1183,0)</f>
        <v>0</v>
      </c>
      <c r="I1183" s="13">
        <v>0</v>
      </c>
      <c r="J1183" s="13">
        <f>ROUND(I1183*C1183,0)</f>
        <v>0</v>
      </c>
      <c r="K1183" s="13">
        <f t="shared" si="208"/>
        <v>94820</v>
      </c>
      <c r="L1183" s="13">
        <f t="shared" si="208"/>
        <v>94820</v>
      </c>
      <c r="M1183" s="11"/>
    </row>
    <row r="1184" spans="1:13">
      <c r="A1184" s="11" t="s">
        <v>619</v>
      </c>
      <c r="B1184" s="11" t="s">
        <v>831</v>
      </c>
      <c r="C1184" s="13">
        <v>10</v>
      </c>
      <c r="D1184" s="15" t="s">
        <v>108</v>
      </c>
      <c r="E1184" s="13">
        <v>103950</v>
      </c>
      <c r="F1184" s="13">
        <f>ROUND(E1184*C1184,0)</f>
        <v>1039500</v>
      </c>
      <c r="G1184" s="13">
        <v>0</v>
      </c>
      <c r="H1184" s="13">
        <f>ROUND(G1184*C1184,0)</f>
        <v>0</v>
      </c>
      <c r="I1184" s="13">
        <v>0</v>
      </c>
      <c r="J1184" s="13">
        <f>ROUND(I1184*C1184,0)</f>
        <v>0</v>
      </c>
      <c r="K1184" s="13">
        <f t="shared" si="208"/>
        <v>103950</v>
      </c>
      <c r="L1184" s="13">
        <f t="shared" si="208"/>
        <v>1039500</v>
      </c>
      <c r="M1184" s="11"/>
    </row>
    <row r="1185" spans="1:13">
      <c r="A1185" s="11" t="s">
        <v>1188</v>
      </c>
      <c r="B1185" s="11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</row>
    <row r="1186" spans="1:13">
      <c r="A1186" s="11" t="s">
        <v>417</v>
      </c>
      <c r="B1186" s="11" t="s">
        <v>418</v>
      </c>
      <c r="C1186" s="13">
        <v>145</v>
      </c>
      <c r="D1186" s="15" t="s">
        <v>419</v>
      </c>
      <c r="E1186" s="13">
        <v>19656</v>
      </c>
      <c r="F1186" s="13">
        <f>ROUND(E1186*C1186,0)</f>
        <v>2850120</v>
      </c>
      <c r="G1186" s="13">
        <v>0</v>
      </c>
      <c r="H1186" s="13">
        <f>ROUND(G1186*C1186,0)</f>
        <v>0</v>
      </c>
      <c r="I1186" s="13">
        <v>0</v>
      </c>
      <c r="J1186" s="13">
        <f>ROUND(I1186*C1186,0)</f>
        <v>0</v>
      </c>
      <c r="K1186" s="13">
        <f t="shared" ref="K1186:L1189" si="209">E1186+G1186+I1186</f>
        <v>19656</v>
      </c>
      <c r="L1186" s="13">
        <f t="shared" si="209"/>
        <v>2850120</v>
      </c>
      <c r="M1186" s="11"/>
    </row>
    <row r="1187" spans="1:13">
      <c r="A1187" s="11" t="s">
        <v>420</v>
      </c>
      <c r="B1187" s="11" t="s">
        <v>423</v>
      </c>
      <c r="C1187" s="13">
        <v>177</v>
      </c>
      <c r="D1187" s="15" t="s">
        <v>419</v>
      </c>
      <c r="E1187" s="13">
        <v>50138</v>
      </c>
      <c r="F1187" s="13">
        <f>ROUND(E1187*C1187,0)</f>
        <v>8874426</v>
      </c>
      <c r="G1187" s="13">
        <v>0</v>
      </c>
      <c r="H1187" s="13">
        <f>ROUND(G1187*C1187,0)</f>
        <v>0</v>
      </c>
      <c r="I1187" s="13">
        <v>0</v>
      </c>
      <c r="J1187" s="13">
        <f>ROUND(I1187*C1187,0)</f>
        <v>0</v>
      </c>
      <c r="K1187" s="13">
        <f t="shared" si="209"/>
        <v>50138</v>
      </c>
      <c r="L1187" s="13">
        <f t="shared" si="209"/>
        <v>8874426</v>
      </c>
      <c r="M1187" s="11"/>
    </row>
    <row r="1188" spans="1:13">
      <c r="A1188" s="11" t="s">
        <v>1189</v>
      </c>
      <c r="B1188" s="11" t="s">
        <v>433</v>
      </c>
      <c r="C1188" s="13">
        <v>58</v>
      </c>
      <c r="D1188" s="15" t="s">
        <v>377</v>
      </c>
      <c r="E1188" s="13">
        <v>0</v>
      </c>
      <c r="F1188" s="13">
        <f>ROUND(E1188*C1188,0)</f>
        <v>0</v>
      </c>
      <c r="G1188" s="13">
        <v>0</v>
      </c>
      <c r="H1188" s="13">
        <f>ROUND(G1188*C1188,0)</f>
        <v>0</v>
      </c>
      <c r="I1188" s="13">
        <v>2395</v>
      </c>
      <c r="J1188" s="13">
        <f>ROUND(I1188*C1188,0)</f>
        <v>138910</v>
      </c>
      <c r="K1188" s="13">
        <f t="shared" si="209"/>
        <v>2395</v>
      </c>
      <c r="L1188" s="13">
        <f t="shared" si="209"/>
        <v>138910</v>
      </c>
      <c r="M1188" s="11"/>
    </row>
    <row r="1189" spans="1:13">
      <c r="A1189" s="11" t="s">
        <v>1190</v>
      </c>
      <c r="B1189" s="11" t="s">
        <v>437</v>
      </c>
      <c r="C1189" s="13">
        <v>71</v>
      </c>
      <c r="D1189" s="15" t="s">
        <v>377</v>
      </c>
      <c r="E1189" s="13">
        <v>0</v>
      </c>
      <c r="F1189" s="13">
        <f>ROUND(E1189*C1189,0)</f>
        <v>0</v>
      </c>
      <c r="G1189" s="13">
        <v>0</v>
      </c>
      <c r="H1189" s="13">
        <f>ROUND(G1189*C1189,0)</f>
        <v>0</v>
      </c>
      <c r="I1189" s="13">
        <v>2395</v>
      </c>
      <c r="J1189" s="13">
        <f>ROUND(I1189*C1189,0)</f>
        <v>170045</v>
      </c>
      <c r="K1189" s="13">
        <f t="shared" si="209"/>
        <v>2395</v>
      </c>
      <c r="L1189" s="13">
        <f t="shared" si="209"/>
        <v>170045</v>
      </c>
      <c r="M1189" s="11"/>
    </row>
    <row r="1190" spans="1:13">
      <c r="A1190" s="11" t="s">
        <v>1191</v>
      </c>
      <c r="B1190" s="11"/>
      <c r="C1190" s="23"/>
      <c r="D1190" s="23"/>
      <c r="E1190" s="23"/>
      <c r="F1190" s="23"/>
      <c r="G1190" s="23"/>
      <c r="H1190" s="23"/>
      <c r="I1190" s="23"/>
      <c r="J1190" s="23"/>
      <c r="K1190" s="23"/>
      <c r="L1190" s="23"/>
      <c r="M1190" s="23"/>
    </row>
    <row r="1191" spans="1:13">
      <c r="A1191" s="11" t="s">
        <v>447</v>
      </c>
      <c r="B1191" s="11" t="s">
        <v>448</v>
      </c>
      <c r="C1191" s="13">
        <v>4</v>
      </c>
      <c r="D1191" s="15" t="s">
        <v>449</v>
      </c>
      <c r="E1191" s="13">
        <v>339200</v>
      </c>
      <c r="F1191" s="13">
        <f>ROUND(E1191*C1191,0)</f>
        <v>1356800</v>
      </c>
      <c r="G1191" s="13">
        <v>0</v>
      </c>
      <c r="H1191" s="13">
        <f>ROUND(G1191*C1191,0)</f>
        <v>0</v>
      </c>
      <c r="I1191" s="13">
        <v>0</v>
      </c>
      <c r="J1191" s="13">
        <f>ROUND(I1191*C1191,0)</f>
        <v>0</v>
      </c>
      <c r="K1191" s="13">
        <f>E1191+G1191+I1191</f>
        <v>339200</v>
      </c>
      <c r="L1191" s="13">
        <f>F1191+H1191+J1191</f>
        <v>1356800</v>
      </c>
      <c r="M1191" s="11"/>
    </row>
    <row r="1192" spans="1:13">
      <c r="A1192" s="11" t="s">
        <v>1248</v>
      </c>
      <c r="B1192" s="11"/>
      <c r="C1192" s="23"/>
      <c r="D1192" s="23"/>
      <c r="E1192" s="23"/>
      <c r="F1192" s="23"/>
      <c r="G1192" s="23"/>
      <c r="H1192" s="23"/>
      <c r="I1192" s="23"/>
      <c r="J1192" s="23"/>
      <c r="K1192" s="23"/>
      <c r="L1192" s="23"/>
      <c r="M1192" s="23"/>
    </row>
    <row r="1193" spans="1:13" ht="33">
      <c r="A1193" s="11" t="s">
        <v>405</v>
      </c>
      <c r="B1193" s="11" t="s">
        <v>833</v>
      </c>
      <c r="C1193" s="24">
        <v>1.0249999999999999</v>
      </c>
      <c r="D1193" s="15" t="s">
        <v>834</v>
      </c>
      <c r="E1193" s="13">
        <v>979057</v>
      </c>
      <c r="F1193" s="13">
        <f>ROUND(E1193*C1193,0)</f>
        <v>1003533</v>
      </c>
      <c r="G1193" s="13">
        <v>0</v>
      </c>
      <c r="H1193" s="13">
        <f>ROUND(G1193*C1193,0)</f>
        <v>0</v>
      </c>
      <c r="I1193" s="13">
        <v>0</v>
      </c>
      <c r="J1193" s="13">
        <f>ROUND(I1193*C1193,0)</f>
        <v>0</v>
      </c>
      <c r="K1193" s="13">
        <f>E1193+G1193+I1193</f>
        <v>979057</v>
      </c>
      <c r="L1193" s="13">
        <f>F1193+H1193+J1193</f>
        <v>1003533</v>
      </c>
      <c r="M1193" s="11"/>
    </row>
    <row r="1194" spans="1:13" ht="33">
      <c r="A1194" s="11" t="s">
        <v>839</v>
      </c>
      <c r="B1194" s="11" t="s">
        <v>1249</v>
      </c>
      <c r="C1194" s="24">
        <v>0.182</v>
      </c>
      <c r="D1194" s="15" t="s">
        <v>834</v>
      </c>
      <c r="E1194" s="13">
        <v>979093</v>
      </c>
      <c r="F1194" s="13">
        <f>ROUND(E1194*C1194,0)</f>
        <v>178195</v>
      </c>
      <c r="G1194" s="13">
        <v>0</v>
      </c>
      <c r="H1194" s="13">
        <f>ROUND(G1194*C1194,0)</f>
        <v>0</v>
      </c>
      <c r="I1194" s="13">
        <v>0</v>
      </c>
      <c r="J1194" s="13">
        <f>ROUND(I1194*C1194,0)</f>
        <v>0</v>
      </c>
      <c r="K1194" s="13">
        <f>E1194+G1194+I1194</f>
        <v>979093</v>
      </c>
      <c r="L1194" s="13">
        <f>F1194+H1194+J1194</f>
        <v>178195</v>
      </c>
      <c r="M1194" s="11"/>
    </row>
    <row r="1195" spans="1:13">
      <c r="A1195" s="19" t="s">
        <v>1250</v>
      </c>
      <c r="B1195" s="20"/>
      <c r="C1195" s="21"/>
      <c r="D1195" s="21"/>
      <c r="E1195" s="21"/>
      <c r="F1195" s="22">
        <f>SUM(F1197:F1265)</f>
        <v>457215876</v>
      </c>
      <c r="G1195" s="21"/>
      <c r="H1195" s="22">
        <f>SUM(H1197:H1265)</f>
        <v>102870350</v>
      </c>
      <c r="I1195" s="21"/>
      <c r="J1195" s="22">
        <f>SUM(J1197:J1265)</f>
        <v>106477511</v>
      </c>
      <c r="K1195" s="21"/>
      <c r="L1195" s="22">
        <f>F1195+H1195+J1195</f>
        <v>666563737</v>
      </c>
      <c r="M1195" s="21"/>
    </row>
    <row r="1196" spans="1:13">
      <c r="A1196" s="11" t="s">
        <v>1200</v>
      </c>
      <c r="B1196" s="11"/>
      <c r="C1196" s="23"/>
      <c r="D1196" s="23"/>
      <c r="E1196" s="23"/>
      <c r="F1196" s="23"/>
      <c r="G1196" s="23"/>
      <c r="H1196" s="23"/>
      <c r="I1196" s="23"/>
      <c r="J1196" s="23"/>
      <c r="K1196" s="23"/>
      <c r="L1196" s="23"/>
      <c r="M1196" s="23"/>
    </row>
    <row r="1197" spans="1:13">
      <c r="A1197" s="11" t="s">
        <v>664</v>
      </c>
      <c r="B1197" s="11" t="s">
        <v>665</v>
      </c>
      <c r="C1197" s="13">
        <v>3270</v>
      </c>
      <c r="D1197" s="15" t="s">
        <v>102</v>
      </c>
      <c r="E1197" s="13">
        <v>0</v>
      </c>
      <c r="F1197" s="13">
        <f t="shared" ref="F1197:F1203" si="210">ROUND(E1197*C1197,0)</f>
        <v>0</v>
      </c>
      <c r="G1197" s="13">
        <v>530</v>
      </c>
      <c r="H1197" s="13">
        <f t="shared" ref="H1197:H1203" si="211">ROUND(G1197*C1197,0)</f>
        <v>1733100</v>
      </c>
      <c r="I1197" s="13">
        <v>2777</v>
      </c>
      <c r="J1197" s="13">
        <f t="shared" ref="J1197:J1203" si="212">ROUND(I1197*C1197,0)</f>
        <v>9080790</v>
      </c>
      <c r="K1197" s="13">
        <f t="shared" ref="K1197:L1203" si="213">E1197+G1197+I1197</f>
        <v>3307</v>
      </c>
      <c r="L1197" s="13">
        <f t="shared" si="213"/>
        <v>10813890</v>
      </c>
      <c r="M1197" s="11"/>
    </row>
    <row r="1198" spans="1:13">
      <c r="A1198" s="11" t="s">
        <v>666</v>
      </c>
      <c r="B1198" s="11" t="s">
        <v>665</v>
      </c>
      <c r="C1198" s="13">
        <v>3270</v>
      </c>
      <c r="D1198" s="15" t="s">
        <v>102</v>
      </c>
      <c r="E1198" s="13">
        <v>0</v>
      </c>
      <c r="F1198" s="13">
        <f t="shared" si="210"/>
        <v>0</v>
      </c>
      <c r="G1198" s="13">
        <v>530</v>
      </c>
      <c r="H1198" s="13">
        <f t="shared" si="211"/>
        <v>1733100</v>
      </c>
      <c r="I1198" s="13">
        <v>2777</v>
      </c>
      <c r="J1198" s="13">
        <f t="shared" si="212"/>
        <v>9080790</v>
      </c>
      <c r="K1198" s="13">
        <f t="shared" si="213"/>
        <v>3307</v>
      </c>
      <c r="L1198" s="13">
        <f t="shared" si="213"/>
        <v>10813890</v>
      </c>
      <c r="M1198" s="11"/>
    </row>
    <row r="1199" spans="1:13">
      <c r="A1199" s="11" t="s">
        <v>667</v>
      </c>
      <c r="B1199" s="11" t="s">
        <v>668</v>
      </c>
      <c r="C1199" s="13">
        <v>3270</v>
      </c>
      <c r="D1199" s="15" t="s">
        <v>102</v>
      </c>
      <c r="E1199" s="13">
        <v>0</v>
      </c>
      <c r="F1199" s="13">
        <f t="shared" si="210"/>
        <v>0</v>
      </c>
      <c r="G1199" s="13">
        <v>1060</v>
      </c>
      <c r="H1199" s="13">
        <f t="shared" si="211"/>
        <v>3466200</v>
      </c>
      <c r="I1199" s="13">
        <v>3471</v>
      </c>
      <c r="J1199" s="13">
        <f t="shared" si="212"/>
        <v>11350170</v>
      </c>
      <c r="K1199" s="13">
        <f t="shared" si="213"/>
        <v>4531</v>
      </c>
      <c r="L1199" s="13">
        <f t="shared" si="213"/>
        <v>14816370</v>
      </c>
      <c r="M1199" s="11"/>
    </row>
    <row r="1200" spans="1:13">
      <c r="A1200" s="11" t="s">
        <v>669</v>
      </c>
      <c r="B1200" s="11" t="s">
        <v>670</v>
      </c>
      <c r="C1200" s="13">
        <v>3270</v>
      </c>
      <c r="D1200" s="15" t="s">
        <v>102</v>
      </c>
      <c r="E1200" s="13">
        <v>0</v>
      </c>
      <c r="F1200" s="13">
        <f t="shared" si="210"/>
        <v>0</v>
      </c>
      <c r="G1200" s="13">
        <v>0</v>
      </c>
      <c r="H1200" s="13">
        <f t="shared" si="211"/>
        <v>0</v>
      </c>
      <c r="I1200" s="13">
        <v>579</v>
      </c>
      <c r="J1200" s="13">
        <f t="shared" si="212"/>
        <v>1893330</v>
      </c>
      <c r="K1200" s="13">
        <f t="shared" si="213"/>
        <v>579</v>
      </c>
      <c r="L1200" s="13">
        <f t="shared" si="213"/>
        <v>1893330</v>
      </c>
      <c r="M1200" s="11"/>
    </row>
    <row r="1201" spans="1:13">
      <c r="A1201" s="11" t="s">
        <v>671</v>
      </c>
      <c r="B1201" s="11" t="s">
        <v>672</v>
      </c>
      <c r="C1201" s="13">
        <v>3270</v>
      </c>
      <c r="D1201" s="15" t="s">
        <v>102</v>
      </c>
      <c r="E1201" s="13">
        <v>0</v>
      </c>
      <c r="F1201" s="13">
        <f t="shared" si="210"/>
        <v>0</v>
      </c>
      <c r="G1201" s="13">
        <v>0</v>
      </c>
      <c r="H1201" s="13">
        <f t="shared" si="211"/>
        <v>0</v>
      </c>
      <c r="I1201" s="13">
        <v>579</v>
      </c>
      <c r="J1201" s="13">
        <f t="shared" si="212"/>
        <v>1893330</v>
      </c>
      <c r="K1201" s="13">
        <f t="shared" si="213"/>
        <v>579</v>
      </c>
      <c r="L1201" s="13">
        <f t="shared" si="213"/>
        <v>1893330</v>
      </c>
      <c r="M1201" s="11"/>
    </row>
    <row r="1202" spans="1:13">
      <c r="A1202" s="11" t="s">
        <v>673</v>
      </c>
      <c r="B1202" s="11" t="s">
        <v>674</v>
      </c>
      <c r="C1202" s="13">
        <v>6540</v>
      </c>
      <c r="D1202" s="15" t="s">
        <v>102</v>
      </c>
      <c r="E1202" s="13">
        <v>0</v>
      </c>
      <c r="F1202" s="13">
        <f t="shared" si="210"/>
        <v>0</v>
      </c>
      <c r="G1202" s="13">
        <v>0</v>
      </c>
      <c r="H1202" s="13">
        <f t="shared" si="211"/>
        <v>0</v>
      </c>
      <c r="I1202" s="13">
        <v>579</v>
      </c>
      <c r="J1202" s="13">
        <f t="shared" si="212"/>
        <v>3786660</v>
      </c>
      <c r="K1202" s="13">
        <f t="shared" si="213"/>
        <v>579</v>
      </c>
      <c r="L1202" s="13">
        <f t="shared" si="213"/>
        <v>3786660</v>
      </c>
      <c r="M1202" s="11"/>
    </row>
    <row r="1203" spans="1:13">
      <c r="A1203" s="11" t="s">
        <v>675</v>
      </c>
      <c r="B1203" s="11" t="s">
        <v>676</v>
      </c>
      <c r="C1203" s="13">
        <v>818</v>
      </c>
      <c r="D1203" s="15" t="s">
        <v>108</v>
      </c>
      <c r="E1203" s="13">
        <v>0</v>
      </c>
      <c r="F1203" s="13">
        <f t="shared" si="210"/>
        <v>0</v>
      </c>
      <c r="G1203" s="13">
        <v>1590</v>
      </c>
      <c r="H1203" s="13">
        <f t="shared" si="211"/>
        <v>1300620</v>
      </c>
      <c r="I1203" s="13">
        <v>5207</v>
      </c>
      <c r="J1203" s="13">
        <f t="shared" si="212"/>
        <v>4259326</v>
      </c>
      <c r="K1203" s="13">
        <f t="shared" si="213"/>
        <v>6797</v>
      </c>
      <c r="L1203" s="13">
        <f t="shared" si="213"/>
        <v>5559946</v>
      </c>
      <c r="M1203" s="11"/>
    </row>
    <row r="1204" spans="1:13">
      <c r="A1204" s="11" t="s">
        <v>677</v>
      </c>
      <c r="B1204" s="11"/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</row>
    <row r="1205" spans="1:13">
      <c r="A1205" s="11" t="s">
        <v>678</v>
      </c>
      <c r="B1205" s="11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</row>
    <row r="1206" spans="1:13">
      <c r="A1206" s="11" t="s">
        <v>679</v>
      </c>
      <c r="B1206" s="11" t="s">
        <v>680</v>
      </c>
      <c r="C1206" s="13">
        <v>1126</v>
      </c>
      <c r="D1206" s="15" t="s">
        <v>102</v>
      </c>
      <c r="E1206" s="13">
        <v>0</v>
      </c>
      <c r="F1206" s="13">
        <f>ROUND(E1206*C1206,0)</f>
        <v>0</v>
      </c>
      <c r="G1206" s="13">
        <v>15900</v>
      </c>
      <c r="H1206" s="13">
        <f>ROUND(G1206*C1206,0)</f>
        <v>17903400</v>
      </c>
      <c r="I1206" s="13">
        <v>3124</v>
      </c>
      <c r="J1206" s="13">
        <f>ROUND(I1206*C1206,0)</f>
        <v>3517624</v>
      </c>
      <c r="K1206" s="13">
        <f>E1206+G1206+I1206</f>
        <v>19024</v>
      </c>
      <c r="L1206" s="13">
        <f>F1206+H1206+J1206</f>
        <v>21421024</v>
      </c>
      <c r="M1206" s="11"/>
    </row>
    <row r="1207" spans="1:13">
      <c r="A1207" s="11" t="s">
        <v>681</v>
      </c>
      <c r="B1207" s="11" t="s">
        <v>682</v>
      </c>
      <c r="C1207" s="13">
        <v>113</v>
      </c>
      <c r="D1207" s="15" t="s">
        <v>108</v>
      </c>
      <c r="E1207" s="13">
        <v>0</v>
      </c>
      <c r="F1207" s="13">
        <f>ROUND(E1207*C1207,0)</f>
        <v>0</v>
      </c>
      <c r="G1207" s="13">
        <v>1590</v>
      </c>
      <c r="H1207" s="13">
        <f>ROUND(G1207*C1207,0)</f>
        <v>179670</v>
      </c>
      <c r="I1207" s="13">
        <v>5207</v>
      </c>
      <c r="J1207" s="13">
        <f>ROUND(I1207*C1207,0)</f>
        <v>588391</v>
      </c>
      <c r="K1207" s="13">
        <f>E1207+G1207+I1207</f>
        <v>6797</v>
      </c>
      <c r="L1207" s="13">
        <f>F1207+H1207+J1207</f>
        <v>768061</v>
      </c>
      <c r="M1207" s="11"/>
    </row>
    <row r="1208" spans="1:13">
      <c r="A1208" s="11" t="s">
        <v>683</v>
      </c>
      <c r="B1208" s="11"/>
      <c r="C1208" s="23"/>
      <c r="D1208" s="23"/>
      <c r="E1208" s="23"/>
      <c r="F1208" s="23"/>
      <c r="G1208" s="23"/>
      <c r="H1208" s="23"/>
      <c r="I1208" s="23"/>
      <c r="J1208" s="23"/>
      <c r="K1208" s="23"/>
      <c r="L1208" s="23"/>
      <c r="M1208" s="23"/>
    </row>
    <row r="1209" spans="1:13">
      <c r="A1209" s="11" t="s">
        <v>684</v>
      </c>
      <c r="B1209" s="11"/>
      <c r="C1209" s="23"/>
      <c r="D1209" s="23"/>
      <c r="E1209" s="23"/>
      <c r="F1209" s="23"/>
      <c r="G1209" s="23"/>
      <c r="H1209" s="23"/>
      <c r="I1209" s="23"/>
      <c r="J1209" s="23"/>
      <c r="K1209" s="23"/>
      <c r="L1209" s="23"/>
      <c r="M1209" s="23"/>
    </row>
    <row r="1210" spans="1:13">
      <c r="A1210" s="11" t="s">
        <v>685</v>
      </c>
      <c r="B1210" s="11" t="s">
        <v>686</v>
      </c>
      <c r="C1210" s="13">
        <v>184</v>
      </c>
      <c r="D1210" s="15" t="s">
        <v>102</v>
      </c>
      <c r="E1210" s="13">
        <v>0</v>
      </c>
      <c r="F1210" s="13">
        <f>ROUND(E1210*C1210,0)</f>
        <v>0</v>
      </c>
      <c r="G1210" s="13">
        <v>13780</v>
      </c>
      <c r="H1210" s="13">
        <f>ROUND(G1210*C1210,0)</f>
        <v>2535520</v>
      </c>
      <c r="I1210" s="13">
        <v>2626</v>
      </c>
      <c r="J1210" s="13">
        <f>ROUND(I1210*C1210,0)</f>
        <v>483184</v>
      </c>
      <c r="K1210" s="13">
        <f t="shared" ref="K1210:L1212" si="214">E1210+G1210+I1210</f>
        <v>16406</v>
      </c>
      <c r="L1210" s="13">
        <f t="shared" si="214"/>
        <v>3018704</v>
      </c>
      <c r="M1210" s="11"/>
    </row>
    <row r="1211" spans="1:13">
      <c r="A1211" s="11" t="s">
        <v>687</v>
      </c>
      <c r="B1211" s="11" t="s">
        <v>686</v>
      </c>
      <c r="C1211" s="13">
        <v>11</v>
      </c>
      <c r="D1211" s="15" t="s">
        <v>102</v>
      </c>
      <c r="E1211" s="13">
        <v>0</v>
      </c>
      <c r="F1211" s="13">
        <f>ROUND(E1211*C1211,0)</f>
        <v>0</v>
      </c>
      <c r="G1211" s="13">
        <v>13780</v>
      </c>
      <c r="H1211" s="13">
        <f>ROUND(G1211*C1211,0)</f>
        <v>151580</v>
      </c>
      <c r="I1211" s="13">
        <v>2626</v>
      </c>
      <c r="J1211" s="13">
        <f>ROUND(I1211*C1211,0)</f>
        <v>28886</v>
      </c>
      <c r="K1211" s="13">
        <f t="shared" si="214"/>
        <v>16406</v>
      </c>
      <c r="L1211" s="13">
        <f t="shared" si="214"/>
        <v>180466</v>
      </c>
      <c r="M1211" s="11"/>
    </row>
    <row r="1212" spans="1:13">
      <c r="A1212" s="11" t="s">
        <v>688</v>
      </c>
      <c r="B1212" s="11" t="s">
        <v>689</v>
      </c>
      <c r="C1212" s="13">
        <v>20</v>
      </c>
      <c r="D1212" s="15" t="s">
        <v>108</v>
      </c>
      <c r="E1212" s="13">
        <v>0</v>
      </c>
      <c r="F1212" s="13">
        <f>ROUND(E1212*C1212,0)</f>
        <v>0</v>
      </c>
      <c r="G1212" s="13">
        <v>1590</v>
      </c>
      <c r="H1212" s="13">
        <f>ROUND(G1212*C1212,0)</f>
        <v>31800</v>
      </c>
      <c r="I1212" s="13">
        <v>5207</v>
      </c>
      <c r="J1212" s="13">
        <f>ROUND(I1212*C1212,0)</f>
        <v>104140</v>
      </c>
      <c r="K1212" s="13">
        <f t="shared" si="214"/>
        <v>6797</v>
      </c>
      <c r="L1212" s="13">
        <f t="shared" si="214"/>
        <v>135940</v>
      </c>
      <c r="M1212" s="11"/>
    </row>
    <row r="1213" spans="1:13">
      <c r="A1213" s="11" t="s">
        <v>690</v>
      </c>
      <c r="B1213" s="11"/>
      <c r="C1213" s="23"/>
      <c r="D1213" s="23"/>
      <c r="E1213" s="23"/>
      <c r="F1213" s="23"/>
      <c r="G1213" s="23"/>
      <c r="H1213" s="23"/>
      <c r="I1213" s="23"/>
      <c r="J1213" s="23"/>
      <c r="K1213" s="23"/>
      <c r="L1213" s="23"/>
      <c r="M1213" s="23"/>
    </row>
    <row r="1214" spans="1:13">
      <c r="A1214" s="11" t="s">
        <v>691</v>
      </c>
      <c r="B1214" s="11" t="s">
        <v>692</v>
      </c>
      <c r="C1214" s="13">
        <v>1271</v>
      </c>
      <c r="D1214" s="15" t="s">
        <v>102</v>
      </c>
      <c r="E1214" s="13">
        <v>6890</v>
      </c>
      <c r="F1214" s="13">
        <f>ROUND(E1214*C1214,0)</f>
        <v>8757190</v>
      </c>
      <c r="G1214" s="13">
        <v>14840</v>
      </c>
      <c r="H1214" s="13">
        <f>ROUND(G1214*C1214,0)</f>
        <v>18861640</v>
      </c>
      <c r="I1214" s="13">
        <v>3471</v>
      </c>
      <c r="J1214" s="13">
        <f>ROUND(I1214*C1214,0)</f>
        <v>4411641</v>
      </c>
      <c r="K1214" s="13">
        <f>E1214+G1214+I1214</f>
        <v>25201</v>
      </c>
      <c r="L1214" s="13">
        <f>F1214+H1214+J1214</f>
        <v>32030471</v>
      </c>
      <c r="M1214" s="11"/>
    </row>
    <row r="1215" spans="1:13">
      <c r="A1215" s="11" t="s">
        <v>1251</v>
      </c>
      <c r="B1215" s="11"/>
      <c r="C1215" s="23"/>
      <c r="D1215" s="23"/>
      <c r="E1215" s="23"/>
      <c r="F1215" s="23"/>
      <c r="G1215" s="23"/>
      <c r="H1215" s="23"/>
      <c r="I1215" s="23"/>
      <c r="J1215" s="23"/>
      <c r="K1215" s="23"/>
      <c r="L1215" s="23"/>
      <c r="M1215" s="23"/>
    </row>
    <row r="1216" spans="1:13">
      <c r="A1216" s="11" t="s">
        <v>712</v>
      </c>
      <c r="B1216" s="11"/>
      <c r="C1216" s="23"/>
      <c r="D1216" s="23"/>
      <c r="E1216" s="23"/>
      <c r="F1216" s="23"/>
      <c r="G1216" s="23"/>
      <c r="H1216" s="23"/>
      <c r="I1216" s="23"/>
      <c r="J1216" s="23"/>
      <c r="K1216" s="23"/>
      <c r="L1216" s="23"/>
      <c r="M1216" s="23"/>
    </row>
    <row r="1217" spans="1:13" ht="33">
      <c r="A1217" s="11" t="s">
        <v>713</v>
      </c>
      <c r="B1217" s="11" t="s">
        <v>714</v>
      </c>
      <c r="C1217" s="13">
        <v>475</v>
      </c>
      <c r="D1217" s="15" t="s">
        <v>240</v>
      </c>
      <c r="E1217" s="13">
        <v>0</v>
      </c>
      <c r="F1217" s="13">
        <f>ROUND(E1217*C1217,0)</f>
        <v>0</v>
      </c>
      <c r="G1217" s="13">
        <v>14840</v>
      </c>
      <c r="H1217" s="13">
        <f>ROUND(G1217*C1217,0)</f>
        <v>7049000</v>
      </c>
      <c r="I1217" s="13">
        <v>5624</v>
      </c>
      <c r="J1217" s="13">
        <f>ROUND(I1217*C1217,0)</f>
        <v>2671400</v>
      </c>
      <c r="K1217" s="13">
        <f t="shared" ref="K1217:L1219" si="215">E1217+G1217+I1217</f>
        <v>20464</v>
      </c>
      <c r="L1217" s="13">
        <f t="shared" si="215"/>
        <v>9720400</v>
      </c>
      <c r="M1217" s="11"/>
    </row>
    <row r="1218" spans="1:13" ht="33">
      <c r="A1218" s="11" t="s">
        <v>1202</v>
      </c>
      <c r="B1218" s="11" t="s">
        <v>718</v>
      </c>
      <c r="C1218" s="13">
        <v>9</v>
      </c>
      <c r="D1218" s="15" t="s">
        <v>240</v>
      </c>
      <c r="E1218" s="13">
        <v>0</v>
      </c>
      <c r="F1218" s="13">
        <f>ROUND(E1218*C1218,0)</f>
        <v>0</v>
      </c>
      <c r="G1218" s="13">
        <v>14840</v>
      </c>
      <c r="H1218" s="13">
        <f>ROUND(G1218*C1218,0)</f>
        <v>133560</v>
      </c>
      <c r="I1218" s="13">
        <v>5624</v>
      </c>
      <c r="J1218" s="13">
        <f>ROUND(I1218*C1218,0)</f>
        <v>50616</v>
      </c>
      <c r="K1218" s="13">
        <f t="shared" si="215"/>
        <v>20464</v>
      </c>
      <c r="L1218" s="13">
        <f t="shared" si="215"/>
        <v>184176</v>
      </c>
      <c r="M1218" s="11"/>
    </row>
    <row r="1219" spans="1:13" ht="33">
      <c r="A1219" s="11" t="s">
        <v>1203</v>
      </c>
      <c r="B1219" s="11" t="s">
        <v>720</v>
      </c>
      <c r="C1219" s="13">
        <v>26</v>
      </c>
      <c r="D1219" s="15" t="s">
        <v>240</v>
      </c>
      <c r="E1219" s="13">
        <v>0</v>
      </c>
      <c r="F1219" s="13">
        <f>ROUND(E1219*C1219,0)</f>
        <v>0</v>
      </c>
      <c r="G1219" s="13">
        <v>14840</v>
      </c>
      <c r="H1219" s="13">
        <f>ROUND(G1219*C1219,0)</f>
        <v>385840</v>
      </c>
      <c r="I1219" s="13">
        <v>5624</v>
      </c>
      <c r="J1219" s="13">
        <f>ROUND(I1219*C1219,0)</f>
        <v>146224</v>
      </c>
      <c r="K1219" s="13">
        <f t="shared" si="215"/>
        <v>20464</v>
      </c>
      <c r="L1219" s="13">
        <f t="shared" si="215"/>
        <v>532064</v>
      </c>
      <c r="M1219" s="11"/>
    </row>
    <row r="1220" spans="1:13">
      <c r="A1220" s="11" t="s">
        <v>721</v>
      </c>
      <c r="B1220" s="11"/>
      <c r="C1220" s="23"/>
      <c r="D1220" s="23"/>
      <c r="E1220" s="23"/>
      <c r="F1220" s="23"/>
      <c r="G1220" s="23"/>
      <c r="H1220" s="23"/>
      <c r="I1220" s="23"/>
      <c r="J1220" s="23"/>
      <c r="K1220" s="23"/>
      <c r="L1220" s="23"/>
      <c r="M1220" s="23"/>
    </row>
    <row r="1221" spans="1:13" ht="33">
      <c r="A1221" s="11" t="s">
        <v>722</v>
      </c>
      <c r="B1221" s="11" t="s">
        <v>723</v>
      </c>
      <c r="C1221" s="13">
        <v>220</v>
      </c>
      <c r="D1221" s="15" t="s">
        <v>240</v>
      </c>
      <c r="E1221" s="13">
        <v>0</v>
      </c>
      <c r="F1221" s="13">
        <f>ROUND(E1221*C1221,0)</f>
        <v>0</v>
      </c>
      <c r="G1221" s="13">
        <v>12720</v>
      </c>
      <c r="H1221" s="13">
        <f>ROUND(G1221*C1221,0)</f>
        <v>2798400</v>
      </c>
      <c r="I1221" s="13">
        <v>4050</v>
      </c>
      <c r="J1221" s="13">
        <f>ROUND(I1221*C1221,0)</f>
        <v>891000</v>
      </c>
      <c r="K1221" s="13">
        <f>E1221+G1221+I1221</f>
        <v>16770</v>
      </c>
      <c r="L1221" s="13">
        <f>F1221+H1221+J1221</f>
        <v>3689400</v>
      </c>
      <c r="M1221" s="11"/>
    </row>
    <row r="1222" spans="1:13">
      <c r="A1222" s="11" t="s">
        <v>1252</v>
      </c>
      <c r="B1222" s="11"/>
      <c r="C1222" s="23"/>
      <c r="D1222" s="23"/>
      <c r="E1222" s="23"/>
      <c r="F1222" s="23"/>
      <c r="G1222" s="23"/>
      <c r="H1222" s="23"/>
      <c r="I1222" s="23"/>
      <c r="J1222" s="23"/>
      <c r="K1222" s="23"/>
      <c r="L1222" s="23"/>
      <c r="M1222" s="23"/>
    </row>
    <row r="1223" spans="1:13">
      <c r="A1223" s="11" t="s">
        <v>1205</v>
      </c>
      <c r="B1223" s="11"/>
      <c r="C1223" s="13">
        <v>1350</v>
      </c>
      <c r="D1223" s="15" t="s">
        <v>959</v>
      </c>
      <c r="E1223" s="13">
        <v>0</v>
      </c>
      <c r="F1223" s="13">
        <f>ROUND(E1223*C1223,0)</f>
        <v>0</v>
      </c>
      <c r="G1223" s="13">
        <v>3180</v>
      </c>
      <c r="H1223" s="13">
        <f>ROUND(G1223*C1223,0)</f>
        <v>4293000</v>
      </c>
      <c r="I1223" s="13">
        <v>13306</v>
      </c>
      <c r="J1223" s="13">
        <f>ROUND(I1223*C1223,0)</f>
        <v>17963100</v>
      </c>
      <c r="K1223" s="13">
        <f>E1223+G1223+I1223</f>
        <v>16486</v>
      </c>
      <c r="L1223" s="13">
        <f>F1223+H1223+J1223</f>
        <v>22256100</v>
      </c>
      <c r="M1223" s="11"/>
    </row>
    <row r="1224" spans="1:13">
      <c r="A1224" s="11" t="s">
        <v>1253</v>
      </c>
      <c r="B1224" s="11"/>
      <c r="C1224" s="23"/>
      <c r="D1224" s="23"/>
      <c r="E1224" s="23"/>
      <c r="F1224" s="23"/>
      <c r="G1224" s="23"/>
      <c r="H1224" s="23"/>
      <c r="I1224" s="23"/>
      <c r="J1224" s="23"/>
      <c r="K1224" s="23"/>
      <c r="L1224" s="23"/>
      <c r="M1224" s="23"/>
    </row>
    <row r="1225" spans="1:13">
      <c r="A1225" s="11" t="s">
        <v>725</v>
      </c>
      <c r="B1225" s="11"/>
      <c r="C1225" s="23"/>
      <c r="D1225" s="23"/>
      <c r="E1225" s="23"/>
      <c r="F1225" s="23"/>
      <c r="G1225" s="23"/>
      <c r="H1225" s="23"/>
      <c r="I1225" s="23"/>
      <c r="J1225" s="23"/>
      <c r="K1225" s="23"/>
      <c r="L1225" s="23"/>
      <c r="M1225" s="23"/>
    </row>
    <row r="1226" spans="1:13">
      <c r="A1226" s="11" t="s">
        <v>1254</v>
      </c>
      <c r="B1226" s="11" t="s">
        <v>727</v>
      </c>
      <c r="C1226" s="13">
        <v>13</v>
      </c>
      <c r="D1226" s="15" t="s">
        <v>188</v>
      </c>
      <c r="E1226" s="13">
        <v>93280</v>
      </c>
      <c r="F1226" s="13">
        <f>ROUND(E1226*C1226,0)</f>
        <v>1212640</v>
      </c>
      <c r="G1226" s="13">
        <v>53000</v>
      </c>
      <c r="H1226" s="13">
        <f>ROUND(G1226*C1226,0)</f>
        <v>689000</v>
      </c>
      <c r="I1226" s="13">
        <v>0</v>
      </c>
      <c r="J1226" s="13">
        <f>ROUND(I1226*C1226,0)</f>
        <v>0</v>
      </c>
      <c r="K1226" s="13">
        <f t="shared" ref="K1226:L1228" si="216">E1226+G1226+I1226</f>
        <v>146280</v>
      </c>
      <c r="L1226" s="13">
        <f t="shared" si="216"/>
        <v>1901640</v>
      </c>
      <c r="M1226" s="11"/>
    </row>
    <row r="1227" spans="1:13" ht="33">
      <c r="A1227" s="11" t="s">
        <v>728</v>
      </c>
      <c r="B1227" s="11" t="s">
        <v>729</v>
      </c>
      <c r="C1227" s="13">
        <v>3</v>
      </c>
      <c r="D1227" s="15" t="s">
        <v>188</v>
      </c>
      <c r="E1227" s="13">
        <v>93280</v>
      </c>
      <c r="F1227" s="13">
        <f>ROUND(E1227*C1227,0)</f>
        <v>279840</v>
      </c>
      <c r="G1227" s="13">
        <v>53000</v>
      </c>
      <c r="H1227" s="13">
        <f>ROUND(G1227*C1227,0)</f>
        <v>159000</v>
      </c>
      <c r="I1227" s="13">
        <v>0</v>
      </c>
      <c r="J1227" s="13">
        <f>ROUND(I1227*C1227,0)</f>
        <v>0</v>
      </c>
      <c r="K1227" s="13">
        <f t="shared" si="216"/>
        <v>146280</v>
      </c>
      <c r="L1227" s="13">
        <f t="shared" si="216"/>
        <v>438840</v>
      </c>
      <c r="M1227" s="11"/>
    </row>
    <row r="1228" spans="1:13">
      <c r="A1228" s="11" t="s">
        <v>1206</v>
      </c>
      <c r="B1228" s="11" t="s">
        <v>1207</v>
      </c>
      <c r="C1228" s="13">
        <v>7</v>
      </c>
      <c r="D1228" s="15" t="s">
        <v>188</v>
      </c>
      <c r="E1228" s="13">
        <v>93280</v>
      </c>
      <c r="F1228" s="13">
        <f>ROUND(E1228*C1228,0)</f>
        <v>652960</v>
      </c>
      <c r="G1228" s="13">
        <v>53000</v>
      </c>
      <c r="H1228" s="13">
        <f>ROUND(G1228*C1228,0)</f>
        <v>371000</v>
      </c>
      <c r="I1228" s="13">
        <v>0</v>
      </c>
      <c r="J1228" s="13">
        <f>ROUND(I1228*C1228,0)</f>
        <v>0</v>
      </c>
      <c r="K1228" s="13">
        <f t="shared" si="216"/>
        <v>146280</v>
      </c>
      <c r="L1228" s="13">
        <f t="shared" si="216"/>
        <v>1023960</v>
      </c>
      <c r="M1228" s="11"/>
    </row>
    <row r="1229" spans="1:13">
      <c r="A1229" s="11" t="s">
        <v>741</v>
      </c>
      <c r="B1229" s="11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</row>
    <row r="1230" spans="1:13">
      <c r="A1230" s="11" t="s">
        <v>742</v>
      </c>
      <c r="B1230" s="11" t="s">
        <v>698</v>
      </c>
      <c r="C1230" s="13">
        <v>7</v>
      </c>
      <c r="D1230" s="15" t="s">
        <v>102</v>
      </c>
      <c r="E1230" s="13">
        <v>6890</v>
      </c>
      <c r="F1230" s="13">
        <f t="shared" ref="F1230:F1239" si="217">ROUND(E1230*C1230,0)</f>
        <v>48230</v>
      </c>
      <c r="G1230" s="13">
        <v>9010</v>
      </c>
      <c r="H1230" s="13">
        <f t="shared" ref="H1230:H1239" si="218">ROUND(G1230*C1230,0)</f>
        <v>63070</v>
      </c>
      <c r="I1230" s="13">
        <v>1157</v>
      </c>
      <c r="J1230" s="13">
        <f t="shared" ref="J1230:J1239" si="219">ROUND(I1230*C1230,0)</f>
        <v>8099</v>
      </c>
      <c r="K1230" s="13">
        <f t="shared" ref="K1230:K1239" si="220">E1230+G1230+I1230</f>
        <v>17057</v>
      </c>
      <c r="L1230" s="13">
        <f t="shared" ref="L1230:L1239" si="221">F1230+H1230+J1230</f>
        <v>119399</v>
      </c>
      <c r="M1230" s="11"/>
    </row>
    <row r="1231" spans="1:13">
      <c r="A1231" s="11" t="s">
        <v>743</v>
      </c>
      <c r="B1231" s="11" t="s">
        <v>745</v>
      </c>
      <c r="C1231" s="13">
        <v>16</v>
      </c>
      <c r="D1231" s="15" t="s">
        <v>102</v>
      </c>
      <c r="E1231" s="13">
        <v>6890</v>
      </c>
      <c r="F1231" s="13">
        <f t="shared" si="217"/>
        <v>110240</v>
      </c>
      <c r="G1231" s="13">
        <v>9010</v>
      </c>
      <c r="H1231" s="13">
        <f t="shared" si="218"/>
        <v>144160</v>
      </c>
      <c r="I1231" s="13">
        <v>1157</v>
      </c>
      <c r="J1231" s="13">
        <f t="shared" si="219"/>
        <v>18512</v>
      </c>
      <c r="K1231" s="13">
        <f t="shared" si="220"/>
        <v>17057</v>
      </c>
      <c r="L1231" s="13">
        <f t="shared" si="221"/>
        <v>272912</v>
      </c>
      <c r="M1231" s="11"/>
    </row>
    <row r="1232" spans="1:13">
      <c r="A1232" s="11" t="s">
        <v>744</v>
      </c>
      <c r="B1232" s="11" t="s">
        <v>700</v>
      </c>
      <c r="C1232" s="13">
        <v>260</v>
      </c>
      <c r="D1232" s="15" t="s">
        <v>102</v>
      </c>
      <c r="E1232" s="13">
        <v>6890</v>
      </c>
      <c r="F1232" s="13">
        <f t="shared" si="217"/>
        <v>1791400</v>
      </c>
      <c r="G1232" s="13">
        <v>9010</v>
      </c>
      <c r="H1232" s="13">
        <f t="shared" si="218"/>
        <v>2342600</v>
      </c>
      <c r="I1232" s="13">
        <v>1157</v>
      </c>
      <c r="J1232" s="13">
        <f t="shared" si="219"/>
        <v>300820</v>
      </c>
      <c r="K1232" s="13">
        <f t="shared" si="220"/>
        <v>17057</v>
      </c>
      <c r="L1232" s="13">
        <f t="shared" si="221"/>
        <v>4434820</v>
      </c>
      <c r="M1232" s="11"/>
    </row>
    <row r="1233" spans="1:13">
      <c r="A1233" s="11" t="s">
        <v>1255</v>
      </c>
      <c r="B1233" s="11" t="s">
        <v>1208</v>
      </c>
      <c r="C1233" s="13">
        <v>6</v>
      </c>
      <c r="D1233" s="15" t="s">
        <v>102</v>
      </c>
      <c r="E1233" s="13">
        <v>6890</v>
      </c>
      <c r="F1233" s="13">
        <f t="shared" si="217"/>
        <v>41340</v>
      </c>
      <c r="G1233" s="13">
        <v>9010</v>
      </c>
      <c r="H1233" s="13">
        <f t="shared" si="218"/>
        <v>54060</v>
      </c>
      <c r="I1233" s="13">
        <v>1157</v>
      </c>
      <c r="J1233" s="13">
        <f t="shared" si="219"/>
        <v>6942</v>
      </c>
      <c r="K1233" s="13">
        <f t="shared" si="220"/>
        <v>17057</v>
      </c>
      <c r="L1233" s="13">
        <f t="shared" si="221"/>
        <v>102342</v>
      </c>
      <c r="M1233" s="11"/>
    </row>
    <row r="1234" spans="1:13">
      <c r="A1234" s="11" t="s">
        <v>747</v>
      </c>
      <c r="B1234" s="11" t="s">
        <v>706</v>
      </c>
      <c r="C1234" s="13">
        <v>119</v>
      </c>
      <c r="D1234" s="15" t="s">
        <v>102</v>
      </c>
      <c r="E1234" s="13">
        <v>6890</v>
      </c>
      <c r="F1234" s="13">
        <f t="shared" si="217"/>
        <v>819910</v>
      </c>
      <c r="G1234" s="13">
        <v>9010</v>
      </c>
      <c r="H1234" s="13">
        <f t="shared" si="218"/>
        <v>1072190</v>
      </c>
      <c r="I1234" s="13">
        <v>1157</v>
      </c>
      <c r="J1234" s="13">
        <f t="shared" si="219"/>
        <v>137683</v>
      </c>
      <c r="K1234" s="13">
        <f t="shared" si="220"/>
        <v>17057</v>
      </c>
      <c r="L1234" s="13">
        <f t="shared" si="221"/>
        <v>2029783</v>
      </c>
      <c r="M1234" s="11"/>
    </row>
    <row r="1235" spans="1:13">
      <c r="A1235" s="11" t="s">
        <v>1256</v>
      </c>
      <c r="B1235" s="11" t="s">
        <v>708</v>
      </c>
      <c r="C1235" s="13">
        <v>36</v>
      </c>
      <c r="D1235" s="15" t="s">
        <v>102</v>
      </c>
      <c r="E1235" s="13">
        <v>6890</v>
      </c>
      <c r="F1235" s="13">
        <f t="shared" si="217"/>
        <v>248040</v>
      </c>
      <c r="G1235" s="13">
        <v>11660</v>
      </c>
      <c r="H1235" s="13">
        <f t="shared" si="218"/>
        <v>419760</v>
      </c>
      <c r="I1235" s="13">
        <v>1157</v>
      </c>
      <c r="J1235" s="13">
        <f t="shared" si="219"/>
        <v>41652</v>
      </c>
      <c r="K1235" s="13">
        <f t="shared" si="220"/>
        <v>19707</v>
      </c>
      <c r="L1235" s="13">
        <f t="shared" si="221"/>
        <v>709452</v>
      </c>
      <c r="M1235" s="11"/>
    </row>
    <row r="1236" spans="1:13">
      <c r="A1236" s="11" t="s">
        <v>749</v>
      </c>
      <c r="B1236" s="11" t="s">
        <v>702</v>
      </c>
      <c r="C1236" s="13">
        <v>267</v>
      </c>
      <c r="D1236" s="15" t="s">
        <v>102</v>
      </c>
      <c r="E1236" s="13">
        <v>0</v>
      </c>
      <c r="F1236" s="13">
        <f t="shared" si="217"/>
        <v>0</v>
      </c>
      <c r="G1236" s="13">
        <v>4770</v>
      </c>
      <c r="H1236" s="13">
        <f t="shared" si="218"/>
        <v>1273590</v>
      </c>
      <c r="I1236" s="13">
        <v>0</v>
      </c>
      <c r="J1236" s="13">
        <f t="shared" si="219"/>
        <v>0</v>
      </c>
      <c r="K1236" s="13">
        <f t="shared" si="220"/>
        <v>4770</v>
      </c>
      <c r="L1236" s="13">
        <f t="shared" si="221"/>
        <v>1273590</v>
      </c>
      <c r="M1236" s="11"/>
    </row>
    <row r="1237" spans="1:13">
      <c r="A1237" s="11" t="s">
        <v>751</v>
      </c>
      <c r="B1237" s="11" t="s">
        <v>750</v>
      </c>
      <c r="C1237" s="13">
        <v>22</v>
      </c>
      <c r="D1237" s="15" t="s">
        <v>102</v>
      </c>
      <c r="E1237" s="13">
        <v>0</v>
      </c>
      <c r="F1237" s="13">
        <f t="shared" si="217"/>
        <v>0</v>
      </c>
      <c r="G1237" s="13">
        <v>4770</v>
      </c>
      <c r="H1237" s="13">
        <f t="shared" si="218"/>
        <v>104940</v>
      </c>
      <c r="I1237" s="13">
        <v>0</v>
      </c>
      <c r="J1237" s="13">
        <f t="shared" si="219"/>
        <v>0</v>
      </c>
      <c r="K1237" s="13">
        <f t="shared" si="220"/>
        <v>4770</v>
      </c>
      <c r="L1237" s="13">
        <f t="shared" si="221"/>
        <v>104940</v>
      </c>
      <c r="M1237" s="11"/>
    </row>
    <row r="1238" spans="1:13">
      <c r="A1238" s="11" t="s">
        <v>752</v>
      </c>
      <c r="B1238" s="11" t="s">
        <v>706</v>
      </c>
      <c r="C1238" s="13">
        <v>119</v>
      </c>
      <c r="D1238" s="15" t="s">
        <v>102</v>
      </c>
      <c r="E1238" s="13">
        <v>0</v>
      </c>
      <c r="F1238" s="13">
        <f t="shared" si="217"/>
        <v>0</v>
      </c>
      <c r="G1238" s="13">
        <v>4770</v>
      </c>
      <c r="H1238" s="13">
        <f t="shared" si="218"/>
        <v>567630</v>
      </c>
      <c r="I1238" s="13">
        <v>0</v>
      </c>
      <c r="J1238" s="13">
        <f t="shared" si="219"/>
        <v>0</v>
      </c>
      <c r="K1238" s="13">
        <f t="shared" si="220"/>
        <v>4770</v>
      </c>
      <c r="L1238" s="13">
        <f t="shared" si="221"/>
        <v>567630</v>
      </c>
      <c r="M1238" s="11"/>
    </row>
    <row r="1239" spans="1:13">
      <c r="A1239" s="11" t="s">
        <v>1257</v>
      </c>
      <c r="B1239" s="11" t="s">
        <v>708</v>
      </c>
      <c r="C1239" s="13">
        <v>36</v>
      </c>
      <c r="D1239" s="15" t="s">
        <v>102</v>
      </c>
      <c r="E1239" s="13">
        <v>0</v>
      </c>
      <c r="F1239" s="13">
        <f t="shared" si="217"/>
        <v>0</v>
      </c>
      <c r="G1239" s="13">
        <v>4770</v>
      </c>
      <c r="H1239" s="13">
        <f t="shared" si="218"/>
        <v>171720</v>
      </c>
      <c r="I1239" s="13">
        <v>0</v>
      </c>
      <c r="J1239" s="13">
        <f t="shared" si="219"/>
        <v>0</v>
      </c>
      <c r="K1239" s="13">
        <f t="shared" si="220"/>
        <v>4770</v>
      </c>
      <c r="L1239" s="13">
        <f t="shared" si="221"/>
        <v>171720</v>
      </c>
      <c r="M1239" s="11"/>
    </row>
    <row r="1240" spans="1:13">
      <c r="A1240" s="11" t="s">
        <v>753</v>
      </c>
      <c r="B1240" s="11"/>
      <c r="C1240" s="23"/>
      <c r="D1240" s="23"/>
      <c r="E1240" s="23"/>
      <c r="F1240" s="23"/>
      <c r="G1240" s="23"/>
      <c r="H1240" s="23"/>
      <c r="I1240" s="23"/>
      <c r="J1240" s="23"/>
      <c r="K1240" s="23"/>
      <c r="L1240" s="23"/>
      <c r="M1240" s="23"/>
    </row>
    <row r="1241" spans="1:13">
      <c r="A1241" s="11" t="s">
        <v>754</v>
      </c>
      <c r="B1241" s="11" t="s">
        <v>755</v>
      </c>
      <c r="C1241" s="13">
        <v>40</v>
      </c>
      <c r="D1241" s="15" t="s">
        <v>188</v>
      </c>
      <c r="E1241" s="13">
        <v>47700</v>
      </c>
      <c r="F1241" s="13">
        <f>ROUND(E1241*C1241,0)</f>
        <v>1908000</v>
      </c>
      <c r="G1241" s="13">
        <v>37100</v>
      </c>
      <c r="H1241" s="13">
        <f>ROUND(G1241*C1241,0)</f>
        <v>1484000</v>
      </c>
      <c r="I1241" s="13">
        <v>5785</v>
      </c>
      <c r="J1241" s="13">
        <f>ROUND(I1241*C1241,0)</f>
        <v>231400</v>
      </c>
      <c r="K1241" s="13">
        <f t="shared" ref="K1241:L1243" si="222">E1241+G1241+I1241</f>
        <v>90585</v>
      </c>
      <c r="L1241" s="13">
        <f t="shared" si="222"/>
        <v>3623400</v>
      </c>
      <c r="M1241" s="11"/>
    </row>
    <row r="1242" spans="1:13">
      <c r="A1242" s="11" t="s">
        <v>1258</v>
      </c>
      <c r="B1242" s="11" t="s">
        <v>759</v>
      </c>
      <c r="C1242" s="13">
        <v>8</v>
      </c>
      <c r="D1242" s="15" t="s">
        <v>210</v>
      </c>
      <c r="E1242" s="13">
        <v>265000</v>
      </c>
      <c r="F1242" s="13">
        <f>ROUND(E1242*C1242,0)</f>
        <v>2120000</v>
      </c>
      <c r="G1242" s="13">
        <v>106000</v>
      </c>
      <c r="H1242" s="13">
        <f>ROUND(G1242*C1242,0)</f>
        <v>848000</v>
      </c>
      <c r="I1242" s="13">
        <v>57851</v>
      </c>
      <c r="J1242" s="13">
        <f>ROUND(I1242*C1242,0)</f>
        <v>462808</v>
      </c>
      <c r="K1242" s="13">
        <f t="shared" si="222"/>
        <v>428851</v>
      </c>
      <c r="L1242" s="13">
        <f t="shared" si="222"/>
        <v>3430808</v>
      </c>
      <c r="M1242" s="11"/>
    </row>
    <row r="1243" spans="1:13">
      <c r="A1243" s="11" t="s">
        <v>388</v>
      </c>
      <c r="B1243" s="11" t="s">
        <v>389</v>
      </c>
      <c r="C1243" s="13">
        <v>21</v>
      </c>
      <c r="D1243" s="15" t="s">
        <v>385</v>
      </c>
      <c r="E1243" s="13">
        <v>0</v>
      </c>
      <c r="F1243" s="13">
        <f>ROUND(E1243*C1243,0)</f>
        <v>0</v>
      </c>
      <c r="G1243" s="13">
        <v>0</v>
      </c>
      <c r="H1243" s="13">
        <f>ROUND(G1243*C1243,0)</f>
        <v>0</v>
      </c>
      <c r="I1243" s="13">
        <v>520659</v>
      </c>
      <c r="J1243" s="13">
        <f>ROUND(I1243*C1243,0)</f>
        <v>10933839</v>
      </c>
      <c r="K1243" s="13">
        <f t="shared" si="222"/>
        <v>520659</v>
      </c>
      <c r="L1243" s="13">
        <f t="shared" si="222"/>
        <v>10933839</v>
      </c>
      <c r="M1243" s="11"/>
    </row>
    <row r="1244" spans="1:13">
      <c r="A1244" s="11" t="s">
        <v>1211</v>
      </c>
      <c r="B1244" s="11" t="s">
        <v>961</v>
      </c>
      <c r="C1244" s="23"/>
      <c r="D1244" s="23"/>
      <c r="E1244" s="23"/>
      <c r="F1244" s="23"/>
      <c r="G1244" s="23"/>
      <c r="H1244" s="23"/>
      <c r="I1244" s="23"/>
      <c r="J1244" s="23"/>
      <c r="K1244" s="23"/>
      <c r="L1244" s="23"/>
      <c r="M1244" s="23"/>
    </row>
    <row r="1245" spans="1:13">
      <c r="A1245" s="11" t="s">
        <v>1212</v>
      </c>
      <c r="B1245" s="11" t="s">
        <v>1213</v>
      </c>
      <c r="C1245" s="13">
        <v>306</v>
      </c>
      <c r="D1245" s="15" t="s">
        <v>1120</v>
      </c>
      <c r="E1245" s="13">
        <v>312700</v>
      </c>
      <c r="F1245" s="13">
        <f>ROUND(E1245*C1245,0)</f>
        <v>95686200</v>
      </c>
      <c r="G1245" s="13">
        <v>58300</v>
      </c>
      <c r="H1245" s="13">
        <f>ROUND(G1245*C1245,0)</f>
        <v>17839800</v>
      </c>
      <c r="I1245" s="13">
        <v>32975</v>
      </c>
      <c r="J1245" s="13">
        <f>ROUND(I1245*C1245,0)</f>
        <v>10090350</v>
      </c>
      <c r="K1245" s="13">
        <f>E1245+G1245+I1245</f>
        <v>403975</v>
      </c>
      <c r="L1245" s="13">
        <f>F1245+H1245+J1245</f>
        <v>123616350</v>
      </c>
      <c r="M1245" s="11"/>
    </row>
    <row r="1246" spans="1:13">
      <c r="A1246" s="11" t="s">
        <v>1259</v>
      </c>
      <c r="B1246" s="11"/>
      <c r="C1246" s="23"/>
      <c r="D1246" s="23"/>
      <c r="E1246" s="23"/>
      <c r="F1246" s="23"/>
      <c r="G1246" s="23"/>
      <c r="H1246" s="23"/>
      <c r="I1246" s="23"/>
      <c r="J1246" s="23"/>
      <c r="K1246" s="23"/>
      <c r="L1246" s="23"/>
      <c r="M1246" s="23"/>
    </row>
    <row r="1247" spans="1:13">
      <c r="A1247" s="11" t="s">
        <v>1260</v>
      </c>
      <c r="B1247" s="11" t="s">
        <v>1261</v>
      </c>
      <c r="C1247" s="13">
        <v>218</v>
      </c>
      <c r="D1247" s="15" t="s">
        <v>1120</v>
      </c>
      <c r="E1247" s="13">
        <v>212000</v>
      </c>
      <c r="F1247" s="13">
        <f>ROUND(E1247*C1247,0)</f>
        <v>46216000</v>
      </c>
      <c r="G1247" s="13">
        <v>58300</v>
      </c>
      <c r="H1247" s="13">
        <f>ROUND(G1247*C1247,0)</f>
        <v>12709400</v>
      </c>
      <c r="I1247" s="13">
        <v>32975</v>
      </c>
      <c r="J1247" s="13">
        <f>ROUND(I1247*C1247,0)</f>
        <v>7188550</v>
      </c>
      <c r="K1247" s="13">
        <f>E1247+G1247+I1247</f>
        <v>303275</v>
      </c>
      <c r="L1247" s="13">
        <f>F1247+H1247+J1247</f>
        <v>66113950</v>
      </c>
      <c r="M1247" s="11"/>
    </row>
    <row r="1248" spans="1:13">
      <c r="A1248" s="11" t="s">
        <v>1262</v>
      </c>
      <c r="B1248" s="11"/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</row>
    <row r="1249" spans="1:13">
      <c r="A1249" s="11" t="s">
        <v>617</v>
      </c>
      <c r="B1249" s="11" t="s">
        <v>413</v>
      </c>
      <c r="C1249" s="13">
        <v>29</v>
      </c>
      <c r="D1249" s="15" t="s">
        <v>108</v>
      </c>
      <c r="E1249" s="13">
        <v>96800</v>
      </c>
      <c r="F1249" s="13">
        <f t="shared" ref="F1249:F1265" si="223">ROUND(E1249*C1249,0)</f>
        <v>2807200</v>
      </c>
      <c r="G1249" s="13">
        <v>0</v>
      </c>
      <c r="H1249" s="13">
        <f t="shared" ref="H1249:H1265" si="224">ROUND(G1249*C1249,0)</f>
        <v>0</v>
      </c>
      <c r="I1249" s="13">
        <v>0</v>
      </c>
      <c r="J1249" s="13">
        <f t="shared" ref="J1249:J1265" si="225">ROUND(I1249*C1249,0)</f>
        <v>0</v>
      </c>
      <c r="K1249" s="13">
        <f t="shared" ref="K1249:K1265" si="226">E1249+G1249+I1249</f>
        <v>96800</v>
      </c>
      <c r="L1249" s="13">
        <f t="shared" ref="L1249:L1265" si="227">F1249+H1249+J1249</f>
        <v>2807200</v>
      </c>
      <c r="M1249" s="11"/>
    </row>
    <row r="1250" spans="1:13">
      <c r="A1250" s="11" t="s">
        <v>762</v>
      </c>
      <c r="B1250" s="11" t="s">
        <v>763</v>
      </c>
      <c r="C1250" s="13">
        <v>48</v>
      </c>
      <c r="D1250" s="15" t="s">
        <v>108</v>
      </c>
      <c r="E1250" s="13">
        <v>94820</v>
      </c>
      <c r="F1250" s="13">
        <f t="shared" si="223"/>
        <v>4551360</v>
      </c>
      <c r="G1250" s="13">
        <v>0</v>
      </c>
      <c r="H1250" s="13">
        <f t="shared" si="224"/>
        <v>0</v>
      </c>
      <c r="I1250" s="13">
        <v>0</v>
      </c>
      <c r="J1250" s="13">
        <f t="shared" si="225"/>
        <v>0</v>
      </c>
      <c r="K1250" s="13">
        <f t="shared" si="226"/>
        <v>94820</v>
      </c>
      <c r="L1250" s="13">
        <f t="shared" si="227"/>
        <v>4551360</v>
      </c>
      <c r="M1250" s="11"/>
    </row>
    <row r="1251" spans="1:13">
      <c r="A1251" s="11" t="s">
        <v>764</v>
      </c>
      <c r="B1251" s="11" t="s">
        <v>384</v>
      </c>
      <c r="C1251" s="13">
        <v>5</v>
      </c>
      <c r="D1251" s="15" t="s">
        <v>385</v>
      </c>
      <c r="E1251" s="13">
        <v>6490</v>
      </c>
      <c r="F1251" s="13">
        <f t="shared" si="223"/>
        <v>32450</v>
      </c>
      <c r="G1251" s="13">
        <v>0</v>
      </c>
      <c r="H1251" s="13">
        <f t="shared" si="224"/>
        <v>0</v>
      </c>
      <c r="I1251" s="13">
        <v>0</v>
      </c>
      <c r="J1251" s="13">
        <f t="shared" si="225"/>
        <v>0</v>
      </c>
      <c r="K1251" s="13">
        <f t="shared" si="226"/>
        <v>6490</v>
      </c>
      <c r="L1251" s="13">
        <f t="shared" si="227"/>
        <v>32450</v>
      </c>
      <c r="M1251" s="11"/>
    </row>
    <row r="1252" spans="1:13">
      <c r="A1252" s="11" t="s">
        <v>765</v>
      </c>
      <c r="B1252" s="11" t="s">
        <v>392</v>
      </c>
      <c r="C1252" s="13">
        <v>45</v>
      </c>
      <c r="D1252" s="15" t="s">
        <v>108</v>
      </c>
      <c r="E1252" s="13">
        <v>27560</v>
      </c>
      <c r="F1252" s="13">
        <f t="shared" si="223"/>
        <v>1240200</v>
      </c>
      <c r="G1252" s="13">
        <v>0</v>
      </c>
      <c r="H1252" s="13">
        <f t="shared" si="224"/>
        <v>0</v>
      </c>
      <c r="I1252" s="13">
        <v>0</v>
      </c>
      <c r="J1252" s="13">
        <f t="shared" si="225"/>
        <v>0</v>
      </c>
      <c r="K1252" s="13">
        <f t="shared" si="226"/>
        <v>27560</v>
      </c>
      <c r="L1252" s="13">
        <f t="shared" si="227"/>
        <v>1240200</v>
      </c>
      <c r="M1252" s="11"/>
    </row>
    <row r="1253" spans="1:13">
      <c r="A1253" s="11" t="s">
        <v>766</v>
      </c>
      <c r="B1253" s="11" t="s">
        <v>624</v>
      </c>
      <c r="C1253" s="13">
        <v>1033</v>
      </c>
      <c r="D1253" s="15" t="s">
        <v>108</v>
      </c>
      <c r="E1253" s="13">
        <v>19080</v>
      </c>
      <c r="F1253" s="13">
        <f t="shared" si="223"/>
        <v>19709640</v>
      </c>
      <c r="G1253" s="13">
        <v>0</v>
      </c>
      <c r="H1253" s="13">
        <f t="shared" si="224"/>
        <v>0</v>
      </c>
      <c r="I1253" s="13">
        <v>0</v>
      </c>
      <c r="J1253" s="13">
        <f t="shared" si="225"/>
        <v>0</v>
      </c>
      <c r="K1253" s="13">
        <f t="shared" si="226"/>
        <v>19080</v>
      </c>
      <c r="L1253" s="13">
        <f t="shared" si="227"/>
        <v>19709640</v>
      </c>
      <c r="M1253" s="11"/>
    </row>
    <row r="1254" spans="1:13">
      <c r="A1254" s="11" t="s">
        <v>1214</v>
      </c>
      <c r="B1254" s="11" t="s">
        <v>771</v>
      </c>
      <c r="C1254" s="13">
        <v>12</v>
      </c>
      <c r="D1254" s="15" t="s">
        <v>772</v>
      </c>
      <c r="E1254" s="13">
        <v>265000</v>
      </c>
      <c r="F1254" s="13">
        <f t="shared" si="223"/>
        <v>3180000</v>
      </c>
      <c r="G1254" s="13">
        <v>0</v>
      </c>
      <c r="H1254" s="13">
        <f t="shared" si="224"/>
        <v>0</v>
      </c>
      <c r="I1254" s="13">
        <v>0</v>
      </c>
      <c r="J1254" s="13">
        <f t="shared" si="225"/>
        <v>0</v>
      </c>
      <c r="K1254" s="13">
        <f t="shared" si="226"/>
        <v>265000</v>
      </c>
      <c r="L1254" s="13">
        <f t="shared" si="227"/>
        <v>3180000</v>
      </c>
      <c r="M1254" s="11"/>
    </row>
    <row r="1255" spans="1:13">
      <c r="A1255" s="11" t="s">
        <v>1215</v>
      </c>
      <c r="B1255" s="11" t="s">
        <v>774</v>
      </c>
      <c r="C1255" s="13">
        <v>13</v>
      </c>
      <c r="D1255" s="15" t="s">
        <v>772</v>
      </c>
      <c r="E1255" s="13">
        <v>265000</v>
      </c>
      <c r="F1255" s="13">
        <f t="shared" si="223"/>
        <v>3445000</v>
      </c>
      <c r="G1255" s="13">
        <v>0</v>
      </c>
      <c r="H1255" s="13">
        <f t="shared" si="224"/>
        <v>0</v>
      </c>
      <c r="I1255" s="13">
        <v>0</v>
      </c>
      <c r="J1255" s="13">
        <f t="shared" si="225"/>
        <v>0</v>
      </c>
      <c r="K1255" s="13">
        <f t="shared" si="226"/>
        <v>265000</v>
      </c>
      <c r="L1255" s="13">
        <f t="shared" si="227"/>
        <v>3445000</v>
      </c>
      <c r="M1255" s="11"/>
    </row>
    <row r="1256" spans="1:13">
      <c r="A1256" s="11" t="s">
        <v>1216</v>
      </c>
      <c r="B1256" s="11" t="s">
        <v>776</v>
      </c>
      <c r="C1256" s="13">
        <v>543</v>
      </c>
      <c r="D1256" s="15" t="s">
        <v>400</v>
      </c>
      <c r="E1256" s="13">
        <v>111100</v>
      </c>
      <c r="F1256" s="13">
        <f t="shared" si="223"/>
        <v>60327300</v>
      </c>
      <c r="G1256" s="13">
        <v>0</v>
      </c>
      <c r="H1256" s="13">
        <f t="shared" si="224"/>
        <v>0</v>
      </c>
      <c r="I1256" s="13">
        <v>0</v>
      </c>
      <c r="J1256" s="13">
        <f t="shared" si="225"/>
        <v>0</v>
      </c>
      <c r="K1256" s="13">
        <f t="shared" si="226"/>
        <v>111100</v>
      </c>
      <c r="L1256" s="13">
        <f t="shared" si="227"/>
        <v>60327300</v>
      </c>
      <c r="M1256" s="11"/>
    </row>
    <row r="1257" spans="1:13">
      <c r="A1257" s="11" t="s">
        <v>1217</v>
      </c>
      <c r="B1257" s="11" t="s">
        <v>778</v>
      </c>
      <c r="C1257" s="13">
        <v>543</v>
      </c>
      <c r="D1257" s="15" t="s">
        <v>400</v>
      </c>
      <c r="E1257" s="13">
        <v>104500</v>
      </c>
      <c r="F1257" s="13">
        <f t="shared" si="223"/>
        <v>56743500</v>
      </c>
      <c r="G1257" s="13">
        <v>0</v>
      </c>
      <c r="H1257" s="13">
        <f t="shared" si="224"/>
        <v>0</v>
      </c>
      <c r="I1257" s="13">
        <v>0</v>
      </c>
      <c r="J1257" s="13">
        <f t="shared" si="225"/>
        <v>0</v>
      </c>
      <c r="K1257" s="13">
        <f t="shared" si="226"/>
        <v>104500</v>
      </c>
      <c r="L1257" s="13">
        <f t="shared" si="227"/>
        <v>56743500</v>
      </c>
      <c r="M1257" s="11"/>
    </row>
    <row r="1258" spans="1:13">
      <c r="A1258" s="11" t="s">
        <v>775</v>
      </c>
      <c r="B1258" s="11" t="s">
        <v>780</v>
      </c>
      <c r="C1258" s="13">
        <v>1161</v>
      </c>
      <c r="D1258" s="15" t="s">
        <v>400</v>
      </c>
      <c r="E1258" s="13">
        <v>100100</v>
      </c>
      <c r="F1258" s="13">
        <f t="shared" si="223"/>
        <v>116216100</v>
      </c>
      <c r="G1258" s="13">
        <v>0</v>
      </c>
      <c r="H1258" s="13">
        <f t="shared" si="224"/>
        <v>0</v>
      </c>
      <c r="I1258" s="13">
        <v>0</v>
      </c>
      <c r="J1258" s="13">
        <f t="shared" si="225"/>
        <v>0</v>
      </c>
      <c r="K1258" s="13">
        <f t="shared" si="226"/>
        <v>100100</v>
      </c>
      <c r="L1258" s="13">
        <f t="shared" si="227"/>
        <v>116216100</v>
      </c>
      <c r="M1258" s="11"/>
    </row>
    <row r="1259" spans="1:13">
      <c r="A1259" s="11" t="s">
        <v>1218</v>
      </c>
      <c r="B1259" s="11" t="s">
        <v>784</v>
      </c>
      <c r="C1259" s="13">
        <v>475</v>
      </c>
      <c r="D1259" s="15" t="s">
        <v>374</v>
      </c>
      <c r="E1259" s="13">
        <v>19080</v>
      </c>
      <c r="F1259" s="13">
        <f t="shared" si="223"/>
        <v>9063000</v>
      </c>
      <c r="G1259" s="13">
        <v>0</v>
      </c>
      <c r="H1259" s="13">
        <f t="shared" si="224"/>
        <v>0</v>
      </c>
      <c r="I1259" s="13">
        <v>2048</v>
      </c>
      <c r="J1259" s="13">
        <f t="shared" si="225"/>
        <v>972800</v>
      </c>
      <c r="K1259" s="13">
        <f t="shared" si="226"/>
        <v>21128</v>
      </c>
      <c r="L1259" s="13">
        <f t="shared" si="227"/>
        <v>10035800</v>
      </c>
      <c r="M1259" s="11"/>
    </row>
    <row r="1260" spans="1:13" ht="33">
      <c r="A1260" s="11" t="s">
        <v>1219</v>
      </c>
      <c r="B1260" s="11" t="s">
        <v>788</v>
      </c>
      <c r="C1260" s="13">
        <v>9</v>
      </c>
      <c r="D1260" s="15" t="s">
        <v>374</v>
      </c>
      <c r="E1260" s="13">
        <v>30740</v>
      </c>
      <c r="F1260" s="13">
        <f t="shared" si="223"/>
        <v>276660</v>
      </c>
      <c r="G1260" s="13">
        <v>0</v>
      </c>
      <c r="H1260" s="13">
        <f t="shared" si="224"/>
        <v>0</v>
      </c>
      <c r="I1260" s="13">
        <v>2048</v>
      </c>
      <c r="J1260" s="13">
        <f t="shared" si="225"/>
        <v>18432</v>
      </c>
      <c r="K1260" s="13">
        <f t="shared" si="226"/>
        <v>32788</v>
      </c>
      <c r="L1260" s="13">
        <f t="shared" si="227"/>
        <v>295092</v>
      </c>
      <c r="M1260" s="11"/>
    </row>
    <row r="1261" spans="1:13">
      <c r="A1261" s="11" t="s">
        <v>1220</v>
      </c>
      <c r="B1261" s="11" t="s">
        <v>790</v>
      </c>
      <c r="C1261" s="13">
        <v>26</v>
      </c>
      <c r="D1261" s="15" t="s">
        <v>374</v>
      </c>
      <c r="E1261" s="13">
        <v>18020</v>
      </c>
      <c r="F1261" s="13">
        <f t="shared" si="223"/>
        <v>468520</v>
      </c>
      <c r="G1261" s="13">
        <v>0</v>
      </c>
      <c r="H1261" s="13">
        <f t="shared" si="224"/>
        <v>0</v>
      </c>
      <c r="I1261" s="13">
        <v>2048</v>
      </c>
      <c r="J1261" s="13">
        <f t="shared" si="225"/>
        <v>53248</v>
      </c>
      <c r="K1261" s="13">
        <f t="shared" si="226"/>
        <v>20068</v>
      </c>
      <c r="L1261" s="13">
        <f t="shared" si="227"/>
        <v>521768</v>
      </c>
      <c r="M1261" s="11"/>
    </row>
    <row r="1262" spans="1:13" ht="33">
      <c r="A1262" s="11" t="s">
        <v>1221</v>
      </c>
      <c r="B1262" s="11" t="s">
        <v>792</v>
      </c>
      <c r="C1262" s="13">
        <v>220</v>
      </c>
      <c r="D1262" s="15" t="s">
        <v>374</v>
      </c>
      <c r="E1262" s="13">
        <v>9010</v>
      </c>
      <c r="F1262" s="13">
        <f t="shared" si="223"/>
        <v>1982200</v>
      </c>
      <c r="G1262" s="13">
        <v>0</v>
      </c>
      <c r="H1262" s="13">
        <f t="shared" si="224"/>
        <v>0</v>
      </c>
      <c r="I1262" s="13">
        <v>787</v>
      </c>
      <c r="J1262" s="13">
        <f t="shared" si="225"/>
        <v>173140</v>
      </c>
      <c r="K1262" s="13">
        <f t="shared" si="226"/>
        <v>9797</v>
      </c>
      <c r="L1262" s="13">
        <f t="shared" si="227"/>
        <v>2155340</v>
      </c>
      <c r="M1262" s="11"/>
    </row>
    <row r="1263" spans="1:13">
      <c r="A1263" s="11" t="s">
        <v>1222</v>
      </c>
      <c r="B1263" s="11" t="s">
        <v>794</v>
      </c>
      <c r="C1263" s="13">
        <v>1126</v>
      </c>
      <c r="D1263" s="15" t="s">
        <v>102</v>
      </c>
      <c r="E1263" s="13">
        <v>14628</v>
      </c>
      <c r="F1263" s="13">
        <f t="shared" si="223"/>
        <v>16471128</v>
      </c>
      <c r="G1263" s="13">
        <v>0</v>
      </c>
      <c r="H1263" s="13">
        <f t="shared" si="224"/>
        <v>0</v>
      </c>
      <c r="I1263" s="13">
        <v>2742</v>
      </c>
      <c r="J1263" s="13">
        <f t="shared" si="225"/>
        <v>3087492</v>
      </c>
      <c r="K1263" s="13">
        <f t="shared" si="226"/>
        <v>17370</v>
      </c>
      <c r="L1263" s="13">
        <f t="shared" si="227"/>
        <v>19558620</v>
      </c>
      <c r="M1263" s="11"/>
    </row>
    <row r="1264" spans="1:13">
      <c r="A1264" s="11" t="s">
        <v>1223</v>
      </c>
      <c r="B1264" s="11" t="s">
        <v>796</v>
      </c>
      <c r="C1264" s="13">
        <v>190</v>
      </c>
      <c r="D1264" s="15" t="s">
        <v>374</v>
      </c>
      <c r="E1264" s="13">
        <v>4028</v>
      </c>
      <c r="F1264" s="13">
        <f t="shared" si="223"/>
        <v>765320</v>
      </c>
      <c r="G1264" s="13">
        <v>0</v>
      </c>
      <c r="H1264" s="13">
        <f t="shared" si="224"/>
        <v>0</v>
      </c>
      <c r="I1264" s="13">
        <v>2742</v>
      </c>
      <c r="J1264" s="13">
        <f t="shared" si="225"/>
        <v>520980</v>
      </c>
      <c r="K1264" s="13">
        <f t="shared" si="226"/>
        <v>6770</v>
      </c>
      <c r="L1264" s="13">
        <f t="shared" si="227"/>
        <v>1286300</v>
      </c>
      <c r="M1264" s="11"/>
    </row>
    <row r="1265" spans="1:13">
      <c r="A1265" s="11" t="s">
        <v>1224</v>
      </c>
      <c r="B1265" s="11" t="s">
        <v>796</v>
      </c>
      <c r="C1265" s="13">
        <v>11</v>
      </c>
      <c r="D1265" s="15" t="s">
        <v>374</v>
      </c>
      <c r="E1265" s="13">
        <v>4028</v>
      </c>
      <c r="F1265" s="13">
        <f t="shared" si="223"/>
        <v>44308</v>
      </c>
      <c r="G1265" s="13">
        <v>0</v>
      </c>
      <c r="H1265" s="13">
        <f t="shared" si="224"/>
        <v>0</v>
      </c>
      <c r="I1265" s="13">
        <v>2742</v>
      </c>
      <c r="J1265" s="13">
        <f t="shared" si="225"/>
        <v>30162</v>
      </c>
      <c r="K1265" s="13">
        <f t="shared" si="226"/>
        <v>6770</v>
      </c>
      <c r="L1265" s="13">
        <f t="shared" si="227"/>
        <v>74470</v>
      </c>
      <c r="M1265" s="11"/>
    </row>
    <row r="1266" spans="1:13">
      <c r="A1266" s="19" t="s">
        <v>1263</v>
      </c>
      <c r="B1266" s="20"/>
      <c r="C1266" s="21"/>
      <c r="D1266" s="21"/>
      <c r="E1266" s="21"/>
      <c r="F1266" s="22">
        <f>SUM(F1268:F1294)</f>
        <v>165547569</v>
      </c>
      <c r="G1266" s="21"/>
      <c r="H1266" s="22">
        <f>SUM(H1268:H1294)</f>
        <v>130125812</v>
      </c>
      <c r="I1266" s="21"/>
      <c r="J1266" s="22">
        <f>SUM(J1268:J1294)</f>
        <v>21167875</v>
      </c>
      <c r="K1266" s="21"/>
      <c r="L1266" s="22">
        <f>F1266+H1266+J1266</f>
        <v>316841256</v>
      </c>
      <c r="M1266" s="21"/>
    </row>
    <row r="1267" spans="1:13">
      <c r="A1267" s="11" t="s">
        <v>1226</v>
      </c>
      <c r="B1267" s="11" t="s">
        <v>1264</v>
      </c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</row>
    <row r="1268" spans="1:13">
      <c r="A1268" s="11" t="s">
        <v>800</v>
      </c>
      <c r="B1268" s="11" t="s">
        <v>353</v>
      </c>
      <c r="C1268" s="13">
        <v>507</v>
      </c>
      <c r="D1268" s="15" t="s">
        <v>108</v>
      </c>
      <c r="E1268" s="13">
        <v>0</v>
      </c>
      <c r="F1268" s="13">
        <f t="shared" ref="F1268:F1283" si="228">ROUND(E1268*C1268,0)</f>
        <v>0</v>
      </c>
      <c r="G1268" s="13">
        <v>14840</v>
      </c>
      <c r="H1268" s="13">
        <f t="shared" ref="H1268:H1283" si="229">ROUND(G1268*C1268,0)</f>
        <v>7523880</v>
      </c>
      <c r="I1268" s="13">
        <v>14231</v>
      </c>
      <c r="J1268" s="13">
        <f t="shared" ref="J1268:J1283" si="230">ROUND(I1268*C1268,0)</f>
        <v>7215117</v>
      </c>
      <c r="K1268" s="13">
        <f t="shared" ref="K1268:K1283" si="231">E1268+G1268+I1268</f>
        <v>29071</v>
      </c>
      <c r="L1268" s="13">
        <f t="shared" ref="L1268:L1283" si="232">F1268+H1268+J1268</f>
        <v>14738997</v>
      </c>
      <c r="M1268" s="11"/>
    </row>
    <row r="1269" spans="1:13">
      <c r="A1269" s="11" t="s">
        <v>801</v>
      </c>
      <c r="B1269" s="11" t="s">
        <v>256</v>
      </c>
      <c r="C1269" s="13">
        <v>71</v>
      </c>
      <c r="D1269" s="15" t="s">
        <v>108</v>
      </c>
      <c r="E1269" s="13">
        <v>0</v>
      </c>
      <c r="F1269" s="13">
        <f t="shared" si="228"/>
        <v>0</v>
      </c>
      <c r="G1269" s="13">
        <v>13780</v>
      </c>
      <c r="H1269" s="13">
        <f t="shared" si="229"/>
        <v>978380</v>
      </c>
      <c r="I1269" s="13">
        <v>12727</v>
      </c>
      <c r="J1269" s="13">
        <f t="shared" si="230"/>
        <v>903617</v>
      </c>
      <c r="K1269" s="13">
        <f t="shared" si="231"/>
        <v>26507</v>
      </c>
      <c r="L1269" s="13">
        <f t="shared" si="232"/>
        <v>1881997</v>
      </c>
      <c r="M1269" s="11"/>
    </row>
    <row r="1270" spans="1:13">
      <c r="A1270" s="11" t="s">
        <v>802</v>
      </c>
      <c r="B1270" s="11" t="s">
        <v>803</v>
      </c>
      <c r="C1270" s="24">
        <v>43.957999999999998</v>
      </c>
      <c r="D1270" s="15" t="s">
        <v>638</v>
      </c>
      <c r="E1270" s="13">
        <v>79500</v>
      </c>
      <c r="F1270" s="13">
        <f t="shared" si="228"/>
        <v>3494661</v>
      </c>
      <c r="G1270" s="13">
        <v>583000</v>
      </c>
      <c r="H1270" s="13">
        <f t="shared" si="229"/>
        <v>25627514</v>
      </c>
      <c r="I1270" s="13">
        <v>98347</v>
      </c>
      <c r="J1270" s="13">
        <f t="shared" si="230"/>
        <v>4323137</v>
      </c>
      <c r="K1270" s="13">
        <f t="shared" si="231"/>
        <v>760847</v>
      </c>
      <c r="L1270" s="13">
        <f t="shared" si="232"/>
        <v>33445312</v>
      </c>
      <c r="M1270" s="11"/>
    </row>
    <row r="1271" spans="1:13">
      <c r="A1271" s="11" t="s">
        <v>804</v>
      </c>
      <c r="B1271" s="11" t="s">
        <v>805</v>
      </c>
      <c r="C1271" s="13">
        <v>845</v>
      </c>
      <c r="D1271" s="15" t="s">
        <v>102</v>
      </c>
      <c r="E1271" s="13">
        <v>5618</v>
      </c>
      <c r="F1271" s="13">
        <f t="shared" si="228"/>
        <v>4747210</v>
      </c>
      <c r="G1271" s="13">
        <v>19080</v>
      </c>
      <c r="H1271" s="13">
        <f t="shared" si="229"/>
        <v>16122600</v>
      </c>
      <c r="I1271" s="13">
        <v>2314</v>
      </c>
      <c r="J1271" s="13">
        <f t="shared" si="230"/>
        <v>1955330</v>
      </c>
      <c r="K1271" s="13">
        <f t="shared" si="231"/>
        <v>27012</v>
      </c>
      <c r="L1271" s="13">
        <f t="shared" si="232"/>
        <v>22825140</v>
      </c>
      <c r="M1271" s="11"/>
    </row>
    <row r="1272" spans="1:13">
      <c r="A1272" s="11" t="s">
        <v>806</v>
      </c>
      <c r="B1272" s="11" t="s">
        <v>481</v>
      </c>
      <c r="C1272" s="13">
        <v>1267</v>
      </c>
      <c r="D1272" s="15" t="s">
        <v>102</v>
      </c>
      <c r="E1272" s="13">
        <v>10070</v>
      </c>
      <c r="F1272" s="13">
        <f t="shared" si="228"/>
        <v>12758690</v>
      </c>
      <c r="G1272" s="13">
        <v>33920</v>
      </c>
      <c r="H1272" s="13">
        <f t="shared" si="229"/>
        <v>42976640</v>
      </c>
      <c r="I1272" s="13">
        <v>2314</v>
      </c>
      <c r="J1272" s="13">
        <f t="shared" si="230"/>
        <v>2931838</v>
      </c>
      <c r="K1272" s="13">
        <f t="shared" si="231"/>
        <v>46304</v>
      </c>
      <c r="L1272" s="13">
        <f t="shared" si="232"/>
        <v>58667168</v>
      </c>
      <c r="M1272" s="11"/>
    </row>
    <row r="1273" spans="1:13">
      <c r="A1273" s="11" t="s">
        <v>807</v>
      </c>
      <c r="B1273" s="11" t="s">
        <v>258</v>
      </c>
      <c r="C1273" s="13">
        <v>43</v>
      </c>
      <c r="D1273" s="15" t="s">
        <v>102</v>
      </c>
      <c r="E1273" s="13">
        <v>7950</v>
      </c>
      <c r="F1273" s="13">
        <f t="shared" si="228"/>
        <v>341850</v>
      </c>
      <c r="G1273" s="13">
        <v>21200</v>
      </c>
      <c r="H1273" s="13">
        <f t="shared" si="229"/>
        <v>911600</v>
      </c>
      <c r="I1273" s="13">
        <v>4050</v>
      </c>
      <c r="J1273" s="13">
        <f t="shared" si="230"/>
        <v>174150</v>
      </c>
      <c r="K1273" s="13">
        <f t="shared" si="231"/>
        <v>33200</v>
      </c>
      <c r="L1273" s="13">
        <f t="shared" si="232"/>
        <v>1427600</v>
      </c>
      <c r="M1273" s="11"/>
    </row>
    <row r="1274" spans="1:13">
      <c r="A1274" s="11" t="s">
        <v>808</v>
      </c>
      <c r="B1274" s="11" t="s">
        <v>809</v>
      </c>
      <c r="C1274" s="13">
        <v>688</v>
      </c>
      <c r="D1274" s="15" t="s">
        <v>102</v>
      </c>
      <c r="E1274" s="13">
        <v>4770</v>
      </c>
      <c r="F1274" s="13">
        <f t="shared" si="228"/>
        <v>3281760</v>
      </c>
      <c r="G1274" s="13">
        <v>12720</v>
      </c>
      <c r="H1274" s="13">
        <f t="shared" si="229"/>
        <v>8751360</v>
      </c>
      <c r="I1274" s="13">
        <v>2314</v>
      </c>
      <c r="J1274" s="13">
        <f t="shared" si="230"/>
        <v>1592032</v>
      </c>
      <c r="K1274" s="13">
        <f t="shared" si="231"/>
        <v>19804</v>
      </c>
      <c r="L1274" s="13">
        <f t="shared" si="232"/>
        <v>13625152</v>
      </c>
      <c r="M1274" s="11"/>
    </row>
    <row r="1275" spans="1:13">
      <c r="A1275" s="11" t="s">
        <v>810</v>
      </c>
      <c r="B1275" s="11" t="s">
        <v>811</v>
      </c>
      <c r="C1275" s="13">
        <v>5040</v>
      </c>
      <c r="D1275" s="15" t="s">
        <v>102</v>
      </c>
      <c r="E1275" s="13">
        <v>530</v>
      </c>
      <c r="F1275" s="13">
        <f t="shared" si="228"/>
        <v>2671200</v>
      </c>
      <c r="G1275" s="13">
        <v>1060</v>
      </c>
      <c r="H1275" s="13">
        <f t="shared" si="229"/>
        <v>5342400</v>
      </c>
      <c r="I1275" s="13">
        <v>0</v>
      </c>
      <c r="J1275" s="13">
        <f t="shared" si="230"/>
        <v>0</v>
      </c>
      <c r="K1275" s="13">
        <f t="shared" si="231"/>
        <v>1590</v>
      </c>
      <c r="L1275" s="13">
        <f t="shared" si="232"/>
        <v>8013600</v>
      </c>
      <c r="M1275" s="11"/>
    </row>
    <row r="1276" spans="1:13">
      <c r="A1276" s="11" t="s">
        <v>812</v>
      </c>
      <c r="B1276" s="11" t="s">
        <v>813</v>
      </c>
      <c r="C1276" s="13">
        <v>4362</v>
      </c>
      <c r="D1276" s="15" t="s">
        <v>102</v>
      </c>
      <c r="E1276" s="13">
        <v>530</v>
      </c>
      <c r="F1276" s="13">
        <f t="shared" si="228"/>
        <v>2311860</v>
      </c>
      <c r="G1276" s="13">
        <v>1060</v>
      </c>
      <c r="H1276" s="13">
        <f t="shared" si="229"/>
        <v>4623720</v>
      </c>
      <c r="I1276" s="13">
        <v>0</v>
      </c>
      <c r="J1276" s="13">
        <f t="shared" si="230"/>
        <v>0</v>
      </c>
      <c r="K1276" s="13">
        <f t="shared" si="231"/>
        <v>1590</v>
      </c>
      <c r="L1276" s="13">
        <f t="shared" si="232"/>
        <v>6935580</v>
      </c>
      <c r="M1276" s="11"/>
    </row>
    <row r="1277" spans="1:13">
      <c r="A1277" s="11" t="s">
        <v>814</v>
      </c>
      <c r="B1277" s="11" t="s">
        <v>815</v>
      </c>
      <c r="C1277" s="13">
        <v>33</v>
      </c>
      <c r="D1277" s="15" t="s">
        <v>240</v>
      </c>
      <c r="E1277" s="13">
        <v>10600</v>
      </c>
      <c r="F1277" s="13">
        <f t="shared" si="228"/>
        <v>349800</v>
      </c>
      <c r="G1277" s="13">
        <v>5512</v>
      </c>
      <c r="H1277" s="13">
        <f t="shared" si="229"/>
        <v>181896</v>
      </c>
      <c r="I1277" s="13">
        <v>0</v>
      </c>
      <c r="J1277" s="13">
        <f t="shared" si="230"/>
        <v>0</v>
      </c>
      <c r="K1277" s="13">
        <f t="shared" si="231"/>
        <v>16112</v>
      </c>
      <c r="L1277" s="13">
        <f t="shared" si="232"/>
        <v>531696</v>
      </c>
      <c r="M1277" s="11"/>
    </row>
    <row r="1278" spans="1:13">
      <c r="A1278" s="11" t="s">
        <v>816</v>
      </c>
      <c r="B1278" s="11" t="s">
        <v>817</v>
      </c>
      <c r="C1278" s="13">
        <v>681</v>
      </c>
      <c r="D1278" s="15" t="s">
        <v>102</v>
      </c>
      <c r="E1278" s="13">
        <v>4865</v>
      </c>
      <c r="F1278" s="13">
        <f t="shared" si="228"/>
        <v>3313065</v>
      </c>
      <c r="G1278" s="13">
        <v>9752</v>
      </c>
      <c r="H1278" s="13">
        <f t="shared" si="229"/>
        <v>6641112</v>
      </c>
      <c r="I1278" s="13">
        <v>694</v>
      </c>
      <c r="J1278" s="13">
        <f t="shared" si="230"/>
        <v>472614</v>
      </c>
      <c r="K1278" s="13">
        <f t="shared" si="231"/>
        <v>15311</v>
      </c>
      <c r="L1278" s="13">
        <f t="shared" si="232"/>
        <v>10426791</v>
      </c>
      <c r="M1278" s="11"/>
    </row>
    <row r="1279" spans="1:13">
      <c r="A1279" s="11" t="s">
        <v>818</v>
      </c>
      <c r="B1279" s="11"/>
      <c r="C1279" s="13">
        <v>681</v>
      </c>
      <c r="D1279" s="15" t="s">
        <v>102</v>
      </c>
      <c r="E1279" s="13">
        <v>1272</v>
      </c>
      <c r="F1279" s="13">
        <f t="shared" si="228"/>
        <v>866232</v>
      </c>
      <c r="G1279" s="13">
        <v>1060</v>
      </c>
      <c r="H1279" s="13">
        <f t="shared" si="229"/>
        <v>721860</v>
      </c>
      <c r="I1279" s="13">
        <v>0</v>
      </c>
      <c r="J1279" s="13">
        <f t="shared" si="230"/>
        <v>0</v>
      </c>
      <c r="K1279" s="13">
        <f t="shared" si="231"/>
        <v>2332</v>
      </c>
      <c r="L1279" s="13">
        <f t="shared" si="232"/>
        <v>1588092</v>
      </c>
      <c r="M1279" s="11"/>
    </row>
    <row r="1280" spans="1:13">
      <c r="A1280" s="11" t="s">
        <v>819</v>
      </c>
      <c r="B1280" s="11" t="s">
        <v>820</v>
      </c>
      <c r="C1280" s="13">
        <v>76</v>
      </c>
      <c r="D1280" s="15" t="s">
        <v>102</v>
      </c>
      <c r="E1280" s="13">
        <v>13250</v>
      </c>
      <c r="F1280" s="13">
        <f t="shared" si="228"/>
        <v>1007000</v>
      </c>
      <c r="G1280" s="13">
        <v>10600</v>
      </c>
      <c r="H1280" s="13">
        <f t="shared" si="229"/>
        <v>805600</v>
      </c>
      <c r="I1280" s="13">
        <v>0</v>
      </c>
      <c r="J1280" s="13">
        <f t="shared" si="230"/>
        <v>0</v>
      </c>
      <c r="K1280" s="13">
        <f t="shared" si="231"/>
        <v>23850</v>
      </c>
      <c r="L1280" s="13">
        <f t="shared" si="232"/>
        <v>1812600</v>
      </c>
      <c r="M1280" s="11"/>
    </row>
    <row r="1281" spans="1:13">
      <c r="A1281" s="11" t="s">
        <v>821</v>
      </c>
      <c r="B1281" s="11" t="s">
        <v>822</v>
      </c>
      <c r="C1281" s="13">
        <v>1561</v>
      </c>
      <c r="D1281" s="15" t="s">
        <v>374</v>
      </c>
      <c r="E1281" s="13">
        <v>13568</v>
      </c>
      <c r="F1281" s="13">
        <f t="shared" si="228"/>
        <v>21179648</v>
      </c>
      <c r="G1281" s="13">
        <v>2650</v>
      </c>
      <c r="H1281" s="13">
        <f t="shared" si="229"/>
        <v>4136650</v>
      </c>
      <c r="I1281" s="13">
        <v>0</v>
      </c>
      <c r="J1281" s="13">
        <f t="shared" si="230"/>
        <v>0</v>
      </c>
      <c r="K1281" s="13">
        <f t="shared" si="231"/>
        <v>16218</v>
      </c>
      <c r="L1281" s="13">
        <f t="shared" si="232"/>
        <v>25316298</v>
      </c>
      <c r="M1281" s="11"/>
    </row>
    <row r="1282" spans="1:13">
      <c r="A1282" s="11" t="s">
        <v>823</v>
      </c>
      <c r="B1282" s="11" t="s">
        <v>824</v>
      </c>
      <c r="C1282" s="13">
        <v>635</v>
      </c>
      <c r="D1282" s="15" t="s">
        <v>240</v>
      </c>
      <c r="E1282" s="13">
        <v>3392</v>
      </c>
      <c r="F1282" s="13">
        <f t="shared" si="228"/>
        <v>2153920</v>
      </c>
      <c r="G1282" s="13">
        <v>6890</v>
      </c>
      <c r="H1282" s="13">
        <f t="shared" si="229"/>
        <v>4375150</v>
      </c>
      <c r="I1282" s="13">
        <v>0</v>
      </c>
      <c r="J1282" s="13">
        <f t="shared" si="230"/>
        <v>0</v>
      </c>
      <c r="K1282" s="13">
        <f t="shared" si="231"/>
        <v>10282</v>
      </c>
      <c r="L1282" s="13">
        <f t="shared" si="232"/>
        <v>6529070</v>
      </c>
      <c r="M1282" s="11"/>
    </row>
    <row r="1283" spans="1:13">
      <c r="A1283" s="11" t="s">
        <v>825</v>
      </c>
      <c r="B1283" s="11" t="s">
        <v>826</v>
      </c>
      <c r="C1283" s="13">
        <v>153</v>
      </c>
      <c r="D1283" s="15" t="s">
        <v>108</v>
      </c>
      <c r="E1283" s="13">
        <v>0</v>
      </c>
      <c r="F1283" s="13">
        <f t="shared" si="228"/>
        <v>0</v>
      </c>
      <c r="G1283" s="13">
        <v>2650</v>
      </c>
      <c r="H1283" s="13">
        <f t="shared" si="229"/>
        <v>405450</v>
      </c>
      <c r="I1283" s="13">
        <v>3610</v>
      </c>
      <c r="J1283" s="13">
        <f t="shared" si="230"/>
        <v>552330</v>
      </c>
      <c r="K1283" s="13">
        <f t="shared" si="231"/>
        <v>6260</v>
      </c>
      <c r="L1283" s="13">
        <f t="shared" si="232"/>
        <v>957780</v>
      </c>
      <c r="M1283" s="11"/>
    </row>
    <row r="1284" spans="1:13">
      <c r="A1284" s="11" t="s">
        <v>827</v>
      </c>
      <c r="B1284" s="11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</row>
    <row r="1285" spans="1:13">
      <c r="A1285" s="11" t="s">
        <v>828</v>
      </c>
      <c r="B1285" s="11" t="s">
        <v>408</v>
      </c>
      <c r="C1285" s="24">
        <v>45.277000000000001</v>
      </c>
      <c r="D1285" s="15" t="s">
        <v>400</v>
      </c>
      <c r="E1285" s="13">
        <v>0</v>
      </c>
      <c r="F1285" s="13">
        <f>ROUND(E1285*C1285,0)</f>
        <v>0</v>
      </c>
      <c r="G1285" s="13">
        <v>0</v>
      </c>
      <c r="H1285" s="13">
        <f>ROUND(G1285*C1285,0)</f>
        <v>0</v>
      </c>
      <c r="I1285" s="13">
        <v>23140</v>
      </c>
      <c r="J1285" s="13">
        <f>ROUND(I1285*C1285,0)</f>
        <v>1047710</v>
      </c>
      <c r="K1285" s="13">
        <f>E1285+G1285+I1285</f>
        <v>23140</v>
      </c>
      <c r="L1285" s="13">
        <f>F1285+H1285+J1285</f>
        <v>1047710</v>
      </c>
      <c r="M1285" s="11"/>
    </row>
    <row r="1286" spans="1:13">
      <c r="A1286" s="11" t="s">
        <v>829</v>
      </c>
      <c r="B1286" s="11" t="s">
        <v>410</v>
      </c>
      <c r="C1286" s="24">
        <v>0.92300000000000004</v>
      </c>
      <c r="D1286" s="15" t="s">
        <v>400</v>
      </c>
      <c r="E1286" s="13">
        <v>-440000</v>
      </c>
      <c r="F1286" s="13">
        <f>ROUND(E1286*C1286,0)</f>
        <v>-406120</v>
      </c>
      <c r="G1286" s="13">
        <v>0</v>
      </c>
      <c r="H1286" s="13">
        <f>ROUND(G1286*C1286,0)</f>
        <v>0</v>
      </c>
      <c r="I1286" s="13">
        <v>0</v>
      </c>
      <c r="J1286" s="13">
        <f>ROUND(I1286*C1286,0)</f>
        <v>0</v>
      </c>
      <c r="K1286" s="13">
        <f>E1286+G1286+I1286</f>
        <v>-440000</v>
      </c>
      <c r="L1286" s="13">
        <f>F1286+H1286+J1286</f>
        <v>-406120</v>
      </c>
      <c r="M1286" s="11"/>
    </row>
    <row r="1287" spans="1:13">
      <c r="A1287" s="11" t="s">
        <v>830</v>
      </c>
      <c r="B1287" s="11"/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</row>
    <row r="1288" spans="1:13">
      <c r="A1288" s="11" t="s">
        <v>412</v>
      </c>
      <c r="B1288" s="11" t="s">
        <v>831</v>
      </c>
      <c r="C1288" s="13">
        <v>512</v>
      </c>
      <c r="D1288" s="15" t="s">
        <v>108</v>
      </c>
      <c r="E1288" s="13">
        <v>103950</v>
      </c>
      <c r="F1288" s="13">
        <f t="shared" ref="F1288:F1294" si="233">ROUND(E1288*C1288,0)</f>
        <v>53222400</v>
      </c>
      <c r="G1288" s="13">
        <v>0</v>
      </c>
      <c r="H1288" s="13">
        <f t="shared" ref="H1288:H1294" si="234">ROUND(G1288*C1288,0)</f>
        <v>0</v>
      </c>
      <c r="I1288" s="13">
        <v>0</v>
      </c>
      <c r="J1288" s="13">
        <f t="shared" ref="J1288:J1294" si="235">ROUND(I1288*C1288,0)</f>
        <v>0</v>
      </c>
      <c r="K1288" s="13">
        <f t="shared" ref="K1288:L1294" si="236">E1288+G1288+I1288</f>
        <v>103950</v>
      </c>
      <c r="L1288" s="13">
        <f t="shared" si="236"/>
        <v>53222400</v>
      </c>
      <c r="M1288" s="11"/>
    </row>
    <row r="1289" spans="1:13">
      <c r="A1289" s="11" t="s">
        <v>414</v>
      </c>
      <c r="B1289" s="11" t="s">
        <v>832</v>
      </c>
      <c r="C1289" s="13">
        <v>71</v>
      </c>
      <c r="D1289" s="15" t="s">
        <v>108</v>
      </c>
      <c r="E1289" s="13">
        <v>96800</v>
      </c>
      <c r="F1289" s="13">
        <f t="shared" si="233"/>
        <v>6872800</v>
      </c>
      <c r="G1289" s="13">
        <v>0</v>
      </c>
      <c r="H1289" s="13">
        <f t="shared" si="234"/>
        <v>0</v>
      </c>
      <c r="I1289" s="13">
        <v>0</v>
      </c>
      <c r="J1289" s="13">
        <f t="shared" si="235"/>
        <v>0</v>
      </c>
      <c r="K1289" s="13">
        <f t="shared" si="236"/>
        <v>96800</v>
      </c>
      <c r="L1289" s="13">
        <f t="shared" si="236"/>
        <v>6872800</v>
      </c>
      <c r="M1289" s="11"/>
    </row>
    <row r="1290" spans="1:13">
      <c r="A1290" s="11" t="s">
        <v>395</v>
      </c>
      <c r="B1290" s="11" t="s">
        <v>768</v>
      </c>
      <c r="C1290" s="13">
        <v>160</v>
      </c>
      <c r="D1290" s="15" t="s">
        <v>108</v>
      </c>
      <c r="E1290" s="13">
        <v>19080</v>
      </c>
      <c r="F1290" s="13">
        <f t="shared" si="233"/>
        <v>3052800</v>
      </c>
      <c r="G1290" s="13">
        <v>0</v>
      </c>
      <c r="H1290" s="13">
        <f t="shared" si="234"/>
        <v>0</v>
      </c>
      <c r="I1290" s="13">
        <v>0</v>
      </c>
      <c r="J1290" s="13">
        <f t="shared" si="235"/>
        <v>0</v>
      </c>
      <c r="K1290" s="13">
        <f t="shared" si="236"/>
        <v>19080</v>
      </c>
      <c r="L1290" s="13">
        <f t="shared" si="236"/>
        <v>3052800</v>
      </c>
      <c r="M1290" s="11"/>
    </row>
    <row r="1291" spans="1:13" ht="33">
      <c r="A1291" s="11" t="s">
        <v>405</v>
      </c>
      <c r="B1291" s="11" t="s">
        <v>833</v>
      </c>
      <c r="C1291" s="24">
        <v>43.046999999999997</v>
      </c>
      <c r="D1291" s="15" t="s">
        <v>834</v>
      </c>
      <c r="E1291" s="13">
        <v>979057</v>
      </c>
      <c r="F1291" s="13">
        <f t="shared" si="233"/>
        <v>42145467</v>
      </c>
      <c r="G1291" s="13">
        <v>0</v>
      </c>
      <c r="H1291" s="13">
        <f t="shared" si="234"/>
        <v>0</v>
      </c>
      <c r="I1291" s="13">
        <v>0</v>
      </c>
      <c r="J1291" s="13">
        <f t="shared" si="235"/>
        <v>0</v>
      </c>
      <c r="K1291" s="13">
        <f t="shared" si="236"/>
        <v>979057</v>
      </c>
      <c r="L1291" s="13">
        <f t="shared" si="236"/>
        <v>42145467</v>
      </c>
      <c r="M1291" s="11"/>
    </row>
    <row r="1292" spans="1:13" ht="33">
      <c r="A1292" s="11" t="s">
        <v>835</v>
      </c>
      <c r="B1292" s="11" t="s">
        <v>836</v>
      </c>
      <c r="C1292" s="24">
        <v>2.23</v>
      </c>
      <c r="D1292" s="15" t="s">
        <v>834</v>
      </c>
      <c r="E1292" s="13">
        <v>979070</v>
      </c>
      <c r="F1292" s="13">
        <f t="shared" si="233"/>
        <v>2183326</v>
      </c>
      <c r="G1292" s="13">
        <v>0</v>
      </c>
      <c r="H1292" s="13">
        <f t="shared" si="234"/>
        <v>0</v>
      </c>
      <c r="I1292" s="13">
        <v>0</v>
      </c>
      <c r="J1292" s="13">
        <f t="shared" si="235"/>
        <v>0</v>
      </c>
      <c r="K1292" s="13">
        <f t="shared" si="236"/>
        <v>979070</v>
      </c>
      <c r="L1292" s="13">
        <f t="shared" si="236"/>
        <v>2183326</v>
      </c>
      <c r="M1292" s="11"/>
    </row>
    <row r="1293" spans="1:13" ht="33">
      <c r="A1293" s="11" t="s">
        <v>837</v>
      </c>
      <c r="B1293" s="11" t="s">
        <v>838</v>
      </c>
      <c r="C1293" s="13">
        <v>0</v>
      </c>
      <c r="D1293" s="15" t="s">
        <v>834</v>
      </c>
      <c r="E1293" s="13">
        <v>979057</v>
      </c>
      <c r="F1293" s="13">
        <f t="shared" si="233"/>
        <v>0</v>
      </c>
      <c r="G1293" s="13">
        <v>0</v>
      </c>
      <c r="H1293" s="13">
        <f t="shared" si="234"/>
        <v>0</v>
      </c>
      <c r="I1293" s="13">
        <v>0</v>
      </c>
      <c r="J1293" s="13">
        <f t="shared" si="235"/>
        <v>0</v>
      </c>
      <c r="K1293" s="13">
        <f t="shared" si="236"/>
        <v>979057</v>
      </c>
      <c r="L1293" s="13">
        <f t="shared" si="236"/>
        <v>0</v>
      </c>
      <c r="M1293" s="11"/>
    </row>
    <row r="1294" spans="1:13" ht="33">
      <c r="A1294" s="11" t="s">
        <v>839</v>
      </c>
      <c r="B1294" s="11" t="s">
        <v>840</v>
      </c>
      <c r="C1294" s="13">
        <v>0</v>
      </c>
      <c r="D1294" s="15" t="s">
        <v>834</v>
      </c>
      <c r="E1294" s="13">
        <v>979093</v>
      </c>
      <c r="F1294" s="13">
        <f t="shared" si="233"/>
        <v>0</v>
      </c>
      <c r="G1294" s="13">
        <v>0</v>
      </c>
      <c r="H1294" s="13">
        <f t="shared" si="234"/>
        <v>0</v>
      </c>
      <c r="I1294" s="13">
        <v>0</v>
      </c>
      <c r="J1294" s="13">
        <f t="shared" si="235"/>
        <v>0</v>
      </c>
      <c r="K1294" s="13">
        <f t="shared" si="236"/>
        <v>979093</v>
      </c>
      <c r="L1294" s="13">
        <f t="shared" si="236"/>
        <v>0</v>
      </c>
      <c r="M1294" s="11"/>
    </row>
    <row r="1295" spans="1:13">
      <c r="A1295" s="19" t="s">
        <v>1265</v>
      </c>
      <c r="B1295" s="20"/>
      <c r="C1295" s="21"/>
      <c r="D1295" s="21"/>
      <c r="E1295" s="21"/>
      <c r="F1295" s="22">
        <f>SUM(F1298:F1306)</f>
        <v>0</v>
      </c>
      <c r="G1295" s="21"/>
      <c r="H1295" s="22">
        <f>SUM(H1298:H1306)</f>
        <v>1729366</v>
      </c>
      <c r="I1295" s="21"/>
      <c r="J1295" s="22">
        <f>SUM(J1298:J1306)</f>
        <v>57850</v>
      </c>
      <c r="K1295" s="21"/>
      <c r="L1295" s="22">
        <f>F1295+H1295+J1295</f>
        <v>1787216</v>
      </c>
      <c r="M1295" s="21"/>
    </row>
    <row r="1296" spans="1:13">
      <c r="A1296" s="11" t="s">
        <v>869</v>
      </c>
      <c r="B1296" s="11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</row>
    <row r="1297" spans="1:13">
      <c r="A1297" s="11" t="s">
        <v>221</v>
      </c>
      <c r="B1297" s="11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</row>
    <row r="1298" spans="1:13">
      <c r="A1298" s="11" t="s">
        <v>843</v>
      </c>
      <c r="B1298" s="11" t="s">
        <v>226</v>
      </c>
      <c r="C1298" s="13">
        <v>19</v>
      </c>
      <c r="D1298" s="15" t="s">
        <v>108</v>
      </c>
      <c r="E1298" s="13">
        <v>0</v>
      </c>
      <c r="F1298" s="13">
        <f>ROUND(E1298*C1298,0)</f>
        <v>0</v>
      </c>
      <c r="G1298" s="13">
        <v>68900</v>
      </c>
      <c r="H1298" s="13">
        <f>ROUND(G1298*C1298,0)</f>
        <v>1309100</v>
      </c>
      <c r="I1298" s="13">
        <v>0</v>
      </c>
      <c r="J1298" s="13">
        <f>ROUND(I1298*C1298,0)</f>
        <v>0</v>
      </c>
      <c r="K1298" s="13">
        <f>E1298+G1298+I1298</f>
        <v>68900</v>
      </c>
      <c r="L1298" s="13">
        <f>F1298+H1298+J1298</f>
        <v>1309100</v>
      </c>
      <c r="M1298" s="11"/>
    </row>
    <row r="1299" spans="1:13">
      <c r="A1299" s="11" t="s">
        <v>227</v>
      </c>
      <c r="B1299" s="11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</row>
    <row r="1300" spans="1:13">
      <c r="A1300" s="11" t="s">
        <v>870</v>
      </c>
      <c r="B1300" s="11" t="s">
        <v>226</v>
      </c>
      <c r="C1300" s="13">
        <v>14</v>
      </c>
      <c r="D1300" s="15" t="s">
        <v>108</v>
      </c>
      <c r="E1300" s="13">
        <v>0</v>
      </c>
      <c r="F1300" s="13">
        <f>ROUND(E1300*C1300,0)</f>
        <v>0</v>
      </c>
      <c r="G1300" s="13">
        <v>30019</v>
      </c>
      <c r="H1300" s="13">
        <f>ROUND(G1300*C1300,0)</f>
        <v>420266</v>
      </c>
      <c r="I1300" s="13">
        <v>0</v>
      </c>
      <c r="J1300" s="13">
        <f>ROUND(I1300*C1300,0)</f>
        <v>0</v>
      </c>
      <c r="K1300" s="13">
        <f>E1300+G1300+I1300</f>
        <v>30019</v>
      </c>
      <c r="L1300" s="13">
        <f>F1300+H1300+J1300</f>
        <v>420266</v>
      </c>
      <c r="M1300" s="11"/>
    </row>
    <row r="1301" spans="1:13">
      <c r="A1301" s="11" t="s">
        <v>233</v>
      </c>
      <c r="B1301" s="11"/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</row>
    <row r="1302" spans="1:13">
      <c r="A1302" s="11" t="s">
        <v>234</v>
      </c>
      <c r="B1302" s="11" t="s">
        <v>454</v>
      </c>
      <c r="C1302" s="13">
        <v>5</v>
      </c>
      <c r="D1302" s="15" t="s">
        <v>108</v>
      </c>
      <c r="E1302" s="13">
        <v>0</v>
      </c>
      <c r="F1302" s="13">
        <f>ROUND(E1302*C1302,0)</f>
        <v>0</v>
      </c>
      <c r="G1302" s="13">
        <v>0</v>
      </c>
      <c r="H1302" s="13">
        <f>ROUND(G1302*C1302,0)</f>
        <v>0</v>
      </c>
      <c r="I1302" s="13">
        <v>11570</v>
      </c>
      <c r="J1302" s="13">
        <f>ROUND(I1302*C1302,0)</f>
        <v>57850</v>
      </c>
      <c r="K1302" s="13">
        <f>E1302+G1302+I1302</f>
        <v>11570</v>
      </c>
      <c r="L1302" s="13">
        <f>F1302+H1302+J1302</f>
        <v>57850</v>
      </c>
      <c r="M1302" s="11"/>
    </row>
    <row r="1303" spans="1:13">
      <c r="A1303" s="11" t="s">
        <v>1229</v>
      </c>
      <c r="B1303" s="11"/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</row>
    <row r="1304" spans="1:13" ht="33">
      <c r="A1304" s="11" t="s">
        <v>1147</v>
      </c>
      <c r="B1304" s="11"/>
      <c r="C1304" s="13">
        <v>1</v>
      </c>
      <c r="D1304" s="15" t="s">
        <v>1148</v>
      </c>
      <c r="E1304" s="13">
        <v>0</v>
      </c>
      <c r="F1304" s="13">
        <f>ROUND(E1304*C1304,0)</f>
        <v>0</v>
      </c>
      <c r="G1304" s="13">
        <v>0</v>
      </c>
      <c r="H1304" s="13">
        <f>ROUND(G1304*C1304,0)</f>
        <v>0</v>
      </c>
      <c r="I1304" s="13">
        <v>0</v>
      </c>
      <c r="J1304" s="13">
        <f>ROUND(I1304*C1304,0)</f>
        <v>0</v>
      </c>
      <c r="K1304" s="13">
        <f t="shared" ref="K1304:L1306" si="237">E1304+G1304+I1304</f>
        <v>0</v>
      </c>
      <c r="L1304" s="13">
        <f t="shared" si="237"/>
        <v>0</v>
      </c>
      <c r="M1304" s="11" t="s">
        <v>1149</v>
      </c>
    </row>
    <row r="1305" spans="1:13" ht="33">
      <c r="A1305" s="11" t="s">
        <v>1150</v>
      </c>
      <c r="B1305" s="11"/>
      <c r="C1305" s="13">
        <v>1</v>
      </c>
      <c r="D1305" s="15" t="s">
        <v>1148</v>
      </c>
      <c r="E1305" s="13">
        <v>0</v>
      </c>
      <c r="F1305" s="13">
        <f>ROUND(E1305*C1305,0)</f>
        <v>0</v>
      </c>
      <c r="G1305" s="13">
        <v>0</v>
      </c>
      <c r="H1305" s="13">
        <f>ROUND(G1305*C1305,0)</f>
        <v>0</v>
      </c>
      <c r="I1305" s="13">
        <v>0</v>
      </c>
      <c r="J1305" s="13">
        <f>ROUND(I1305*C1305,0)</f>
        <v>0</v>
      </c>
      <c r="K1305" s="13">
        <f t="shared" si="237"/>
        <v>0</v>
      </c>
      <c r="L1305" s="13">
        <f t="shared" si="237"/>
        <v>0</v>
      </c>
      <c r="M1305" s="11" t="s">
        <v>1149</v>
      </c>
    </row>
    <row r="1306" spans="1:13" ht="49.5">
      <c r="A1306" s="11" t="s">
        <v>1151</v>
      </c>
      <c r="B1306" s="11"/>
      <c r="C1306" s="13">
        <v>1</v>
      </c>
      <c r="D1306" s="15" t="s">
        <v>1152</v>
      </c>
      <c r="E1306" s="13">
        <v>0</v>
      </c>
      <c r="F1306" s="13">
        <f>ROUND(E1306*C1306,0)</f>
        <v>0</v>
      </c>
      <c r="G1306" s="13">
        <v>0</v>
      </c>
      <c r="H1306" s="13">
        <f>ROUND(G1306*C1306,0)</f>
        <v>0</v>
      </c>
      <c r="I1306" s="13">
        <v>0</v>
      </c>
      <c r="J1306" s="13">
        <f>ROUND(I1306*C1306,0)</f>
        <v>0</v>
      </c>
      <c r="K1306" s="13">
        <f t="shared" si="237"/>
        <v>0</v>
      </c>
      <c r="L1306" s="13">
        <f t="shared" si="237"/>
        <v>0</v>
      </c>
      <c r="M1306" s="11" t="s">
        <v>1153</v>
      </c>
    </row>
    <row r="1307" spans="1:13">
      <c r="A1307" s="5" t="s">
        <v>1266</v>
      </c>
      <c r="B1307" s="6"/>
      <c r="C1307" s="6"/>
      <c r="D1307" s="6"/>
      <c r="E1307" s="6"/>
      <c r="F1307" s="9">
        <f>F1085+F1125+F1195+F1266+F1295</f>
        <v>663154916</v>
      </c>
      <c r="G1307" s="6"/>
      <c r="H1307" s="9">
        <f>H1085+H1125+H1195+H1266+H1295</f>
        <v>281481662</v>
      </c>
      <c r="I1307" s="6"/>
      <c r="J1307" s="9">
        <f>J1085+J1125+J1195+J1266+J1295</f>
        <v>201878351</v>
      </c>
      <c r="K1307" s="6"/>
      <c r="L1307" s="9">
        <f>F1307+H1307+J1307</f>
        <v>1146514929</v>
      </c>
      <c r="M1307" s="6"/>
    </row>
    <row r="1309" spans="1:13">
      <c r="A1309" s="46" t="s">
        <v>1267</v>
      </c>
      <c r="B1309" s="40"/>
      <c r="C1309" s="40"/>
      <c r="D1309" s="40"/>
      <c r="E1309" s="40"/>
      <c r="F1309" s="40"/>
      <c r="G1309" s="40"/>
      <c r="H1309" s="40"/>
      <c r="I1309" s="40"/>
      <c r="J1309" s="40"/>
      <c r="K1309" s="40"/>
      <c r="L1309" s="40"/>
      <c r="M1309" s="40"/>
    </row>
    <row r="1310" spans="1:13">
      <c r="A1310" s="19" t="s">
        <v>98</v>
      </c>
      <c r="B1310" s="20"/>
      <c r="C1310" s="21"/>
      <c r="D1310" s="21"/>
      <c r="E1310" s="21"/>
      <c r="F1310" s="22">
        <f>SUM(F1313:F1330)</f>
        <v>0</v>
      </c>
      <c r="G1310" s="21"/>
      <c r="H1310" s="22">
        <f>SUM(H1313:H1330)</f>
        <v>97933591</v>
      </c>
      <c r="I1310" s="21"/>
      <c r="J1310" s="22">
        <f>SUM(J1313:J1330)</f>
        <v>837952453</v>
      </c>
      <c r="K1310" s="21"/>
      <c r="L1310" s="22">
        <f>F1310+H1310+J1310</f>
        <v>935886044</v>
      </c>
      <c r="M1310" s="21"/>
    </row>
    <row r="1311" spans="1:13">
      <c r="A1311" s="11" t="s">
        <v>1268</v>
      </c>
      <c r="B1311" s="11"/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</row>
    <row r="1312" spans="1:13">
      <c r="A1312" s="11" t="s">
        <v>125</v>
      </c>
      <c r="B1312" s="11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</row>
    <row r="1313" spans="1:13" ht="33">
      <c r="A1313" s="11" t="s">
        <v>126</v>
      </c>
      <c r="B1313" s="11" t="s">
        <v>127</v>
      </c>
      <c r="C1313" s="13">
        <v>140244</v>
      </c>
      <c r="D1313" s="15" t="s">
        <v>108</v>
      </c>
      <c r="E1313" s="13">
        <v>0</v>
      </c>
      <c r="F1313" s="13">
        <f>ROUND(E1313*C1313,0)</f>
        <v>0</v>
      </c>
      <c r="G1313" s="13">
        <v>205</v>
      </c>
      <c r="H1313" s="13">
        <f>ROUND(G1313*C1313,0)</f>
        <v>28750020</v>
      </c>
      <c r="I1313" s="13">
        <v>1255</v>
      </c>
      <c r="J1313" s="13">
        <f>ROUND(I1313*C1313,0)</f>
        <v>176006220</v>
      </c>
      <c r="K1313" s="13">
        <f>E1313+G1313+I1313</f>
        <v>1460</v>
      </c>
      <c r="L1313" s="13">
        <f>F1313+H1313+J1313</f>
        <v>204756240</v>
      </c>
      <c r="M1313" s="11"/>
    </row>
    <row r="1314" spans="1:13">
      <c r="A1314" s="11" t="s">
        <v>128</v>
      </c>
      <c r="B1314" s="11" t="s">
        <v>129</v>
      </c>
      <c r="C1314" s="13">
        <v>0</v>
      </c>
      <c r="D1314" s="15" t="s">
        <v>108</v>
      </c>
      <c r="E1314" s="13">
        <v>0</v>
      </c>
      <c r="F1314" s="13">
        <f>ROUND(E1314*C1314,0)</f>
        <v>0</v>
      </c>
      <c r="G1314" s="13">
        <v>0</v>
      </c>
      <c r="H1314" s="13">
        <f>ROUND(G1314*C1314,0)</f>
        <v>0</v>
      </c>
      <c r="I1314" s="13">
        <v>0</v>
      </c>
      <c r="J1314" s="13">
        <f>ROUND(I1314*C1314,0)</f>
        <v>0</v>
      </c>
      <c r="K1314" s="13">
        <f>E1314+G1314+I1314</f>
        <v>0</v>
      </c>
      <c r="L1314" s="13">
        <f>F1314+H1314+J1314</f>
        <v>0</v>
      </c>
      <c r="M1314" s="11"/>
    </row>
    <row r="1315" spans="1:13">
      <c r="A1315" s="11" t="s">
        <v>130</v>
      </c>
      <c r="B1315" s="11"/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</row>
    <row r="1316" spans="1:13">
      <c r="A1316" s="11" t="s">
        <v>131</v>
      </c>
      <c r="B1316" s="11" t="s">
        <v>132</v>
      </c>
      <c r="C1316" s="13">
        <v>20870</v>
      </c>
      <c r="D1316" s="15" t="s">
        <v>108</v>
      </c>
      <c r="E1316" s="13">
        <v>0</v>
      </c>
      <c r="F1316" s="13">
        <f>ROUND(E1316*C1316,0)</f>
        <v>0</v>
      </c>
      <c r="G1316" s="13">
        <v>204</v>
      </c>
      <c r="H1316" s="13">
        <f>ROUND(G1316*C1316,0)</f>
        <v>4257480</v>
      </c>
      <c r="I1316" s="13">
        <v>1739</v>
      </c>
      <c r="J1316" s="13">
        <f>ROUND(I1316*C1316,0)</f>
        <v>36292930</v>
      </c>
      <c r="K1316" s="13">
        <f>E1316+G1316+I1316</f>
        <v>1943</v>
      </c>
      <c r="L1316" s="13">
        <f>F1316+H1316+J1316</f>
        <v>40550410</v>
      </c>
      <c r="M1316" s="11"/>
    </row>
    <row r="1317" spans="1:13">
      <c r="A1317" s="11" t="s">
        <v>133</v>
      </c>
      <c r="B1317" s="11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</row>
    <row r="1318" spans="1:13">
      <c r="A1318" s="11" t="s">
        <v>134</v>
      </c>
      <c r="B1318" s="11" t="s">
        <v>135</v>
      </c>
      <c r="C1318" s="13">
        <v>11485</v>
      </c>
      <c r="D1318" s="15" t="s">
        <v>108</v>
      </c>
      <c r="E1318" s="13">
        <v>0</v>
      </c>
      <c r="F1318" s="13">
        <f>ROUND(E1318*C1318,0)</f>
        <v>0</v>
      </c>
      <c r="G1318" s="13">
        <v>362</v>
      </c>
      <c r="H1318" s="13">
        <f>ROUND(G1318*C1318,0)</f>
        <v>4157570</v>
      </c>
      <c r="I1318" s="13">
        <v>11568</v>
      </c>
      <c r="J1318" s="13">
        <f>ROUND(I1318*C1318,0)</f>
        <v>132858480</v>
      </c>
      <c r="K1318" s="13">
        <f>E1318+G1318+I1318</f>
        <v>11930</v>
      </c>
      <c r="L1318" s="13">
        <f>F1318+H1318+J1318</f>
        <v>137016050</v>
      </c>
      <c r="M1318" s="11"/>
    </row>
    <row r="1319" spans="1:13">
      <c r="A1319" s="11" t="s">
        <v>136</v>
      </c>
      <c r="B1319" s="11" t="s">
        <v>137</v>
      </c>
      <c r="C1319" s="13">
        <v>0</v>
      </c>
      <c r="D1319" s="15" t="s">
        <v>108</v>
      </c>
      <c r="E1319" s="13">
        <v>0</v>
      </c>
      <c r="F1319" s="13">
        <f>ROUND(E1319*C1319,0)</f>
        <v>0</v>
      </c>
      <c r="G1319" s="13">
        <v>0</v>
      </c>
      <c r="H1319" s="13">
        <f>ROUND(G1319*C1319,0)</f>
        <v>0</v>
      </c>
      <c r="I1319" s="13">
        <v>0</v>
      </c>
      <c r="J1319" s="13">
        <f>ROUND(I1319*C1319,0)</f>
        <v>0</v>
      </c>
      <c r="K1319" s="13">
        <f>E1319+G1319+I1319</f>
        <v>0</v>
      </c>
      <c r="L1319" s="13">
        <f>F1319+H1319+J1319</f>
        <v>0</v>
      </c>
      <c r="M1319" s="11"/>
    </row>
    <row r="1320" spans="1:13">
      <c r="A1320" s="11" t="s">
        <v>138</v>
      </c>
      <c r="B1320" s="11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</row>
    <row r="1321" spans="1:13">
      <c r="A1321" s="11" t="s">
        <v>134</v>
      </c>
      <c r="B1321" s="11" t="s">
        <v>139</v>
      </c>
      <c r="C1321" s="13">
        <v>8203</v>
      </c>
      <c r="D1321" s="15" t="s">
        <v>108</v>
      </c>
      <c r="E1321" s="13">
        <v>0</v>
      </c>
      <c r="F1321" s="13">
        <f>ROUND(E1321*C1321,0)</f>
        <v>0</v>
      </c>
      <c r="G1321" s="13">
        <v>362</v>
      </c>
      <c r="H1321" s="13">
        <f>ROUND(G1321*C1321,0)</f>
        <v>2969486</v>
      </c>
      <c r="I1321" s="13">
        <v>7158</v>
      </c>
      <c r="J1321" s="13">
        <f>ROUND(I1321*C1321,0)</f>
        <v>58717074</v>
      </c>
      <c r="K1321" s="13">
        <f>E1321+G1321+I1321</f>
        <v>7520</v>
      </c>
      <c r="L1321" s="13">
        <f>F1321+H1321+J1321</f>
        <v>61686560</v>
      </c>
      <c r="M1321" s="11"/>
    </row>
    <row r="1322" spans="1:13">
      <c r="A1322" s="11" t="s">
        <v>1269</v>
      </c>
      <c r="B1322" s="11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</row>
    <row r="1323" spans="1:13">
      <c r="A1323" s="11" t="s">
        <v>147</v>
      </c>
      <c r="B1323" s="11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</row>
    <row r="1324" spans="1:13">
      <c r="A1324" s="11" t="s">
        <v>148</v>
      </c>
      <c r="B1324" s="11" t="s">
        <v>149</v>
      </c>
      <c r="C1324" s="13">
        <v>72163</v>
      </c>
      <c r="D1324" s="15" t="s">
        <v>108</v>
      </c>
      <c r="E1324" s="13">
        <v>0</v>
      </c>
      <c r="F1324" s="13">
        <f>ROUND(E1324*C1324,0)</f>
        <v>0</v>
      </c>
      <c r="G1324" s="13">
        <v>141</v>
      </c>
      <c r="H1324" s="13">
        <f>ROUND(G1324*C1324,0)</f>
        <v>10174983</v>
      </c>
      <c r="I1324" s="13">
        <v>849</v>
      </c>
      <c r="J1324" s="13">
        <f>ROUND(I1324*C1324,0)</f>
        <v>61266387</v>
      </c>
      <c r="K1324" s="13">
        <f>E1324+G1324+I1324</f>
        <v>990</v>
      </c>
      <c r="L1324" s="13">
        <f>F1324+H1324+J1324</f>
        <v>71441370</v>
      </c>
      <c r="M1324" s="11"/>
    </row>
    <row r="1325" spans="1:13">
      <c r="A1325" s="11" t="s">
        <v>1270</v>
      </c>
      <c r="B1325" s="11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</row>
    <row r="1326" spans="1:13">
      <c r="A1326" s="11" t="s">
        <v>1271</v>
      </c>
      <c r="B1326" s="11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</row>
    <row r="1327" spans="1:13" ht="33">
      <c r="A1327" s="11" t="s">
        <v>1272</v>
      </c>
      <c r="B1327" s="11" t="s">
        <v>175</v>
      </c>
      <c r="C1327" s="13">
        <v>60064</v>
      </c>
      <c r="D1327" s="15" t="s">
        <v>108</v>
      </c>
      <c r="E1327" s="13">
        <v>0</v>
      </c>
      <c r="F1327" s="13">
        <f>ROUND(E1327*C1327,0)</f>
        <v>0</v>
      </c>
      <c r="G1327" s="13">
        <v>423</v>
      </c>
      <c r="H1327" s="13">
        <f>ROUND(G1327*C1327,0)</f>
        <v>25407072</v>
      </c>
      <c r="I1327" s="13">
        <v>3315</v>
      </c>
      <c r="J1327" s="13">
        <f>ROUND(I1327*C1327,0)</f>
        <v>199112160</v>
      </c>
      <c r="K1327" s="13">
        <f t="shared" ref="K1327:L1330" si="238">E1327+G1327+I1327</f>
        <v>3738</v>
      </c>
      <c r="L1327" s="13">
        <f t="shared" si="238"/>
        <v>224519232</v>
      </c>
      <c r="M1327" s="11"/>
    </row>
    <row r="1328" spans="1:13" ht="33">
      <c r="A1328" s="11" t="s">
        <v>1273</v>
      </c>
      <c r="B1328" s="11" t="s">
        <v>177</v>
      </c>
      <c r="C1328" s="13">
        <v>25508</v>
      </c>
      <c r="D1328" s="15" t="s">
        <v>108</v>
      </c>
      <c r="E1328" s="13">
        <v>0</v>
      </c>
      <c r="F1328" s="13">
        <f>ROUND(E1328*C1328,0)</f>
        <v>0</v>
      </c>
      <c r="G1328" s="13">
        <v>425</v>
      </c>
      <c r="H1328" s="13">
        <f>ROUND(G1328*C1328,0)</f>
        <v>10840900</v>
      </c>
      <c r="I1328" s="13">
        <v>3315</v>
      </c>
      <c r="J1328" s="13">
        <f>ROUND(I1328*C1328,0)</f>
        <v>84559020</v>
      </c>
      <c r="K1328" s="13">
        <f t="shared" si="238"/>
        <v>3740</v>
      </c>
      <c r="L1328" s="13">
        <f t="shared" si="238"/>
        <v>95399920</v>
      </c>
      <c r="M1328" s="11"/>
    </row>
    <row r="1329" spans="1:13" ht="33">
      <c r="A1329" s="11" t="s">
        <v>1274</v>
      </c>
      <c r="B1329" s="11" t="s">
        <v>179</v>
      </c>
      <c r="C1329" s="13">
        <v>14675</v>
      </c>
      <c r="D1329" s="15" t="s">
        <v>108</v>
      </c>
      <c r="E1329" s="13">
        <v>0</v>
      </c>
      <c r="F1329" s="13">
        <f>ROUND(E1329*C1329,0)</f>
        <v>0</v>
      </c>
      <c r="G1329" s="13">
        <v>424</v>
      </c>
      <c r="H1329" s="13">
        <f>ROUND(G1329*C1329,0)</f>
        <v>6222200</v>
      </c>
      <c r="I1329" s="13">
        <v>3322</v>
      </c>
      <c r="J1329" s="13">
        <f>ROUND(I1329*C1329,0)</f>
        <v>48750350</v>
      </c>
      <c r="K1329" s="13">
        <f t="shared" si="238"/>
        <v>3746</v>
      </c>
      <c r="L1329" s="13">
        <f t="shared" si="238"/>
        <v>54972550</v>
      </c>
      <c r="M1329" s="11"/>
    </row>
    <row r="1330" spans="1:13" ht="33">
      <c r="A1330" s="11" t="s">
        <v>1275</v>
      </c>
      <c r="B1330" s="11" t="s">
        <v>181</v>
      </c>
      <c r="C1330" s="13">
        <v>11848</v>
      </c>
      <c r="D1330" s="15" t="s">
        <v>108</v>
      </c>
      <c r="E1330" s="13">
        <v>0</v>
      </c>
      <c r="F1330" s="13">
        <f>ROUND(E1330*C1330,0)</f>
        <v>0</v>
      </c>
      <c r="G1330" s="13">
        <v>435</v>
      </c>
      <c r="H1330" s="13">
        <f>ROUND(G1330*C1330,0)</f>
        <v>5153880</v>
      </c>
      <c r="I1330" s="13">
        <v>3409</v>
      </c>
      <c r="J1330" s="13">
        <f>ROUND(I1330*C1330,0)</f>
        <v>40389832</v>
      </c>
      <c r="K1330" s="13">
        <f t="shared" si="238"/>
        <v>3844</v>
      </c>
      <c r="L1330" s="13">
        <f t="shared" si="238"/>
        <v>45543712</v>
      </c>
      <c r="M1330" s="11"/>
    </row>
    <row r="1331" spans="1:13">
      <c r="A1331" s="19" t="s">
        <v>1276</v>
      </c>
      <c r="B1331" s="20"/>
      <c r="C1331" s="21"/>
      <c r="D1331" s="21"/>
      <c r="E1331" s="21"/>
      <c r="F1331" s="22">
        <f>SUM(F1332:F1345)</f>
        <v>36235777</v>
      </c>
      <c r="G1331" s="21"/>
      <c r="H1331" s="22">
        <f>SUM(H1332:H1345)</f>
        <v>26918722</v>
      </c>
      <c r="I1331" s="21"/>
      <c r="J1331" s="22">
        <f>SUM(J1332:J1345)</f>
        <v>83244437</v>
      </c>
      <c r="K1331" s="21"/>
      <c r="L1331" s="22">
        <f t="shared" ref="L1331:L1362" si="239">F1331+H1331+J1331</f>
        <v>146398936</v>
      </c>
      <c r="M1331" s="21"/>
    </row>
    <row r="1332" spans="1:13">
      <c r="A1332" s="11" t="s">
        <v>1277</v>
      </c>
      <c r="B1332" s="11" t="s">
        <v>1278</v>
      </c>
      <c r="C1332" s="13">
        <v>1</v>
      </c>
      <c r="D1332" s="15" t="s">
        <v>210</v>
      </c>
      <c r="E1332" s="13">
        <v>616100</v>
      </c>
      <c r="F1332" s="13">
        <f t="shared" ref="F1332:F1345" si="240">ROUND(E1332*C1332,0)</f>
        <v>616100</v>
      </c>
      <c r="G1332" s="13">
        <v>104788</v>
      </c>
      <c r="H1332" s="13">
        <f t="shared" ref="H1332:H1345" si="241">ROUND(G1332*C1332,0)</f>
        <v>104788</v>
      </c>
      <c r="I1332" s="13">
        <v>117135</v>
      </c>
      <c r="J1332" s="13">
        <f t="shared" ref="J1332:J1345" si="242">ROUND(I1332*C1332,0)</f>
        <v>117135</v>
      </c>
      <c r="K1332" s="13">
        <f t="shared" ref="K1332:K1345" si="243">E1332+G1332+I1332</f>
        <v>838023</v>
      </c>
      <c r="L1332" s="13">
        <f t="shared" si="239"/>
        <v>838023</v>
      </c>
      <c r="M1332" s="11"/>
    </row>
    <row r="1333" spans="1:13">
      <c r="A1333" s="11" t="s">
        <v>1279</v>
      </c>
      <c r="B1333" s="11" t="s">
        <v>1280</v>
      </c>
      <c r="C1333" s="13">
        <v>7</v>
      </c>
      <c r="D1333" s="15" t="s">
        <v>210</v>
      </c>
      <c r="E1333" s="13">
        <v>170690</v>
      </c>
      <c r="F1333" s="13">
        <f t="shared" si="240"/>
        <v>1194830</v>
      </c>
      <c r="G1333" s="13">
        <v>83689</v>
      </c>
      <c r="H1333" s="13">
        <f t="shared" si="241"/>
        <v>585823</v>
      </c>
      <c r="I1333" s="13">
        <v>133869</v>
      </c>
      <c r="J1333" s="13">
        <f t="shared" si="242"/>
        <v>937083</v>
      </c>
      <c r="K1333" s="13">
        <f t="shared" si="243"/>
        <v>388248</v>
      </c>
      <c r="L1333" s="13">
        <f t="shared" si="239"/>
        <v>2717736</v>
      </c>
      <c r="M1333" s="11"/>
    </row>
    <row r="1334" spans="1:13">
      <c r="A1334" s="11" t="s">
        <v>1281</v>
      </c>
      <c r="B1334" s="11"/>
      <c r="C1334" s="13">
        <v>1</v>
      </c>
      <c r="D1334" s="15" t="s">
        <v>210</v>
      </c>
      <c r="E1334" s="13">
        <v>38380</v>
      </c>
      <c r="F1334" s="13">
        <f t="shared" si="240"/>
        <v>38380</v>
      </c>
      <c r="G1334" s="13">
        <v>85850</v>
      </c>
      <c r="H1334" s="13">
        <f t="shared" si="241"/>
        <v>85850</v>
      </c>
      <c r="I1334" s="13">
        <v>0</v>
      </c>
      <c r="J1334" s="13">
        <f t="shared" si="242"/>
        <v>0</v>
      </c>
      <c r="K1334" s="13">
        <f t="shared" si="243"/>
        <v>124230</v>
      </c>
      <c r="L1334" s="13">
        <f t="shared" si="239"/>
        <v>124230</v>
      </c>
      <c r="M1334" s="11"/>
    </row>
    <row r="1335" spans="1:13">
      <c r="A1335" s="11" t="s">
        <v>1282</v>
      </c>
      <c r="B1335" s="11" t="s">
        <v>458</v>
      </c>
      <c r="C1335" s="13">
        <v>15</v>
      </c>
      <c r="D1335" s="15" t="s">
        <v>240</v>
      </c>
      <c r="E1335" s="13">
        <v>4242</v>
      </c>
      <c r="F1335" s="13">
        <f t="shared" si="240"/>
        <v>63630</v>
      </c>
      <c r="G1335" s="13">
        <v>19392</v>
      </c>
      <c r="H1335" s="13">
        <f t="shared" si="241"/>
        <v>290880</v>
      </c>
      <c r="I1335" s="13">
        <v>0</v>
      </c>
      <c r="J1335" s="13">
        <f t="shared" si="242"/>
        <v>0</v>
      </c>
      <c r="K1335" s="13">
        <f t="shared" si="243"/>
        <v>23634</v>
      </c>
      <c r="L1335" s="13">
        <f t="shared" si="239"/>
        <v>354510</v>
      </c>
      <c r="M1335" s="11"/>
    </row>
    <row r="1336" spans="1:13">
      <c r="A1336" s="11" t="s">
        <v>1283</v>
      </c>
      <c r="B1336" s="11" t="s">
        <v>1284</v>
      </c>
      <c r="C1336" s="13">
        <v>154</v>
      </c>
      <c r="D1336" s="15" t="s">
        <v>240</v>
      </c>
      <c r="E1336" s="13">
        <v>4242</v>
      </c>
      <c r="F1336" s="13">
        <f t="shared" si="240"/>
        <v>653268</v>
      </c>
      <c r="G1336" s="13">
        <v>21816</v>
      </c>
      <c r="H1336" s="13">
        <f t="shared" si="241"/>
        <v>3359664</v>
      </c>
      <c r="I1336" s="13">
        <v>6615</v>
      </c>
      <c r="J1336" s="13">
        <f t="shared" si="242"/>
        <v>1018710</v>
      </c>
      <c r="K1336" s="13">
        <f t="shared" si="243"/>
        <v>32673</v>
      </c>
      <c r="L1336" s="13">
        <f t="shared" si="239"/>
        <v>5031642</v>
      </c>
      <c r="M1336" s="11"/>
    </row>
    <row r="1337" spans="1:13">
      <c r="A1337" s="11" t="s">
        <v>1285</v>
      </c>
      <c r="B1337" s="11" t="s">
        <v>513</v>
      </c>
      <c r="C1337" s="13">
        <v>3</v>
      </c>
      <c r="D1337" s="15" t="s">
        <v>377</v>
      </c>
      <c r="E1337" s="13">
        <v>72720</v>
      </c>
      <c r="F1337" s="13">
        <f t="shared" si="240"/>
        <v>218160</v>
      </c>
      <c r="G1337" s="13">
        <v>0</v>
      </c>
      <c r="H1337" s="13">
        <f t="shared" si="241"/>
        <v>0</v>
      </c>
      <c r="I1337" s="13">
        <v>0</v>
      </c>
      <c r="J1337" s="13">
        <f t="shared" si="242"/>
        <v>0</v>
      </c>
      <c r="K1337" s="13">
        <f t="shared" si="243"/>
        <v>72720</v>
      </c>
      <c r="L1337" s="13">
        <f t="shared" si="239"/>
        <v>218160</v>
      </c>
      <c r="M1337" s="11"/>
    </row>
    <row r="1338" spans="1:13">
      <c r="A1338" s="11" t="s">
        <v>1286</v>
      </c>
      <c r="B1338" s="11" t="s">
        <v>1287</v>
      </c>
      <c r="C1338" s="13">
        <v>26</v>
      </c>
      <c r="D1338" s="15" t="s">
        <v>377</v>
      </c>
      <c r="E1338" s="13">
        <v>525200</v>
      </c>
      <c r="F1338" s="13">
        <f t="shared" si="240"/>
        <v>13655200</v>
      </c>
      <c r="G1338" s="13">
        <v>0</v>
      </c>
      <c r="H1338" s="13">
        <f t="shared" si="241"/>
        <v>0</v>
      </c>
      <c r="I1338" s="13">
        <v>0</v>
      </c>
      <c r="J1338" s="13">
        <f t="shared" si="242"/>
        <v>0</v>
      </c>
      <c r="K1338" s="13">
        <f t="shared" si="243"/>
        <v>525200</v>
      </c>
      <c r="L1338" s="13">
        <f t="shared" si="239"/>
        <v>13655200</v>
      </c>
      <c r="M1338" s="11"/>
    </row>
    <row r="1339" spans="1:13" ht="33">
      <c r="A1339" s="11" t="s">
        <v>1288</v>
      </c>
      <c r="B1339" s="11" t="s">
        <v>244</v>
      </c>
      <c r="C1339" s="13">
        <v>11</v>
      </c>
      <c r="D1339" s="15" t="s">
        <v>240</v>
      </c>
      <c r="E1339" s="13">
        <v>71710</v>
      </c>
      <c r="F1339" s="13">
        <f t="shared" si="240"/>
        <v>788810</v>
      </c>
      <c r="G1339" s="13">
        <v>38107</v>
      </c>
      <c r="H1339" s="13">
        <f t="shared" si="241"/>
        <v>419177</v>
      </c>
      <c r="I1339" s="13">
        <v>42598</v>
      </c>
      <c r="J1339" s="13">
        <f t="shared" si="242"/>
        <v>468578</v>
      </c>
      <c r="K1339" s="13">
        <f t="shared" si="243"/>
        <v>152415</v>
      </c>
      <c r="L1339" s="13">
        <f t="shared" si="239"/>
        <v>1676565</v>
      </c>
      <c r="M1339" s="11"/>
    </row>
    <row r="1340" spans="1:13">
      <c r="A1340" s="11" t="s">
        <v>1289</v>
      </c>
      <c r="B1340" s="11" t="s">
        <v>1290</v>
      </c>
      <c r="C1340" s="13">
        <v>15</v>
      </c>
      <c r="D1340" s="15" t="s">
        <v>240</v>
      </c>
      <c r="E1340" s="13">
        <v>112019</v>
      </c>
      <c r="F1340" s="13">
        <f t="shared" si="240"/>
        <v>1680285</v>
      </c>
      <c r="G1340" s="13">
        <v>45450</v>
      </c>
      <c r="H1340" s="13">
        <f t="shared" si="241"/>
        <v>681750</v>
      </c>
      <c r="I1340" s="13">
        <v>46303</v>
      </c>
      <c r="J1340" s="13">
        <f t="shared" si="242"/>
        <v>694545</v>
      </c>
      <c r="K1340" s="13">
        <f t="shared" si="243"/>
        <v>203772</v>
      </c>
      <c r="L1340" s="13">
        <f t="shared" si="239"/>
        <v>3056580</v>
      </c>
      <c r="M1340" s="11"/>
    </row>
    <row r="1341" spans="1:13">
      <c r="A1341" s="11" t="s">
        <v>1291</v>
      </c>
      <c r="B1341" s="11" t="s">
        <v>1292</v>
      </c>
      <c r="C1341" s="13">
        <v>35</v>
      </c>
      <c r="D1341" s="15" t="s">
        <v>1293</v>
      </c>
      <c r="E1341" s="13">
        <v>0</v>
      </c>
      <c r="F1341" s="13">
        <f t="shared" si="240"/>
        <v>0</v>
      </c>
      <c r="G1341" s="13">
        <v>0</v>
      </c>
      <c r="H1341" s="13">
        <f t="shared" si="241"/>
        <v>0</v>
      </c>
      <c r="I1341" s="13">
        <v>576326</v>
      </c>
      <c r="J1341" s="13">
        <f t="shared" si="242"/>
        <v>20171410</v>
      </c>
      <c r="K1341" s="13">
        <f t="shared" si="243"/>
        <v>576326</v>
      </c>
      <c r="L1341" s="13">
        <f t="shared" si="239"/>
        <v>20171410</v>
      </c>
      <c r="M1341" s="11"/>
    </row>
    <row r="1342" spans="1:13">
      <c r="A1342" s="11" t="s">
        <v>1294</v>
      </c>
      <c r="B1342" s="11" t="s">
        <v>1295</v>
      </c>
      <c r="C1342" s="13">
        <v>74</v>
      </c>
      <c r="D1342" s="15" t="s">
        <v>240</v>
      </c>
      <c r="E1342" s="13">
        <v>19190</v>
      </c>
      <c r="F1342" s="13">
        <f t="shared" si="240"/>
        <v>1420060</v>
      </c>
      <c r="G1342" s="13">
        <v>16160</v>
      </c>
      <c r="H1342" s="13">
        <f t="shared" si="241"/>
        <v>1195840</v>
      </c>
      <c r="I1342" s="13">
        <v>3748</v>
      </c>
      <c r="J1342" s="13">
        <f t="shared" si="242"/>
        <v>277352</v>
      </c>
      <c r="K1342" s="13">
        <f t="shared" si="243"/>
        <v>39098</v>
      </c>
      <c r="L1342" s="13">
        <f t="shared" si="239"/>
        <v>2893252</v>
      </c>
      <c r="M1342" s="11"/>
    </row>
    <row r="1343" spans="1:13">
      <c r="A1343" s="11" t="s">
        <v>1296</v>
      </c>
      <c r="B1343" s="11" t="s">
        <v>1297</v>
      </c>
      <c r="C1343" s="13">
        <v>2284</v>
      </c>
      <c r="D1343" s="15" t="s">
        <v>102</v>
      </c>
      <c r="E1343" s="13">
        <v>6737</v>
      </c>
      <c r="F1343" s="13">
        <f t="shared" si="240"/>
        <v>15387308</v>
      </c>
      <c r="G1343" s="13">
        <v>8585</v>
      </c>
      <c r="H1343" s="13">
        <f t="shared" si="241"/>
        <v>19608140</v>
      </c>
      <c r="I1343" s="13">
        <v>5512</v>
      </c>
      <c r="J1343" s="13">
        <f t="shared" si="242"/>
        <v>12589408</v>
      </c>
      <c r="K1343" s="13">
        <f t="shared" si="243"/>
        <v>20834</v>
      </c>
      <c r="L1343" s="13">
        <f t="shared" si="239"/>
        <v>47584856</v>
      </c>
      <c r="M1343" s="11"/>
    </row>
    <row r="1344" spans="1:13">
      <c r="A1344" s="11" t="s">
        <v>1298</v>
      </c>
      <c r="B1344" s="11" t="s">
        <v>1053</v>
      </c>
      <c r="C1344" s="13">
        <v>6750</v>
      </c>
      <c r="D1344" s="15" t="s">
        <v>199</v>
      </c>
      <c r="E1344" s="13">
        <v>0</v>
      </c>
      <c r="F1344" s="13">
        <f t="shared" si="240"/>
        <v>0</v>
      </c>
      <c r="G1344" s="13">
        <v>0</v>
      </c>
      <c r="H1344" s="13">
        <f t="shared" si="241"/>
        <v>0</v>
      </c>
      <c r="I1344" s="13">
        <v>6945</v>
      </c>
      <c r="J1344" s="13">
        <f t="shared" si="242"/>
        <v>46878750</v>
      </c>
      <c r="K1344" s="13">
        <f t="shared" si="243"/>
        <v>6945</v>
      </c>
      <c r="L1344" s="13">
        <f t="shared" si="239"/>
        <v>46878750</v>
      </c>
      <c r="M1344" s="11"/>
    </row>
    <row r="1345" spans="1:13">
      <c r="A1345" s="11" t="s">
        <v>1299</v>
      </c>
      <c r="B1345" s="11" t="s">
        <v>121</v>
      </c>
      <c r="C1345" s="13">
        <v>83</v>
      </c>
      <c r="D1345" s="15" t="s">
        <v>102</v>
      </c>
      <c r="E1345" s="13">
        <v>6262</v>
      </c>
      <c r="F1345" s="13">
        <f t="shared" si="240"/>
        <v>519746</v>
      </c>
      <c r="G1345" s="13">
        <v>7070</v>
      </c>
      <c r="H1345" s="13">
        <f t="shared" si="241"/>
        <v>586810</v>
      </c>
      <c r="I1345" s="13">
        <v>1102</v>
      </c>
      <c r="J1345" s="13">
        <f t="shared" si="242"/>
        <v>91466</v>
      </c>
      <c r="K1345" s="13">
        <f t="shared" si="243"/>
        <v>14434</v>
      </c>
      <c r="L1345" s="13">
        <f t="shared" si="239"/>
        <v>1198022</v>
      </c>
      <c r="M1345" s="11"/>
    </row>
    <row r="1346" spans="1:13">
      <c r="A1346" s="19" t="s">
        <v>1300</v>
      </c>
      <c r="B1346" s="20"/>
      <c r="C1346" s="21"/>
      <c r="D1346" s="21"/>
      <c r="E1346" s="21"/>
      <c r="F1346" s="22">
        <f>SUM(F1347:F1363)</f>
        <v>68007034</v>
      </c>
      <c r="G1346" s="21"/>
      <c r="H1346" s="22">
        <f>SUM(H1347:H1363)</f>
        <v>48942247</v>
      </c>
      <c r="I1346" s="21"/>
      <c r="J1346" s="22">
        <f>SUM(J1347:J1363)</f>
        <v>431332824</v>
      </c>
      <c r="K1346" s="21"/>
      <c r="L1346" s="22">
        <f t="shared" si="239"/>
        <v>548282105</v>
      </c>
      <c r="M1346" s="21"/>
    </row>
    <row r="1347" spans="1:13">
      <c r="A1347" s="11" t="s">
        <v>1277</v>
      </c>
      <c r="B1347" s="11" t="s">
        <v>1278</v>
      </c>
      <c r="C1347" s="13">
        <v>1</v>
      </c>
      <c r="D1347" s="15" t="s">
        <v>210</v>
      </c>
      <c r="E1347" s="13">
        <v>616100</v>
      </c>
      <c r="F1347" s="13">
        <f t="shared" ref="F1347:F1363" si="244">ROUND(E1347*C1347,0)</f>
        <v>616100</v>
      </c>
      <c r="G1347" s="13">
        <v>104788</v>
      </c>
      <c r="H1347" s="13">
        <f t="shared" ref="H1347:H1363" si="245">ROUND(G1347*C1347,0)</f>
        <v>104788</v>
      </c>
      <c r="I1347" s="13">
        <v>117135</v>
      </c>
      <c r="J1347" s="13">
        <f t="shared" ref="J1347:J1363" si="246">ROUND(I1347*C1347,0)</f>
        <v>117135</v>
      </c>
      <c r="K1347" s="13">
        <f t="shared" ref="K1347:K1363" si="247">E1347+G1347+I1347</f>
        <v>838023</v>
      </c>
      <c r="L1347" s="13">
        <f t="shared" si="239"/>
        <v>838023</v>
      </c>
      <c r="M1347" s="11"/>
    </row>
    <row r="1348" spans="1:13">
      <c r="A1348" s="11" t="s">
        <v>1279</v>
      </c>
      <c r="B1348" s="11" t="s">
        <v>1280</v>
      </c>
      <c r="C1348" s="13">
        <v>7</v>
      </c>
      <c r="D1348" s="15" t="s">
        <v>210</v>
      </c>
      <c r="E1348" s="13">
        <v>170690</v>
      </c>
      <c r="F1348" s="13">
        <f t="shared" si="244"/>
        <v>1194830</v>
      </c>
      <c r="G1348" s="13">
        <v>83689</v>
      </c>
      <c r="H1348" s="13">
        <f t="shared" si="245"/>
        <v>585823</v>
      </c>
      <c r="I1348" s="13">
        <v>133869</v>
      </c>
      <c r="J1348" s="13">
        <f t="shared" si="246"/>
        <v>937083</v>
      </c>
      <c r="K1348" s="13">
        <f t="shared" si="247"/>
        <v>388248</v>
      </c>
      <c r="L1348" s="13">
        <f t="shared" si="239"/>
        <v>2717736</v>
      </c>
      <c r="M1348" s="11"/>
    </row>
    <row r="1349" spans="1:13">
      <c r="A1349" s="11" t="s">
        <v>1281</v>
      </c>
      <c r="B1349" s="11"/>
      <c r="C1349" s="13">
        <v>1</v>
      </c>
      <c r="D1349" s="15" t="s">
        <v>210</v>
      </c>
      <c r="E1349" s="13">
        <v>38380</v>
      </c>
      <c r="F1349" s="13">
        <f t="shared" si="244"/>
        <v>38380</v>
      </c>
      <c r="G1349" s="13">
        <v>85850</v>
      </c>
      <c r="H1349" s="13">
        <f t="shared" si="245"/>
        <v>85850</v>
      </c>
      <c r="I1349" s="13">
        <v>0</v>
      </c>
      <c r="J1349" s="13">
        <f t="shared" si="246"/>
        <v>0</v>
      </c>
      <c r="K1349" s="13">
        <f t="shared" si="247"/>
        <v>124230</v>
      </c>
      <c r="L1349" s="13">
        <f t="shared" si="239"/>
        <v>124230</v>
      </c>
      <c r="M1349" s="11"/>
    </row>
    <row r="1350" spans="1:13">
      <c r="A1350" s="11" t="s">
        <v>1282</v>
      </c>
      <c r="B1350" s="11" t="s">
        <v>458</v>
      </c>
      <c r="C1350" s="13">
        <v>22</v>
      </c>
      <c r="D1350" s="15" t="s">
        <v>240</v>
      </c>
      <c r="E1350" s="13">
        <v>4242</v>
      </c>
      <c r="F1350" s="13">
        <f t="shared" si="244"/>
        <v>93324</v>
      </c>
      <c r="G1350" s="13">
        <v>19392</v>
      </c>
      <c r="H1350" s="13">
        <f t="shared" si="245"/>
        <v>426624</v>
      </c>
      <c r="I1350" s="13">
        <v>0</v>
      </c>
      <c r="J1350" s="13">
        <f t="shared" si="246"/>
        <v>0</v>
      </c>
      <c r="K1350" s="13">
        <f t="shared" si="247"/>
        <v>23634</v>
      </c>
      <c r="L1350" s="13">
        <f t="shared" si="239"/>
        <v>519948</v>
      </c>
      <c r="M1350" s="11"/>
    </row>
    <row r="1351" spans="1:13">
      <c r="A1351" s="11" t="s">
        <v>1283</v>
      </c>
      <c r="B1351" s="11" t="s">
        <v>1284</v>
      </c>
      <c r="C1351" s="13">
        <v>152</v>
      </c>
      <c r="D1351" s="15" t="s">
        <v>240</v>
      </c>
      <c r="E1351" s="13">
        <v>4242</v>
      </c>
      <c r="F1351" s="13">
        <f t="shared" si="244"/>
        <v>644784</v>
      </c>
      <c r="G1351" s="13">
        <v>21816</v>
      </c>
      <c r="H1351" s="13">
        <f t="shared" si="245"/>
        <v>3316032</v>
      </c>
      <c r="I1351" s="13">
        <v>6615</v>
      </c>
      <c r="J1351" s="13">
        <f t="shared" si="246"/>
        <v>1005480</v>
      </c>
      <c r="K1351" s="13">
        <f t="shared" si="247"/>
        <v>32673</v>
      </c>
      <c r="L1351" s="13">
        <f t="shared" si="239"/>
        <v>4966296</v>
      </c>
      <c r="M1351" s="11"/>
    </row>
    <row r="1352" spans="1:13">
      <c r="A1352" s="11" t="s">
        <v>1285</v>
      </c>
      <c r="B1352" s="11" t="s">
        <v>513</v>
      </c>
      <c r="C1352" s="13">
        <v>4</v>
      </c>
      <c r="D1352" s="15" t="s">
        <v>377</v>
      </c>
      <c r="E1352" s="13">
        <v>72720</v>
      </c>
      <c r="F1352" s="13">
        <f t="shared" si="244"/>
        <v>290880</v>
      </c>
      <c r="G1352" s="13">
        <v>0</v>
      </c>
      <c r="H1352" s="13">
        <f t="shared" si="245"/>
        <v>0</v>
      </c>
      <c r="I1352" s="13">
        <v>0</v>
      </c>
      <c r="J1352" s="13">
        <f t="shared" si="246"/>
        <v>0</v>
      </c>
      <c r="K1352" s="13">
        <f t="shared" si="247"/>
        <v>72720</v>
      </c>
      <c r="L1352" s="13">
        <f t="shared" si="239"/>
        <v>290880</v>
      </c>
      <c r="M1352" s="11"/>
    </row>
    <row r="1353" spans="1:13">
      <c r="A1353" s="11" t="s">
        <v>1286</v>
      </c>
      <c r="B1353" s="11" t="s">
        <v>1287</v>
      </c>
      <c r="C1353" s="13">
        <v>26</v>
      </c>
      <c r="D1353" s="15" t="s">
        <v>377</v>
      </c>
      <c r="E1353" s="13">
        <v>525200</v>
      </c>
      <c r="F1353" s="13">
        <f t="shared" si="244"/>
        <v>13655200</v>
      </c>
      <c r="G1353" s="13">
        <v>0</v>
      </c>
      <c r="H1353" s="13">
        <f t="shared" si="245"/>
        <v>0</v>
      </c>
      <c r="I1353" s="13">
        <v>0</v>
      </c>
      <c r="J1353" s="13">
        <f t="shared" si="246"/>
        <v>0</v>
      </c>
      <c r="K1353" s="13">
        <f t="shared" si="247"/>
        <v>525200</v>
      </c>
      <c r="L1353" s="13">
        <f t="shared" si="239"/>
        <v>13655200</v>
      </c>
      <c r="M1353" s="11"/>
    </row>
    <row r="1354" spans="1:13" ht="33">
      <c r="A1354" s="11" t="s">
        <v>1288</v>
      </c>
      <c r="B1354" s="11" t="s">
        <v>244</v>
      </c>
      <c r="C1354" s="13">
        <v>10</v>
      </c>
      <c r="D1354" s="15" t="s">
        <v>240</v>
      </c>
      <c r="E1354" s="13">
        <v>71710</v>
      </c>
      <c r="F1354" s="13">
        <f t="shared" si="244"/>
        <v>717100</v>
      </c>
      <c r="G1354" s="13">
        <v>38107</v>
      </c>
      <c r="H1354" s="13">
        <f t="shared" si="245"/>
        <v>381070</v>
      </c>
      <c r="I1354" s="13">
        <v>42598</v>
      </c>
      <c r="J1354" s="13">
        <f t="shared" si="246"/>
        <v>425980</v>
      </c>
      <c r="K1354" s="13">
        <f t="shared" si="247"/>
        <v>152415</v>
      </c>
      <c r="L1354" s="13">
        <f t="shared" si="239"/>
        <v>1524150</v>
      </c>
      <c r="M1354" s="11"/>
    </row>
    <row r="1355" spans="1:13">
      <c r="A1355" s="11" t="s">
        <v>1289</v>
      </c>
      <c r="B1355" s="11" t="s">
        <v>1290</v>
      </c>
      <c r="C1355" s="13">
        <v>15</v>
      </c>
      <c r="D1355" s="15" t="s">
        <v>240</v>
      </c>
      <c r="E1355" s="13">
        <v>112019</v>
      </c>
      <c r="F1355" s="13">
        <f t="shared" si="244"/>
        <v>1680285</v>
      </c>
      <c r="G1355" s="13">
        <v>45450</v>
      </c>
      <c r="H1355" s="13">
        <f t="shared" si="245"/>
        <v>681750</v>
      </c>
      <c r="I1355" s="13">
        <v>46303</v>
      </c>
      <c r="J1355" s="13">
        <f t="shared" si="246"/>
        <v>694545</v>
      </c>
      <c r="K1355" s="13">
        <f t="shared" si="247"/>
        <v>203772</v>
      </c>
      <c r="L1355" s="13">
        <f t="shared" si="239"/>
        <v>3056580</v>
      </c>
      <c r="M1355" s="11"/>
    </row>
    <row r="1356" spans="1:13">
      <c r="A1356" s="11" t="s">
        <v>1291</v>
      </c>
      <c r="B1356" s="11" t="s">
        <v>1292</v>
      </c>
      <c r="C1356" s="13">
        <v>117</v>
      </c>
      <c r="D1356" s="15" t="s">
        <v>1293</v>
      </c>
      <c r="E1356" s="13">
        <v>0</v>
      </c>
      <c r="F1356" s="13">
        <f t="shared" si="244"/>
        <v>0</v>
      </c>
      <c r="G1356" s="13">
        <v>0</v>
      </c>
      <c r="H1356" s="13">
        <f t="shared" si="245"/>
        <v>0</v>
      </c>
      <c r="I1356" s="13">
        <v>576326</v>
      </c>
      <c r="J1356" s="13">
        <f t="shared" si="246"/>
        <v>67430142</v>
      </c>
      <c r="K1356" s="13">
        <f t="shared" si="247"/>
        <v>576326</v>
      </c>
      <c r="L1356" s="13">
        <f t="shared" si="239"/>
        <v>67430142</v>
      </c>
      <c r="M1356" s="11"/>
    </row>
    <row r="1357" spans="1:13">
      <c r="A1357" s="11" t="s">
        <v>1301</v>
      </c>
      <c r="B1357" s="11" t="s">
        <v>1302</v>
      </c>
      <c r="C1357" s="13">
        <v>420</v>
      </c>
      <c r="D1357" s="15" t="s">
        <v>1293</v>
      </c>
      <c r="E1357" s="13">
        <v>0</v>
      </c>
      <c r="F1357" s="13">
        <f t="shared" si="244"/>
        <v>0</v>
      </c>
      <c r="G1357" s="13">
        <v>0</v>
      </c>
      <c r="H1357" s="13">
        <f t="shared" si="245"/>
        <v>0</v>
      </c>
      <c r="I1357" s="13">
        <v>576326</v>
      </c>
      <c r="J1357" s="13">
        <f t="shared" si="246"/>
        <v>242056920</v>
      </c>
      <c r="K1357" s="13">
        <f t="shared" si="247"/>
        <v>576326</v>
      </c>
      <c r="L1357" s="13">
        <f t="shared" si="239"/>
        <v>242056920</v>
      </c>
      <c r="M1357" s="11"/>
    </row>
    <row r="1358" spans="1:13">
      <c r="A1358" s="11" t="s">
        <v>1303</v>
      </c>
      <c r="B1358" s="11" t="s">
        <v>1304</v>
      </c>
      <c r="C1358" s="13">
        <v>40</v>
      </c>
      <c r="D1358" s="15" t="s">
        <v>102</v>
      </c>
      <c r="E1358" s="13">
        <v>80800</v>
      </c>
      <c r="F1358" s="13">
        <f t="shared" si="244"/>
        <v>3232000</v>
      </c>
      <c r="G1358" s="13">
        <v>55550</v>
      </c>
      <c r="H1358" s="13">
        <f t="shared" si="245"/>
        <v>2222000</v>
      </c>
      <c r="I1358" s="13">
        <v>71659</v>
      </c>
      <c r="J1358" s="13">
        <f t="shared" si="246"/>
        <v>2866360</v>
      </c>
      <c r="K1358" s="13">
        <f t="shared" si="247"/>
        <v>208009</v>
      </c>
      <c r="L1358" s="13">
        <f t="shared" si="239"/>
        <v>8320360</v>
      </c>
      <c r="M1358" s="11"/>
    </row>
    <row r="1359" spans="1:13">
      <c r="A1359" s="11" t="s">
        <v>1305</v>
      </c>
      <c r="B1359" s="11" t="s">
        <v>1306</v>
      </c>
      <c r="C1359" s="13">
        <v>182</v>
      </c>
      <c r="D1359" s="15" t="s">
        <v>102</v>
      </c>
      <c r="E1359" s="13">
        <v>80800</v>
      </c>
      <c r="F1359" s="13">
        <f t="shared" si="244"/>
        <v>14705600</v>
      </c>
      <c r="G1359" s="13">
        <v>55550</v>
      </c>
      <c r="H1359" s="13">
        <f t="shared" si="245"/>
        <v>10110100</v>
      </c>
      <c r="I1359" s="13">
        <v>71659</v>
      </c>
      <c r="J1359" s="13">
        <f t="shared" si="246"/>
        <v>13041938</v>
      </c>
      <c r="K1359" s="13">
        <f t="shared" si="247"/>
        <v>208009</v>
      </c>
      <c r="L1359" s="13">
        <f t="shared" si="239"/>
        <v>37857638</v>
      </c>
      <c r="M1359" s="11"/>
    </row>
    <row r="1360" spans="1:13">
      <c r="A1360" s="11" t="s">
        <v>1307</v>
      </c>
      <c r="B1360" s="11" t="s">
        <v>1295</v>
      </c>
      <c r="C1360" s="13">
        <v>170</v>
      </c>
      <c r="D1360" s="15" t="s">
        <v>240</v>
      </c>
      <c r="E1360" s="13">
        <v>25250</v>
      </c>
      <c r="F1360" s="13">
        <f t="shared" si="244"/>
        <v>4292500</v>
      </c>
      <c r="G1360" s="13">
        <v>13130</v>
      </c>
      <c r="H1360" s="13">
        <f t="shared" si="245"/>
        <v>2232100</v>
      </c>
      <c r="I1360" s="13">
        <v>0</v>
      </c>
      <c r="J1360" s="13">
        <f t="shared" si="246"/>
        <v>0</v>
      </c>
      <c r="K1360" s="13">
        <f t="shared" si="247"/>
        <v>38380</v>
      </c>
      <c r="L1360" s="13">
        <f t="shared" si="239"/>
        <v>6524600</v>
      </c>
      <c r="M1360" s="11"/>
    </row>
    <row r="1361" spans="1:13">
      <c r="A1361" s="11" t="s">
        <v>1296</v>
      </c>
      <c r="B1361" s="11" t="s">
        <v>1297</v>
      </c>
      <c r="C1361" s="13">
        <v>2823</v>
      </c>
      <c r="D1361" s="15" t="s">
        <v>102</v>
      </c>
      <c r="E1361" s="13">
        <v>6737</v>
      </c>
      <c r="F1361" s="13">
        <f t="shared" si="244"/>
        <v>19018551</v>
      </c>
      <c r="G1361" s="13">
        <v>7070</v>
      </c>
      <c r="H1361" s="13">
        <f t="shared" si="245"/>
        <v>19958610</v>
      </c>
      <c r="I1361" s="13">
        <v>5512</v>
      </c>
      <c r="J1361" s="13">
        <f t="shared" si="246"/>
        <v>15560376</v>
      </c>
      <c r="K1361" s="13">
        <f t="shared" si="247"/>
        <v>19319</v>
      </c>
      <c r="L1361" s="13">
        <f t="shared" si="239"/>
        <v>54537537</v>
      </c>
      <c r="M1361" s="11"/>
    </row>
    <row r="1362" spans="1:13">
      <c r="A1362" s="11" t="s">
        <v>1298</v>
      </c>
      <c r="B1362" s="11" t="s">
        <v>1053</v>
      </c>
      <c r="C1362" s="13">
        <v>12357</v>
      </c>
      <c r="D1362" s="15" t="s">
        <v>199</v>
      </c>
      <c r="E1362" s="13">
        <v>0</v>
      </c>
      <c r="F1362" s="13">
        <f t="shared" si="244"/>
        <v>0</v>
      </c>
      <c r="G1362" s="13">
        <v>0</v>
      </c>
      <c r="H1362" s="13">
        <f t="shared" si="245"/>
        <v>0</v>
      </c>
      <c r="I1362" s="13">
        <v>6945</v>
      </c>
      <c r="J1362" s="13">
        <f t="shared" si="246"/>
        <v>85819365</v>
      </c>
      <c r="K1362" s="13">
        <f t="shared" si="247"/>
        <v>6945</v>
      </c>
      <c r="L1362" s="13">
        <f t="shared" si="239"/>
        <v>85819365</v>
      </c>
      <c r="M1362" s="11"/>
    </row>
    <row r="1363" spans="1:13">
      <c r="A1363" s="11" t="s">
        <v>1299</v>
      </c>
      <c r="B1363" s="11" t="s">
        <v>121</v>
      </c>
      <c r="C1363" s="13">
        <v>1250</v>
      </c>
      <c r="D1363" s="15" t="s">
        <v>102</v>
      </c>
      <c r="E1363" s="13">
        <v>6262</v>
      </c>
      <c r="F1363" s="13">
        <f t="shared" si="244"/>
        <v>7827500</v>
      </c>
      <c r="G1363" s="13">
        <v>7070</v>
      </c>
      <c r="H1363" s="13">
        <f t="shared" si="245"/>
        <v>8837500</v>
      </c>
      <c r="I1363" s="13">
        <v>1102</v>
      </c>
      <c r="J1363" s="13">
        <f t="shared" si="246"/>
        <v>1377500</v>
      </c>
      <c r="K1363" s="13">
        <f t="shared" si="247"/>
        <v>14434</v>
      </c>
      <c r="L1363" s="13">
        <f t="shared" ref="L1363:L1394" si="248">F1363+H1363+J1363</f>
        <v>18042500</v>
      </c>
      <c r="M1363" s="11"/>
    </row>
    <row r="1364" spans="1:13">
      <c r="A1364" s="19" t="s">
        <v>1308</v>
      </c>
      <c r="B1364" s="20"/>
      <c r="C1364" s="21"/>
      <c r="D1364" s="21"/>
      <c r="E1364" s="21"/>
      <c r="F1364" s="22">
        <f>SUM(F1365:F1381)</f>
        <v>67742720</v>
      </c>
      <c r="G1364" s="21"/>
      <c r="H1364" s="22">
        <f>SUM(H1365:H1381)</f>
        <v>46354241</v>
      </c>
      <c r="I1364" s="21"/>
      <c r="J1364" s="22">
        <f>SUM(J1365:J1381)</f>
        <v>112998190</v>
      </c>
      <c r="K1364" s="21"/>
      <c r="L1364" s="22">
        <f t="shared" si="248"/>
        <v>227095151</v>
      </c>
      <c r="M1364" s="21"/>
    </row>
    <row r="1365" spans="1:13">
      <c r="A1365" s="11" t="s">
        <v>1277</v>
      </c>
      <c r="B1365" s="11" t="s">
        <v>1278</v>
      </c>
      <c r="C1365" s="13">
        <v>1</v>
      </c>
      <c r="D1365" s="15" t="s">
        <v>210</v>
      </c>
      <c r="E1365" s="13">
        <v>616100</v>
      </c>
      <c r="F1365" s="13">
        <f t="shared" ref="F1365:F1381" si="249">ROUND(E1365*C1365,0)</f>
        <v>616100</v>
      </c>
      <c r="G1365" s="13">
        <v>104788</v>
      </c>
      <c r="H1365" s="13">
        <f t="shared" ref="H1365:H1381" si="250">ROUND(G1365*C1365,0)</f>
        <v>104788</v>
      </c>
      <c r="I1365" s="13">
        <v>117135</v>
      </c>
      <c r="J1365" s="13">
        <f t="shared" ref="J1365:J1381" si="251">ROUND(I1365*C1365,0)</f>
        <v>117135</v>
      </c>
      <c r="K1365" s="13">
        <f t="shared" ref="K1365:K1381" si="252">E1365+G1365+I1365</f>
        <v>838023</v>
      </c>
      <c r="L1365" s="13">
        <f t="shared" si="248"/>
        <v>838023</v>
      </c>
      <c r="M1365" s="11"/>
    </row>
    <row r="1366" spans="1:13">
      <c r="A1366" s="11" t="s">
        <v>1279</v>
      </c>
      <c r="B1366" s="11" t="s">
        <v>1280</v>
      </c>
      <c r="C1366" s="13">
        <v>3</v>
      </c>
      <c r="D1366" s="15" t="s">
        <v>210</v>
      </c>
      <c r="E1366" s="13">
        <v>170690</v>
      </c>
      <c r="F1366" s="13">
        <f t="shared" si="249"/>
        <v>512070</v>
      </c>
      <c r="G1366" s="13">
        <v>83689</v>
      </c>
      <c r="H1366" s="13">
        <f t="shared" si="250"/>
        <v>251067</v>
      </c>
      <c r="I1366" s="13">
        <v>133869</v>
      </c>
      <c r="J1366" s="13">
        <f t="shared" si="251"/>
        <v>401607</v>
      </c>
      <c r="K1366" s="13">
        <f t="shared" si="252"/>
        <v>388248</v>
      </c>
      <c r="L1366" s="13">
        <f t="shared" si="248"/>
        <v>1164744</v>
      </c>
      <c r="M1366" s="11"/>
    </row>
    <row r="1367" spans="1:13">
      <c r="A1367" s="11" t="s">
        <v>1281</v>
      </c>
      <c r="B1367" s="11"/>
      <c r="C1367" s="13">
        <v>1</v>
      </c>
      <c r="D1367" s="15" t="s">
        <v>210</v>
      </c>
      <c r="E1367" s="13">
        <v>38380</v>
      </c>
      <c r="F1367" s="13">
        <f t="shared" si="249"/>
        <v>38380</v>
      </c>
      <c r="G1367" s="13">
        <v>85850</v>
      </c>
      <c r="H1367" s="13">
        <f t="shared" si="250"/>
        <v>85850</v>
      </c>
      <c r="I1367" s="13">
        <v>0</v>
      </c>
      <c r="J1367" s="13">
        <f t="shared" si="251"/>
        <v>0</v>
      </c>
      <c r="K1367" s="13">
        <f t="shared" si="252"/>
        <v>124230</v>
      </c>
      <c r="L1367" s="13">
        <f t="shared" si="248"/>
        <v>124230</v>
      </c>
      <c r="M1367" s="11"/>
    </row>
    <row r="1368" spans="1:13">
      <c r="A1368" s="11" t="s">
        <v>1282</v>
      </c>
      <c r="B1368" s="11" t="s">
        <v>458</v>
      </c>
      <c r="C1368" s="13">
        <v>36</v>
      </c>
      <c r="D1368" s="15" t="s">
        <v>240</v>
      </c>
      <c r="E1368" s="13">
        <v>4242</v>
      </c>
      <c r="F1368" s="13">
        <f t="shared" si="249"/>
        <v>152712</v>
      </c>
      <c r="G1368" s="13">
        <v>19392</v>
      </c>
      <c r="H1368" s="13">
        <f t="shared" si="250"/>
        <v>698112</v>
      </c>
      <c r="I1368" s="13">
        <v>0</v>
      </c>
      <c r="J1368" s="13">
        <f t="shared" si="251"/>
        <v>0</v>
      </c>
      <c r="K1368" s="13">
        <f t="shared" si="252"/>
        <v>23634</v>
      </c>
      <c r="L1368" s="13">
        <f t="shared" si="248"/>
        <v>850824</v>
      </c>
      <c r="M1368" s="11"/>
    </row>
    <row r="1369" spans="1:13">
      <c r="A1369" s="11" t="s">
        <v>1283</v>
      </c>
      <c r="B1369" s="11" t="s">
        <v>1284</v>
      </c>
      <c r="C1369" s="13">
        <v>70</v>
      </c>
      <c r="D1369" s="15" t="s">
        <v>240</v>
      </c>
      <c r="E1369" s="13">
        <v>4242</v>
      </c>
      <c r="F1369" s="13">
        <f t="shared" si="249"/>
        <v>296940</v>
      </c>
      <c r="G1369" s="13">
        <v>21816</v>
      </c>
      <c r="H1369" s="13">
        <f t="shared" si="250"/>
        <v>1527120</v>
      </c>
      <c r="I1369" s="13">
        <v>6615</v>
      </c>
      <c r="J1369" s="13">
        <f t="shared" si="251"/>
        <v>463050</v>
      </c>
      <c r="K1369" s="13">
        <f t="shared" si="252"/>
        <v>32673</v>
      </c>
      <c r="L1369" s="13">
        <f t="shared" si="248"/>
        <v>2287110</v>
      </c>
      <c r="M1369" s="11"/>
    </row>
    <row r="1370" spans="1:13">
      <c r="A1370" s="11" t="s">
        <v>1285</v>
      </c>
      <c r="B1370" s="11" t="s">
        <v>513</v>
      </c>
      <c r="C1370" s="13">
        <v>6</v>
      </c>
      <c r="D1370" s="15" t="s">
        <v>377</v>
      </c>
      <c r="E1370" s="13">
        <v>72720</v>
      </c>
      <c r="F1370" s="13">
        <f t="shared" si="249"/>
        <v>436320</v>
      </c>
      <c r="G1370" s="13">
        <v>0</v>
      </c>
      <c r="H1370" s="13">
        <f t="shared" si="250"/>
        <v>0</v>
      </c>
      <c r="I1370" s="13">
        <v>0</v>
      </c>
      <c r="J1370" s="13">
        <f t="shared" si="251"/>
        <v>0</v>
      </c>
      <c r="K1370" s="13">
        <f t="shared" si="252"/>
        <v>72720</v>
      </c>
      <c r="L1370" s="13">
        <f t="shared" si="248"/>
        <v>436320</v>
      </c>
      <c r="M1370" s="11"/>
    </row>
    <row r="1371" spans="1:13">
      <c r="A1371" s="11" t="s">
        <v>1286</v>
      </c>
      <c r="B1371" s="11" t="s">
        <v>1287</v>
      </c>
      <c r="C1371" s="13">
        <v>12</v>
      </c>
      <c r="D1371" s="15" t="s">
        <v>377</v>
      </c>
      <c r="E1371" s="13">
        <v>525200</v>
      </c>
      <c r="F1371" s="13">
        <f t="shared" si="249"/>
        <v>6302400</v>
      </c>
      <c r="G1371" s="13">
        <v>0</v>
      </c>
      <c r="H1371" s="13">
        <f t="shared" si="250"/>
        <v>0</v>
      </c>
      <c r="I1371" s="13">
        <v>0</v>
      </c>
      <c r="J1371" s="13">
        <f t="shared" si="251"/>
        <v>0</v>
      </c>
      <c r="K1371" s="13">
        <f t="shared" si="252"/>
        <v>525200</v>
      </c>
      <c r="L1371" s="13">
        <f t="shared" si="248"/>
        <v>6302400</v>
      </c>
      <c r="M1371" s="11"/>
    </row>
    <row r="1372" spans="1:13" ht="33">
      <c r="A1372" s="11" t="s">
        <v>1288</v>
      </c>
      <c r="B1372" s="11" t="s">
        <v>244</v>
      </c>
      <c r="C1372" s="13">
        <v>12</v>
      </c>
      <c r="D1372" s="15" t="s">
        <v>240</v>
      </c>
      <c r="E1372" s="13">
        <v>71710</v>
      </c>
      <c r="F1372" s="13">
        <f t="shared" si="249"/>
        <v>860520</v>
      </c>
      <c r="G1372" s="13">
        <v>38107</v>
      </c>
      <c r="H1372" s="13">
        <f t="shared" si="250"/>
        <v>457284</v>
      </c>
      <c r="I1372" s="13">
        <v>42598</v>
      </c>
      <c r="J1372" s="13">
        <f t="shared" si="251"/>
        <v>511176</v>
      </c>
      <c r="K1372" s="13">
        <f t="shared" si="252"/>
        <v>152415</v>
      </c>
      <c r="L1372" s="13">
        <f t="shared" si="248"/>
        <v>1828980</v>
      </c>
      <c r="M1372" s="11"/>
    </row>
    <row r="1373" spans="1:13">
      <c r="A1373" s="11" t="s">
        <v>1289</v>
      </c>
      <c r="B1373" s="11" t="s">
        <v>1290</v>
      </c>
      <c r="C1373" s="13">
        <v>8</v>
      </c>
      <c r="D1373" s="15" t="s">
        <v>240</v>
      </c>
      <c r="E1373" s="13">
        <v>112019</v>
      </c>
      <c r="F1373" s="13">
        <f t="shared" si="249"/>
        <v>896152</v>
      </c>
      <c r="G1373" s="13">
        <v>45450</v>
      </c>
      <c r="H1373" s="13">
        <f t="shared" si="250"/>
        <v>363600</v>
      </c>
      <c r="I1373" s="13">
        <v>46303</v>
      </c>
      <c r="J1373" s="13">
        <f t="shared" si="251"/>
        <v>370424</v>
      </c>
      <c r="K1373" s="13">
        <f t="shared" si="252"/>
        <v>203772</v>
      </c>
      <c r="L1373" s="13">
        <f t="shared" si="248"/>
        <v>1630176</v>
      </c>
      <c r="M1373" s="11"/>
    </row>
    <row r="1374" spans="1:13">
      <c r="A1374" s="11" t="s">
        <v>1309</v>
      </c>
      <c r="B1374" s="11" t="s">
        <v>1310</v>
      </c>
      <c r="C1374" s="13">
        <v>120</v>
      </c>
      <c r="D1374" s="15" t="s">
        <v>102</v>
      </c>
      <c r="E1374" s="13">
        <v>80800</v>
      </c>
      <c r="F1374" s="13">
        <f t="shared" si="249"/>
        <v>9696000</v>
      </c>
      <c r="G1374" s="13">
        <v>55550</v>
      </c>
      <c r="H1374" s="13">
        <f t="shared" si="250"/>
        <v>6666000</v>
      </c>
      <c r="I1374" s="13">
        <v>71659</v>
      </c>
      <c r="J1374" s="13">
        <f t="shared" si="251"/>
        <v>8599080</v>
      </c>
      <c r="K1374" s="13">
        <f t="shared" si="252"/>
        <v>208009</v>
      </c>
      <c r="L1374" s="13">
        <f t="shared" si="248"/>
        <v>24961080</v>
      </c>
      <c r="M1374" s="11"/>
    </row>
    <row r="1375" spans="1:13">
      <c r="A1375" s="11" t="s">
        <v>1311</v>
      </c>
      <c r="B1375" s="11" t="s">
        <v>1312</v>
      </c>
      <c r="C1375" s="13">
        <v>38</v>
      </c>
      <c r="D1375" s="15" t="s">
        <v>102</v>
      </c>
      <c r="E1375" s="13">
        <v>80800</v>
      </c>
      <c r="F1375" s="13">
        <f t="shared" si="249"/>
        <v>3070400</v>
      </c>
      <c r="G1375" s="13">
        <v>55550</v>
      </c>
      <c r="H1375" s="13">
        <f t="shared" si="250"/>
        <v>2110900</v>
      </c>
      <c r="I1375" s="13">
        <v>71659</v>
      </c>
      <c r="J1375" s="13">
        <f t="shared" si="251"/>
        <v>2723042</v>
      </c>
      <c r="K1375" s="13">
        <f t="shared" si="252"/>
        <v>208009</v>
      </c>
      <c r="L1375" s="13">
        <f t="shared" si="248"/>
        <v>7904342</v>
      </c>
      <c r="M1375" s="11"/>
    </row>
    <row r="1376" spans="1:13">
      <c r="A1376" s="11" t="s">
        <v>1303</v>
      </c>
      <c r="B1376" s="11" t="s">
        <v>1313</v>
      </c>
      <c r="C1376" s="13">
        <v>175</v>
      </c>
      <c r="D1376" s="15" t="s">
        <v>102</v>
      </c>
      <c r="E1376" s="13">
        <v>80800</v>
      </c>
      <c r="F1376" s="13">
        <f t="shared" si="249"/>
        <v>14140000</v>
      </c>
      <c r="G1376" s="13">
        <v>55550</v>
      </c>
      <c r="H1376" s="13">
        <f t="shared" si="250"/>
        <v>9721250</v>
      </c>
      <c r="I1376" s="13">
        <v>71659</v>
      </c>
      <c r="J1376" s="13">
        <f t="shared" si="251"/>
        <v>12540325</v>
      </c>
      <c r="K1376" s="13">
        <f t="shared" si="252"/>
        <v>208009</v>
      </c>
      <c r="L1376" s="13">
        <f t="shared" si="248"/>
        <v>36401575</v>
      </c>
      <c r="M1376" s="11"/>
    </row>
    <row r="1377" spans="1:13">
      <c r="A1377" s="11" t="s">
        <v>1314</v>
      </c>
      <c r="B1377" s="11" t="s">
        <v>1295</v>
      </c>
      <c r="C1377" s="13">
        <v>167</v>
      </c>
      <c r="D1377" s="15" t="s">
        <v>240</v>
      </c>
      <c r="E1377" s="13">
        <v>25250</v>
      </c>
      <c r="F1377" s="13">
        <f t="shared" si="249"/>
        <v>4216750</v>
      </c>
      <c r="G1377" s="13">
        <v>13130</v>
      </c>
      <c r="H1377" s="13">
        <f t="shared" si="250"/>
        <v>2192710</v>
      </c>
      <c r="I1377" s="13">
        <v>0</v>
      </c>
      <c r="J1377" s="13">
        <f t="shared" si="251"/>
        <v>0</v>
      </c>
      <c r="K1377" s="13">
        <f t="shared" si="252"/>
        <v>38380</v>
      </c>
      <c r="L1377" s="13">
        <f t="shared" si="248"/>
        <v>6409460</v>
      </c>
      <c r="M1377" s="11"/>
    </row>
    <row r="1378" spans="1:13">
      <c r="A1378" s="11" t="s">
        <v>1315</v>
      </c>
      <c r="B1378" s="11" t="s">
        <v>1213</v>
      </c>
      <c r="C1378" s="13">
        <v>24</v>
      </c>
      <c r="D1378" s="15" t="s">
        <v>1120</v>
      </c>
      <c r="E1378" s="13">
        <v>297950</v>
      </c>
      <c r="F1378" s="13">
        <f t="shared" si="249"/>
        <v>7150800</v>
      </c>
      <c r="G1378" s="13">
        <v>55550</v>
      </c>
      <c r="H1378" s="13">
        <f t="shared" si="250"/>
        <v>1333200</v>
      </c>
      <c r="I1378" s="13">
        <v>31420</v>
      </c>
      <c r="J1378" s="13">
        <f t="shared" si="251"/>
        <v>754080</v>
      </c>
      <c r="K1378" s="13">
        <f t="shared" si="252"/>
        <v>384920</v>
      </c>
      <c r="L1378" s="13">
        <f t="shared" si="248"/>
        <v>9238080</v>
      </c>
      <c r="M1378" s="11"/>
    </row>
    <row r="1379" spans="1:13">
      <c r="A1379" s="11" t="s">
        <v>1316</v>
      </c>
      <c r="B1379" s="11" t="s">
        <v>1297</v>
      </c>
      <c r="C1379" s="13">
        <v>1888</v>
      </c>
      <c r="D1379" s="15" t="s">
        <v>102</v>
      </c>
      <c r="E1379" s="13">
        <v>6737</v>
      </c>
      <c r="F1379" s="13">
        <f t="shared" si="249"/>
        <v>12719456</v>
      </c>
      <c r="G1379" s="13">
        <v>7070</v>
      </c>
      <c r="H1379" s="13">
        <f t="shared" si="250"/>
        <v>13348160</v>
      </c>
      <c r="I1379" s="13">
        <v>5512</v>
      </c>
      <c r="J1379" s="13">
        <f t="shared" si="251"/>
        <v>10406656</v>
      </c>
      <c r="K1379" s="13">
        <f t="shared" si="252"/>
        <v>19319</v>
      </c>
      <c r="L1379" s="13">
        <f t="shared" si="248"/>
        <v>36474272</v>
      </c>
      <c r="M1379" s="11"/>
    </row>
    <row r="1380" spans="1:13">
      <c r="A1380" s="11" t="s">
        <v>1298</v>
      </c>
      <c r="B1380" s="11" t="s">
        <v>1053</v>
      </c>
      <c r="C1380" s="13">
        <v>10791</v>
      </c>
      <c r="D1380" s="15" t="s">
        <v>199</v>
      </c>
      <c r="E1380" s="13">
        <v>0</v>
      </c>
      <c r="F1380" s="13">
        <f t="shared" si="249"/>
        <v>0</v>
      </c>
      <c r="G1380" s="13">
        <v>0</v>
      </c>
      <c r="H1380" s="13">
        <f t="shared" si="250"/>
        <v>0</v>
      </c>
      <c r="I1380" s="13">
        <v>6945</v>
      </c>
      <c r="J1380" s="13">
        <f t="shared" si="251"/>
        <v>74943495</v>
      </c>
      <c r="K1380" s="13">
        <f t="shared" si="252"/>
        <v>6945</v>
      </c>
      <c r="L1380" s="13">
        <f t="shared" si="248"/>
        <v>74943495</v>
      </c>
      <c r="M1380" s="11"/>
    </row>
    <row r="1381" spans="1:13">
      <c r="A1381" s="11" t="s">
        <v>1299</v>
      </c>
      <c r="B1381" s="11" t="s">
        <v>121</v>
      </c>
      <c r="C1381" s="13">
        <v>1060</v>
      </c>
      <c r="D1381" s="15" t="s">
        <v>102</v>
      </c>
      <c r="E1381" s="13">
        <v>6262</v>
      </c>
      <c r="F1381" s="13">
        <f t="shared" si="249"/>
        <v>6637720</v>
      </c>
      <c r="G1381" s="13">
        <v>7070</v>
      </c>
      <c r="H1381" s="13">
        <f t="shared" si="250"/>
        <v>7494200</v>
      </c>
      <c r="I1381" s="13">
        <v>1102</v>
      </c>
      <c r="J1381" s="13">
        <f t="shared" si="251"/>
        <v>1168120</v>
      </c>
      <c r="K1381" s="13">
        <f t="shared" si="252"/>
        <v>14434</v>
      </c>
      <c r="L1381" s="13">
        <f t="shared" si="248"/>
        <v>15300040</v>
      </c>
      <c r="M1381" s="11"/>
    </row>
    <row r="1382" spans="1:13">
      <c r="A1382" s="19" t="s">
        <v>1317</v>
      </c>
      <c r="B1382" s="20"/>
      <c r="C1382" s="21"/>
      <c r="D1382" s="21"/>
      <c r="E1382" s="21"/>
      <c r="F1382" s="22">
        <f>SUM(F1383:F1397)</f>
        <v>61139017</v>
      </c>
      <c r="G1382" s="21"/>
      <c r="H1382" s="22">
        <f>SUM(H1383:H1397)</f>
        <v>40663285</v>
      </c>
      <c r="I1382" s="21"/>
      <c r="J1382" s="22">
        <f>SUM(J1383:J1397)</f>
        <v>82337198</v>
      </c>
      <c r="K1382" s="21"/>
      <c r="L1382" s="22">
        <f t="shared" si="248"/>
        <v>184139500</v>
      </c>
      <c r="M1382" s="21"/>
    </row>
    <row r="1383" spans="1:13">
      <c r="A1383" s="11" t="s">
        <v>1277</v>
      </c>
      <c r="B1383" s="11" t="s">
        <v>1278</v>
      </c>
      <c r="C1383" s="13">
        <v>1</v>
      </c>
      <c r="D1383" s="15" t="s">
        <v>210</v>
      </c>
      <c r="E1383" s="13">
        <v>616100</v>
      </c>
      <c r="F1383" s="13">
        <f t="shared" ref="F1383:F1397" si="253">ROUND(E1383*C1383,0)</f>
        <v>616100</v>
      </c>
      <c r="G1383" s="13">
        <v>104788</v>
      </c>
      <c r="H1383" s="13">
        <f t="shared" ref="H1383:H1397" si="254">ROUND(G1383*C1383,0)</f>
        <v>104788</v>
      </c>
      <c r="I1383" s="13">
        <v>117135</v>
      </c>
      <c r="J1383" s="13">
        <f t="shared" ref="J1383:J1397" si="255">ROUND(I1383*C1383,0)</f>
        <v>117135</v>
      </c>
      <c r="K1383" s="13">
        <f t="shared" ref="K1383:K1397" si="256">E1383+G1383+I1383</f>
        <v>838023</v>
      </c>
      <c r="L1383" s="13">
        <f t="shared" si="248"/>
        <v>838023</v>
      </c>
      <c r="M1383" s="11"/>
    </row>
    <row r="1384" spans="1:13">
      <c r="A1384" s="11" t="s">
        <v>1279</v>
      </c>
      <c r="B1384" s="11" t="s">
        <v>1280</v>
      </c>
      <c r="C1384" s="13">
        <v>4</v>
      </c>
      <c r="D1384" s="15" t="s">
        <v>210</v>
      </c>
      <c r="E1384" s="13">
        <v>170690</v>
      </c>
      <c r="F1384" s="13">
        <f t="shared" si="253"/>
        <v>682760</v>
      </c>
      <c r="G1384" s="13">
        <v>83689</v>
      </c>
      <c r="H1384" s="13">
        <f t="shared" si="254"/>
        <v>334756</v>
      </c>
      <c r="I1384" s="13">
        <v>133869</v>
      </c>
      <c r="J1384" s="13">
        <f t="shared" si="255"/>
        <v>535476</v>
      </c>
      <c r="K1384" s="13">
        <f t="shared" si="256"/>
        <v>388248</v>
      </c>
      <c r="L1384" s="13">
        <f t="shared" si="248"/>
        <v>1552992</v>
      </c>
      <c r="M1384" s="11"/>
    </row>
    <row r="1385" spans="1:13">
      <c r="A1385" s="11" t="s">
        <v>1281</v>
      </c>
      <c r="B1385" s="11"/>
      <c r="C1385" s="13">
        <v>1</v>
      </c>
      <c r="D1385" s="15" t="s">
        <v>210</v>
      </c>
      <c r="E1385" s="13">
        <v>38380</v>
      </c>
      <c r="F1385" s="13">
        <f t="shared" si="253"/>
        <v>38380</v>
      </c>
      <c r="G1385" s="13">
        <v>85850</v>
      </c>
      <c r="H1385" s="13">
        <f t="shared" si="254"/>
        <v>85850</v>
      </c>
      <c r="I1385" s="13">
        <v>0</v>
      </c>
      <c r="J1385" s="13">
        <f t="shared" si="255"/>
        <v>0</v>
      </c>
      <c r="K1385" s="13">
        <f t="shared" si="256"/>
        <v>124230</v>
      </c>
      <c r="L1385" s="13">
        <f t="shared" si="248"/>
        <v>124230</v>
      </c>
      <c r="M1385" s="11"/>
    </row>
    <row r="1386" spans="1:13">
      <c r="A1386" s="11" t="s">
        <v>1282</v>
      </c>
      <c r="B1386" s="11" t="s">
        <v>458</v>
      </c>
      <c r="C1386" s="13">
        <v>20</v>
      </c>
      <c r="D1386" s="15" t="s">
        <v>240</v>
      </c>
      <c r="E1386" s="13">
        <v>4242</v>
      </c>
      <c r="F1386" s="13">
        <f t="shared" si="253"/>
        <v>84840</v>
      </c>
      <c r="G1386" s="13">
        <v>19392</v>
      </c>
      <c r="H1386" s="13">
        <f t="shared" si="254"/>
        <v>387840</v>
      </c>
      <c r="I1386" s="13">
        <v>0</v>
      </c>
      <c r="J1386" s="13">
        <f t="shared" si="255"/>
        <v>0</v>
      </c>
      <c r="K1386" s="13">
        <f t="shared" si="256"/>
        <v>23634</v>
      </c>
      <c r="L1386" s="13">
        <f t="shared" si="248"/>
        <v>472680</v>
      </c>
      <c r="M1386" s="11"/>
    </row>
    <row r="1387" spans="1:13">
      <c r="A1387" s="11" t="s">
        <v>1283</v>
      </c>
      <c r="B1387" s="11" t="s">
        <v>1284</v>
      </c>
      <c r="C1387" s="13">
        <v>85</v>
      </c>
      <c r="D1387" s="15" t="s">
        <v>240</v>
      </c>
      <c r="E1387" s="13">
        <v>4242</v>
      </c>
      <c r="F1387" s="13">
        <f t="shared" si="253"/>
        <v>360570</v>
      </c>
      <c r="G1387" s="13">
        <v>21816</v>
      </c>
      <c r="H1387" s="13">
        <f t="shared" si="254"/>
        <v>1854360</v>
      </c>
      <c r="I1387" s="13">
        <v>6615</v>
      </c>
      <c r="J1387" s="13">
        <f t="shared" si="255"/>
        <v>562275</v>
      </c>
      <c r="K1387" s="13">
        <f t="shared" si="256"/>
        <v>32673</v>
      </c>
      <c r="L1387" s="13">
        <f t="shared" si="248"/>
        <v>2777205</v>
      </c>
      <c r="M1387" s="11"/>
    </row>
    <row r="1388" spans="1:13">
      <c r="A1388" s="11" t="s">
        <v>1285</v>
      </c>
      <c r="B1388" s="11" t="s">
        <v>513</v>
      </c>
      <c r="C1388" s="13">
        <v>4</v>
      </c>
      <c r="D1388" s="15" t="s">
        <v>377</v>
      </c>
      <c r="E1388" s="13">
        <v>72720</v>
      </c>
      <c r="F1388" s="13">
        <f t="shared" si="253"/>
        <v>290880</v>
      </c>
      <c r="G1388" s="13">
        <v>0</v>
      </c>
      <c r="H1388" s="13">
        <f t="shared" si="254"/>
        <v>0</v>
      </c>
      <c r="I1388" s="13">
        <v>0</v>
      </c>
      <c r="J1388" s="13">
        <f t="shared" si="255"/>
        <v>0</v>
      </c>
      <c r="K1388" s="13">
        <f t="shared" si="256"/>
        <v>72720</v>
      </c>
      <c r="L1388" s="13">
        <f t="shared" si="248"/>
        <v>290880</v>
      </c>
      <c r="M1388" s="11"/>
    </row>
    <row r="1389" spans="1:13">
      <c r="A1389" s="11" t="s">
        <v>1286</v>
      </c>
      <c r="B1389" s="11" t="s">
        <v>1287</v>
      </c>
      <c r="C1389" s="13">
        <v>15</v>
      </c>
      <c r="D1389" s="15" t="s">
        <v>377</v>
      </c>
      <c r="E1389" s="13">
        <v>525200</v>
      </c>
      <c r="F1389" s="13">
        <f t="shared" si="253"/>
        <v>7878000</v>
      </c>
      <c r="G1389" s="13">
        <v>0</v>
      </c>
      <c r="H1389" s="13">
        <f t="shared" si="254"/>
        <v>0</v>
      </c>
      <c r="I1389" s="13">
        <v>0</v>
      </c>
      <c r="J1389" s="13">
        <f t="shared" si="255"/>
        <v>0</v>
      </c>
      <c r="K1389" s="13">
        <f t="shared" si="256"/>
        <v>525200</v>
      </c>
      <c r="L1389" s="13">
        <f t="shared" si="248"/>
        <v>7878000</v>
      </c>
      <c r="M1389" s="11"/>
    </row>
    <row r="1390" spans="1:13" ht="33">
      <c r="A1390" s="11" t="s">
        <v>1288</v>
      </c>
      <c r="B1390" s="11" t="s">
        <v>244</v>
      </c>
      <c r="C1390" s="13">
        <v>13</v>
      </c>
      <c r="D1390" s="15" t="s">
        <v>240</v>
      </c>
      <c r="E1390" s="13">
        <v>71710</v>
      </c>
      <c r="F1390" s="13">
        <f t="shared" si="253"/>
        <v>932230</v>
      </c>
      <c r="G1390" s="13">
        <v>38107</v>
      </c>
      <c r="H1390" s="13">
        <f t="shared" si="254"/>
        <v>495391</v>
      </c>
      <c r="I1390" s="13">
        <v>42598</v>
      </c>
      <c r="J1390" s="13">
        <f t="shared" si="255"/>
        <v>553774</v>
      </c>
      <c r="K1390" s="13">
        <f t="shared" si="256"/>
        <v>152415</v>
      </c>
      <c r="L1390" s="13">
        <f t="shared" si="248"/>
        <v>1981395</v>
      </c>
      <c r="M1390" s="11"/>
    </row>
    <row r="1391" spans="1:13">
      <c r="A1391" s="11" t="s">
        <v>1289</v>
      </c>
      <c r="B1391" s="11" t="s">
        <v>1290</v>
      </c>
      <c r="C1391" s="13">
        <v>8</v>
      </c>
      <c r="D1391" s="15" t="s">
        <v>240</v>
      </c>
      <c r="E1391" s="13">
        <v>112019</v>
      </c>
      <c r="F1391" s="13">
        <f t="shared" si="253"/>
        <v>896152</v>
      </c>
      <c r="G1391" s="13">
        <v>45450</v>
      </c>
      <c r="H1391" s="13">
        <f t="shared" si="254"/>
        <v>363600</v>
      </c>
      <c r="I1391" s="13">
        <v>46303</v>
      </c>
      <c r="J1391" s="13">
        <f t="shared" si="255"/>
        <v>370424</v>
      </c>
      <c r="K1391" s="13">
        <f t="shared" si="256"/>
        <v>203772</v>
      </c>
      <c r="L1391" s="13">
        <f t="shared" si="248"/>
        <v>1630176</v>
      </c>
      <c r="M1391" s="11"/>
    </row>
    <row r="1392" spans="1:13">
      <c r="A1392" s="11" t="s">
        <v>1309</v>
      </c>
      <c r="B1392" s="11" t="s">
        <v>1318</v>
      </c>
      <c r="C1392" s="13">
        <v>276</v>
      </c>
      <c r="D1392" s="15" t="s">
        <v>102</v>
      </c>
      <c r="E1392" s="13">
        <v>80800</v>
      </c>
      <c r="F1392" s="13">
        <f t="shared" si="253"/>
        <v>22300800</v>
      </c>
      <c r="G1392" s="13">
        <v>55550</v>
      </c>
      <c r="H1392" s="13">
        <f t="shared" si="254"/>
        <v>15331800</v>
      </c>
      <c r="I1392" s="13">
        <v>71659</v>
      </c>
      <c r="J1392" s="13">
        <f t="shared" si="255"/>
        <v>19777884</v>
      </c>
      <c r="K1392" s="13">
        <f t="shared" si="256"/>
        <v>208009</v>
      </c>
      <c r="L1392" s="13">
        <f t="shared" si="248"/>
        <v>57410484</v>
      </c>
      <c r="M1392" s="11"/>
    </row>
    <row r="1393" spans="1:13">
      <c r="A1393" s="11" t="s">
        <v>1294</v>
      </c>
      <c r="B1393" s="11" t="s">
        <v>1295</v>
      </c>
      <c r="C1393" s="13">
        <v>200</v>
      </c>
      <c r="D1393" s="15" t="s">
        <v>240</v>
      </c>
      <c r="E1393" s="13">
        <v>25250</v>
      </c>
      <c r="F1393" s="13">
        <f t="shared" si="253"/>
        <v>5050000</v>
      </c>
      <c r="G1393" s="13">
        <v>13130</v>
      </c>
      <c r="H1393" s="13">
        <f t="shared" si="254"/>
        <v>2626000</v>
      </c>
      <c r="I1393" s="13">
        <v>0</v>
      </c>
      <c r="J1393" s="13">
        <f t="shared" si="255"/>
        <v>0</v>
      </c>
      <c r="K1393" s="13">
        <f t="shared" si="256"/>
        <v>38380</v>
      </c>
      <c r="L1393" s="13">
        <f t="shared" si="248"/>
        <v>7676000</v>
      </c>
      <c r="M1393" s="11"/>
    </row>
    <row r="1394" spans="1:13">
      <c r="A1394" s="11" t="s">
        <v>1319</v>
      </c>
      <c r="B1394" s="11" t="s">
        <v>1213</v>
      </c>
      <c r="C1394" s="13">
        <v>17</v>
      </c>
      <c r="D1394" s="15" t="s">
        <v>1120</v>
      </c>
      <c r="E1394" s="13">
        <v>297950</v>
      </c>
      <c r="F1394" s="13">
        <f t="shared" si="253"/>
        <v>5065150</v>
      </c>
      <c r="G1394" s="13">
        <v>55550</v>
      </c>
      <c r="H1394" s="13">
        <f t="shared" si="254"/>
        <v>944350</v>
      </c>
      <c r="I1394" s="13">
        <v>31420</v>
      </c>
      <c r="J1394" s="13">
        <f t="shared" si="255"/>
        <v>534140</v>
      </c>
      <c r="K1394" s="13">
        <f t="shared" si="256"/>
        <v>384920</v>
      </c>
      <c r="L1394" s="13">
        <f t="shared" si="248"/>
        <v>6543640</v>
      </c>
      <c r="M1394" s="11"/>
    </row>
    <row r="1395" spans="1:13">
      <c r="A1395" s="11" t="s">
        <v>1320</v>
      </c>
      <c r="B1395" s="11" t="s">
        <v>1297</v>
      </c>
      <c r="C1395" s="13">
        <v>1855</v>
      </c>
      <c r="D1395" s="15" t="s">
        <v>102</v>
      </c>
      <c r="E1395" s="13">
        <v>6737</v>
      </c>
      <c r="F1395" s="13">
        <f t="shared" si="253"/>
        <v>12497135</v>
      </c>
      <c r="G1395" s="13">
        <v>7070</v>
      </c>
      <c r="H1395" s="13">
        <f t="shared" si="254"/>
        <v>13114850</v>
      </c>
      <c r="I1395" s="13">
        <v>5512</v>
      </c>
      <c r="J1395" s="13">
        <f t="shared" si="255"/>
        <v>10224760</v>
      </c>
      <c r="K1395" s="13">
        <f t="shared" si="256"/>
        <v>19319</v>
      </c>
      <c r="L1395" s="13">
        <f t="shared" ref="L1395:L1426" si="257">F1395+H1395+J1395</f>
        <v>35836745</v>
      </c>
      <c r="M1395" s="11"/>
    </row>
    <row r="1396" spans="1:13">
      <c r="A1396" s="11" t="s">
        <v>1321</v>
      </c>
      <c r="B1396" s="11" t="s">
        <v>1053</v>
      </c>
      <c r="C1396" s="13">
        <v>7038</v>
      </c>
      <c r="D1396" s="15" t="s">
        <v>199</v>
      </c>
      <c r="E1396" s="13">
        <v>0</v>
      </c>
      <c r="F1396" s="13">
        <f t="shared" si="253"/>
        <v>0</v>
      </c>
      <c r="G1396" s="13">
        <v>0</v>
      </c>
      <c r="H1396" s="13">
        <f t="shared" si="254"/>
        <v>0</v>
      </c>
      <c r="I1396" s="13">
        <v>6945</v>
      </c>
      <c r="J1396" s="13">
        <f t="shared" si="255"/>
        <v>48878910</v>
      </c>
      <c r="K1396" s="13">
        <f t="shared" si="256"/>
        <v>6945</v>
      </c>
      <c r="L1396" s="13">
        <f t="shared" si="257"/>
        <v>48878910</v>
      </c>
      <c r="M1396" s="11"/>
    </row>
    <row r="1397" spans="1:13">
      <c r="A1397" s="11" t="s">
        <v>1322</v>
      </c>
      <c r="B1397" s="11" t="s">
        <v>121</v>
      </c>
      <c r="C1397" s="13">
        <v>710</v>
      </c>
      <c r="D1397" s="15" t="s">
        <v>102</v>
      </c>
      <c r="E1397" s="13">
        <v>6262</v>
      </c>
      <c r="F1397" s="13">
        <f t="shared" si="253"/>
        <v>4446020</v>
      </c>
      <c r="G1397" s="13">
        <v>7070</v>
      </c>
      <c r="H1397" s="13">
        <f t="shared" si="254"/>
        <v>5019700</v>
      </c>
      <c r="I1397" s="13">
        <v>1102</v>
      </c>
      <c r="J1397" s="13">
        <f t="shared" si="255"/>
        <v>782420</v>
      </c>
      <c r="K1397" s="13">
        <f t="shared" si="256"/>
        <v>14434</v>
      </c>
      <c r="L1397" s="13">
        <f t="shared" si="257"/>
        <v>10248140</v>
      </c>
      <c r="M1397" s="11"/>
    </row>
    <row r="1398" spans="1:13">
      <c r="A1398" s="19" t="s">
        <v>1323</v>
      </c>
      <c r="B1398" s="20"/>
      <c r="C1398" s="21"/>
      <c r="D1398" s="21"/>
      <c r="E1398" s="21"/>
      <c r="F1398" s="22">
        <f>SUM(F1399:F1413)</f>
        <v>52288632</v>
      </c>
      <c r="G1398" s="21"/>
      <c r="H1398" s="22">
        <f>SUM(H1399:H1413)</f>
        <v>31779286</v>
      </c>
      <c r="I1398" s="21"/>
      <c r="J1398" s="22">
        <f>SUM(J1399:J1413)</f>
        <v>70519475</v>
      </c>
      <c r="K1398" s="21"/>
      <c r="L1398" s="22">
        <f t="shared" si="257"/>
        <v>154587393</v>
      </c>
      <c r="M1398" s="21"/>
    </row>
    <row r="1399" spans="1:13">
      <c r="A1399" s="11" t="s">
        <v>1277</v>
      </c>
      <c r="B1399" s="11" t="s">
        <v>1278</v>
      </c>
      <c r="C1399" s="13">
        <v>1</v>
      </c>
      <c r="D1399" s="15" t="s">
        <v>210</v>
      </c>
      <c r="E1399" s="13">
        <v>616100</v>
      </c>
      <c r="F1399" s="13">
        <f t="shared" ref="F1399:F1413" si="258">ROUND(E1399*C1399,0)</f>
        <v>616100</v>
      </c>
      <c r="G1399" s="13">
        <v>104788</v>
      </c>
      <c r="H1399" s="13">
        <f t="shared" ref="H1399:H1413" si="259">ROUND(G1399*C1399,0)</f>
        <v>104788</v>
      </c>
      <c r="I1399" s="13">
        <v>117135</v>
      </c>
      <c r="J1399" s="13">
        <f t="shared" ref="J1399:J1413" si="260">ROUND(I1399*C1399,0)</f>
        <v>117135</v>
      </c>
      <c r="K1399" s="13">
        <f t="shared" ref="K1399:K1413" si="261">E1399+G1399+I1399</f>
        <v>838023</v>
      </c>
      <c r="L1399" s="13">
        <f t="shared" si="257"/>
        <v>838023</v>
      </c>
      <c r="M1399" s="11"/>
    </row>
    <row r="1400" spans="1:13">
      <c r="A1400" s="11" t="s">
        <v>1279</v>
      </c>
      <c r="B1400" s="11" t="s">
        <v>1280</v>
      </c>
      <c r="C1400" s="13">
        <v>3</v>
      </c>
      <c r="D1400" s="15" t="s">
        <v>210</v>
      </c>
      <c r="E1400" s="13">
        <v>170690</v>
      </c>
      <c r="F1400" s="13">
        <f t="shared" si="258"/>
        <v>512070</v>
      </c>
      <c r="G1400" s="13">
        <v>83689</v>
      </c>
      <c r="H1400" s="13">
        <f t="shared" si="259"/>
        <v>251067</v>
      </c>
      <c r="I1400" s="13">
        <v>133869</v>
      </c>
      <c r="J1400" s="13">
        <f t="shared" si="260"/>
        <v>401607</v>
      </c>
      <c r="K1400" s="13">
        <f t="shared" si="261"/>
        <v>388248</v>
      </c>
      <c r="L1400" s="13">
        <f t="shared" si="257"/>
        <v>1164744</v>
      </c>
      <c r="M1400" s="11"/>
    </row>
    <row r="1401" spans="1:13">
      <c r="A1401" s="11" t="s">
        <v>1281</v>
      </c>
      <c r="B1401" s="11"/>
      <c r="C1401" s="13">
        <v>1</v>
      </c>
      <c r="D1401" s="15" t="s">
        <v>210</v>
      </c>
      <c r="E1401" s="13">
        <v>38380</v>
      </c>
      <c r="F1401" s="13">
        <f t="shared" si="258"/>
        <v>38380</v>
      </c>
      <c r="G1401" s="13">
        <v>85850</v>
      </c>
      <c r="H1401" s="13">
        <f t="shared" si="259"/>
        <v>85850</v>
      </c>
      <c r="I1401" s="13">
        <v>0</v>
      </c>
      <c r="J1401" s="13">
        <f t="shared" si="260"/>
        <v>0</v>
      </c>
      <c r="K1401" s="13">
        <f t="shared" si="261"/>
        <v>124230</v>
      </c>
      <c r="L1401" s="13">
        <f t="shared" si="257"/>
        <v>124230</v>
      </c>
      <c r="M1401" s="11"/>
    </row>
    <row r="1402" spans="1:13">
      <c r="A1402" s="11" t="s">
        <v>1282</v>
      </c>
      <c r="B1402" s="11" t="s">
        <v>458</v>
      </c>
      <c r="C1402" s="13">
        <v>15</v>
      </c>
      <c r="D1402" s="15" t="s">
        <v>240</v>
      </c>
      <c r="E1402" s="13">
        <v>4242</v>
      </c>
      <c r="F1402" s="13">
        <f t="shared" si="258"/>
        <v>63630</v>
      </c>
      <c r="G1402" s="13">
        <v>19392</v>
      </c>
      <c r="H1402" s="13">
        <f t="shared" si="259"/>
        <v>290880</v>
      </c>
      <c r="I1402" s="13">
        <v>0</v>
      </c>
      <c r="J1402" s="13">
        <f t="shared" si="260"/>
        <v>0</v>
      </c>
      <c r="K1402" s="13">
        <f t="shared" si="261"/>
        <v>23634</v>
      </c>
      <c r="L1402" s="13">
        <f t="shared" si="257"/>
        <v>354510</v>
      </c>
      <c r="M1402" s="11"/>
    </row>
    <row r="1403" spans="1:13">
      <c r="A1403" s="11" t="s">
        <v>1283</v>
      </c>
      <c r="B1403" s="11" t="s">
        <v>1284</v>
      </c>
      <c r="C1403" s="13">
        <v>72</v>
      </c>
      <c r="D1403" s="15" t="s">
        <v>240</v>
      </c>
      <c r="E1403" s="13">
        <v>4242</v>
      </c>
      <c r="F1403" s="13">
        <f t="shared" si="258"/>
        <v>305424</v>
      </c>
      <c r="G1403" s="13">
        <v>21816</v>
      </c>
      <c r="H1403" s="13">
        <f t="shared" si="259"/>
        <v>1570752</v>
      </c>
      <c r="I1403" s="13">
        <v>6615</v>
      </c>
      <c r="J1403" s="13">
        <f t="shared" si="260"/>
        <v>476280</v>
      </c>
      <c r="K1403" s="13">
        <f t="shared" si="261"/>
        <v>32673</v>
      </c>
      <c r="L1403" s="13">
        <f t="shared" si="257"/>
        <v>2352456</v>
      </c>
      <c r="M1403" s="11"/>
    </row>
    <row r="1404" spans="1:13">
      <c r="A1404" s="11" t="s">
        <v>1285</v>
      </c>
      <c r="B1404" s="11" t="s">
        <v>513</v>
      </c>
      <c r="C1404" s="13">
        <v>3</v>
      </c>
      <c r="D1404" s="15" t="s">
        <v>377</v>
      </c>
      <c r="E1404" s="13">
        <v>72720</v>
      </c>
      <c r="F1404" s="13">
        <f t="shared" si="258"/>
        <v>218160</v>
      </c>
      <c r="G1404" s="13">
        <v>0</v>
      </c>
      <c r="H1404" s="13">
        <f t="shared" si="259"/>
        <v>0</v>
      </c>
      <c r="I1404" s="13">
        <v>0</v>
      </c>
      <c r="J1404" s="13">
        <f t="shared" si="260"/>
        <v>0</v>
      </c>
      <c r="K1404" s="13">
        <f t="shared" si="261"/>
        <v>72720</v>
      </c>
      <c r="L1404" s="13">
        <f t="shared" si="257"/>
        <v>218160</v>
      </c>
      <c r="M1404" s="11"/>
    </row>
    <row r="1405" spans="1:13">
      <c r="A1405" s="11" t="s">
        <v>1286</v>
      </c>
      <c r="B1405" s="11" t="s">
        <v>1287</v>
      </c>
      <c r="C1405" s="13">
        <v>12</v>
      </c>
      <c r="D1405" s="15" t="s">
        <v>377</v>
      </c>
      <c r="E1405" s="13">
        <v>525200</v>
      </c>
      <c r="F1405" s="13">
        <f t="shared" si="258"/>
        <v>6302400</v>
      </c>
      <c r="G1405" s="13">
        <v>0</v>
      </c>
      <c r="H1405" s="13">
        <f t="shared" si="259"/>
        <v>0</v>
      </c>
      <c r="I1405" s="13">
        <v>0</v>
      </c>
      <c r="J1405" s="13">
        <f t="shared" si="260"/>
        <v>0</v>
      </c>
      <c r="K1405" s="13">
        <f t="shared" si="261"/>
        <v>525200</v>
      </c>
      <c r="L1405" s="13">
        <f t="shared" si="257"/>
        <v>6302400</v>
      </c>
      <c r="M1405" s="11"/>
    </row>
    <row r="1406" spans="1:13" ht="33">
      <c r="A1406" s="11" t="s">
        <v>1288</v>
      </c>
      <c r="B1406" s="11" t="s">
        <v>244</v>
      </c>
      <c r="C1406" s="13">
        <v>7</v>
      </c>
      <c r="D1406" s="15" t="s">
        <v>240</v>
      </c>
      <c r="E1406" s="13">
        <v>71710</v>
      </c>
      <c r="F1406" s="13">
        <f t="shared" si="258"/>
        <v>501970</v>
      </c>
      <c r="G1406" s="13">
        <v>38107</v>
      </c>
      <c r="H1406" s="13">
        <f t="shared" si="259"/>
        <v>266749</v>
      </c>
      <c r="I1406" s="13">
        <v>42598</v>
      </c>
      <c r="J1406" s="13">
        <f t="shared" si="260"/>
        <v>298186</v>
      </c>
      <c r="K1406" s="13">
        <f t="shared" si="261"/>
        <v>152415</v>
      </c>
      <c r="L1406" s="13">
        <f t="shared" si="257"/>
        <v>1066905</v>
      </c>
      <c r="M1406" s="11"/>
    </row>
    <row r="1407" spans="1:13">
      <c r="A1407" s="11" t="s">
        <v>1289</v>
      </c>
      <c r="B1407" s="11" t="s">
        <v>1290</v>
      </c>
      <c r="C1407" s="13">
        <v>7</v>
      </c>
      <c r="D1407" s="15" t="s">
        <v>240</v>
      </c>
      <c r="E1407" s="13">
        <v>112019</v>
      </c>
      <c r="F1407" s="13">
        <f t="shared" si="258"/>
        <v>784133</v>
      </c>
      <c r="G1407" s="13">
        <v>45450</v>
      </c>
      <c r="H1407" s="13">
        <f t="shared" si="259"/>
        <v>318150</v>
      </c>
      <c r="I1407" s="13">
        <v>46303</v>
      </c>
      <c r="J1407" s="13">
        <f t="shared" si="260"/>
        <v>324121</v>
      </c>
      <c r="K1407" s="13">
        <f t="shared" si="261"/>
        <v>203772</v>
      </c>
      <c r="L1407" s="13">
        <f t="shared" si="257"/>
        <v>1426404</v>
      </c>
      <c r="M1407" s="11"/>
    </row>
    <row r="1408" spans="1:13">
      <c r="A1408" s="11" t="s">
        <v>1309</v>
      </c>
      <c r="B1408" s="11" t="s">
        <v>1324</v>
      </c>
      <c r="C1408" s="13">
        <v>264</v>
      </c>
      <c r="D1408" s="15" t="s">
        <v>102</v>
      </c>
      <c r="E1408" s="13">
        <v>80800</v>
      </c>
      <c r="F1408" s="13">
        <f t="shared" si="258"/>
        <v>21331200</v>
      </c>
      <c r="G1408" s="13">
        <v>55550</v>
      </c>
      <c r="H1408" s="13">
        <f t="shared" si="259"/>
        <v>14665200</v>
      </c>
      <c r="I1408" s="13">
        <v>71659</v>
      </c>
      <c r="J1408" s="13">
        <f t="shared" si="260"/>
        <v>18917976</v>
      </c>
      <c r="K1408" s="13">
        <f t="shared" si="261"/>
        <v>208009</v>
      </c>
      <c r="L1408" s="13">
        <f t="shared" si="257"/>
        <v>54914376</v>
      </c>
      <c r="M1408" s="11"/>
    </row>
    <row r="1409" spans="1:13">
      <c r="A1409" s="11" t="s">
        <v>1311</v>
      </c>
      <c r="B1409" s="11" t="s">
        <v>1325</v>
      </c>
      <c r="C1409" s="13">
        <v>80</v>
      </c>
      <c r="D1409" s="15" t="s">
        <v>102</v>
      </c>
      <c r="E1409" s="13">
        <v>80800</v>
      </c>
      <c r="F1409" s="13">
        <f t="shared" si="258"/>
        <v>6464000</v>
      </c>
      <c r="G1409" s="13">
        <v>55550</v>
      </c>
      <c r="H1409" s="13">
        <f t="shared" si="259"/>
        <v>4444000</v>
      </c>
      <c r="I1409" s="13">
        <v>71659</v>
      </c>
      <c r="J1409" s="13">
        <f t="shared" si="260"/>
        <v>5732720</v>
      </c>
      <c r="K1409" s="13">
        <f t="shared" si="261"/>
        <v>208009</v>
      </c>
      <c r="L1409" s="13">
        <f t="shared" si="257"/>
        <v>16640720</v>
      </c>
      <c r="M1409" s="11"/>
    </row>
    <row r="1410" spans="1:13">
      <c r="A1410" s="11" t="s">
        <v>1319</v>
      </c>
      <c r="B1410" s="11" t="s">
        <v>1213</v>
      </c>
      <c r="C1410" s="13">
        <v>24</v>
      </c>
      <c r="D1410" s="15" t="s">
        <v>1120</v>
      </c>
      <c r="E1410" s="13">
        <v>297950</v>
      </c>
      <c r="F1410" s="13">
        <f t="shared" si="258"/>
        <v>7150800</v>
      </c>
      <c r="G1410" s="13">
        <v>55550</v>
      </c>
      <c r="H1410" s="13">
        <f t="shared" si="259"/>
        <v>1333200</v>
      </c>
      <c r="I1410" s="13">
        <v>31420</v>
      </c>
      <c r="J1410" s="13">
        <f t="shared" si="260"/>
        <v>754080</v>
      </c>
      <c r="K1410" s="13">
        <f t="shared" si="261"/>
        <v>384920</v>
      </c>
      <c r="L1410" s="13">
        <f t="shared" si="257"/>
        <v>9238080</v>
      </c>
      <c r="M1410" s="11"/>
    </row>
    <row r="1411" spans="1:13">
      <c r="A1411" s="11" t="s">
        <v>1320</v>
      </c>
      <c r="B1411" s="11" t="s">
        <v>1297</v>
      </c>
      <c r="C1411" s="13">
        <v>1089</v>
      </c>
      <c r="D1411" s="15" t="s">
        <v>102</v>
      </c>
      <c r="E1411" s="13">
        <v>6737</v>
      </c>
      <c r="F1411" s="13">
        <f t="shared" si="258"/>
        <v>7336593</v>
      </c>
      <c r="G1411" s="13">
        <v>7070</v>
      </c>
      <c r="H1411" s="13">
        <f t="shared" si="259"/>
        <v>7699230</v>
      </c>
      <c r="I1411" s="13">
        <v>5512</v>
      </c>
      <c r="J1411" s="13">
        <f t="shared" si="260"/>
        <v>6002568</v>
      </c>
      <c r="K1411" s="13">
        <f t="shared" si="261"/>
        <v>19319</v>
      </c>
      <c r="L1411" s="13">
        <f t="shared" si="257"/>
        <v>21038391</v>
      </c>
      <c r="M1411" s="11"/>
    </row>
    <row r="1412" spans="1:13">
      <c r="A1412" s="11" t="s">
        <v>1321</v>
      </c>
      <c r="B1412" s="11" t="s">
        <v>1053</v>
      </c>
      <c r="C1412" s="13">
        <v>5382</v>
      </c>
      <c r="D1412" s="15" t="s">
        <v>199</v>
      </c>
      <c r="E1412" s="13">
        <v>0</v>
      </c>
      <c r="F1412" s="13">
        <f t="shared" si="258"/>
        <v>0</v>
      </c>
      <c r="G1412" s="13">
        <v>0</v>
      </c>
      <c r="H1412" s="13">
        <f t="shared" si="259"/>
        <v>0</v>
      </c>
      <c r="I1412" s="13">
        <v>6945</v>
      </c>
      <c r="J1412" s="13">
        <f t="shared" si="260"/>
        <v>37377990</v>
      </c>
      <c r="K1412" s="13">
        <f t="shared" si="261"/>
        <v>6945</v>
      </c>
      <c r="L1412" s="13">
        <f t="shared" si="257"/>
        <v>37377990</v>
      </c>
      <c r="M1412" s="11"/>
    </row>
    <row r="1413" spans="1:13">
      <c r="A1413" s="11" t="s">
        <v>1322</v>
      </c>
      <c r="B1413" s="11" t="s">
        <v>121</v>
      </c>
      <c r="C1413" s="13">
        <v>106</v>
      </c>
      <c r="D1413" s="15" t="s">
        <v>102</v>
      </c>
      <c r="E1413" s="13">
        <v>6262</v>
      </c>
      <c r="F1413" s="13">
        <f t="shared" si="258"/>
        <v>663772</v>
      </c>
      <c r="G1413" s="13">
        <v>7070</v>
      </c>
      <c r="H1413" s="13">
        <f t="shared" si="259"/>
        <v>749420</v>
      </c>
      <c r="I1413" s="13">
        <v>1102</v>
      </c>
      <c r="J1413" s="13">
        <f t="shared" si="260"/>
        <v>116812</v>
      </c>
      <c r="K1413" s="13">
        <f t="shared" si="261"/>
        <v>14434</v>
      </c>
      <c r="L1413" s="13">
        <f t="shared" si="257"/>
        <v>1530004</v>
      </c>
      <c r="M1413" s="11"/>
    </row>
    <row r="1414" spans="1:13">
      <c r="A1414" s="19" t="s">
        <v>1326</v>
      </c>
      <c r="B1414" s="20"/>
      <c r="C1414" s="21"/>
      <c r="D1414" s="21"/>
      <c r="E1414" s="21"/>
      <c r="F1414" s="22">
        <f>SUM(F1415:F1428)</f>
        <v>68417346</v>
      </c>
      <c r="G1414" s="21"/>
      <c r="H1414" s="22">
        <f>SUM(H1415:H1428)</f>
        <v>40566114</v>
      </c>
      <c r="I1414" s="21"/>
      <c r="J1414" s="22">
        <f>SUM(J1415:J1428)</f>
        <v>105645376</v>
      </c>
      <c r="K1414" s="21"/>
      <c r="L1414" s="22">
        <f t="shared" si="257"/>
        <v>214628836</v>
      </c>
      <c r="M1414" s="21"/>
    </row>
    <row r="1415" spans="1:13">
      <c r="A1415" s="11" t="s">
        <v>1277</v>
      </c>
      <c r="B1415" s="11" t="s">
        <v>1278</v>
      </c>
      <c r="C1415" s="13">
        <v>1</v>
      </c>
      <c r="D1415" s="15" t="s">
        <v>210</v>
      </c>
      <c r="E1415" s="13">
        <v>616100</v>
      </c>
      <c r="F1415" s="13">
        <f t="shared" ref="F1415:F1428" si="262">ROUND(E1415*C1415,0)</f>
        <v>616100</v>
      </c>
      <c r="G1415" s="13">
        <v>104788</v>
      </c>
      <c r="H1415" s="13">
        <f t="shared" ref="H1415:H1428" si="263">ROUND(G1415*C1415,0)</f>
        <v>104788</v>
      </c>
      <c r="I1415" s="13">
        <v>117135</v>
      </c>
      <c r="J1415" s="13">
        <f t="shared" ref="J1415:J1428" si="264">ROUND(I1415*C1415,0)</f>
        <v>117135</v>
      </c>
      <c r="K1415" s="13">
        <f t="shared" ref="K1415:K1428" si="265">E1415+G1415+I1415</f>
        <v>838023</v>
      </c>
      <c r="L1415" s="13">
        <f t="shared" si="257"/>
        <v>838023</v>
      </c>
      <c r="M1415" s="11"/>
    </row>
    <row r="1416" spans="1:13">
      <c r="A1416" s="11" t="s">
        <v>1279</v>
      </c>
      <c r="B1416" s="11" t="s">
        <v>1280</v>
      </c>
      <c r="C1416" s="13">
        <v>6</v>
      </c>
      <c r="D1416" s="15" t="s">
        <v>210</v>
      </c>
      <c r="E1416" s="13">
        <v>170690</v>
      </c>
      <c r="F1416" s="13">
        <f t="shared" si="262"/>
        <v>1024140</v>
      </c>
      <c r="G1416" s="13">
        <v>83689</v>
      </c>
      <c r="H1416" s="13">
        <f t="shared" si="263"/>
        <v>502134</v>
      </c>
      <c r="I1416" s="13">
        <v>133869</v>
      </c>
      <c r="J1416" s="13">
        <f t="shared" si="264"/>
        <v>803214</v>
      </c>
      <c r="K1416" s="13">
        <f t="shared" si="265"/>
        <v>388248</v>
      </c>
      <c r="L1416" s="13">
        <f t="shared" si="257"/>
        <v>2329488</v>
      </c>
      <c r="M1416" s="11"/>
    </row>
    <row r="1417" spans="1:13">
      <c r="A1417" s="11" t="s">
        <v>1281</v>
      </c>
      <c r="B1417" s="11"/>
      <c r="C1417" s="13">
        <v>1</v>
      </c>
      <c r="D1417" s="15" t="s">
        <v>210</v>
      </c>
      <c r="E1417" s="13">
        <v>38380</v>
      </c>
      <c r="F1417" s="13">
        <f t="shared" si="262"/>
        <v>38380</v>
      </c>
      <c r="G1417" s="13">
        <v>85850</v>
      </c>
      <c r="H1417" s="13">
        <f t="shared" si="263"/>
        <v>85850</v>
      </c>
      <c r="I1417" s="13">
        <v>0</v>
      </c>
      <c r="J1417" s="13">
        <f t="shared" si="264"/>
        <v>0</v>
      </c>
      <c r="K1417" s="13">
        <f t="shared" si="265"/>
        <v>124230</v>
      </c>
      <c r="L1417" s="13">
        <f t="shared" si="257"/>
        <v>124230</v>
      </c>
      <c r="M1417" s="11"/>
    </row>
    <row r="1418" spans="1:13">
      <c r="A1418" s="11" t="s">
        <v>1282</v>
      </c>
      <c r="B1418" s="11" t="s">
        <v>458</v>
      </c>
      <c r="C1418" s="13">
        <v>22</v>
      </c>
      <c r="D1418" s="15" t="s">
        <v>240</v>
      </c>
      <c r="E1418" s="13">
        <v>4242</v>
      </c>
      <c r="F1418" s="13">
        <f t="shared" si="262"/>
        <v>93324</v>
      </c>
      <c r="G1418" s="13">
        <v>19392</v>
      </c>
      <c r="H1418" s="13">
        <f t="shared" si="263"/>
        <v>426624</v>
      </c>
      <c r="I1418" s="13">
        <v>0</v>
      </c>
      <c r="J1418" s="13">
        <f t="shared" si="264"/>
        <v>0</v>
      </c>
      <c r="K1418" s="13">
        <f t="shared" si="265"/>
        <v>23634</v>
      </c>
      <c r="L1418" s="13">
        <f t="shared" si="257"/>
        <v>519948</v>
      </c>
      <c r="M1418" s="11"/>
    </row>
    <row r="1419" spans="1:13">
      <c r="A1419" s="11" t="s">
        <v>1283</v>
      </c>
      <c r="B1419" s="11" t="s">
        <v>1284</v>
      </c>
      <c r="C1419" s="13">
        <v>119</v>
      </c>
      <c r="D1419" s="15" t="s">
        <v>240</v>
      </c>
      <c r="E1419" s="13">
        <v>4242</v>
      </c>
      <c r="F1419" s="13">
        <f t="shared" si="262"/>
        <v>504798</v>
      </c>
      <c r="G1419" s="13">
        <v>21816</v>
      </c>
      <c r="H1419" s="13">
        <f t="shared" si="263"/>
        <v>2596104</v>
      </c>
      <c r="I1419" s="13">
        <v>6615</v>
      </c>
      <c r="J1419" s="13">
        <f t="shared" si="264"/>
        <v>787185</v>
      </c>
      <c r="K1419" s="13">
        <f t="shared" si="265"/>
        <v>32673</v>
      </c>
      <c r="L1419" s="13">
        <f t="shared" si="257"/>
        <v>3888087</v>
      </c>
      <c r="M1419" s="11"/>
    </row>
    <row r="1420" spans="1:13">
      <c r="A1420" s="11" t="s">
        <v>1285</v>
      </c>
      <c r="B1420" s="11" t="s">
        <v>513</v>
      </c>
      <c r="C1420" s="13">
        <v>4</v>
      </c>
      <c r="D1420" s="15" t="s">
        <v>377</v>
      </c>
      <c r="E1420" s="13">
        <v>72720</v>
      </c>
      <c r="F1420" s="13">
        <f t="shared" si="262"/>
        <v>290880</v>
      </c>
      <c r="G1420" s="13">
        <v>0</v>
      </c>
      <c r="H1420" s="13">
        <f t="shared" si="263"/>
        <v>0</v>
      </c>
      <c r="I1420" s="13">
        <v>0</v>
      </c>
      <c r="J1420" s="13">
        <f t="shared" si="264"/>
        <v>0</v>
      </c>
      <c r="K1420" s="13">
        <f t="shared" si="265"/>
        <v>72720</v>
      </c>
      <c r="L1420" s="13">
        <f t="shared" si="257"/>
        <v>290880</v>
      </c>
      <c r="M1420" s="11"/>
    </row>
    <row r="1421" spans="1:13">
      <c r="A1421" s="11" t="s">
        <v>1286</v>
      </c>
      <c r="B1421" s="11" t="s">
        <v>1287</v>
      </c>
      <c r="C1421" s="13">
        <v>20</v>
      </c>
      <c r="D1421" s="15" t="s">
        <v>377</v>
      </c>
      <c r="E1421" s="13">
        <v>525200</v>
      </c>
      <c r="F1421" s="13">
        <f t="shared" si="262"/>
        <v>10504000</v>
      </c>
      <c r="G1421" s="13">
        <v>0</v>
      </c>
      <c r="H1421" s="13">
        <f t="shared" si="263"/>
        <v>0</v>
      </c>
      <c r="I1421" s="13">
        <v>0</v>
      </c>
      <c r="J1421" s="13">
        <f t="shared" si="264"/>
        <v>0</v>
      </c>
      <c r="K1421" s="13">
        <f t="shared" si="265"/>
        <v>525200</v>
      </c>
      <c r="L1421" s="13">
        <f t="shared" si="257"/>
        <v>10504000</v>
      </c>
      <c r="M1421" s="11"/>
    </row>
    <row r="1422" spans="1:13" ht="33">
      <c r="A1422" s="11" t="s">
        <v>1288</v>
      </c>
      <c r="B1422" s="11" t="s">
        <v>244</v>
      </c>
      <c r="C1422" s="13">
        <v>12</v>
      </c>
      <c r="D1422" s="15" t="s">
        <v>240</v>
      </c>
      <c r="E1422" s="13">
        <v>71710</v>
      </c>
      <c r="F1422" s="13">
        <f t="shared" si="262"/>
        <v>860520</v>
      </c>
      <c r="G1422" s="13">
        <v>38107</v>
      </c>
      <c r="H1422" s="13">
        <f t="shared" si="263"/>
        <v>457284</v>
      </c>
      <c r="I1422" s="13">
        <v>42598</v>
      </c>
      <c r="J1422" s="13">
        <f t="shared" si="264"/>
        <v>511176</v>
      </c>
      <c r="K1422" s="13">
        <f t="shared" si="265"/>
        <v>152415</v>
      </c>
      <c r="L1422" s="13">
        <f t="shared" si="257"/>
        <v>1828980</v>
      </c>
      <c r="M1422" s="11"/>
    </row>
    <row r="1423" spans="1:13">
      <c r="A1423" s="11" t="s">
        <v>1289</v>
      </c>
      <c r="B1423" s="11" t="s">
        <v>1290</v>
      </c>
      <c r="C1423" s="13">
        <v>8</v>
      </c>
      <c r="D1423" s="15" t="s">
        <v>240</v>
      </c>
      <c r="E1423" s="13">
        <v>112019</v>
      </c>
      <c r="F1423" s="13">
        <f t="shared" si="262"/>
        <v>896152</v>
      </c>
      <c r="G1423" s="13">
        <v>45450</v>
      </c>
      <c r="H1423" s="13">
        <f t="shared" si="263"/>
        <v>363600</v>
      </c>
      <c r="I1423" s="13">
        <v>46303</v>
      </c>
      <c r="J1423" s="13">
        <f t="shared" si="264"/>
        <v>370424</v>
      </c>
      <c r="K1423" s="13">
        <f t="shared" si="265"/>
        <v>203772</v>
      </c>
      <c r="L1423" s="13">
        <f t="shared" si="257"/>
        <v>1630176</v>
      </c>
      <c r="M1423" s="11"/>
    </row>
    <row r="1424" spans="1:13">
      <c r="A1424" s="11" t="s">
        <v>1327</v>
      </c>
      <c r="B1424" s="11" t="s">
        <v>1295</v>
      </c>
      <c r="C1424" s="13">
        <v>127</v>
      </c>
      <c r="D1424" s="15" t="s">
        <v>240</v>
      </c>
      <c r="E1424" s="13">
        <v>25250</v>
      </c>
      <c r="F1424" s="13">
        <f t="shared" si="262"/>
        <v>3206750</v>
      </c>
      <c r="G1424" s="13">
        <v>13130</v>
      </c>
      <c r="H1424" s="13">
        <f t="shared" si="263"/>
        <v>1667510</v>
      </c>
      <c r="I1424" s="13">
        <v>0</v>
      </c>
      <c r="J1424" s="13">
        <f t="shared" si="264"/>
        <v>0</v>
      </c>
      <c r="K1424" s="13">
        <f t="shared" si="265"/>
        <v>38380</v>
      </c>
      <c r="L1424" s="13">
        <f t="shared" si="257"/>
        <v>4874260</v>
      </c>
      <c r="M1424" s="11"/>
    </row>
    <row r="1425" spans="1:13">
      <c r="A1425" s="11" t="s">
        <v>1328</v>
      </c>
      <c r="B1425" s="11" t="s">
        <v>1213</v>
      </c>
      <c r="C1425" s="13">
        <v>75</v>
      </c>
      <c r="D1425" s="15" t="s">
        <v>1120</v>
      </c>
      <c r="E1425" s="13">
        <v>297950</v>
      </c>
      <c r="F1425" s="13">
        <f t="shared" si="262"/>
        <v>22346250</v>
      </c>
      <c r="G1425" s="13">
        <v>55550</v>
      </c>
      <c r="H1425" s="13">
        <f t="shared" si="263"/>
        <v>4166250</v>
      </c>
      <c r="I1425" s="13">
        <v>31420</v>
      </c>
      <c r="J1425" s="13">
        <f t="shared" si="264"/>
        <v>2356500</v>
      </c>
      <c r="K1425" s="13">
        <f t="shared" si="265"/>
        <v>384920</v>
      </c>
      <c r="L1425" s="13">
        <f t="shared" si="257"/>
        <v>28869000</v>
      </c>
      <c r="M1425" s="11"/>
    </row>
    <row r="1426" spans="1:13">
      <c r="A1426" s="11" t="s">
        <v>1296</v>
      </c>
      <c r="B1426" s="11" t="s">
        <v>1297</v>
      </c>
      <c r="C1426" s="13">
        <v>2718</v>
      </c>
      <c r="D1426" s="15" t="s">
        <v>102</v>
      </c>
      <c r="E1426" s="13">
        <v>6737</v>
      </c>
      <c r="F1426" s="13">
        <f t="shared" si="262"/>
        <v>18311166</v>
      </c>
      <c r="G1426" s="13">
        <v>7070</v>
      </c>
      <c r="H1426" s="13">
        <f t="shared" si="263"/>
        <v>19216260</v>
      </c>
      <c r="I1426" s="13">
        <v>5512</v>
      </c>
      <c r="J1426" s="13">
        <f t="shared" si="264"/>
        <v>14981616</v>
      </c>
      <c r="K1426" s="13">
        <f t="shared" si="265"/>
        <v>19319</v>
      </c>
      <c r="L1426" s="13">
        <f t="shared" si="257"/>
        <v>52509042</v>
      </c>
      <c r="M1426" s="11"/>
    </row>
    <row r="1427" spans="1:13">
      <c r="A1427" s="11" t="s">
        <v>1298</v>
      </c>
      <c r="B1427" s="11" t="s">
        <v>1053</v>
      </c>
      <c r="C1427" s="13">
        <v>12096</v>
      </c>
      <c r="D1427" s="15" t="s">
        <v>199</v>
      </c>
      <c r="E1427" s="13">
        <v>0</v>
      </c>
      <c r="F1427" s="13">
        <f t="shared" si="262"/>
        <v>0</v>
      </c>
      <c r="G1427" s="13">
        <v>0</v>
      </c>
      <c r="H1427" s="13">
        <f t="shared" si="263"/>
        <v>0</v>
      </c>
      <c r="I1427" s="13">
        <v>6945</v>
      </c>
      <c r="J1427" s="13">
        <f t="shared" si="264"/>
        <v>84006720</v>
      </c>
      <c r="K1427" s="13">
        <f t="shared" si="265"/>
        <v>6945</v>
      </c>
      <c r="L1427" s="13">
        <f t="shared" ref="L1427:L1458" si="266">F1427+H1427+J1427</f>
        <v>84006720</v>
      </c>
      <c r="M1427" s="11"/>
    </row>
    <row r="1428" spans="1:13">
      <c r="A1428" s="11" t="s">
        <v>1322</v>
      </c>
      <c r="B1428" s="11" t="s">
        <v>121</v>
      </c>
      <c r="C1428" s="13">
        <v>1553</v>
      </c>
      <c r="D1428" s="15" t="s">
        <v>102</v>
      </c>
      <c r="E1428" s="13">
        <v>6262</v>
      </c>
      <c r="F1428" s="13">
        <f t="shared" si="262"/>
        <v>9724886</v>
      </c>
      <c r="G1428" s="13">
        <v>7070</v>
      </c>
      <c r="H1428" s="13">
        <f t="shared" si="263"/>
        <v>10979710</v>
      </c>
      <c r="I1428" s="13">
        <v>1102</v>
      </c>
      <c r="J1428" s="13">
        <f t="shared" si="264"/>
        <v>1711406</v>
      </c>
      <c r="K1428" s="13">
        <f t="shared" si="265"/>
        <v>14434</v>
      </c>
      <c r="L1428" s="13">
        <f t="shared" si="266"/>
        <v>22416002</v>
      </c>
      <c r="M1428" s="11"/>
    </row>
    <row r="1429" spans="1:13">
      <c r="A1429" s="19" t="s">
        <v>1329</v>
      </c>
      <c r="B1429" s="20"/>
      <c r="C1429" s="21"/>
      <c r="D1429" s="21"/>
      <c r="E1429" s="21"/>
      <c r="F1429" s="22">
        <f>SUM(F1430:F1443)</f>
        <v>64348478</v>
      </c>
      <c r="G1429" s="21"/>
      <c r="H1429" s="22">
        <f>SUM(H1430:H1443)</f>
        <v>40967135</v>
      </c>
      <c r="I1429" s="21"/>
      <c r="J1429" s="22">
        <f>SUM(J1430:J1443)</f>
        <v>104594805</v>
      </c>
      <c r="K1429" s="21"/>
      <c r="L1429" s="22">
        <f t="shared" si="266"/>
        <v>209910418</v>
      </c>
      <c r="M1429" s="21"/>
    </row>
    <row r="1430" spans="1:13">
      <c r="A1430" s="11" t="s">
        <v>1277</v>
      </c>
      <c r="B1430" s="11" t="s">
        <v>1278</v>
      </c>
      <c r="C1430" s="13">
        <v>1</v>
      </c>
      <c r="D1430" s="15" t="s">
        <v>210</v>
      </c>
      <c r="E1430" s="13">
        <v>616100</v>
      </c>
      <c r="F1430" s="13">
        <f t="shared" ref="F1430:F1443" si="267">ROUND(E1430*C1430,0)</f>
        <v>616100</v>
      </c>
      <c r="G1430" s="13">
        <v>104788</v>
      </c>
      <c r="H1430" s="13">
        <f t="shared" ref="H1430:H1443" si="268">ROUND(G1430*C1430,0)</f>
        <v>104788</v>
      </c>
      <c r="I1430" s="13">
        <v>117135</v>
      </c>
      <c r="J1430" s="13">
        <f t="shared" ref="J1430:J1443" si="269">ROUND(I1430*C1430,0)</f>
        <v>117135</v>
      </c>
      <c r="K1430" s="13">
        <f t="shared" ref="K1430:K1443" si="270">E1430+G1430+I1430</f>
        <v>838023</v>
      </c>
      <c r="L1430" s="13">
        <f t="shared" si="266"/>
        <v>838023</v>
      </c>
      <c r="M1430" s="11"/>
    </row>
    <row r="1431" spans="1:13">
      <c r="A1431" s="11" t="s">
        <v>1279</v>
      </c>
      <c r="B1431" s="11" t="s">
        <v>1280</v>
      </c>
      <c r="C1431" s="13">
        <v>8</v>
      </c>
      <c r="D1431" s="15" t="s">
        <v>210</v>
      </c>
      <c r="E1431" s="13">
        <v>170690</v>
      </c>
      <c r="F1431" s="13">
        <f t="shared" si="267"/>
        <v>1365520</v>
      </c>
      <c r="G1431" s="13">
        <v>83689</v>
      </c>
      <c r="H1431" s="13">
        <f t="shared" si="268"/>
        <v>669512</v>
      </c>
      <c r="I1431" s="13">
        <v>133869</v>
      </c>
      <c r="J1431" s="13">
        <f t="shared" si="269"/>
        <v>1070952</v>
      </c>
      <c r="K1431" s="13">
        <f t="shared" si="270"/>
        <v>388248</v>
      </c>
      <c r="L1431" s="13">
        <f t="shared" si="266"/>
        <v>3105984</v>
      </c>
      <c r="M1431" s="11"/>
    </row>
    <row r="1432" spans="1:13">
      <c r="A1432" s="11" t="s">
        <v>1281</v>
      </c>
      <c r="B1432" s="11"/>
      <c r="C1432" s="13">
        <v>1</v>
      </c>
      <c r="D1432" s="15" t="s">
        <v>210</v>
      </c>
      <c r="E1432" s="13">
        <v>38380</v>
      </c>
      <c r="F1432" s="13">
        <f t="shared" si="267"/>
        <v>38380</v>
      </c>
      <c r="G1432" s="13">
        <v>85850</v>
      </c>
      <c r="H1432" s="13">
        <f t="shared" si="268"/>
        <v>85850</v>
      </c>
      <c r="I1432" s="13">
        <v>0</v>
      </c>
      <c r="J1432" s="13">
        <f t="shared" si="269"/>
        <v>0</v>
      </c>
      <c r="K1432" s="13">
        <f t="shared" si="270"/>
        <v>124230</v>
      </c>
      <c r="L1432" s="13">
        <f t="shared" si="266"/>
        <v>124230</v>
      </c>
      <c r="M1432" s="11"/>
    </row>
    <row r="1433" spans="1:13">
      <c r="A1433" s="11" t="s">
        <v>1282</v>
      </c>
      <c r="B1433" s="11" t="s">
        <v>458</v>
      </c>
      <c r="C1433" s="13">
        <v>26</v>
      </c>
      <c r="D1433" s="15" t="s">
        <v>240</v>
      </c>
      <c r="E1433" s="13">
        <v>4242</v>
      </c>
      <c r="F1433" s="13">
        <f t="shared" si="267"/>
        <v>110292</v>
      </c>
      <c r="G1433" s="13">
        <v>19392</v>
      </c>
      <c r="H1433" s="13">
        <f t="shared" si="268"/>
        <v>504192</v>
      </c>
      <c r="I1433" s="13">
        <v>0</v>
      </c>
      <c r="J1433" s="13">
        <f t="shared" si="269"/>
        <v>0</v>
      </c>
      <c r="K1433" s="13">
        <f t="shared" si="270"/>
        <v>23634</v>
      </c>
      <c r="L1433" s="13">
        <f t="shared" si="266"/>
        <v>614484</v>
      </c>
      <c r="M1433" s="11"/>
    </row>
    <row r="1434" spans="1:13">
      <c r="A1434" s="11" t="s">
        <v>1283</v>
      </c>
      <c r="B1434" s="11" t="s">
        <v>1284</v>
      </c>
      <c r="C1434" s="13">
        <v>142</v>
      </c>
      <c r="D1434" s="15" t="s">
        <v>240</v>
      </c>
      <c r="E1434" s="13">
        <v>4242</v>
      </c>
      <c r="F1434" s="13">
        <f t="shared" si="267"/>
        <v>602364</v>
      </c>
      <c r="G1434" s="13">
        <v>21816</v>
      </c>
      <c r="H1434" s="13">
        <f t="shared" si="268"/>
        <v>3097872</v>
      </c>
      <c r="I1434" s="13">
        <v>6615</v>
      </c>
      <c r="J1434" s="13">
        <f t="shared" si="269"/>
        <v>939330</v>
      </c>
      <c r="K1434" s="13">
        <f t="shared" si="270"/>
        <v>32673</v>
      </c>
      <c r="L1434" s="13">
        <f t="shared" si="266"/>
        <v>4639566</v>
      </c>
      <c r="M1434" s="11"/>
    </row>
    <row r="1435" spans="1:13">
      <c r="A1435" s="11" t="s">
        <v>1285</v>
      </c>
      <c r="B1435" s="11" t="s">
        <v>513</v>
      </c>
      <c r="C1435" s="13">
        <v>5</v>
      </c>
      <c r="D1435" s="15" t="s">
        <v>377</v>
      </c>
      <c r="E1435" s="13">
        <v>72720</v>
      </c>
      <c r="F1435" s="13">
        <f t="shared" si="267"/>
        <v>363600</v>
      </c>
      <c r="G1435" s="13">
        <v>0</v>
      </c>
      <c r="H1435" s="13">
        <f t="shared" si="268"/>
        <v>0</v>
      </c>
      <c r="I1435" s="13">
        <v>0</v>
      </c>
      <c r="J1435" s="13">
        <f t="shared" si="269"/>
        <v>0</v>
      </c>
      <c r="K1435" s="13">
        <f t="shared" si="270"/>
        <v>72720</v>
      </c>
      <c r="L1435" s="13">
        <f t="shared" si="266"/>
        <v>363600</v>
      </c>
      <c r="M1435" s="11"/>
    </row>
    <row r="1436" spans="1:13">
      <c r="A1436" s="11" t="s">
        <v>1286</v>
      </c>
      <c r="B1436" s="11" t="s">
        <v>1287</v>
      </c>
      <c r="C1436" s="13">
        <v>24</v>
      </c>
      <c r="D1436" s="15" t="s">
        <v>377</v>
      </c>
      <c r="E1436" s="13">
        <v>525200</v>
      </c>
      <c r="F1436" s="13">
        <f t="shared" si="267"/>
        <v>12604800</v>
      </c>
      <c r="G1436" s="13">
        <v>0</v>
      </c>
      <c r="H1436" s="13">
        <f t="shared" si="268"/>
        <v>0</v>
      </c>
      <c r="I1436" s="13">
        <v>0</v>
      </c>
      <c r="J1436" s="13">
        <f t="shared" si="269"/>
        <v>0</v>
      </c>
      <c r="K1436" s="13">
        <f t="shared" si="270"/>
        <v>525200</v>
      </c>
      <c r="L1436" s="13">
        <f t="shared" si="266"/>
        <v>12604800</v>
      </c>
      <c r="M1436" s="11"/>
    </row>
    <row r="1437" spans="1:13" ht="33">
      <c r="A1437" s="11" t="s">
        <v>1288</v>
      </c>
      <c r="B1437" s="11" t="s">
        <v>244</v>
      </c>
      <c r="C1437" s="13">
        <v>13</v>
      </c>
      <c r="D1437" s="15" t="s">
        <v>240</v>
      </c>
      <c r="E1437" s="13">
        <v>71710</v>
      </c>
      <c r="F1437" s="13">
        <f t="shared" si="267"/>
        <v>932230</v>
      </c>
      <c r="G1437" s="13">
        <v>38107</v>
      </c>
      <c r="H1437" s="13">
        <f t="shared" si="268"/>
        <v>495391</v>
      </c>
      <c r="I1437" s="13">
        <v>42598</v>
      </c>
      <c r="J1437" s="13">
        <f t="shared" si="269"/>
        <v>553774</v>
      </c>
      <c r="K1437" s="13">
        <f t="shared" si="270"/>
        <v>152415</v>
      </c>
      <c r="L1437" s="13">
        <f t="shared" si="266"/>
        <v>1981395</v>
      </c>
      <c r="M1437" s="11"/>
    </row>
    <row r="1438" spans="1:13">
      <c r="A1438" s="11" t="s">
        <v>1289</v>
      </c>
      <c r="B1438" s="11" t="s">
        <v>1290</v>
      </c>
      <c r="C1438" s="13">
        <v>8</v>
      </c>
      <c r="D1438" s="15" t="s">
        <v>240</v>
      </c>
      <c r="E1438" s="13">
        <v>112019</v>
      </c>
      <c r="F1438" s="13">
        <f t="shared" si="267"/>
        <v>896152</v>
      </c>
      <c r="G1438" s="13">
        <v>45450</v>
      </c>
      <c r="H1438" s="13">
        <f t="shared" si="268"/>
        <v>363600</v>
      </c>
      <c r="I1438" s="13">
        <v>46303</v>
      </c>
      <c r="J1438" s="13">
        <f t="shared" si="269"/>
        <v>370424</v>
      </c>
      <c r="K1438" s="13">
        <f t="shared" si="270"/>
        <v>203772</v>
      </c>
      <c r="L1438" s="13">
        <f t="shared" si="266"/>
        <v>1630176</v>
      </c>
      <c r="M1438" s="11"/>
    </row>
    <row r="1439" spans="1:13">
      <c r="A1439" s="11" t="s">
        <v>1327</v>
      </c>
      <c r="B1439" s="11" t="s">
        <v>1295</v>
      </c>
      <c r="C1439" s="13">
        <v>136</v>
      </c>
      <c r="D1439" s="15" t="s">
        <v>240</v>
      </c>
      <c r="E1439" s="13">
        <v>25250</v>
      </c>
      <c r="F1439" s="13">
        <f t="shared" si="267"/>
        <v>3434000</v>
      </c>
      <c r="G1439" s="13">
        <v>13130</v>
      </c>
      <c r="H1439" s="13">
        <f t="shared" si="268"/>
        <v>1785680</v>
      </c>
      <c r="I1439" s="13">
        <v>0</v>
      </c>
      <c r="J1439" s="13">
        <f t="shared" si="269"/>
        <v>0</v>
      </c>
      <c r="K1439" s="13">
        <f t="shared" si="270"/>
        <v>38380</v>
      </c>
      <c r="L1439" s="13">
        <f t="shared" si="266"/>
        <v>5219680</v>
      </c>
      <c r="M1439" s="11"/>
    </row>
    <row r="1440" spans="1:13">
      <c r="A1440" s="11" t="s">
        <v>1328</v>
      </c>
      <c r="B1440" s="11" t="s">
        <v>1213</v>
      </c>
      <c r="C1440" s="13">
        <v>47</v>
      </c>
      <c r="D1440" s="15" t="s">
        <v>1120</v>
      </c>
      <c r="E1440" s="13">
        <v>297950</v>
      </c>
      <c r="F1440" s="13">
        <f t="shared" si="267"/>
        <v>14003650</v>
      </c>
      <c r="G1440" s="13">
        <v>55550</v>
      </c>
      <c r="H1440" s="13">
        <f t="shared" si="268"/>
        <v>2610850</v>
      </c>
      <c r="I1440" s="13">
        <v>31420</v>
      </c>
      <c r="J1440" s="13">
        <f t="shared" si="269"/>
        <v>1476740</v>
      </c>
      <c r="K1440" s="13">
        <f t="shared" si="270"/>
        <v>384920</v>
      </c>
      <c r="L1440" s="13">
        <f t="shared" si="266"/>
        <v>18091240</v>
      </c>
      <c r="M1440" s="11"/>
    </row>
    <row r="1441" spans="1:13">
      <c r="A1441" s="11" t="s">
        <v>1296</v>
      </c>
      <c r="B1441" s="11" t="s">
        <v>1297</v>
      </c>
      <c r="C1441" s="13">
        <v>3586</v>
      </c>
      <c r="D1441" s="15" t="s">
        <v>102</v>
      </c>
      <c r="E1441" s="13">
        <v>6737</v>
      </c>
      <c r="F1441" s="13">
        <f t="shared" si="267"/>
        <v>24158882</v>
      </c>
      <c r="G1441" s="13">
        <v>7070</v>
      </c>
      <c r="H1441" s="13">
        <f t="shared" si="268"/>
        <v>25353020</v>
      </c>
      <c r="I1441" s="13">
        <v>5512</v>
      </c>
      <c r="J1441" s="13">
        <f t="shared" si="269"/>
        <v>19766032</v>
      </c>
      <c r="K1441" s="13">
        <f t="shared" si="270"/>
        <v>19319</v>
      </c>
      <c r="L1441" s="13">
        <f t="shared" si="266"/>
        <v>69277934</v>
      </c>
      <c r="M1441" s="11"/>
    </row>
    <row r="1442" spans="1:13">
      <c r="A1442" s="11" t="s">
        <v>1298</v>
      </c>
      <c r="B1442" s="11" t="s">
        <v>1053</v>
      </c>
      <c r="C1442" s="13">
        <v>11430</v>
      </c>
      <c r="D1442" s="15" t="s">
        <v>199</v>
      </c>
      <c r="E1442" s="13">
        <v>0</v>
      </c>
      <c r="F1442" s="13">
        <f t="shared" si="267"/>
        <v>0</v>
      </c>
      <c r="G1442" s="13">
        <v>0</v>
      </c>
      <c r="H1442" s="13">
        <f t="shared" si="268"/>
        <v>0</v>
      </c>
      <c r="I1442" s="13">
        <v>6945</v>
      </c>
      <c r="J1442" s="13">
        <f t="shared" si="269"/>
        <v>79381350</v>
      </c>
      <c r="K1442" s="13">
        <f t="shared" si="270"/>
        <v>6945</v>
      </c>
      <c r="L1442" s="13">
        <f t="shared" si="266"/>
        <v>79381350</v>
      </c>
      <c r="M1442" s="11"/>
    </row>
    <row r="1443" spans="1:13">
      <c r="A1443" s="11" t="s">
        <v>1322</v>
      </c>
      <c r="B1443" s="11" t="s">
        <v>121</v>
      </c>
      <c r="C1443" s="13">
        <v>834</v>
      </c>
      <c r="D1443" s="15" t="s">
        <v>102</v>
      </c>
      <c r="E1443" s="13">
        <v>6262</v>
      </c>
      <c r="F1443" s="13">
        <f t="shared" si="267"/>
        <v>5222508</v>
      </c>
      <c r="G1443" s="13">
        <v>7070</v>
      </c>
      <c r="H1443" s="13">
        <f t="shared" si="268"/>
        <v>5896380</v>
      </c>
      <c r="I1443" s="13">
        <v>1102</v>
      </c>
      <c r="J1443" s="13">
        <f t="shared" si="269"/>
        <v>919068</v>
      </c>
      <c r="K1443" s="13">
        <f t="shared" si="270"/>
        <v>14434</v>
      </c>
      <c r="L1443" s="13">
        <f t="shared" si="266"/>
        <v>12037956</v>
      </c>
      <c r="M1443" s="11"/>
    </row>
    <row r="1444" spans="1:13">
      <c r="A1444" s="19" t="s">
        <v>1330</v>
      </c>
      <c r="B1444" s="20"/>
      <c r="C1444" s="21"/>
      <c r="D1444" s="21"/>
      <c r="E1444" s="21"/>
      <c r="F1444" s="22">
        <f>SUM(F1445:F1456)</f>
        <v>20264321</v>
      </c>
      <c r="G1444" s="21"/>
      <c r="H1444" s="22">
        <f>SUM(H1445:H1456)</f>
        <v>7612706</v>
      </c>
      <c r="I1444" s="21"/>
      <c r="J1444" s="22">
        <f>SUM(J1445:J1456)</f>
        <v>16349808</v>
      </c>
      <c r="K1444" s="21"/>
      <c r="L1444" s="22">
        <f t="shared" si="266"/>
        <v>44226835</v>
      </c>
      <c r="M1444" s="21"/>
    </row>
    <row r="1445" spans="1:13">
      <c r="A1445" s="11" t="s">
        <v>335</v>
      </c>
      <c r="B1445" s="11" t="s">
        <v>1280</v>
      </c>
      <c r="C1445" s="13">
        <v>3</v>
      </c>
      <c r="D1445" s="15" t="s">
        <v>210</v>
      </c>
      <c r="E1445" s="13">
        <v>170690</v>
      </c>
      <c r="F1445" s="13">
        <f t="shared" ref="F1445:F1456" si="271">ROUND(E1445*C1445,0)</f>
        <v>512070</v>
      </c>
      <c r="G1445" s="13">
        <v>83689</v>
      </c>
      <c r="H1445" s="13">
        <f t="shared" ref="H1445:H1456" si="272">ROUND(G1445*C1445,0)</f>
        <v>251067</v>
      </c>
      <c r="I1445" s="13">
        <v>133869</v>
      </c>
      <c r="J1445" s="13">
        <f t="shared" ref="J1445:J1456" si="273">ROUND(I1445*C1445,0)</f>
        <v>401607</v>
      </c>
      <c r="K1445" s="13">
        <f t="shared" ref="K1445:K1456" si="274">E1445+G1445+I1445</f>
        <v>388248</v>
      </c>
      <c r="L1445" s="13">
        <f t="shared" si="266"/>
        <v>1164744</v>
      </c>
      <c r="M1445" s="11"/>
    </row>
    <row r="1446" spans="1:13">
      <c r="A1446" s="11" t="s">
        <v>1331</v>
      </c>
      <c r="B1446" s="11"/>
      <c r="C1446" s="13">
        <v>1</v>
      </c>
      <c r="D1446" s="15" t="s">
        <v>210</v>
      </c>
      <c r="E1446" s="13">
        <v>38380</v>
      </c>
      <c r="F1446" s="13">
        <f t="shared" si="271"/>
        <v>38380</v>
      </c>
      <c r="G1446" s="13">
        <v>85850</v>
      </c>
      <c r="H1446" s="13">
        <f t="shared" si="272"/>
        <v>85850</v>
      </c>
      <c r="I1446" s="13">
        <v>0</v>
      </c>
      <c r="J1446" s="13">
        <f t="shared" si="273"/>
        <v>0</v>
      </c>
      <c r="K1446" s="13">
        <f t="shared" si="274"/>
        <v>124230</v>
      </c>
      <c r="L1446" s="13">
        <f t="shared" si="266"/>
        <v>124230</v>
      </c>
      <c r="M1446" s="11"/>
    </row>
    <row r="1447" spans="1:13">
      <c r="A1447" s="11" t="s">
        <v>1332</v>
      </c>
      <c r="B1447" s="11" t="s">
        <v>458</v>
      </c>
      <c r="C1447" s="13">
        <v>22</v>
      </c>
      <c r="D1447" s="15" t="s">
        <v>240</v>
      </c>
      <c r="E1447" s="13">
        <v>4242</v>
      </c>
      <c r="F1447" s="13">
        <f t="shared" si="271"/>
        <v>93324</v>
      </c>
      <c r="G1447" s="13">
        <v>19392</v>
      </c>
      <c r="H1447" s="13">
        <f t="shared" si="272"/>
        <v>426624</v>
      </c>
      <c r="I1447" s="13">
        <v>0</v>
      </c>
      <c r="J1447" s="13">
        <f t="shared" si="273"/>
        <v>0</v>
      </c>
      <c r="K1447" s="13">
        <f t="shared" si="274"/>
        <v>23634</v>
      </c>
      <c r="L1447" s="13">
        <f t="shared" si="266"/>
        <v>519948</v>
      </c>
      <c r="M1447" s="11"/>
    </row>
    <row r="1448" spans="1:13">
      <c r="A1448" s="11" t="s">
        <v>1282</v>
      </c>
      <c r="B1448" s="11" t="s">
        <v>460</v>
      </c>
      <c r="C1448" s="13">
        <v>3</v>
      </c>
      <c r="D1448" s="15" t="s">
        <v>240</v>
      </c>
      <c r="E1448" s="13">
        <v>4242</v>
      </c>
      <c r="F1448" s="13">
        <f t="shared" si="271"/>
        <v>12726</v>
      </c>
      <c r="G1448" s="13">
        <v>20857</v>
      </c>
      <c r="H1448" s="13">
        <f t="shared" si="272"/>
        <v>62571</v>
      </c>
      <c r="I1448" s="13">
        <v>6615</v>
      </c>
      <c r="J1448" s="13">
        <f t="shared" si="273"/>
        <v>19845</v>
      </c>
      <c r="K1448" s="13">
        <f t="shared" si="274"/>
        <v>31714</v>
      </c>
      <c r="L1448" s="13">
        <f t="shared" si="266"/>
        <v>95142</v>
      </c>
      <c r="M1448" s="11"/>
    </row>
    <row r="1449" spans="1:13">
      <c r="A1449" s="11" t="s">
        <v>1283</v>
      </c>
      <c r="B1449" s="11" t="s">
        <v>1284</v>
      </c>
      <c r="C1449" s="13">
        <v>29</v>
      </c>
      <c r="D1449" s="15" t="s">
        <v>240</v>
      </c>
      <c r="E1449" s="13">
        <v>4242</v>
      </c>
      <c r="F1449" s="13">
        <f t="shared" si="271"/>
        <v>123018</v>
      </c>
      <c r="G1449" s="13">
        <v>21816</v>
      </c>
      <c r="H1449" s="13">
        <f t="shared" si="272"/>
        <v>632664</v>
      </c>
      <c r="I1449" s="13">
        <v>6615</v>
      </c>
      <c r="J1449" s="13">
        <f t="shared" si="273"/>
        <v>191835</v>
      </c>
      <c r="K1449" s="13">
        <f t="shared" si="274"/>
        <v>32673</v>
      </c>
      <c r="L1449" s="13">
        <f t="shared" si="266"/>
        <v>947517</v>
      </c>
      <c r="M1449" s="11"/>
    </row>
    <row r="1450" spans="1:13">
      <c r="A1450" s="11" t="s">
        <v>1285</v>
      </c>
      <c r="B1450" s="11" t="s">
        <v>513</v>
      </c>
      <c r="C1450" s="13">
        <v>4</v>
      </c>
      <c r="D1450" s="15" t="s">
        <v>377</v>
      </c>
      <c r="E1450" s="13">
        <v>72720</v>
      </c>
      <c r="F1450" s="13">
        <f t="shared" si="271"/>
        <v>290880</v>
      </c>
      <c r="G1450" s="13">
        <v>0</v>
      </c>
      <c r="H1450" s="13">
        <f t="shared" si="272"/>
        <v>0</v>
      </c>
      <c r="I1450" s="13">
        <v>0</v>
      </c>
      <c r="J1450" s="13">
        <f t="shared" si="273"/>
        <v>0</v>
      </c>
      <c r="K1450" s="13">
        <f t="shared" si="274"/>
        <v>72720</v>
      </c>
      <c r="L1450" s="13">
        <f t="shared" si="266"/>
        <v>290880</v>
      </c>
      <c r="M1450" s="11"/>
    </row>
    <row r="1451" spans="1:13">
      <c r="A1451" s="11" t="s">
        <v>1286</v>
      </c>
      <c r="B1451" s="11" t="s">
        <v>376</v>
      </c>
      <c r="C1451" s="13">
        <v>1</v>
      </c>
      <c r="D1451" s="15" t="s">
        <v>377</v>
      </c>
      <c r="E1451" s="13">
        <v>224220</v>
      </c>
      <c r="F1451" s="13">
        <f t="shared" si="271"/>
        <v>224220</v>
      </c>
      <c r="G1451" s="13">
        <v>0</v>
      </c>
      <c r="H1451" s="13">
        <f t="shared" si="272"/>
        <v>0</v>
      </c>
      <c r="I1451" s="13">
        <v>0</v>
      </c>
      <c r="J1451" s="13">
        <f t="shared" si="273"/>
        <v>0</v>
      </c>
      <c r="K1451" s="13">
        <f t="shared" si="274"/>
        <v>224220</v>
      </c>
      <c r="L1451" s="13">
        <f t="shared" si="266"/>
        <v>224220</v>
      </c>
      <c r="M1451" s="11"/>
    </row>
    <row r="1452" spans="1:13">
      <c r="A1452" s="11" t="s">
        <v>1333</v>
      </c>
      <c r="B1452" s="11" t="s">
        <v>1287</v>
      </c>
      <c r="C1452" s="13">
        <v>5</v>
      </c>
      <c r="D1452" s="15" t="s">
        <v>377</v>
      </c>
      <c r="E1452" s="13">
        <v>525200</v>
      </c>
      <c r="F1452" s="13">
        <f t="shared" si="271"/>
        <v>2626000</v>
      </c>
      <c r="G1452" s="13">
        <v>0</v>
      </c>
      <c r="H1452" s="13">
        <f t="shared" si="272"/>
        <v>0</v>
      </c>
      <c r="I1452" s="13">
        <v>0</v>
      </c>
      <c r="J1452" s="13">
        <f t="shared" si="273"/>
        <v>0</v>
      </c>
      <c r="K1452" s="13">
        <f t="shared" si="274"/>
        <v>525200</v>
      </c>
      <c r="L1452" s="13">
        <f t="shared" si="266"/>
        <v>2626000</v>
      </c>
      <c r="M1452" s="11"/>
    </row>
    <row r="1453" spans="1:13">
      <c r="A1453" s="11" t="s">
        <v>1289</v>
      </c>
      <c r="B1453" s="11" t="s">
        <v>1290</v>
      </c>
      <c r="C1453" s="13">
        <v>6</v>
      </c>
      <c r="D1453" s="15" t="s">
        <v>240</v>
      </c>
      <c r="E1453" s="13">
        <v>55550</v>
      </c>
      <c r="F1453" s="13">
        <f t="shared" si="271"/>
        <v>333300</v>
      </c>
      <c r="G1453" s="13">
        <v>25250</v>
      </c>
      <c r="H1453" s="13">
        <f t="shared" si="272"/>
        <v>151500</v>
      </c>
      <c r="I1453" s="13">
        <v>19623</v>
      </c>
      <c r="J1453" s="13">
        <f t="shared" si="273"/>
        <v>117738</v>
      </c>
      <c r="K1453" s="13">
        <f t="shared" si="274"/>
        <v>100423</v>
      </c>
      <c r="L1453" s="13">
        <f t="shared" si="266"/>
        <v>602538</v>
      </c>
      <c r="M1453" s="11"/>
    </row>
    <row r="1454" spans="1:13">
      <c r="A1454" s="11" t="s">
        <v>1334</v>
      </c>
      <c r="B1454" s="11" t="s">
        <v>1213</v>
      </c>
      <c r="C1454" s="13">
        <v>42</v>
      </c>
      <c r="D1454" s="15" t="s">
        <v>1120</v>
      </c>
      <c r="E1454" s="13">
        <v>297950</v>
      </c>
      <c r="F1454" s="13">
        <f t="shared" si="271"/>
        <v>12513900</v>
      </c>
      <c r="G1454" s="13">
        <v>55550</v>
      </c>
      <c r="H1454" s="13">
        <f t="shared" si="272"/>
        <v>2333100</v>
      </c>
      <c r="I1454" s="13">
        <v>31420</v>
      </c>
      <c r="J1454" s="13">
        <f t="shared" si="273"/>
        <v>1319640</v>
      </c>
      <c r="K1454" s="13">
        <f t="shared" si="274"/>
        <v>384920</v>
      </c>
      <c r="L1454" s="13">
        <f t="shared" si="266"/>
        <v>16166640</v>
      </c>
      <c r="M1454" s="11"/>
    </row>
    <row r="1455" spans="1:13">
      <c r="A1455" s="11" t="s">
        <v>1335</v>
      </c>
      <c r="B1455" s="11" t="s">
        <v>1297</v>
      </c>
      <c r="C1455" s="13">
        <v>519</v>
      </c>
      <c r="D1455" s="15" t="s">
        <v>102</v>
      </c>
      <c r="E1455" s="13">
        <v>6737</v>
      </c>
      <c r="F1455" s="13">
        <f t="shared" si="271"/>
        <v>3496503</v>
      </c>
      <c r="G1455" s="13">
        <v>7070</v>
      </c>
      <c r="H1455" s="13">
        <f t="shared" si="272"/>
        <v>3669330</v>
      </c>
      <c r="I1455" s="13">
        <v>5512</v>
      </c>
      <c r="J1455" s="13">
        <f t="shared" si="273"/>
        <v>2860728</v>
      </c>
      <c r="K1455" s="13">
        <f t="shared" si="274"/>
        <v>19319</v>
      </c>
      <c r="L1455" s="13">
        <f t="shared" si="266"/>
        <v>10026561</v>
      </c>
      <c r="M1455" s="11"/>
    </row>
    <row r="1456" spans="1:13">
      <c r="A1456" s="11" t="s">
        <v>1336</v>
      </c>
      <c r="B1456" s="11" t="s">
        <v>1053</v>
      </c>
      <c r="C1456" s="13">
        <v>1647</v>
      </c>
      <c r="D1456" s="15" t="s">
        <v>199</v>
      </c>
      <c r="E1456" s="13">
        <v>0</v>
      </c>
      <c r="F1456" s="13">
        <f t="shared" si="271"/>
        <v>0</v>
      </c>
      <c r="G1456" s="13">
        <v>0</v>
      </c>
      <c r="H1456" s="13">
        <f t="shared" si="272"/>
        <v>0</v>
      </c>
      <c r="I1456" s="13">
        <v>6945</v>
      </c>
      <c r="J1456" s="13">
        <f t="shared" si="273"/>
        <v>11438415</v>
      </c>
      <c r="K1456" s="13">
        <f t="shared" si="274"/>
        <v>6945</v>
      </c>
      <c r="L1456" s="13">
        <f t="shared" si="266"/>
        <v>11438415</v>
      </c>
      <c r="M1456" s="11"/>
    </row>
    <row r="1457" spans="1:13">
      <c r="A1457" s="19" t="s">
        <v>1337</v>
      </c>
      <c r="B1457" s="20"/>
      <c r="C1457" s="21"/>
      <c r="D1457" s="21"/>
      <c r="E1457" s="21"/>
      <c r="F1457" s="22">
        <f>SUM(F1458:F1467)</f>
        <v>14544705</v>
      </c>
      <c r="G1457" s="21"/>
      <c r="H1457" s="22">
        <f>SUM(H1458:H1467)</f>
        <v>8133751</v>
      </c>
      <c r="I1457" s="21"/>
      <c r="J1457" s="22">
        <f>SUM(J1458:J1467)</f>
        <v>5080489</v>
      </c>
      <c r="K1457" s="21"/>
      <c r="L1457" s="22">
        <f t="shared" si="266"/>
        <v>27758945</v>
      </c>
      <c r="M1457" s="21"/>
    </row>
    <row r="1458" spans="1:13">
      <c r="A1458" s="11" t="s">
        <v>335</v>
      </c>
      <c r="B1458" s="11" t="s">
        <v>1280</v>
      </c>
      <c r="C1458" s="13">
        <v>4</v>
      </c>
      <c r="D1458" s="15" t="s">
        <v>210</v>
      </c>
      <c r="E1458" s="13">
        <v>170690</v>
      </c>
      <c r="F1458" s="13">
        <f t="shared" ref="F1458:F1467" si="275">ROUND(E1458*C1458,0)</f>
        <v>682760</v>
      </c>
      <c r="G1458" s="13">
        <v>83689</v>
      </c>
      <c r="H1458" s="13">
        <f t="shared" ref="H1458:H1467" si="276">ROUND(G1458*C1458,0)</f>
        <v>334756</v>
      </c>
      <c r="I1458" s="13">
        <v>133869</v>
      </c>
      <c r="J1458" s="13">
        <f t="shared" ref="J1458:J1467" si="277">ROUND(I1458*C1458,0)</f>
        <v>535476</v>
      </c>
      <c r="K1458" s="13">
        <f t="shared" ref="K1458:K1467" si="278">E1458+G1458+I1458</f>
        <v>388248</v>
      </c>
      <c r="L1458" s="13">
        <f t="shared" si="266"/>
        <v>1552992</v>
      </c>
      <c r="M1458" s="11"/>
    </row>
    <row r="1459" spans="1:13">
      <c r="A1459" s="11" t="s">
        <v>1338</v>
      </c>
      <c r="B1459" s="11" t="s">
        <v>460</v>
      </c>
      <c r="C1459" s="13">
        <v>55</v>
      </c>
      <c r="D1459" s="15" t="s">
        <v>240</v>
      </c>
      <c r="E1459" s="13">
        <v>4242</v>
      </c>
      <c r="F1459" s="13">
        <f t="shared" si="275"/>
        <v>233310</v>
      </c>
      <c r="G1459" s="13">
        <v>20857</v>
      </c>
      <c r="H1459" s="13">
        <f t="shared" si="276"/>
        <v>1147135</v>
      </c>
      <c r="I1459" s="13">
        <v>6615</v>
      </c>
      <c r="J1459" s="13">
        <f t="shared" si="277"/>
        <v>363825</v>
      </c>
      <c r="K1459" s="13">
        <f t="shared" si="278"/>
        <v>31714</v>
      </c>
      <c r="L1459" s="13">
        <f t="shared" ref="L1459:L1468" si="279">F1459+H1459+J1459</f>
        <v>1744270</v>
      </c>
      <c r="M1459" s="11"/>
    </row>
    <row r="1460" spans="1:13">
      <c r="A1460" s="11" t="s">
        <v>1332</v>
      </c>
      <c r="B1460" s="11" t="s">
        <v>1284</v>
      </c>
      <c r="C1460" s="13">
        <v>10</v>
      </c>
      <c r="D1460" s="15" t="s">
        <v>240</v>
      </c>
      <c r="E1460" s="13">
        <v>4242</v>
      </c>
      <c r="F1460" s="13">
        <f t="shared" si="275"/>
        <v>42420</v>
      </c>
      <c r="G1460" s="13">
        <v>21816</v>
      </c>
      <c r="H1460" s="13">
        <f t="shared" si="276"/>
        <v>218160</v>
      </c>
      <c r="I1460" s="13">
        <v>6615</v>
      </c>
      <c r="J1460" s="13">
        <f t="shared" si="277"/>
        <v>66150</v>
      </c>
      <c r="K1460" s="13">
        <f t="shared" si="278"/>
        <v>32673</v>
      </c>
      <c r="L1460" s="13">
        <f t="shared" si="279"/>
        <v>326730</v>
      </c>
      <c r="M1460" s="11"/>
    </row>
    <row r="1461" spans="1:13">
      <c r="A1461" s="11" t="s">
        <v>1339</v>
      </c>
      <c r="B1461" s="11" t="s">
        <v>376</v>
      </c>
      <c r="C1461" s="13">
        <v>10</v>
      </c>
      <c r="D1461" s="15" t="s">
        <v>377</v>
      </c>
      <c r="E1461" s="13">
        <v>224220</v>
      </c>
      <c r="F1461" s="13">
        <f t="shared" si="275"/>
        <v>2242200</v>
      </c>
      <c r="G1461" s="13">
        <v>0</v>
      </c>
      <c r="H1461" s="13">
        <f t="shared" si="276"/>
        <v>0</v>
      </c>
      <c r="I1461" s="13">
        <v>0</v>
      </c>
      <c r="J1461" s="13">
        <f t="shared" si="277"/>
        <v>0</v>
      </c>
      <c r="K1461" s="13">
        <f t="shared" si="278"/>
        <v>224220</v>
      </c>
      <c r="L1461" s="13">
        <f t="shared" si="279"/>
        <v>2242200</v>
      </c>
      <c r="M1461" s="11"/>
    </row>
    <row r="1462" spans="1:13">
      <c r="A1462" s="11" t="s">
        <v>1340</v>
      </c>
      <c r="B1462" s="11" t="s">
        <v>1287</v>
      </c>
      <c r="C1462" s="13">
        <v>2</v>
      </c>
      <c r="D1462" s="15" t="s">
        <v>377</v>
      </c>
      <c r="E1462" s="13">
        <v>525200</v>
      </c>
      <c r="F1462" s="13">
        <f t="shared" si="275"/>
        <v>1050400</v>
      </c>
      <c r="G1462" s="13">
        <v>0</v>
      </c>
      <c r="H1462" s="13">
        <f t="shared" si="276"/>
        <v>0</v>
      </c>
      <c r="I1462" s="13">
        <v>0</v>
      </c>
      <c r="J1462" s="13">
        <f t="shared" si="277"/>
        <v>0</v>
      </c>
      <c r="K1462" s="13">
        <f t="shared" si="278"/>
        <v>525200</v>
      </c>
      <c r="L1462" s="13">
        <f t="shared" si="279"/>
        <v>1050400</v>
      </c>
      <c r="M1462" s="11"/>
    </row>
    <row r="1463" spans="1:13">
      <c r="A1463" s="11" t="s">
        <v>1341</v>
      </c>
      <c r="B1463" s="11" t="s">
        <v>1290</v>
      </c>
      <c r="C1463" s="13">
        <v>6</v>
      </c>
      <c r="D1463" s="15" t="s">
        <v>240</v>
      </c>
      <c r="E1463" s="13">
        <v>55550</v>
      </c>
      <c r="F1463" s="13">
        <f t="shared" si="275"/>
        <v>333300</v>
      </c>
      <c r="G1463" s="13">
        <v>25250</v>
      </c>
      <c r="H1463" s="13">
        <f t="shared" si="276"/>
        <v>151500</v>
      </c>
      <c r="I1463" s="13">
        <v>19623</v>
      </c>
      <c r="J1463" s="13">
        <f t="shared" si="277"/>
        <v>117738</v>
      </c>
      <c r="K1463" s="13">
        <f t="shared" si="278"/>
        <v>100423</v>
      </c>
      <c r="L1463" s="13">
        <f t="shared" si="279"/>
        <v>602538</v>
      </c>
      <c r="M1463" s="11"/>
    </row>
    <row r="1464" spans="1:13">
      <c r="A1464" s="11" t="s">
        <v>1342</v>
      </c>
      <c r="B1464" s="11" t="s">
        <v>1295</v>
      </c>
      <c r="C1464" s="13">
        <v>45</v>
      </c>
      <c r="D1464" s="15" t="s">
        <v>240</v>
      </c>
      <c r="E1464" s="13">
        <v>25250</v>
      </c>
      <c r="F1464" s="13">
        <f t="shared" si="275"/>
        <v>1136250</v>
      </c>
      <c r="G1464" s="13">
        <v>13130</v>
      </c>
      <c r="H1464" s="13">
        <f t="shared" si="276"/>
        <v>590850</v>
      </c>
      <c r="I1464" s="13">
        <v>0</v>
      </c>
      <c r="J1464" s="13">
        <f t="shared" si="277"/>
        <v>0</v>
      </c>
      <c r="K1464" s="13">
        <f t="shared" si="278"/>
        <v>38380</v>
      </c>
      <c r="L1464" s="13">
        <f t="shared" si="279"/>
        <v>1727100</v>
      </c>
      <c r="M1464" s="11"/>
    </row>
    <row r="1465" spans="1:13">
      <c r="A1465" s="11" t="s">
        <v>1343</v>
      </c>
      <c r="B1465" s="11" t="s">
        <v>1213</v>
      </c>
      <c r="C1465" s="13">
        <v>14</v>
      </c>
      <c r="D1465" s="15" t="s">
        <v>1120</v>
      </c>
      <c r="E1465" s="13">
        <v>297950</v>
      </c>
      <c r="F1465" s="13">
        <f t="shared" si="275"/>
        <v>4171300</v>
      </c>
      <c r="G1465" s="13">
        <v>55550</v>
      </c>
      <c r="H1465" s="13">
        <f t="shared" si="276"/>
        <v>777700</v>
      </c>
      <c r="I1465" s="13">
        <v>31420</v>
      </c>
      <c r="J1465" s="13">
        <f t="shared" si="277"/>
        <v>439880</v>
      </c>
      <c r="K1465" s="13">
        <f t="shared" si="278"/>
        <v>384920</v>
      </c>
      <c r="L1465" s="13">
        <f t="shared" si="279"/>
        <v>5388880</v>
      </c>
      <c r="M1465" s="11"/>
    </row>
    <row r="1466" spans="1:13">
      <c r="A1466" s="11" t="s">
        <v>1344</v>
      </c>
      <c r="B1466" s="11" t="s">
        <v>1297</v>
      </c>
      <c r="C1466" s="13">
        <v>633</v>
      </c>
      <c r="D1466" s="15" t="s">
        <v>102</v>
      </c>
      <c r="E1466" s="13">
        <v>6737</v>
      </c>
      <c r="F1466" s="13">
        <f t="shared" si="275"/>
        <v>4264521</v>
      </c>
      <c r="G1466" s="13">
        <v>7070</v>
      </c>
      <c r="H1466" s="13">
        <f t="shared" si="276"/>
        <v>4475310</v>
      </c>
      <c r="I1466" s="13">
        <v>5512</v>
      </c>
      <c r="J1466" s="13">
        <f t="shared" si="277"/>
        <v>3489096</v>
      </c>
      <c r="K1466" s="13">
        <f t="shared" si="278"/>
        <v>19319</v>
      </c>
      <c r="L1466" s="13">
        <f t="shared" si="279"/>
        <v>12228927</v>
      </c>
      <c r="M1466" s="11"/>
    </row>
    <row r="1467" spans="1:13">
      <c r="A1467" s="11" t="s">
        <v>1345</v>
      </c>
      <c r="B1467" s="11" t="s">
        <v>121</v>
      </c>
      <c r="C1467" s="13">
        <v>62</v>
      </c>
      <c r="D1467" s="15" t="s">
        <v>102</v>
      </c>
      <c r="E1467" s="13">
        <v>6262</v>
      </c>
      <c r="F1467" s="13">
        <f t="shared" si="275"/>
        <v>388244</v>
      </c>
      <c r="G1467" s="13">
        <v>7070</v>
      </c>
      <c r="H1467" s="13">
        <f t="shared" si="276"/>
        <v>438340</v>
      </c>
      <c r="I1467" s="13">
        <v>1102</v>
      </c>
      <c r="J1467" s="13">
        <f t="shared" si="277"/>
        <v>68324</v>
      </c>
      <c r="K1467" s="13">
        <f t="shared" si="278"/>
        <v>14434</v>
      </c>
      <c r="L1467" s="13">
        <f t="shared" si="279"/>
        <v>894908</v>
      </c>
      <c r="M1467" s="11"/>
    </row>
    <row r="1468" spans="1:13">
      <c r="A1468" s="5" t="s">
        <v>1346</v>
      </c>
      <c r="B1468" s="6"/>
      <c r="C1468" s="6"/>
      <c r="D1468" s="6"/>
      <c r="E1468" s="6"/>
      <c r="F1468" s="9">
        <f>F1310+F1331+F1346+F1364+F1382+F1398+F1414+F1429+F1444+F1457</f>
        <v>452988030</v>
      </c>
      <c r="G1468" s="6"/>
      <c r="H1468" s="9">
        <f>H1310+H1331+H1346+H1364+H1382+H1398+H1414+H1429+H1444+H1457</f>
        <v>389871078</v>
      </c>
      <c r="I1468" s="6"/>
      <c r="J1468" s="9">
        <f>J1310+J1331+J1346+J1364+J1382+J1398+J1414+J1429+J1444+J1457</f>
        <v>1850055055</v>
      </c>
      <c r="K1468" s="6"/>
      <c r="L1468" s="9">
        <f t="shared" si="279"/>
        <v>2692914163</v>
      </c>
      <c r="M1468" s="6"/>
    </row>
    <row r="1470" spans="1:13">
      <c r="A1470" s="46" t="s">
        <v>1347</v>
      </c>
      <c r="B1470" s="40"/>
      <c r="C1470" s="40"/>
      <c r="D1470" s="40"/>
      <c r="E1470" s="40"/>
      <c r="F1470" s="40"/>
      <c r="G1470" s="40"/>
      <c r="H1470" s="40"/>
      <c r="I1470" s="40"/>
      <c r="J1470" s="40"/>
      <c r="K1470" s="40"/>
      <c r="L1470" s="40"/>
      <c r="M1470" s="40"/>
    </row>
    <row r="1471" spans="1:13">
      <c r="A1471" s="19" t="s">
        <v>1348</v>
      </c>
      <c r="B1471" s="20"/>
      <c r="C1471" s="21"/>
      <c r="D1471" s="21"/>
      <c r="E1471" s="21"/>
      <c r="F1471" s="22">
        <f>SUM(F1472:F1473)</f>
        <v>0</v>
      </c>
      <c r="G1471" s="21"/>
      <c r="H1471" s="22">
        <f>SUM(H1472:H1473)</f>
        <v>0</v>
      </c>
      <c r="I1471" s="21"/>
      <c r="J1471" s="22">
        <f>SUM(J1472:J1473)</f>
        <v>34337628</v>
      </c>
      <c r="K1471" s="21"/>
      <c r="L1471" s="22">
        <f>F1471+H1471+J1471</f>
        <v>34337628</v>
      </c>
      <c r="M1471" s="21"/>
    </row>
    <row r="1472" spans="1:13">
      <c r="A1472" s="11" t="s">
        <v>1349</v>
      </c>
      <c r="B1472" s="11" t="s">
        <v>1350</v>
      </c>
      <c r="C1472" s="13">
        <v>661</v>
      </c>
      <c r="D1472" s="15" t="s">
        <v>400</v>
      </c>
      <c r="E1472" s="13">
        <v>0</v>
      </c>
      <c r="F1472" s="13">
        <f>ROUND(E1472*C1472,0)</f>
        <v>0</v>
      </c>
      <c r="G1472" s="13">
        <v>0</v>
      </c>
      <c r="H1472" s="13">
        <f>ROUND(G1472*C1472,0)</f>
        <v>0</v>
      </c>
      <c r="I1472" s="13">
        <v>17956</v>
      </c>
      <c r="J1472" s="13">
        <f>ROUND(I1472*C1472,0)</f>
        <v>11868916</v>
      </c>
      <c r="K1472" s="13">
        <f>E1472+G1472+I1472</f>
        <v>17956</v>
      </c>
      <c r="L1472" s="13">
        <f>F1472+H1472+J1472</f>
        <v>11868916</v>
      </c>
      <c r="M1472" s="11"/>
    </row>
    <row r="1473" spans="1:13">
      <c r="A1473" s="11" t="s">
        <v>1351</v>
      </c>
      <c r="B1473" s="11"/>
      <c r="C1473" s="13">
        <v>661</v>
      </c>
      <c r="D1473" s="15" t="s">
        <v>400</v>
      </c>
      <c r="E1473" s="13">
        <v>0</v>
      </c>
      <c r="F1473" s="13">
        <f>ROUND(E1473*C1473,0)</f>
        <v>0</v>
      </c>
      <c r="G1473" s="13">
        <v>0</v>
      </c>
      <c r="H1473" s="13">
        <f>ROUND(G1473*C1473,0)</f>
        <v>0</v>
      </c>
      <c r="I1473" s="13">
        <v>33992</v>
      </c>
      <c r="J1473" s="13">
        <f>ROUND(I1473*C1473,0)</f>
        <v>22468712</v>
      </c>
      <c r="K1473" s="13">
        <f>E1473+G1473+I1473</f>
        <v>33992</v>
      </c>
      <c r="L1473" s="13">
        <f>F1473+H1473+J1473</f>
        <v>22468712</v>
      </c>
      <c r="M1473" s="11"/>
    </row>
    <row r="1474" spans="1:13">
      <c r="A1474" s="5" t="s">
        <v>1352</v>
      </c>
      <c r="B1474" s="6"/>
      <c r="C1474" s="6"/>
      <c r="D1474" s="6"/>
      <c r="E1474" s="6"/>
      <c r="F1474" s="9">
        <f>F1471</f>
        <v>0</v>
      </c>
      <c r="G1474" s="6"/>
      <c r="H1474" s="9">
        <f>H1471</f>
        <v>0</v>
      </c>
      <c r="I1474" s="6"/>
      <c r="J1474" s="9">
        <f>J1471</f>
        <v>34337628</v>
      </c>
      <c r="K1474" s="6"/>
      <c r="L1474" s="9">
        <f>F1474+H1474+J1474</f>
        <v>34337628</v>
      </c>
      <c r="M1474" s="6"/>
    </row>
    <row r="1476" spans="1:13">
      <c r="A1476" s="5" t="s">
        <v>1353</v>
      </c>
      <c r="B1476" s="6"/>
      <c r="C1476" s="6"/>
      <c r="D1476" s="6"/>
      <c r="E1476" s="6"/>
      <c r="F1476" s="9">
        <f>F828+F1082+F1307+F1468+F1474</f>
        <v>3511003009</v>
      </c>
      <c r="G1476" s="6"/>
      <c r="H1476" s="9">
        <f>H828+H1082+H1307+H1468+H1474</f>
        <v>1849055312</v>
      </c>
      <c r="I1476" s="6"/>
      <c r="J1476" s="9">
        <f>J828+J1082+J1307+J1468+J1474</f>
        <v>4525588656</v>
      </c>
      <c r="K1476" s="6"/>
      <c r="L1476" s="9">
        <f>L828+L1082+L1307+L1468+L1474</f>
        <v>9885646977</v>
      </c>
      <c r="M1476" s="6"/>
    </row>
  </sheetData>
  <mergeCells count="14">
    <mergeCell ref="A1470:M1470"/>
    <mergeCell ref="A830:M830"/>
    <mergeCell ref="A1309:M1309"/>
    <mergeCell ref="G1:H1"/>
    <mergeCell ref="E1:F1"/>
    <mergeCell ref="K1:L1"/>
    <mergeCell ref="A1084:M1084"/>
    <mergeCell ref="A3:M3"/>
    <mergeCell ref="C1:C2"/>
    <mergeCell ref="B1:B2"/>
    <mergeCell ref="D1:D2"/>
    <mergeCell ref="M1:M2"/>
    <mergeCell ref="I1:J1"/>
    <mergeCell ref="A1:A2"/>
  </mergeCells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0"/>
  <sheetViews>
    <sheetView workbookViewId="0">
      <pane ySplit="2" topLeftCell="A3" activePane="bottomLeft" state="frozen"/>
      <selection pane="bottomLeft"/>
    </sheetView>
  </sheetViews>
  <sheetFormatPr defaultRowHeight="16.5"/>
  <cols>
    <col min="1" max="1" width="49" customWidth="1"/>
    <col min="2" max="2" width="28" customWidth="1"/>
    <col min="3" max="3" width="9" customWidth="1"/>
    <col min="4" max="4" width="6" customWidth="1"/>
    <col min="5" max="6" width="12" customWidth="1"/>
    <col min="7" max="7" width="9" customWidth="1"/>
    <col min="8" max="8" width="12" customWidth="1"/>
    <col min="9" max="10" width="11" customWidth="1"/>
    <col min="11" max="12" width="12" customWidth="1"/>
    <col min="13" max="13" width="9" customWidth="1"/>
  </cols>
  <sheetData>
    <row r="1" spans="1:13">
      <c r="A1" s="39" t="s">
        <v>93</v>
      </c>
      <c r="B1" s="39" t="s">
        <v>94</v>
      </c>
      <c r="C1" s="39" t="s">
        <v>14</v>
      </c>
      <c r="D1" s="39" t="s">
        <v>15</v>
      </c>
      <c r="E1" s="39" t="s">
        <v>33</v>
      </c>
      <c r="F1" s="39"/>
      <c r="G1" s="39" t="s">
        <v>95</v>
      </c>
      <c r="H1" s="39"/>
      <c r="I1" s="39" t="s">
        <v>96</v>
      </c>
      <c r="J1" s="39"/>
      <c r="K1" s="39" t="s">
        <v>85</v>
      </c>
      <c r="L1" s="39"/>
      <c r="M1" s="39" t="s">
        <v>20</v>
      </c>
    </row>
    <row r="2" spans="1:13">
      <c r="A2" s="39"/>
      <c r="B2" s="39"/>
      <c r="C2" s="39"/>
      <c r="D2" s="39"/>
      <c r="E2" s="1" t="s">
        <v>21</v>
      </c>
      <c r="F2" s="1" t="s">
        <v>22</v>
      </c>
      <c r="G2" s="1" t="s">
        <v>21</v>
      </c>
      <c r="H2" s="1" t="s">
        <v>22</v>
      </c>
      <c r="I2" s="1" t="s">
        <v>21</v>
      </c>
      <c r="J2" s="1" t="s">
        <v>22</v>
      </c>
      <c r="K2" s="1" t="s">
        <v>21</v>
      </c>
      <c r="L2" s="1" t="s">
        <v>22</v>
      </c>
      <c r="M2" s="39"/>
    </row>
    <row r="3" spans="1:13">
      <c r="A3" s="19" t="s">
        <v>1354</v>
      </c>
      <c r="B3" s="21"/>
      <c r="C3" s="21"/>
      <c r="D3" s="21"/>
      <c r="E3" s="21"/>
      <c r="F3" s="22">
        <f>SUM(F4:F42)</f>
        <v>160349230</v>
      </c>
      <c r="G3" s="21"/>
      <c r="H3" s="22">
        <f>SUM(H4:H42)</f>
        <v>71200210</v>
      </c>
      <c r="I3" s="21"/>
      <c r="J3" s="22">
        <f>SUM(J4:J42)</f>
        <v>2773431</v>
      </c>
      <c r="K3" s="21"/>
      <c r="L3" s="22">
        <f t="shared" ref="L3:L66" si="0">F3+H3+J3</f>
        <v>234322871</v>
      </c>
      <c r="M3" s="21"/>
    </row>
    <row r="4" spans="1:13">
      <c r="A4" s="11" t="s">
        <v>1355</v>
      </c>
      <c r="B4" s="11" t="s">
        <v>1356</v>
      </c>
      <c r="C4" s="13">
        <v>2061</v>
      </c>
      <c r="D4" s="11" t="s">
        <v>240</v>
      </c>
      <c r="E4" s="13">
        <v>945</v>
      </c>
      <c r="F4" s="13">
        <f t="shared" ref="F4:F42" si="1">ROUND(E4*C4,0)</f>
        <v>1947645</v>
      </c>
      <c r="G4" s="13">
        <v>9002</v>
      </c>
      <c r="H4" s="13">
        <f t="shared" ref="H4:H42" si="2">ROUND(G4*C4,0)</f>
        <v>18553122</v>
      </c>
      <c r="I4" s="13">
        <v>0</v>
      </c>
      <c r="J4" s="13">
        <f t="shared" ref="J4:J42" si="3">ROUND(I4*C4,0)</f>
        <v>0</v>
      </c>
      <c r="K4" s="13">
        <f t="shared" ref="K4:K42" si="4">E4+G4+I4</f>
        <v>9947</v>
      </c>
      <c r="L4" s="13">
        <f t="shared" si="0"/>
        <v>20500767</v>
      </c>
      <c r="M4" s="11" t="s">
        <v>1357</v>
      </c>
    </row>
    <row r="5" spans="1:13">
      <c r="A5" s="11" t="s">
        <v>1355</v>
      </c>
      <c r="B5" s="11" t="s">
        <v>1358</v>
      </c>
      <c r="C5" s="13">
        <v>105</v>
      </c>
      <c r="D5" s="11" t="s">
        <v>240</v>
      </c>
      <c r="E5" s="13">
        <v>1170</v>
      </c>
      <c r="F5" s="13">
        <f t="shared" si="1"/>
        <v>122850</v>
      </c>
      <c r="G5" s="13">
        <v>9002</v>
      </c>
      <c r="H5" s="13">
        <f t="shared" si="2"/>
        <v>945210</v>
      </c>
      <c r="I5" s="13">
        <v>0</v>
      </c>
      <c r="J5" s="13">
        <f t="shared" si="3"/>
        <v>0</v>
      </c>
      <c r="K5" s="13">
        <f t="shared" si="4"/>
        <v>10172</v>
      </c>
      <c r="L5" s="13">
        <f t="shared" si="0"/>
        <v>1068060</v>
      </c>
      <c r="M5" s="11" t="s">
        <v>1359</v>
      </c>
    </row>
    <row r="6" spans="1:13">
      <c r="A6" s="11" t="s">
        <v>1360</v>
      </c>
      <c r="B6" s="11" t="s">
        <v>1361</v>
      </c>
      <c r="C6" s="13">
        <v>35</v>
      </c>
      <c r="D6" s="11" t="s">
        <v>240</v>
      </c>
      <c r="E6" s="13">
        <v>1879</v>
      </c>
      <c r="F6" s="13">
        <f t="shared" si="1"/>
        <v>65765</v>
      </c>
      <c r="G6" s="13">
        <v>2463</v>
      </c>
      <c r="H6" s="13">
        <f t="shared" si="2"/>
        <v>86205</v>
      </c>
      <c r="I6" s="13">
        <v>0</v>
      </c>
      <c r="J6" s="13">
        <f t="shared" si="3"/>
        <v>0</v>
      </c>
      <c r="K6" s="13">
        <f t="shared" si="4"/>
        <v>4342</v>
      </c>
      <c r="L6" s="13">
        <f t="shared" si="0"/>
        <v>151970</v>
      </c>
      <c r="M6" s="11" t="s">
        <v>1362</v>
      </c>
    </row>
    <row r="7" spans="1:13">
      <c r="A7" s="11" t="s">
        <v>1363</v>
      </c>
      <c r="B7" s="11" t="s">
        <v>1364</v>
      </c>
      <c r="C7" s="13">
        <v>2157</v>
      </c>
      <c r="D7" s="11" t="s">
        <v>240</v>
      </c>
      <c r="E7" s="13">
        <v>3116</v>
      </c>
      <c r="F7" s="13">
        <f t="shared" si="1"/>
        <v>6721212</v>
      </c>
      <c r="G7" s="13">
        <v>2463</v>
      </c>
      <c r="H7" s="13">
        <f t="shared" si="2"/>
        <v>5312691</v>
      </c>
      <c r="I7" s="13">
        <v>0</v>
      </c>
      <c r="J7" s="13">
        <f t="shared" si="3"/>
        <v>0</v>
      </c>
      <c r="K7" s="13">
        <f t="shared" si="4"/>
        <v>5579</v>
      </c>
      <c r="L7" s="13">
        <f t="shared" si="0"/>
        <v>12033903</v>
      </c>
      <c r="M7" s="11" t="s">
        <v>1365</v>
      </c>
    </row>
    <row r="8" spans="1:13">
      <c r="A8" s="11" t="s">
        <v>1363</v>
      </c>
      <c r="B8" s="11" t="s">
        <v>1366</v>
      </c>
      <c r="C8" s="13">
        <v>39</v>
      </c>
      <c r="D8" s="11" t="s">
        <v>240</v>
      </c>
      <c r="E8" s="13">
        <v>4094</v>
      </c>
      <c r="F8" s="13">
        <f t="shared" si="1"/>
        <v>159666</v>
      </c>
      <c r="G8" s="13">
        <v>2873</v>
      </c>
      <c r="H8" s="13">
        <f t="shared" si="2"/>
        <v>112047</v>
      </c>
      <c r="I8" s="13">
        <v>0</v>
      </c>
      <c r="J8" s="13">
        <f t="shared" si="3"/>
        <v>0</v>
      </c>
      <c r="K8" s="13">
        <f t="shared" si="4"/>
        <v>6967</v>
      </c>
      <c r="L8" s="13">
        <f t="shared" si="0"/>
        <v>271713</v>
      </c>
      <c r="M8" s="11" t="s">
        <v>1367</v>
      </c>
    </row>
    <row r="9" spans="1:13">
      <c r="A9" s="11" t="s">
        <v>1368</v>
      </c>
      <c r="B9" s="11" t="s">
        <v>1369</v>
      </c>
      <c r="C9" s="13">
        <v>780</v>
      </c>
      <c r="D9" s="11" t="s">
        <v>240</v>
      </c>
      <c r="E9" s="13">
        <v>2116</v>
      </c>
      <c r="F9" s="13">
        <f t="shared" si="1"/>
        <v>1650480</v>
      </c>
      <c r="G9" s="13">
        <v>4258</v>
      </c>
      <c r="H9" s="13">
        <f t="shared" si="2"/>
        <v>3321240</v>
      </c>
      <c r="I9" s="13">
        <v>0</v>
      </c>
      <c r="J9" s="13">
        <f t="shared" si="3"/>
        <v>0</v>
      </c>
      <c r="K9" s="13">
        <f t="shared" si="4"/>
        <v>6374</v>
      </c>
      <c r="L9" s="13">
        <f t="shared" si="0"/>
        <v>4971720</v>
      </c>
      <c r="M9" s="11" t="s">
        <v>1370</v>
      </c>
    </row>
    <row r="10" spans="1:13">
      <c r="A10" s="11" t="s">
        <v>1371</v>
      </c>
      <c r="B10" s="11" t="s">
        <v>1372</v>
      </c>
      <c r="C10" s="13">
        <v>487</v>
      </c>
      <c r="D10" s="11" t="s">
        <v>240</v>
      </c>
      <c r="E10" s="13">
        <v>4423</v>
      </c>
      <c r="F10" s="13">
        <f t="shared" si="1"/>
        <v>2154001</v>
      </c>
      <c r="G10" s="13">
        <v>0</v>
      </c>
      <c r="H10" s="13">
        <f t="shared" si="2"/>
        <v>0</v>
      </c>
      <c r="I10" s="13">
        <v>0</v>
      </c>
      <c r="J10" s="13">
        <f t="shared" si="3"/>
        <v>0</v>
      </c>
      <c r="K10" s="13">
        <f t="shared" si="4"/>
        <v>4423</v>
      </c>
      <c r="L10" s="13">
        <f t="shared" si="0"/>
        <v>2154001</v>
      </c>
      <c r="M10" s="11"/>
    </row>
    <row r="11" spans="1:13">
      <c r="A11" s="11" t="s">
        <v>1371</v>
      </c>
      <c r="B11" s="11" t="s">
        <v>1373</v>
      </c>
      <c r="C11" s="13">
        <v>105</v>
      </c>
      <c r="D11" s="11" t="s">
        <v>240</v>
      </c>
      <c r="E11" s="13">
        <v>10580</v>
      </c>
      <c r="F11" s="13">
        <f t="shared" si="1"/>
        <v>1110900</v>
      </c>
      <c r="G11" s="13">
        <v>0</v>
      </c>
      <c r="H11" s="13">
        <f t="shared" si="2"/>
        <v>0</v>
      </c>
      <c r="I11" s="13">
        <v>0</v>
      </c>
      <c r="J11" s="13">
        <f t="shared" si="3"/>
        <v>0</v>
      </c>
      <c r="K11" s="13">
        <f t="shared" si="4"/>
        <v>10580</v>
      </c>
      <c r="L11" s="13">
        <f t="shared" si="0"/>
        <v>1110900</v>
      </c>
      <c r="M11" s="11"/>
    </row>
    <row r="12" spans="1:13">
      <c r="A12" s="11" t="s">
        <v>1371</v>
      </c>
      <c r="B12" s="11" t="s">
        <v>1374</v>
      </c>
      <c r="C12" s="13">
        <v>1565</v>
      </c>
      <c r="D12" s="11" t="s">
        <v>240</v>
      </c>
      <c r="E12" s="13">
        <v>8027</v>
      </c>
      <c r="F12" s="13">
        <f t="shared" si="1"/>
        <v>12562255</v>
      </c>
      <c r="G12" s="13">
        <v>0</v>
      </c>
      <c r="H12" s="13">
        <f t="shared" si="2"/>
        <v>0</v>
      </c>
      <c r="I12" s="13">
        <v>0</v>
      </c>
      <c r="J12" s="13">
        <f t="shared" si="3"/>
        <v>0</v>
      </c>
      <c r="K12" s="13">
        <f t="shared" si="4"/>
        <v>8027</v>
      </c>
      <c r="L12" s="13">
        <f t="shared" si="0"/>
        <v>12562255</v>
      </c>
      <c r="M12" s="11"/>
    </row>
    <row r="13" spans="1:13">
      <c r="A13" s="11" t="s">
        <v>1371</v>
      </c>
      <c r="B13" s="11" t="s">
        <v>1375</v>
      </c>
      <c r="C13" s="13">
        <v>105</v>
      </c>
      <c r="D13" s="11" t="s">
        <v>240</v>
      </c>
      <c r="E13" s="13">
        <v>19933</v>
      </c>
      <c r="F13" s="13">
        <f t="shared" si="1"/>
        <v>2092965</v>
      </c>
      <c r="G13" s="13">
        <v>0</v>
      </c>
      <c r="H13" s="13">
        <f t="shared" si="2"/>
        <v>0</v>
      </c>
      <c r="I13" s="13">
        <v>0</v>
      </c>
      <c r="J13" s="13">
        <f t="shared" si="3"/>
        <v>0</v>
      </c>
      <c r="K13" s="13">
        <f t="shared" si="4"/>
        <v>19933</v>
      </c>
      <c r="L13" s="13">
        <f t="shared" si="0"/>
        <v>2092965</v>
      </c>
      <c r="M13" s="11"/>
    </row>
    <row r="14" spans="1:13">
      <c r="A14" s="11" t="s">
        <v>1376</v>
      </c>
      <c r="B14" s="11" t="s">
        <v>1377</v>
      </c>
      <c r="C14" s="13">
        <v>14</v>
      </c>
      <c r="D14" s="11" t="s">
        <v>188</v>
      </c>
      <c r="E14" s="13">
        <v>7096</v>
      </c>
      <c r="F14" s="13">
        <f t="shared" si="1"/>
        <v>99344</v>
      </c>
      <c r="G14" s="13">
        <v>43869</v>
      </c>
      <c r="H14" s="13">
        <f t="shared" si="2"/>
        <v>614166</v>
      </c>
      <c r="I14" s="13">
        <v>0</v>
      </c>
      <c r="J14" s="13">
        <f t="shared" si="3"/>
        <v>0</v>
      </c>
      <c r="K14" s="13">
        <f t="shared" si="4"/>
        <v>50965</v>
      </c>
      <c r="L14" s="13">
        <f t="shared" si="0"/>
        <v>713510</v>
      </c>
      <c r="M14" s="11" t="s">
        <v>1378</v>
      </c>
    </row>
    <row r="15" spans="1:13">
      <c r="A15" s="11" t="s">
        <v>1379</v>
      </c>
      <c r="B15" s="11" t="s">
        <v>1380</v>
      </c>
      <c r="C15" s="13">
        <v>16</v>
      </c>
      <c r="D15" s="11" t="s">
        <v>188</v>
      </c>
      <c r="E15" s="13">
        <v>721</v>
      </c>
      <c r="F15" s="13">
        <f t="shared" si="1"/>
        <v>11536</v>
      </c>
      <c r="G15" s="13">
        <v>7389</v>
      </c>
      <c r="H15" s="13">
        <f t="shared" si="2"/>
        <v>118224</v>
      </c>
      <c r="I15" s="13">
        <v>0</v>
      </c>
      <c r="J15" s="13">
        <f t="shared" si="3"/>
        <v>0</v>
      </c>
      <c r="K15" s="13">
        <f t="shared" si="4"/>
        <v>8110</v>
      </c>
      <c r="L15" s="13">
        <f t="shared" si="0"/>
        <v>129760</v>
      </c>
      <c r="M15" s="11" t="s">
        <v>1381</v>
      </c>
    </row>
    <row r="16" spans="1:13">
      <c r="A16" s="11" t="s">
        <v>1382</v>
      </c>
      <c r="B16" s="11" t="s">
        <v>1383</v>
      </c>
      <c r="C16" s="13">
        <v>2005</v>
      </c>
      <c r="D16" s="11" t="s">
        <v>240</v>
      </c>
      <c r="E16" s="13">
        <v>187</v>
      </c>
      <c r="F16" s="13">
        <f t="shared" si="1"/>
        <v>374935</v>
      </c>
      <c r="G16" s="13">
        <v>237</v>
      </c>
      <c r="H16" s="13">
        <f t="shared" si="2"/>
        <v>475185</v>
      </c>
      <c r="I16" s="13">
        <v>0</v>
      </c>
      <c r="J16" s="13">
        <f t="shared" si="3"/>
        <v>0</v>
      </c>
      <c r="K16" s="13">
        <f t="shared" si="4"/>
        <v>424</v>
      </c>
      <c r="L16" s="13">
        <f t="shared" si="0"/>
        <v>850120</v>
      </c>
      <c r="M16" s="11" t="s">
        <v>1384</v>
      </c>
    </row>
    <row r="17" spans="1:13">
      <c r="A17" s="11" t="s">
        <v>1385</v>
      </c>
      <c r="B17" s="11" t="s">
        <v>1386</v>
      </c>
      <c r="C17" s="13">
        <v>24</v>
      </c>
      <c r="D17" s="11" t="s">
        <v>188</v>
      </c>
      <c r="E17" s="13">
        <v>1343</v>
      </c>
      <c r="F17" s="13">
        <f t="shared" si="1"/>
        <v>32232</v>
      </c>
      <c r="G17" s="13">
        <v>36133</v>
      </c>
      <c r="H17" s="13">
        <f t="shared" si="2"/>
        <v>867192</v>
      </c>
      <c r="I17" s="13">
        <v>0</v>
      </c>
      <c r="J17" s="13">
        <f t="shared" si="3"/>
        <v>0</v>
      </c>
      <c r="K17" s="13">
        <f t="shared" si="4"/>
        <v>37476</v>
      </c>
      <c r="L17" s="13">
        <f t="shared" si="0"/>
        <v>899424</v>
      </c>
      <c r="M17" s="11" t="s">
        <v>1387</v>
      </c>
    </row>
    <row r="18" spans="1:13">
      <c r="A18" s="11" t="s">
        <v>1388</v>
      </c>
      <c r="B18" s="11" t="s">
        <v>1389</v>
      </c>
      <c r="C18" s="13">
        <v>2</v>
      </c>
      <c r="D18" s="11" t="s">
        <v>25</v>
      </c>
      <c r="E18" s="13">
        <v>11653</v>
      </c>
      <c r="F18" s="13">
        <f t="shared" si="1"/>
        <v>23306</v>
      </c>
      <c r="G18" s="13">
        <v>117311</v>
      </c>
      <c r="H18" s="13">
        <f t="shared" si="2"/>
        <v>234622</v>
      </c>
      <c r="I18" s="13">
        <v>31713</v>
      </c>
      <c r="J18" s="13">
        <f t="shared" si="3"/>
        <v>63426</v>
      </c>
      <c r="K18" s="13">
        <f t="shared" si="4"/>
        <v>160677</v>
      </c>
      <c r="L18" s="13">
        <f t="shared" si="0"/>
        <v>321354</v>
      </c>
      <c r="M18" s="11" t="s">
        <v>1390</v>
      </c>
    </row>
    <row r="19" spans="1:13">
      <c r="A19" s="11" t="s">
        <v>1388</v>
      </c>
      <c r="B19" s="11" t="s">
        <v>1391</v>
      </c>
      <c r="C19" s="13">
        <v>43</v>
      </c>
      <c r="D19" s="11" t="s">
        <v>25</v>
      </c>
      <c r="E19" s="13">
        <v>14212</v>
      </c>
      <c r="F19" s="13">
        <f t="shared" si="1"/>
        <v>611116</v>
      </c>
      <c r="G19" s="13">
        <v>153319</v>
      </c>
      <c r="H19" s="13">
        <f t="shared" si="2"/>
        <v>6592717</v>
      </c>
      <c r="I19" s="13">
        <v>37479</v>
      </c>
      <c r="J19" s="13">
        <f t="shared" si="3"/>
        <v>1611597</v>
      </c>
      <c r="K19" s="13">
        <f t="shared" si="4"/>
        <v>205010</v>
      </c>
      <c r="L19" s="13">
        <f t="shared" si="0"/>
        <v>8815430</v>
      </c>
      <c r="M19" s="11" t="s">
        <v>1392</v>
      </c>
    </row>
    <row r="20" spans="1:13">
      <c r="A20" s="11" t="s">
        <v>1393</v>
      </c>
      <c r="B20" s="11" t="s">
        <v>1394</v>
      </c>
      <c r="C20" s="24">
        <v>794.59100000000001</v>
      </c>
      <c r="D20" s="11" t="s">
        <v>108</v>
      </c>
      <c r="E20" s="13">
        <v>501</v>
      </c>
      <c r="F20" s="13">
        <f t="shared" si="1"/>
        <v>398090</v>
      </c>
      <c r="G20" s="13">
        <v>4659</v>
      </c>
      <c r="H20" s="13">
        <f t="shared" si="2"/>
        <v>3701999</v>
      </c>
      <c r="I20" s="13">
        <v>483</v>
      </c>
      <c r="J20" s="13">
        <f t="shared" si="3"/>
        <v>383787</v>
      </c>
      <c r="K20" s="13">
        <f t="shared" si="4"/>
        <v>5643</v>
      </c>
      <c r="L20" s="13">
        <f t="shared" si="0"/>
        <v>4483876</v>
      </c>
      <c r="M20" s="11" t="s">
        <v>1395</v>
      </c>
    </row>
    <row r="21" spans="1:13">
      <c r="A21" s="11" t="s">
        <v>1396</v>
      </c>
      <c r="B21" s="11" t="s">
        <v>1394</v>
      </c>
      <c r="C21" s="24">
        <v>767.46</v>
      </c>
      <c r="D21" s="11" t="s">
        <v>108</v>
      </c>
      <c r="E21" s="13">
        <v>449</v>
      </c>
      <c r="F21" s="13">
        <f t="shared" si="1"/>
        <v>344590</v>
      </c>
      <c r="G21" s="13">
        <v>2939</v>
      </c>
      <c r="H21" s="13">
        <f t="shared" si="2"/>
        <v>2255565</v>
      </c>
      <c r="I21" s="13">
        <v>483</v>
      </c>
      <c r="J21" s="13">
        <f t="shared" si="3"/>
        <v>370683</v>
      </c>
      <c r="K21" s="13">
        <f t="shared" si="4"/>
        <v>3871</v>
      </c>
      <c r="L21" s="13">
        <f t="shared" si="0"/>
        <v>2970838</v>
      </c>
      <c r="M21" s="11" t="s">
        <v>1397</v>
      </c>
    </row>
    <row r="22" spans="1:13">
      <c r="A22" s="11" t="s">
        <v>1398</v>
      </c>
      <c r="B22" s="11" t="s">
        <v>1399</v>
      </c>
      <c r="C22" s="24">
        <v>27.131</v>
      </c>
      <c r="D22" s="11" t="s">
        <v>108</v>
      </c>
      <c r="E22" s="13">
        <v>1032</v>
      </c>
      <c r="F22" s="13">
        <f t="shared" si="1"/>
        <v>27999</v>
      </c>
      <c r="G22" s="13">
        <v>34413</v>
      </c>
      <c r="H22" s="13">
        <f t="shared" si="2"/>
        <v>933659</v>
      </c>
      <c r="I22" s="13">
        <v>0</v>
      </c>
      <c r="J22" s="13">
        <f t="shared" si="3"/>
        <v>0</v>
      </c>
      <c r="K22" s="13">
        <f t="shared" si="4"/>
        <v>35445</v>
      </c>
      <c r="L22" s="13">
        <f t="shared" si="0"/>
        <v>961658</v>
      </c>
      <c r="M22" s="11" t="s">
        <v>1400</v>
      </c>
    </row>
    <row r="23" spans="1:13">
      <c r="A23" s="11" t="s">
        <v>1401</v>
      </c>
      <c r="B23" s="11" t="s">
        <v>1402</v>
      </c>
      <c r="C23" s="13">
        <v>4</v>
      </c>
      <c r="D23" s="11" t="s">
        <v>1060</v>
      </c>
      <c r="E23" s="13">
        <v>38396</v>
      </c>
      <c r="F23" s="13">
        <f t="shared" si="1"/>
        <v>153584</v>
      </c>
      <c r="G23" s="13">
        <v>110220</v>
      </c>
      <c r="H23" s="13">
        <f t="shared" si="2"/>
        <v>440880</v>
      </c>
      <c r="I23" s="13">
        <v>0</v>
      </c>
      <c r="J23" s="13">
        <f t="shared" si="3"/>
        <v>0</v>
      </c>
      <c r="K23" s="13">
        <f t="shared" si="4"/>
        <v>148616</v>
      </c>
      <c r="L23" s="13">
        <f t="shared" si="0"/>
        <v>594464</v>
      </c>
      <c r="M23" s="11" t="s">
        <v>1403</v>
      </c>
    </row>
    <row r="24" spans="1:13">
      <c r="A24" s="11" t="s">
        <v>1404</v>
      </c>
      <c r="B24" s="11"/>
      <c r="C24" s="13">
        <v>12</v>
      </c>
      <c r="D24" s="11" t="s">
        <v>1060</v>
      </c>
      <c r="E24" s="13">
        <v>2424</v>
      </c>
      <c r="F24" s="13">
        <f t="shared" si="1"/>
        <v>29088</v>
      </c>
      <c r="G24" s="13">
        <v>0</v>
      </c>
      <c r="H24" s="13">
        <f t="shared" si="2"/>
        <v>0</v>
      </c>
      <c r="I24" s="13">
        <v>0</v>
      </c>
      <c r="J24" s="13">
        <f t="shared" si="3"/>
        <v>0</v>
      </c>
      <c r="K24" s="13">
        <f t="shared" si="4"/>
        <v>2424</v>
      </c>
      <c r="L24" s="13">
        <f t="shared" si="0"/>
        <v>29088</v>
      </c>
      <c r="M24" s="11"/>
    </row>
    <row r="25" spans="1:13">
      <c r="A25" s="11" t="s">
        <v>1405</v>
      </c>
      <c r="B25" s="11" t="s">
        <v>1406</v>
      </c>
      <c r="C25" s="13">
        <v>473</v>
      </c>
      <c r="D25" s="11" t="s">
        <v>240</v>
      </c>
      <c r="E25" s="13">
        <v>131</v>
      </c>
      <c r="F25" s="13">
        <f t="shared" si="1"/>
        <v>61963</v>
      </c>
      <c r="G25" s="13">
        <v>4381</v>
      </c>
      <c r="H25" s="13">
        <f t="shared" si="2"/>
        <v>2072213</v>
      </c>
      <c r="I25" s="13">
        <v>0</v>
      </c>
      <c r="J25" s="13">
        <f t="shared" si="3"/>
        <v>0</v>
      </c>
      <c r="K25" s="13">
        <f t="shared" si="4"/>
        <v>4512</v>
      </c>
      <c r="L25" s="13">
        <f t="shared" si="0"/>
        <v>2134176</v>
      </c>
      <c r="M25" s="11" t="s">
        <v>1407</v>
      </c>
    </row>
    <row r="26" spans="1:13">
      <c r="A26" s="11" t="s">
        <v>1405</v>
      </c>
      <c r="B26" s="11" t="s">
        <v>1408</v>
      </c>
      <c r="C26" s="13">
        <v>114</v>
      </c>
      <c r="D26" s="11" t="s">
        <v>240</v>
      </c>
      <c r="E26" s="13">
        <v>165</v>
      </c>
      <c r="F26" s="13">
        <f t="shared" si="1"/>
        <v>18810</v>
      </c>
      <c r="G26" s="13">
        <v>5509</v>
      </c>
      <c r="H26" s="13">
        <f t="shared" si="2"/>
        <v>628026</v>
      </c>
      <c r="I26" s="13">
        <v>0</v>
      </c>
      <c r="J26" s="13">
        <f t="shared" si="3"/>
        <v>0</v>
      </c>
      <c r="K26" s="13">
        <f t="shared" si="4"/>
        <v>5674</v>
      </c>
      <c r="L26" s="13">
        <f t="shared" si="0"/>
        <v>646836</v>
      </c>
      <c r="M26" s="11" t="s">
        <v>1409</v>
      </c>
    </row>
    <row r="27" spans="1:13">
      <c r="A27" s="11" t="s">
        <v>1405</v>
      </c>
      <c r="B27" s="11" t="s">
        <v>1410</v>
      </c>
      <c r="C27" s="13">
        <v>1520</v>
      </c>
      <c r="D27" s="11" t="s">
        <v>240</v>
      </c>
      <c r="E27" s="13">
        <v>214</v>
      </c>
      <c r="F27" s="13">
        <f t="shared" si="1"/>
        <v>325280</v>
      </c>
      <c r="G27" s="13">
        <v>7143</v>
      </c>
      <c r="H27" s="13">
        <f t="shared" si="2"/>
        <v>10857360</v>
      </c>
      <c r="I27" s="13">
        <v>0</v>
      </c>
      <c r="J27" s="13">
        <f t="shared" si="3"/>
        <v>0</v>
      </c>
      <c r="K27" s="13">
        <f t="shared" si="4"/>
        <v>7357</v>
      </c>
      <c r="L27" s="13">
        <f t="shared" si="0"/>
        <v>11182640</v>
      </c>
      <c r="M27" s="11" t="s">
        <v>1411</v>
      </c>
    </row>
    <row r="28" spans="1:13">
      <c r="A28" s="11" t="s">
        <v>1405</v>
      </c>
      <c r="B28" s="11" t="s">
        <v>1412</v>
      </c>
      <c r="C28" s="13">
        <v>102</v>
      </c>
      <c r="D28" s="11" t="s">
        <v>240</v>
      </c>
      <c r="E28" s="13">
        <v>269</v>
      </c>
      <c r="F28" s="13">
        <f t="shared" si="1"/>
        <v>27438</v>
      </c>
      <c r="G28" s="13">
        <v>8991</v>
      </c>
      <c r="H28" s="13">
        <f t="shared" si="2"/>
        <v>917082</v>
      </c>
      <c r="I28" s="13">
        <v>0</v>
      </c>
      <c r="J28" s="13">
        <f t="shared" si="3"/>
        <v>0</v>
      </c>
      <c r="K28" s="13">
        <f t="shared" si="4"/>
        <v>9260</v>
      </c>
      <c r="L28" s="13">
        <f t="shared" si="0"/>
        <v>944520</v>
      </c>
      <c r="M28" s="11" t="s">
        <v>1413</v>
      </c>
    </row>
    <row r="29" spans="1:13">
      <c r="A29" s="11" t="s">
        <v>1414</v>
      </c>
      <c r="B29" s="11" t="s">
        <v>1415</v>
      </c>
      <c r="C29" s="13">
        <v>43</v>
      </c>
      <c r="D29" s="11" t="s">
        <v>188</v>
      </c>
      <c r="E29" s="13">
        <v>622655</v>
      </c>
      <c r="F29" s="13">
        <f t="shared" si="1"/>
        <v>26774165</v>
      </c>
      <c r="G29" s="13">
        <v>88522</v>
      </c>
      <c r="H29" s="13">
        <f t="shared" si="2"/>
        <v>3806446</v>
      </c>
      <c r="I29" s="13">
        <v>0</v>
      </c>
      <c r="J29" s="13">
        <f t="shared" si="3"/>
        <v>0</v>
      </c>
      <c r="K29" s="13">
        <f t="shared" si="4"/>
        <v>711177</v>
      </c>
      <c r="L29" s="13">
        <f t="shared" si="0"/>
        <v>30580611</v>
      </c>
      <c r="M29" s="11" t="s">
        <v>1416</v>
      </c>
    </row>
    <row r="30" spans="1:13">
      <c r="A30" s="11" t="s">
        <v>1417</v>
      </c>
      <c r="B30" s="11" t="s">
        <v>1418</v>
      </c>
      <c r="C30" s="13">
        <v>2</v>
      </c>
      <c r="D30" s="11" t="s">
        <v>188</v>
      </c>
      <c r="E30" s="13">
        <v>501502</v>
      </c>
      <c r="F30" s="13">
        <f t="shared" si="1"/>
        <v>1003004</v>
      </c>
      <c r="G30" s="13">
        <v>50082</v>
      </c>
      <c r="H30" s="13">
        <f t="shared" si="2"/>
        <v>100164</v>
      </c>
      <c r="I30" s="13">
        <v>0</v>
      </c>
      <c r="J30" s="13">
        <f t="shared" si="3"/>
        <v>0</v>
      </c>
      <c r="K30" s="13">
        <f t="shared" si="4"/>
        <v>551584</v>
      </c>
      <c r="L30" s="13">
        <f t="shared" si="0"/>
        <v>1103168</v>
      </c>
      <c r="M30" s="11" t="s">
        <v>1419</v>
      </c>
    </row>
    <row r="31" spans="1:13">
      <c r="A31" s="11" t="s">
        <v>1420</v>
      </c>
      <c r="B31" s="11" t="s">
        <v>1421</v>
      </c>
      <c r="C31" s="13">
        <v>2</v>
      </c>
      <c r="D31" s="11" t="s">
        <v>188</v>
      </c>
      <c r="E31" s="13">
        <v>105637</v>
      </c>
      <c r="F31" s="13">
        <f t="shared" si="1"/>
        <v>211274</v>
      </c>
      <c r="G31" s="13">
        <v>54586</v>
      </c>
      <c r="H31" s="13">
        <f t="shared" si="2"/>
        <v>109172</v>
      </c>
      <c r="I31" s="13">
        <v>0</v>
      </c>
      <c r="J31" s="13">
        <f t="shared" si="3"/>
        <v>0</v>
      </c>
      <c r="K31" s="13">
        <f t="shared" si="4"/>
        <v>160223</v>
      </c>
      <c r="L31" s="13">
        <f t="shared" si="0"/>
        <v>320446</v>
      </c>
      <c r="M31" s="11" t="s">
        <v>1422</v>
      </c>
    </row>
    <row r="32" spans="1:13">
      <c r="A32" s="11" t="s">
        <v>1423</v>
      </c>
      <c r="B32" s="11" t="s">
        <v>1424</v>
      </c>
      <c r="C32" s="13">
        <v>43</v>
      </c>
      <c r="D32" s="11" t="s">
        <v>188</v>
      </c>
      <c r="E32" s="13">
        <v>309437</v>
      </c>
      <c r="F32" s="13">
        <f t="shared" si="1"/>
        <v>13305791</v>
      </c>
      <c r="G32" s="13">
        <v>54586</v>
      </c>
      <c r="H32" s="13">
        <f t="shared" si="2"/>
        <v>2347198</v>
      </c>
      <c r="I32" s="13">
        <v>0</v>
      </c>
      <c r="J32" s="13">
        <f t="shared" si="3"/>
        <v>0</v>
      </c>
      <c r="K32" s="13">
        <f t="shared" si="4"/>
        <v>364023</v>
      </c>
      <c r="L32" s="13">
        <f t="shared" si="0"/>
        <v>15652989</v>
      </c>
      <c r="M32" s="11" t="s">
        <v>1425</v>
      </c>
    </row>
    <row r="33" spans="1:13">
      <c r="A33" s="11" t="s">
        <v>1426</v>
      </c>
      <c r="B33" s="11" t="s">
        <v>1427</v>
      </c>
      <c r="C33" s="13">
        <v>2</v>
      </c>
      <c r="D33" s="11" t="s">
        <v>188</v>
      </c>
      <c r="E33" s="13">
        <v>6294374</v>
      </c>
      <c r="F33" s="13">
        <f t="shared" si="1"/>
        <v>12588748</v>
      </c>
      <c r="G33" s="13">
        <v>279149</v>
      </c>
      <c r="H33" s="13">
        <f t="shared" si="2"/>
        <v>558298</v>
      </c>
      <c r="I33" s="13">
        <v>0</v>
      </c>
      <c r="J33" s="13">
        <f t="shared" si="3"/>
        <v>0</v>
      </c>
      <c r="K33" s="13">
        <f t="shared" si="4"/>
        <v>6573523</v>
      </c>
      <c r="L33" s="13">
        <f t="shared" si="0"/>
        <v>13147046</v>
      </c>
      <c r="M33" s="11" t="s">
        <v>1428</v>
      </c>
    </row>
    <row r="34" spans="1:13">
      <c r="A34" s="11" t="s">
        <v>1429</v>
      </c>
      <c r="B34" s="11" t="s">
        <v>1430</v>
      </c>
      <c r="C34" s="13">
        <v>43</v>
      </c>
      <c r="D34" s="11" t="s">
        <v>188</v>
      </c>
      <c r="E34" s="13">
        <v>1500000</v>
      </c>
      <c r="F34" s="13">
        <f t="shared" si="1"/>
        <v>64500000</v>
      </c>
      <c r="G34" s="13">
        <v>0</v>
      </c>
      <c r="H34" s="13">
        <f t="shared" si="2"/>
        <v>0</v>
      </c>
      <c r="I34" s="13">
        <v>0</v>
      </c>
      <c r="J34" s="13">
        <f t="shared" si="3"/>
        <v>0</v>
      </c>
      <c r="K34" s="13">
        <f t="shared" si="4"/>
        <v>1500000</v>
      </c>
      <c r="L34" s="13">
        <f t="shared" si="0"/>
        <v>64500000</v>
      </c>
      <c r="M34" s="11"/>
    </row>
    <row r="35" spans="1:13">
      <c r="A35" s="11" t="s">
        <v>1431</v>
      </c>
      <c r="B35" s="11" t="s">
        <v>1432</v>
      </c>
      <c r="C35" s="13">
        <v>45</v>
      </c>
      <c r="D35" s="11" t="s">
        <v>188</v>
      </c>
      <c r="E35" s="13">
        <v>10351</v>
      </c>
      <c r="F35" s="13">
        <f t="shared" si="1"/>
        <v>465795</v>
      </c>
      <c r="G35" s="13">
        <v>11700</v>
      </c>
      <c r="H35" s="13">
        <f t="shared" si="2"/>
        <v>526500</v>
      </c>
      <c r="I35" s="13">
        <v>0</v>
      </c>
      <c r="J35" s="13">
        <f t="shared" si="3"/>
        <v>0</v>
      </c>
      <c r="K35" s="13">
        <f t="shared" si="4"/>
        <v>22051</v>
      </c>
      <c r="L35" s="13">
        <f t="shared" si="0"/>
        <v>992295</v>
      </c>
      <c r="M35" s="11" t="s">
        <v>1433</v>
      </c>
    </row>
    <row r="36" spans="1:13">
      <c r="A36" s="11" t="s">
        <v>1434</v>
      </c>
      <c r="B36" s="11" t="s">
        <v>1435</v>
      </c>
      <c r="C36" s="13">
        <v>2</v>
      </c>
      <c r="D36" s="11" t="s">
        <v>188</v>
      </c>
      <c r="E36" s="13">
        <v>1194545</v>
      </c>
      <c r="F36" s="13">
        <f t="shared" si="1"/>
        <v>2389090</v>
      </c>
      <c r="G36" s="13">
        <v>84839</v>
      </c>
      <c r="H36" s="13">
        <f t="shared" si="2"/>
        <v>169678</v>
      </c>
      <c r="I36" s="13">
        <v>0</v>
      </c>
      <c r="J36" s="13">
        <f t="shared" si="3"/>
        <v>0</v>
      </c>
      <c r="K36" s="13">
        <f t="shared" si="4"/>
        <v>1279384</v>
      </c>
      <c r="L36" s="13">
        <f t="shared" si="0"/>
        <v>2558768</v>
      </c>
      <c r="M36" s="11" t="s">
        <v>1436</v>
      </c>
    </row>
    <row r="37" spans="1:13">
      <c r="A37" s="11" t="s">
        <v>1437</v>
      </c>
      <c r="B37" s="11" t="s">
        <v>1438</v>
      </c>
      <c r="C37" s="13">
        <v>45</v>
      </c>
      <c r="D37" s="11" t="s">
        <v>188</v>
      </c>
      <c r="E37" s="13">
        <v>56559</v>
      </c>
      <c r="F37" s="13">
        <f t="shared" si="1"/>
        <v>2545155</v>
      </c>
      <c r="G37" s="13">
        <v>51998</v>
      </c>
      <c r="H37" s="13">
        <f t="shared" si="2"/>
        <v>2339910</v>
      </c>
      <c r="I37" s="13">
        <v>0</v>
      </c>
      <c r="J37" s="13">
        <f t="shared" si="3"/>
        <v>0</v>
      </c>
      <c r="K37" s="13">
        <f t="shared" si="4"/>
        <v>108557</v>
      </c>
      <c r="L37" s="13">
        <f t="shared" si="0"/>
        <v>4885065</v>
      </c>
      <c r="M37" s="11" t="s">
        <v>1439</v>
      </c>
    </row>
    <row r="38" spans="1:13">
      <c r="A38" s="11" t="s">
        <v>1437</v>
      </c>
      <c r="B38" s="11" t="s">
        <v>1440</v>
      </c>
      <c r="C38" s="13">
        <v>34</v>
      </c>
      <c r="D38" s="11" t="s">
        <v>188</v>
      </c>
      <c r="E38" s="13">
        <v>15000</v>
      </c>
      <c r="F38" s="13">
        <f t="shared" si="1"/>
        <v>510000</v>
      </c>
      <c r="G38" s="13">
        <v>0</v>
      </c>
      <c r="H38" s="13">
        <f t="shared" si="2"/>
        <v>0</v>
      </c>
      <c r="I38" s="13">
        <v>0</v>
      </c>
      <c r="J38" s="13">
        <f t="shared" si="3"/>
        <v>0</v>
      </c>
      <c r="K38" s="13">
        <f t="shared" si="4"/>
        <v>15000</v>
      </c>
      <c r="L38" s="13">
        <f t="shared" si="0"/>
        <v>510000</v>
      </c>
      <c r="M38" s="11"/>
    </row>
    <row r="39" spans="1:13">
      <c r="A39" s="11" t="s">
        <v>1441</v>
      </c>
      <c r="B39" s="11" t="s">
        <v>1442</v>
      </c>
      <c r="C39" s="13">
        <v>21</v>
      </c>
      <c r="D39" s="11" t="s">
        <v>1443</v>
      </c>
      <c r="E39" s="13">
        <v>14230</v>
      </c>
      <c r="F39" s="13">
        <f t="shared" si="1"/>
        <v>298830</v>
      </c>
      <c r="G39" s="13">
        <v>56783</v>
      </c>
      <c r="H39" s="13">
        <f t="shared" si="2"/>
        <v>1192443</v>
      </c>
      <c r="I39" s="13">
        <v>16378</v>
      </c>
      <c r="J39" s="13">
        <f t="shared" si="3"/>
        <v>343938</v>
      </c>
      <c r="K39" s="13">
        <f t="shared" si="4"/>
        <v>87391</v>
      </c>
      <c r="L39" s="13">
        <f t="shared" si="0"/>
        <v>1835211</v>
      </c>
      <c r="M39" s="11"/>
    </row>
    <row r="40" spans="1:13">
      <c r="A40" s="11" t="s">
        <v>1444</v>
      </c>
      <c r="B40" s="11" t="s">
        <v>1445</v>
      </c>
      <c r="C40" s="13">
        <v>2</v>
      </c>
      <c r="D40" s="11" t="s">
        <v>188</v>
      </c>
      <c r="E40" s="13">
        <v>141637</v>
      </c>
      <c r="F40" s="13">
        <f t="shared" si="1"/>
        <v>283274</v>
      </c>
      <c r="G40" s="13">
        <v>54586</v>
      </c>
      <c r="H40" s="13">
        <f t="shared" si="2"/>
        <v>109172</v>
      </c>
      <c r="I40" s="13">
        <v>0</v>
      </c>
      <c r="J40" s="13">
        <f t="shared" si="3"/>
        <v>0</v>
      </c>
      <c r="K40" s="13">
        <f t="shared" si="4"/>
        <v>196223</v>
      </c>
      <c r="L40" s="13">
        <f t="shared" si="0"/>
        <v>392446</v>
      </c>
      <c r="M40" s="11" t="s">
        <v>1446</v>
      </c>
    </row>
    <row r="41" spans="1:13">
      <c r="A41" s="11" t="s">
        <v>1447</v>
      </c>
      <c r="B41" s="11" t="s">
        <v>1448</v>
      </c>
      <c r="C41" s="13">
        <v>6</v>
      </c>
      <c r="D41" s="11" t="s">
        <v>188</v>
      </c>
      <c r="E41" s="13">
        <v>444509</v>
      </c>
      <c r="F41" s="13">
        <f t="shared" si="1"/>
        <v>2667054</v>
      </c>
      <c r="G41" s="13">
        <v>150304</v>
      </c>
      <c r="H41" s="13">
        <f t="shared" si="2"/>
        <v>901824</v>
      </c>
      <c r="I41" s="13">
        <v>0</v>
      </c>
      <c r="J41" s="13">
        <f t="shared" si="3"/>
        <v>0</v>
      </c>
      <c r="K41" s="13">
        <f t="shared" si="4"/>
        <v>594813</v>
      </c>
      <c r="L41" s="13">
        <f t="shared" si="0"/>
        <v>3568878</v>
      </c>
      <c r="M41" s="11" t="s">
        <v>1449</v>
      </c>
    </row>
    <row r="42" spans="1:13">
      <c r="A42" s="11" t="s">
        <v>1450</v>
      </c>
      <c r="B42" s="11" t="s">
        <v>1451</v>
      </c>
      <c r="C42" s="13">
        <v>6</v>
      </c>
      <c r="D42" s="11" t="s">
        <v>188</v>
      </c>
      <c r="E42" s="13">
        <v>280000</v>
      </c>
      <c r="F42" s="13">
        <f t="shared" si="1"/>
        <v>1680000</v>
      </c>
      <c r="G42" s="13">
        <v>0</v>
      </c>
      <c r="H42" s="13">
        <f t="shared" si="2"/>
        <v>0</v>
      </c>
      <c r="I42" s="13">
        <v>0</v>
      </c>
      <c r="J42" s="13">
        <f t="shared" si="3"/>
        <v>0</v>
      </c>
      <c r="K42" s="13">
        <f t="shared" si="4"/>
        <v>280000</v>
      </c>
      <c r="L42" s="13">
        <f t="shared" si="0"/>
        <v>1680000</v>
      </c>
      <c r="M42" s="11"/>
    </row>
    <row r="43" spans="1:13">
      <c r="A43" s="19" t="s">
        <v>1452</v>
      </c>
      <c r="B43" s="21"/>
      <c r="C43" s="21"/>
      <c r="D43" s="21"/>
      <c r="E43" s="21"/>
      <c r="F43" s="22">
        <f>SUM(F44:F75)</f>
        <v>59717269</v>
      </c>
      <c r="G43" s="21"/>
      <c r="H43" s="22">
        <f>SUM(H44:H75)</f>
        <v>22970860</v>
      </c>
      <c r="I43" s="21"/>
      <c r="J43" s="22">
        <f>SUM(J44:J75)</f>
        <v>983343</v>
      </c>
      <c r="K43" s="21"/>
      <c r="L43" s="22">
        <f t="shared" si="0"/>
        <v>83671472</v>
      </c>
      <c r="M43" s="21"/>
    </row>
    <row r="44" spans="1:13">
      <c r="A44" s="11" t="s">
        <v>1355</v>
      </c>
      <c r="B44" s="11" t="s">
        <v>1356</v>
      </c>
      <c r="C44" s="13">
        <v>558</v>
      </c>
      <c r="D44" s="11" t="s">
        <v>240</v>
      </c>
      <c r="E44" s="13">
        <v>945</v>
      </c>
      <c r="F44" s="13">
        <f t="shared" ref="F44:F75" si="5">ROUND(E44*C44,0)</f>
        <v>527310</v>
      </c>
      <c r="G44" s="13">
        <v>9002</v>
      </c>
      <c r="H44" s="13">
        <f t="shared" ref="H44:H75" si="6">ROUND(G44*C44,0)</f>
        <v>5023116</v>
      </c>
      <c r="I44" s="13">
        <v>0</v>
      </c>
      <c r="J44" s="13">
        <f t="shared" ref="J44:J75" si="7">ROUND(I44*C44,0)</f>
        <v>0</v>
      </c>
      <c r="K44" s="13">
        <f t="shared" ref="K44:K75" si="8">E44+G44+I44</f>
        <v>9947</v>
      </c>
      <c r="L44" s="13">
        <f t="shared" si="0"/>
        <v>5550426</v>
      </c>
      <c r="M44" s="11" t="s">
        <v>1357</v>
      </c>
    </row>
    <row r="45" spans="1:13">
      <c r="A45" s="11" t="s">
        <v>1360</v>
      </c>
      <c r="B45" s="11" t="s">
        <v>1361</v>
      </c>
      <c r="C45" s="13">
        <v>528</v>
      </c>
      <c r="D45" s="11" t="s">
        <v>240</v>
      </c>
      <c r="E45" s="13">
        <v>1879</v>
      </c>
      <c r="F45" s="13">
        <f t="shared" si="5"/>
        <v>992112</v>
      </c>
      <c r="G45" s="13">
        <v>2463</v>
      </c>
      <c r="H45" s="13">
        <f t="shared" si="6"/>
        <v>1300464</v>
      </c>
      <c r="I45" s="13">
        <v>0</v>
      </c>
      <c r="J45" s="13">
        <f t="shared" si="7"/>
        <v>0</v>
      </c>
      <c r="K45" s="13">
        <f t="shared" si="8"/>
        <v>4342</v>
      </c>
      <c r="L45" s="13">
        <f t="shared" si="0"/>
        <v>2292576</v>
      </c>
      <c r="M45" s="11" t="s">
        <v>1362</v>
      </c>
    </row>
    <row r="46" spans="1:13">
      <c r="A46" s="11" t="s">
        <v>1363</v>
      </c>
      <c r="B46" s="11" t="s">
        <v>1366</v>
      </c>
      <c r="C46" s="13">
        <v>19</v>
      </c>
      <c r="D46" s="11" t="s">
        <v>240</v>
      </c>
      <c r="E46" s="13">
        <v>4094</v>
      </c>
      <c r="F46" s="13">
        <f t="shared" si="5"/>
        <v>77786</v>
      </c>
      <c r="G46" s="13">
        <v>2873</v>
      </c>
      <c r="H46" s="13">
        <f t="shared" si="6"/>
        <v>54587</v>
      </c>
      <c r="I46" s="13">
        <v>0</v>
      </c>
      <c r="J46" s="13">
        <f t="shared" si="7"/>
        <v>0</v>
      </c>
      <c r="K46" s="13">
        <f t="shared" si="8"/>
        <v>6967</v>
      </c>
      <c r="L46" s="13">
        <f t="shared" si="0"/>
        <v>132373</v>
      </c>
      <c r="M46" s="11" t="s">
        <v>1367</v>
      </c>
    </row>
    <row r="47" spans="1:13">
      <c r="A47" s="11" t="s">
        <v>1368</v>
      </c>
      <c r="B47" s="11" t="s">
        <v>1369</v>
      </c>
      <c r="C47" s="13">
        <v>132</v>
      </c>
      <c r="D47" s="11" t="s">
        <v>240</v>
      </c>
      <c r="E47" s="13">
        <v>2116</v>
      </c>
      <c r="F47" s="13">
        <f t="shared" si="5"/>
        <v>279312</v>
      </c>
      <c r="G47" s="13">
        <v>4258</v>
      </c>
      <c r="H47" s="13">
        <f t="shared" si="6"/>
        <v>562056</v>
      </c>
      <c r="I47" s="13">
        <v>0</v>
      </c>
      <c r="J47" s="13">
        <f t="shared" si="7"/>
        <v>0</v>
      </c>
      <c r="K47" s="13">
        <f t="shared" si="8"/>
        <v>6374</v>
      </c>
      <c r="L47" s="13">
        <f t="shared" si="0"/>
        <v>841368</v>
      </c>
      <c r="M47" s="11" t="s">
        <v>1370</v>
      </c>
    </row>
    <row r="48" spans="1:13">
      <c r="A48" s="11" t="s">
        <v>1371</v>
      </c>
      <c r="B48" s="11" t="s">
        <v>1453</v>
      </c>
      <c r="C48" s="13">
        <v>109</v>
      </c>
      <c r="D48" s="11" t="s">
        <v>240</v>
      </c>
      <c r="E48" s="13">
        <v>2907</v>
      </c>
      <c r="F48" s="13">
        <f t="shared" si="5"/>
        <v>316863</v>
      </c>
      <c r="G48" s="13">
        <v>0</v>
      </c>
      <c r="H48" s="13">
        <f t="shared" si="6"/>
        <v>0</v>
      </c>
      <c r="I48" s="13">
        <v>0</v>
      </c>
      <c r="J48" s="13">
        <f t="shared" si="7"/>
        <v>0</v>
      </c>
      <c r="K48" s="13">
        <f t="shared" si="8"/>
        <v>2907</v>
      </c>
      <c r="L48" s="13">
        <f t="shared" si="0"/>
        <v>316863</v>
      </c>
      <c r="M48" s="11"/>
    </row>
    <row r="49" spans="1:13">
      <c r="A49" s="11" t="s">
        <v>1371</v>
      </c>
      <c r="B49" s="11" t="s">
        <v>1454</v>
      </c>
      <c r="C49" s="13">
        <v>105</v>
      </c>
      <c r="D49" s="11" t="s">
        <v>240</v>
      </c>
      <c r="E49" s="13">
        <v>6915</v>
      </c>
      <c r="F49" s="13">
        <f t="shared" si="5"/>
        <v>726075</v>
      </c>
      <c r="G49" s="13">
        <v>0</v>
      </c>
      <c r="H49" s="13">
        <f t="shared" si="6"/>
        <v>0</v>
      </c>
      <c r="I49" s="13">
        <v>0</v>
      </c>
      <c r="J49" s="13">
        <f t="shared" si="7"/>
        <v>0</v>
      </c>
      <c r="K49" s="13">
        <f t="shared" si="8"/>
        <v>6915</v>
      </c>
      <c r="L49" s="13">
        <f t="shared" si="0"/>
        <v>726075</v>
      </c>
      <c r="M49" s="11"/>
    </row>
    <row r="50" spans="1:13">
      <c r="A50" s="11" t="s">
        <v>1371</v>
      </c>
      <c r="B50" s="11" t="s">
        <v>1455</v>
      </c>
      <c r="C50" s="13">
        <v>387</v>
      </c>
      <c r="D50" s="11" t="s">
        <v>240</v>
      </c>
      <c r="E50" s="13">
        <v>5058</v>
      </c>
      <c r="F50" s="13">
        <f t="shared" si="5"/>
        <v>1957446</v>
      </c>
      <c r="G50" s="13">
        <v>0</v>
      </c>
      <c r="H50" s="13">
        <f t="shared" si="6"/>
        <v>0</v>
      </c>
      <c r="I50" s="13">
        <v>0</v>
      </c>
      <c r="J50" s="13">
        <f t="shared" si="7"/>
        <v>0</v>
      </c>
      <c r="K50" s="13">
        <f t="shared" si="8"/>
        <v>5058</v>
      </c>
      <c r="L50" s="13">
        <f t="shared" si="0"/>
        <v>1957446</v>
      </c>
      <c r="M50" s="11"/>
    </row>
    <row r="51" spans="1:13">
      <c r="A51" s="11" t="s">
        <v>1376</v>
      </c>
      <c r="B51" s="11" t="s">
        <v>1377</v>
      </c>
      <c r="C51" s="13">
        <v>27</v>
      </c>
      <c r="D51" s="11" t="s">
        <v>188</v>
      </c>
      <c r="E51" s="13">
        <v>7096</v>
      </c>
      <c r="F51" s="13">
        <f t="shared" si="5"/>
        <v>191592</v>
      </c>
      <c r="G51" s="13">
        <v>43869</v>
      </c>
      <c r="H51" s="13">
        <f t="shared" si="6"/>
        <v>1184463</v>
      </c>
      <c r="I51" s="13">
        <v>0</v>
      </c>
      <c r="J51" s="13">
        <f t="shared" si="7"/>
        <v>0</v>
      </c>
      <c r="K51" s="13">
        <f t="shared" si="8"/>
        <v>50965</v>
      </c>
      <c r="L51" s="13">
        <f t="shared" si="0"/>
        <v>1376055</v>
      </c>
      <c r="M51" s="11" t="s">
        <v>1378</v>
      </c>
    </row>
    <row r="52" spans="1:13">
      <c r="A52" s="11" t="s">
        <v>1379</v>
      </c>
      <c r="B52" s="11" t="s">
        <v>1380</v>
      </c>
      <c r="C52" s="13">
        <v>8</v>
      </c>
      <c r="D52" s="11" t="s">
        <v>188</v>
      </c>
      <c r="E52" s="13">
        <v>721</v>
      </c>
      <c r="F52" s="13">
        <f t="shared" si="5"/>
        <v>5768</v>
      </c>
      <c r="G52" s="13">
        <v>7389</v>
      </c>
      <c r="H52" s="13">
        <f t="shared" si="6"/>
        <v>59112</v>
      </c>
      <c r="I52" s="13">
        <v>0</v>
      </c>
      <c r="J52" s="13">
        <f t="shared" si="7"/>
        <v>0</v>
      </c>
      <c r="K52" s="13">
        <f t="shared" si="8"/>
        <v>8110</v>
      </c>
      <c r="L52" s="13">
        <f t="shared" si="0"/>
        <v>64880</v>
      </c>
      <c r="M52" s="11" t="s">
        <v>1381</v>
      </c>
    </row>
    <row r="53" spans="1:13">
      <c r="A53" s="11" t="s">
        <v>1382</v>
      </c>
      <c r="B53" s="11" t="s">
        <v>1383</v>
      </c>
      <c r="C53" s="13">
        <v>498</v>
      </c>
      <c r="D53" s="11" t="s">
        <v>240</v>
      </c>
      <c r="E53" s="13">
        <v>187</v>
      </c>
      <c r="F53" s="13">
        <f t="shared" si="5"/>
        <v>93126</v>
      </c>
      <c r="G53" s="13">
        <v>237</v>
      </c>
      <c r="H53" s="13">
        <f t="shared" si="6"/>
        <v>118026</v>
      </c>
      <c r="I53" s="13">
        <v>0</v>
      </c>
      <c r="J53" s="13">
        <f t="shared" si="7"/>
        <v>0</v>
      </c>
      <c r="K53" s="13">
        <f t="shared" si="8"/>
        <v>424</v>
      </c>
      <c r="L53" s="13">
        <f t="shared" si="0"/>
        <v>211152</v>
      </c>
      <c r="M53" s="11" t="s">
        <v>1384</v>
      </c>
    </row>
    <row r="54" spans="1:13">
      <c r="A54" s="11" t="s">
        <v>1385</v>
      </c>
      <c r="B54" s="11" t="s">
        <v>1456</v>
      </c>
      <c r="C54" s="13">
        <v>4</v>
      </c>
      <c r="D54" s="11" t="s">
        <v>188</v>
      </c>
      <c r="E54" s="13">
        <v>1086</v>
      </c>
      <c r="F54" s="13">
        <f t="shared" si="5"/>
        <v>4344</v>
      </c>
      <c r="G54" s="13">
        <v>29563</v>
      </c>
      <c r="H54" s="13">
        <f t="shared" si="6"/>
        <v>118252</v>
      </c>
      <c r="I54" s="13">
        <v>0</v>
      </c>
      <c r="J54" s="13">
        <f t="shared" si="7"/>
        <v>0</v>
      </c>
      <c r="K54" s="13">
        <f t="shared" si="8"/>
        <v>30649</v>
      </c>
      <c r="L54" s="13">
        <f t="shared" si="0"/>
        <v>122596</v>
      </c>
      <c r="M54" s="11" t="s">
        <v>1457</v>
      </c>
    </row>
    <row r="55" spans="1:13">
      <c r="A55" s="11" t="s">
        <v>1385</v>
      </c>
      <c r="B55" s="11" t="s">
        <v>1386</v>
      </c>
      <c r="C55" s="13">
        <v>4</v>
      </c>
      <c r="D55" s="11" t="s">
        <v>188</v>
      </c>
      <c r="E55" s="13">
        <v>1343</v>
      </c>
      <c r="F55" s="13">
        <f t="shared" si="5"/>
        <v>5372</v>
      </c>
      <c r="G55" s="13">
        <v>36133</v>
      </c>
      <c r="H55" s="13">
        <f t="shared" si="6"/>
        <v>144532</v>
      </c>
      <c r="I55" s="13">
        <v>0</v>
      </c>
      <c r="J55" s="13">
        <f t="shared" si="7"/>
        <v>0</v>
      </c>
      <c r="K55" s="13">
        <f t="shared" si="8"/>
        <v>37476</v>
      </c>
      <c r="L55" s="13">
        <f t="shared" si="0"/>
        <v>149904</v>
      </c>
      <c r="M55" s="11" t="s">
        <v>1387</v>
      </c>
    </row>
    <row r="56" spans="1:13">
      <c r="A56" s="11" t="s">
        <v>1388</v>
      </c>
      <c r="B56" s="11" t="s">
        <v>1389</v>
      </c>
      <c r="C56" s="13">
        <v>21</v>
      </c>
      <c r="D56" s="11" t="s">
        <v>25</v>
      </c>
      <c r="E56" s="13">
        <v>11653</v>
      </c>
      <c r="F56" s="13">
        <f t="shared" si="5"/>
        <v>244713</v>
      </c>
      <c r="G56" s="13">
        <v>117311</v>
      </c>
      <c r="H56" s="13">
        <f t="shared" si="6"/>
        <v>2463531</v>
      </c>
      <c r="I56" s="13">
        <v>31713</v>
      </c>
      <c r="J56" s="13">
        <f t="shared" si="7"/>
        <v>665973</v>
      </c>
      <c r="K56" s="13">
        <f t="shared" si="8"/>
        <v>160677</v>
      </c>
      <c r="L56" s="13">
        <f t="shared" si="0"/>
        <v>3374217</v>
      </c>
      <c r="M56" s="11" t="s">
        <v>1390</v>
      </c>
    </row>
    <row r="57" spans="1:13">
      <c r="A57" s="11" t="s">
        <v>1393</v>
      </c>
      <c r="B57" s="11" t="s">
        <v>1394</v>
      </c>
      <c r="C57" s="24">
        <v>176.48</v>
      </c>
      <c r="D57" s="11" t="s">
        <v>108</v>
      </c>
      <c r="E57" s="13">
        <v>501</v>
      </c>
      <c r="F57" s="13">
        <f t="shared" si="5"/>
        <v>88416</v>
      </c>
      <c r="G57" s="13">
        <v>4659</v>
      </c>
      <c r="H57" s="13">
        <f t="shared" si="6"/>
        <v>822220</v>
      </c>
      <c r="I57" s="13">
        <v>483</v>
      </c>
      <c r="J57" s="13">
        <f t="shared" si="7"/>
        <v>85240</v>
      </c>
      <c r="K57" s="13">
        <f t="shared" si="8"/>
        <v>5643</v>
      </c>
      <c r="L57" s="13">
        <f t="shared" si="0"/>
        <v>995876</v>
      </c>
      <c r="M57" s="11" t="s">
        <v>1395</v>
      </c>
    </row>
    <row r="58" spans="1:13">
      <c r="A58" s="11" t="s">
        <v>1396</v>
      </c>
      <c r="B58" s="11" t="s">
        <v>1394</v>
      </c>
      <c r="C58" s="24">
        <v>175.42</v>
      </c>
      <c r="D58" s="11" t="s">
        <v>108</v>
      </c>
      <c r="E58" s="13">
        <v>449</v>
      </c>
      <c r="F58" s="13">
        <f t="shared" si="5"/>
        <v>78764</v>
      </c>
      <c r="G58" s="13">
        <v>2939</v>
      </c>
      <c r="H58" s="13">
        <f t="shared" si="6"/>
        <v>515559</v>
      </c>
      <c r="I58" s="13">
        <v>483</v>
      </c>
      <c r="J58" s="13">
        <f t="shared" si="7"/>
        <v>84728</v>
      </c>
      <c r="K58" s="13">
        <f t="shared" si="8"/>
        <v>3871</v>
      </c>
      <c r="L58" s="13">
        <f t="shared" si="0"/>
        <v>679051</v>
      </c>
      <c r="M58" s="11" t="s">
        <v>1397</v>
      </c>
    </row>
    <row r="59" spans="1:13">
      <c r="A59" s="11" t="s">
        <v>1398</v>
      </c>
      <c r="B59" s="11" t="s">
        <v>1399</v>
      </c>
      <c r="C59" s="24">
        <v>1.06</v>
      </c>
      <c r="D59" s="11" t="s">
        <v>108</v>
      </c>
      <c r="E59" s="13">
        <v>1032</v>
      </c>
      <c r="F59" s="13">
        <f t="shared" si="5"/>
        <v>1094</v>
      </c>
      <c r="G59" s="13">
        <v>34413</v>
      </c>
      <c r="H59" s="13">
        <f t="shared" si="6"/>
        <v>36478</v>
      </c>
      <c r="I59" s="13">
        <v>0</v>
      </c>
      <c r="J59" s="13">
        <f t="shared" si="7"/>
        <v>0</v>
      </c>
      <c r="K59" s="13">
        <f t="shared" si="8"/>
        <v>35445</v>
      </c>
      <c r="L59" s="13">
        <f t="shared" si="0"/>
        <v>37572</v>
      </c>
      <c r="M59" s="11" t="s">
        <v>1400</v>
      </c>
    </row>
    <row r="60" spans="1:13">
      <c r="A60" s="11" t="s">
        <v>1401</v>
      </c>
      <c r="B60" s="11" t="s">
        <v>1402</v>
      </c>
      <c r="C60" s="13">
        <v>2</v>
      </c>
      <c r="D60" s="11" t="s">
        <v>1060</v>
      </c>
      <c r="E60" s="13">
        <v>38396</v>
      </c>
      <c r="F60" s="13">
        <f t="shared" si="5"/>
        <v>76792</v>
      </c>
      <c r="G60" s="13">
        <v>110220</v>
      </c>
      <c r="H60" s="13">
        <f t="shared" si="6"/>
        <v>220440</v>
      </c>
      <c r="I60" s="13">
        <v>0</v>
      </c>
      <c r="J60" s="13">
        <f t="shared" si="7"/>
        <v>0</v>
      </c>
      <c r="K60" s="13">
        <f t="shared" si="8"/>
        <v>148616</v>
      </c>
      <c r="L60" s="13">
        <f t="shared" si="0"/>
        <v>297232</v>
      </c>
      <c r="M60" s="11" t="s">
        <v>1403</v>
      </c>
    </row>
    <row r="61" spans="1:13">
      <c r="A61" s="11" t="s">
        <v>1404</v>
      </c>
      <c r="B61" s="11"/>
      <c r="C61" s="13">
        <v>6</v>
      </c>
      <c r="D61" s="11" t="s">
        <v>1060</v>
      </c>
      <c r="E61" s="13">
        <v>2424</v>
      </c>
      <c r="F61" s="13">
        <f t="shared" si="5"/>
        <v>14544</v>
      </c>
      <c r="G61" s="13">
        <v>0</v>
      </c>
      <c r="H61" s="13">
        <f t="shared" si="6"/>
        <v>0</v>
      </c>
      <c r="I61" s="13">
        <v>0</v>
      </c>
      <c r="J61" s="13">
        <f t="shared" si="7"/>
        <v>0</v>
      </c>
      <c r="K61" s="13">
        <f t="shared" si="8"/>
        <v>2424</v>
      </c>
      <c r="L61" s="13">
        <f t="shared" si="0"/>
        <v>14544</v>
      </c>
      <c r="M61" s="11"/>
    </row>
    <row r="62" spans="1:13">
      <c r="A62" s="11" t="s">
        <v>1405</v>
      </c>
      <c r="B62" s="11" t="s">
        <v>1458</v>
      </c>
      <c r="C62" s="13">
        <v>106</v>
      </c>
      <c r="D62" s="11" t="s">
        <v>240</v>
      </c>
      <c r="E62" s="13">
        <v>125</v>
      </c>
      <c r="F62" s="13">
        <f t="shared" si="5"/>
        <v>13250</v>
      </c>
      <c r="G62" s="13">
        <v>4181</v>
      </c>
      <c r="H62" s="13">
        <f t="shared" si="6"/>
        <v>443186</v>
      </c>
      <c r="I62" s="13">
        <v>0</v>
      </c>
      <c r="J62" s="13">
        <f t="shared" si="7"/>
        <v>0</v>
      </c>
      <c r="K62" s="13">
        <f t="shared" si="8"/>
        <v>4306</v>
      </c>
      <c r="L62" s="13">
        <f t="shared" si="0"/>
        <v>456436</v>
      </c>
      <c r="M62" s="11" t="s">
        <v>1459</v>
      </c>
    </row>
    <row r="63" spans="1:13">
      <c r="A63" s="11" t="s">
        <v>1405</v>
      </c>
      <c r="B63" s="11" t="s">
        <v>1460</v>
      </c>
      <c r="C63" s="13">
        <v>114</v>
      </c>
      <c r="D63" s="11" t="s">
        <v>240</v>
      </c>
      <c r="E63" s="13">
        <v>143</v>
      </c>
      <c r="F63" s="13">
        <f t="shared" si="5"/>
        <v>16302</v>
      </c>
      <c r="G63" s="13">
        <v>4776</v>
      </c>
      <c r="H63" s="13">
        <f t="shared" si="6"/>
        <v>544464</v>
      </c>
      <c r="I63" s="13">
        <v>0</v>
      </c>
      <c r="J63" s="13">
        <f t="shared" si="7"/>
        <v>0</v>
      </c>
      <c r="K63" s="13">
        <f t="shared" si="8"/>
        <v>4919</v>
      </c>
      <c r="L63" s="13">
        <f t="shared" si="0"/>
        <v>560766</v>
      </c>
      <c r="M63" s="11" t="s">
        <v>1461</v>
      </c>
    </row>
    <row r="64" spans="1:13">
      <c r="A64" s="11" t="s">
        <v>1405</v>
      </c>
      <c r="B64" s="11" t="s">
        <v>1462</v>
      </c>
      <c r="C64" s="13">
        <v>376</v>
      </c>
      <c r="D64" s="11" t="s">
        <v>240</v>
      </c>
      <c r="E64" s="13">
        <v>204</v>
      </c>
      <c r="F64" s="13">
        <f t="shared" si="5"/>
        <v>76704</v>
      </c>
      <c r="G64" s="13">
        <v>6819</v>
      </c>
      <c r="H64" s="13">
        <f t="shared" si="6"/>
        <v>2563944</v>
      </c>
      <c r="I64" s="13">
        <v>0</v>
      </c>
      <c r="J64" s="13">
        <f t="shared" si="7"/>
        <v>0</v>
      </c>
      <c r="K64" s="13">
        <f t="shared" si="8"/>
        <v>7023</v>
      </c>
      <c r="L64" s="13">
        <f t="shared" si="0"/>
        <v>2640648</v>
      </c>
      <c r="M64" s="11" t="s">
        <v>1463</v>
      </c>
    </row>
    <row r="65" spans="1:13">
      <c r="A65" s="11" t="s">
        <v>1417</v>
      </c>
      <c r="B65" s="11" t="s">
        <v>1418</v>
      </c>
      <c r="C65" s="13">
        <v>21</v>
      </c>
      <c r="D65" s="11" t="s">
        <v>188</v>
      </c>
      <c r="E65" s="13">
        <v>501502</v>
      </c>
      <c r="F65" s="13">
        <f t="shared" si="5"/>
        <v>10531542</v>
      </c>
      <c r="G65" s="13">
        <v>50082</v>
      </c>
      <c r="H65" s="13">
        <f t="shared" si="6"/>
        <v>1051722</v>
      </c>
      <c r="I65" s="13">
        <v>0</v>
      </c>
      <c r="J65" s="13">
        <f t="shared" si="7"/>
        <v>0</v>
      </c>
      <c r="K65" s="13">
        <f t="shared" si="8"/>
        <v>551584</v>
      </c>
      <c r="L65" s="13">
        <f t="shared" si="0"/>
        <v>11583264</v>
      </c>
      <c r="M65" s="11" t="s">
        <v>1419</v>
      </c>
    </row>
    <row r="66" spans="1:13">
      <c r="A66" s="11" t="s">
        <v>1420</v>
      </c>
      <c r="B66" s="11" t="s">
        <v>1421</v>
      </c>
      <c r="C66" s="13">
        <v>21</v>
      </c>
      <c r="D66" s="11" t="s">
        <v>188</v>
      </c>
      <c r="E66" s="13">
        <v>105637</v>
      </c>
      <c r="F66" s="13">
        <f t="shared" si="5"/>
        <v>2218377</v>
      </c>
      <c r="G66" s="13">
        <v>54586</v>
      </c>
      <c r="H66" s="13">
        <f t="shared" si="6"/>
        <v>1146306</v>
      </c>
      <c r="I66" s="13">
        <v>0</v>
      </c>
      <c r="J66" s="13">
        <f t="shared" si="7"/>
        <v>0</v>
      </c>
      <c r="K66" s="13">
        <f t="shared" si="8"/>
        <v>160223</v>
      </c>
      <c r="L66" s="13">
        <f t="shared" si="0"/>
        <v>3364683</v>
      </c>
      <c r="M66" s="11" t="s">
        <v>1422</v>
      </c>
    </row>
    <row r="67" spans="1:13">
      <c r="A67" s="11" t="s">
        <v>1426</v>
      </c>
      <c r="B67" s="11" t="s">
        <v>1427</v>
      </c>
      <c r="C67" s="13">
        <v>2</v>
      </c>
      <c r="D67" s="11" t="s">
        <v>188</v>
      </c>
      <c r="E67" s="13">
        <v>6294374</v>
      </c>
      <c r="F67" s="13">
        <f t="shared" si="5"/>
        <v>12588748</v>
      </c>
      <c r="G67" s="13">
        <v>279149</v>
      </c>
      <c r="H67" s="13">
        <f t="shared" si="6"/>
        <v>558298</v>
      </c>
      <c r="I67" s="13">
        <v>0</v>
      </c>
      <c r="J67" s="13">
        <f t="shared" si="7"/>
        <v>0</v>
      </c>
      <c r="K67" s="13">
        <f t="shared" si="8"/>
        <v>6573523</v>
      </c>
      <c r="L67" s="13">
        <f t="shared" ref="L67:L130" si="9">F67+H67+J67</f>
        <v>13147046</v>
      </c>
      <c r="M67" s="11" t="s">
        <v>1428</v>
      </c>
    </row>
    <row r="68" spans="1:13">
      <c r="A68" s="11" t="s">
        <v>1431</v>
      </c>
      <c r="B68" s="11" t="s">
        <v>1432</v>
      </c>
      <c r="C68" s="13">
        <v>21</v>
      </c>
      <c r="D68" s="11" t="s">
        <v>188</v>
      </c>
      <c r="E68" s="13">
        <v>10351</v>
      </c>
      <c r="F68" s="13">
        <f t="shared" si="5"/>
        <v>217371</v>
      </c>
      <c r="G68" s="13">
        <v>11700</v>
      </c>
      <c r="H68" s="13">
        <f t="shared" si="6"/>
        <v>245700</v>
      </c>
      <c r="I68" s="13">
        <v>0</v>
      </c>
      <c r="J68" s="13">
        <f t="shared" si="7"/>
        <v>0</v>
      </c>
      <c r="K68" s="13">
        <f t="shared" si="8"/>
        <v>22051</v>
      </c>
      <c r="L68" s="13">
        <f t="shared" si="9"/>
        <v>463071</v>
      </c>
      <c r="M68" s="11" t="s">
        <v>1433</v>
      </c>
    </row>
    <row r="69" spans="1:13">
      <c r="A69" s="11" t="s">
        <v>1434</v>
      </c>
      <c r="B69" s="11" t="s">
        <v>1435</v>
      </c>
      <c r="C69" s="13">
        <v>21</v>
      </c>
      <c r="D69" s="11" t="s">
        <v>188</v>
      </c>
      <c r="E69" s="13">
        <v>1194545</v>
      </c>
      <c r="F69" s="13">
        <f t="shared" si="5"/>
        <v>25085445</v>
      </c>
      <c r="G69" s="13">
        <v>84839</v>
      </c>
      <c r="H69" s="13">
        <f t="shared" si="6"/>
        <v>1781619</v>
      </c>
      <c r="I69" s="13">
        <v>0</v>
      </c>
      <c r="J69" s="13">
        <f t="shared" si="7"/>
        <v>0</v>
      </c>
      <c r="K69" s="13">
        <f t="shared" si="8"/>
        <v>1279384</v>
      </c>
      <c r="L69" s="13">
        <f t="shared" si="9"/>
        <v>26867064</v>
      </c>
      <c r="M69" s="11" t="s">
        <v>1436</v>
      </c>
    </row>
    <row r="70" spans="1:13">
      <c r="A70" s="11" t="s">
        <v>1437</v>
      </c>
      <c r="B70" s="11" t="s">
        <v>1438</v>
      </c>
      <c r="C70" s="13">
        <v>21</v>
      </c>
      <c r="D70" s="11" t="s">
        <v>188</v>
      </c>
      <c r="E70" s="13">
        <v>56559</v>
      </c>
      <c r="F70" s="13">
        <f t="shared" si="5"/>
        <v>1187739</v>
      </c>
      <c r="G70" s="13">
        <v>51998</v>
      </c>
      <c r="H70" s="13">
        <f t="shared" si="6"/>
        <v>1091958</v>
      </c>
      <c r="I70" s="13">
        <v>0</v>
      </c>
      <c r="J70" s="13">
        <f t="shared" si="7"/>
        <v>0</v>
      </c>
      <c r="K70" s="13">
        <f t="shared" si="8"/>
        <v>108557</v>
      </c>
      <c r="L70" s="13">
        <f t="shared" si="9"/>
        <v>2279697</v>
      </c>
      <c r="M70" s="11" t="s">
        <v>1439</v>
      </c>
    </row>
    <row r="71" spans="1:13">
      <c r="A71" s="11" t="s">
        <v>1437</v>
      </c>
      <c r="B71" s="11" t="s">
        <v>1440</v>
      </c>
      <c r="C71" s="13">
        <v>16</v>
      </c>
      <c r="D71" s="11" t="s">
        <v>188</v>
      </c>
      <c r="E71" s="13">
        <v>15000</v>
      </c>
      <c r="F71" s="13">
        <f t="shared" si="5"/>
        <v>240000</v>
      </c>
      <c r="G71" s="13">
        <v>0</v>
      </c>
      <c r="H71" s="13">
        <f t="shared" si="6"/>
        <v>0</v>
      </c>
      <c r="I71" s="13">
        <v>0</v>
      </c>
      <c r="J71" s="13">
        <f t="shared" si="7"/>
        <v>0</v>
      </c>
      <c r="K71" s="13">
        <f t="shared" si="8"/>
        <v>15000</v>
      </c>
      <c r="L71" s="13">
        <f t="shared" si="9"/>
        <v>240000</v>
      </c>
      <c r="M71" s="11"/>
    </row>
    <row r="72" spans="1:13">
      <c r="A72" s="11" t="s">
        <v>1441</v>
      </c>
      <c r="B72" s="11" t="s">
        <v>1442</v>
      </c>
      <c r="C72" s="13">
        <v>9</v>
      </c>
      <c r="D72" s="11" t="s">
        <v>1443</v>
      </c>
      <c r="E72" s="13">
        <v>14230</v>
      </c>
      <c r="F72" s="13">
        <f t="shared" si="5"/>
        <v>128070</v>
      </c>
      <c r="G72" s="13">
        <v>56783</v>
      </c>
      <c r="H72" s="13">
        <f t="shared" si="6"/>
        <v>511047</v>
      </c>
      <c r="I72" s="13">
        <v>16378</v>
      </c>
      <c r="J72" s="13">
        <f t="shared" si="7"/>
        <v>147402</v>
      </c>
      <c r="K72" s="13">
        <f t="shared" si="8"/>
        <v>87391</v>
      </c>
      <c r="L72" s="13">
        <f t="shared" si="9"/>
        <v>786519</v>
      </c>
      <c r="M72" s="11"/>
    </row>
    <row r="73" spans="1:13">
      <c r="A73" s="11" t="s">
        <v>1444</v>
      </c>
      <c r="B73" s="11" t="s">
        <v>1445</v>
      </c>
      <c r="C73" s="13">
        <v>2</v>
      </c>
      <c r="D73" s="11" t="s">
        <v>188</v>
      </c>
      <c r="E73" s="13">
        <v>141637</v>
      </c>
      <c r="F73" s="13">
        <f t="shared" si="5"/>
        <v>283274</v>
      </c>
      <c r="G73" s="13">
        <v>54586</v>
      </c>
      <c r="H73" s="13">
        <f t="shared" si="6"/>
        <v>109172</v>
      </c>
      <c r="I73" s="13">
        <v>0</v>
      </c>
      <c r="J73" s="13">
        <f t="shared" si="7"/>
        <v>0</v>
      </c>
      <c r="K73" s="13">
        <f t="shared" si="8"/>
        <v>196223</v>
      </c>
      <c r="L73" s="13">
        <f t="shared" si="9"/>
        <v>392446</v>
      </c>
      <c r="M73" s="11" t="s">
        <v>1446</v>
      </c>
    </row>
    <row r="74" spans="1:13">
      <c r="A74" s="11" t="s">
        <v>1447</v>
      </c>
      <c r="B74" s="11" t="s">
        <v>1448</v>
      </c>
      <c r="C74" s="13">
        <v>2</v>
      </c>
      <c r="D74" s="11" t="s">
        <v>188</v>
      </c>
      <c r="E74" s="13">
        <v>444509</v>
      </c>
      <c r="F74" s="13">
        <f t="shared" si="5"/>
        <v>889018</v>
      </c>
      <c r="G74" s="13">
        <v>150304</v>
      </c>
      <c r="H74" s="13">
        <f t="shared" si="6"/>
        <v>300608</v>
      </c>
      <c r="I74" s="13">
        <v>0</v>
      </c>
      <c r="J74" s="13">
        <f t="shared" si="7"/>
        <v>0</v>
      </c>
      <c r="K74" s="13">
        <f t="shared" si="8"/>
        <v>594813</v>
      </c>
      <c r="L74" s="13">
        <f t="shared" si="9"/>
        <v>1189626</v>
      </c>
      <c r="M74" s="11" t="s">
        <v>1449</v>
      </c>
    </row>
    <row r="75" spans="1:13">
      <c r="A75" s="11" t="s">
        <v>1450</v>
      </c>
      <c r="B75" s="11" t="s">
        <v>1451</v>
      </c>
      <c r="C75" s="13">
        <v>2</v>
      </c>
      <c r="D75" s="11" t="s">
        <v>188</v>
      </c>
      <c r="E75" s="13">
        <v>280000</v>
      </c>
      <c r="F75" s="13">
        <f t="shared" si="5"/>
        <v>560000</v>
      </c>
      <c r="G75" s="13">
        <v>0</v>
      </c>
      <c r="H75" s="13">
        <f t="shared" si="6"/>
        <v>0</v>
      </c>
      <c r="I75" s="13">
        <v>0</v>
      </c>
      <c r="J75" s="13">
        <f t="shared" si="7"/>
        <v>0</v>
      </c>
      <c r="K75" s="13">
        <f t="shared" si="8"/>
        <v>280000</v>
      </c>
      <c r="L75" s="13">
        <f t="shared" si="9"/>
        <v>560000</v>
      </c>
      <c r="M75" s="11"/>
    </row>
    <row r="76" spans="1:13">
      <c r="A76" s="19" t="s">
        <v>1464</v>
      </c>
      <c r="B76" s="21"/>
      <c r="C76" s="21"/>
      <c r="D76" s="21"/>
      <c r="E76" s="21"/>
      <c r="F76" s="22">
        <f>SUM(F77:F100)</f>
        <v>17690976</v>
      </c>
      <c r="G76" s="21"/>
      <c r="H76" s="22">
        <f>SUM(H77:H100)</f>
        <v>10774446</v>
      </c>
      <c r="I76" s="21"/>
      <c r="J76" s="22">
        <f>SUM(J77:J100)</f>
        <v>345546</v>
      </c>
      <c r="K76" s="21"/>
      <c r="L76" s="22">
        <f t="shared" si="9"/>
        <v>28810968</v>
      </c>
      <c r="M76" s="21"/>
    </row>
    <row r="77" spans="1:13">
      <c r="A77" s="11" t="s">
        <v>1355</v>
      </c>
      <c r="B77" s="11" t="s">
        <v>1358</v>
      </c>
      <c r="C77" s="13">
        <v>119</v>
      </c>
      <c r="D77" s="11" t="s">
        <v>240</v>
      </c>
      <c r="E77" s="13">
        <v>1170</v>
      </c>
      <c r="F77" s="13">
        <f t="shared" ref="F77:F100" si="10">ROUND(E77*C77,0)</f>
        <v>139230</v>
      </c>
      <c r="G77" s="13">
        <v>9002</v>
      </c>
      <c r="H77" s="13">
        <f t="shared" ref="H77:H100" si="11">ROUND(G77*C77,0)</f>
        <v>1071238</v>
      </c>
      <c r="I77" s="13">
        <v>0</v>
      </c>
      <c r="J77" s="13">
        <f t="shared" ref="J77:J100" si="12">ROUND(I77*C77,0)</f>
        <v>0</v>
      </c>
      <c r="K77" s="13">
        <f t="shared" ref="K77:K100" si="13">E77+G77+I77</f>
        <v>10172</v>
      </c>
      <c r="L77" s="13">
        <f t="shared" si="9"/>
        <v>1210468</v>
      </c>
      <c r="M77" s="11" t="s">
        <v>1359</v>
      </c>
    </row>
    <row r="78" spans="1:13">
      <c r="A78" s="11" t="s">
        <v>1355</v>
      </c>
      <c r="B78" s="11" t="s">
        <v>1465</v>
      </c>
      <c r="C78" s="13">
        <v>11</v>
      </c>
      <c r="D78" s="11" t="s">
        <v>240</v>
      </c>
      <c r="E78" s="13">
        <v>2296</v>
      </c>
      <c r="F78" s="13">
        <f t="shared" si="10"/>
        <v>25256</v>
      </c>
      <c r="G78" s="13">
        <v>11280</v>
      </c>
      <c r="H78" s="13">
        <f t="shared" si="11"/>
        <v>124080</v>
      </c>
      <c r="I78" s="13">
        <v>0</v>
      </c>
      <c r="J78" s="13">
        <f t="shared" si="12"/>
        <v>0</v>
      </c>
      <c r="K78" s="13">
        <f t="shared" si="13"/>
        <v>13576</v>
      </c>
      <c r="L78" s="13">
        <f t="shared" si="9"/>
        <v>149336</v>
      </c>
      <c r="M78" s="11" t="s">
        <v>1466</v>
      </c>
    </row>
    <row r="79" spans="1:13">
      <c r="A79" s="11" t="s">
        <v>1355</v>
      </c>
      <c r="B79" s="11" t="s">
        <v>1467</v>
      </c>
      <c r="C79" s="13">
        <v>51</v>
      </c>
      <c r="D79" s="11" t="s">
        <v>240</v>
      </c>
      <c r="E79" s="13">
        <v>3128</v>
      </c>
      <c r="F79" s="13">
        <f t="shared" si="10"/>
        <v>159528</v>
      </c>
      <c r="G79" s="13">
        <v>16761</v>
      </c>
      <c r="H79" s="13">
        <f t="shared" si="11"/>
        <v>854811</v>
      </c>
      <c r="I79" s="13">
        <v>0</v>
      </c>
      <c r="J79" s="13">
        <f t="shared" si="12"/>
        <v>0</v>
      </c>
      <c r="K79" s="13">
        <f t="shared" si="13"/>
        <v>19889</v>
      </c>
      <c r="L79" s="13">
        <f t="shared" si="9"/>
        <v>1014339</v>
      </c>
      <c r="M79" s="11" t="s">
        <v>1468</v>
      </c>
    </row>
    <row r="80" spans="1:13">
      <c r="A80" s="11" t="s">
        <v>1360</v>
      </c>
      <c r="B80" s="11" t="s">
        <v>1361</v>
      </c>
      <c r="C80" s="13">
        <v>60</v>
      </c>
      <c r="D80" s="11" t="s">
        <v>240</v>
      </c>
      <c r="E80" s="13">
        <v>1879</v>
      </c>
      <c r="F80" s="13">
        <f t="shared" si="10"/>
        <v>112740</v>
      </c>
      <c r="G80" s="13">
        <v>2463</v>
      </c>
      <c r="H80" s="13">
        <f t="shared" si="11"/>
        <v>147780</v>
      </c>
      <c r="I80" s="13">
        <v>0</v>
      </c>
      <c r="J80" s="13">
        <f t="shared" si="12"/>
        <v>0</v>
      </c>
      <c r="K80" s="13">
        <f t="shared" si="13"/>
        <v>4342</v>
      </c>
      <c r="L80" s="13">
        <f t="shared" si="9"/>
        <v>260520</v>
      </c>
      <c r="M80" s="11" t="s">
        <v>1362</v>
      </c>
    </row>
    <row r="81" spans="1:13">
      <c r="A81" s="11" t="s">
        <v>1371</v>
      </c>
      <c r="B81" s="11" t="s">
        <v>1453</v>
      </c>
      <c r="C81" s="13">
        <v>115</v>
      </c>
      <c r="D81" s="11" t="s">
        <v>240</v>
      </c>
      <c r="E81" s="13">
        <v>2907</v>
      </c>
      <c r="F81" s="13">
        <f t="shared" si="10"/>
        <v>334305</v>
      </c>
      <c r="G81" s="13">
        <v>0</v>
      </c>
      <c r="H81" s="13">
        <f t="shared" si="11"/>
        <v>0</v>
      </c>
      <c r="I81" s="13">
        <v>0</v>
      </c>
      <c r="J81" s="13">
        <f t="shared" si="12"/>
        <v>0</v>
      </c>
      <c r="K81" s="13">
        <f t="shared" si="13"/>
        <v>2907</v>
      </c>
      <c r="L81" s="13">
        <f t="shared" si="9"/>
        <v>334305</v>
      </c>
      <c r="M81" s="11"/>
    </row>
    <row r="82" spans="1:13">
      <c r="A82" s="11" t="s">
        <v>1469</v>
      </c>
      <c r="B82" s="11" t="s">
        <v>1470</v>
      </c>
      <c r="C82" s="13">
        <v>142</v>
      </c>
      <c r="D82" s="11" t="s">
        <v>240</v>
      </c>
      <c r="E82" s="13">
        <v>3832</v>
      </c>
      <c r="F82" s="13">
        <f t="shared" si="10"/>
        <v>544144</v>
      </c>
      <c r="G82" s="13">
        <v>9732</v>
      </c>
      <c r="H82" s="13">
        <f t="shared" si="11"/>
        <v>1381944</v>
      </c>
      <c r="I82" s="13">
        <v>0</v>
      </c>
      <c r="J82" s="13">
        <f t="shared" si="12"/>
        <v>0</v>
      </c>
      <c r="K82" s="13">
        <f t="shared" si="13"/>
        <v>13564</v>
      </c>
      <c r="L82" s="13">
        <f t="shared" si="9"/>
        <v>1926088</v>
      </c>
      <c r="M82" s="11" t="s">
        <v>1471</v>
      </c>
    </row>
    <row r="83" spans="1:13">
      <c r="A83" s="11" t="s">
        <v>1472</v>
      </c>
      <c r="B83" s="11" t="s">
        <v>1473</v>
      </c>
      <c r="C83" s="13">
        <v>2</v>
      </c>
      <c r="D83" s="11" t="s">
        <v>385</v>
      </c>
      <c r="E83" s="13">
        <v>202876</v>
      </c>
      <c r="F83" s="13">
        <f t="shared" si="10"/>
        <v>405752</v>
      </c>
      <c r="G83" s="13">
        <v>95868</v>
      </c>
      <c r="H83" s="13">
        <f t="shared" si="11"/>
        <v>191736</v>
      </c>
      <c r="I83" s="13">
        <v>0</v>
      </c>
      <c r="J83" s="13">
        <f t="shared" si="12"/>
        <v>0</v>
      </c>
      <c r="K83" s="13">
        <f t="shared" si="13"/>
        <v>298744</v>
      </c>
      <c r="L83" s="13">
        <f t="shared" si="9"/>
        <v>597488</v>
      </c>
      <c r="M83" s="11" t="s">
        <v>1474</v>
      </c>
    </row>
    <row r="84" spans="1:13">
      <c r="A84" s="11" t="s">
        <v>1376</v>
      </c>
      <c r="B84" s="11" t="s">
        <v>1377</v>
      </c>
      <c r="C84" s="13">
        <v>3</v>
      </c>
      <c r="D84" s="11" t="s">
        <v>188</v>
      </c>
      <c r="E84" s="13">
        <v>7096</v>
      </c>
      <c r="F84" s="13">
        <f t="shared" si="10"/>
        <v>21288</v>
      </c>
      <c r="G84" s="13">
        <v>43869</v>
      </c>
      <c r="H84" s="13">
        <f t="shared" si="11"/>
        <v>131607</v>
      </c>
      <c r="I84" s="13">
        <v>0</v>
      </c>
      <c r="J84" s="13">
        <f t="shared" si="12"/>
        <v>0</v>
      </c>
      <c r="K84" s="13">
        <f t="shared" si="13"/>
        <v>50965</v>
      </c>
      <c r="L84" s="13">
        <f t="shared" si="9"/>
        <v>152895</v>
      </c>
      <c r="M84" s="11" t="s">
        <v>1378</v>
      </c>
    </row>
    <row r="85" spans="1:13">
      <c r="A85" s="11" t="s">
        <v>1382</v>
      </c>
      <c r="B85" s="11" t="s">
        <v>1383</v>
      </c>
      <c r="C85" s="13">
        <v>136</v>
      </c>
      <c r="D85" s="11" t="s">
        <v>240</v>
      </c>
      <c r="E85" s="13">
        <v>187</v>
      </c>
      <c r="F85" s="13">
        <f t="shared" si="10"/>
        <v>25432</v>
      </c>
      <c r="G85" s="13">
        <v>237</v>
      </c>
      <c r="H85" s="13">
        <f t="shared" si="11"/>
        <v>32232</v>
      </c>
      <c r="I85" s="13">
        <v>0</v>
      </c>
      <c r="J85" s="13">
        <f t="shared" si="12"/>
        <v>0</v>
      </c>
      <c r="K85" s="13">
        <f t="shared" si="13"/>
        <v>424</v>
      </c>
      <c r="L85" s="13">
        <f t="shared" si="9"/>
        <v>57664</v>
      </c>
      <c r="M85" s="11" t="s">
        <v>1384</v>
      </c>
    </row>
    <row r="86" spans="1:13">
      <c r="A86" s="11" t="s">
        <v>1475</v>
      </c>
      <c r="B86" s="11" t="s">
        <v>1476</v>
      </c>
      <c r="C86" s="24">
        <v>6.7830000000000004</v>
      </c>
      <c r="D86" s="11" t="s">
        <v>108</v>
      </c>
      <c r="E86" s="13">
        <v>101280</v>
      </c>
      <c r="F86" s="13">
        <f t="shared" si="10"/>
        <v>686982</v>
      </c>
      <c r="G86" s="13">
        <v>0</v>
      </c>
      <c r="H86" s="13">
        <f t="shared" si="11"/>
        <v>0</v>
      </c>
      <c r="I86" s="13">
        <v>0</v>
      </c>
      <c r="J86" s="13">
        <f t="shared" si="12"/>
        <v>0</v>
      </c>
      <c r="K86" s="13">
        <f t="shared" si="13"/>
        <v>101280</v>
      </c>
      <c r="L86" s="13">
        <f t="shared" si="9"/>
        <v>686982</v>
      </c>
      <c r="M86" s="11"/>
    </row>
    <row r="87" spans="1:13">
      <c r="A87" s="11" t="s">
        <v>1393</v>
      </c>
      <c r="B87" s="11" t="s">
        <v>1394</v>
      </c>
      <c r="C87" s="24">
        <v>86.376000000000005</v>
      </c>
      <c r="D87" s="11" t="s">
        <v>108</v>
      </c>
      <c r="E87" s="13">
        <v>501</v>
      </c>
      <c r="F87" s="13">
        <f t="shared" si="10"/>
        <v>43274</v>
      </c>
      <c r="G87" s="13">
        <v>4659</v>
      </c>
      <c r="H87" s="13">
        <f t="shared" si="11"/>
        <v>402426</v>
      </c>
      <c r="I87" s="13">
        <v>483</v>
      </c>
      <c r="J87" s="13">
        <f t="shared" si="12"/>
        <v>41720</v>
      </c>
      <c r="K87" s="13">
        <f t="shared" si="13"/>
        <v>5643</v>
      </c>
      <c r="L87" s="13">
        <f t="shared" si="9"/>
        <v>487420</v>
      </c>
      <c r="M87" s="11" t="s">
        <v>1395</v>
      </c>
    </row>
    <row r="88" spans="1:13">
      <c r="A88" s="11" t="s">
        <v>1396</v>
      </c>
      <c r="B88" s="11" t="s">
        <v>1394</v>
      </c>
      <c r="C88" s="24">
        <v>79.593000000000004</v>
      </c>
      <c r="D88" s="11" t="s">
        <v>108</v>
      </c>
      <c r="E88" s="13">
        <v>449</v>
      </c>
      <c r="F88" s="13">
        <f t="shared" si="10"/>
        <v>35737</v>
      </c>
      <c r="G88" s="13">
        <v>2939</v>
      </c>
      <c r="H88" s="13">
        <f t="shared" si="11"/>
        <v>233924</v>
      </c>
      <c r="I88" s="13">
        <v>483</v>
      </c>
      <c r="J88" s="13">
        <f t="shared" si="12"/>
        <v>38443</v>
      </c>
      <c r="K88" s="13">
        <f t="shared" si="13"/>
        <v>3871</v>
      </c>
      <c r="L88" s="13">
        <f t="shared" si="9"/>
        <v>308104</v>
      </c>
      <c r="M88" s="11" t="s">
        <v>1397</v>
      </c>
    </row>
    <row r="89" spans="1:13">
      <c r="A89" s="11" t="s">
        <v>1398</v>
      </c>
      <c r="B89" s="11" t="s">
        <v>1399</v>
      </c>
      <c r="C89" s="24">
        <v>6.7830000000000004</v>
      </c>
      <c r="D89" s="11" t="s">
        <v>108</v>
      </c>
      <c r="E89" s="13">
        <v>1032</v>
      </c>
      <c r="F89" s="13">
        <f t="shared" si="10"/>
        <v>7000</v>
      </c>
      <c r="G89" s="13">
        <v>34413</v>
      </c>
      <c r="H89" s="13">
        <f t="shared" si="11"/>
        <v>233423</v>
      </c>
      <c r="I89" s="13">
        <v>0</v>
      </c>
      <c r="J89" s="13">
        <f t="shared" si="12"/>
        <v>0</v>
      </c>
      <c r="K89" s="13">
        <f t="shared" si="13"/>
        <v>35445</v>
      </c>
      <c r="L89" s="13">
        <f t="shared" si="9"/>
        <v>240423</v>
      </c>
      <c r="M89" s="11" t="s">
        <v>1400</v>
      </c>
    </row>
    <row r="90" spans="1:13">
      <c r="A90" s="11" t="s">
        <v>1477</v>
      </c>
      <c r="B90" s="11" t="s">
        <v>1478</v>
      </c>
      <c r="C90" s="24">
        <v>6.7830000000000004</v>
      </c>
      <c r="D90" s="11" t="s">
        <v>108</v>
      </c>
      <c r="E90" s="13">
        <v>1759</v>
      </c>
      <c r="F90" s="13">
        <f t="shared" si="10"/>
        <v>11931</v>
      </c>
      <c r="G90" s="13">
        <v>58635</v>
      </c>
      <c r="H90" s="13">
        <f t="shared" si="11"/>
        <v>397721</v>
      </c>
      <c r="I90" s="13">
        <v>0</v>
      </c>
      <c r="J90" s="13">
        <f t="shared" si="12"/>
        <v>0</v>
      </c>
      <c r="K90" s="13">
        <f t="shared" si="13"/>
        <v>60394</v>
      </c>
      <c r="L90" s="13">
        <f t="shared" si="9"/>
        <v>409652</v>
      </c>
      <c r="M90" s="11" t="s">
        <v>1479</v>
      </c>
    </row>
    <row r="91" spans="1:13">
      <c r="A91" s="11" t="s">
        <v>1480</v>
      </c>
      <c r="B91" s="11" t="s">
        <v>1481</v>
      </c>
      <c r="C91" s="13">
        <v>24</v>
      </c>
      <c r="D91" s="11" t="s">
        <v>102</v>
      </c>
      <c r="E91" s="13">
        <v>24425</v>
      </c>
      <c r="F91" s="13">
        <f t="shared" si="10"/>
        <v>586200</v>
      </c>
      <c r="G91" s="13">
        <v>35498</v>
      </c>
      <c r="H91" s="13">
        <f t="shared" si="11"/>
        <v>851952</v>
      </c>
      <c r="I91" s="13">
        <v>0</v>
      </c>
      <c r="J91" s="13">
        <f t="shared" si="12"/>
        <v>0</v>
      </c>
      <c r="K91" s="13">
        <f t="shared" si="13"/>
        <v>59923</v>
      </c>
      <c r="L91" s="13">
        <f t="shared" si="9"/>
        <v>1438152</v>
      </c>
      <c r="M91" s="11" t="s">
        <v>1482</v>
      </c>
    </row>
    <row r="92" spans="1:13">
      <c r="A92" s="11" t="s">
        <v>1483</v>
      </c>
      <c r="B92" s="11"/>
      <c r="C92" s="13">
        <v>6</v>
      </c>
      <c r="D92" s="11" t="s">
        <v>188</v>
      </c>
      <c r="E92" s="13">
        <v>35000</v>
      </c>
      <c r="F92" s="13">
        <f t="shared" si="10"/>
        <v>210000</v>
      </c>
      <c r="G92" s="13">
        <v>0</v>
      </c>
      <c r="H92" s="13">
        <f t="shared" si="11"/>
        <v>0</v>
      </c>
      <c r="I92" s="13">
        <v>0</v>
      </c>
      <c r="J92" s="13">
        <f t="shared" si="12"/>
        <v>0</v>
      </c>
      <c r="K92" s="13">
        <f t="shared" si="13"/>
        <v>35000</v>
      </c>
      <c r="L92" s="13">
        <f t="shared" si="9"/>
        <v>210000</v>
      </c>
      <c r="M92" s="11"/>
    </row>
    <row r="93" spans="1:13">
      <c r="A93" s="11" t="s">
        <v>1484</v>
      </c>
      <c r="B93" s="11" t="s">
        <v>1485</v>
      </c>
      <c r="C93" s="13">
        <v>3</v>
      </c>
      <c r="D93" s="11" t="s">
        <v>188</v>
      </c>
      <c r="E93" s="13">
        <v>370000</v>
      </c>
      <c r="F93" s="13">
        <f t="shared" si="10"/>
        <v>1110000</v>
      </c>
      <c r="G93" s="13">
        <v>0</v>
      </c>
      <c r="H93" s="13">
        <f t="shared" si="11"/>
        <v>0</v>
      </c>
      <c r="I93" s="13">
        <v>0</v>
      </c>
      <c r="J93" s="13">
        <f t="shared" si="12"/>
        <v>0</v>
      </c>
      <c r="K93" s="13">
        <f t="shared" si="13"/>
        <v>370000</v>
      </c>
      <c r="L93" s="13">
        <f t="shared" si="9"/>
        <v>1110000</v>
      </c>
      <c r="M93" s="11"/>
    </row>
    <row r="94" spans="1:13">
      <c r="A94" s="11" t="s">
        <v>1405</v>
      </c>
      <c r="B94" s="11" t="s">
        <v>1458</v>
      </c>
      <c r="C94" s="13">
        <v>112</v>
      </c>
      <c r="D94" s="11" t="s">
        <v>240</v>
      </c>
      <c r="E94" s="13">
        <v>125</v>
      </c>
      <c r="F94" s="13">
        <f t="shared" si="10"/>
        <v>14000</v>
      </c>
      <c r="G94" s="13">
        <v>4181</v>
      </c>
      <c r="H94" s="13">
        <f t="shared" si="11"/>
        <v>468272</v>
      </c>
      <c r="I94" s="13">
        <v>0</v>
      </c>
      <c r="J94" s="13">
        <f t="shared" si="12"/>
        <v>0</v>
      </c>
      <c r="K94" s="13">
        <f t="shared" si="13"/>
        <v>4306</v>
      </c>
      <c r="L94" s="13">
        <f t="shared" si="9"/>
        <v>482272</v>
      </c>
      <c r="M94" s="11" t="s">
        <v>1459</v>
      </c>
    </row>
    <row r="95" spans="1:13">
      <c r="A95" s="11" t="s">
        <v>1486</v>
      </c>
      <c r="B95" s="11" t="s">
        <v>1487</v>
      </c>
      <c r="C95" s="13">
        <v>6</v>
      </c>
      <c r="D95" s="11" t="s">
        <v>188</v>
      </c>
      <c r="E95" s="13">
        <v>371518</v>
      </c>
      <c r="F95" s="13">
        <f t="shared" si="10"/>
        <v>2229108</v>
      </c>
      <c r="G95" s="13">
        <v>383962</v>
      </c>
      <c r="H95" s="13">
        <f t="shared" si="11"/>
        <v>2303772</v>
      </c>
      <c r="I95" s="13">
        <v>0</v>
      </c>
      <c r="J95" s="13">
        <f t="shared" si="12"/>
        <v>0</v>
      </c>
      <c r="K95" s="13">
        <f t="shared" si="13"/>
        <v>755480</v>
      </c>
      <c r="L95" s="13">
        <f t="shared" si="9"/>
        <v>4532880</v>
      </c>
      <c r="M95" s="11" t="s">
        <v>1488</v>
      </c>
    </row>
    <row r="96" spans="1:13">
      <c r="A96" s="11" t="s">
        <v>1489</v>
      </c>
      <c r="B96" s="11"/>
      <c r="C96" s="13">
        <v>4</v>
      </c>
      <c r="D96" s="11" t="s">
        <v>188</v>
      </c>
      <c r="E96" s="13">
        <v>900000</v>
      </c>
      <c r="F96" s="13">
        <f t="shared" si="10"/>
        <v>3600000</v>
      </c>
      <c r="G96" s="13">
        <v>0</v>
      </c>
      <c r="H96" s="13">
        <f t="shared" si="11"/>
        <v>0</v>
      </c>
      <c r="I96" s="13">
        <v>0</v>
      </c>
      <c r="J96" s="13">
        <f t="shared" si="12"/>
        <v>0</v>
      </c>
      <c r="K96" s="13">
        <f t="shared" si="13"/>
        <v>900000</v>
      </c>
      <c r="L96" s="13">
        <f t="shared" si="9"/>
        <v>3600000</v>
      </c>
      <c r="M96" s="11"/>
    </row>
    <row r="97" spans="1:13">
      <c r="A97" s="11" t="s">
        <v>1490</v>
      </c>
      <c r="B97" s="11"/>
      <c r="C97" s="13">
        <v>1</v>
      </c>
      <c r="D97" s="11" t="s">
        <v>188</v>
      </c>
      <c r="E97" s="13">
        <v>1200000</v>
      </c>
      <c r="F97" s="13">
        <f t="shared" si="10"/>
        <v>1200000</v>
      </c>
      <c r="G97" s="13">
        <v>0</v>
      </c>
      <c r="H97" s="13">
        <f t="shared" si="11"/>
        <v>0</v>
      </c>
      <c r="I97" s="13">
        <v>0</v>
      </c>
      <c r="J97" s="13">
        <f t="shared" si="12"/>
        <v>0</v>
      </c>
      <c r="K97" s="13">
        <f t="shared" si="13"/>
        <v>1200000</v>
      </c>
      <c r="L97" s="13">
        <f t="shared" si="9"/>
        <v>1200000</v>
      </c>
      <c r="M97" s="11"/>
    </row>
    <row r="98" spans="1:13">
      <c r="A98" s="11" t="s">
        <v>1491</v>
      </c>
      <c r="B98" s="11" t="s">
        <v>1492</v>
      </c>
      <c r="C98" s="13">
        <v>1</v>
      </c>
      <c r="D98" s="11" t="s">
        <v>188</v>
      </c>
      <c r="E98" s="13">
        <v>2011917</v>
      </c>
      <c r="F98" s="13">
        <f t="shared" si="10"/>
        <v>2011917</v>
      </c>
      <c r="G98" s="13">
        <v>397253</v>
      </c>
      <c r="H98" s="13">
        <f t="shared" si="11"/>
        <v>397253</v>
      </c>
      <c r="I98" s="13">
        <v>0</v>
      </c>
      <c r="J98" s="13">
        <f t="shared" si="12"/>
        <v>0</v>
      </c>
      <c r="K98" s="13">
        <f t="shared" si="13"/>
        <v>2409170</v>
      </c>
      <c r="L98" s="13">
        <f t="shared" si="9"/>
        <v>2409170</v>
      </c>
      <c r="M98" s="11" t="s">
        <v>1493</v>
      </c>
    </row>
    <row r="99" spans="1:13">
      <c r="A99" s="11" t="s">
        <v>1491</v>
      </c>
      <c r="B99" s="11" t="s">
        <v>1494</v>
      </c>
      <c r="C99" s="13">
        <v>2</v>
      </c>
      <c r="D99" s="11" t="s">
        <v>188</v>
      </c>
      <c r="E99" s="13">
        <v>2016684</v>
      </c>
      <c r="F99" s="13">
        <f t="shared" si="10"/>
        <v>4033368</v>
      </c>
      <c r="G99" s="13">
        <v>556154</v>
      </c>
      <c r="H99" s="13">
        <f t="shared" si="11"/>
        <v>1112308</v>
      </c>
      <c r="I99" s="13">
        <v>0</v>
      </c>
      <c r="J99" s="13">
        <f t="shared" si="12"/>
        <v>0</v>
      </c>
      <c r="K99" s="13">
        <f t="shared" si="13"/>
        <v>2572838</v>
      </c>
      <c r="L99" s="13">
        <f t="shared" si="9"/>
        <v>5145676</v>
      </c>
      <c r="M99" s="11" t="s">
        <v>1495</v>
      </c>
    </row>
    <row r="100" spans="1:13">
      <c r="A100" s="11" t="s">
        <v>1496</v>
      </c>
      <c r="B100" s="11" t="s">
        <v>1497</v>
      </c>
      <c r="C100" s="13">
        <v>9</v>
      </c>
      <c r="D100" s="11" t="s">
        <v>1443</v>
      </c>
      <c r="E100" s="13">
        <v>15976</v>
      </c>
      <c r="F100" s="13">
        <f t="shared" si="10"/>
        <v>143784</v>
      </c>
      <c r="G100" s="13">
        <v>48663</v>
      </c>
      <c r="H100" s="13">
        <f t="shared" si="11"/>
        <v>437967</v>
      </c>
      <c r="I100" s="13">
        <v>29487</v>
      </c>
      <c r="J100" s="13">
        <f t="shared" si="12"/>
        <v>265383</v>
      </c>
      <c r="K100" s="13">
        <f t="shared" si="13"/>
        <v>94126</v>
      </c>
      <c r="L100" s="13">
        <f t="shared" si="9"/>
        <v>847134</v>
      </c>
      <c r="M100" s="11"/>
    </row>
    <row r="101" spans="1:13">
      <c r="A101" s="19" t="s">
        <v>1498</v>
      </c>
      <c r="B101" s="21"/>
      <c r="C101" s="21"/>
      <c r="D101" s="21"/>
      <c r="E101" s="21"/>
      <c r="F101" s="22">
        <f>SUM(F102:F144)</f>
        <v>69474341</v>
      </c>
      <c r="G101" s="21"/>
      <c r="H101" s="22">
        <f>SUM(H102:H144)</f>
        <v>18069974</v>
      </c>
      <c r="I101" s="21"/>
      <c r="J101" s="22">
        <f>SUM(J102:J144)</f>
        <v>4061810</v>
      </c>
      <c r="K101" s="21"/>
      <c r="L101" s="22">
        <f t="shared" si="9"/>
        <v>91606125</v>
      </c>
      <c r="M101" s="21"/>
    </row>
    <row r="102" spans="1:13">
      <c r="A102" s="11" t="s">
        <v>1355</v>
      </c>
      <c r="B102" s="11" t="s">
        <v>1499</v>
      </c>
      <c r="C102" s="13">
        <v>136</v>
      </c>
      <c r="D102" s="11" t="s">
        <v>240</v>
      </c>
      <c r="E102" s="13">
        <v>855</v>
      </c>
      <c r="F102" s="13">
        <f t="shared" ref="F102:F144" si="14">ROUND(E102*C102,0)</f>
        <v>116280</v>
      </c>
      <c r="G102" s="13">
        <v>6001</v>
      </c>
      <c r="H102" s="13">
        <f t="shared" ref="H102:H144" si="15">ROUND(G102*C102,0)</f>
        <v>816136</v>
      </c>
      <c r="I102" s="13">
        <v>0</v>
      </c>
      <c r="J102" s="13">
        <f t="shared" ref="J102:J144" si="16">ROUND(I102*C102,0)</f>
        <v>0</v>
      </c>
      <c r="K102" s="13">
        <f t="shared" ref="K102:K144" si="17">E102+G102+I102</f>
        <v>6856</v>
      </c>
      <c r="L102" s="13">
        <f t="shared" si="9"/>
        <v>932416</v>
      </c>
      <c r="M102" s="11" t="s">
        <v>1500</v>
      </c>
    </row>
    <row r="103" spans="1:13">
      <c r="A103" s="11" t="s">
        <v>1355</v>
      </c>
      <c r="B103" s="11" t="s">
        <v>1501</v>
      </c>
      <c r="C103" s="13">
        <v>136</v>
      </c>
      <c r="D103" s="11" t="s">
        <v>240</v>
      </c>
      <c r="E103" s="13">
        <v>1080</v>
      </c>
      <c r="F103" s="13">
        <f t="shared" si="14"/>
        <v>146880</v>
      </c>
      <c r="G103" s="13">
        <v>6001</v>
      </c>
      <c r="H103" s="13">
        <f t="shared" si="15"/>
        <v>816136</v>
      </c>
      <c r="I103" s="13">
        <v>0</v>
      </c>
      <c r="J103" s="13">
        <f t="shared" si="16"/>
        <v>0</v>
      </c>
      <c r="K103" s="13">
        <f t="shared" si="17"/>
        <v>7081</v>
      </c>
      <c r="L103" s="13">
        <f t="shared" si="9"/>
        <v>963016</v>
      </c>
      <c r="M103" s="11" t="s">
        <v>1502</v>
      </c>
    </row>
    <row r="104" spans="1:13">
      <c r="A104" s="11" t="s">
        <v>1503</v>
      </c>
      <c r="B104" s="11" t="s">
        <v>1504</v>
      </c>
      <c r="C104" s="13">
        <v>440</v>
      </c>
      <c r="D104" s="11" t="s">
        <v>240</v>
      </c>
      <c r="E104" s="13">
        <v>34596</v>
      </c>
      <c r="F104" s="13">
        <f t="shared" si="14"/>
        <v>15222240</v>
      </c>
      <c r="G104" s="13">
        <v>10206</v>
      </c>
      <c r="H104" s="13">
        <f t="shared" si="15"/>
        <v>4490640</v>
      </c>
      <c r="I104" s="13">
        <v>0</v>
      </c>
      <c r="J104" s="13">
        <f t="shared" si="16"/>
        <v>0</v>
      </c>
      <c r="K104" s="13">
        <f t="shared" si="17"/>
        <v>44802</v>
      </c>
      <c r="L104" s="13">
        <f t="shared" si="9"/>
        <v>19712880</v>
      </c>
      <c r="M104" s="11" t="s">
        <v>1505</v>
      </c>
    </row>
    <row r="105" spans="1:13">
      <c r="A105" s="11" t="s">
        <v>1360</v>
      </c>
      <c r="B105" s="11" t="s">
        <v>1361</v>
      </c>
      <c r="C105" s="13">
        <v>3</v>
      </c>
      <c r="D105" s="11" t="s">
        <v>240</v>
      </c>
      <c r="E105" s="13">
        <v>1879</v>
      </c>
      <c r="F105" s="13">
        <f t="shared" si="14"/>
        <v>5637</v>
      </c>
      <c r="G105" s="13">
        <v>2463</v>
      </c>
      <c r="H105" s="13">
        <f t="shared" si="15"/>
        <v>7389</v>
      </c>
      <c r="I105" s="13">
        <v>0</v>
      </c>
      <c r="J105" s="13">
        <f t="shared" si="16"/>
        <v>0</v>
      </c>
      <c r="K105" s="13">
        <f t="shared" si="17"/>
        <v>4342</v>
      </c>
      <c r="L105" s="13">
        <f t="shared" si="9"/>
        <v>13026</v>
      </c>
      <c r="M105" s="11" t="s">
        <v>1362</v>
      </c>
    </row>
    <row r="106" spans="1:13">
      <c r="A106" s="11" t="s">
        <v>1363</v>
      </c>
      <c r="B106" s="11" t="s">
        <v>1366</v>
      </c>
      <c r="C106" s="13">
        <v>29</v>
      </c>
      <c r="D106" s="11" t="s">
        <v>240</v>
      </c>
      <c r="E106" s="13">
        <v>4094</v>
      </c>
      <c r="F106" s="13">
        <f t="shared" si="14"/>
        <v>118726</v>
      </c>
      <c r="G106" s="13">
        <v>2873</v>
      </c>
      <c r="H106" s="13">
        <f t="shared" si="15"/>
        <v>83317</v>
      </c>
      <c r="I106" s="13">
        <v>0</v>
      </c>
      <c r="J106" s="13">
        <f t="shared" si="16"/>
        <v>0</v>
      </c>
      <c r="K106" s="13">
        <f t="shared" si="17"/>
        <v>6967</v>
      </c>
      <c r="L106" s="13">
        <f t="shared" si="9"/>
        <v>202043</v>
      </c>
      <c r="M106" s="11" t="s">
        <v>1367</v>
      </c>
    </row>
    <row r="107" spans="1:13">
      <c r="A107" s="11" t="s">
        <v>1368</v>
      </c>
      <c r="B107" s="11" t="s">
        <v>1506</v>
      </c>
      <c r="C107" s="13">
        <v>139</v>
      </c>
      <c r="D107" s="11" t="s">
        <v>240</v>
      </c>
      <c r="E107" s="13">
        <v>5289</v>
      </c>
      <c r="F107" s="13">
        <f t="shared" si="14"/>
        <v>735171</v>
      </c>
      <c r="G107" s="13">
        <v>7908</v>
      </c>
      <c r="H107" s="13">
        <f t="shared" si="15"/>
        <v>1099212</v>
      </c>
      <c r="I107" s="13">
        <v>0</v>
      </c>
      <c r="J107" s="13">
        <f t="shared" si="16"/>
        <v>0</v>
      </c>
      <c r="K107" s="13">
        <f t="shared" si="17"/>
        <v>13197</v>
      </c>
      <c r="L107" s="13">
        <f t="shared" si="9"/>
        <v>1834383</v>
      </c>
      <c r="M107" s="11" t="s">
        <v>1507</v>
      </c>
    </row>
    <row r="108" spans="1:13">
      <c r="A108" s="11" t="s">
        <v>1508</v>
      </c>
      <c r="B108" s="11" t="s">
        <v>1509</v>
      </c>
      <c r="C108" s="13">
        <v>548</v>
      </c>
      <c r="D108" s="11" t="s">
        <v>240</v>
      </c>
      <c r="E108" s="13">
        <v>1211</v>
      </c>
      <c r="F108" s="13">
        <f t="shared" si="14"/>
        <v>663628</v>
      </c>
      <c r="G108" s="13">
        <v>5376</v>
      </c>
      <c r="H108" s="13">
        <f t="shared" si="15"/>
        <v>2946048</v>
      </c>
      <c r="I108" s="13">
        <v>0</v>
      </c>
      <c r="J108" s="13">
        <f t="shared" si="16"/>
        <v>0</v>
      </c>
      <c r="K108" s="13">
        <f t="shared" si="17"/>
        <v>6587</v>
      </c>
      <c r="L108" s="13">
        <f t="shared" si="9"/>
        <v>3609676</v>
      </c>
      <c r="M108" s="11" t="s">
        <v>1510</v>
      </c>
    </row>
    <row r="109" spans="1:13">
      <c r="A109" s="11" t="s">
        <v>1376</v>
      </c>
      <c r="B109" s="11" t="s">
        <v>1377</v>
      </c>
      <c r="C109" s="13">
        <v>12</v>
      </c>
      <c r="D109" s="11" t="s">
        <v>188</v>
      </c>
      <c r="E109" s="13">
        <v>7096</v>
      </c>
      <c r="F109" s="13">
        <f t="shared" si="14"/>
        <v>85152</v>
      </c>
      <c r="G109" s="13">
        <v>43869</v>
      </c>
      <c r="H109" s="13">
        <f t="shared" si="15"/>
        <v>526428</v>
      </c>
      <c r="I109" s="13">
        <v>0</v>
      </c>
      <c r="J109" s="13">
        <f t="shared" si="16"/>
        <v>0</v>
      </c>
      <c r="K109" s="13">
        <f t="shared" si="17"/>
        <v>50965</v>
      </c>
      <c r="L109" s="13">
        <f t="shared" si="9"/>
        <v>611580</v>
      </c>
      <c r="M109" s="11" t="s">
        <v>1378</v>
      </c>
    </row>
    <row r="110" spans="1:13">
      <c r="A110" s="11" t="s">
        <v>1379</v>
      </c>
      <c r="B110" s="11" t="s">
        <v>1380</v>
      </c>
      <c r="C110" s="13">
        <v>12</v>
      </c>
      <c r="D110" s="11" t="s">
        <v>188</v>
      </c>
      <c r="E110" s="13">
        <v>721</v>
      </c>
      <c r="F110" s="13">
        <f t="shared" si="14"/>
        <v>8652</v>
      </c>
      <c r="G110" s="13">
        <v>7389</v>
      </c>
      <c r="H110" s="13">
        <f t="shared" si="15"/>
        <v>88668</v>
      </c>
      <c r="I110" s="13">
        <v>0</v>
      </c>
      <c r="J110" s="13">
        <f t="shared" si="16"/>
        <v>0</v>
      </c>
      <c r="K110" s="13">
        <f t="shared" si="17"/>
        <v>8110</v>
      </c>
      <c r="L110" s="13">
        <f t="shared" si="9"/>
        <v>97320</v>
      </c>
      <c r="M110" s="11" t="s">
        <v>1381</v>
      </c>
    </row>
    <row r="111" spans="1:13">
      <c r="A111" s="11" t="s">
        <v>1382</v>
      </c>
      <c r="B111" s="11" t="s">
        <v>1383</v>
      </c>
      <c r="C111" s="13">
        <v>666</v>
      </c>
      <c r="D111" s="11" t="s">
        <v>240</v>
      </c>
      <c r="E111" s="13">
        <v>187</v>
      </c>
      <c r="F111" s="13">
        <f t="shared" si="14"/>
        <v>124542</v>
      </c>
      <c r="G111" s="13">
        <v>237</v>
      </c>
      <c r="H111" s="13">
        <f t="shared" si="15"/>
        <v>157842</v>
      </c>
      <c r="I111" s="13">
        <v>0</v>
      </c>
      <c r="J111" s="13">
        <f t="shared" si="16"/>
        <v>0</v>
      </c>
      <c r="K111" s="13">
        <f t="shared" si="17"/>
        <v>424</v>
      </c>
      <c r="L111" s="13">
        <f t="shared" si="9"/>
        <v>282384</v>
      </c>
      <c r="M111" s="11" t="s">
        <v>1384</v>
      </c>
    </row>
    <row r="112" spans="1:13">
      <c r="A112" s="11" t="s">
        <v>1511</v>
      </c>
      <c r="B112" s="11" t="s">
        <v>1512</v>
      </c>
      <c r="C112" s="13">
        <v>6</v>
      </c>
      <c r="D112" s="11" t="s">
        <v>449</v>
      </c>
      <c r="E112" s="13">
        <v>121913</v>
      </c>
      <c r="F112" s="13">
        <f t="shared" si="14"/>
        <v>731478</v>
      </c>
      <c r="G112" s="13">
        <v>397128</v>
      </c>
      <c r="H112" s="13">
        <f t="shared" si="15"/>
        <v>2382768</v>
      </c>
      <c r="I112" s="13">
        <v>0</v>
      </c>
      <c r="J112" s="13">
        <f t="shared" si="16"/>
        <v>0</v>
      </c>
      <c r="K112" s="13">
        <f t="shared" si="17"/>
        <v>519041</v>
      </c>
      <c r="L112" s="13">
        <f t="shared" si="9"/>
        <v>3114246</v>
      </c>
      <c r="M112" s="11" t="s">
        <v>1513</v>
      </c>
    </row>
    <row r="113" spans="1:13">
      <c r="A113" s="11" t="s">
        <v>1514</v>
      </c>
      <c r="B113" s="11" t="s">
        <v>1515</v>
      </c>
      <c r="C113" s="13">
        <v>6</v>
      </c>
      <c r="D113" s="11" t="s">
        <v>1516</v>
      </c>
      <c r="E113" s="13">
        <v>380691</v>
      </c>
      <c r="F113" s="13">
        <f t="shared" si="14"/>
        <v>2284146</v>
      </c>
      <c r="G113" s="13">
        <v>356382</v>
      </c>
      <c r="H113" s="13">
        <f t="shared" si="15"/>
        <v>2138292</v>
      </c>
      <c r="I113" s="13">
        <v>0</v>
      </c>
      <c r="J113" s="13">
        <f t="shared" si="16"/>
        <v>0</v>
      </c>
      <c r="K113" s="13">
        <f t="shared" si="17"/>
        <v>737073</v>
      </c>
      <c r="L113" s="13">
        <f t="shared" si="9"/>
        <v>4422438</v>
      </c>
      <c r="M113" s="11" t="s">
        <v>1517</v>
      </c>
    </row>
    <row r="114" spans="1:13">
      <c r="A114" s="11" t="s">
        <v>1393</v>
      </c>
      <c r="B114" s="11" t="s">
        <v>1394</v>
      </c>
      <c r="C114" s="24">
        <v>259.26</v>
      </c>
      <c r="D114" s="11" t="s">
        <v>108</v>
      </c>
      <c r="E114" s="13">
        <v>501</v>
      </c>
      <c r="F114" s="13">
        <f t="shared" si="14"/>
        <v>129889</v>
      </c>
      <c r="G114" s="13">
        <v>4659</v>
      </c>
      <c r="H114" s="13">
        <f t="shared" si="15"/>
        <v>1207892</v>
      </c>
      <c r="I114" s="13">
        <v>483</v>
      </c>
      <c r="J114" s="13">
        <f t="shared" si="16"/>
        <v>125223</v>
      </c>
      <c r="K114" s="13">
        <f t="shared" si="17"/>
        <v>5643</v>
      </c>
      <c r="L114" s="13">
        <f t="shared" si="9"/>
        <v>1463004</v>
      </c>
      <c r="M114" s="11" t="s">
        <v>1395</v>
      </c>
    </row>
    <row r="115" spans="1:13">
      <c r="A115" s="11" t="s">
        <v>1396</v>
      </c>
      <c r="B115" s="11" t="s">
        <v>1394</v>
      </c>
      <c r="C115" s="24">
        <v>248.88</v>
      </c>
      <c r="D115" s="11" t="s">
        <v>108</v>
      </c>
      <c r="E115" s="13">
        <v>449</v>
      </c>
      <c r="F115" s="13">
        <f t="shared" si="14"/>
        <v>111747</v>
      </c>
      <c r="G115" s="13">
        <v>2939</v>
      </c>
      <c r="H115" s="13">
        <f t="shared" si="15"/>
        <v>731458</v>
      </c>
      <c r="I115" s="13">
        <v>483</v>
      </c>
      <c r="J115" s="13">
        <f t="shared" si="16"/>
        <v>120209</v>
      </c>
      <c r="K115" s="13">
        <f t="shared" si="17"/>
        <v>3871</v>
      </c>
      <c r="L115" s="13">
        <f t="shared" si="9"/>
        <v>963414</v>
      </c>
      <c r="M115" s="11" t="s">
        <v>1397</v>
      </c>
    </row>
    <row r="116" spans="1:13">
      <c r="A116" s="11" t="s">
        <v>1398</v>
      </c>
      <c r="B116" s="11" t="s">
        <v>1399</v>
      </c>
      <c r="C116" s="24">
        <v>10.38</v>
      </c>
      <c r="D116" s="11" t="s">
        <v>108</v>
      </c>
      <c r="E116" s="13">
        <v>1032</v>
      </c>
      <c r="F116" s="13">
        <f t="shared" si="14"/>
        <v>10712</v>
      </c>
      <c r="G116" s="13">
        <v>34413</v>
      </c>
      <c r="H116" s="13">
        <f t="shared" si="15"/>
        <v>357207</v>
      </c>
      <c r="I116" s="13">
        <v>0</v>
      </c>
      <c r="J116" s="13">
        <f t="shared" si="16"/>
        <v>0</v>
      </c>
      <c r="K116" s="13">
        <f t="shared" si="17"/>
        <v>35445</v>
      </c>
      <c r="L116" s="13">
        <f t="shared" si="9"/>
        <v>367919</v>
      </c>
      <c r="M116" s="11" t="s">
        <v>1400</v>
      </c>
    </row>
    <row r="117" spans="1:13">
      <c r="A117" s="11" t="s">
        <v>1518</v>
      </c>
      <c r="B117" s="11" t="s">
        <v>1519</v>
      </c>
      <c r="C117" s="13">
        <v>6</v>
      </c>
      <c r="D117" s="11" t="s">
        <v>188</v>
      </c>
      <c r="E117" s="13">
        <v>8400</v>
      </c>
      <c r="F117" s="13">
        <f t="shared" si="14"/>
        <v>50400</v>
      </c>
      <c r="G117" s="13">
        <v>0</v>
      </c>
      <c r="H117" s="13">
        <f t="shared" si="15"/>
        <v>0</v>
      </c>
      <c r="I117" s="13">
        <v>0</v>
      </c>
      <c r="J117" s="13">
        <f t="shared" si="16"/>
        <v>0</v>
      </c>
      <c r="K117" s="13">
        <f t="shared" si="17"/>
        <v>8400</v>
      </c>
      <c r="L117" s="13">
        <f t="shared" si="9"/>
        <v>50400</v>
      </c>
      <c r="M117" s="11"/>
    </row>
    <row r="118" spans="1:13">
      <c r="A118" s="11" t="s">
        <v>1420</v>
      </c>
      <c r="B118" s="11" t="s">
        <v>1421</v>
      </c>
      <c r="C118" s="13">
        <v>3</v>
      </c>
      <c r="D118" s="11" t="s">
        <v>188</v>
      </c>
      <c r="E118" s="13">
        <v>105637</v>
      </c>
      <c r="F118" s="13">
        <f t="shared" si="14"/>
        <v>316911</v>
      </c>
      <c r="G118" s="13">
        <v>54586</v>
      </c>
      <c r="H118" s="13">
        <f t="shared" si="15"/>
        <v>163758</v>
      </c>
      <c r="I118" s="13">
        <v>0</v>
      </c>
      <c r="J118" s="13">
        <f t="shared" si="16"/>
        <v>0</v>
      </c>
      <c r="K118" s="13">
        <f t="shared" si="17"/>
        <v>160223</v>
      </c>
      <c r="L118" s="13">
        <f t="shared" si="9"/>
        <v>480669</v>
      </c>
      <c r="M118" s="11" t="s">
        <v>1422</v>
      </c>
    </row>
    <row r="119" spans="1:13">
      <c r="A119" s="11" t="s">
        <v>1520</v>
      </c>
      <c r="B119" s="11" t="s">
        <v>1521</v>
      </c>
      <c r="C119" s="13">
        <v>2</v>
      </c>
      <c r="D119" s="11" t="s">
        <v>188</v>
      </c>
      <c r="E119" s="13">
        <v>72520</v>
      </c>
      <c r="F119" s="13">
        <f t="shared" si="14"/>
        <v>145040</v>
      </c>
      <c r="G119" s="13">
        <v>0</v>
      </c>
      <c r="H119" s="13">
        <f t="shared" si="15"/>
        <v>0</v>
      </c>
      <c r="I119" s="13">
        <v>0</v>
      </c>
      <c r="J119" s="13">
        <f t="shared" si="16"/>
        <v>0</v>
      </c>
      <c r="K119" s="13">
        <f t="shared" si="17"/>
        <v>72520</v>
      </c>
      <c r="L119" s="13">
        <f t="shared" si="9"/>
        <v>145040</v>
      </c>
      <c r="M119" s="11"/>
    </row>
    <row r="120" spans="1:13">
      <c r="A120" s="11" t="s">
        <v>1522</v>
      </c>
      <c r="B120" s="11" t="s">
        <v>1523</v>
      </c>
      <c r="C120" s="13">
        <v>2</v>
      </c>
      <c r="D120" s="11" t="s">
        <v>188</v>
      </c>
      <c r="E120" s="13">
        <v>58260</v>
      </c>
      <c r="F120" s="13">
        <f t="shared" si="14"/>
        <v>116520</v>
      </c>
      <c r="G120" s="13">
        <v>0</v>
      </c>
      <c r="H120" s="13">
        <f t="shared" si="15"/>
        <v>0</v>
      </c>
      <c r="I120" s="13">
        <v>0</v>
      </c>
      <c r="J120" s="13">
        <f t="shared" si="16"/>
        <v>0</v>
      </c>
      <c r="K120" s="13">
        <f t="shared" si="17"/>
        <v>58260</v>
      </c>
      <c r="L120" s="13">
        <f t="shared" si="9"/>
        <v>116520</v>
      </c>
      <c r="M120" s="11"/>
    </row>
    <row r="121" spans="1:13">
      <c r="A121" s="11" t="s">
        <v>1524</v>
      </c>
      <c r="B121" s="11" t="s">
        <v>1525</v>
      </c>
      <c r="C121" s="13">
        <v>20</v>
      </c>
      <c r="D121" s="11" t="s">
        <v>188</v>
      </c>
      <c r="E121" s="13">
        <v>8720</v>
      </c>
      <c r="F121" s="13">
        <f t="shared" si="14"/>
        <v>174400</v>
      </c>
      <c r="G121" s="13">
        <v>0</v>
      </c>
      <c r="H121" s="13">
        <f t="shared" si="15"/>
        <v>0</v>
      </c>
      <c r="I121" s="13">
        <v>0</v>
      </c>
      <c r="J121" s="13">
        <f t="shared" si="16"/>
        <v>0</v>
      </c>
      <c r="K121" s="13">
        <f t="shared" si="17"/>
        <v>8720</v>
      </c>
      <c r="L121" s="13">
        <f t="shared" si="9"/>
        <v>174400</v>
      </c>
      <c r="M121" s="11"/>
    </row>
    <row r="122" spans="1:13">
      <c r="A122" s="11" t="s">
        <v>1526</v>
      </c>
      <c r="B122" s="11" t="s">
        <v>1527</v>
      </c>
      <c r="C122" s="13">
        <v>3</v>
      </c>
      <c r="D122" s="11" t="s">
        <v>188</v>
      </c>
      <c r="E122" s="13">
        <v>573000</v>
      </c>
      <c r="F122" s="13">
        <f t="shared" si="14"/>
        <v>1719000</v>
      </c>
      <c r="G122" s="13">
        <v>0</v>
      </c>
      <c r="H122" s="13">
        <f t="shared" si="15"/>
        <v>0</v>
      </c>
      <c r="I122" s="13">
        <v>0</v>
      </c>
      <c r="J122" s="13">
        <f t="shared" si="16"/>
        <v>0</v>
      </c>
      <c r="K122" s="13">
        <f t="shared" si="17"/>
        <v>573000</v>
      </c>
      <c r="L122" s="13">
        <f t="shared" si="9"/>
        <v>1719000</v>
      </c>
      <c r="M122" s="11"/>
    </row>
    <row r="123" spans="1:13">
      <c r="A123" s="11" t="s">
        <v>1528</v>
      </c>
      <c r="B123" s="11" t="s">
        <v>1529</v>
      </c>
      <c r="C123" s="13">
        <v>3</v>
      </c>
      <c r="D123" s="11" t="s">
        <v>188</v>
      </c>
      <c r="E123" s="13">
        <v>1082000</v>
      </c>
      <c r="F123" s="13">
        <f t="shared" si="14"/>
        <v>3246000</v>
      </c>
      <c r="G123" s="13">
        <v>0</v>
      </c>
      <c r="H123" s="13">
        <f t="shared" si="15"/>
        <v>0</v>
      </c>
      <c r="I123" s="13">
        <v>0</v>
      </c>
      <c r="J123" s="13">
        <f t="shared" si="16"/>
        <v>0</v>
      </c>
      <c r="K123" s="13">
        <f t="shared" si="17"/>
        <v>1082000</v>
      </c>
      <c r="L123" s="13">
        <f t="shared" si="9"/>
        <v>3246000</v>
      </c>
      <c r="M123" s="11"/>
    </row>
    <row r="124" spans="1:13">
      <c r="A124" s="11" t="s">
        <v>1530</v>
      </c>
      <c r="B124" s="11" t="s">
        <v>1531</v>
      </c>
      <c r="C124" s="13">
        <v>3</v>
      </c>
      <c r="D124" s="11" t="s">
        <v>188</v>
      </c>
      <c r="E124" s="13">
        <v>890000</v>
      </c>
      <c r="F124" s="13">
        <f t="shared" si="14"/>
        <v>2670000</v>
      </c>
      <c r="G124" s="13">
        <v>0</v>
      </c>
      <c r="H124" s="13">
        <f t="shared" si="15"/>
        <v>0</v>
      </c>
      <c r="I124" s="13">
        <v>0</v>
      </c>
      <c r="J124" s="13">
        <f t="shared" si="16"/>
        <v>0</v>
      </c>
      <c r="K124" s="13">
        <f t="shared" si="17"/>
        <v>890000</v>
      </c>
      <c r="L124" s="13">
        <f t="shared" si="9"/>
        <v>2670000</v>
      </c>
      <c r="M124" s="11"/>
    </row>
    <row r="125" spans="1:13">
      <c r="A125" s="11" t="s">
        <v>1532</v>
      </c>
      <c r="B125" s="11" t="s">
        <v>1533</v>
      </c>
      <c r="C125" s="13">
        <v>90</v>
      </c>
      <c r="D125" s="11" t="s">
        <v>188</v>
      </c>
      <c r="E125" s="13">
        <v>2740</v>
      </c>
      <c r="F125" s="13">
        <f t="shared" si="14"/>
        <v>246600</v>
      </c>
      <c r="G125" s="13">
        <v>0</v>
      </c>
      <c r="H125" s="13">
        <f t="shared" si="15"/>
        <v>0</v>
      </c>
      <c r="I125" s="13">
        <v>0</v>
      </c>
      <c r="J125" s="13">
        <f t="shared" si="16"/>
        <v>0</v>
      </c>
      <c r="K125" s="13">
        <f t="shared" si="17"/>
        <v>2740</v>
      </c>
      <c r="L125" s="13">
        <f t="shared" si="9"/>
        <v>246600</v>
      </c>
      <c r="M125" s="11"/>
    </row>
    <row r="126" spans="1:13">
      <c r="A126" s="11" t="s">
        <v>1534</v>
      </c>
      <c r="B126" s="11" t="s">
        <v>1535</v>
      </c>
      <c r="C126" s="13">
        <v>3</v>
      </c>
      <c r="D126" s="11" t="s">
        <v>188</v>
      </c>
      <c r="E126" s="13">
        <v>159000</v>
      </c>
      <c r="F126" s="13">
        <f t="shared" si="14"/>
        <v>477000</v>
      </c>
      <c r="G126" s="13">
        <v>0</v>
      </c>
      <c r="H126" s="13">
        <f t="shared" si="15"/>
        <v>0</v>
      </c>
      <c r="I126" s="13">
        <v>0</v>
      </c>
      <c r="J126" s="13">
        <f t="shared" si="16"/>
        <v>0</v>
      </c>
      <c r="K126" s="13">
        <f t="shared" si="17"/>
        <v>159000</v>
      </c>
      <c r="L126" s="13">
        <f t="shared" si="9"/>
        <v>477000</v>
      </c>
      <c r="M126" s="11"/>
    </row>
    <row r="127" spans="1:13">
      <c r="A127" s="11" t="s">
        <v>1441</v>
      </c>
      <c r="B127" s="11" t="s">
        <v>1442</v>
      </c>
      <c r="C127" s="13">
        <v>1</v>
      </c>
      <c r="D127" s="11" t="s">
        <v>1443</v>
      </c>
      <c r="E127" s="13">
        <v>14230</v>
      </c>
      <c r="F127" s="13">
        <f t="shared" si="14"/>
        <v>14230</v>
      </c>
      <c r="G127" s="13">
        <v>56783</v>
      </c>
      <c r="H127" s="13">
        <f t="shared" si="15"/>
        <v>56783</v>
      </c>
      <c r="I127" s="13">
        <v>16378</v>
      </c>
      <c r="J127" s="13">
        <f t="shared" si="16"/>
        <v>16378</v>
      </c>
      <c r="K127" s="13">
        <f t="shared" si="17"/>
        <v>87391</v>
      </c>
      <c r="L127" s="13">
        <f t="shared" si="9"/>
        <v>87391</v>
      </c>
      <c r="M127" s="11"/>
    </row>
    <row r="128" spans="1:13">
      <c r="A128" s="11" t="s">
        <v>1536</v>
      </c>
      <c r="B128" s="11" t="s">
        <v>1537</v>
      </c>
      <c r="C128" s="13">
        <v>5</v>
      </c>
      <c r="D128" s="11" t="s">
        <v>188</v>
      </c>
      <c r="E128" s="13">
        <v>1761000</v>
      </c>
      <c r="F128" s="13">
        <f t="shared" si="14"/>
        <v>8805000</v>
      </c>
      <c r="G128" s="13">
        <v>0</v>
      </c>
      <c r="H128" s="13">
        <f t="shared" si="15"/>
        <v>0</v>
      </c>
      <c r="I128" s="13">
        <v>0</v>
      </c>
      <c r="J128" s="13">
        <f t="shared" si="16"/>
        <v>0</v>
      </c>
      <c r="K128" s="13">
        <f t="shared" si="17"/>
        <v>1761000</v>
      </c>
      <c r="L128" s="13">
        <f t="shared" si="9"/>
        <v>8805000</v>
      </c>
      <c r="M128" s="11"/>
    </row>
    <row r="129" spans="1:13">
      <c r="A129" s="11" t="s">
        <v>1538</v>
      </c>
      <c r="B129" s="11" t="s">
        <v>1539</v>
      </c>
      <c r="C129" s="13">
        <v>3</v>
      </c>
      <c r="D129" s="11" t="s">
        <v>188</v>
      </c>
      <c r="E129" s="13">
        <v>4722000</v>
      </c>
      <c r="F129" s="13">
        <f t="shared" si="14"/>
        <v>14166000</v>
      </c>
      <c r="G129" s="13">
        <v>0</v>
      </c>
      <c r="H129" s="13">
        <f t="shared" si="15"/>
        <v>0</v>
      </c>
      <c r="I129" s="13">
        <v>0</v>
      </c>
      <c r="J129" s="13">
        <f t="shared" si="16"/>
        <v>0</v>
      </c>
      <c r="K129" s="13">
        <f t="shared" si="17"/>
        <v>4722000</v>
      </c>
      <c r="L129" s="13">
        <f t="shared" si="9"/>
        <v>14166000</v>
      </c>
      <c r="M129" s="11"/>
    </row>
    <row r="130" spans="1:13">
      <c r="A130" s="11" t="s">
        <v>1540</v>
      </c>
      <c r="B130" s="11" t="s">
        <v>1541</v>
      </c>
      <c r="C130" s="13">
        <v>9</v>
      </c>
      <c r="D130" s="11" t="s">
        <v>188</v>
      </c>
      <c r="E130" s="13">
        <v>243620</v>
      </c>
      <c r="F130" s="13">
        <f t="shared" si="14"/>
        <v>2192580</v>
      </c>
      <c r="G130" s="13">
        <v>0</v>
      </c>
      <c r="H130" s="13">
        <f t="shared" si="15"/>
        <v>0</v>
      </c>
      <c r="I130" s="13">
        <v>0</v>
      </c>
      <c r="J130" s="13">
        <f t="shared" si="16"/>
        <v>0</v>
      </c>
      <c r="K130" s="13">
        <f t="shared" si="17"/>
        <v>243620</v>
      </c>
      <c r="L130" s="13">
        <f t="shared" si="9"/>
        <v>2192580</v>
      </c>
      <c r="M130" s="11"/>
    </row>
    <row r="131" spans="1:13">
      <c r="A131" s="11" t="s">
        <v>1540</v>
      </c>
      <c r="B131" s="11" t="s">
        <v>1542</v>
      </c>
      <c r="C131" s="13">
        <v>3</v>
      </c>
      <c r="D131" s="11" t="s">
        <v>188</v>
      </c>
      <c r="E131" s="13">
        <v>274300</v>
      </c>
      <c r="F131" s="13">
        <f t="shared" si="14"/>
        <v>822900</v>
      </c>
      <c r="G131" s="13">
        <v>0</v>
      </c>
      <c r="H131" s="13">
        <f t="shared" si="15"/>
        <v>0</v>
      </c>
      <c r="I131" s="13">
        <v>0</v>
      </c>
      <c r="J131" s="13">
        <f t="shared" si="16"/>
        <v>0</v>
      </c>
      <c r="K131" s="13">
        <f t="shared" si="17"/>
        <v>274300</v>
      </c>
      <c r="L131" s="13">
        <f t="shared" ref="L131:L194" si="18">F131+H131+J131</f>
        <v>822900</v>
      </c>
      <c r="M131" s="11"/>
    </row>
    <row r="132" spans="1:13">
      <c r="A132" s="11" t="s">
        <v>1543</v>
      </c>
      <c r="B132" s="11" t="s">
        <v>1544</v>
      </c>
      <c r="C132" s="13">
        <v>3</v>
      </c>
      <c r="D132" s="11" t="s">
        <v>188</v>
      </c>
      <c r="E132" s="13">
        <v>215890</v>
      </c>
      <c r="F132" s="13">
        <f t="shared" si="14"/>
        <v>647670</v>
      </c>
      <c r="G132" s="13">
        <v>0</v>
      </c>
      <c r="H132" s="13">
        <f t="shared" si="15"/>
        <v>0</v>
      </c>
      <c r="I132" s="13">
        <v>0</v>
      </c>
      <c r="J132" s="13">
        <f t="shared" si="16"/>
        <v>0</v>
      </c>
      <c r="K132" s="13">
        <f t="shared" si="17"/>
        <v>215890</v>
      </c>
      <c r="L132" s="13">
        <f t="shared" si="18"/>
        <v>647670</v>
      </c>
      <c r="M132" s="11"/>
    </row>
    <row r="133" spans="1:13">
      <c r="A133" s="11" t="s">
        <v>1543</v>
      </c>
      <c r="B133" s="11" t="s">
        <v>1545</v>
      </c>
      <c r="C133" s="13">
        <v>3</v>
      </c>
      <c r="D133" s="11" t="s">
        <v>188</v>
      </c>
      <c r="E133" s="13">
        <v>158460</v>
      </c>
      <c r="F133" s="13">
        <f t="shared" si="14"/>
        <v>475380</v>
      </c>
      <c r="G133" s="13">
        <v>0</v>
      </c>
      <c r="H133" s="13">
        <f t="shared" si="15"/>
        <v>0</v>
      </c>
      <c r="I133" s="13">
        <v>0</v>
      </c>
      <c r="J133" s="13">
        <f t="shared" si="16"/>
        <v>0</v>
      </c>
      <c r="K133" s="13">
        <f t="shared" si="17"/>
        <v>158460</v>
      </c>
      <c r="L133" s="13">
        <f t="shared" si="18"/>
        <v>475380</v>
      </c>
      <c r="M133" s="11"/>
    </row>
    <row r="134" spans="1:13">
      <c r="A134" s="11" t="s">
        <v>1546</v>
      </c>
      <c r="B134" s="11" t="s">
        <v>1530</v>
      </c>
      <c r="C134" s="13">
        <v>1</v>
      </c>
      <c r="D134" s="11" t="s">
        <v>188</v>
      </c>
      <c r="E134" s="13">
        <v>5951000</v>
      </c>
      <c r="F134" s="13">
        <f t="shared" si="14"/>
        <v>5951000</v>
      </c>
      <c r="G134" s="13">
        <v>0</v>
      </c>
      <c r="H134" s="13">
        <f t="shared" si="15"/>
        <v>0</v>
      </c>
      <c r="I134" s="13">
        <v>0</v>
      </c>
      <c r="J134" s="13">
        <f t="shared" si="16"/>
        <v>0</v>
      </c>
      <c r="K134" s="13">
        <f t="shared" si="17"/>
        <v>5951000</v>
      </c>
      <c r="L134" s="13">
        <f t="shared" si="18"/>
        <v>5951000</v>
      </c>
      <c r="M134" s="11"/>
    </row>
    <row r="135" spans="1:13">
      <c r="A135" s="11" t="s">
        <v>1547</v>
      </c>
      <c r="B135" s="11" t="s">
        <v>1548</v>
      </c>
      <c r="C135" s="13">
        <v>30</v>
      </c>
      <c r="D135" s="11" t="s">
        <v>188</v>
      </c>
      <c r="E135" s="13">
        <v>4600</v>
      </c>
      <c r="F135" s="13">
        <f t="shared" si="14"/>
        <v>138000</v>
      </c>
      <c r="G135" s="13">
        <v>0</v>
      </c>
      <c r="H135" s="13">
        <f t="shared" si="15"/>
        <v>0</v>
      </c>
      <c r="I135" s="13">
        <v>0</v>
      </c>
      <c r="J135" s="13">
        <f t="shared" si="16"/>
        <v>0</v>
      </c>
      <c r="K135" s="13">
        <f t="shared" si="17"/>
        <v>4600</v>
      </c>
      <c r="L135" s="13">
        <f t="shared" si="18"/>
        <v>138000</v>
      </c>
      <c r="M135" s="11"/>
    </row>
    <row r="136" spans="1:13">
      <c r="A136" s="11" t="s">
        <v>1547</v>
      </c>
      <c r="B136" s="11" t="s">
        <v>1549</v>
      </c>
      <c r="C136" s="13">
        <v>30</v>
      </c>
      <c r="D136" s="11" t="s">
        <v>188</v>
      </c>
      <c r="E136" s="13">
        <v>5580</v>
      </c>
      <c r="F136" s="13">
        <f t="shared" si="14"/>
        <v>167400</v>
      </c>
      <c r="G136" s="13">
        <v>0</v>
      </c>
      <c r="H136" s="13">
        <f t="shared" si="15"/>
        <v>0</v>
      </c>
      <c r="I136" s="13">
        <v>0</v>
      </c>
      <c r="J136" s="13">
        <f t="shared" si="16"/>
        <v>0</v>
      </c>
      <c r="K136" s="13">
        <f t="shared" si="17"/>
        <v>5580</v>
      </c>
      <c r="L136" s="13">
        <f t="shared" si="18"/>
        <v>167400</v>
      </c>
      <c r="M136" s="11"/>
    </row>
    <row r="137" spans="1:13">
      <c r="A137" s="11" t="s">
        <v>1550</v>
      </c>
      <c r="B137" s="11" t="s">
        <v>1551</v>
      </c>
      <c r="C137" s="13">
        <v>16</v>
      </c>
      <c r="D137" s="11" t="s">
        <v>188</v>
      </c>
      <c r="E137" s="13">
        <v>27930</v>
      </c>
      <c r="F137" s="13">
        <f t="shared" si="14"/>
        <v>446880</v>
      </c>
      <c r="G137" s="13">
        <v>0</v>
      </c>
      <c r="H137" s="13">
        <f t="shared" si="15"/>
        <v>0</v>
      </c>
      <c r="I137" s="13">
        <v>0</v>
      </c>
      <c r="J137" s="13">
        <f t="shared" si="16"/>
        <v>0</v>
      </c>
      <c r="K137" s="13">
        <f t="shared" si="17"/>
        <v>27930</v>
      </c>
      <c r="L137" s="13">
        <f t="shared" si="18"/>
        <v>446880</v>
      </c>
      <c r="M137" s="11"/>
    </row>
    <row r="138" spans="1:13">
      <c r="A138" s="11" t="s">
        <v>1550</v>
      </c>
      <c r="B138" s="11" t="s">
        <v>1552</v>
      </c>
      <c r="C138" s="13">
        <v>12</v>
      </c>
      <c r="D138" s="11" t="s">
        <v>188</v>
      </c>
      <c r="E138" s="13">
        <v>54290</v>
      </c>
      <c r="F138" s="13">
        <f t="shared" si="14"/>
        <v>651480</v>
      </c>
      <c r="G138" s="13">
        <v>0</v>
      </c>
      <c r="H138" s="13">
        <f t="shared" si="15"/>
        <v>0</v>
      </c>
      <c r="I138" s="13">
        <v>0</v>
      </c>
      <c r="J138" s="13">
        <f t="shared" si="16"/>
        <v>0</v>
      </c>
      <c r="K138" s="13">
        <f t="shared" si="17"/>
        <v>54290</v>
      </c>
      <c r="L138" s="13">
        <f t="shared" si="18"/>
        <v>651480</v>
      </c>
      <c r="M138" s="11"/>
    </row>
    <row r="139" spans="1:13">
      <c r="A139" s="11" t="s">
        <v>1550</v>
      </c>
      <c r="B139" s="11" t="s">
        <v>1553</v>
      </c>
      <c r="C139" s="13">
        <v>9</v>
      </c>
      <c r="D139" s="11" t="s">
        <v>188</v>
      </c>
      <c r="E139" s="13">
        <v>124850</v>
      </c>
      <c r="F139" s="13">
        <f t="shared" si="14"/>
        <v>1123650</v>
      </c>
      <c r="G139" s="13">
        <v>0</v>
      </c>
      <c r="H139" s="13">
        <f t="shared" si="15"/>
        <v>0</v>
      </c>
      <c r="I139" s="13">
        <v>0</v>
      </c>
      <c r="J139" s="13">
        <f t="shared" si="16"/>
        <v>0</v>
      </c>
      <c r="K139" s="13">
        <f t="shared" si="17"/>
        <v>124850</v>
      </c>
      <c r="L139" s="13">
        <f t="shared" si="18"/>
        <v>1123650</v>
      </c>
      <c r="M139" s="11"/>
    </row>
    <row r="140" spans="1:13">
      <c r="A140" s="11" t="s">
        <v>1550</v>
      </c>
      <c r="B140" s="11" t="s">
        <v>1554</v>
      </c>
      <c r="C140" s="13">
        <v>3</v>
      </c>
      <c r="D140" s="11" t="s">
        <v>188</v>
      </c>
      <c r="E140" s="13">
        <v>109760</v>
      </c>
      <c r="F140" s="13">
        <f t="shared" si="14"/>
        <v>329280</v>
      </c>
      <c r="G140" s="13">
        <v>0</v>
      </c>
      <c r="H140" s="13">
        <f t="shared" si="15"/>
        <v>0</v>
      </c>
      <c r="I140" s="13">
        <v>0</v>
      </c>
      <c r="J140" s="13">
        <f t="shared" si="16"/>
        <v>0</v>
      </c>
      <c r="K140" s="13">
        <f t="shared" si="17"/>
        <v>109760</v>
      </c>
      <c r="L140" s="13">
        <f t="shared" si="18"/>
        <v>329280</v>
      </c>
      <c r="M140" s="11"/>
    </row>
    <row r="141" spans="1:13">
      <c r="A141" s="11" t="s">
        <v>1555</v>
      </c>
      <c r="B141" s="11" t="s">
        <v>1556</v>
      </c>
      <c r="C141" s="13">
        <v>9</v>
      </c>
      <c r="D141" s="11" t="s">
        <v>188</v>
      </c>
      <c r="E141" s="13">
        <v>355000</v>
      </c>
      <c r="F141" s="13">
        <f t="shared" si="14"/>
        <v>3195000</v>
      </c>
      <c r="G141" s="13">
        <v>0</v>
      </c>
      <c r="H141" s="13">
        <f t="shared" si="15"/>
        <v>0</v>
      </c>
      <c r="I141" s="13">
        <v>0</v>
      </c>
      <c r="J141" s="13">
        <f t="shared" si="16"/>
        <v>0</v>
      </c>
      <c r="K141" s="13">
        <f t="shared" si="17"/>
        <v>355000</v>
      </c>
      <c r="L141" s="13">
        <f t="shared" si="18"/>
        <v>3195000</v>
      </c>
      <c r="M141" s="11"/>
    </row>
    <row r="142" spans="1:13">
      <c r="A142" s="11" t="s">
        <v>1557</v>
      </c>
      <c r="B142" s="11" t="s">
        <v>1558</v>
      </c>
      <c r="C142" s="13">
        <v>6</v>
      </c>
      <c r="D142" s="11" t="s">
        <v>188</v>
      </c>
      <c r="E142" s="13">
        <v>61440</v>
      </c>
      <c r="F142" s="13">
        <f t="shared" si="14"/>
        <v>368640</v>
      </c>
      <c r="G142" s="13">
        <v>0</v>
      </c>
      <c r="H142" s="13">
        <f t="shared" si="15"/>
        <v>0</v>
      </c>
      <c r="I142" s="13">
        <v>0</v>
      </c>
      <c r="J142" s="13">
        <f t="shared" si="16"/>
        <v>0</v>
      </c>
      <c r="K142" s="13">
        <f t="shared" si="17"/>
        <v>61440</v>
      </c>
      <c r="L142" s="13">
        <f t="shared" si="18"/>
        <v>368640</v>
      </c>
      <c r="M142" s="11"/>
    </row>
    <row r="143" spans="1:13">
      <c r="A143" s="11" t="s">
        <v>1557</v>
      </c>
      <c r="B143" s="11" t="s">
        <v>1559</v>
      </c>
      <c r="C143" s="13">
        <v>3</v>
      </c>
      <c r="D143" s="11" t="s">
        <v>188</v>
      </c>
      <c r="E143" s="13">
        <v>107500</v>
      </c>
      <c r="F143" s="13">
        <f t="shared" si="14"/>
        <v>322500</v>
      </c>
      <c r="G143" s="13">
        <v>0</v>
      </c>
      <c r="H143" s="13">
        <f t="shared" si="15"/>
        <v>0</v>
      </c>
      <c r="I143" s="13">
        <v>0</v>
      </c>
      <c r="J143" s="13">
        <f t="shared" si="16"/>
        <v>0</v>
      </c>
      <c r="K143" s="13">
        <f t="shared" si="17"/>
        <v>107500</v>
      </c>
      <c r="L143" s="13">
        <f t="shared" si="18"/>
        <v>322500</v>
      </c>
      <c r="M143" s="11"/>
    </row>
    <row r="144" spans="1:13">
      <c r="A144" s="11" t="s">
        <v>1560</v>
      </c>
      <c r="B144" s="11" t="s">
        <v>1561</v>
      </c>
      <c r="C144" s="13">
        <v>1</v>
      </c>
      <c r="D144" s="11" t="s">
        <v>25</v>
      </c>
      <c r="E144" s="13">
        <v>0</v>
      </c>
      <c r="F144" s="13">
        <f t="shared" si="14"/>
        <v>0</v>
      </c>
      <c r="G144" s="13">
        <v>0</v>
      </c>
      <c r="H144" s="13">
        <f t="shared" si="15"/>
        <v>0</v>
      </c>
      <c r="I144" s="13">
        <v>3800000</v>
      </c>
      <c r="J144" s="13">
        <f t="shared" si="16"/>
        <v>3800000</v>
      </c>
      <c r="K144" s="13">
        <f t="shared" si="17"/>
        <v>3800000</v>
      </c>
      <c r="L144" s="13">
        <f t="shared" si="18"/>
        <v>3800000</v>
      </c>
      <c r="M144" s="11"/>
    </row>
    <row r="145" spans="1:13">
      <c r="A145" s="19" t="s">
        <v>1562</v>
      </c>
      <c r="B145" s="21"/>
      <c r="C145" s="21"/>
      <c r="D145" s="21"/>
      <c r="E145" s="21"/>
      <c r="F145" s="22">
        <f>SUM(F146:F146)</f>
        <v>23670000</v>
      </c>
      <c r="G145" s="21"/>
      <c r="H145" s="22">
        <f>SUM(H146:H146)</f>
        <v>0</v>
      </c>
      <c r="I145" s="21"/>
      <c r="J145" s="22">
        <f>SUM(J146:J146)</f>
        <v>0</v>
      </c>
      <c r="K145" s="21"/>
      <c r="L145" s="22">
        <f t="shared" si="18"/>
        <v>23670000</v>
      </c>
      <c r="M145" s="21"/>
    </row>
    <row r="146" spans="1:13">
      <c r="A146" s="11" t="s">
        <v>1563</v>
      </c>
      <c r="B146" s="11"/>
      <c r="C146" s="13">
        <v>1</v>
      </c>
      <c r="D146" s="11" t="s">
        <v>1564</v>
      </c>
      <c r="E146" s="13">
        <v>23670000</v>
      </c>
      <c r="F146" s="13">
        <f>ROUND(E146*C146,0)</f>
        <v>23670000</v>
      </c>
      <c r="G146" s="13">
        <v>0</v>
      </c>
      <c r="H146" s="13">
        <f>ROUND(G146*C146,0)</f>
        <v>0</v>
      </c>
      <c r="I146" s="13">
        <v>0</v>
      </c>
      <c r="J146" s="13">
        <f>ROUND(I146*C146,0)</f>
        <v>0</v>
      </c>
      <c r="K146" s="13">
        <f>E146+G146+I146</f>
        <v>23670000</v>
      </c>
      <c r="L146" s="13">
        <f t="shared" si="18"/>
        <v>23670000</v>
      </c>
      <c r="M146" s="11"/>
    </row>
    <row r="147" spans="1:13">
      <c r="A147" s="19" t="s">
        <v>1565</v>
      </c>
      <c r="B147" s="21"/>
      <c r="C147" s="21"/>
      <c r="D147" s="21"/>
      <c r="E147" s="21"/>
      <c r="F147" s="22">
        <f>SUM(F148:F179)</f>
        <v>107230642</v>
      </c>
      <c r="G147" s="21"/>
      <c r="H147" s="22">
        <f>SUM(H148:H179)</f>
        <v>45325501</v>
      </c>
      <c r="I147" s="21"/>
      <c r="J147" s="22">
        <f>SUM(J148:J179)</f>
        <v>1944214</v>
      </c>
      <c r="K147" s="21"/>
      <c r="L147" s="22">
        <f t="shared" si="18"/>
        <v>154500357</v>
      </c>
      <c r="M147" s="21"/>
    </row>
    <row r="148" spans="1:13">
      <c r="A148" s="11" t="s">
        <v>1355</v>
      </c>
      <c r="B148" s="11" t="s">
        <v>1356</v>
      </c>
      <c r="C148" s="13">
        <v>1313</v>
      </c>
      <c r="D148" s="11" t="s">
        <v>240</v>
      </c>
      <c r="E148" s="13">
        <v>945</v>
      </c>
      <c r="F148" s="13">
        <f t="shared" ref="F148:F179" si="19">ROUND(E148*C148,0)</f>
        <v>1240785</v>
      </c>
      <c r="G148" s="13">
        <v>9002</v>
      </c>
      <c r="H148" s="13">
        <f t="shared" ref="H148:H179" si="20">ROUND(G148*C148,0)</f>
        <v>11819626</v>
      </c>
      <c r="I148" s="13">
        <v>0</v>
      </c>
      <c r="J148" s="13">
        <f t="shared" ref="J148:J179" si="21">ROUND(I148*C148,0)</f>
        <v>0</v>
      </c>
      <c r="K148" s="13">
        <f t="shared" ref="K148:K179" si="22">E148+G148+I148</f>
        <v>9947</v>
      </c>
      <c r="L148" s="13">
        <f t="shared" si="18"/>
        <v>13060411</v>
      </c>
      <c r="M148" s="11" t="s">
        <v>1357</v>
      </c>
    </row>
    <row r="149" spans="1:13">
      <c r="A149" s="11" t="s">
        <v>1360</v>
      </c>
      <c r="B149" s="11" t="s">
        <v>1361</v>
      </c>
      <c r="C149" s="13">
        <v>16</v>
      </c>
      <c r="D149" s="11" t="s">
        <v>240</v>
      </c>
      <c r="E149" s="13">
        <v>1879</v>
      </c>
      <c r="F149" s="13">
        <f t="shared" si="19"/>
        <v>30064</v>
      </c>
      <c r="G149" s="13">
        <v>2463</v>
      </c>
      <c r="H149" s="13">
        <f t="shared" si="20"/>
        <v>39408</v>
      </c>
      <c r="I149" s="13">
        <v>0</v>
      </c>
      <c r="J149" s="13">
        <f t="shared" si="21"/>
        <v>0</v>
      </c>
      <c r="K149" s="13">
        <f t="shared" si="22"/>
        <v>4342</v>
      </c>
      <c r="L149" s="13">
        <f t="shared" si="18"/>
        <v>69472</v>
      </c>
      <c r="M149" s="11" t="s">
        <v>1362</v>
      </c>
    </row>
    <row r="150" spans="1:13">
      <c r="A150" s="11" t="s">
        <v>1363</v>
      </c>
      <c r="B150" s="11" t="s">
        <v>1364</v>
      </c>
      <c r="C150" s="13">
        <v>1392</v>
      </c>
      <c r="D150" s="11" t="s">
        <v>240</v>
      </c>
      <c r="E150" s="13">
        <v>3116</v>
      </c>
      <c r="F150" s="13">
        <f t="shared" si="19"/>
        <v>4337472</v>
      </c>
      <c r="G150" s="13">
        <v>2463</v>
      </c>
      <c r="H150" s="13">
        <f t="shared" si="20"/>
        <v>3428496</v>
      </c>
      <c r="I150" s="13">
        <v>0</v>
      </c>
      <c r="J150" s="13">
        <f t="shared" si="21"/>
        <v>0</v>
      </c>
      <c r="K150" s="13">
        <f t="shared" si="22"/>
        <v>5579</v>
      </c>
      <c r="L150" s="13">
        <f t="shared" si="18"/>
        <v>7765968</v>
      </c>
      <c r="M150" s="11" t="s">
        <v>1365</v>
      </c>
    </row>
    <row r="151" spans="1:13">
      <c r="A151" s="11" t="s">
        <v>1363</v>
      </c>
      <c r="B151" s="11" t="s">
        <v>1366</v>
      </c>
      <c r="C151" s="13">
        <v>9</v>
      </c>
      <c r="D151" s="11" t="s">
        <v>240</v>
      </c>
      <c r="E151" s="13">
        <v>4094</v>
      </c>
      <c r="F151" s="13">
        <f t="shared" si="19"/>
        <v>36846</v>
      </c>
      <c r="G151" s="13">
        <v>2873</v>
      </c>
      <c r="H151" s="13">
        <f t="shared" si="20"/>
        <v>25857</v>
      </c>
      <c r="I151" s="13">
        <v>0</v>
      </c>
      <c r="J151" s="13">
        <f t="shared" si="21"/>
        <v>0</v>
      </c>
      <c r="K151" s="13">
        <f t="shared" si="22"/>
        <v>6967</v>
      </c>
      <c r="L151" s="13">
        <f t="shared" si="18"/>
        <v>62703</v>
      </c>
      <c r="M151" s="11" t="s">
        <v>1367</v>
      </c>
    </row>
    <row r="152" spans="1:13">
      <c r="A152" s="11" t="s">
        <v>1368</v>
      </c>
      <c r="B152" s="11" t="s">
        <v>1369</v>
      </c>
      <c r="C152" s="13">
        <v>517</v>
      </c>
      <c r="D152" s="11" t="s">
        <v>240</v>
      </c>
      <c r="E152" s="13">
        <v>2116</v>
      </c>
      <c r="F152" s="13">
        <f t="shared" si="19"/>
        <v>1093972</v>
      </c>
      <c r="G152" s="13">
        <v>4258</v>
      </c>
      <c r="H152" s="13">
        <f t="shared" si="20"/>
        <v>2201386</v>
      </c>
      <c r="I152" s="13">
        <v>0</v>
      </c>
      <c r="J152" s="13">
        <f t="shared" si="21"/>
        <v>0</v>
      </c>
      <c r="K152" s="13">
        <f t="shared" si="22"/>
        <v>6374</v>
      </c>
      <c r="L152" s="13">
        <f t="shared" si="18"/>
        <v>3295358</v>
      </c>
      <c r="M152" s="11" t="s">
        <v>1370</v>
      </c>
    </row>
    <row r="153" spans="1:13">
      <c r="A153" s="11" t="s">
        <v>1371</v>
      </c>
      <c r="B153" s="11" t="s">
        <v>1372</v>
      </c>
      <c r="C153" s="13">
        <v>263</v>
      </c>
      <c r="D153" s="11" t="s">
        <v>240</v>
      </c>
      <c r="E153" s="13">
        <v>4423</v>
      </c>
      <c r="F153" s="13">
        <f t="shared" si="19"/>
        <v>1163249</v>
      </c>
      <c r="G153" s="13">
        <v>0</v>
      </c>
      <c r="H153" s="13">
        <f t="shared" si="20"/>
        <v>0</v>
      </c>
      <c r="I153" s="13">
        <v>0</v>
      </c>
      <c r="J153" s="13">
        <f t="shared" si="21"/>
        <v>0</v>
      </c>
      <c r="K153" s="13">
        <f t="shared" si="22"/>
        <v>4423</v>
      </c>
      <c r="L153" s="13">
        <f t="shared" si="18"/>
        <v>1163249</v>
      </c>
      <c r="M153" s="11"/>
    </row>
    <row r="154" spans="1:13">
      <c r="A154" s="11" t="s">
        <v>1371</v>
      </c>
      <c r="B154" s="11" t="s">
        <v>1566</v>
      </c>
      <c r="C154" s="13">
        <v>52</v>
      </c>
      <c r="D154" s="11" t="s">
        <v>240</v>
      </c>
      <c r="E154" s="13">
        <v>14046</v>
      </c>
      <c r="F154" s="13">
        <f t="shared" si="19"/>
        <v>730392</v>
      </c>
      <c r="G154" s="13">
        <v>0</v>
      </c>
      <c r="H154" s="13">
        <f t="shared" si="20"/>
        <v>0</v>
      </c>
      <c r="I154" s="13">
        <v>0</v>
      </c>
      <c r="J154" s="13">
        <f t="shared" si="21"/>
        <v>0</v>
      </c>
      <c r="K154" s="13">
        <f t="shared" si="22"/>
        <v>14046</v>
      </c>
      <c r="L154" s="13">
        <f t="shared" si="18"/>
        <v>730392</v>
      </c>
      <c r="M154" s="11"/>
    </row>
    <row r="155" spans="1:13">
      <c r="A155" s="11" t="s">
        <v>1371</v>
      </c>
      <c r="B155" s="11" t="s">
        <v>1374</v>
      </c>
      <c r="C155" s="13">
        <v>1056</v>
      </c>
      <c r="D155" s="11" t="s">
        <v>240</v>
      </c>
      <c r="E155" s="13">
        <v>8027</v>
      </c>
      <c r="F155" s="13">
        <f t="shared" si="19"/>
        <v>8476512</v>
      </c>
      <c r="G155" s="13">
        <v>0</v>
      </c>
      <c r="H155" s="13">
        <f t="shared" si="20"/>
        <v>0</v>
      </c>
      <c r="I155" s="13">
        <v>0</v>
      </c>
      <c r="J155" s="13">
        <f t="shared" si="21"/>
        <v>0</v>
      </c>
      <c r="K155" s="13">
        <f t="shared" si="22"/>
        <v>8027</v>
      </c>
      <c r="L155" s="13">
        <f t="shared" si="18"/>
        <v>8476512</v>
      </c>
      <c r="M155" s="11"/>
    </row>
    <row r="156" spans="1:13">
      <c r="A156" s="11" t="s">
        <v>1376</v>
      </c>
      <c r="B156" s="11" t="s">
        <v>1377</v>
      </c>
      <c r="C156" s="13">
        <v>3</v>
      </c>
      <c r="D156" s="11" t="s">
        <v>188</v>
      </c>
      <c r="E156" s="13">
        <v>7096</v>
      </c>
      <c r="F156" s="13">
        <f t="shared" si="19"/>
        <v>21288</v>
      </c>
      <c r="G156" s="13">
        <v>43869</v>
      </c>
      <c r="H156" s="13">
        <f t="shared" si="20"/>
        <v>131607</v>
      </c>
      <c r="I156" s="13">
        <v>0</v>
      </c>
      <c r="J156" s="13">
        <f t="shared" si="21"/>
        <v>0</v>
      </c>
      <c r="K156" s="13">
        <f t="shared" si="22"/>
        <v>50965</v>
      </c>
      <c r="L156" s="13">
        <f t="shared" si="18"/>
        <v>152895</v>
      </c>
      <c r="M156" s="11" t="s">
        <v>1378</v>
      </c>
    </row>
    <row r="157" spans="1:13">
      <c r="A157" s="11" t="s">
        <v>1379</v>
      </c>
      <c r="B157" s="11" t="s">
        <v>1380</v>
      </c>
      <c r="C157" s="13">
        <v>4</v>
      </c>
      <c r="D157" s="11" t="s">
        <v>188</v>
      </c>
      <c r="E157" s="13">
        <v>721</v>
      </c>
      <c r="F157" s="13">
        <f t="shared" si="19"/>
        <v>2884</v>
      </c>
      <c r="G157" s="13">
        <v>7389</v>
      </c>
      <c r="H157" s="13">
        <f t="shared" si="20"/>
        <v>29556</v>
      </c>
      <c r="I157" s="13">
        <v>0</v>
      </c>
      <c r="J157" s="13">
        <f t="shared" si="21"/>
        <v>0</v>
      </c>
      <c r="K157" s="13">
        <f t="shared" si="22"/>
        <v>8110</v>
      </c>
      <c r="L157" s="13">
        <f t="shared" si="18"/>
        <v>32440</v>
      </c>
      <c r="M157" s="11" t="s">
        <v>1381</v>
      </c>
    </row>
    <row r="158" spans="1:13">
      <c r="A158" s="11" t="s">
        <v>1382</v>
      </c>
      <c r="B158" s="11" t="s">
        <v>1383</v>
      </c>
      <c r="C158" s="13">
        <v>1216</v>
      </c>
      <c r="D158" s="11" t="s">
        <v>240</v>
      </c>
      <c r="E158" s="13">
        <v>187</v>
      </c>
      <c r="F158" s="13">
        <f t="shared" si="19"/>
        <v>227392</v>
      </c>
      <c r="G158" s="13">
        <v>237</v>
      </c>
      <c r="H158" s="13">
        <f t="shared" si="20"/>
        <v>288192</v>
      </c>
      <c r="I158" s="13">
        <v>0</v>
      </c>
      <c r="J158" s="13">
        <f t="shared" si="21"/>
        <v>0</v>
      </c>
      <c r="K158" s="13">
        <f t="shared" si="22"/>
        <v>424</v>
      </c>
      <c r="L158" s="13">
        <f t="shared" si="18"/>
        <v>515584</v>
      </c>
      <c r="M158" s="11" t="s">
        <v>1384</v>
      </c>
    </row>
    <row r="159" spans="1:13">
      <c r="A159" s="11" t="s">
        <v>1385</v>
      </c>
      <c r="B159" s="11" t="s">
        <v>1567</v>
      </c>
      <c r="C159" s="13">
        <v>4</v>
      </c>
      <c r="D159" s="11" t="s">
        <v>188</v>
      </c>
      <c r="E159" s="13">
        <v>1498</v>
      </c>
      <c r="F159" s="13">
        <f t="shared" si="19"/>
        <v>5992</v>
      </c>
      <c r="G159" s="13">
        <v>39418</v>
      </c>
      <c r="H159" s="13">
        <f t="shared" si="20"/>
        <v>157672</v>
      </c>
      <c r="I159" s="13">
        <v>0</v>
      </c>
      <c r="J159" s="13">
        <f t="shared" si="21"/>
        <v>0</v>
      </c>
      <c r="K159" s="13">
        <f t="shared" si="22"/>
        <v>40916</v>
      </c>
      <c r="L159" s="13">
        <f t="shared" si="18"/>
        <v>163664</v>
      </c>
      <c r="M159" s="11" t="s">
        <v>1568</v>
      </c>
    </row>
    <row r="160" spans="1:13">
      <c r="A160" s="11" t="s">
        <v>1388</v>
      </c>
      <c r="B160" s="11" t="s">
        <v>1391</v>
      </c>
      <c r="C160" s="13">
        <v>29</v>
      </c>
      <c r="D160" s="11" t="s">
        <v>25</v>
      </c>
      <c r="E160" s="13">
        <v>14212</v>
      </c>
      <c r="F160" s="13">
        <f t="shared" si="19"/>
        <v>412148</v>
      </c>
      <c r="G160" s="13">
        <v>153319</v>
      </c>
      <c r="H160" s="13">
        <f t="shared" si="20"/>
        <v>4446251</v>
      </c>
      <c r="I160" s="13">
        <v>37479</v>
      </c>
      <c r="J160" s="13">
        <f t="shared" si="21"/>
        <v>1086891</v>
      </c>
      <c r="K160" s="13">
        <f t="shared" si="22"/>
        <v>205010</v>
      </c>
      <c r="L160" s="13">
        <f t="shared" si="18"/>
        <v>5945290</v>
      </c>
      <c r="M160" s="11" t="s">
        <v>1392</v>
      </c>
    </row>
    <row r="161" spans="1:13">
      <c r="A161" s="11" t="s">
        <v>1393</v>
      </c>
      <c r="B161" s="11" t="s">
        <v>1394</v>
      </c>
      <c r="C161" s="24">
        <v>529.22</v>
      </c>
      <c r="D161" s="11" t="s">
        <v>108</v>
      </c>
      <c r="E161" s="13">
        <v>501</v>
      </c>
      <c r="F161" s="13">
        <f t="shared" si="19"/>
        <v>265139</v>
      </c>
      <c r="G161" s="13">
        <v>4659</v>
      </c>
      <c r="H161" s="13">
        <f t="shared" si="20"/>
        <v>2465636</v>
      </c>
      <c r="I161" s="13">
        <v>483</v>
      </c>
      <c r="J161" s="13">
        <f t="shared" si="21"/>
        <v>255613</v>
      </c>
      <c r="K161" s="13">
        <f t="shared" si="22"/>
        <v>5643</v>
      </c>
      <c r="L161" s="13">
        <f t="shared" si="18"/>
        <v>2986388</v>
      </c>
      <c r="M161" s="11" t="s">
        <v>1395</v>
      </c>
    </row>
    <row r="162" spans="1:13">
      <c r="A162" s="11" t="s">
        <v>1396</v>
      </c>
      <c r="B162" s="11" t="s">
        <v>1394</v>
      </c>
      <c r="C162" s="24">
        <v>499.78</v>
      </c>
      <c r="D162" s="11" t="s">
        <v>108</v>
      </c>
      <c r="E162" s="13">
        <v>449</v>
      </c>
      <c r="F162" s="13">
        <f t="shared" si="19"/>
        <v>224401</v>
      </c>
      <c r="G162" s="13">
        <v>2939</v>
      </c>
      <c r="H162" s="13">
        <f t="shared" si="20"/>
        <v>1468853</v>
      </c>
      <c r="I162" s="13">
        <v>483</v>
      </c>
      <c r="J162" s="13">
        <f t="shared" si="21"/>
        <v>241394</v>
      </c>
      <c r="K162" s="13">
        <f t="shared" si="22"/>
        <v>3871</v>
      </c>
      <c r="L162" s="13">
        <f t="shared" si="18"/>
        <v>1934648</v>
      </c>
      <c r="M162" s="11" t="s">
        <v>1397</v>
      </c>
    </row>
    <row r="163" spans="1:13">
      <c r="A163" s="11" t="s">
        <v>1398</v>
      </c>
      <c r="B163" s="11" t="s">
        <v>1399</v>
      </c>
      <c r="C163" s="24">
        <v>29.44</v>
      </c>
      <c r="D163" s="11" t="s">
        <v>108</v>
      </c>
      <c r="E163" s="13">
        <v>1032</v>
      </c>
      <c r="F163" s="13">
        <f t="shared" si="19"/>
        <v>30382</v>
      </c>
      <c r="G163" s="13">
        <v>34413</v>
      </c>
      <c r="H163" s="13">
        <f t="shared" si="20"/>
        <v>1013119</v>
      </c>
      <c r="I163" s="13">
        <v>0</v>
      </c>
      <c r="J163" s="13">
        <f t="shared" si="21"/>
        <v>0</v>
      </c>
      <c r="K163" s="13">
        <f t="shared" si="22"/>
        <v>35445</v>
      </c>
      <c r="L163" s="13">
        <f t="shared" si="18"/>
        <v>1043501</v>
      </c>
      <c r="M163" s="11" t="s">
        <v>1400</v>
      </c>
    </row>
    <row r="164" spans="1:13">
      <c r="A164" s="11" t="s">
        <v>1401</v>
      </c>
      <c r="B164" s="11" t="s">
        <v>1402</v>
      </c>
      <c r="C164" s="13">
        <v>1</v>
      </c>
      <c r="D164" s="11" t="s">
        <v>1060</v>
      </c>
      <c r="E164" s="13">
        <v>38396</v>
      </c>
      <c r="F164" s="13">
        <f t="shared" si="19"/>
        <v>38396</v>
      </c>
      <c r="G164" s="13">
        <v>110220</v>
      </c>
      <c r="H164" s="13">
        <f t="shared" si="20"/>
        <v>110220</v>
      </c>
      <c r="I164" s="13">
        <v>0</v>
      </c>
      <c r="J164" s="13">
        <f t="shared" si="21"/>
        <v>0</v>
      </c>
      <c r="K164" s="13">
        <f t="shared" si="22"/>
        <v>148616</v>
      </c>
      <c r="L164" s="13">
        <f t="shared" si="18"/>
        <v>148616</v>
      </c>
      <c r="M164" s="11" t="s">
        <v>1403</v>
      </c>
    </row>
    <row r="165" spans="1:13">
      <c r="A165" s="11" t="s">
        <v>1404</v>
      </c>
      <c r="B165" s="11"/>
      <c r="C165" s="13">
        <v>3</v>
      </c>
      <c r="D165" s="11" t="s">
        <v>1060</v>
      </c>
      <c r="E165" s="13">
        <v>2424</v>
      </c>
      <c r="F165" s="13">
        <f t="shared" si="19"/>
        <v>7272</v>
      </c>
      <c r="G165" s="13">
        <v>0</v>
      </c>
      <c r="H165" s="13">
        <f t="shared" si="20"/>
        <v>0</v>
      </c>
      <c r="I165" s="13">
        <v>0</v>
      </c>
      <c r="J165" s="13">
        <f t="shared" si="21"/>
        <v>0</v>
      </c>
      <c r="K165" s="13">
        <f t="shared" si="22"/>
        <v>2424</v>
      </c>
      <c r="L165" s="13">
        <f t="shared" si="18"/>
        <v>7272</v>
      </c>
      <c r="M165" s="11"/>
    </row>
    <row r="166" spans="1:13">
      <c r="A166" s="11" t="s">
        <v>1405</v>
      </c>
      <c r="B166" s="11" t="s">
        <v>1406</v>
      </c>
      <c r="C166" s="13">
        <v>256</v>
      </c>
      <c r="D166" s="11" t="s">
        <v>240</v>
      </c>
      <c r="E166" s="13">
        <v>131</v>
      </c>
      <c r="F166" s="13">
        <f t="shared" si="19"/>
        <v>33536</v>
      </c>
      <c r="G166" s="13">
        <v>4381</v>
      </c>
      <c r="H166" s="13">
        <f t="shared" si="20"/>
        <v>1121536</v>
      </c>
      <c r="I166" s="13">
        <v>0</v>
      </c>
      <c r="J166" s="13">
        <f t="shared" si="21"/>
        <v>0</v>
      </c>
      <c r="K166" s="13">
        <f t="shared" si="22"/>
        <v>4512</v>
      </c>
      <c r="L166" s="13">
        <f t="shared" si="18"/>
        <v>1155072</v>
      </c>
      <c r="M166" s="11" t="s">
        <v>1407</v>
      </c>
    </row>
    <row r="167" spans="1:13">
      <c r="A167" s="11" t="s">
        <v>1405</v>
      </c>
      <c r="B167" s="11" t="s">
        <v>1569</v>
      </c>
      <c r="C167" s="13">
        <v>57</v>
      </c>
      <c r="D167" s="11" t="s">
        <v>240</v>
      </c>
      <c r="E167" s="13">
        <v>178</v>
      </c>
      <c r="F167" s="13">
        <f t="shared" si="19"/>
        <v>10146</v>
      </c>
      <c r="G167" s="13">
        <v>5952</v>
      </c>
      <c r="H167" s="13">
        <f t="shared" si="20"/>
        <v>339264</v>
      </c>
      <c r="I167" s="13">
        <v>0</v>
      </c>
      <c r="J167" s="13">
        <f t="shared" si="21"/>
        <v>0</v>
      </c>
      <c r="K167" s="13">
        <f t="shared" si="22"/>
        <v>6130</v>
      </c>
      <c r="L167" s="13">
        <f t="shared" si="18"/>
        <v>349410</v>
      </c>
      <c r="M167" s="11" t="s">
        <v>1570</v>
      </c>
    </row>
    <row r="168" spans="1:13">
      <c r="A168" s="11" t="s">
        <v>1405</v>
      </c>
      <c r="B168" s="11" t="s">
        <v>1410</v>
      </c>
      <c r="C168" s="13">
        <v>1026</v>
      </c>
      <c r="D168" s="11" t="s">
        <v>240</v>
      </c>
      <c r="E168" s="13">
        <v>214</v>
      </c>
      <c r="F168" s="13">
        <f t="shared" si="19"/>
        <v>219564</v>
      </c>
      <c r="G168" s="13">
        <v>7143</v>
      </c>
      <c r="H168" s="13">
        <f t="shared" si="20"/>
        <v>7328718</v>
      </c>
      <c r="I168" s="13">
        <v>0</v>
      </c>
      <c r="J168" s="13">
        <f t="shared" si="21"/>
        <v>0</v>
      </c>
      <c r="K168" s="13">
        <f t="shared" si="22"/>
        <v>7357</v>
      </c>
      <c r="L168" s="13">
        <f t="shared" si="18"/>
        <v>7548282</v>
      </c>
      <c r="M168" s="11" t="s">
        <v>1411</v>
      </c>
    </row>
    <row r="169" spans="1:13">
      <c r="A169" s="11" t="s">
        <v>1414</v>
      </c>
      <c r="B169" s="11" t="s">
        <v>1415</v>
      </c>
      <c r="C169" s="13">
        <v>29</v>
      </c>
      <c r="D169" s="11" t="s">
        <v>188</v>
      </c>
      <c r="E169" s="13">
        <v>622655</v>
      </c>
      <c r="F169" s="13">
        <f t="shared" si="19"/>
        <v>18056995</v>
      </c>
      <c r="G169" s="13">
        <v>88522</v>
      </c>
      <c r="H169" s="13">
        <f t="shared" si="20"/>
        <v>2567138</v>
      </c>
      <c r="I169" s="13">
        <v>0</v>
      </c>
      <c r="J169" s="13">
        <f t="shared" si="21"/>
        <v>0</v>
      </c>
      <c r="K169" s="13">
        <f t="shared" si="22"/>
        <v>711177</v>
      </c>
      <c r="L169" s="13">
        <f t="shared" si="18"/>
        <v>20624133</v>
      </c>
      <c r="M169" s="11" t="s">
        <v>1416</v>
      </c>
    </row>
    <row r="170" spans="1:13">
      <c r="A170" s="11" t="s">
        <v>1423</v>
      </c>
      <c r="B170" s="11" t="s">
        <v>1424</v>
      </c>
      <c r="C170" s="13">
        <v>50</v>
      </c>
      <c r="D170" s="11" t="s">
        <v>188</v>
      </c>
      <c r="E170" s="13">
        <v>309437</v>
      </c>
      <c r="F170" s="13">
        <f t="shared" si="19"/>
        <v>15471850</v>
      </c>
      <c r="G170" s="13">
        <v>54586</v>
      </c>
      <c r="H170" s="13">
        <f t="shared" si="20"/>
        <v>2729300</v>
      </c>
      <c r="I170" s="13">
        <v>0</v>
      </c>
      <c r="J170" s="13">
        <f t="shared" si="21"/>
        <v>0</v>
      </c>
      <c r="K170" s="13">
        <f t="shared" si="22"/>
        <v>364023</v>
      </c>
      <c r="L170" s="13">
        <f t="shared" si="18"/>
        <v>18201150</v>
      </c>
      <c r="M170" s="11" t="s">
        <v>1425</v>
      </c>
    </row>
    <row r="171" spans="1:13">
      <c r="A171" s="11" t="s">
        <v>1426</v>
      </c>
      <c r="B171" s="11" t="s">
        <v>1571</v>
      </c>
      <c r="C171" s="13">
        <v>1</v>
      </c>
      <c r="D171" s="11" t="s">
        <v>188</v>
      </c>
      <c r="E171" s="13">
        <v>6440351</v>
      </c>
      <c r="F171" s="13">
        <f t="shared" si="19"/>
        <v>6440351</v>
      </c>
      <c r="G171" s="13">
        <v>11700</v>
      </c>
      <c r="H171" s="13">
        <f t="shared" si="20"/>
        <v>11700</v>
      </c>
      <c r="I171" s="13">
        <v>0</v>
      </c>
      <c r="J171" s="13">
        <f t="shared" si="21"/>
        <v>0</v>
      </c>
      <c r="K171" s="13">
        <f t="shared" si="22"/>
        <v>6452051</v>
      </c>
      <c r="L171" s="13">
        <f t="shared" si="18"/>
        <v>6452051</v>
      </c>
      <c r="M171" s="11" t="s">
        <v>1572</v>
      </c>
    </row>
    <row r="172" spans="1:13">
      <c r="A172" s="11" t="s">
        <v>1429</v>
      </c>
      <c r="B172" s="11" t="s">
        <v>1430</v>
      </c>
      <c r="C172" s="13">
        <v>29</v>
      </c>
      <c r="D172" s="11" t="s">
        <v>188</v>
      </c>
      <c r="E172" s="13">
        <v>1500000</v>
      </c>
      <c r="F172" s="13">
        <f t="shared" si="19"/>
        <v>43500000</v>
      </c>
      <c r="G172" s="13">
        <v>0</v>
      </c>
      <c r="H172" s="13">
        <f t="shared" si="20"/>
        <v>0</v>
      </c>
      <c r="I172" s="13">
        <v>0</v>
      </c>
      <c r="J172" s="13">
        <f t="shared" si="21"/>
        <v>0</v>
      </c>
      <c r="K172" s="13">
        <f t="shared" si="22"/>
        <v>1500000</v>
      </c>
      <c r="L172" s="13">
        <f t="shared" si="18"/>
        <v>43500000</v>
      </c>
      <c r="M172" s="11"/>
    </row>
    <row r="173" spans="1:13">
      <c r="A173" s="11" t="s">
        <v>1431</v>
      </c>
      <c r="B173" s="11" t="s">
        <v>1432</v>
      </c>
      <c r="C173" s="13">
        <v>29</v>
      </c>
      <c r="D173" s="11" t="s">
        <v>188</v>
      </c>
      <c r="E173" s="13">
        <v>10351</v>
      </c>
      <c r="F173" s="13">
        <f t="shared" si="19"/>
        <v>300179</v>
      </c>
      <c r="G173" s="13">
        <v>11700</v>
      </c>
      <c r="H173" s="13">
        <f t="shared" si="20"/>
        <v>339300</v>
      </c>
      <c r="I173" s="13">
        <v>0</v>
      </c>
      <c r="J173" s="13">
        <f t="shared" si="21"/>
        <v>0</v>
      </c>
      <c r="K173" s="13">
        <f t="shared" si="22"/>
        <v>22051</v>
      </c>
      <c r="L173" s="13">
        <f t="shared" si="18"/>
        <v>639479</v>
      </c>
      <c r="M173" s="11" t="s">
        <v>1433</v>
      </c>
    </row>
    <row r="174" spans="1:13">
      <c r="A174" s="11" t="s">
        <v>1437</v>
      </c>
      <c r="B174" s="11" t="s">
        <v>1438</v>
      </c>
      <c r="C174" s="13">
        <v>29</v>
      </c>
      <c r="D174" s="11" t="s">
        <v>188</v>
      </c>
      <c r="E174" s="13">
        <v>56559</v>
      </c>
      <c r="F174" s="13">
        <f t="shared" si="19"/>
        <v>1640211</v>
      </c>
      <c r="G174" s="13">
        <v>51998</v>
      </c>
      <c r="H174" s="13">
        <f t="shared" si="20"/>
        <v>1507942</v>
      </c>
      <c r="I174" s="13">
        <v>0</v>
      </c>
      <c r="J174" s="13">
        <f t="shared" si="21"/>
        <v>0</v>
      </c>
      <c r="K174" s="13">
        <f t="shared" si="22"/>
        <v>108557</v>
      </c>
      <c r="L174" s="13">
        <f t="shared" si="18"/>
        <v>3148153</v>
      </c>
      <c r="M174" s="11" t="s">
        <v>1439</v>
      </c>
    </row>
    <row r="175" spans="1:13">
      <c r="A175" s="11" t="s">
        <v>1437</v>
      </c>
      <c r="B175" s="11" t="s">
        <v>1440</v>
      </c>
      <c r="C175" s="13">
        <v>39</v>
      </c>
      <c r="D175" s="11" t="s">
        <v>188</v>
      </c>
      <c r="E175" s="13">
        <v>15000</v>
      </c>
      <c r="F175" s="13">
        <f t="shared" si="19"/>
        <v>585000</v>
      </c>
      <c r="G175" s="13">
        <v>0</v>
      </c>
      <c r="H175" s="13">
        <f t="shared" si="20"/>
        <v>0</v>
      </c>
      <c r="I175" s="13">
        <v>0</v>
      </c>
      <c r="J175" s="13">
        <f t="shared" si="21"/>
        <v>0</v>
      </c>
      <c r="K175" s="13">
        <f t="shared" si="22"/>
        <v>15000</v>
      </c>
      <c r="L175" s="13">
        <f t="shared" si="18"/>
        <v>585000</v>
      </c>
      <c r="M175" s="11"/>
    </row>
    <row r="176" spans="1:13">
      <c r="A176" s="11" t="s">
        <v>1441</v>
      </c>
      <c r="B176" s="11" t="s">
        <v>1442</v>
      </c>
      <c r="C176" s="13">
        <v>22</v>
      </c>
      <c r="D176" s="11" t="s">
        <v>1443</v>
      </c>
      <c r="E176" s="13">
        <v>14230</v>
      </c>
      <c r="F176" s="13">
        <f t="shared" si="19"/>
        <v>313060</v>
      </c>
      <c r="G176" s="13">
        <v>56783</v>
      </c>
      <c r="H176" s="13">
        <f t="shared" si="20"/>
        <v>1249226</v>
      </c>
      <c r="I176" s="13">
        <v>16378</v>
      </c>
      <c r="J176" s="13">
        <f t="shared" si="21"/>
        <v>360316</v>
      </c>
      <c r="K176" s="13">
        <f t="shared" si="22"/>
        <v>87391</v>
      </c>
      <c r="L176" s="13">
        <f t="shared" si="18"/>
        <v>1922602</v>
      </c>
      <c r="M176" s="11"/>
    </row>
    <row r="177" spans="1:13">
      <c r="A177" s="11" t="s">
        <v>1444</v>
      </c>
      <c r="B177" s="11" t="s">
        <v>1445</v>
      </c>
      <c r="C177" s="13">
        <v>1</v>
      </c>
      <c r="D177" s="11" t="s">
        <v>188</v>
      </c>
      <c r="E177" s="13">
        <v>141637</v>
      </c>
      <c r="F177" s="13">
        <f t="shared" si="19"/>
        <v>141637</v>
      </c>
      <c r="G177" s="13">
        <v>54586</v>
      </c>
      <c r="H177" s="13">
        <f t="shared" si="20"/>
        <v>54586</v>
      </c>
      <c r="I177" s="13">
        <v>0</v>
      </c>
      <c r="J177" s="13">
        <f t="shared" si="21"/>
        <v>0</v>
      </c>
      <c r="K177" s="13">
        <f t="shared" si="22"/>
        <v>196223</v>
      </c>
      <c r="L177" s="13">
        <f t="shared" si="18"/>
        <v>196223</v>
      </c>
      <c r="M177" s="11" t="s">
        <v>1446</v>
      </c>
    </row>
    <row r="178" spans="1:13">
      <c r="A178" s="11" t="s">
        <v>1447</v>
      </c>
      <c r="B178" s="11" t="s">
        <v>1448</v>
      </c>
      <c r="C178" s="13">
        <v>3</v>
      </c>
      <c r="D178" s="11" t="s">
        <v>188</v>
      </c>
      <c r="E178" s="13">
        <v>444509</v>
      </c>
      <c r="F178" s="13">
        <f t="shared" si="19"/>
        <v>1333527</v>
      </c>
      <c r="G178" s="13">
        <v>150304</v>
      </c>
      <c r="H178" s="13">
        <f t="shared" si="20"/>
        <v>450912</v>
      </c>
      <c r="I178" s="13">
        <v>0</v>
      </c>
      <c r="J178" s="13">
        <f t="shared" si="21"/>
        <v>0</v>
      </c>
      <c r="K178" s="13">
        <f t="shared" si="22"/>
        <v>594813</v>
      </c>
      <c r="L178" s="13">
        <f t="shared" si="18"/>
        <v>1784439</v>
      </c>
      <c r="M178" s="11" t="s">
        <v>1449</v>
      </c>
    </row>
    <row r="179" spans="1:13">
      <c r="A179" s="11" t="s">
        <v>1450</v>
      </c>
      <c r="B179" s="11" t="s">
        <v>1451</v>
      </c>
      <c r="C179" s="13">
        <v>3</v>
      </c>
      <c r="D179" s="11" t="s">
        <v>188</v>
      </c>
      <c r="E179" s="13">
        <v>280000</v>
      </c>
      <c r="F179" s="13">
        <f t="shared" si="19"/>
        <v>840000</v>
      </c>
      <c r="G179" s="13">
        <v>0</v>
      </c>
      <c r="H179" s="13">
        <f t="shared" si="20"/>
        <v>0</v>
      </c>
      <c r="I179" s="13">
        <v>0</v>
      </c>
      <c r="J179" s="13">
        <f t="shared" si="21"/>
        <v>0</v>
      </c>
      <c r="K179" s="13">
        <f t="shared" si="22"/>
        <v>280000</v>
      </c>
      <c r="L179" s="13">
        <f t="shared" si="18"/>
        <v>840000</v>
      </c>
      <c r="M179" s="11"/>
    </row>
    <row r="180" spans="1:13">
      <c r="A180" s="19" t="s">
        <v>1573</v>
      </c>
      <c r="B180" s="21"/>
      <c r="C180" s="21"/>
      <c r="D180" s="21"/>
      <c r="E180" s="21"/>
      <c r="F180" s="22">
        <f>SUM(F181:F217)</f>
        <v>34613611</v>
      </c>
      <c r="G180" s="21"/>
      <c r="H180" s="22">
        <f>SUM(H181:H217)</f>
        <v>15684695</v>
      </c>
      <c r="I180" s="21"/>
      <c r="J180" s="22">
        <f>SUM(J181:J217)</f>
        <v>277049</v>
      </c>
      <c r="K180" s="21"/>
      <c r="L180" s="22">
        <f t="shared" si="18"/>
        <v>50575355</v>
      </c>
      <c r="M180" s="21"/>
    </row>
    <row r="181" spans="1:13">
      <c r="A181" s="11" t="s">
        <v>1355</v>
      </c>
      <c r="B181" s="11" t="s">
        <v>1358</v>
      </c>
      <c r="C181" s="13">
        <v>74</v>
      </c>
      <c r="D181" s="11" t="s">
        <v>240</v>
      </c>
      <c r="E181" s="13">
        <v>1170</v>
      </c>
      <c r="F181" s="13">
        <f t="shared" ref="F181:F217" si="23">ROUND(E181*C181,0)</f>
        <v>86580</v>
      </c>
      <c r="G181" s="13">
        <v>9002</v>
      </c>
      <c r="H181" s="13">
        <f t="shared" ref="H181:H217" si="24">ROUND(G181*C181,0)</f>
        <v>666148</v>
      </c>
      <c r="I181" s="13">
        <v>0</v>
      </c>
      <c r="J181" s="13">
        <f t="shared" ref="J181:J217" si="25">ROUND(I181*C181,0)</f>
        <v>0</v>
      </c>
      <c r="K181" s="13">
        <f t="shared" ref="K181:K217" si="26">E181+G181+I181</f>
        <v>10172</v>
      </c>
      <c r="L181" s="13">
        <f t="shared" si="18"/>
        <v>752728</v>
      </c>
      <c r="M181" s="11" t="s">
        <v>1359</v>
      </c>
    </row>
    <row r="182" spans="1:13">
      <c r="A182" s="11" t="s">
        <v>1355</v>
      </c>
      <c r="B182" s="11" t="s">
        <v>1574</v>
      </c>
      <c r="C182" s="13">
        <v>11</v>
      </c>
      <c r="D182" s="11" t="s">
        <v>240</v>
      </c>
      <c r="E182" s="13">
        <v>1825</v>
      </c>
      <c r="F182" s="13">
        <f t="shared" si="23"/>
        <v>20075</v>
      </c>
      <c r="G182" s="13">
        <v>11280</v>
      </c>
      <c r="H182" s="13">
        <f t="shared" si="24"/>
        <v>124080</v>
      </c>
      <c r="I182" s="13">
        <v>0</v>
      </c>
      <c r="J182" s="13">
        <f t="shared" si="25"/>
        <v>0</v>
      </c>
      <c r="K182" s="13">
        <f t="shared" si="26"/>
        <v>13105</v>
      </c>
      <c r="L182" s="13">
        <f t="shared" si="18"/>
        <v>144155</v>
      </c>
      <c r="M182" s="11" t="s">
        <v>1575</v>
      </c>
    </row>
    <row r="183" spans="1:13">
      <c r="A183" s="11" t="s">
        <v>1355</v>
      </c>
      <c r="B183" s="11" t="s">
        <v>1465</v>
      </c>
      <c r="C183" s="13">
        <v>17</v>
      </c>
      <c r="D183" s="11" t="s">
        <v>240</v>
      </c>
      <c r="E183" s="13">
        <v>2296</v>
      </c>
      <c r="F183" s="13">
        <f t="shared" si="23"/>
        <v>39032</v>
      </c>
      <c r="G183" s="13">
        <v>11280</v>
      </c>
      <c r="H183" s="13">
        <f t="shared" si="24"/>
        <v>191760</v>
      </c>
      <c r="I183" s="13">
        <v>0</v>
      </c>
      <c r="J183" s="13">
        <f t="shared" si="25"/>
        <v>0</v>
      </c>
      <c r="K183" s="13">
        <f t="shared" si="26"/>
        <v>13576</v>
      </c>
      <c r="L183" s="13">
        <f t="shared" si="18"/>
        <v>230792</v>
      </c>
      <c r="M183" s="11" t="s">
        <v>1466</v>
      </c>
    </row>
    <row r="184" spans="1:13">
      <c r="A184" s="11" t="s">
        <v>1355</v>
      </c>
      <c r="B184" s="11" t="s">
        <v>1467</v>
      </c>
      <c r="C184" s="13">
        <v>123</v>
      </c>
      <c r="D184" s="11" t="s">
        <v>240</v>
      </c>
      <c r="E184" s="13">
        <v>3128</v>
      </c>
      <c r="F184" s="13">
        <f t="shared" si="23"/>
        <v>384744</v>
      </c>
      <c r="G184" s="13">
        <v>16761</v>
      </c>
      <c r="H184" s="13">
        <f t="shared" si="24"/>
        <v>2061603</v>
      </c>
      <c r="I184" s="13">
        <v>0</v>
      </c>
      <c r="J184" s="13">
        <f t="shared" si="25"/>
        <v>0</v>
      </c>
      <c r="K184" s="13">
        <f t="shared" si="26"/>
        <v>19889</v>
      </c>
      <c r="L184" s="13">
        <f t="shared" si="18"/>
        <v>2446347</v>
      </c>
      <c r="M184" s="11" t="s">
        <v>1468</v>
      </c>
    </row>
    <row r="185" spans="1:13">
      <c r="A185" s="11" t="s">
        <v>1360</v>
      </c>
      <c r="B185" s="11" t="s">
        <v>1361</v>
      </c>
      <c r="C185" s="13">
        <v>123</v>
      </c>
      <c r="D185" s="11" t="s">
        <v>240</v>
      </c>
      <c r="E185" s="13">
        <v>1879</v>
      </c>
      <c r="F185" s="13">
        <f t="shared" si="23"/>
        <v>231117</v>
      </c>
      <c r="G185" s="13">
        <v>2463</v>
      </c>
      <c r="H185" s="13">
        <f t="shared" si="24"/>
        <v>302949</v>
      </c>
      <c r="I185" s="13">
        <v>0</v>
      </c>
      <c r="J185" s="13">
        <f t="shared" si="25"/>
        <v>0</v>
      </c>
      <c r="K185" s="13">
        <f t="shared" si="26"/>
        <v>4342</v>
      </c>
      <c r="L185" s="13">
        <f t="shared" si="18"/>
        <v>534066</v>
      </c>
      <c r="M185" s="11" t="s">
        <v>1362</v>
      </c>
    </row>
    <row r="186" spans="1:13">
      <c r="A186" s="11" t="s">
        <v>1371</v>
      </c>
      <c r="B186" s="11" t="s">
        <v>1453</v>
      </c>
      <c r="C186" s="13">
        <v>57</v>
      </c>
      <c r="D186" s="11" t="s">
        <v>240</v>
      </c>
      <c r="E186" s="13">
        <v>2907</v>
      </c>
      <c r="F186" s="13">
        <f t="shared" si="23"/>
        <v>165699</v>
      </c>
      <c r="G186" s="13">
        <v>0</v>
      </c>
      <c r="H186" s="13">
        <f t="shared" si="24"/>
        <v>0</v>
      </c>
      <c r="I186" s="13">
        <v>0</v>
      </c>
      <c r="J186" s="13">
        <f t="shared" si="25"/>
        <v>0</v>
      </c>
      <c r="K186" s="13">
        <f t="shared" si="26"/>
        <v>2907</v>
      </c>
      <c r="L186" s="13">
        <f t="shared" si="18"/>
        <v>165699</v>
      </c>
      <c r="M186" s="11"/>
    </row>
    <row r="187" spans="1:13">
      <c r="A187" s="11" t="s">
        <v>1469</v>
      </c>
      <c r="B187" s="11" t="s">
        <v>1470</v>
      </c>
      <c r="C187" s="13">
        <v>308</v>
      </c>
      <c r="D187" s="11" t="s">
        <v>240</v>
      </c>
      <c r="E187" s="13">
        <v>3832</v>
      </c>
      <c r="F187" s="13">
        <f t="shared" si="23"/>
        <v>1180256</v>
      </c>
      <c r="G187" s="13">
        <v>9732</v>
      </c>
      <c r="H187" s="13">
        <f t="shared" si="24"/>
        <v>2997456</v>
      </c>
      <c r="I187" s="13">
        <v>0</v>
      </c>
      <c r="J187" s="13">
        <f t="shared" si="25"/>
        <v>0</v>
      </c>
      <c r="K187" s="13">
        <f t="shared" si="26"/>
        <v>13564</v>
      </c>
      <c r="L187" s="13">
        <f t="shared" si="18"/>
        <v>4177712</v>
      </c>
      <c r="M187" s="11" t="s">
        <v>1471</v>
      </c>
    </row>
    <row r="188" spans="1:13">
      <c r="A188" s="11" t="s">
        <v>1376</v>
      </c>
      <c r="B188" s="11" t="s">
        <v>1377</v>
      </c>
      <c r="C188" s="13">
        <v>4</v>
      </c>
      <c r="D188" s="11" t="s">
        <v>188</v>
      </c>
      <c r="E188" s="13">
        <v>7096</v>
      </c>
      <c r="F188" s="13">
        <f t="shared" si="23"/>
        <v>28384</v>
      </c>
      <c r="G188" s="13">
        <v>43869</v>
      </c>
      <c r="H188" s="13">
        <f t="shared" si="24"/>
        <v>175476</v>
      </c>
      <c r="I188" s="13">
        <v>0</v>
      </c>
      <c r="J188" s="13">
        <f t="shared" si="25"/>
        <v>0</v>
      </c>
      <c r="K188" s="13">
        <f t="shared" si="26"/>
        <v>50965</v>
      </c>
      <c r="L188" s="13">
        <f t="shared" si="18"/>
        <v>203860</v>
      </c>
      <c r="M188" s="11" t="s">
        <v>1378</v>
      </c>
    </row>
    <row r="189" spans="1:13">
      <c r="A189" s="11" t="s">
        <v>1382</v>
      </c>
      <c r="B189" s="11" t="s">
        <v>1383</v>
      </c>
      <c r="C189" s="13">
        <v>152</v>
      </c>
      <c r="D189" s="11" t="s">
        <v>240</v>
      </c>
      <c r="E189" s="13">
        <v>187</v>
      </c>
      <c r="F189" s="13">
        <f t="shared" si="23"/>
        <v>28424</v>
      </c>
      <c r="G189" s="13">
        <v>237</v>
      </c>
      <c r="H189" s="13">
        <f t="shared" si="24"/>
        <v>36024</v>
      </c>
      <c r="I189" s="13">
        <v>0</v>
      </c>
      <c r="J189" s="13">
        <f t="shared" si="25"/>
        <v>0</v>
      </c>
      <c r="K189" s="13">
        <f t="shared" si="26"/>
        <v>424</v>
      </c>
      <c r="L189" s="13">
        <f t="shared" si="18"/>
        <v>64448</v>
      </c>
      <c r="M189" s="11" t="s">
        <v>1384</v>
      </c>
    </row>
    <row r="190" spans="1:13">
      <c r="A190" s="11" t="s">
        <v>1475</v>
      </c>
      <c r="B190" s="11" t="s">
        <v>1476</v>
      </c>
      <c r="C190" s="24">
        <v>5.0979999999999999</v>
      </c>
      <c r="D190" s="11" t="s">
        <v>108</v>
      </c>
      <c r="E190" s="13">
        <v>101280</v>
      </c>
      <c r="F190" s="13">
        <f t="shared" si="23"/>
        <v>516325</v>
      </c>
      <c r="G190" s="13">
        <v>0</v>
      </c>
      <c r="H190" s="13">
        <f t="shared" si="24"/>
        <v>0</v>
      </c>
      <c r="I190" s="13">
        <v>0</v>
      </c>
      <c r="J190" s="13">
        <f t="shared" si="25"/>
        <v>0</v>
      </c>
      <c r="K190" s="13">
        <f t="shared" si="26"/>
        <v>101280</v>
      </c>
      <c r="L190" s="13">
        <f t="shared" si="18"/>
        <v>516325</v>
      </c>
      <c r="M190" s="11"/>
    </row>
    <row r="191" spans="1:13">
      <c r="A191" s="11" t="s">
        <v>1393</v>
      </c>
      <c r="B191" s="11" t="s">
        <v>1394</v>
      </c>
      <c r="C191" s="24">
        <v>107.04</v>
      </c>
      <c r="D191" s="11" t="s">
        <v>108</v>
      </c>
      <c r="E191" s="13">
        <v>501</v>
      </c>
      <c r="F191" s="13">
        <f t="shared" si="23"/>
        <v>53627</v>
      </c>
      <c r="G191" s="13">
        <v>4659</v>
      </c>
      <c r="H191" s="13">
        <f t="shared" si="24"/>
        <v>498699</v>
      </c>
      <c r="I191" s="13">
        <v>483</v>
      </c>
      <c r="J191" s="13">
        <f t="shared" si="25"/>
        <v>51700</v>
      </c>
      <c r="K191" s="13">
        <f t="shared" si="26"/>
        <v>5643</v>
      </c>
      <c r="L191" s="13">
        <f t="shared" si="18"/>
        <v>604026</v>
      </c>
      <c r="M191" s="11" t="s">
        <v>1395</v>
      </c>
    </row>
    <row r="192" spans="1:13">
      <c r="A192" s="11" t="s">
        <v>1396</v>
      </c>
      <c r="B192" s="11" t="s">
        <v>1394</v>
      </c>
      <c r="C192" s="24">
        <v>100.262</v>
      </c>
      <c r="D192" s="11" t="s">
        <v>108</v>
      </c>
      <c r="E192" s="13">
        <v>449</v>
      </c>
      <c r="F192" s="13">
        <f t="shared" si="23"/>
        <v>45018</v>
      </c>
      <c r="G192" s="13">
        <v>2939</v>
      </c>
      <c r="H192" s="13">
        <f t="shared" si="24"/>
        <v>294670</v>
      </c>
      <c r="I192" s="13">
        <v>483</v>
      </c>
      <c r="J192" s="13">
        <f t="shared" si="25"/>
        <v>48427</v>
      </c>
      <c r="K192" s="13">
        <f t="shared" si="26"/>
        <v>3871</v>
      </c>
      <c r="L192" s="13">
        <f t="shared" si="18"/>
        <v>388115</v>
      </c>
      <c r="M192" s="11" t="s">
        <v>1397</v>
      </c>
    </row>
    <row r="193" spans="1:13">
      <c r="A193" s="11" t="s">
        <v>1398</v>
      </c>
      <c r="B193" s="11" t="s">
        <v>1399</v>
      </c>
      <c r="C193" s="24">
        <v>6.7779999999999996</v>
      </c>
      <c r="D193" s="11" t="s">
        <v>108</v>
      </c>
      <c r="E193" s="13">
        <v>1032</v>
      </c>
      <c r="F193" s="13">
        <f t="shared" si="23"/>
        <v>6995</v>
      </c>
      <c r="G193" s="13">
        <v>34413</v>
      </c>
      <c r="H193" s="13">
        <f t="shared" si="24"/>
        <v>233251</v>
      </c>
      <c r="I193" s="13">
        <v>0</v>
      </c>
      <c r="J193" s="13">
        <f t="shared" si="25"/>
        <v>0</v>
      </c>
      <c r="K193" s="13">
        <f t="shared" si="26"/>
        <v>35445</v>
      </c>
      <c r="L193" s="13">
        <f t="shared" si="18"/>
        <v>240246</v>
      </c>
      <c r="M193" s="11" t="s">
        <v>1400</v>
      </c>
    </row>
    <row r="194" spans="1:13">
      <c r="A194" s="11" t="s">
        <v>1477</v>
      </c>
      <c r="B194" s="11" t="s">
        <v>1478</v>
      </c>
      <c r="C194" s="24">
        <v>5.0979999999999999</v>
      </c>
      <c r="D194" s="11" t="s">
        <v>108</v>
      </c>
      <c r="E194" s="13">
        <v>1759</v>
      </c>
      <c r="F194" s="13">
        <f t="shared" si="23"/>
        <v>8967</v>
      </c>
      <c r="G194" s="13">
        <v>58635</v>
      </c>
      <c r="H194" s="13">
        <f t="shared" si="24"/>
        <v>298921</v>
      </c>
      <c r="I194" s="13">
        <v>0</v>
      </c>
      <c r="J194" s="13">
        <f t="shared" si="25"/>
        <v>0</v>
      </c>
      <c r="K194" s="13">
        <f t="shared" si="26"/>
        <v>60394</v>
      </c>
      <c r="L194" s="13">
        <f t="shared" si="18"/>
        <v>307888</v>
      </c>
      <c r="M194" s="11" t="s">
        <v>1479</v>
      </c>
    </row>
    <row r="195" spans="1:13">
      <c r="A195" s="11" t="s">
        <v>1480</v>
      </c>
      <c r="B195" s="11" t="s">
        <v>1481</v>
      </c>
      <c r="C195" s="13">
        <v>20</v>
      </c>
      <c r="D195" s="11" t="s">
        <v>102</v>
      </c>
      <c r="E195" s="13">
        <v>24425</v>
      </c>
      <c r="F195" s="13">
        <f t="shared" si="23"/>
        <v>488500</v>
      </c>
      <c r="G195" s="13">
        <v>35498</v>
      </c>
      <c r="H195" s="13">
        <f t="shared" si="24"/>
        <v>709960</v>
      </c>
      <c r="I195" s="13">
        <v>0</v>
      </c>
      <c r="J195" s="13">
        <f t="shared" si="25"/>
        <v>0</v>
      </c>
      <c r="K195" s="13">
        <f t="shared" si="26"/>
        <v>59923</v>
      </c>
      <c r="L195" s="13">
        <f t="shared" ref="L195:L220" si="27">F195+H195+J195</f>
        <v>1198460</v>
      </c>
      <c r="M195" s="11" t="s">
        <v>1482</v>
      </c>
    </row>
    <row r="196" spans="1:13">
      <c r="A196" s="11" t="s">
        <v>1483</v>
      </c>
      <c r="B196" s="11"/>
      <c r="C196" s="13">
        <v>6</v>
      </c>
      <c r="D196" s="11" t="s">
        <v>188</v>
      </c>
      <c r="E196" s="13">
        <v>35000</v>
      </c>
      <c r="F196" s="13">
        <f t="shared" si="23"/>
        <v>210000</v>
      </c>
      <c r="G196" s="13">
        <v>0</v>
      </c>
      <c r="H196" s="13">
        <f t="shared" si="24"/>
        <v>0</v>
      </c>
      <c r="I196" s="13">
        <v>0</v>
      </c>
      <c r="J196" s="13">
        <f t="shared" si="25"/>
        <v>0</v>
      </c>
      <c r="K196" s="13">
        <f t="shared" si="26"/>
        <v>35000</v>
      </c>
      <c r="L196" s="13">
        <f t="shared" si="27"/>
        <v>210000</v>
      </c>
      <c r="M196" s="11"/>
    </row>
    <row r="197" spans="1:13">
      <c r="A197" s="11" t="s">
        <v>1576</v>
      </c>
      <c r="B197" s="11" t="s">
        <v>1577</v>
      </c>
      <c r="C197" s="13">
        <v>2</v>
      </c>
      <c r="D197" s="11" t="s">
        <v>377</v>
      </c>
      <c r="E197" s="13">
        <v>38940</v>
      </c>
      <c r="F197" s="13">
        <f t="shared" si="23"/>
        <v>77880</v>
      </c>
      <c r="G197" s="13">
        <v>131364</v>
      </c>
      <c r="H197" s="13">
        <f t="shared" si="24"/>
        <v>262728</v>
      </c>
      <c r="I197" s="13">
        <v>0</v>
      </c>
      <c r="J197" s="13">
        <f t="shared" si="25"/>
        <v>0</v>
      </c>
      <c r="K197" s="13">
        <f t="shared" si="26"/>
        <v>170304</v>
      </c>
      <c r="L197" s="13">
        <f t="shared" si="27"/>
        <v>340608</v>
      </c>
      <c r="M197" s="11" t="s">
        <v>1578</v>
      </c>
    </row>
    <row r="198" spans="1:13">
      <c r="A198" s="11" t="s">
        <v>1579</v>
      </c>
      <c r="B198" s="11" t="s">
        <v>1580</v>
      </c>
      <c r="C198" s="13">
        <v>3</v>
      </c>
      <c r="D198" s="11" t="s">
        <v>188</v>
      </c>
      <c r="E198" s="13">
        <v>354509</v>
      </c>
      <c r="F198" s="13">
        <f t="shared" si="23"/>
        <v>1063527</v>
      </c>
      <c r="G198" s="13">
        <v>150304</v>
      </c>
      <c r="H198" s="13">
        <f t="shared" si="24"/>
        <v>450912</v>
      </c>
      <c r="I198" s="13">
        <v>0</v>
      </c>
      <c r="J198" s="13">
        <f t="shared" si="25"/>
        <v>0</v>
      </c>
      <c r="K198" s="13">
        <f t="shared" si="26"/>
        <v>504813</v>
      </c>
      <c r="L198" s="13">
        <f t="shared" si="27"/>
        <v>1514439</v>
      </c>
      <c r="M198" s="11" t="s">
        <v>1581</v>
      </c>
    </row>
    <row r="199" spans="1:13">
      <c r="A199" s="11" t="s">
        <v>1582</v>
      </c>
      <c r="B199" s="11" t="s">
        <v>1583</v>
      </c>
      <c r="C199" s="13">
        <v>1</v>
      </c>
      <c r="D199" s="11" t="s">
        <v>385</v>
      </c>
      <c r="E199" s="13">
        <v>21063</v>
      </c>
      <c r="F199" s="13">
        <f t="shared" si="23"/>
        <v>21063</v>
      </c>
      <c r="G199" s="13">
        <v>702133</v>
      </c>
      <c r="H199" s="13">
        <f t="shared" si="24"/>
        <v>702133</v>
      </c>
      <c r="I199" s="13">
        <v>0</v>
      </c>
      <c r="J199" s="13">
        <f t="shared" si="25"/>
        <v>0</v>
      </c>
      <c r="K199" s="13">
        <f t="shared" si="26"/>
        <v>723196</v>
      </c>
      <c r="L199" s="13">
        <f t="shared" si="27"/>
        <v>723196</v>
      </c>
      <c r="M199" s="11" t="s">
        <v>1584</v>
      </c>
    </row>
    <row r="200" spans="1:13">
      <c r="A200" s="11" t="s">
        <v>1585</v>
      </c>
      <c r="B200" s="11" t="s">
        <v>1586</v>
      </c>
      <c r="C200" s="13">
        <v>1</v>
      </c>
      <c r="D200" s="11" t="s">
        <v>188</v>
      </c>
      <c r="E200" s="13">
        <v>5200000</v>
      </c>
      <c r="F200" s="13">
        <f t="shared" si="23"/>
        <v>5200000</v>
      </c>
      <c r="G200" s="13">
        <v>0</v>
      </c>
      <c r="H200" s="13">
        <f t="shared" si="24"/>
        <v>0</v>
      </c>
      <c r="I200" s="13">
        <v>0</v>
      </c>
      <c r="J200" s="13">
        <f t="shared" si="25"/>
        <v>0</v>
      </c>
      <c r="K200" s="13">
        <f t="shared" si="26"/>
        <v>5200000</v>
      </c>
      <c r="L200" s="13">
        <f t="shared" si="27"/>
        <v>5200000</v>
      </c>
      <c r="M200" s="11"/>
    </row>
    <row r="201" spans="1:13">
      <c r="A201" s="11" t="s">
        <v>1484</v>
      </c>
      <c r="B201" s="11" t="s">
        <v>1485</v>
      </c>
      <c r="C201" s="13">
        <v>2</v>
      </c>
      <c r="D201" s="11" t="s">
        <v>188</v>
      </c>
      <c r="E201" s="13">
        <v>370000</v>
      </c>
      <c r="F201" s="13">
        <f t="shared" si="23"/>
        <v>740000</v>
      </c>
      <c r="G201" s="13">
        <v>0</v>
      </c>
      <c r="H201" s="13">
        <f t="shared" si="24"/>
        <v>0</v>
      </c>
      <c r="I201" s="13">
        <v>0</v>
      </c>
      <c r="J201" s="13">
        <f t="shared" si="25"/>
        <v>0</v>
      </c>
      <c r="K201" s="13">
        <f t="shared" si="26"/>
        <v>370000</v>
      </c>
      <c r="L201" s="13">
        <f t="shared" si="27"/>
        <v>740000</v>
      </c>
      <c r="M201" s="11"/>
    </row>
    <row r="202" spans="1:13">
      <c r="A202" s="11" t="s">
        <v>1405</v>
      </c>
      <c r="B202" s="11" t="s">
        <v>1458</v>
      </c>
      <c r="C202" s="13">
        <v>56</v>
      </c>
      <c r="D202" s="11" t="s">
        <v>240</v>
      </c>
      <c r="E202" s="13">
        <v>125</v>
      </c>
      <c r="F202" s="13">
        <f t="shared" si="23"/>
        <v>7000</v>
      </c>
      <c r="G202" s="13">
        <v>4181</v>
      </c>
      <c r="H202" s="13">
        <f t="shared" si="24"/>
        <v>234136</v>
      </c>
      <c r="I202" s="13">
        <v>0</v>
      </c>
      <c r="J202" s="13">
        <f t="shared" si="25"/>
        <v>0</v>
      </c>
      <c r="K202" s="13">
        <f t="shared" si="26"/>
        <v>4306</v>
      </c>
      <c r="L202" s="13">
        <f t="shared" si="27"/>
        <v>241136</v>
      </c>
      <c r="M202" s="11" t="s">
        <v>1459</v>
      </c>
    </row>
    <row r="203" spans="1:13">
      <c r="A203" s="11" t="s">
        <v>1587</v>
      </c>
      <c r="B203" s="11"/>
      <c r="C203" s="13">
        <v>1</v>
      </c>
      <c r="D203" s="11" t="s">
        <v>188</v>
      </c>
      <c r="E203" s="13">
        <v>551707</v>
      </c>
      <c r="F203" s="13">
        <f t="shared" si="23"/>
        <v>551707</v>
      </c>
      <c r="G203" s="13">
        <v>56924</v>
      </c>
      <c r="H203" s="13">
        <f t="shared" si="24"/>
        <v>56924</v>
      </c>
      <c r="I203" s="13">
        <v>0</v>
      </c>
      <c r="J203" s="13">
        <f t="shared" si="25"/>
        <v>0</v>
      </c>
      <c r="K203" s="13">
        <f t="shared" si="26"/>
        <v>608631</v>
      </c>
      <c r="L203" s="13">
        <f t="shared" si="27"/>
        <v>608631</v>
      </c>
      <c r="M203" s="11" t="s">
        <v>1588</v>
      </c>
    </row>
    <row r="204" spans="1:13">
      <c r="A204" s="11" t="s">
        <v>1486</v>
      </c>
      <c r="B204" s="11" t="s">
        <v>1487</v>
      </c>
      <c r="C204" s="13">
        <v>4</v>
      </c>
      <c r="D204" s="11" t="s">
        <v>188</v>
      </c>
      <c r="E204" s="13">
        <v>371518</v>
      </c>
      <c r="F204" s="13">
        <f t="shared" si="23"/>
        <v>1486072</v>
      </c>
      <c r="G204" s="13">
        <v>383962</v>
      </c>
      <c r="H204" s="13">
        <f t="shared" si="24"/>
        <v>1535848</v>
      </c>
      <c r="I204" s="13">
        <v>0</v>
      </c>
      <c r="J204" s="13">
        <f t="shared" si="25"/>
        <v>0</v>
      </c>
      <c r="K204" s="13">
        <f t="shared" si="26"/>
        <v>755480</v>
      </c>
      <c r="L204" s="13">
        <f t="shared" si="27"/>
        <v>3021920</v>
      </c>
      <c r="M204" s="11" t="s">
        <v>1488</v>
      </c>
    </row>
    <row r="205" spans="1:13">
      <c r="A205" s="11" t="s">
        <v>1486</v>
      </c>
      <c r="B205" s="11" t="s">
        <v>1589</v>
      </c>
      <c r="C205" s="13">
        <v>2</v>
      </c>
      <c r="D205" s="11" t="s">
        <v>188</v>
      </c>
      <c r="E205" s="13">
        <v>531518</v>
      </c>
      <c r="F205" s="13">
        <f t="shared" si="23"/>
        <v>1063036</v>
      </c>
      <c r="G205" s="13">
        <v>383962</v>
      </c>
      <c r="H205" s="13">
        <f t="shared" si="24"/>
        <v>767924</v>
      </c>
      <c r="I205" s="13">
        <v>0</v>
      </c>
      <c r="J205" s="13">
        <f t="shared" si="25"/>
        <v>0</v>
      </c>
      <c r="K205" s="13">
        <f t="shared" si="26"/>
        <v>915480</v>
      </c>
      <c r="L205" s="13">
        <f t="shared" si="27"/>
        <v>1830960</v>
      </c>
      <c r="M205" s="11" t="s">
        <v>1590</v>
      </c>
    </row>
    <row r="206" spans="1:13">
      <c r="A206" s="11" t="s">
        <v>1591</v>
      </c>
      <c r="B206" s="11"/>
      <c r="C206" s="13">
        <v>1</v>
      </c>
      <c r="D206" s="11" t="s">
        <v>188</v>
      </c>
      <c r="E206" s="13">
        <v>550000</v>
      </c>
      <c r="F206" s="13">
        <f t="shared" si="23"/>
        <v>550000</v>
      </c>
      <c r="G206" s="13">
        <v>0</v>
      </c>
      <c r="H206" s="13">
        <f t="shared" si="24"/>
        <v>0</v>
      </c>
      <c r="I206" s="13">
        <v>0</v>
      </c>
      <c r="J206" s="13">
        <f t="shared" si="25"/>
        <v>0</v>
      </c>
      <c r="K206" s="13">
        <f t="shared" si="26"/>
        <v>550000</v>
      </c>
      <c r="L206" s="13">
        <f t="shared" si="27"/>
        <v>550000</v>
      </c>
      <c r="M206" s="11"/>
    </row>
    <row r="207" spans="1:13">
      <c r="A207" s="11" t="s">
        <v>1592</v>
      </c>
      <c r="B207" s="11"/>
      <c r="C207" s="13">
        <v>2</v>
      </c>
      <c r="D207" s="11" t="s">
        <v>188</v>
      </c>
      <c r="E207" s="13">
        <v>506592</v>
      </c>
      <c r="F207" s="13">
        <f t="shared" si="23"/>
        <v>1013184</v>
      </c>
      <c r="G207" s="13">
        <v>219757</v>
      </c>
      <c r="H207" s="13">
        <f t="shared" si="24"/>
        <v>439514</v>
      </c>
      <c r="I207" s="13">
        <v>0</v>
      </c>
      <c r="J207" s="13">
        <f t="shared" si="25"/>
        <v>0</v>
      </c>
      <c r="K207" s="13">
        <f t="shared" si="26"/>
        <v>726349</v>
      </c>
      <c r="L207" s="13">
        <f t="shared" si="27"/>
        <v>1452698</v>
      </c>
      <c r="M207" s="11" t="s">
        <v>1593</v>
      </c>
    </row>
    <row r="208" spans="1:13">
      <c r="A208" s="11" t="s">
        <v>1594</v>
      </c>
      <c r="B208" s="11" t="s">
        <v>1595</v>
      </c>
      <c r="C208" s="13">
        <v>2</v>
      </c>
      <c r="D208" s="11" t="s">
        <v>188</v>
      </c>
      <c r="E208" s="13">
        <v>463981</v>
      </c>
      <c r="F208" s="13">
        <f t="shared" si="23"/>
        <v>927962</v>
      </c>
      <c r="G208" s="13">
        <v>466065</v>
      </c>
      <c r="H208" s="13">
        <f t="shared" si="24"/>
        <v>932130</v>
      </c>
      <c r="I208" s="13">
        <v>0</v>
      </c>
      <c r="J208" s="13">
        <f t="shared" si="25"/>
        <v>0</v>
      </c>
      <c r="K208" s="13">
        <f t="shared" si="26"/>
        <v>930046</v>
      </c>
      <c r="L208" s="13">
        <f t="shared" si="27"/>
        <v>1860092</v>
      </c>
      <c r="M208" s="11" t="s">
        <v>1596</v>
      </c>
    </row>
    <row r="209" spans="1:13">
      <c r="A209" s="11" t="s">
        <v>1597</v>
      </c>
      <c r="B209" s="11" t="s">
        <v>1598</v>
      </c>
      <c r="C209" s="13">
        <v>2</v>
      </c>
      <c r="D209" s="11" t="s">
        <v>188</v>
      </c>
      <c r="E209" s="13">
        <v>168495</v>
      </c>
      <c r="F209" s="13">
        <f t="shared" si="23"/>
        <v>336990</v>
      </c>
      <c r="G209" s="13">
        <v>116516</v>
      </c>
      <c r="H209" s="13">
        <f t="shared" si="24"/>
        <v>233032</v>
      </c>
      <c r="I209" s="13">
        <v>0</v>
      </c>
      <c r="J209" s="13">
        <f t="shared" si="25"/>
        <v>0</v>
      </c>
      <c r="K209" s="13">
        <f t="shared" si="26"/>
        <v>285011</v>
      </c>
      <c r="L209" s="13">
        <f t="shared" si="27"/>
        <v>570022</v>
      </c>
      <c r="M209" s="11" t="s">
        <v>1599</v>
      </c>
    </row>
    <row r="210" spans="1:13">
      <c r="A210" s="11" t="s">
        <v>1600</v>
      </c>
      <c r="B210" s="11"/>
      <c r="C210" s="13">
        <v>1</v>
      </c>
      <c r="D210" s="11" t="s">
        <v>188</v>
      </c>
      <c r="E210" s="13">
        <v>9000000</v>
      </c>
      <c r="F210" s="13">
        <f t="shared" si="23"/>
        <v>9000000</v>
      </c>
      <c r="G210" s="13">
        <v>0</v>
      </c>
      <c r="H210" s="13">
        <f t="shared" si="24"/>
        <v>0</v>
      </c>
      <c r="I210" s="13">
        <v>0</v>
      </c>
      <c r="J210" s="13">
        <f t="shared" si="25"/>
        <v>0</v>
      </c>
      <c r="K210" s="13">
        <f t="shared" si="26"/>
        <v>9000000</v>
      </c>
      <c r="L210" s="13">
        <f t="shared" si="27"/>
        <v>9000000</v>
      </c>
      <c r="M210" s="11"/>
    </row>
    <row r="211" spans="1:13">
      <c r="A211" s="11" t="s">
        <v>1489</v>
      </c>
      <c r="B211" s="11"/>
      <c r="C211" s="13">
        <v>2</v>
      </c>
      <c r="D211" s="11" t="s">
        <v>188</v>
      </c>
      <c r="E211" s="13">
        <v>900000</v>
      </c>
      <c r="F211" s="13">
        <f t="shared" si="23"/>
        <v>1800000</v>
      </c>
      <c r="G211" s="13">
        <v>0</v>
      </c>
      <c r="H211" s="13">
        <f t="shared" si="24"/>
        <v>0</v>
      </c>
      <c r="I211" s="13">
        <v>0</v>
      </c>
      <c r="J211" s="13">
        <f t="shared" si="25"/>
        <v>0</v>
      </c>
      <c r="K211" s="13">
        <f t="shared" si="26"/>
        <v>900000</v>
      </c>
      <c r="L211" s="13">
        <f t="shared" si="27"/>
        <v>1800000</v>
      </c>
      <c r="M211" s="11"/>
    </row>
    <row r="212" spans="1:13">
      <c r="A212" s="11" t="s">
        <v>1490</v>
      </c>
      <c r="B212" s="11"/>
      <c r="C212" s="13">
        <v>1</v>
      </c>
      <c r="D212" s="11" t="s">
        <v>188</v>
      </c>
      <c r="E212" s="13">
        <v>1200000</v>
      </c>
      <c r="F212" s="13">
        <f t="shared" si="23"/>
        <v>1200000</v>
      </c>
      <c r="G212" s="13">
        <v>0</v>
      </c>
      <c r="H212" s="13">
        <f t="shared" si="24"/>
        <v>0</v>
      </c>
      <c r="I212" s="13">
        <v>0</v>
      </c>
      <c r="J212" s="13">
        <f t="shared" si="25"/>
        <v>0</v>
      </c>
      <c r="K212" s="13">
        <f t="shared" si="26"/>
        <v>1200000</v>
      </c>
      <c r="L212" s="13">
        <f t="shared" si="27"/>
        <v>1200000</v>
      </c>
      <c r="M212" s="11"/>
    </row>
    <row r="213" spans="1:13">
      <c r="A213" s="11" t="s">
        <v>1491</v>
      </c>
      <c r="B213" s="11" t="s">
        <v>1494</v>
      </c>
      <c r="C213" s="13">
        <v>1</v>
      </c>
      <c r="D213" s="11" t="s">
        <v>188</v>
      </c>
      <c r="E213" s="13">
        <v>2016684</v>
      </c>
      <c r="F213" s="13">
        <f t="shared" si="23"/>
        <v>2016684</v>
      </c>
      <c r="G213" s="13">
        <v>556154</v>
      </c>
      <c r="H213" s="13">
        <f t="shared" si="24"/>
        <v>556154</v>
      </c>
      <c r="I213" s="13">
        <v>0</v>
      </c>
      <c r="J213" s="13">
        <f t="shared" si="25"/>
        <v>0</v>
      </c>
      <c r="K213" s="13">
        <f t="shared" si="26"/>
        <v>2572838</v>
      </c>
      <c r="L213" s="13">
        <f t="shared" si="27"/>
        <v>2572838</v>
      </c>
      <c r="M213" s="11" t="s">
        <v>1495</v>
      </c>
    </row>
    <row r="214" spans="1:13">
      <c r="A214" s="11" t="s">
        <v>1491</v>
      </c>
      <c r="B214" s="11" t="s">
        <v>1601</v>
      </c>
      <c r="C214" s="13">
        <v>1</v>
      </c>
      <c r="D214" s="11" t="s">
        <v>188</v>
      </c>
      <c r="E214" s="13">
        <v>2011917</v>
      </c>
      <c r="F214" s="13">
        <f t="shared" si="23"/>
        <v>2011917</v>
      </c>
      <c r="G214" s="13">
        <v>397253</v>
      </c>
      <c r="H214" s="13">
        <f t="shared" si="24"/>
        <v>397253</v>
      </c>
      <c r="I214" s="13">
        <v>0</v>
      </c>
      <c r="J214" s="13">
        <f t="shared" si="25"/>
        <v>0</v>
      </c>
      <c r="K214" s="13">
        <f t="shared" si="26"/>
        <v>2409170</v>
      </c>
      <c r="L214" s="13">
        <f t="shared" si="27"/>
        <v>2409170</v>
      </c>
      <c r="M214" s="11" t="s">
        <v>1602</v>
      </c>
    </row>
    <row r="215" spans="1:13">
      <c r="A215" s="11" t="s">
        <v>1603</v>
      </c>
      <c r="B215" s="11"/>
      <c r="C215" s="13">
        <v>1</v>
      </c>
      <c r="D215" s="11" t="s">
        <v>188</v>
      </c>
      <c r="E215" s="13">
        <v>650000</v>
      </c>
      <c r="F215" s="13">
        <f t="shared" si="23"/>
        <v>650000</v>
      </c>
      <c r="G215" s="13">
        <v>0</v>
      </c>
      <c r="H215" s="13">
        <f t="shared" si="24"/>
        <v>0</v>
      </c>
      <c r="I215" s="13">
        <v>0</v>
      </c>
      <c r="J215" s="13">
        <f t="shared" si="25"/>
        <v>0</v>
      </c>
      <c r="K215" s="13">
        <f t="shared" si="26"/>
        <v>650000</v>
      </c>
      <c r="L215" s="13">
        <f t="shared" si="27"/>
        <v>650000</v>
      </c>
      <c r="M215" s="11"/>
    </row>
    <row r="216" spans="1:13">
      <c r="A216" s="11" t="s">
        <v>1604</v>
      </c>
      <c r="B216" s="11"/>
      <c r="C216" s="13">
        <v>2</v>
      </c>
      <c r="D216" s="11" t="s">
        <v>188</v>
      </c>
      <c r="E216" s="13">
        <v>653495</v>
      </c>
      <c r="F216" s="13">
        <f t="shared" si="23"/>
        <v>1306990</v>
      </c>
      <c r="G216" s="13">
        <v>116516</v>
      </c>
      <c r="H216" s="13">
        <f t="shared" si="24"/>
        <v>233032</v>
      </c>
      <c r="I216" s="13">
        <v>0</v>
      </c>
      <c r="J216" s="13">
        <f t="shared" si="25"/>
        <v>0</v>
      </c>
      <c r="K216" s="13">
        <f t="shared" si="26"/>
        <v>770011</v>
      </c>
      <c r="L216" s="13">
        <f t="shared" si="27"/>
        <v>1540022</v>
      </c>
      <c r="M216" s="11" t="s">
        <v>1605</v>
      </c>
    </row>
    <row r="217" spans="1:13">
      <c r="A217" s="11" t="s">
        <v>1496</v>
      </c>
      <c r="B217" s="11" t="s">
        <v>1497</v>
      </c>
      <c r="C217" s="13">
        <v>6</v>
      </c>
      <c r="D217" s="11" t="s">
        <v>1443</v>
      </c>
      <c r="E217" s="13">
        <v>15976</v>
      </c>
      <c r="F217" s="13">
        <f t="shared" si="23"/>
        <v>95856</v>
      </c>
      <c r="G217" s="13">
        <v>48663</v>
      </c>
      <c r="H217" s="13">
        <f t="shared" si="24"/>
        <v>291978</v>
      </c>
      <c r="I217" s="13">
        <v>29487</v>
      </c>
      <c r="J217" s="13">
        <f t="shared" si="25"/>
        <v>176922</v>
      </c>
      <c r="K217" s="13">
        <f t="shared" si="26"/>
        <v>94126</v>
      </c>
      <c r="L217" s="13">
        <f t="shared" si="27"/>
        <v>564756</v>
      </c>
      <c r="M217" s="11"/>
    </row>
    <row r="218" spans="1:13">
      <c r="A218" s="19" t="s">
        <v>1606</v>
      </c>
      <c r="B218" s="21"/>
      <c r="C218" s="21"/>
      <c r="D218" s="21"/>
      <c r="E218" s="21"/>
      <c r="F218" s="22">
        <f>SUM(F219:F219)</f>
        <v>23670000</v>
      </c>
      <c r="G218" s="21"/>
      <c r="H218" s="22">
        <f>SUM(H219:H219)</f>
        <v>0</v>
      </c>
      <c r="I218" s="21"/>
      <c r="J218" s="22">
        <f>SUM(J219:J219)</f>
        <v>0</v>
      </c>
      <c r="K218" s="21"/>
      <c r="L218" s="22">
        <f t="shared" si="27"/>
        <v>23670000</v>
      </c>
      <c r="M218" s="21"/>
    </row>
    <row r="219" spans="1:13">
      <c r="A219" s="11" t="s">
        <v>1563</v>
      </c>
      <c r="B219" s="11"/>
      <c r="C219" s="13">
        <v>1</v>
      </c>
      <c r="D219" s="11" t="s">
        <v>1564</v>
      </c>
      <c r="E219" s="13">
        <v>23670000</v>
      </c>
      <c r="F219" s="13">
        <f>ROUND(E219*C219,0)</f>
        <v>23670000</v>
      </c>
      <c r="G219" s="13">
        <v>0</v>
      </c>
      <c r="H219" s="13">
        <f>ROUND(G219*C219,0)</f>
        <v>0</v>
      </c>
      <c r="I219" s="13">
        <v>0</v>
      </c>
      <c r="J219" s="13">
        <f>ROUND(I219*C219,0)</f>
        <v>0</v>
      </c>
      <c r="K219" s="13">
        <f>E219+G219+I219</f>
        <v>23670000</v>
      </c>
      <c r="L219" s="13">
        <f t="shared" si="27"/>
        <v>23670000</v>
      </c>
      <c r="M219" s="11"/>
    </row>
    <row r="220" spans="1:13">
      <c r="A220" s="5" t="s">
        <v>1607</v>
      </c>
      <c r="B220" s="6"/>
      <c r="C220" s="6"/>
      <c r="D220" s="6"/>
      <c r="E220" s="6"/>
      <c r="F220" s="9">
        <f>F3+F43+F76+F101+F145+F147+F180+F218</f>
        <v>496416069</v>
      </c>
      <c r="G220" s="6"/>
      <c r="H220" s="9">
        <f>H3+H43+H76+H101+H145+H147+H180+H218</f>
        <v>184025686</v>
      </c>
      <c r="I220" s="6"/>
      <c r="J220" s="9">
        <f>J3+J43+J76+J101+J145+J147+J180+J218</f>
        <v>10385393</v>
      </c>
      <c r="K220" s="6"/>
      <c r="L220" s="9">
        <f t="shared" si="27"/>
        <v>690827148</v>
      </c>
      <c r="M220" s="6"/>
    </row>
  </sheetData>
  <mergeCells count="9">
    <mergeCell ref="M1:M2"/>
    <mergeCell ref="I1:J1"/>
    <mergeCell ref="A1:A2"/>
    <mergeCell ref="G1:H1"/>
    <mergeCell ref="E1:F1"/>
    <mergeCell ref="K1:L1"/>
    <mergeCell ref="C1:C2"/>
    <mergeCell ref="B1:B2"/>
    <mergeCell ref="D1:D2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견적서</vt:lpstr>
      <vt:lpstr>원가계산서</vt:lpstr>
      <vt:lpstr>내역서</vt:lpstr>
      <vt:lpstr>02.전기(참고)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2026-07-02T07:17:33Z</dcterms:created>
  <dcterms:modified xsi:type="dcterms:W3CDTF">2026-07-02T07:22:16Z</dcterms:modified>
</cp:coreProperties>
</file>