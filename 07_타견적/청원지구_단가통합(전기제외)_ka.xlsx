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251688e3d9c1650/Cursor/cheongwon/08_제출내역서/"/>
    </mc:Choice>
  </mc:AlternateContent>
  <xr:revisionPtr revIDLastSave="5" documentId="11_CE99FDD93CE8AE314116D5C8D9E2B8E989175F2C" xr6:coauthVersionLast="47" xr6:coauthVersionMax="47" xr10:uidLastSave="{827C71AC-068E-4198-A492-236C766E0A1E}"/>
  <bookViews>
    <workbookView xWindow="-120" yWindow="-120" windowWidth="38640" windowHeight="21120" activeTab="6" xr2:uid="{00000000-000D-0000-FFFF-FFFF00000000}"/>
  </bookViews>
  <sheets>
    <sheet name="총공사비" sheetId="1" r:id="rId1"/>
    <sheet name="내역집계" sheetId="2" r:id="rId2"/>
    <sheet name="회전교차로" sheetId="3" r:id="rId3"/>
    <sheet name="진입도로" sheetId="4" r:id="rId4"/>
    <sheet name="토목(조경)" sheetId="5" r:id="rId5"/>
    <sheet name="지구단위" sheetId="6" r:id="rId6"/>
    <sheet name="폐기물" sheetId="7" r:id="rId7"/>
  </sheets>
  <definedNames>
    <definedName name="_xlnm.Print_Area" localSheetId="5">지구단위!$A$1:$O$167</definedName>
    <definedName name="_xlnm.Print_Area" localSheetId="3">진입도로!$A$1:$O$180</definedName>
    <definedName name="_xlnm.Print_Area" localSheetId="4">'토목(조경)'!$A$1:$O$606</definedName>
    <definedName name="_xlnm.Print_Area" localSheetId="6">폐기물!$A$1:$O$15</definedName>
    <definedName name="_xlnm.Print_Area" localSheetId="2">회전교차로!$A$1:$O$173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7" l="1"/>
  <c r="K15" i="7"/>
  <c r="I15" i="7"/>
  <c r="I14" i="7"/>
  <c r="N13" i="7"/>
  <c r="M13" i="7"/>
  <c r="K13" i="7"/>
  <c r="I13" i="7"/>
  <c r="O13" i="7" s="1"/>
  <c r="O12" i="7"/>
  <c r="O15" i="7" s="1"/>
  <c r="N12" i="7"/>
  <c r="M12" i="7"/>
  <c r="M14" i="7" s="1"/>
  <c r="K12" i="7"/>
  <c r="K14" i="7" s="1"/>
  <c r="I12" i="7"/>
  <c r="O165" i="6"/>
  <c r="N165" i="6"/>
  <c r="M165" i="6"/>
  <c r="K165" i="6"/>
  <c r="I165" i="6"/>
  <c r="N164" i="6"/>
  <c r="M164" i="6"/>
  <c r="K164" i="6"/>
  <c r="O164" i="6" s="1"/>
  <c r="I164" i="6"/>
  <c r="N163" i="6"/>
  <c r="M163" i="6"/>
  <c r="K163" i="6"/>
  <c r="I163" i="6"/>
  <c r="O163" i="6" s="1"/>
  <c r="N162" i="6"/>
  <c r="M162" i="6"/>
  <c r="O162" i="6" s="1"/>
  <c r="K162" i="6"/>
  <c r="I162" i="6"/>
  <c r="O161" i="6"/>
  <c r="N161" i="6"/>
  <c r="M161" i="6"/>
  <c r="K161" i="6"/>
  <c r="I161" i="6"/>
  <c r="O160" i="6"/>
  <c r="N160" i="6"/>
  <c r="M160" i="6"/>
  <c r="K160" i="6"/>
  <c r="I160" i="6"/>
  <c r="N159" i="6"/>
  <c r="M159" i="6"/>
  <c r="O159" i="6" s="1"/>
  <c r="K159" i="6"/>
  <c r="I159" i="6"/>
  <c r="O158" i="6"/>
  <c r="N158" i="6"/>
  <c r="M158" i="6"/>
  <c r="K158" i="6"/>
  <c r="I158" i="6"/>
  <c r="N157" i="6"/>
  <c r="M157" i="6"/>
  <c r="K157" i="6"/>
  <c r="I157" i="6"/>
  <c r="N156" i="6"/>
  <c r="M156" i="6"/>
  <c r="M166" i="6" s="1"/>
  <c r="K156" i="6"/>
  <c r="I156" i="6"/>
  <c r="O156" i="6" s="1"/>
  <c r="N154" i="6"/>
  <c r="M154" i="6"/>
  <c r="O154" i="6" s="1"/>
  <c r="K154" i="6"/>
  <c r="I154" i="6"/>
  <c r="O153" i="6"/>
  <c r="N153" i="6"/>
  <c r="M153" i="6"/>
  <c r="K153" i="6"/>
  <c r="I153" i="6"/>
  <c r="N152" i="6"/>
  <c r="M152" i="6"/>
  <c r="K152" i="6"/>
  <c r="I152" i="6"/>
  <c r="O152" i="6" s="1"/>
  <c r="N151" i="6"/>
  <c r="M151" i="6"/>
  <c r="K151" i="6"/>
  <c r="I151" i="6"/>
  <c r="O151" i="6" s="1"/>
  <c r="N150" i="6"/>
  <c r="M150" i="6"/>
  <c r="K150" i="6"/>
  <c r="O150" i="6" s="1"/>
  <c r="I150" i="6"/>
  <c r="N149" i="6"/>
  <c r="M149" i="6"/>
  <c r="K149" i="6"/>
  <c r="I149" i="6"/>
  <c r="O149" i="6" s="1"/>
  <c r="O148" i="6"/>
  <c r="N148" i="6"/>
  <c r="M148" i="6"/>
  <c r="K148" i="6"/>
  <c r="I148" i="6"/>
  <c r="N147" i="6"/>
  <c r="M147" i="6"/>
  <c r="K147" i="6"/>
  <c r="O147" i="6" s="1"/>
  <c r="I147" i="6"/>
  <c r="N146" i="6"/>
  <c r="M146" i="6"/>
  <c r="K146" i="6"/>
  <c r="I146" i="6"/>
  <c r="O146" i="6" s="1"/>
  <c r="N145" i="6"/>
  <c r="M145" i="6"/>
  <c r="O145" i="6" s="1"/>
  <c r="K145" i="6"/>
  <c r="I145" i="6"/>
  <c r="O144" i="6"/>
  <c r="N144" i="6"/>
  <c r="M144" i="6"/>
  <c r="K144" i="6"/>
  <c r="I144" i="6"/>
  <c r="O143" i="6"/>
  <c r="N143" i="6"/>
  <c r="M143" i="6"/>
  <c r="M155" i="6" s="1"/>
  <c r="K143" i="6"/>
  <c r="K155" i="6" s="1"/>
  <c r="I143" i="6"/>
  <c r="N141" i="6"/>
  <c r="M141" i="6"/>
  <c r="K141" i="6"/>
  <c r="I141" i="6"/>
  <c r="O141" i="6" s="1"/>
  <c r="N140" i="6"/>
  <c r="M140" i="6"/>
  <c r="O140" i="6" s="1"/>
  <c r="K140" i="6"/>
  <c r="I140" i="6"/>
  <c r="O139" i="6"/>
  <c r="N139" i="6"/>
  <c r="M139" i="6"/>
  <c r="K139" i="6"/>
  <c r="I139" i="6"/>
  <c r="O138" i="6"/>
  <c r="N138" i="6"/>
  <c r="M138" i="6"/>
  <c r="K138" i="6"/>
  <c r="I138" i="6"/>
  <c r="N137" i="6"/>
  <c r="M137" i="6"/>
  <c r="O137" i="6" s="1"/>
  <c r="K137" i="6"/>
  <c r="I137" i="6"/>
  <c r="O136" i="6"/>
  <c r="N136" i="6"/>
  <c r="M136" i="6"/>
  <c r="K136" i="6"/>
  <c r="I136" i="6"/>
  <c r="N135" i="6"/>
  <c r="M135" i="6"/>
  <c r="K135" i="6"/>
  <c r="I135" i="6"/>
  <c r="O135" i="6" s="1"/>
  <c r="N134" i="6"/>
  <c r="M134" i="6"/>
  <c r="K134" i="6"/>
  <c r="I134" i="6"/>
  <c r="O134" i="6" s="1"/>
  <c r="N133" i="6"/>
  <c r="M133" i="6"/>
  <c r="K133" i="6"/>
  <c r="O133" i="6" s="1"/>
  <c r="I133" i="6"/>
  <c r="N132" i="6"/>
  <c r="M132" i="6"/>
  <c r="K132" i="6"/>
  <c r="I132" i="6"/>
  <c r="O132" i="6" s="1"/>
  <c r="O131" i="6"/>
  <c r="N131" i="6"/>
  <c r="M131" i="6"/>
  <c r="K131" i="6"/>
  <c r="I131" i="6"/>
  <c r="N130" i="6"/>
  <c r="M130" i="6"/>
  <c r="K130" i="6"/>
  <c r="O130" i="6" s="1"/>
  <c r="I130" i="6"/>
  <c r="O129" i="6"/>
  <c r="N129" i="6"/>
  <c r="M129" i="6"/>
  <c r="K129" i="6"/>
  <c r="I129" i="6"/>
  <c r="N128" i="6"/>
  <c r="M128" i="6"/>
  <c r="O128" i="6" s="1"/>
  <c r="K128" i="6"/>
  <c r="I128" i="6"/>
  <c r="O126" i="6"/>
  <c r="N126" i="6"/>
  <c r="M126" i="6"/>
  <c r="K126" i="6"/>
  <c r="I126" i="6"/>
  <c r="N125" i="6"/>
  <c r="M125" i="6"/>
  <c r="K125" i="6"/>
  <c r="I125" i="6"/>
  <c r="O124" i="6"/>
  <c r="N124" i="6"/>
  <c r="M124" i="6"/>
  <c r="K124" i="6"/>
  <c r="I124" i="6"/>
  <c r="N123" i="6"/>
  <c r="M123" i="6"/>
  <c r="O123" i="6" s="1"/>
  <c r="K123" i="6"/>
  <c r="I123" i="6"/>
  <c r="O122" i="6"/>
  <c r="N122" i="6"/>
  <c r="M122" i="6"/>
  <c r="K122" i="6"/>
  <c r="I122" i="6"/>
  <c r="O121" i="6"/>
  <c r="N121" i="6"/>
  <c r="M121" i="6"/>
  <c r="K121" i="6"/>
  <c r="I121" i="6"/>
  <c r="N120" i="6"/>
  <c r="M120" i="6"/>
  <c r="K120" i="6"/>
  <c r="I120" i="6"/>
  <c r="O120" i="6" s="1"/>
  <c r="O119" i="6"/>
  <c r="N119" i="6"/>
  <c r="M119" i="6"/>
  <c r="K119" i="6"/>
  <c r="I119" i="6"/>
  <c r="N118" i="6"/>
  <c r="M118" i="6"/>
  <c r="K118" i="6"/>
  <c r="I118" i="6"/>
  <c r="O118" i="6" s="1"/>
  <c r="N117" i="6"/>
  <c r="M117" i="6"/>
  <c r="O117" i="6" s="1"/>
  <c r="K117" i="6"/>
  <c r="I117" i="6"/>
  <c r="N116" i="6"/>
  <c r="M116" i="6"/>
  <c r="K116" i="6"/>
  <c r="O116" i="6" s="1"/>
  <c r="I116" i="6"/>
  <c r="N115" i="6"/>
  <c r="M115" i="6"/>
  <c r="K115" i="6"/>
  <c r="I115" i="6"/>
  <c r="O115" i="6" s="1"/>
  <c r="O114" i="6"/>
  <c r="N114" i="6"/>
  <c r="M114" i="6"/>
  <c r="K114" i="6"/>
  <c r="I114" i="6"/>
  <c r="N113" i="6"/>
  <c r="M113" i="6"/>
  <c r="K113" i="6"/>
  <c r="I113" i="6"/>
  <c r="N111" i="6"/>
  <c r="M111" i="6"/>
  <c r="K111" i="6"/>
  <c r="O111" i="6" s="1"/>
  <c r="I111" i="6"/>
  <c r="N110" i="6"/>
  <c r="M110" i="6"/>
  <c r="K110" i="6"/>
  <c r="I110" i="6"/>
  <c r="O110" i="6" s="1"/>
  <c r="O109" i="6"/>
  <c r="N109" i="6"/>
  <c r="M109" i="6"/>
  <c r="K109" i="6"/>
  <c r="I109" i="6"/>
  <c r="N108" i="6"/>
  <c r="M108" i="6"/>
  <c r="K108" i="6"/>
  <c r="I108" i="6"/>
  <c r="O108" i="6" s="1"/>
  <c r="O107" i="6"/>
  <c r="N107" i="6"/>
  <c r="M107" i="6"/>
  <c r="K107" i="6"/>
  <c r="I107" i="6"/>
  <c r="N106" i="6"/>
  <c r="M106" i="6"/>
  <c r="O106" i="6" s="1"/>
  <c r="K106" i="6"/>
  <c r="I106" i="6"/>
  <c r="O105" i="6"/>
  <c r="N105" i="6"/>
  <c r="M105" i="6"/>
  <c r="K105" i="6"/>
  <c r="I105" i="6"/>
  <c r="O104" i="6"/>
  <c r="N104" i="6"/>
  <c r="M104" i="6"/>
  <c r="K104" i="6"/>
  <c r="I104" i="6"/>
  <c r="N103" i="6"/>
  <c r="M103" i="6"/>
  <c r="K103" i="6"/>
  <c r="I103" i="6"/>
  <c r="O103" i="6" s="1"/>
  <c r="O102" i="6"/>
  <c r="N102" i="6"/>
  <c r="M102" i="6"/>
  <c r="K102" i="6"/>
  <c r="I102" i="6"/>
  <c r="N101" i="6"/>
  <c r="M101" i="6"/>
  <c r="K101" i="6"/>
  <c r="I101" i="6"/>
  <c r="O101" i="6" s="1"/>
  <c r="N100" i="6"/>
  <c r="M100" i="6"/>
  <c r="O100" i="6" s="1"/>
  <c r="K100" i="6"/>
  <c r="I100" i="6"/>
  <c r="N99" i="6"/>
  <c r="M99" i="6"/>
  <c r="K99" i="6"/>
  <c r="O99" i="6" s="1"/>
  <c r="I99" i="6"/>
  <c r="N98" i="6"/>
  <c r="M98" i="6"/>
  <c r="K98" i="6"/>
  <c r="I98" i="6"/>
  <c r="I112" i="6" s="1"/>
  <c r="O97" i="6"/>
  <c r="N97" i="6"/>
  <c r="M97" i="6"/>
  <c r="K97" i="6"/>
  <c r="I97" i="6"/>
  <c r="N95" i="6"/>
  <c r="M95" i="6"/>
  <c r="O95" i="6" s="1"/>
  <c r="K95" i="6"/>
  <c r="I95" i="6"/>
  <c r="N94" i="6"/>
  <c r="M94" i="6"/>
  <c r="K94" i="6"/>
  <c r="O94" i="6" s="1"/>
  <c r="I94" i="6"/>
  <c r="N93" i="6"/>
  <c r="M93" i="6"/>
  <c r="K93" i="6"/>
  <c r="I93" i="6"/>
  <c r="O93" i="6" s="1"/>
  <c r="O92" i="6"/>
  <c r="N92" i="6"/>
  <c r="M92" i="6"/>
  <c r="K92" i="6"/>
  <c r="I92" i="6"/>
  <c r="N91" i="6"/>
  <c r="M91" i="6"/>
  <c r="K91" i="6"/>
  <c r="I91" i="6"/>
  <c r="O90" i="6"/>
  <c r="N90" i="6"/>
  <c r="M90" i="6"/>
  <c r="K90" i="6"/>
  <c r="I90" i="6"/>
  <c r="N89" i="6"/>
  <c r="M89" i="6"/>
  <c r="O89" i="6" s="1"/>
  <c r="K89" i="6"/>
  <c r="I89" i="6"/>
  <c r="O88" i="6"/>
  <c r="N88" i="6"/>
  <c r="M88" i="6"/>
  <c r="K88" i="6"/>
  <c r="I88" i="6"/>
  <c r="O87" i="6"/>
  <c r="N87" i="6"/>
  <c r="M87" i="6"/>
  <c r="K87" i="6"/>
  <c r="I87" i="6"/>
  <c r="N86" i="6"/>
  <c r="M86" i="6"/>
  <c r="K86" i="6"/>
  <c r="I86" i="6"/>
  <c r="O86" i="6" s="1"/>
  <c r="O85" i="6"/>
  <c r="N85" i="6"/>
  <c r="M85" i="6"/>
  <c r="K85" i="6"/>
  <c r="I85" i="6"/>
  <c r="N84" i="6"/>
  <c r="M84" i="6"/>
  <c r="K84" i="6"/>
  <c r="I84" i="6"/>
  <c r="O84" i="6" s="1"/>
  <c r="N83" i="6"/>
  <c r="M83" i="6"/>
  <c r="O83" i="6" s="1"/>
  <c r="K83" i="6"/>
  <c r="I83" i="6"/>
  <c r="N82" i="6"/>
  <c r="M82" i="6"/>
  <c r="K82" i="6"/>
  <c r="O82" i="6" s="1"/>
  <c r="I82" i="6"/>
  <c r="N81" i="6"/>
  <c r="M81" i="6"/>
  <c r="K81" i="6"/>
  <c r="I81" i="6"/>
  <c r="O81" i="6" s="1"/>
  <c r="N79" i="6"/>
  <c r="M79" i="6"/>
  <c r="K79" i="6"/>
  <c r="I79" i="6"/>
  <c r="O79" i="6" s="1"/>
  <c r="N78" i="6"/>
  <c r="M78" i="6"/>
  <c r="O78" i="6" s="1"/>
  <c r="K78" i="6"/>
  <c r="I78" i="6"/>
  <c r="N77" i="6"/>
  <c r="M77" i="6"/>
  <c r="K77" i="6"/>
  <c r="O77" i="6" s="1"/>
  <c r="I77" i="6"/>
  <c r="N76" i="6"/>
  <c r="M76" i="6"/>
  <c r="K76" i="6"/>
  <c r="I76" i="6"/>
  <c r="O76" i="6" s="1"/>
  <c r="O75" i="6"/>
  <c r="N75" i="6"/>
  <c r="M75" i="6"/>
  <c r="K75" i="6"/>
  <c r="I75" i="6"/>
  <c r="N74" i="6"/>
  <c r="M74" i="6"/>
  <c r="K74" i="6"/>
  <c r="I74" i="6"/>
  <c r="O73" i="6"/>
  <c r="N73" i="6"/>
  <c r="M73" i="6"/>
  <c r="K73" i="6"/>
  <c r="I73" i="6"/>
  <c r="N72" i="6"/>
  <c r="M72" i="6"/>
  <c r="O72" i="6" s="1"/>
  <c r="K72" i="6"/>
  <c r="I72" i="6"/>
  <c r="O71" i="6"/>
  <c r="N71" i="6"/>
  <c r="M71" i="6"/>
  <c r="K71" i="6"/>
  <c r="I71" i="6"/>
  <c r="O70" i="6"/>
  <c r="N70" i="6"/>
  <c r="M70" i="6"/>
  <c r="K70" i="6"/>
  <c r="I70" i="6"/>
  <c r="N69" i="6"/>
  <c r="M69" i="6"/>
  <c r="K69" i="6"/>
  <c r="I69" i="6"/>
  <c r="O69" i="6" s="1"/>
  <c r="O68" i="6"/>
  <c r="N68" i="6"/>
  <c r="M68" i="6"/>
  <c r="K68" i="6"/>
  <c r="I68" i="6"/>
  <c r="N67" i="6"/>
  <c r="M67" i="6"/>
  <c r="K67" i="6"/>
  <c r="I67" i="6"/>
  <c r="O67" i="6" s="1"/>
  <c r="N66" i="6"/>
  <c r="M66" i="6"/>
  <c r="O66" i="6" s="1"/>
  <c r="K66" i="6"/>
  <c r="I66" i="6"/>
  <c r="N65" i="6"/>
  <c r="M65" i="6"/>
  <c r="K65" i="6"/>
  <c r="O65" i="6" s="1"/>
  <c r="I65" i="6"/>
  <c r="N64" i="6"/>
  <c r="M64" i="6"/>
  <c r="M80" i="6" s="1"/>
  <c r="K64" i="6"/>
  <c r="I64" i="6"/>
  <c r="O63" i="6"/>
  <c r="N63" i="6"/>
  <c r="M63" i="6"/>
  <c r="K63" i="6"/>
  <c r="I63" i="6"/>
  <c r="I62" i="6"/>
  <c r="N61" i="6"/>
  <c r="M61" i="6"/>
  <c r="O61" i="6" s="1"/>
  <c r="K61" i="6"/>
  <c r="I61" i="6"/>
  <c r="N60" i="6"/>
  <c r="M60" i="6"/>
  <c r="K60" i="6"/>
  <c r="O60" i="6" s="1"/>
  <c r="I60" i="6"/>
  <c r="N59" i="6"/>
  <c r="M59" i="6"/>
  <c r="K59" i="6"/>
  <c r="I59" i="6"/>
  <c r="O59" i="6" s="1"/>
  <c r="O58" i="6"/>
  <c r="N58" i="6"/>
  <c r="M58" i="6"/>
  <c r="K58" i="6"/>
  <c r="I58" i="6"/>
  <c r="N57" i="6"/>
  <c r="M57" i="6"/>
  <c r="K57" i="6"/>
  <c r="I57" i="6"/>
  <c r="O57" i="6" s="1"/>
  <c r="O56" i="6"/>
  <c r="N56" i="6"/>
  <c r="M56" i="6"/>
  <c r="K56" i="6"/>
  <c r="I56" i="6"/>
  <c r="N55" i="6"/>
  <c r="M55" i="6"/>
  <c r="O55" i="6" s="1"/>
  <c r="K55" i="6"/>
  <c r="I55" i="6"/>
  <c r="O54" i="6"/>
  <c r="N54" i="6"/>
  <c r="M54" i="6"/>
  <c r="K54" i="6"/>
  <c r="I54" i="6"/>
  <c r="O53" i="6"/>
  <c r="N53" i="6"/>
  <c r="M53" i="6"/>
  <c r="K53" i="6"/>
  <c r="I53" i="6"/>
  <c r="N52" i="6"/>
  <c r="M52" i="6"/>
  <c r="K52" i="6"/>
  <c r="I52" i="6"/>
  <c r="O52" i="6" s="1"/>
  <c r="O51" i="6"/>
  <c r="N51" i="6"/>
  <c r="M51" i="6"/>
  <c r="K51" i="6"/>
  <c r="I51" i="6"/>
  <c r="N50" i="6"/>
  <c r="M50" i="6"/>
  <c r="K50" i="6"/>
  <c r="I50" i="6"/>
  <c r="O50" i="6" s="1"/>
  <c r="N49" i="6"/>
  <c r="M49" i="6"/>
  <c r="O49" i="6" s="1"/>
  <c r="K49" i="6"/>
  <c r="I49" i="6"/>
  <c r="N48" i="6"/>
  <c r="M48" i="6"/>
  <c r="K48" i="6"/>
  <c r="O48" i="6" s="1"/>
  <c r="I48" i="6"/>
  <c r="N47" i="6"/>
  <c r="M47" i="6"/>
  <c r="K47" i="6"/>
  <c r="I47" i="6"/>
  <c r="O47" i="6" s="1"/>
  <c r="O46" i="6"/>
  <c r="N46" i="6"/>
  <c r="M46" i="6"/>
  <c r="M62" i="6" s="1"/>
  <c r="K46" i="6"/>
  <c r="I46" i="6"/>
  <c r="N45" i="6"/>
  <c r="M45" i="6"/>
  <c r="K45" i="6"/>
  <c r="K62" i="6" s="1"/>
  <c r="I45" i="6"/>
  <c r="O45" i="6" s="1"/>
  <c r="N43" i="6"/>
  <c r="M43" i="6"/>
  <c r="K43" i="6"/>
  <c r="O43" i="6" s="1"/>
  <c r="I43" i="6"/>
  <c r="N42" i="6"/>
  <c r="M42" i="6"/>
  <c r="K42" i="6"/>
  <c r="I42" i="6"/>
  <c r="O42" i="6" s="1"/>
  <c r="O41" i="6"/>
  <c r="N41" i="6"/>
  <c r="M41" i="6"/>
  <c r="K41" i="6"/>
  <c r="I41" i="6"/>
  <c r="N40" i="6"/>
  <c r="M40" i="6"/>
  <c r="K40" i="6"/>
  <c r="I40" i="6"/>
  <c r="O40" i="6" s="1"/>
  <c r="O39" i="6"/>
  <c r="N39" i="6"/>
  <c r="M39" i="6"/>
  <c r="K39" i="6"/>
  <c r="I39" i="6"/>
  <c r="N38" i="6"/>
  <c r="M38" i="6"/>
  <c r="O38" i="6" s="1"/>
  <c r="K38" i="6"/>
  <c r="I38" i="6"/>
  <c r="O37" i="6"/>
  <c r="N37" i="6"/>
  <c r="M37" i="6"/>
  <c r="K37" i="6"/>
  <c r="I37" i="6"/>
  <c r="O36" i="6"/>
  <c r="N36" i="6"/>
  <c r="M36" i="6"/>
  <c r="K36" i="6"/>
  <c r="I36" i="6"/>
  <c r="N35" i="6"/>
  <c r="M35" i="6"/>
  <c r="K35" i="6"/>
  <c r="I35" i="6"/>
  <c r="O34" i="6"/>
  <c r="N34" i="6"/>
  <c r="M34" i="6"/>
  <c r="K34" i="6"/>
  <c r="I34" i="6"/>
  <c r="N33" i="6"/>
  <c r="M33" i="6"/>
  <c r="K33" i="6"/>
  <c r="I33" i="6"/>
  <c r="O33" i="6" s="1"/>
  <c r="N32" i="6"/>
  <c r="M32" i="6"/>
  <c r="O32" i="6" s="1"/>
  <c r="K32" i="6"/>
  <c r="I32" i="6"/>
  <c r="N31" i="6"/>
  <c r="M31" i="6"/>
  <c r="K31" i="6"/>
  <c r="O31" i="6" s="1"/>
  <c r="I31" i="6"/>
  <c r="N30" i="6"/>
  <c r="M30" i="6"/>
  <c r="M44" i="6" s="1"/>
  <c r="K30" i="6"/>
  <c r="K44" i="6" s="1"/>
  <c r="I30" i="6"/>
  <c r="I44" i="6" s="1"/>
  <c r="N28" i="6"/>
  <c r="M28" i="6"/>
  <c r="K28" i="6"/>
  <c r="I28" i="6"/>
  <c r="O28" i="6" s="1"/>
  <c r="N27" i="6"/>
  <c r="M27" i="6"/>
  <c r="O27" i="6" s="1"/>
  <c r="K27" i="6"/>
  <c r="I27" i="6"/>
  <c r="N26" i="6"/>
  <c r="M26" i="6"/>
  <c r="K26" i="6"/>
  <c r="O26" i="6" s="1"/>
  <c r="I26" i="6"/>
  <c r="N25" i="6"/>
  <c r="M25" i="6"/>
  <c r="K25" i="6"/>
  <c r="I25" i="6"/>
  <c r="O25" i="6" s="1"/>
  <c r="O24" i="6"/>
  <c r="N24" i="6"/>
  <c r="M24" i="6"/>
  <c r="K24" i="6"/>
  <c r="I24" i="6"/>
  <c r="N23" i="6"/>
  <c r="M23" i="6"/>
  <c r="K23" i="6"/>
  <c r="I23" i="6"/>
  <c r="O22" i="6"/>
  <c r="N22" i="6"/>
  <c r="M22" i="6"/>
  <c r="K22" i="6"/>
  <c r="I22" i="6"/>
  <c r="N21" i="6"/>
  <c r="M21" i="6"/>
  <c r="O21" i="6" s="1"/>
  <c r="K21" i="6"/>
  <c r="I21" i="6"/>
  <c r="O20" i="6"/>
  <c r="N20" i="6"/>
  <c r="M20" i="6"/>
  <c r="M29" i="6" s="1"/>
  <c r="K20" i="6"/>
  <c r="I20" i="6"/>
  <c r="N604" i="5"/>
  <c r="M604" i="5"/>
  <c r="O604" i="5" s="1"/>
  <c r="K604" i="5"/>
  <c r="I604" i="5"/>
  <c r="N603" i="5"/>
  <c r="M603" i="5"/>
  <c r="K603" i="5"/>
  <c r="O603" i="5" s="1"/>
  <c r="I603" i="5"/>
  <c r="N602" i="5"/>
  <c r="M602" i="5"/>
  <c r="K602" i="5"/>
  <c r="I602" i="5"/>
  <c r="O602" i="5" s="1"/>
  <c r="O601" i="5"/>
  <c r="N601" i="5"/>
  <c r="M601" i="5"/>
  <c r="K601" i="5"/>
  <c r="I601" i="5"/>
  <c r="N600" i="5"/>
  <c r="M600" i="5"/>
  <c r="K600" i="5"/>
  <c r="I600" i="5"/>
  <c r="O599" i="5"/>
  <c r="N599" i="5"/>
  <c r="M599" i="5"/>
  <c r="K599" i="5"/>
  <c r="I599" i="5"/>
  <c r="N598" i="5"/>
  <c r="M598" i="5"/>
  <c r="O598" i="5" s="1"/>
  <c r="K598" i="5"/>
  <c r="I598" i="5"/>
  <c r="O597" i="5"/>
  <c r="N597" i="5"/>
  <c r="M597" i="5"/>
  <c r="K597" i="5"/>
  <c r="I597" i="5"/>
  <c r="O596" i="5"/>
  <c r="N596" i="5"/>
  <c r="M596" i="5"/>
  <c r="K596" i="5"/>
  <c r="I596" i="5"/>
  <c r="N595" i="5"/>
  <c r="M595" i="5"/>
  <c r="K595" i="5"/>
  <c r="I595" i="5"/>
  <c r="O595" i="5" s="1"/>
  <c r="O594" i="5"/>
  <c r="N594" i="5"/>
  <c r="M594" i="5"/>
  <c r="K594" i="5"/>
  <c r="I594" i="5"/>
  <c r="N593" i="5"/>
  <c r="M593" i="5"/>
  <c r="K593" i="5"/>
  <c r="I593" i="5"/>
  <c r="O593" i="5" s="1"/>
  <c r="N592" i="5"/>
  <c r="M592" i="5"/>
  <c r="O592" i="5" s="1"/>
  <c r="K592" i="5"/>
  <c r="I592" i="5"/>
  <c r="N591" i="5"/>
  <c r="M591" i="5"/>
  <c r="K591" i="5"/>
  <c r="O591" i="5" s="1"/>
  <c r="I591" i="5"/>
  <c r="N590" i="5"/>
  <c r="M590" i="5"/>
  <c r="K590" i="5"/>
  <c r="I590" i="5"/>
  <c r="O590" i="5" s="1"/>
  <c r="O589" i="5"/>
  <c r="N589" i="5"/>
  <c r="M589" i="5"/>
  <c r="K589" i="5"/>
  <c r="I589" i="5"/>
  <c r="N588" i="5"/>
  <c r="M588" i="5"/>
  <c r="K588" i="5"/>
  <c r="I588" i="5"/>
  <c r="O588" i="5" s="1"/>
  <c r="O587" i="5"/>
  <c r="N587" i="5"/>
  <c r="M587" i="5"/>
  <c r="K587" i="5"/>
  <c r="I587" i="5"/>
  <c r="N586" i="5"/>
  <c r="M586" i="5"/>
  <c r="O586" i="5" s="1"/>
  <c r="K586" i="5"/>
  <c r="I586" i="5"/>
  <c r="O585" i="5"/>
  <c r="N585" i="5"/>
  <c r="M585" i="5"/>
  <c r="K585" i="5"/>
  <c r="I585" i="5"/>
  <c r="O584" i="5"/>
  <c r="N584" i="5"/>
  <c r="M584" i="5"/>
  <c r="K584" i="5"/>
  <c r="I584" i="5"/>
  <c r="N583" i="5"/>
  <c r="M583" i="5"/>
  <c r="K583" i="5"/>
  <c r="I583" i="5"/>
  <c r="O583" i="5" s="1"/>
  <c r="O582" i="5"/>
  <c r="N582" i="5"/>
  <c r="M582" i="5"/>
  <c r="K582" i="5"/>
  <c r="I582" i="5"/>
  <c r="N581" i="5"/>
  <c r="M581" i="5"/>
  <c r="K581" i="5"/>
  <c r="I581" i="5"/>
  <c r="O581" i="5" s="1"/>
  <c r="N580" i="5"/>
  <c r="M580" i="5"/>
  <c r="O580" i="5" s="1"/>
  <c r="K580" i="5"/>
  <c r="I580" i="5"/>
  <c r="N579" i="5"/>
  <c r="M579" i="5"/>
  <c r="K579" i="5"/>
  <c r="O579" i="5" s="1"/>
  <c r="I579" i="5"/>
  <c r="N578" i="5"/>
  <c r="M578" i="5"/>
  <c r="K578" i="5"/>
  <c r="I578" i="5"/>
  <c r="O578" i="5" s="1"/>
  <c r="O577" i="5"/>
  <c r="N577" i="5"/>
  <c r="M577" i="5"/>
  <c r="K577" i="5"/>
  <c r="I577" i="5"/>
  <c r="N576" i="5"/>
  <c r="M576" i="5"/>
  <c r="K576" i="5"/>
  <c r="I576" i="5"/>
  <c r="O576" i="5" s="1"/>
  <c r="O575" i="5"/>
  <c r="N575" i="5"/>
  <c r="M575" i="5"/>
  <c r="K575" i="5"/>
  <c r="I575" i="5"/>
  <c r="N574" i="5"/>
  <c r="M574" i="5"/>
  <c r="O574" i="5" s="1"/>
  <c r="K574" i="5"/>
  <c r="I574" i="5"/>
  <c r="O573" i="5"/>
  <c r="N573" i="5"/>
  <c r="M573" i="5"/>
  <c r="K573" i="5"/>
  <c r="I573" i="5"/>
  <c r="O572" i="5"/>
  <c r="N572" i="5"/>
  <c r="M572" i="5"/>
  <c r="K572" i="5"/>
  <c r="I572" i="5"/>
  <c r="N571" i="5"/>
  <c r="M571" i="5"/>
  <c r="K571" i="5"/>
  <c r="I571" i="5"/>
  <c r="O571" i="5" s="1"/>
  <c r="O570" i="5"/>
  <c r="N570" i="5"/>
  <c r="M570" i="5"/>
  <c r="K570" i="5"/>
  <c r="I570" i="5"/>
  <c r="N569" i="5"/>
  <c r="M569" i="5"/>
  <c r="K569" i="5"/>
  <c r="I569" i="5"/>
  <c r="O569" i="5" s="1"/>
  <c r="N568" i="5"/>
  <c r="M568" i="5"/>
  <c r="O568" i="5" s="1"/>
  <c r="K568" i="5"/>
  <c r="I568" i="5"/>
  <c r="N567" i="5"/>
  <c r="M567" i="5"/>
  <c r="K567" i="5"/>
  <c r="O567" i="5" s="1"/>
  <c r="I567" i="5"/>
  <c r="N566" i="5"/>
  <c r="M566" i="5"/>
  <c r="K566" i="5"/>
  <c r="I566" i="5"/>
  <c r="O566" i="5" s="1"/>
  <c r="O565" i="5"/>
  <c r="N565" i="5"/>
  <c r="M565" i="5"/>
  <c r="K565" i="5"/>
  <c r="I565" i="5"/>
  <c r="N564" i="5"/>
  <c r="M564" i="5"/>
  <c r="K564" i="5"/>
  <c r="I564" i="5"/>
  <c r="O564" i="5" s="1"/>
  <c r="O563" i="5"/>
  <c r="N563" i="5"/>
  <c r="M563" i="5"/>
  <c r="K563" i="5"/>
  <c r="I563" i="5"/>
  <c r="N562" i="5"/>
  <c r="M562" i="5"/>
  <c r="O562" i="5" s="1"/>
  <c r="K562" i="5"/>
  <c r="I562" i="5"/>
  <c r="O561" i="5"/>
  <c r="N561" i="5"/>
  <c r="M561" i="5"/>
  <c r="K561" i="5"/>
  <c r="I561" i="5"/>
  <c r="O560" i="5"/>
  <c r="N560" i="5"/>
  <c r="M560" i="5"/>
  <c r="K560" i="5"/>
  <c r="I560" i="5"/>
  <c r="N559" i="5"/>
  <c r="M559" i="5"/>
  <c r="K559" i="5"/>
  <c r="I559" i="5"/>
  <c r="O558" i="5"/>
  <c r="N558" i="5"/>
  <c r="M558" i="5"/>
  <c r="K558" i="5"/>
  <c r="I558" i="5"/>
  <c r="N557" i="5"/>
  <c r="M557" i="5"/>
  <c r="K557" i="5"/>
  <c r="I557" i="5"/>
  <c r="O557" i="5" s="1"/>
  <c r="N556" i="5"/>
  <c r="M556" i="5"/>
  <c r="O556" i="5" s="1"/>
  <c r="K556" i="5"/>
  <c r="I556" i="5"/>
  <c r="N555" i="5"/>
  <c r="M555" i="5"/>
  <c r="K555" i="5"/>
  <c r="O555" i="5" s="1"/>
  <c r="I555" i="5"/>
  <c r="N554" i="5"/>
  <c r="M554" i="5"/>
  <c r="K554" i="5"/>
  <c r="I554" i="5"/>
  <c r="O554" i="5" s="1"/>
  <c r="O553" i="5"/>
  <c r="N553" i="5"/>
  <c r="M553" i="5"/>
  <c r="K553" i="5"/>
  <c r="I553" i="5"/>
  <c r="N552" i="5"/>
  <c r="M552" i="5"/>
  <c r="K552" i="5"/>
  <c r="I552" i="5"/>
  <c r="O552" i="5" s="1"/>
  <c r="O551" i="5"/>
  <c r="N551" i="5"/>
  <c r="M551" i="5"/>
  <c r="K551" i="5"/>
  <c r="I551" i="5"/>
  <c r="N550" i="5"/>
  <c r="M550" i="5"/>
  <c r="O550" i="5" s="1"/>
  <c r="K550" i="5"/>
  <c r="I550" i="5"/>
  <c r="O549" i="5"/>
  <c r="N549" i="5"/>
  <c r="M549" i="5"/>
  <c r="K549" i="5"/>
  <c r="I549" i="5"/>
  <c r="O548" i="5"/>
  <c r="N548" i="5"/>
  <c r="M548" i="5"/>
  <c r="K548" i="5"/>
  <c r="I548" i="5"/>
  <c r="N547" i="5"/>
  <c r="M547" i="5"/>
  <c r="K547" i="5"/>
  <c r="I547" i="5"/>
  <c r="O546" i="5"/>
  <c r="N546" i="5"/>
  <c r="M546" i="5"/>
  <c r="K546" i="5"/>
  <c r="I546" i="5"/>
  <c r="N545" i="5"/>
  <c r="M545" i="5"/>
  <c r="K545" i="5"/>
  <c r="I545" i="5"/>
  <c r="O545" i="5" s="1"/>
  <c r="N544" i="5"/>
  <c r="M544" i="5"/>
  <c r="O544" i="5" s="1"/>
  <c r="K544" i="5"/>
  <c r="I544" i="5"/>
  <c r="N543" i="5"/>
  <c r="M543" i="5"/>
  <c r="K543" i="5"/>
  <c r="O543" i="5" s="1"/>
  <c r="I543" i="5"/>
  <c r="N542" i="5"/>
  <c r="M542" i="5"/>
  <c r="K542" i="5"/>
  <c r="I542" i="5"/>
  <c r="O542" i="5" s="1"/>
  <c r="O541" i="5"/>
  <c r="N541" i="5"/>
  <c r="M541" i="5"/>
  <c r="K541" i="5"/>
  <c r="I541" i="5"/>
  <c r="N540" i="5"/>
  <c r="M540" i="5"/>
  <c r="K540" i="5"/>
  <c r="I540" i="5"/>
  <c r="O539" i="5"/>
  <c r="N539" i="5"/>
  <c r="M539" i="5"/>
  <c r="K539" i="5"/>
  <c r="I539" i="5"/>
  <c r="N538" i="5"/>
  <c r="M538" i="5"/>
  <c r="O538" i="5" s="1"/>
  <c r="K538" i="5"/>
  <c r="I538" i="5"/>
  <c r="O537" i="5"/>
  <c r="N537" i="5"/>
  <c r="M537" i="5"/>
  <c r="K537" i="5"/>
  <c r="I537" i="5"/>
  <c r="O536" i="5"/>
  <c r="N536" i="5"/>
  <c r="M536" i="5"/>
  <c r="K536" i="5"/>
  <c r="I536" i="5"/>
  <c r="N535" i="5"/>
  <c r="M535" i="5"/>
  <c r="K535" i="5"/>
  <c r="I535" i="5"/>
  <c r="O534" i="5"/>
  <c r="N534" i="5"/>
  <c r="M534" i="5"/>
  <c r="K534" i="5"/>
  <c r="I534" i="5"/>
  <c r="N533" i="5"/>
  <c r="M533" i="5"/>
  <c r="K533" i="5"/>
  <c r="I533" i="5"/>
  <c r="O533" i="5" s="1"/>
  <c r="N532" i="5"/>
  <c r="M532" i="5"/>
  <c r="O532" i="5" s="1"/>
  <c r="K532" i="5"/>
  <c r="I532" i="5"/>
  <c r="N531" i="5"/>
  <c r="M531" i="5"/>
  <c r="K531" i="5"/>
  <c r="O531" i="5" s="1"/>
  <c r="I531" i="5"/>
  <c r="N530" i="5"/>
  <c r="M530" i="5"/>
  <c r="K530" i="5"/>
  <c r="I530" i="5"/>
  <c r="O530" i="5" s="1"/>
  <c r="O529" i="5"/>
  <c r="N529" i="5"/>
  <c r="M529" i="5"/>
  <c r="K529" i="5"/>
  <c r="I529" i="5"/>
  <c r="N528" i="5"/>
  <c r="M528" i="5"/>
  <c r="K528" i="5"/>
  <c r="I528" i="5"/>
  <c r="O527" i="5"/>
  <c r="N527" i="5"/>
  <c r="M527" i="5"/>
  <c r="K527" i="5"/>
  <c r="I527" i="5"/>
  <c r="N526" i="5"/>
  <c r="M526" i="5"/>
  <c r="O526" i="5" s="1"/>
  <c r="K526" i="5"/>
  <c r="I526" i="5"/>
  <c r="O525" i="5"/>
  <c r="N525" i="5"/>
  <c r="M525" i="5"/>
  <c r="K525" i="5"/>
  <c r="I525" i="5"/>
  <c r="N523" i="5"/>
  <c r="M523" i="5"/>
  <c r="K523" i="5"/>
  <c r="I523" i="5"/>
  <c r="O522" i="5"/>
  <c r="N522" i="5"/>
  <c r="M522" i="5"/>
  <c r="M524" i="5" s="1"/>
  <c r="K522" i="5"/>
  <c r="I522" i="5"/>
  <c r="I524" i="5" s="1"/>
  <c r="N520" i="5"/>
  <c r="M520" i="5"/>
  <c r="K520" i="5"/>
  <c r="I520" i="5"/>
  <c r="O520" i="5" s="1"/>
  <c r="O519" i="5"/>
  <c r="N519" i="5"/>
  <c r="M519" i="5"/>
  <c r="K519" i="5"/>
  <c r="I519" i="5"/>
  <c r="N518" i="5"/>
  <c r="M518" i="5"/>
  <c r="K518" i="5"/>
  <c r="I518" i="5"/>
  <c r="O517" i="5"/>
  <c r="N517" i="5"/>
  <c r="M517" i="5"/>
  <c r="K517" i="5"/>
  <c r="I517" i="5"/>
  <c r="N516" i="5"/>
  <c r="M516" i="5"/>
  <c r="O516" i="5" s="1"/>
  <c r="K516" i="5"/>
  <c r="I516" i="5"/>
  <c r="O515" i="5"/>
  <c r="N515" i="5"/>
  <c r="M515" i="5"/>
  <c r="K515" i="5"/>
  <c r="I515" i="5"/>
  <c r="O514" i="5"/>
  <c r="N514" i="5"/>
  <c r="M514" i="5"/>
  <c r="K514" i="5"/>
  <c r="I514" i="5"/>
  <c r="N513" i="5"/>
  <c r="M513" i="5"/>
  <c r="K513" i="5"/>
  <c r="I513" i="5"/>
  <c r="O513" i="5" s="1"/>
  <c r="O512" i="5"/>
  <c r="N512" i="5"/>
  <c r="M512" i="5"/>
  <c r="M521" i="5" s="1"/>
  <c r="K512" i="5"/>
  <c r="I512" i="5"/>
  <c r="I521" i="5" s="1"/>
  <c r="O510" i="5"/>
  <c r="N510" i="5"/>
  <c r="M510" i="5"/>
  <c r="K510" i="5"/>
  <c r="I510" i="5"/>
  <c r="O509" i="5"/>
  <c r="N509" i="5"/>
  <c r="M509" i="5"/>
  <c r="K509" i="5"/>
  <c r="I509" i="5"/>
  <c r="N508" i="5"/>
  <c r="M508" i="5"/>
  <c r="K508" i="5"/>
  <c r="I508" i="5"/>
  <c r="O507" i="5"/>
  <c r="N507" i="5"/>
  <c r="M507" i="5"/>
  <c r="K507" i="5"/>
  <c r="I507" i="5"/>
  <c r="N506" i="5"/>
  <c r="M506" i="5"/>
  <c r="K506" i="5"/>
  <c r="I506" i="5"/>
  <c r="O506" i="5" s="1"/>
  <c r="N505" i="5"/>
  <c r="M505" i="5"/>
  <c r="O505" i="5" s="1"/>
  <c r="K505" i="5"/>
  <c r="I505" i="5"/>
  <c r="N504" i="5"/>
  <c r="M504" i="5"/>
  <c r="K504" i="5"/>
  <c r="O504" i="5" s="1"/>
  <c r="I504" i="5"/>
  <c r="N503" i="5"/>
  <c r="M503" i="5"/>
  <c r="K503" i="5"/>
  <c r="I503" i="5"/>
  <c r="O503" i="5" s="1"/>
  <c r="O502" i="5"/>
  <c r="N502" i="5"/>
  <c r="M502" i="5"/>
  <c r="K502" i="5"/>
  <c r="I502" i="5"/>
  <c r="N501" i="5"/>
  <c r="M501" i="5"/>
  <c r="K501" i="5"/>
  <c r="I501" i="5"/>
  <c r="O500" i="5"/>
  <c r="N500" i="5"/>
  <c r="M500" i="5"/>
  <c r="K500" i="5"/>
  <c r="I500" i="5"/>
  <c r="N499" i="5"/>
  <c r="M499" i="5"/>
  <c r="O499" i="5" s="1"/>
  <c r="K499" i="5"/>
  <c r="I499" i="5"/>
  <c r="O498" i="5"/>
  <c r="N498" i="5"/>
  <c r="M498" i="5"/>
  <c r="K498" i="5"/>
  <c r="I498" i="5"/>
  <c r="O497" i="5"/>
  <c r="N497" i="5"/>
  <c r="M497" i="5"/>
  <c r="K497" i="5"/>
  <c r="I497" i="5"/>
  <c r="N496" i="5"/>
  <c r="M496" i="5"/>
  <c r="K496" i="5"/>
  <c r="I496" i="5"/>
  <c r="O496" i="5" s="1"/>
  <c r="O495" i="5"/>
  <c r="N495" i="5"/>
  <c r="M495" i="5"/>
  <c r="K495" i="5"/>
  <c r="I495" i="5"/>
  <c r="N494" i="5"/>
  <c r="M494" i="5"/>
  <c r="K494" i="5"/>
  <c r="I494" i="5"/>
  <c r="O494" i="5" s="1"/>
  <c r="N493" i="5"/>
  <c r="M493" i="5"/>
  <c r="O493" i="5" s="1"/>
  <c r="K493" i="5"/>
  <c r="I493" i="5"/>
  <c r="N492" i="5"/>
  <c r="M492" i="5"/>
  <c r="K492" i="5"/>
  <c r="O492" i="5" s="1"/>
  <c r="I492" i="5"/>
  <c r="N491" i="5"/>
  <c r="M491" i="5"/>
  <c r="K491" i="5"/>
  <c r="I491" i="5"/>
  <c r="O491" i="5" s="1"/>
  <c r="O490" i="5"/>
  <c r="N490" i="5"/>
  <c r="M490" i="5"/>
  <c r="K490" i="5"/>
  <c r="I490" i="5"/>
  <c r="N489" i="5"/>
  <c r="M489" i="5"/>
  <c r="K489" i="5"/>
  <c r="I489" i="5"/>
  <c r="O489" i="5" s="1"/>
  <c r="O488" i="5"/>
  <c r="N488" i="5"/>
  <c r="M488" i="5"/>
  <c r="K488" i="5"/>
  <c r="I488" i="5"/>
  <c r="N487" i="5"/>
  <c r="M487" i="5"/>
  <c r="O487" i="5" s="1"/>
  <c r="K487" i="5"/>
  <c r="I487" i="5"/>
  <c r="O486" i="5"/>
  <c r="N486" i="5"/>
  <c r="M486" i="5"/>
  <c r="K486" i="5"/>
  <c r="I486" i="5"/>
  <c r="O485" i="5"/>
  <c r="N485" i="5"/>
  <c r="M485" i="5"/>
  <c r="K485" i="5"/>
  <c r="I485" i="5"/>
  <c r="N484" i="5"/>
  <c r="M484" i="5"/>
  <c r="K484" i="5"/>
  <c r="I484" i="5"/>
  <c r="O484" i="5" s="1"/>
  <c r="O483" i="5"/>
  <c r="N483" i="5"/>
  <c r="M483" i="5"/>
  <c r="K483" i="5"/>
  <c r="I483" i="5"/>
  <c r="N482" i="5"/>
  <c r="M482" i="5"/>
  <c r="K482" i="5"/>
  <c r="I482" i="5"/>
  <c r="O482" i="5" s="1"/>
  <c r="N481" i="5"/>
  <c r="M481" i="5"/>
  <c r="O481" i="5" s="1"/>
  <c r="K481" i="5"/>
  <c r="I481" i="5"/>
  <c r="N480" i="5"/>
  <c r="M480" i="5"/>
  <c r="K480" i="5"/>
  <c r="O480" i="5" s="1"/>
  <c r="I480" i="5"/>
  <c r="N479" i="5"/>
  <c r="M479" i="5"/>
  <c r="K479" i="5"/>
  <c r="I479" i="5"/>
  <c r="O479" i="5" s="1"/>
  <c r="O478" i="5"/>
  <c r="N478" i="5"/>
  <c r="M478" i="5"/>
  <c r="K478" i="5"/>
  <c r="I478" i="5"/>
  <c r="N477" i="5"/>
  <c r="M477" i="5"/>
  <c r="K477" i="5"/>
  <c r="I477" i="5"/>
  <c r="O477" i="5" s="1"/>
  <c r="O476" i="5"/>
  <c r="N476" i="5"/>
  <c r="M476" i="5"/>
  <c r="K476" i="5"/>
  <c r="I476" i="5"/>
  <c r="N475" i="5"/>
  <c r="M475" i="5"/>
  <c r="O475" i="5" s="1"/>
  <c r="K475" i="5"/>
  <c r="I475" i="5"/>
  <c r="O474" i="5"/>
  <c r="N474" i="5"/>
  <c r="M474" i="5"/>
  <c r="K474" i="5"/>
  <c r="I474" i="5"/>
  <c r="O473" i="5"/>
  <c r="N473" i="5"/>
  <c r="M473" i="5"/>
  <c r="K473" i="5"/>
  <c r="I473" i="5"/>
  <c r="N472" i="5"/>
  <c r="M472" i="5"/>
  <c r="K472" i="5"/>
  <c r="I472" i="5"/>
  <c r="O472" i="5" s="1"/>
  <c r="O471" i="5"/>
  <c r="N471" i="5"/>
  <c r="M471" i="5"/>
  <c r="K471" i="5"/>
  <c r="I471" i="5"/>
  <c r="N470" i="5"/>
  <c r="M470" i="5"/>
  <c r="K470" i="5"/>
  <c r="I470" i="5"/>
  <c r="O470" i="5" s="1"/>
  <c r="N469" i="5"/>
  <c r="M469" i="5"/>
  <c r="O469" i="5" s="1"/>
  <c r="K469" i="5"/>
  <c r="I469" i="5"/>
  <c r="N468" i="5"/>
  <c r="M468" i="5"/>
  <c r="K468" i="5"/>
  <c r="O468" i="5" s="1"/>
  <c r="I468" i="5"/>
  <c r="N467" i="5"/>
  <c r="M467" i="5"/>
  <c r="K467" i="5"/>
  <c r="I467" i="5"/>
  <c r="O467" i="5" s="1"/>
  <c r="O466" i="5"/>
  <c r="N466" i="5"/>
  <c r="M466" i="5"/>
  <c r="K466" i="5"/>
  <c r="I466" i="5"/>
  <c r="N465" i="5"/>
  <c r="M465" i="5"/>
  <c r="K465" i="5"/>
  <c r="I465" i="5"/>
  <c r="O464" i="5"/>
  <c r="N464" i="5"/>
  <c r="M464" i="5"/>
  <c r="K464" i="5"/>
  <c r="I464" i="5"/>
  <c r="N463" i="5"/>
  <c r="M463" i="5"/>
  <c r="O463" i="5" s="1"/>
  <c r="K463" i="5"/>
  <c r="I463" i="5"/>
  <c r="O462" i="5"/>
  <c r="N462" i="5"/>
  <c r="M462" i="5"/>
  <c r="K462" i="5"/>
  <c r="I462" i="5"/>
  <c r="O461" i="5"/>
  <c r="N461" i="5"/>
  <c r="M461" i="5"/>
  <c r="K461" i="5"/>
  <c r="I461" i="5"/>
  <c r="N460" i="5"/>
  <c r="M460" i="5"/>
  <c r="K460" i="5"/>
  <c r="I460" i="5"/>
  <c r="O460" i="5" s="1"/>
  <c r="O459" i="5"/>
  <c r="N459" i="5"/>
  <c r="M459" i="5"/>
  <c r="M511" i="5" s="1"/>
  <c r="K459" i="5"/>
  <c r="I459" i="5"/>
  <c r="N458" i="5"/>
  <c r="M458" i="5"/>
  <c r="K458" i="5"/>
  <c r="I458" i="5"/>
  <c r="O456" i="5"/>
  <c r="N456" i="5"/>
  <c r="M456" i="5"/>
  <c r="K456" i="5"/>
  <c r="I456" i="5"/>
  <c r="N455" i="5"/>
  <c r="M455" i="5"/>
  <c r="K455" i="5"/>
  <c r="I455" i="5"/>
  <c r="O454" i="5"/>
  <c r="N454" i="5"/>
  <c r="M454" i="5"/>
  <c r="K454" i="5"/>
  <c r="I454" i="5"/>
  <c r="N453" i="5"/>
  <c r="M453" i="5"/>
  <c r="K453" i="5"/>
  <c r="I453" i="5"/>
  <c r="O453" i="5" s="1"/>
  <c r="N452" i="5"/>
  <c r="M452" i="5"/>
  <c r="O452" i="5" s="1"/>
  <c r="K452" i="5"/>
  <c r="I452" i="5"/>
  <c r="N451" i="5"/>
  <c r="M451" i="5"/>
  <c r="K451" i="5"/>
  <c r="O451" i="5" s="1"/>
  <c r="I451" i="5"/>
  <c r="N450" i="5"/>
  <c r="M450" i="5"/>
  <c r="K450" i="5"/>
  <c r="I450" i="5"/>
  <c r="O450" i="5" s="1"/>
  <c r="O449" i="5"/>
  <c r="N449" i="5"/>
  <c r="M449" i="5"/>
  <c r="K449" i="5"/>
  <c r="I449" i="5"/>
  <c r="N448" i="5"/>
  <c r="M448" i="5"/>
  <c r="K448" i="5"/>
  <c r="I448" i="5"/>
  <c r="O448" i="5" s="1"/>
  <c r="O447" i="5"/>
  <c r="N447" i="5"/>
  <c r="M447" i="5"/>
  <c r="K447" i="5"/>
  <c r="I447" i="5"/>
  <c r="N446" i="5"/>
  <c r="M446" i="5"/>
  <c r="O446" i="5" s="1"/>
  <c r="K446" i="5"/>
  <c r="I446" i="5"/>
  <c r="O445" i="5"/>
  <c r="N445" i="5"/>
  <c r="M445" i="5"/>
  <c r="K445" i="5"/>
  <c r="I445" i="5"/>
  <c r="O444" i="5"/>
  <c r="N444" i="5"/>
  <c r="M444" i="5"/>
  <c r="K444" i="5"/>
  <c r="I444" i="5"/>
  <c r="N443" i="5"/>
  <c r="M443" i="5"/>
  <c r="K443" i="5"/>
  <c r="I443" i="5"/>
  <c r="O442" i="5"/>
  <c r="N442" i="5"/>
  <c r="M442" i="5"/>
  <c r="K442" i="5"/>
  <c r="I442" i="5"/>
  <c r="N441" i="5"/>
  <c r="M441" i="5"/>
  <c r="K441" i="5"/>
  <c r="I441" i="5"/>
  <c r="O441" i="5" s="1"/>
  <c r="N440" i="5"/>
  <c r="M440" i="5"/>
  <c r="O440" i="5" s="1"/>
  <c r="K440" i="5"/>
  <c r="I440" i="5"/>
  <c r="N439" i="5"/>
  <c r="M439" i="5"/>
  <c r="K439" i="5"/>
  <c r="O439" i="5" s="1"/>
  <c r="I439" i="5"/>
  <c r="N438" i="5"/>
  <c r="M438" i="5"/>
  <c r="K438" i="5"/>
  <c r="I438" i="5"/>
  <c r="O438" i="5" s="1"/>
  <c r="O437" i="5"/>
  <c r="N437" i="5"/>
  <c r="M437" i="5"/>
  <c r="K437" i="5"/>
  <c r="I437" i="5"/>
  <c r="N436" i="5"/>
  <c r="M436" i="5"/>
  <c r="K436" i="5"/>
  <c r="I436" i="5"/>
  <c r="O435" i="5"/>
  <c r="N435" i="5"/>
  <c r="M435" i="5"/>
  <c r="K435" i="5"/>
  <c r="I435" i="5"/>
  <c r="N434" i="5"/>
  <c r="M434" i="5"/>
  <c r="O434" i="5" s="1"/>
  <c r="K434" i="5"/>
  <c r="I434" i="5"/>
  <c r="O433" i="5"/>
  <c r="N433" i="5"/>
  <c r="M433" i="5"/>
  <c r="K433" i="5"/>
  <c r="I433" i="5"/>
  <c r="O432" i="5"/>
  <c r="N432" i="5"/>
  <c r="M432" i="5"/>
  <c r="K432" i="5"/>
  <c r="I432" i="5"/>
  <c r="N431" i="5"/>
  <c r="M431" i="5"/>
  <c r="K431" i="5"/>
  <c r="I431" i="5"/>
  <c r="O430" i="5"/>
  <c r="N430" i="5"/>
  <c r="M430" i="5"/>
  <c r="K430" i="5"/>
  <c r="I430" i="5"/>
  <c r="N429" i="5"/>
  <c r="M429" i="5"/>
  <c r="K429" i="5"/>
  <c r="I429" i="5"/>
  <c r="O429" i="5" s="1"/>
  <c r="N428" i="5"/>
  <c r="M428" i="5"/>
  <c r="O428" i="5" s="1"/>
  <c r="K428" i="5"/>
  <c r="I428" i="5"/>
  <c r="N427" i="5"/>
  <c r="M427" i="5"/>
  <c r="K427" i="5"/>
  <c r="O427" i="5" s="1"/>
  <c r="I427" i="5"/>
  <c r="N426" i="5"/>
  <c r="M426" i="5"/>
  <c r="K426" i="5"/>
  <c r="I426" i="5"/>
  <c r="O426" i="5" s="1"/>
  <c r="O425" i="5"/>
  <c r="N425" i="5"/>
  <c r="M425" i="5"/>
  <c r="K425" i="5"/>
  <c r="I425" i="5"/>
  <c r="N424" i="5"/>
  <c r="M424" i="5"/>
  <c r="K424" i="5"/>
  <c r="I424" i="5"/>
  <c r="O423" i="5"/>
  <c r="N423" i="5"/>
  <c r="M423" i="5"/>
  <c r="K423" i="5"/>
  <c r="I423" i="5"/>
  <c r="O422" i="5"/>
  <c r="N422" i="5"/>
  <c r="M422" i="5"/>
  <c r="K422" i="5"/>
  <c r="I422" i="5"/>
  <c r="O421" i="5"/>
  <c r="N421" i="5"/>
  <c r="M421" i="5"/>
  <c r="K421" i="5"/>
  <c r="K457" i="5" s="1"/>
  <c r="I421" i="5"/>
  <c r="N419" i="5"/>
  <c r="M419" i="5"/>
  <c r="K419" i="5"/>
  <c r="I419" i="5"/>
  <c r="O418" i="5"/>
  <c r="N418" i="5"/>
  <c r="M418" i="5"/>
  <c r="K418" i="5"/>
  <c r="I418" i="5"/>
  <c r="O417" i="5"/>
  <c r="N417" i="5"/>
  <c r="M417" i="5"/>
  <c r="K417" i="5"/>
  <c r="I417" i="5"/>
  <c r="O416" i="5"/>
  <c r="N416" i="5"/>
  <c r="M416" i="5"/>
  <c r="K416" i="5"/>
  <c r="I416" i="5"/>
  <c r="O415" i="5"/>
  <c r="N415" i="5"/>
  <c r="M415" i="5"/>
  <c r="K415" i="5"/>
  <c r="I415" i="5"/>
  <c r="N414" i="5"/>
  <c r="M414" i="5"/>
  <c r="K414" i="5"/>
  <c r="I414" i="5"/>
  <c r="O413" i="5"/>
  <c r="N413" i="5"/>
  <c r="M413" i="5"/>
  <c r="K413" i="5"/>
  <c r="I413" i="5"/>
  <c r="N412" i="5"/>
  <c r="M412" i="5"/>
  <c r="K412" i="5"/>
  <c r="I412" i="5"/>
  <c r="O412" i="5" s="1"/>
  <c r="N411" i="5"/>
  <c r="M411" i="5"/>
  <c r="O411" i="5" s="1"/>
  <c r="K411" i="5"/>
  <c r="I411" i="5"/>
  <c r="O410" i="5"/>
  <c r="N410" i="5"/>
  <c r="M410" i="5"/>
  <c r="K410" i="5"/>
  <c r="I410" i="5"/>
  <c r="N409" i="5"/>
  <c r="M409" i="5"/>
  <c r="K409" i="5"/>
  <c r="I409" i="5"/>
  <c r="O409" i="5" s="1"/>
  <c r="O408" i="5"/>
  <c r="N408" i="5"/>
  <c r="M408" i="5"/>
  <c r="K408" i="5"/>
  <c r="I408" i="5"/>
  <c r="N407" i="5"/>
  <c r="M407" i="5"/>
  <c r="K407" i="5"/>
  <c r="I407" i="5"/>
  <c r="O407" i="5" s="1"/>
  <c r="O406" i="5"/>
  <c r="N406" i="5"/>
  <c r="M406" i="5"/>
  <c r="K406" i="5"/>
  <c r="I406" i="5"/>
  <c r="O405" i="5"/>
  <c r="N405" i="5"/>
  <c r="M405" i="5"/>
  <c r="K405" i="5"/>
  <c r="I405" i="5"/>
  <c r="O404" i="5"/>
  <c r="N404" i="5"/>
  <c r="M404" i="5"/>
  <c r="K404" i="5"/>
  <c r="I404" i="5"/>
  <c r="O403" i="5"/>
  <c r="N403" i="5"/>
  <c r="M403" i="5"/>
  <c r="K403" i="5"/>
  <c r="I403" i="5"/>
  <c r="N402" i="5"/>
  <c r="M402" i="5"/>
  <c r="K402" i="5"/>
  <c r="I402" i="5"/>
  <c r="O402" i="5" s="1"/>
  <c r="O401" i="5"/>
  <c r="N401" i="5"/>
  <c r="M401" i="5"/>
  <c r="K401" i="5"/>
  <c r="I401" i="5"/>
  <c r="N400" i="5"/>
  <c r="M400" i="5"/>
  <c r="K400" i="5"/>
  <c r="I400" i="5"/>
  <c r="O400" i="5" s="1"/>
  <c r="N399" i="5"/>
  <c r="M399" i="5"/>
  <c r="O399" i="5" s="1"/>
  <c r="K399" i="5"/>
  <c r="I399" i="5"/>
  <c r="O398" i="5"/>
  <c r="N398" i="5"/>
  <c r="M398" i="5"/>
  <c r="K398" i="5"/>
  <c r="I398" i="5"/>
  <c r="N397" i="5"/>
  <c r="M397" i="5"/>
  <c r="K397" i="5"/>
  <c r="I397" i="5"/>
  <c r="O397" i="5" s="1"/>
  <c r="O396" i="5"/>
  <c r="N396" i="5"/>
  <c r="M396" i="5"/>
  <c r="K396" i="5"/>
  <c r="I396" i="5"/>
  <c r="N395" i="5"/>
  <c r="M395" i="5"/>
  <c r="K395" i="5"/>
  <c r="I395" i="5"/>
  <c r="O395" i="5" s="1"/>
  <c r="O394" i="5"/>
  <c r="N394" i="5"/>
  <c r="M394" i="5"/>
  <c r="K394" i="5"/>
  <c r="I394" i="5"/>
  <c r="O393" i="5"/>
  <c r="N393" i="5"/>
  <c r="M393" i="5"/>
  <c r="K393" i="5"/>
  <c r="I393" i="5"/>
  <c r="N392" i="5"/>
  <c r="M392" i="5"/>
  <c r="O392" i="5" s="1"/>
  <c r="K392" i="5"/>
  <c r="I392" i="5"/>
  <c r="O391" i="5"/>
  <c r="N391" i="5"/>
  <c r="M391" i="5"/>
  <c r="K391" i="5"/>
  <c r="I391" i="5"/>
  <c r="N390" i="5"/>
  <c r="M390" i="5"/>
  <c r="K390" i="5"/>
  <c r="I390" i="5"/>
  <c r="O390" i="5" s="1"/>
  <c r="O389" i="5"/>
  <c r="N389" i="5"/>
  <c r="M389" i="5"/>
  <c r="K389" i="5"/>
  <c r="I389" i="5"/>
  <c r="N388" i="5"/>
  <c r="M388" i="5"/>
  <c r="K388" i="5"/>
  <c r="I388" i="5"/>
  <c r="O388" i="5" s="1"/>
  <c r="N387" i="5"/>
  <c r="M387" i="5"/>
  <c r="O387" i="5" s="1"/>
  <c r="K387" i="5"/>
  <c r="I387" i="5"/>
  <c r="O386" i="5"/>
  <c r="N386" i="5"/>
  <c r="M386" i="5"/>
  <c r="K386" i="5"/>
  <c r="I386" i="5"/>
  <c r="N385" i="5"/>
  <c r="M385" i="5"/>
  <c r="K385" i="5"/>
  <c r="I385" i="5"/>
  <c r="O384" i="5"/>
  <c r="N384" i="5"/>
  <c r="M384" i="5"/>
  <c r="K384" i="5"/>
  <c r="I384" i="5"/>
  <c r="N383" i="5"/>
  <c r="M383" i="5"/>
  <c r="K383" i="5"/>
  <c r="I383" i="5"/>
  <c r="O383" i="5" s="1"/>
  <c r="O382" i="5"/>
  <c r="N382" i="5"/>
  <c r="M382" i="5"/>
  <c r="K382" i="5"/>
  <c r="I382" i="5"/>
  <c r="O381" i="5"/>
  <c r="N381" i="5"/>
  <c r="M381" i="5"/>
  <c r="K381" i="5"/>
  <c r="I381" i="5"/>
  <c r="N380" i="5"/>
  <c r="M380" i="5"/>
  <c r="O380" i="5" s="1"/>
  <c r="K380" i="5"/>
  <c r="I380" i="5"/>
  <c r="O379" i="5"/>
  <c r="N379" i="5"/>
  <c r="M379" i="5"/>
  <c r="K379" i="5"/>
  <c r="I379" i="5"/>
  <c r="N378" i="5"/>
  <c r="M378" i="5"/>
  <c r="K378" i="5"/>
  <c r="I378" i="5"/>
  <c r="O378" i="5" s="1"/>
  <c r="O377" i="5"/>
  <c r="N377" i="5"/>
  <c r="M377" i="5"/>
  <c r="K377" i="5"/>
  <c r="I377" i="5"/>
  <c r="O375" i="5"/>
  <c r="N375" i="5"/>
  <c r="M375" i="5"/>
  <c r="K375" i="5"/>
  <c r="I375" i="5"/>
  <c r="O374" i="5"/>
  <c r="N374" i="5"/>
  <c r="M374" i="5"/>
  <c r="K374" i="5"/>
  <c r="I374" i="5"/>
  <c r="N373" i="5"/>
  <c r="M373" i="5"/>
  <c r="K373" i="5"/>
  <c r="I373" i="5"/>
  <c r="O373" i="5" s="1"/>
  <c r="O372" i="5"/>
  <c r="N372" i="5"/>
  <c r="M372" i="5"/>
  <c r="K372" i="5"/>
  <c r="I372" i="5"/>
  <c r="N371" i="5"/>
  <c r="M371" i="5"/>
  <c r="K371" i="5"/>
  <c r="I371" i="5"/>
  <c r="O371" i="5" s="1"/>
  <c r="N370" i="5"/>
  <c r="M370" i="5"/>
  <c r="O370" i="5" s="1"/>
  <c r="K370" i="5"/>
  <c r="I370" i="5"/>
  <c r="O369" i="5"/>
  <c r="N369" i="5"/>
  <c r="M369" i="5"/>
  <c r="K369" i="5"/>
  <c r="I369" i="5"/>
  <c r="N368" i="5"/>
  <c r="M368" i="5"/>
  <c r="K368" i="5"/>
  <c r="I368" i="5"/>
  <c r="O368" i="5" s="1"/>
  <c r="O367" i="5"/>
  <c r="N367" i="5"/>
  <c r="M367" i="5"/>
  <c r="K367" i="5"/>
  <c r="I367" i="5"/>
  <c r="N366" i="5"/>
  <c r="M366" i="5"/>
  <c r="K366" i="5"/>
  <c r="I366" i="5"/>
  <c r="O365" i="5"/>
  <c r="N365" i="5"/>
  <c r="M365" i="5"/>
  <c r="K365" i="5"/>
  <c r="I365" i="5"/>
  <c r="O364" i="5"/>
  <c r="N364" i="5"/>
  <c r="M364" i="5"/>
  <c r="K364" i="5"/>
  <c r="I364" i="5"/>
  <c r="O363" i="5"/>
  <c r="N363" i="5"/>
  <c r="M363" i="5"/>
  <c r="K363" i="5"/>
  <c r="I363" i="5"/>
  <c r="O362" i="5"/>
  <c r="N362" i="5"/>
  <c r="M362" i="5"/>
  <c r="K362" i="5"/>
  <c r="I362" i="5"/>
  <c r="N361" i="5"/>
  <c r="M361" i="5"/>
  <c r="K361" i="5"/>
  <c r="I361" i="5"/>
  <c r="O360" i="5"/>
  <c r="N360" i="5"/>
  <c r="M360" i="5"/>
  <c r="K360" i="5"/>
  <c r="I360" i="5"/>
  <c r="N359" i="5"/>
  <c r="M359" i="5"/>
  <c r="K359" i="5"/>
  <c r="I359" i="5"/>
  <c r="O359" i="5" s="1"/>
  <c r="O358" i="5"/>
  <c r="N358" i="5"/>
  <c r="M358" i="5"/>
  <c r="K358" i="5"/>
  <c r="I358" i="5"/>
  <c r="O357" i="5"/>
  <c r="N357" i="5"/>
  <c r="M357" i="5"/>
  <c r="K357" i="5"/>
  <c r="I357" i="5"/>
  <c r="N356" i="5"/>
  <c r="M356" i="5"/>
  <c r="K356" i="5"/>
  <c r="I356" i="5"/>
  <c r="O356" i="5" s="1"/>
  <c r="O355" i="5"/>
  <c r="N355" i="5"/>
  <c r="M355" i="5"/>
  <c r="K355" i="5"/>
  <c r="I355" i="5"/>
  <c r="N354" i="5"/>
  <c r="M354" i="5"/>
  <c r="K354" i="5"/>
  <c r="I354" i="5"/>
  <c r="O354" i="5" s="1"/>
  <c r="O353" i="5"/>
  <c r="N353" i="5"/>
  <c r="M353" i="5"/>
  <c r="K353" i="5"/>
  <c r="I353" i="5"/>
  <c r="O352" i="5"/>
  <c r="N352" i="5"/>
  <c r="M352" i="5"/>
  <c r="K352" i="5"/>
  <c r="I352" i="5"/>
  <c r="N351" i="5"/>
  <c r="M351" i="5"/>
  <c r="K351" i="5"/>
  <c r="O351" i="5" s="1"/>
  <c r="I351" i="5"/>
  <c r="O350" i="5"/>
  <c r="N350" i="5"/>
  <c r="M350" i="5"/>
  <c r="K350" i="5"/>
  <c r="I350" i="5"/>
  <c r="N349" i="5"/>
  <c r="M349" i="5"/>
  <c r="K349" i="5"/>
  <c r="I349" i="5"/>
  <c r="O349" i="5" s="1"/>
  <c r="N348" i="5"/>
  <c r="M348" i="5"/>
  <c r="O348" i="5" s="1"/>
  <c r="K348" i="5"/>
  <c r="I348" i="5"/>
  <c r="N347" i="5"/>
  <c r="M347" i="5"/>
  <c r="K347" i="5"/>
  <c r="I347" i="5"/>
  <c r="O347" i="5" s="1"/>
  <c r="N346" i="5"/>
  <c r="M346" i="5"/>
  <c r="K346" i="5"/>
  <c r="I346" i="5"/>
  <c r="O346" i="5" s="1"/>
  <c r="O345" i="5"/>
  <c r="N345" i="5"/>
  <c r="M345" i="5"/>
  <c r="K345" i="5"/>
  <c r="I345" i="5"/>
  <c r="N344" i="5"/>
  <c r="M344" i="5"/>
  <c r="K344" i="5"/>
  <c r="I344" i="5"/>
  <c r="O343" i="5"/>
  <c r="N343" i="5"/>
  <c r="M343" i="5"/>
  <c r="K343" i="5"/>
  <c r="I343" i="5"/>
  <c r="N342" i="5"/>
  <c r="M342" i="5"/>
  <c r="K342" i="5"/>
  <c r="I342" i="5"/>
  <c r="O342" i="5" s="1"/>
  <c r="N341" i="5"/>
  <c r="M341" i="5"/>
  <c r="K341" i="5"/>
  <c r="O341" i="5" s="1"/>
  <c r="I341" i="5"/>
  <c r="O340" i="5"/>
  <c r="N340" i="5"/>
  <c r="M340" i="5"/>
  <c r="K340" i="5"/>
  <c r="I340" i="5"/>
  <c r="N339" i="5"/>
  <c r="M339" i="5"/>
  <c r="K339" i="5"/>
  <c r="O339" i="5" s="1"/>
  <c r="I339" i="5"/>
  <c r="O338" i="5"/>
  <c r="N338" i="5"/>
  <c r="M338" i="5"/>
  <c r="K338" i="5"/>
  <c r="I338" i="5"/>
  <c r="N337" i="5"/>
  <c r="M337" i="5"/>
  <c r="K337" i="5"/>
  <c r="I337" i="5"/>
  <c r="O337" i="5" s="1"/>
  <c r="O336" i="5"/>
  <c r="N336" i="5"/>
  <c r="M336" i="5"/>
  <c r="K336" i="5"/>
  <c r="I336" i="5"/>
  <c r="N335" i="5"/>
  <c r="M335" i="5"/>
  <c r="K335" i="5"/>
  <c r="I335" i="5"/>
  <c r="O335" i="5" s="1"/>
  <c r="N334" i="5"/>
  <c r="M334" i="5"/>
  <c r="K334" i="5"/>
  <c r="I334" i="5"/>
  <c r="O334" i="5" s="1"/>
  <c r="O333" i="5"/>
  <c r="N333" i="5"/>
  <c r="M333" i="5"/>
  <c r="K333" i="5"/>
  <c r="I333" i="5"/>
  <c r="N332" i="5"/>
  <c r="M332" i="5"/>
  <c r="K332" i="5"/>
  <c r="I332" i="5"/>
  <c r="O332" i="5" s="1"/>
  <c r="O331" i="5"/>
  <c r="N331" i="5"/>
  <c r="M331" i="5"/>
  <c r="K331" i="5"/>
  <c r="I331" i="5"/>
  <c r="N330" i="5"/>
  <c r="M330" i="5"/>
  <c r="K330" i="5"/>
  <c r="I330" i="5"/>
  <c r="N329" i="5"/>
  <c r="M329" i="5"/>
  <c r="K329" i="5"/>
  <c r="O329" i="5" s="1"/>
  <c r="I329" i="5"/>
  <c r="O328" i="5"/>
  <c r="N328" i="5"/>
  <c r="M328" i="5"/>
  <c r="K328" i="5"/>
  <c r="I328" i="5"/>
  <c r="O327" i="5"/>
  <c r="N327" i="5"/>
  <c r="M327" i="5"/>
  <c r="K327" i="5"/>
  <c r="I327" i="5"/>
  <c r="O326" i="5"/>
  <c r="N326" i="5"/>
  <c r="M326" i="5"/>
  <c r="K326" i="5"/>
  <c r="I326" i="5"/>
  <c r="N325" i="5"/>
  <c r="M325" i="5"/>
  <c r="K325" i="5"/>
  <c r="I325" i="5"/>
  <c r="N324" i="5"/>
  <c r="M324" i="5"/>
  <c r="O324" i="5" s="1"/>
  <c r="K324" i="5"/>
  <c r="I324" i="5"/>
  <c r="N323" i="5"/>
  <c r="M323" i="5"/>
  <c r="K323" i="5"/>
  <c r="I323" i="5"/>
  <c r="O323" i="5" s="1"/>
  <c r="O322" i="5"/>
  <c r="N322" i="5"/>
  <c r="M322" i="5"/>
  <c r="K322" i="5"/>
  <c r="I322" i="5"/>
  <c r="O321" i="5"/>
  <c r="N321" i="5"/>
  <c r="M321" i="5"/>
  <c r="K321" i="5"/>
  <c r="I321" i="5"/>
  <c r="N320" i="5"/>
  <c r="M320" i="5"/>
  <c r="K320" i="5"/>
  <c r="I320" i="5"/>
  <c r="O320" i="5" s="1"/>
  <c r="O319" i="5"/>
  <c r="N319" i="5"/>
  <c r="M319" i="5"/>
  <c r="K319" i="5"/>
  <c r="I319" i="5"/>
  <c r="N318" i="5"/>
  <c r="M318" i="5"/>
  <c r="K318" i="5"/>
  <c r="I318" i="5"/>
  <c r="O318" i="5" s="1"/>
  <c r="O317" i="5"/>
  <c r="N317" i="5"/>
  <c r="M317" i="5"/>
  <c r="K317" i="5"/>
  <c r="I317" i="5"/>
  <c r="O316" i="5"/>
  <c r="N316" i="5"/>
  <c r="M316" i="5"/>
  <c r="K316" i="5"/>
  <c r="I316" i="5"/>
  <c r="N315" i="5"/>
  <c r="M315" i="5"/>
  <c r="K315" i="5"/>
  <c r="O315" i="5" s="1"/>
  <c r="I315" i="5"/>
  <c r="O314" i="5"/>
  <c r="N314" i="5"/>
  <c r="M314" i="5"/>
  <c r="K314" i="5"/>
  <c r="I314" i="5"/>
  <c r="N313" i="5"/>
  <c r="M313" i="5"/>
  <c r="K313" i="5"/>
  <c r="I313" i="5"/>
  <c r="O313" i="5" s="1"/>
  <c r="N312" i="5"/>
  <c r="M312" i="5"/>
  <c r="O312" i="5" s="1"/>
  <c r="K312" i="5"/>
  <c r="I312" i="5"/>
  <c r="N311" i="5"/>
  <c r="M311" i="5"/>
  <c r="K311" i="5"/>
  <c r="I311" i="5"/>
  <c r="O311" i="5" s="1"/>
  <c r="N310" i="5"/>
  <c r="M310" i="5"/>
  <c r="K310" i="5"/>
  <c r="I310" i="5"/>
  <c r="O310" i="5" s="1"/>
  <c r="O309" i="5"/>
  <c r="N309" i="5"/>
  <c r="M309" i="5"/>
  <c r="K309" i="5"/>
  <c r="I309" i="5"/>
  <c r="N308" i="5"/>
  <c r="M308" i="5"/>
  <c r="K308" i="5"/>
  <c r="I308" i="5"/>
  <c r="N307" i="5"/>
  <c r="M307" i="5"/>
  <c r="O307" i="5" s="1"/>
  <c r="K307" i="5"/>
  <c r="I307" i="5"/>
  <c r="N306" i="5"/>
  <c r="M306" i="5"/>
  <c r="K306" i="5"/>
  <c r="I306" i="5"/>
  <c r="O306" i="5" s="1"/>
  <c r="O305" i="5"/>
  <c r="N305" i="5"/>
  <c r="M305" i="5"/>
  <c r="K305" i="5"/>
  <c r="I305" i="5"/>
  <c r="O304" i="5"/>
  <c r="N304" i="5"/>
  <c r="M304" i="5"/>
  <c r="K304" i="5"/>
  <c r="I304" i="5"/>
  <c r="N303" i="5"/>
  <c r="M303" i="5"/>
  <c r="K303" i="5"/>
  <c r="O303" i="5" s="1"/>
  <c r="I303" i="5"/>
  <c r="O302" i="5"/>
  <c r="N302" i="5"/>
  <c r="M302" i="5"/>
  <c r="K302" i="5"/>
  <c r="I302" i="5"/>
  <c r="N301" i="5"/>
  <c r="M301" i="5"/>
  <c r="K301" i="5"/>
  <c r="I301" i="5"/>
  <c r="O301" i="5" s="1"/>
  <c r="O300" i="5"/>
  <c r="N300" i="5"/>
  <c r="M300" i="5"/>
  <c r="K300" i="5"/>
  <c r="I300" i="5"/>
  <c r="N298" i="5"/>
  <c r="M298" i="5"/>
  <c r="O298" i="5" s="1"/>
  <c r="K298" i="5"/>
  <c r="I298" i="5"/>
  <c r="O297" i="5"/>
  <c r="N297" i="5"/>
  <c r="M297" i="5"/>
  <c r="K297" i="5"/>
  <c r="I297" i="5"/>
  <c r="N296" i="5"/>
  <c r="M296" i="5"/>
  <c r="K296" i="5"/>
  <c r="I296" i="5"/>
  <c r="O295" i="5"/>
  <c r="N295" i="5"/>
  <c r="M295" i="5"/>
  <c r="K295" i="5"/>
  <c r="I295" i="5"/>
  <c r="N294" i="5"/>
  <c r="M294" i="5"/>
  <c r="K294" i="5"/>
  <c r="I294" i="5"/>
  <c r="O294" i="5" s="1"/>
  <c r="N293" i="5"/>
  <c r="M293" i="5"/>
  <c r="O293" i="5" s="1"/>
  <c r="K293" i="5"/>
  <c r="I293" i="5"/>
  <c r="O292" i="5"/>
  <c r="N292" i="5"/>
  <c r="M292" i="5"/>
  <c r="K292" i="5"/>
  <c r="I292" i="5"/>
  <c r="N291" i="5"/>
  <c r="M291" i="5"/>
  <c r="K291" i="5"/>
  <c r="I291" i="5"/>
  <c r="N290" i="5"/>
  <c r="M290" i="5"/>
  <c r="O290" i="5" s="1"/>
  <c r="K290" i="5"/>
  <c r="I290" i="5"/>
  <c r="N289" i="5"/>
  <c r="M289" i="5"/>
  <c r="K289" i="5"/>
  <c r="I289" i="5"/>
  <c r="N288" i="5"/>
  <c r="M288" i="5"/>
  <c r="K288" i="5"/>
  <c r="O288" i="5" s="1"/>
  <c r="I288" i="5"/>
  <c r="O287" i="5"/>
  <c r="N287" i="5"/>
  <c r="M287" i="5"/>
  <c r="K287" i="5"/>
  <c r="I287" i="5"/>
  <c r="O286" i="5"/>
  <c r="N286" i="5"/>
  <c r="M286" i="5"/>
  <c r="K286" i="5"/>
  <c r="I286" i="5"/>
  <c r="O285" i="5"/>
  <c r="N285" i="5"/>
  <c r="M285" i="5"/>
  <c r="K285" i="5"/>
  <c r="I285" i="5"/>
  <c r="N284" i="5"/>
  <c r="M284" i="5"/>
  <c r="K284" i="5"/>
  <c r="I284" i="5"/>
  <c r="N283" i="5"/>
  <c r="M283" i="5"/>
  <c r="O283" i="5" s="1"/>
  <c r="K283" i="5"/>
  <c r="I283" i="5"/>
  <c r="N282" i="5"/>
  <c r="M282" i="5"/>
  <c r="K282" i="5"/>
  <c r="I282" i="5"/>
  <c r="O282" i="5" s="1"/>
  <c r="N281" i="5"/>
  <c r="M281" i="5"/>
  <c r="K281" i="5"/>
  <c r="I281" i="5"/>
  <c r="O281" i="5" s="1"/>
  <c r="O280" i="5"/>
  <c r="N280" i="5"/>
  <c r="M280" i="5"/>
  <c r="K280" i="5"/>
  <c r="I280" i="5"/>
  <c r="N279" i="5"/>
  <c r="M279" i="5"/>
  <c r="K279" i="5"/>
  <c r="I279" i="5"/>
  <c r="O279" i="5" s="1"/>
  <c r="N278" i="5"/>
  <c r="M278" i="5"/>
  <c r="O278" i="5" s="1"/>
  <c r="K278" i="5"/>
  <c r="I278" i="5"/>
  <c r="N277" i="5"/>
  <c r="M277" i="5"/>
  <c r="K277" i="5"/>
  <c r="I277" i="5"/>
  <c r="N276" i="5"/>
  <c r="M276" i="5"/>
  <c r="K276" i="5"/>
  <c r="I276" i="5"/>
  <c r="O276" i="5" s="1"/>
  <c r="O275" i="5"/>
  <c r="N275" i="5"/>
  <c r="M275" i="5"/>
  <c r="K275" i="5"/>
  <c r="I275" i="5"/>
  <c r="O274" i="5"/>
  <c r="N274" i="5"/>
  <c r="M274" i="5"/>
  <c r="K274" i="5"/>
  <c r="I274" i="5"/>
  <c r="O273" i="5"/>
  <c r="N273" i="5"/>
  <c r="M273" i="5"/>
  <c r="K273" i="5"/>
  <c r="I273" i="5"/>
  <c r="N272" i="5"/>
  <c r="M272" i="5"/>
  <c r="K272" i="5"/>
  <c r="I272" i="5"/>
  <c r="N271" i="5"/>
  <c r="M271" i="5"/>
  <c r="K271" i="5"/>
  <c r="O271" i="5" s="1"/>
  <c r="I271" i="5"/>
  <c r="N270" i="5"/>
  <c r="M270" i="5"/>
  <c r="K270" i="5"/>
  <c r="I270" i="5"/>
  <c r="O270" i="5" s="1"/>
  <c r="O269" i="5"/>
  <c r="N269" i="5"/>
  <c r="M269" i="5"/>
  <c r="K269" i="5"/>
  <c r="I269" i="5"/>
  <c r="O268" i="5"/>
  <c r="N268" i="5"/>
  <c r="M268" i="5"/>
  <c r="K268" i="5"/>
  <c r="I268" i="5"/>
  <c r="N267" i="5"/>
  <c r="M267" i="5"/>
  <c r="K267" i="5"/>
  <c r="I267" i="5"/>
  <c r="O267" i="5" s="1"/>
  <c r="O266" i="5"/>
  <c r="N266" i="5"/>
  <c r="M266" i="5"/>
  <c r="K266" i="5"/>
  <c r="I266" i="5"/>
  <c r="N265" i="5"/>
  <c r="M265" i="5"/>
  <c r="K265" i="5"/>
  <c r="I265" i="5"/>
  <c r="O265" i="5" s="1"/>
  <c r="N264" i="5"/>
  <c r="M264" i="5"/>
  <c r="O264" i="5" s="1"/>
  <c r="K264" i="5"/>
  <c r="I264" i="5"/>
  <c r="O263" i="5"/>
  <c r="N263" i="5"/>
  <c r="M263" i="5"/>
  <c r="K263" i="5"/>
  <c r="I263" i="5"/>
  <c r="N262" i="5"/>
  <c r="M262" i="5"/>
  <c r="K262" i="5"/>
  <c r="I262" i="5"/>
  <c r="O262" i="5" s="1"/>
  <c r="O261" i="5"/>
  <c r="N261" i="5"/>
  <c r="M261" i="5"/>
  <c r="K261" i="5"/>
  <c r="I261" i="5"/>
  <c r="N260" i="5"/>
  <c r="M260" i="5"/>
  <c r="K260" i="5"/>
  <c r="I260" i="5"/>
  <c r="O260" i="5" s="1"/>
  <c r="N259" i="5"/>
  <c r="M259" i="5"/>
  <c r="O259" i="5" s="1"/>
  <c r="K259" i="5"/>
  <c r="I259" i="5"/>
  <c r="N258" i="5"/>
  <c r="M258" i="5"/>
  <c r="K258" i="5"/>
  <c r="I258" i="5"/>
  <c r="O258" i="5" s="1"/>
  <c r="N257" i="5"/>
  <c r="M257" i="5"/>
  <c r="K257" i="5"/>
  <c r="I257" i="5"/>
  <c r="O257" i="5" s="1"/>
  <c r="O256" i="5"/>
  <c r="N256" i="5"/>
  <c r="M256" i="5"/>
  <c r="K256" i="5"/>
  <c r="I256" i="5"/>
  <c r="N255" i="5"/>
  <c r="M255" i="5"/>
  <c r="K255" i="5"/>
  <c r="I255" i="5"/>
  <c r="N254" i="5"/>
  <c r="M254" i="5"/>
  <c r="O254" i="5" s="1"/>
  <c r="K254" i="5"/>
  <c r="I254" i="5"/>
  <c r="N253" i="5"/>
  <c r="M253" i="5"/>
  <c r="K253" i="5"/>
  <c r="I253" i="5"/>
  <c r="O253" i="5" s="1"/>
  <c r="N252" i="5"/>
  <c r="M252" i="5"/>
  <c r="K252" i="5"/>
  <c r="I252" i="5"/>
  <c r="O252" i="5" s="1"/>
  <c r="O251" i="5"/>
  <c r="N251" i="5"/>
  <c r="M251" i="5"/>
  <c r="K251" i="5"/>
  <c r="I251" i="5"/>
  <c r="N250" i="5"/>
  <c r="M250" i="5"/>
  <c r="K250" i="5"/>
  <c r="I250" i="5"/>
  <c r="O250" i="5" s="1"/>
  <c r="O249" i="5"/>
  <c r="N249" i="5"/>
  <c r="M249" i="5"/>
  <c r="K249" i="5"/>
  <c r="I249" i="5"/>
  <c r="N248" i="5"/>
  <c r="M248" i="5"/>
  <c r="K248" i="5"/>
  <c r="I248" i="5"/>
  <c r="O248" i="5" s="1"/>
  <c r="N247" i="5"/>
  <c r="M247" i="5"/>
  <c r="K247" i="5"/>
  <c r="I247" i="5"/>
  <c r="O247" i="5" s="1"/>
  <c r="N246" i="5"/>
  <c r="M246" i="5"/>
  <c r="K246" i="5"/>
  <c r="I246" i="5"/>
  <c r="O246" i="5" s="1"/>
  <c r="N245" i="5"/>
  <c r="M245" i="5"/>
  <c r="K245" i="5"/>
  <c r="I245" i="5"/>
  <c r="O245" i="5" s="1"/>
  <c r="O244" i="5"/>
  <c r="N244" i="5"/>
  <c r="M244" i="5"/>
  <c r="K244" i="5"/>
  <c r="I244" i="5"/>
  <c r="N243" i="5"/>
  <c r="M243" i="5"/>
  <c r="K243" i="5"/>
  <c r="I243" i="5"/>
  <c r="O243" i="5" s="1"/>
  <c r="O242" i="5"/>
  <c r="N242" i="5"/>
  <c r="M242" i="5"/>
  <c r="K242" i="5"/>
  <c r="I242" i="5"/>
  <c r="N241" i="5"/>
  <c r="M241" i="5"/>
  <c r="K241" i="5"/>
  <c r="I241" i="5"/>
  <c r="N240" i="5"/>
  <c r="M240" i="5"/>
  <c r="K240" i="5"/>
  <c r="I240" i="5"/>
  <c r="O240" i="5" s="1"/>
  <c r="O239" i="5"/>
  <c r="N239" i="5"/>
  <c r="M239" i="5"/>
  <c r="K239" i="5"/>
  <c r="I239" i="5"/>
  <c r="O238" i="5"/>
  <c r="N238" i="5"/>
  <c r="M238" i="5"/>
  <c r="K238" i="5"/>
  <c r="I238" i="5"/>
  <c r="O237" i="5"/>
  <c r="N237" i="5"/>
  <c r="M237" i="5"/>
  <c r="K237" i="5"/>
  <c r="I237" i="5"/>
  <c r="N236" i="5"/>
  <c r="M236" i="5"/>
  <c r="K236" i="5"/>
  <c r="I236" i="5"/>
  <c r="N235" i="5"/>
  <c r="M235" i="5"/>
  <c r="K235" i="5"/>
  <c r="I235" i="5"/>
  <c r="O235" i="5" s="1"/>
  <c r="N234" i="5"/>
  <c r="M234" i="5"/>
  <c r="K234" i="5"/>
  <c r="I234" i="5"/>
  <c r="O234" i="5" s="1"/>
  <c r="O233" i="5"/>
  <c r="N233" i="5"/>
  <c r="M233" i="5"/>
  <c r="K233" i="5"/>
  <c r="I233" i="5"/>
  <c r="N232" i="5"/>
  <c r="M232" i="5"/>
  <c r="K232" i="5"/>
  <c r="O232" i="5" s="1"/>
  <c r="I232" i="5"/>
  <c r="N231" i="5"/>
  <c r="M231" i="5"/>
  <c r="K231" i="5"/>
  <c r="I231" i="5"/>
  <c r="O231" i="5" s="1"/>
  <c r="O230" i="5"/>
  <c r="N230" i="5"/>
  <c r="M230" i="5"/>
  <c r="K230" i="5"/>
  <c r="I230" i="5"/>
  <c r="N229" i="5"/>
  <c r="M229" i="5"/>
  <c r="K229" i="5"/>
  <c r="I229" i="5"/>
  <c r="O229" i="5" s="1"/>
  <c r="O228" i="5"/>
  <c r="N228" i="5"/>
  <c r="M228" i="5"/>
  <c r="K228" i="5"/>
  <c r="I228" i="5"/>
  <c r="N227" i="5"/>
  <c r="M227" i="5"/>
  <c r="O227" i="5" s="1"/>
  <c r="K227" i="5"/>
  <c r="I227" i="5"/>
  <c r="N226" i="5"/>
  <c r="M226" i="5"/>
  <c r="K226" i="5"/>
  <c r="O226" i="5" s="1"/>
  <c r="I226" i="5"/>
  <c r="N225" i="5"/>
  <c r="M225" i="5"/>
  <c r="K225" i="5"/>
  <c r="I225" i="5"/>
  <c r="O225" i="5" s="1"/>
  <c r="N224" i="5"/>
  <c r="M224" i="5"/>
  <c r="K224" i="5"/>
  <c r="I224" i="5"/>
  <c r="O223" i="5"/>
  <c r="N223" i="5"/>
  <c r="M223" i="5"/>
  <c r="K223" i="5"/>
  <c r="I223" i="5"/>
  <c r="N222" i="5"/>
  <c r="M222" i="5"/>
  <c r="K222" i="5"/>
  <c r="I222" i="5"/>
  <c r="O222" i="5" s="1"/>
  <c r="N221" i="5"/>
  <c r="M221" i="5"/>
  <c r="K221" i="5"/>
  <c r="I221" i="5"/>
  <c r="O221" i="5" s="1"/>
  <c r="O220" i="5"/>
  <c r="N220" i="5"/>
  <c r="M220" i="5"/>
  <c r="K220" i="5"/>
  <c r="I220" i="5"/>
  <c r="N219" i="5"/>
  <c r="M219" i="5"/>
  <c r="K219" i="5"/>
  <c r="I219" i="5"/>
  <c r="O219" i="5" s="1"/>
  <c r="N218" i="5"/>
  <c r="M218" i="5"/>
  <c r="O218" i="5" s="1"/>
  <c r="K218" i="5"/>
  <c r="I218" i="5"/>
  <c r="N217" i="5"/>
  <c r="M217" i="5"/>
  <c r="K217" i="5"/>
  <c r="I217" i="5"/>
  <c r="O217" i="5" s="1"/>
  <c r="N216" i="5"/>
  <c r="M216" i="5"/>
  <c r="K216" i="5"/>
  <c r="I216" i="5"/>
  <c r="O216" i="5" s="1"/>
  <c r="O215" i="5"/>
  <c r="N215" i="5"/>
  <c r="M215" i="5"/>
  <c r="K215" i="5"/>
  <c r="I215" i="5"/>
  <c r="N214" i="5"/>
  <c r="M214" i="5"/>
  <c r="K214" i="5"/>
  <c r="I214" i="5"/>
  <c r="O214" i="5" s="1"/>
  <c r="O213" i="5"/>
  <c r="N213" i="5"/>
  <c r="M213" i="5"/>
  <c r="K213" i="5"/>
  <c r="I213" i="5"/>
  <c r="N211" i="5"/>
  <c r="M211" i="5"/>
  <c r="K211" i="5"/>
  <c r="I211" i="5"/>
  <c r="O211" i="5" s="1"/>
  <c r="O210" i="5"/>
  <c r="N210" i="5"/>
  <c r="M210" i="5"/>
  <c r="K210" i="5"/>
  <c r="I210" i="5"/>
  <c r="N209" i="5"/>
  <c r="M209" i="5"/>
  <c r="K209" i="5"/>
  <c r="I209" i="5"/>
  <c r="O209" i="5" s="1"/>
  <c r="N208" i="5"/>
  <c r="M208" i="5"/>
  <c r="O208" i="5" s="1"/>
  <c r="K208" i="5"/>
  <c r="I208" i="5"/>
  <c r="N207" i="5"/>
  <c r="M207" i="5"/>
  <c r="K207" i="5"/>
  <c r="I207" i="5"/>
  <c r="O207" i="5" s="1"/>
  <c r="N206" i="5"/>
  <c r="M206" i="5"/>
  <c r="K206" i="5"/>
  <c r="I206" i="5"/>
  <c r="O206" i="5" s="1"/>
  <c r="N205" i="5"/>
  <c r="M205" i="5"/>
  <c r="K205" i="5"/>
  <c r="I205" i="5"/>
  <c r="O205" i="5" s="1"/>
  <c r="N204" i="5"/>
  <c r="M204" i="5"/>
  <c r="K204" i="5"/>
  <c r="I204" i="5"/>
  <c r="O204" i="5" s="1"/>
  <c r="N203" i="5"/>
  <c r="M203" i="5"/>
  <c r="K203" i="5"/>
  <c r="O203" i="5" s="1"/>
  <c r="I203" i="5"/>
  <c r="N202" i="5"/>
  <c r="M202" i="5"/>
  <c r="K202" i="5"/>
  <c r="I202" i="5"/>
  <c r="O202" i="5" s="1"/>
  <c r="O201" i="5"/>
  <c r="N201" i="5"/>
  <c r="M201" i="5"/>
  <c r="K201" i="5"/>
  <c r="I201" i="5"/>
  <c r="O200" i="5"/>
  <c r="N200" i="5"/>
  <c r="M200" i="5"/>
  <c r="K200" i="5"/>
  <c r="I200" i="5"/>
  <c r="N199" i="5"/>
  <c r="M199" i="5"/>
  <c r="K199" i="5"/>
  <c r="I199" i="5"/>
  <c r="O199" i="5" s="1"/>
  <c r="N198" i="5"/>
  <c r="M198" i="5"/>
  <c r="O198" i="5" s="1"/>
  <c r="K198" i="5"/>
  <c r="I198" i="5"/>
  <c r="N197" i="5"/>
  <c r="M197" i="5"/>
  <c r="K197" i="5"/>
  <c r="I197" i="5"/>
  <c r="O197" i="5" s="1"/>
  <c r="N196" i="5"/>
  <c r="M196" i="5"/>
  <c r="K196" i="5"/>
  <c r="I196" i="5"/>
  <c r="O196" i="5" s="1"/>
  <c r="N195" i="5"/>
  <c r="M195" i="5"/>
  <c r="K195" i="5"/>
  <c r="I195" i="5"/>
  <c r="N194" i="5"/>
  <c r="M194" i="5"/>
  <c r="K194" i="5"/>
  <c r="I194" i="5"/>
  <c r="O194" i="5" s="1"/>
  <c r="N193" i="5"/>
  <c r="M193" i="5"/>
  <c r="K193" i="5"/>
  <c r="I193" i="5"/>
  <c r="O193" i="5" s="1"/>
  <c r="O192" i="5"/>
  <c r="N192" i="5"/>
  <c r="M192" i="5"/>
  <c r="K192" i="5"/>
  <c r="I192" i="5"/>
  <c r="O191" i="5"/>
  <c r="N191" i="5"/>
  <c r="M191" i="5"/>
  <c r="K191" i="5"/>
  <c r="I191" i="5"/>
  <c r="N190" i="5"/>
  <c r="M190" i="5"/>
  <c r="K190" i="5"/>
  <c r="I190" i="5"/>
  <c r="N189" i="5"/>
  <c r="M189" i="5"/>
  <c r="K189" i="5"/>
  <c r="O189" i="5" s="1"/>
  <c r="I189" i="5"/>
  <c r="N188" i="5"/>
  <c r="M188" i="5"/>
  <c r="K188" i="5"/>
  <c r="I188" i="5"/>
  <c r="O188" i="5" s="1"/>
  <c r="O187" i="5"/>
  <c r="N187" i="5"/>
  <c r="M187" i="5"/>
  <c r="K187" i="5"/>
  <c r="I187" i="5"/>
  <c r="O186" i="5"/>
  <c r="N186" i="5"/>
  <c r="M186" i="5"/>
  <c r="K186" i="5"/>
  <c r="I186" i="5"/>
  <c r="N185" i="5"/>
  <c r="M185" i="5"/>
  <c r="O185" i="5" s="1"/>
  <c r="K185" i="5"/>
  <c r="I185" i="5"/>
  <c r="N184" i="5"/>
  <c r="M184" i="5"/>
  <c r="K184" i="5"/>
  <c r="I184" i="5"/>
  <c r="O184" i="5" s="1"/>
  <c r="N183" i="5"/>
  <c r="M183" i="5"/>
  <c r="K183" i="5"/>
  <c r="I183" i="5"/>
  <c r="O183" i="5" s="1"/>
  <c r="O182" i="5"/>
  <c r="N182" i="5"/>
  <c r="M182" i="5"/>
  <c r="K182" i="5"/>
  <c r="I182" i="5"/>
  <c r="N181" i="5"/>
  <c r="M181" i="5"/>
  <c r="K181" i="5"/>
  <c r="I181" i="5"/>
  <c r="O181" i="5" s="1"/>
  <c r="N180" i="5"/>
  <c r="M180" i="5"/>
  <c r="K180" i="5"/>
  <c r="O180" i="5" s="1"/>
  <c r="I180" i="5"/>
  <c r="N179" i="5"/>
  <c r="M179" i="5"/>
  <c r="K179" i="5"/>
  <c r="O179" i="5" s="1"/>
  <c r="I179" i="5"/>
  <c r="N178" i="5"/>
  <c r="M178" i="5"/>
  <c r="K178" i="5"/>
  <c r="I178" i="5"/>
  <c r="O178" i="5" s="1"/>
  <c r="O177" i="5"/>
  <c r="N177" i="5"/>
  <c r="M177" i="5"/>
  <c r="K177" i="5"/>
  <c r="I177" i="5"/>
  <c r="N176" i="5"/>
  <c r="M176" i="5"/>
  <c r="K176" i="5"/>
  <c r="O176" i="5" s="1"/>
  <c r="I176" i="5"/>
  <c r="N175" i="5"/>
  <c r="M175" i="5"/>
  <c r="K175" i="5"/>
  <c r="O175" i="5" s="1"/>
  <c r="I175" i="5"/>
  <c r="N174" i="5"/>
  <c r="M174" i="5"/>
  <c r="O174" i="5" s="1"/>
  <c r="K174" i="5"/>
  <c r="I174" i="5"/>
  <c r="N173" i="5"/>
  <c r="M173" i="5"/>
  <c r="K173" i="5"/>
  <c r="I173" i="5"/>
  <c r="O173" i="5" s="1"/>
  <c r="O172" i="5"/>
  <c r="N172" i="5"/>
  <c r="M172" i="5"/>
  <c r="K172" i="5"/>
  <c r="I172" i="5"/>
  <c r="N171" i="5"/>
  <c r="M171" i="5"/>
  <c r="K171" i="5"/>
  <c r="I171" i="5"/>
  <c r="N170" i="5"/>
  <c r="M170" i="5"/>
  <c r="K170" i="5"/>
  <c r="O170" i="5" s="1"/>
  <c r="I170" i="5"/>
  <c r="N169" i="5"/>
  <c r="M169" i="5"/>
  <c r="K169" i="5"/>
  <c r="I169" i="5"/>
  <c r="O169" i="5" s="1"/>
  <c r="N168" i="5"/>
  <c r="M168" i="5"/>
  <c r="K168" i="5"/>
  <c r="K212" i="5" s="1"/>
  <c r="I168" i="5"/>
  <c r="I212" i="5" s="1"/>
  <c r="N166" i="5"/>
  <c r="M166" i="5"/>
  <c r="K166" i="5"/>
  <c r="I166" i="5"/>
  <c r="O166" i="5" s="1"/>
  <c r="N165" i="5"/>
  <c r="M165" i="5"/>
  <c r="K165" i="5"/>
  <c r="I165" i="5"/>
  <c r="O165" i="5" s="1"/>
  <c r="N164" i="5"/>
  <c r="M164" i="5"/>
  <c r="K164" i="5"/>
  <c r="I164" i="5"/>
  <c r="O164" i="5" s="1"/>
  <c r="N163" i="5"/>
  <c r="M163" i="5"/>
  <c r="K163" i="5"/>
  <c r="I163" i="5"/>
  <c r="O163" i="5" s="1"/>
  <c r="N162" i="5"/>
  <c r="M162" i="5"/>
  <c r="K162" i="5"/>
  <c r="O162" i="5" s="1"/>
  <c r="I162" i="5"/>
  <c r="N161" i="5"/>
  <c r="M161" i="5"/>
  <c r="K161" i="5"/>
  <c r="I161" i="5"/>
  <c r="O161" i="5" s="1"/>
  <c r="O160" i="5"/>
  <c r="N160" i="5"/>
  <c r="M160" i="5"/>
  <c r="K160" i="5"/>
  <c r="I160" i="5"/>
  <c r="O159" i="5"/>
  <c r="N159" i="5"/>
  <c r="M159" i="5"/>
  <c r="K159" i="5"/>
  <c r="I159" i="5"/>
  <c r="N158" i="5"/>
  <c r="M158" i="5"/>
  <c r="K158" i="5"/>
  <c r="I158" i="5"/>
  <c r="O158" i="5" s="1"/>
  <c r="N157" i="5"/>
  <c r="M157" i="5"/>
  <c r="O157" i="5" s="1"/>
  <c r="K157" i="5"/>
  <c r="I157" i="5"/>
  <c r="N156" i="5"/>
  <c r="M156" i="5"/>
  <c r="K156" i="5"/>
  <c r="I156" i="5"/>
  <c r="O156" i="5" s="1"/>
  <c r="N155" i="5"/>
  <c r="M155" i="5"/>
  <c r="K155" i="5"/>
  <c r="I155" i="5"/>
  <c r="O155" i="5" s="1"/>
  <c r="N154" i="5"/>
  <c r="M154" i="5"/>
  <c r="K154" i="5"/>
  <c r="I154" i="5"/>
  <c r="N153" i="5"/>
  <c r="M153" i="5"/>
  <c r="K153" i="5"/>
  <c r="I153" i="5"/>
  <c r="O153" i="5" s="1"/>
  <c r="N152" i="5"/>
  <c r="M152" i="5"/>
  <c r="K152" i="5"/>
  <c r="I152" i="5"/>
  <c r="O152" i="5" s="1"/>
  <c r="O151" i="5"/>
  <c r="N151" i="5"/>
  <c r="M151" i="5"/>
  <c r="K151" i="5"/>
  <c r="I151" i="5"/>
  <c r="O150" i="5"/>
  <c r="N150" i="5"/>
  <c r="M150" i="5"/>
  <c r="K150" i="5"/>
  <c r="I150" i="5"/>
  <c r="N149" i="5"/>
  <c r="M149" i="5"/>
  <c r="K149" i="5"/>
  <c r="I149" i="5"/>
  <c r="N148" i="5"/>
  <c r="M148" i="5"/>
  <c r="K148" i="5"/>
  <c r="O148" i="5" s="1"/>
  <c r="I148" i="5"/>
  <c r="N147" i="5"/>
  <c r="M147" i="5"/>
  <c r="K147" i="5"/>
  <c r="I147" i="5"/>
  <c r="O147" i="5" s="1"/>
  <c r="O146" i="5"/>
  <c r="N146" i="5"/>
  <c r="M146" i="5"/>
  <c r="K146" i="5"/>
  <c r="I146" i="5"/>
  <c r="O145" i="5"/>
  <c r="N145" i="5"/>
  <c r="M145" i="5"/>
  <c r="K145" i="5"/>
  <c r="I145" i="5"/>
  <c r="N144" i="5"/>
  <c r="M144" i="5"/>
  <c r="O144" i="5" s="1"/>
  <c r="K144" i="5"/>
  <c r="I144" i="5"/>
  <c r="N143" i="5"/>
  <c r="M143" i="5"/>
  <c r="K143" i="5"/>
  <c r="I143" i="5"/>
  <c r="O143" i="5" s="1"/>
  <c r="N142" i="5"/>
  <c r="M142" i="5"/>
  <c r="K142" i="5"/>
  <c r="I142" i="5"/>
  <c r="O142" i="5" s="1"/>
  <c r="O141" i="5"/>
  <c r="N141" i="5"/>
  <c r="M141" i="5"/>
  <c r="K141" i="5"/>
  <c r="I141" i="5"/>
  <c r="N140" i="5"/>
  <c r="M140" i="5"/>
  <c r="K140" i="5"/>
  <c r="I140" i="5"/>
  <c r="O140" i="5" s="1"/>
  <c r="N139" i="5"/>
  <c r="M139" i="5"/>
  <c r="K139" i="5"/>
  <c r="I139" i="5"/>
  <c r="O139" i="5" s="1"/>
  <c r="N138" i="5"/>
  <c r="M138" i="5"/>
  <c r="K138" i="5"/>
  <c r="O138" i="5" s="1"/>
  <c r="I138" i="5"/>
  <c r="N137" i="5"/>
  <c r="M137" i="5"/>
  <c r="K137" i="5"/>
  <c r="I137" i="5"/>
  <c r="O137" i="5" s="1"/>
  <c r="O136" i="5"/>
  <c r="N136" i="5"/>
  <c r="M136" i="5"/>
  <c r="K136" i="5"/>
  <c r="I136" i="5"/>
  <c r="N135" i="5"/>
  <c r="M135" i="5"/>
  <c r="K135" i="5"/>
  <c r="O135" i="5" s="1"/>
  <c r="I135" i="5"/>
  <c r="N134" i="5"/>
  <c r="M134" i="5"/>
  <c r="K134" i="5"/>
  <c r="I134" i="5"/>
  <c r="O134" i="5" s="1"/>
  <c r="N133" i="5"/>
  <c r="M133" i="5"/>
  <c r="O133" i="5" s="1"/>
  <c r="K133" i="5"/>
  <c r="I133" i="5"/>
  <c r="N132" i="5"/>
  <c r="M132" i="5"/>
  <c r="K132" i="5"/>
  <c r="I132" i="5"/>
  <c r="O132" i="5" s="1"/>
  <c r="O131" i="5"/>
  <c r="N131" i="5"/>
  <c r="M131" i="5"/>
  <c r="K131" i="5"/>
  <c r="I131" i="5"/>
  <c r="N130" i="5"/>
  <c r="M130" i="5"/>
  <c r="K130" i="5"/>
  <c r="I130" i="5"/>
  <c r="N129" i="5"/>
  <c r="M129" i="5"/>
  <c r="K129" i="5"/>
  <c r="I129" i="5"/>
  <c r="O129" i="5" s="1"/>
  <c r="N128" i="5"/>
  <c r="M128" i="5"/>
  <c r="K128" i="5"/>
  <c r="I128" i="5"/>
  <c r="O128" i="5" s="1"/>
  <c r="N127" i="5"/>
  <c r="M127" i="5"/>
  <c r="K127" i="5"/>
  <c r="I127" i="5"/>
  <c r="O127" i="5" s="1"/>
  <c r="O126" i="5"/>
  <c r="N126" i="5"/>
  <c r="M126" i="5"/>
  <c r="K126" i="5"/>
  <c r="I126" i="5"/>
  <c r="N125" i="5"/>
  <c r="M125" i="5"/>
  <c r="K125" i="5"/>
  <c r="I125" i="5"/>
  <c r="N124" i="5"/>
  <c r="M124" i="5"/>
  <c r="K124" i="5"/>
  <c r="O124" i="5" s="1"/>
  <c r="I124" i="5"/>
  <c r="N123" i="5"/>
  <c r="M123" i="5"/>
  <c r="K123" i="5"/>
  <c r="I123" i="5"/>
  <c r="O123" i="5" s="1"/>
  <c r="N122" i="5"/>
  <c r="M122" i="5"/>
  <c r="K122" i="5"/>
  <c r="I122" i="5"/>
  <c r="O122" i="5" s="1"/>
  <c r="O121" i="5"/>
  <c r="N121" i="5"/>
  <c r="M121" i="5"/>
  <c r="K121" i="5"/>
  <c r="I121" i="5"/>
  <c r="N120" i="5"/>
  <c r="M120" i="5"/>
  <c r="K120" i="5"/>
  <c r="O120" i="5" s="1"/>
  <c r="I120" i="5"/>
  <c r="N119" i="5"/>
  <c r="M119" i="5"/>
  <c r="K119" i="5"/>
  <c r="I119" i="5"/>
  <c r="O119" i="5" s="1"/>
  <c r="N118" i="5"/>
  <c r="M118" i="5"/>
  <c r="K118" i="5"/>
  <c r="I118" i="5"/>
  <c r="O118" i="5" s="1"/>
  <c r="N117" i="5"/>
  <c r="M117" i="5"/>
  <c r="K117" i="5"/>
  <c r="I117" i="5"/>
  <c r="O117" i="5" s="1"/>
  <c r="O116" i="5"/>
  <c r="N116" i="5"/>
  <c r="M116" i="5"/>
  <c r="K116" i="5"/>
  <c r="I116" i="5"/>
  <c r="N115" i="5"/>
  <c r="M115" i="5"/>
  <c r="K115" i="5"/>
  <c r="O115" i="5" s="1"/>
  <c r="I115" i="5"/>
  <c r="N114" i="5"/>
  <c r="M114" i="5"/>
  <c r="K114" i="5"/>
  <c r="O114" i="5" s="1"/>
  <c r="I114" i="5"/>
  <c r="N113" i="5"/>
  <c r="M113" i="5"/>
  <c r="K113" i="5"/>
  <c r="I113" i="5"/>
  <c r="O113" i="5" s="1"/>
  <c r="N112" i="5"/>
  <c r="M112" i="5"/>
  <c r="K112" i="5"/>
  <c r="I112" i="5"/>
  <c r="O112" i="5" s="1"/>
  <c r="O111" i="5"/>
  <c r="N111" i="5"/>
  <c r="M111" i="5"/>
  <c r="K111" i="5"/>
  <c r="I111" i="5"/>
  <c r="N110" i="5"/>
  <c r="M110" i="5"/>
  <c r="K110" i="5"/>
  <c r="O110" i="5" s="1"/>
  <c r="I110" i="5"/>
  <c r="N109" i="5"/>
  <c r="M109" i="5"/>
  <c r="O109" i="5" s="1"/>
  <c r="K109" i="5"/>
  <c r="I109" i="5"/>
  <c r="N108" i="5"/>
  <c r="M108" i="5"/>
  <c r="K108" i="5"/>
  <c r="I108" i="5"/>
  <c r="O108" i="5" s="1"/>
  <c r="N107" i="5"/>
  <c r="M107" i="5"/>
  <c r="K107" i="5"/>
  <c r="I107" i="5"/>
  <c r="O107" i="5" s="1"/>
  <c r="N106" i="5"/>
  <c r="M106" i="5"/>
  <c r="K106" i="5"/>
  <c r="I106" i="5"/>
  <c r="N105" i="5"/>
  <c r="M105" i="5"/>
  <c r="K105" i="5"/>
  <c r="O105" i="5" s="1"/>
  <c r="I105" i="5"/>
  <c r="O104" i="5"/>
  <c r="N104" i="5"/>
  <c r="M104" i="5"/>
  <c r="K104" i="5"/>
  <c r="I104" i="5"/>
  <c r="N103" i="5"/>
  <c r="M103" i="5"/>
  <c r="K103" i="5"/>
  <c r="I103" i="5"/>
  <c r="O103" i="5" s="1"/>
  <c r="N102" i="5"/>
  <c r="M102" i="5"/>
  <c r="K102" i="5"/>
  <c r="O102" i="5" s="1"/>
  <c r="I102" i="5"/>
  <c r="N101" i="5"/>
  <c r="M101" i="5"/>
  <c r="K101" i="5"/>
  <c r="I101" i="5"/>
  <c r="N100" i="5"/>
  <c r="M100" i="5"/>
  <c r="K100" i="5"/>
  <c r="O100" i="5" s="1"/>
  <c r="I100" i="5"/>
  <c r="N99" i="5"/>
  <c r="M99" i="5"/>
  <c r="K99" i="5"/>
  <c r="O99" i="5" s="1"/>
  <c r="I99" i="5"/>
  <c r="N98" i="5"/>
  <c r="M98" i="5"/>
  <c r="K98" i="5"/>
  <c r="I98" i="5"/>
  <c r="O98" i="5" s="1"/>
  <c r="N97" i="5"/>
  <c r="M97" i="5"/>
  <c r="O97" i="5" s="1"/>
  <c r="K97" i="5"/>
  <c r="I97" i="5"/>
  <c r="O96" i="5"/>
  <c r="N96" i="5"/>
  <c r="M96" i="5"/>
  <c r="K96" i="5"/>
  <c r="I96" i="5"/>
  <c r="O95" i="5"/>
  <c r="N95" i="5"/>
  <c r="M95" i="5"/>
  <c r="K95" i="5"/>
  <c r="I95" i="5"/>
  <c r="N94" i="5"/>
  <c r="M94" i="5"/>
  <c r="K94" i="5"/>
  <c r="I94" i="5"/>
  <c r="N93" i="5"/>
  <c r="M93" i="5"/>
  <c r="K93" i="5"/>
  <c r="I93" i="5"/>
  <c r="O93" i="5" s="1"/>
  <c r="N92" i="5"/>
  <c r="M92" i="5"/>
  <c r="K92" i="5"/>
  <c r="I92" i="5"/>
  <c r="O92" i="5" s="1"/>
  <c r="O91" i="5"/>
  <c r="N91" i="5"/>
  <c r="M91" i="5"/>
  <c r="K91" i="5"/>
  <c r="I91" i="5"/>
  <c r="O90" i="5"/>
  <c r="N90" i="5"/>
  <c r="M90" i="5"/>
  <c r="K90" i="5"/>
  <c r="I90" i="5"/>
  <c r="N89" i="5"/>
  <c r="M89" i="5"/>
  <c r="K89" i="5"/>
  <c r="I89" i="5"/>
  <c r="N88" i="5"/>
  <c r="M88" i="5"/>
  <c r="K88" i="5"/>
  <c r="I88" i="5"/>
  <c r="O88" i="5" s="1"/>
  <c r="N87" i="5"/>
  <c r="M87" i="5"/>
  <c r="K87" i="5"/>
  <c r="I87" i="5"/>
  <c r="O87" i="5" s="1"/>
  <c r="O86" i="5"/>
  <c r="N86" i="5"/>
  <c r="M86" i="5"/>
  <c r="K86" i="5"/>
  <c r="I86" i="5"/>
  <c r="O85" i="5"/>
  <c r="N85" i="5"/>
  <c r="M85" i="5"/>
  <c r="K85" i="5"/>
  <c r="I85" i="5"/>
  <c r="N84" i="5"/>
  <c r="M84" i="5"/>
  <c r="O84" i="5" s="1"/>
  <c r="K84" i="5"/>
  <c r="I84" i="5"/>
  <c r="N83" i="5"/>
  <c r="M83" i="5"/>
  <c r="K83" i="5"/>
  <c r="I83" i="5"/>
  <c r="O83" i="5" s="1"/>
  <c r="N82" i="5"/>
  <c r="M82" i="5"/>
  <c r="K82" i="5"/>
  <c r="I82" i="5"/>
  <c r="O82" i="5" s="1"/>
  <c r="O81" i="5"/>
  <c r="N81" i="5"/>
  <c r="M81" i="5"/>
  <c r="K81" i="5"/>
  <c r="I81" i="5"/>
  <c r="O80" i="5"/>
  <c r="N80" i="5"/>
  <c r="M80" i="5"/>
  <c r="K80" i="5"/>
  <c r="I80" i="5"/>
  <c r="N79" i="5"/>
  <c r="M79" i="5"/>
  <c r="O79" i="5" s="1"/>
  <c r="K79" i="5"/>
  <c r="I79" i="5"/>
  <c r="N78" i="5"/>
  <c r="M78" i="5"/>
  <c r="K78" i="5"/>
  <c r="O78" i="5" s="1"/>
  <c r="I78" i="5"/>
  <c r="N77" i="5"/>
  <c r="M77" i="5"/>
  <c r="K77" i="5"/>
  <c r="I77" i="5"/>
  <c r="O77" i="5" s="1"/>
  <c r="O76" i="5"/>
  <c r="N76" i="5"/>
  <c r="M76" i="5"/>
  <c r="K76" i="5"/>
  <c r="I76" i="5"/>
  <c r="O75" i="5"/>
  <c r="N75" i="5"/>
  <c r="M75" i="5"/>
  <c r="K75" i="5"/>
  <c r="I75" i="5"/>
  <c r="N74" i="5"/>
  <c r="M74" i="5"/>
  <c r="O74" i="5" s="1"/>
  <c r="K74" i="5"/>
  <c r="I74" i="5"/>
  <c r="N73" i="5"/>
  <c r="M73" i="5"/>
  <c r="O73" i="5" s="1"/>
  <c r="K73" i="5"/>
  <c r="I73" i="5"/>
  <c r="N72" i="5"/>
  <c r="M72" i="5"/>
  <c r="K72" i="5"/>
  <c r="I72" i="5"/>
  <c r="O72" i="5" s="1"/>
  <c r="N71" i="5"/>
  <c r="M71" i="5"/>
  <c r="K71" i="5"/>
  <c r="I71" i="5"/>
  <c r="O71" i="5" s="1"/>
  <c r="N70" i="5"/>
  <c r="M70" i="5"/>
  <c r="K70" i="5"/>
  <c r="I70" i="5"/>
  <c r="O70" i="5" s="1"/>
  <c r="N69" i="5"/>
  <c r="M69" i="5"/>
  <c r="O69" i="5" s="1"/>
  <c r="K69" i="5"/>
  <c r="I69" i="5"/>
  <c r="N68" i="5"/>
  <c r="M68" i="5"/>
  <c r="K68" i="5"/>
  <c r="I68" i="5"/>
  <c r="I167" i="5" s="1"/>
  <c r="O66" i="5"/>
  <c r="N66" i="5"/>
  <c r="M66" i="5"/>
  <c r="K66" i="5"/>
  <c r="I66" i="5"/>
  <c r="N65" i="5"/>
  <c r="M65" i="5"/>
  <c r="K65" i="5"/>
  <c r="I65" i="5"/>
  <c r="N64" i="5"/>
  <c r="M64" i="5"/>
  <c r="K64" i="5"/>
  <c r="I64" i="5"/>
  <c r="O64" i="5" s="1"/>
  <c r="N63" i="5"/>
  <c r="M63" i="5"/>
  <c r="K63" i="5"/>
  <c r="I63" i="5"/>
  <c r="O63" i="5" s="1"/>
  <c r="N62" i="5"/>
  <c r="M62" i="5"/>
  <c r="K62" i="5"/>
  <c r="I62" i="5"/>
  <c r="O62" i="5" s="1"/>
  <c r="O61" i="5"/>
  <c r="N61" i="5"/>
  <c r="M61" i="5"/>
  <c r="K61" i="5"/>
  <c r="I61" i="5"/>
  <c r="N60" i="5"/>
  <c r="M60" i="5"/>
  <c r="K60" i="5"/>
  <c r="I60" i="5"/>
  <c r="N59" i="5"/>
  <c r="M59" i="5"/>
  <c r="K59" i="5"/>
  <c r="I59" i="5"/>
  <c r="O59" i="5" s="1"/>
  <c r="N58" i="5"/>
  <c r="M58" i="5"/>
  <c r="K58" i="5"/>
  <c r="I58" i="5"/>
  <c r="O58" i="5" s="1"/>
  <c r="N57" i="5"/>
  <c r="M57" i="5"/>
  <c r="K57" i="5"/>
  <c r="I57" i="5"/>
  <c r="O57" i="5" s="1"/>
  <c r="O56" i="5"/>
  <c r="N56" i="5"/>
  <c r="M56" i="5"/>
  <c r="K56" i="5"/>
  <c r="I56" i="5"/>
  <c r="O55" i="5"/>
  <c r="N55" i="5"/>
  <c r="M55" i="5"/>
  <c r="K55" i="5"/>
  <c r="I55" i="5"/>
  <c r="N54" i="5"/>
  <c r="M54" i="5"/>
  <c r="O54" i="5" s="1"/>
  <c r="K54" i="5"/>
  <c r="I54" i="5"/>
  <c r="N53" i="5"/>
  <c r="M53" i="5"/>
  <c r="K53" i="5"/>
  <c r="I53" i="5"/>
  <c r="N52" i="5"/>
  <c r="M52" i="5"/>
  <c r="K52" i="5"/>
  <c r="I52" i="5"/>
  <c r="O52" i="5" s="1"/>
  <c r="O51" i="5"/>
  <c r="N51" i="5"/>
  <c r="M51" i="5"/>
  <c r="K51" i="5"/>
  <c r="I51" i="5"/>
  <c r="O50" i="5"/>
  <c r="N50" i="5"/>
  <c r="M50" i="5"/>
  <c r="K50" i="5"/>
  <c r="I50" i="5"/>
  <c r="N49" i="5"/>
  <c r="M49" i="5"/>
  <c r="O49" i="5" s="1"/>
  <c r="K49" i="5"/>
  <c r="I49" i="5"/>
  <c r="N48" i="5"/>
  <c r="M48" i="5"/>
  <c r="K48" i="5"/>
  <c r="I48" i="5"/>
  <c r="N47" i="5"/>
  <c r="M47" i="5"/>
  <c r="K47" i="5"/>
  <c r="I47" i="5"/>
  <c r="O47" i="5" s="1"/>
  <c r="O46" i="5"/>
  <c r="N46" i="5"/>
  <c r="M46" i="5"/>
  <c r="K46" i="5"/>
  <c r="I46" i="5"/>
  <c r="O45" i="5"/>
  <c r="N45" i="5"/>
  <c r="M45" i="5"/>
  <c r="K45" i="5"/>
  <c r="I45" i="5"/>
  <c r="N44" i="5"/>
  <c r="M44" i="5"/>
  <c r="O44" i="5" s="1"/>
  <c r="K44" i="5"/>
  <c r="I44" i="5"/>
  <c r="N43" i="5"/>
  <c r="M43" i="5"/>
  <c r="K43" i="5"/>
  <c r="I43" i="5"/>
  <c r="O43" i="5" s="1"/>
  <c r="N42" i="5"/>
  <c r="M42" i="5"/>
  <c r="K42" i="5"/>
  <c r="I42" i="5"/>
  <c r="O42" i="5" s="1"/>
  <c r="N41" i="5"/>
  <c r="M41" i="5"/>
  <c r="K41" i="5"/>
  <c r="I41" i="5"/>
  <c r="O41" i="5" s="1"/>
  <c r="O40" i="5"/>
  <c r="N40" i="5"/>
  <c r="M40" i="5"/>
  <c r="K40" i="5"/>
  <c r="I40" i="5"/>
  <c r="O39" i="5"/>
  <c r="N39" i="5"/>
  <c r="M39" i="5"/>
  <c r="K39" i="5"/>
  <c r="I39" i="5"/>
  <c r="N38" i="5"/>
  <c r="M38" i="5"/>
  <c r="K38" i="5"/>
  <c r="I38" i="5"/>
  <c r="O38" i="5" s="1"/>
  <c r="N37" i="5"/>
  <c r="M37" i="5"/>
  <c r="K37" i="5"/>
  <c r="O37" i="5" s="1"/>
  <c r="I37" i="5"/>
  <c r="N36" i="5"/>
  <c r="M36" i="5"/>
  <c r="K36" i="5"/>
  <c r="I36" i="5"/>
  <c r="O36" i="5" s="1"/>
  <c r="O35" i="5"/>
  <c r="N35" i="5"/>
  <c r="M35" i="5"/>
  <c r="K35" i="5"/>
  <c r="I35" i="5"/>
  <c r="O34" i="5"/>
  <c r="N34" i="5"/>
  <c r="M34" i="5"/>
  <c r="K34" i="5"/>
  <c r="I34" i="5"/>
  <c r="N33" i="5"/>
  <c r="M33" i="5"/>
  <c r="K33" i="5"/>
  <c r="I33" i="5"/>
  <c r="O33" i="5" s="1"/>
  <c r="N32" i="5"/>
  <c r="M32" i="5"/>
  <c r="O32" i="5" s="1"/>
  <c r="K32" i="5"/>
  <c r="I32" i="5"/>
  <c r="N31" i="5"/>
  <c r="M31" i="5"/>
  <c r="K31" i="5"/>
  <c r="I31" i="5"/>
  <c r="O31" i="5" s="1"/>
  <c r="N30" i="5"/>
  <c r="M30" i="5"/>
  <c r="K30" i="5"/>
  <c r="I30" i="5"/>
  <c r="O30" i="5" s="1"/>
  <c r="O29" i="5"/>
  <c r="N29" i="5"/>
  <c r="M29" i="5"/>
  <c r="K29" i="5"/>
  <c r="I29" i="5"/>
  <c r="N28" i="5"/>
  <c r="M28" i="5"/>
  <c r="K28" i="5"/>
  <c r="O28" i="5" s="1"/>
  <c r="I28" i="5"/>
  <c r="N27" i="5"/>
  <c r="M27" i="5"/>
  <c r="K27" i="5"/>
  <c r="I27" i="5"/>
  <c r="O27" i="5" s="1"/>
  <c r="N26" i="5"/>
  <c r="M26" i="5"/>
  <c r="K26" i="5"/>
  <c r="I26" i="5"/>
  <c r="O26" i="5" s="1"/>
  <c r="N25" i="5"/>
  <c r="M25" i="5"/>
  <c r="K25" i="5"/>
  <c r="I25" i="5"/>
  <c r="O25" i="5" s="1"/>
  <c r="N24" i="5"/>
  <c r="M24" i="5"/>
  <c r="K24" i="5"/>
  <c r="I24" i="5"/>
  <c r="N23" i="5"/>
  <c r="M23" i="5"/>
  <c r="M67" i="5" s="1"/>
  <c r="K23" i="5"/>
  <c r="O23" i="5" s="1"/>
  <c r="I23" i="5"/>
  <c r="N22" i="5"/>
  <c r="M22" i="5"/>
  <c r="K22" i="5"/>
  <c r="K606" i="5" s="1"/>
  <c r="I22" i="5"/>
  <c r="O22" i="5" s="1"/>
  <c r="I179" i="4"/>
  <c r="N178" i="4"/>
  <c r="M178" i="4"/>
  <c r="M179" i="4" s="1"/>
  <c r="K178" i="4"/>
  <c r="K179" i="4" s="1"/>
  <c r="I178" i="4"/>
  <c r="K177" i="4"/>
  <c r="N176" i="4"/>
  <c r="M176" i="4"/>
  <c r="K176" i="4"/>
  <c r="O176" i="4" s="1"/>
  <c r="I176" i="4"/>
  <c r="O175" i="4"/>
  <c r="N175" i="4"/>
  <c r="M175" i="4"/>
  <c r="K175" i="4"/>
  <c r="I175" i="4"/>
  <c r="O174" i="4"/>
  <c r="N174" i="4"/>
  <c r="M174" i="4"/>
  <c r="M177" i="4" s="1"/>
  <c r="K174" i="4"/>
  <c r="I174" i="4"/>
  <c r="I177" i="4" s="1"/>
  <c r="K173" i="4"/>
  <c r="I173" i="4"/>
  <c r="N172" i="4"/>
  <c r="M172" i="4"/>
  <c r="K172" i="4"/>
  <c r="I172" i="4"/>
  <c r="O172" i="4" s="1"/>
  <c r="N171" i="4"/>
  <c r="M171" i="4"/>
  <c r="K171" i="4"/>
  <c r="O171" i="4" s="1"/>
  <c r="I171" i="4"/>
  <c r="O170" i="4"/>
  <c r="N170" i="4"/>
  <c r="M170" i="4"/>
  <c r="M173" i="4" s="1"/>
  <c r="K170" i="4"/>
  <c r="I170" i="4"/>
  <c r="N168" i="4"/>
  <c r="M168" i="4"/>
  <c r="K168" i="4"/>
  <c r="I168" i="4"/>
  <c r="O168" i="4" s="1"/>
  <c r="N167" i="4"/>
  <c r="M167" i="4"/>
  <c r="K167" i="4"/>
  <c r="I167" i="4"/>
  <c r="O167" i="4" s="1"/>
  <c r="N166" i="4"/>
  <c r="M166" i="4"/>
  <c r="K166" i="4"/>
  <c r="O166" i="4" s="1"/>
  <c r="I166" i="4"/>
  <c r="O165" i="4"/>
  <c r="N165" i="4"/>
  <c r="M165" i="4"/>
  <c r="K165" i="4"/>
  <c r="I165" i="4"/>
  <c r="N164" i="4"/>
  <c r="M164" i="4"/>
  <c r="K164" i="4"/>
  <c r="O164" i="4" s="1"/>
  <c r="I164" i="4"/>
  <c r="N163" i="4"/>
  <c r="M163" i="4"/>
  <c r="K163" i="4"/>
  <c r="I163" i="4"/>
  <c r="O163" i="4" s="1"/>
  <c r="N162" i="4"/>
  <c r="M162" i="4"/>
  <c r="K162" i="4"/>
  <c r="I162" i="4"/>
  <c r="O162" i="4" s="1"/>
  <c r="N161" i="4"/>
  <c r="M161" i="4"/>
  <c r="K161" i="4"/>
  <c r="I161" i="4"/>
  <c r="O161" i="4" s="1"/>
  <c r="O160" i="4"/>
  <c r="N160" i="4"/>
  <c r="M160" i="4"/>
  <c r="K160" i="4"/>
  <c r="I160" i="4"/>
  <c r="O159" i="4"/>
  <c r="N159" i="4"/>
  <c r="M159" i="4"/>
  <c r="K159" i="4"/>
  <c r="I159" i="4"/>
  <c r="N158" i="4"/>
  <c r="M158" i="4"/>
  <c r="K158" i="4"/>
  <c r="I158" i="4"/>
  <c r="N157" i="4"/>
  <c r="M157" i="4"/>
  <c r="K157" i="4"/>
  <c r="I157" i="4"/>
  <c r="O157" i="4" s="1"/>
  <c r="N156" i="4"/>
  <c r="M156" i="4"/>
  <c r="K156" i="4"/>
  <c r="I156" i="4"/>
  <c r="O156" i="4" s="1"/>
  <c r="O155" i="4"/>
  <c r="N155" i="4"/>
  <c r="M155" i="4"/>
  <c r="K155" i="4"/>
  <c r="I155" i="4"/>
  <c r="O154" i="4"/>
  <c r="N154" i="4"/>
  <c r="M154" i="4"/>
  <c r="K154" i="4"/>
  <c r="I154" i="4"/>
  <c r="N153" i="4"/>
  <c r="M153" i="4"/>
  <c r="K153" i="4"/>
  <c r="O153" i="4" s="1"/>
  <c r="I153" i="4"/>
  <c r="N152" i="4"/>
  <c r="M152" i="4"/>
  <c r="M169" i="4" s="1"/>
  <c r="K152" i="4"/>
  <c r="I152" i="4"/>
  <c r="O152" i="4" s="1"/>
  <c r="N151" i="4"/>
  <c r="M151" i="4"/>
  <c r="K151" i="4"/>
  <c r="I151" i="4"/>
  <c r="O151" i="4" s="1"/>
  <c r="N150" i="4"/>
  <c r="M150" i="4"/>
  <c r="K150" i="4"/>
  <c r="I150" i="4"/>
  <c r="O150" i="4" s="1"/>
  <c r="N149" i="4"/>
  <c r="M149" i="4"/>
  <c r="K149" i="4"/>
  <c r="I149" i="4"/>
  <c r="O149" i="4" s="1"/>
  <c r="O148" i="4"/>
  <c r="N148" i="4"/>
  <c r="M148" i="4"/>
  <c r="K148" i="4"/>
  <c r="I148" i="4"/>
  <c r="O147" i="4"/>
  <c r="N147" i="4"/>
  <c r="M147" i="4"/>
  <c r="K147" i="4"/>
  <c r="K169" i="4" s="1"/>
  <c r="I147" i="4"/>
  <c r="O145" i="4"/>
  <c r="N145" i="4"/>
  <c r="M145" i="4"/>
  <c r="K145" i="4"/>
  <c r="I145" i="4"/>
  <c r="O144" i="4"/>
  <c r="N144" i="4"/>
  <c r="M144" i="4"/>
  <c r="K144" i="4"/>
  <c r="I144" i="4"/>
  <c r="N143" i="4"/>
  <c r="M143" i="4"/>
  <c r="K143" i="4"/>
  <c r="O143" i="4" s="1"/>
  <c r="I143" i="4"/>
  <c r="N142" i="4"/>
  <c r="M142" i="4"/>
  <c r="K142" i="4"/>
  <c r="I142" i="4"/>
  <c r="O142" i="4" s="1"/>
  <c r="N141" i="4"/>
  <c r="M141" i="4"/>
  <c r="K141" i="4"/>
  <c r="I141" i="4"/>
  <c r="O141" i="4" s="1"/>
  <c r="O140" i="4"/>
  <c r="N140" i="4"/>
  <c r="M140" i="4"/>
  <c r="K140" i="4"/>
  <c r="I140" i="4"/>
  <c r="O139" i="4"/>
  <c r="N139" i="4"/>
  <c r="M139" i="4"/>
  <c r="K139" i="4"/>
  <c r="I139" i="4"/>
  <c r="N138" i="4"/>
  <c r="M138" i="4"/>
  <c r="K138" i="4"/>
  <c r="O138" i="4" s="1"/>
  <c r="I138" i="4"/>
  <c r="N137" i="4"/>
  <c r="M137" i="4"/>
  <c r="K137" i="4"/>
  <c r="O137" i="4" s="1"/>
  <c r="I137" i="4"/>
  <c r="N136" i="4"/>
  <c r="M136" i="4"/>
  <c r="K136" i="4"/>
  <c r="I136" i="4"/>
  <c r="O136" i="4" s="1"/>
  <c r="N135" i="4"/>
  <c r="M135" i="4"/>
  <c r="K135" i="4"/>
  <c r="I135" i="4"/>
  <c r="O135" i="4" s="1"/>
  <c r="N134" i="4"/>
  <c r="M134" i="4"/>
  <c r="K134" i="4"/>
  <c r="I134" i="4"/>
  <c r="O134" i="4" s="1"/>
  <c r="O133" i="4"/>
  <c r="N133" i="4"/>
  <c r="M133" i="4"/>
  <c r="K133" i="4"/>
  <c r="I133" i="4"/>
  <c r="O132" i="4"/>
  <c r="N132" i="4"/>
  <c r="M132" i="4"/>
  <c r="K132" i="4"/>
  <c r="I132" i="4"/>
  <c r="N131" i="4"/>
  <c r="M131" i="4"/>
  <c r="K131" i="4"/>
  <c r="I131" i="4"/>
  <c r="O131" i="4" s="1"/>
  <c r="N130" i="4"/>
  <c r="M130" i="4"/>
  <c r="K130" i="4"/>
  <c r="I130" i="4"/>
  <c r="O130" i="4" s="1"/>
  <c r="N129" i="4"/>
  <c r="M129" i="4"/>
  <c r="K129" i="4"/>
  <c r="I129" i="4"/>
  <c r="O129" i="4" s="1"/>
  <c r="O128" i="4"/>
  <c r="N128" i="4"/>
  <c r="M128" i="4"/>
  <c r="K128" i="4"/>
  <c r="I128" i="4"/>
  <c r="O127" i="4"/>
  <c r="N127" i="4"/>
  <c r="M127" i="4"/>
  <c r="K127" i="4"/>
  <c r="I127" i="4"/>
  <c r="N126" i="4"/>
  <c r="M126" i="4"/>
  <c r="K126" i="4"/>
  <c r="I126" i="4"/>
  <c r="O126" i="4" s="1"/>
  <c r="N125" i="4"/>
  <c r="M125" i="4"/>
  <c r="K125" i="4"/>
  <c r="O125" i="4" s="1"/>
  <c r="I125" i="4"/>
  <c r="N124" i="4"/>
  <c r="M124" i="4"/>
  <c r="K124" i="4"/>
  <c r="I124" i="4"/>
  <c r="O124" i="4" s="1"/>
  <c r="O123" i="4"/>
  <c r="N123" i="4"/>
  <c r="M123" i="4"/>
  <c r="K123" i="4"/>
  <c r="I123" i="4"/>
  <c r="O122" i="4"/>
  <c r="N122" i="4"/>
  <c r="M122" i="4"/>
  <c r="K122" i="4"/>
  <c r="I122" i="4"/>
  <c r="N121" i="4"/>
  <c r="M121" i="4"/>
  <c r="K121" i="4"/>
  <c r="O121" i="4" s="1"/>
  <c r="I121" i="4"/>
  <c r="N120" i="4"/>
  <c r="M120" i="4"/>
  <c r="K120" i="4"/>
  <c r="I120" i="4"/>
  <c r="O120" i="4" s="1"/>
  <c r="N119" i="4"/>
  <c r="M119" i="4"/>
  <c r="K119" i="4"/>
  <c r="I119" i="4"/>
  <c r="O119" i="4" s="1"/>
  <c r="N118" i="4"/>
  <c r="M118" i="4"/>
  <c r="K118" i="4"/>
  <c r="I118" i="4"/>
  <c r="O118" i="4" s="1"/>
  <c r="N117" i="4"/>
  <c r="M117" i="4"/>
  <c r="K117" i="4"/>
  <c r="I117" i="4"/>
  <c r="O117" i="4" s="1"/>
  <c r="N116" i="4"/>
  <c r="M116" i="4"/>
  <c r="K116" i="4"/>
  <c r="O116" i="4" s="1"/>
  <c r="I116" i="4"/>
  <c r="N115" i="4"/>
  <c r="M115" i="4"/>
  <c r="K115" i="4"/>
  <c r="I115" i="4"/>
  <c r="O115" i="4" s="1"/>
  <c r="N114" i="4"/>
  <c r="M114" i="4"/>
  <c r="K114" i="4"/>
  <c r="I114" i="4"/>
  <c r="O114" i="4" s="1"/>
  <c r="O113" i="4"/>
  <c r="N113" i="4"/>
  <c r="M113" i="4"/>
  <c r="K113" i="4"/>
  <c r="I113" i="4"/>
  <c r="N112" i="4"/>
  <c r="M112" i="4"/>
  <c r="K112" i="4"/>
  <c r="I112" i="4"/>
  <c r="O112" i="4" s="1"/>
  <c r="O111" i="4"/>
  <c r="N111" i="4"/>
  <c r="M111" i="4"/>
  <c r="K111" i="4"/>
  <c r="I111" i="4"/>
  <c r="O110" i="4"/>
  <c r="N110" i="4"/>
  <c r="M110" i="4"/>
  <c r="K110" i="4"/>
  <c r="I110" i="4"/>
  <c r="N109" i="4"/>
  <c r="M109" i="4"/>
  <c r="K109" i="4"/>
  <c r="I109" i="4"/>
  <c r="O109" i="4" s="1"/>
  <c r="N108" i="4"/>
  <c r="M108" i="4"/>
  <c r="K108" i="4"/>
  <c r="I108" i="4"/>
  <c r="O108" i="4" s="1"/>
  <c r="N107" i="4"/>
  <c r="M107" i="4"/>
  <c r="K107" i="4"/>
  <c r="I107" i="4"/>
  <c r="O107" i="4" s="1"/>
  <c r="O106" i="4"/>
  <c r="N106" i="4"/>
  <c r="M106" i="4"/>
  <c r="K106" i="4"/>
  <c r="I106" i="4"/>
  <c r="N105" i="4"/>
  <c r="M105" i="4"/>
  <c r="K105" i="4"/>
  <c r="I105" i="4"/>
  <c r="N104" i="4"/>
  <c r="M104" i="4"/>
  <c r="K104" i="4"/>
  <c r="I104" i="4"/>
  <c r="O104" i="4" s="1"/>
  <c r="N103" i="4"/>
  <c r="M103" i="4"/>
  <c r="K103" i="4"/>
  <c r="I103" i="4"/>
  <c r="O103" i="4" s="1"/>
  <c r="N102" i="4"/>
  <c r="M102" i="4"/>
  <c r="K102" i="4"/>
  <c r="I102" i="4"/>
  <c r="O102" i="4" s="1"/>
  <c r="O101" i="4"/>
  <c r="N101" i="4"/>
  <c r="M101" i="4"/>
  <c r="K101" i="4"/>
  <c r="I101" i="4"/>
  <c r="O100" i="4"/>
  <c r="N100" i="4"/>
  <c r="M100" i="4"/>
  <c r="K100" i="4"/>
  <c r="I100" i="4"/>
  <c r="N99" i="4"/>
  <c r="M99" i="4"/>
  <c r="K99" i="4"/>
  <c r="O99" i="4" s="1"/>
  <c r="I99" i="4"/>
  <c r="N98" i="4"/>
  <c r="M98" i="4"/>
  <c r="K98" i="4"/>
  <c r="I98" i="4"/>
  <c r="O98" i="4" s="1"/>
  <c r="N97" i="4"/>
  <c r="M97" i="4"/>
  <c r="K97" i="4"/>
  <c r="I97" i="4"/>
  <c r="O97" i="4" s="1"/>
  <c r="N96" i="4"/>
  <c r="M96" i="4"/>
  <c r="K96" i="4"/>
  <c r="I96" i="4"/>
  <c r="O96" i="4" s="1"/>
  <c r="N95" i="4"/>
  <c r="M95" i="4"/>
  <c r="K95" i="4"/>
  <c r="I95" i="4"/>
  <c r="O95" i="4" s="1"/>
  <c r="O94" i="4"/>
  <c r="N94" i="4"/>
  <c r="M94" i="4"/>
  <c r="K94" i="4"/>
  <c r="I94" i="4"/>
  <c r="N93" i="4"/>
  <c r="M93" i="4"/>
  <c r="K93" i="4"/>
  <c r="I93" i="4"/>
  <c r="N92" i="4"/>
  <c r="M92" i="4"/>
  <c r="M146" i="4" s="1"/>
  <c r="K92" i="4"/>
  <c r="I92" i="4"/>
  <c r="O92" i="4" s="1"/>
  <c r="N91" i="4"/>
  <c r="M91" i="4"/>
  <c r="K91" i="4"/>
  <c r="I91" i="4"/>
  <c r="O91" i="4" s="1"/>
  <c r="N90" i="4"/>
  <c r="M90" i="4"/>
  <c r="K90" i="4"/>
  <c r="K146" i="4" s="1"/>
  <c r="I90" i="4"/>
  <c r="O90" i="4" s="1"/>
  <c r="M89" i="4"/>
  <c r="N88" i="4"/>
  <c r="M88" i="4"/>
  <c r="K88" i="4"/>
  <c r="I88" i="4"/>
  <c r="N87" i="4"/>
  <c r="M87" i="4"/>
  <c r="K87" i="4"/>
  <c r="I87" i="4"/>
  <c r="O87" i="4" s="1"/>
  <c r="O86" i="4"/>
  <c r="N86" i="4"/>
  <c r="M86" i="4"/>
  <c r="K86" i="4"/>
  <c r="I86" i="4"/>
  <c r="O85" i="4"/>
  <c r="N85" i="4"/>
  <c r="M85" i="4"/>
  <c r="K85" i="4"/>
  <c r="I85" i="4"/>
  <c r="N84" i="4"/>
  <c r="M84" i="4"/>
  <c r="K84" i="4"/>
  <c r="O84" i="4" s="1"/>
  <c r="I84" i="4"/>
  <c r="N83" i="4"/>
  <c r="M83" i="4"/>
  <c r="K83" i="4"/>
  <c r="I83" i="4"/>
  <c r="O83" i="4" s="1"/>
  <c r="N82" i="4"/>
  <c r="M82" i="4"/>
  <c r="K82" i="4"/>
  <c r="I82" i="4"/>
  <c r="O82" i="4" s="1"/>
  <c r="N81" i="4"/>
  <c r="M81" i="4"/>
  <c r="K81" i="4"/>
  <c r="I81" i="4"/>
  <c r="O81" i="4" s="1"/>
  <c r="N80" i="4"/>
  <c r="M80" i="4"/>
  <c r="K80" i="4"/>
  <c r="I80" i="4"/>
  <c r="O80" i="4" s="1"/>
  <c r="O79" i="4"/>
  <c r="N79" i="4"/>
  <c r="M79" i="4"/>
  <c r="K79" i="4"/>
  <c r="I79" i="4"/>
  <c r="O78" i="4"/>
  <c r="N78" i="4"/>
  <c r="M78" i="4"/>
  <c r="K78" i="4"/>
  <c r="I78" i="4"/>
  <c r="N77" i="4"/>
  <c r="M77" i="4"/>
  <c r="K77" i="4"/>
  <c r="I77" i="4"/>
  <c r="O77" i="4" s="1"/>
  <c r="N76" i="4"/>
  <c r="M76" i="4"/>
  <c r="K76" i="4"/>
  <c r="I76" i="4"/>
  <c r="O76" i="4" s="1"/>
  <c r="N75" i="4"/>
  <c r="M75" i="4"/>
  <c r="K75" i="4"/>
  <c r="I75" i="4"/>
  <c r="O75" i="4" s="1"/>
  <c r="O74" i="4"/>
  <c r="N74" i="4"/>
  <c r="M74" i="4"/>
  <c r="K74" i="4"/>
  <c r="I74" i="4"/>
  <c r="O73" i="4"/>
  <c r="N73" i="4"/>
  <c r="M73" i="4"/>
  <c r="K73" i="4"/>
  <c r="I73" i="4"/>
  <c r="N72" i="4"/>
  <c r="M72" i="4"/>
  <c r="K72" i="4"/>
  <c r="O72" i="4" s="1"/>
  <c r="I72" i="4"/>
  <c r="N71" i="4"/>
  <c r="M71" i="4"/>
  <c r="K71" i="4"/>
  <c r="I71" i="4"/>
  <c r="O71" i="4" s="1"/>
  <c r="N70" i="4"/>
  <c r="M70" i="4"/>
  <c r="K70" i="4"/>
  <c r="K89" i="4" s="1"/>
  <c r="I70" i="4"/>
  <c r="I89" i="4" s="1"/>
  <c r="N68" i="4"/>
  <c r="M68" i="4"/>
  <c r="K68" i="4"/>
  <c r="I68" i="4"/>
  <c r="O68" i="4" s="1"/>
  <c r="N67" i="4"/>
  <c r="M67" i="4"/>
  <c r="K67" i="4"/>
  <c r="O67" i="4" s="1"/>
  <c r="I67" i="4"/>
  <c r="N66" i="4"/>
  <c r="M66" i="4"/>
  <c r="K66" i="4"/>
  <c r="I66" i="4"/>
  <c r="O66" i="4" s="1"/>
  <c r="N65" i="4"/>
  <c r="M65" i="4"/>
  <c r="K65" i="4"/>
  <c r="I65" i="4"/>
  <c r="O65" i="4" s="1"/>
  <c r="O64" i="4"/>
  <c r="N64" i="4"/>
  <c r="M64" i="4"/>
  <c r="K64" i="4"/>
  <c r="I64" i="4"/>
  <c r="O63" i="4"/>
  <c r="N63" i="4"/>
  <c r="M63" i="4"/>
  <c r="K63" i="4"/>
  <c r="I63" i="4"/>
  <c r="N62" i="4"/>
  <c r="M62" i="4"/>
  <c r="K62" i="4"/>
  <c r="I62" i="4"/>
  <c r="O62" i="4" s="1"/>
  <c r="N61" i="4"/>
  <c r="M61" i="4"/>
  <c r="K61" i="4"/>
  <c r="I61" i="4"/>
  <c r="O61" i="4" s="1"/>
  <c r="N60" i="4"/>
  <c r="M60" i="4"/>
  <c r="K60" i="4"/>
  <c r="I60" i="4"/>
  <c r="O60" i="4" s="1"/>
  <c r="N59" i="4"/>
  <c r="M59" i="4"/>
  <c r="K59" i="4"/>
  <c r="I59" i="4"/>
  <c r="O58" i="4"/>
  <c r="N58" i="4"/>
  <c r="M58" i="4"/>
  <c r="K58" i="4"/>
  <c r="I58" i="4"/>
  <c r="N57" i="4"/>
  <c r="M57" i="4"/>
  <c r="K57" i="4"/>
  <c r="I57" i="4"/>
  <c r="O57" i="4" s="1"/>
  <c r="N56" i="4"/>
  <c r="M56" i="4"/>
  <c r="K56" i="4"/>
  <c r="I56" i="4"/>
  <c r="O56" i="4" s="1"/>
  <c r="N55" i="4"/>
  <c r="M55" i="4"/>
  <c r="K55" i="4"/>
  <c r="O55" i="4" s="1"/>
  <c r="I55" i="4"/>
  <c r="O54" i="4"/>
  <c r="N54" i="4"/>
  <c r="M54" i="4"/>
  <c r="K54" i="4"/>
  <c r="I54" i="4"/>
  <c r="O53" i="4"/>
  <c r="N53" i="4"/>
  <c r="M53" i="4"/>
  <c r="K53" i="4"/>
  <c r="I53" i="4"/>
  <c r="N52" i="4"/>
  <c r="M52" i="4"/>
  <c r="K52" i="4"/>
  <c r="O52" i="4" s="1"/>
  <c r="I52" i="4"/>
  <c r="N51" i="4"/>
  <c r="M51" i="4"/>
  <c r="K51" i="4"/>
  <c r="I51" i="4"/>
  <c r="O51" i="4" s="1"/>
  <c r="N50" i="4"/>
  <c r="M50" i="4"/>
  <c r="K50" i="4"/>
  <c r="I50" i="4"/>
  <c r="O50" i="4" s="1"/>
  <c r="N49" i="4"/>
  <c r="M49" i="4"/>
  <c r="K49" i="4"/>
  <c r="I49" i="4"/>
  <c r="O49" i="4" s="1"/>
  <c r="N48" i="4"/>
  <c r="M48" i="4"/>
  <c r="K48" i="4"/>
  <c r="I48" i="4"/>
  <c r="O48" i="4" s="1"/>
  <c r="N47" i="4"/>
  <c r="M47" i="4"/>
  <c r="K47" i="4"/>
  <c r="I47" i="4"/>
  <c r="N46" i="4"/>
  <c r="M46" i="4"/>
  <c r="K46" i="4"/>
  <c r="I46" i="4"/>
  <c r="O46" i="4" s="1"/>
  <c r="N45" i="4"/>
  <c r="M45" i="4"/>
  <c r="K45" i="4"/>
  <c r="K69" i="4" s="1"/>
  <c r="I45" i="4"/>
  <c r="O45" i="4" s="1"/>
  <c r="N44" i="4"/>
  <c r="M44" i="4"/>
  <c r="K44" i="4"/>
  <c r="I44" i="4"/>
  <c r="O44" i="4" s="1"/>
  <c r="N43" i="4"/>
  <c r="M43" i="4"/>
  <c r="K43" i="4"/>
  <c r="O43" i="4" s="1"/>
  <c r="I43" i="4"/>
  <c r="O42" i="4"/>
  <c r="N42" i="4"/>
  <c r="M42" i="4"/>
  <c r="K42" i="4"/>
  <c r="I42" i="4"/>
  <c r="O41" i="4"/>
  <c r="N41" i="4"/>
  <c r="M41" i="4"/>
  <c r="K41" i="4"/>
  <c r="I41" i="4"/>
  <c r="I69" i="4" s="1"/>
  <c r="O39" i="4"/>
  <c r="N39" i="4"/>
  <c r="M39" i="4"/>
  <c r="K39" i="4"/>
  <c r="I39" i="4"/>
  <c r="O38" i="4"/>
  <c r="N38" i="4"/>
  <c r="M38" i="4"/>
  <c r="K38" i="4"/>
  <c r="I38" i="4"/>
  <c r="N37" i="4"/>
  <c r="M37" i="4"/>
  <c r="K37" i="4"/>
  <c r="O37" i="4" s="1"/>
  <c r="I37" i="4"/>
  <c r="N36" i="4"/>
  <c r="M36" i="4"/>
  <c r="K36" i="4"/>
  <c r="I36" i="4"/>
  <c r="O36" i="4" s="1"/>
  <c r="N35" i="4"/>
  <c r="M35" i="4"/>
  <c r="K35" i="4"/>
  <c r="I35" i="4"/>
  <c r="O35" i="4" s="1"/>
  <c r="N34" i="4"/>
  <c r="M34" i="4"/>
  <c r="K34" i="4"/>
  <c r="I34" i="4"/>
  <c r="O34" i="4" s="1"/>
  <c r="N33" i="4"/>
  <c r="M33" i="4"/>
  <c r="K33" i="4"/>
  <c r="I33" i="4"/>
  <c r="O33" i="4" s="1"/>
  <c r="O32" i="4"/>
  <c r="N32" i="4"/>
  <c r="M32" i="4"/>
  <c r="K32" i="4"/>
  <c r="I32" i="4"/>
  <c r="O31" i="4"/>
  <c r="N31" i="4"/>
  <c r="M31" i="4"/>
  <c r="K31" i="4"/>
  <c r="I31" i="4"/>
  <c r="N30" i="4"/>
  <c r="M30" i="4"/>
  <c r="K30" i="4"/>
  <c r="I30" i="4"/>
  <c r="O30" i="4" s="1"/>
  <c r="N29" i="4"/>
  <c r="M29" i="4"/>
  <c r="K29" i="4"/>
  <c r="I29" i="4"/>
  <c r="O29" i="4" s="1"/>
  <c r="N28" i="4"/>
  <c r="M28" i="4"/>
  <c r="K28" i="4"/>
  <c r="I28" i="4"/>
  <c r="O28" i="4" s="1"/>
  <c r="O27" i="4"/>
  <c r="N27" i="4"/>
  <c r="M27" i="4"/>
  <c r="K27" i="4"/>
  <c r="I27" i="4"/>
  <c r="O26" i="4"/>
  <c r="N26" i="4"/>
  <c r="M26" i="4"/>
  <c r="K26" i="4"/>
  <c r="I26" i="4"/>
  <c r="N25" i="4"/>
  <c r="M25" i="4"/>
  <c r="K25" i="4"/>
  <c r="I25" i="4"/>
  <c r="O25" i="4" s="1"/>
  <c r="N24" i="4"/>
  <c r="M24" i="4"/>
  <c r="K24" i="4"/>
  <c r="I24" i="4"/>
  <c r="O24" i="4" s="1"/>
  <c r="N23" i="4"/>
  <c r="M23" i="4"/>
  <c r="K23" i="4"/>
  <c r="K40" i="4" s="1"/>
  <c r="I23" i="4"/>
  <c r="O23" i="4" s="1"/>
  <c r="O22" i="4"/>
  <c r="N22" i="4"/>
  <c r="M22" i="4"/>
  <c r="K22" i="4"/>
  <c r="I22" i="4"/>
  <c r="O21" i="4"/>
  <c r="N21" i="4"/>
  <c r="M21" i="4"/>
  <c r="K21" i="4"/>
  <c r="I21" i="4"/>
  <c r="M20" i="4"/>
  <c r="K20" i="4"/>
  <c r="I20" i="4"/>
  <c r="N19" i="4"/>
  <c r="M19" i="4"/>
  <c r="M180" i="4" s="1"/>
  <c r="K19" i="4"/>
  <c r="K180" i="4" s="1"/>
  <c r="I19" i="4"/>
  <c r="O19" i="4" s="1"/>
  <c r="M172" i="3"/>
  <c r="K172" i="3"/>
  <c r="I172" i="3"/>
  <c r="N171" i="3"/>
  <c r="M171" i="3"/>
  <c r="K171" i="3"/>
  <c r="I171" i="3"/>
  <c r="O171" i="3" s="1"/>
  <c r="O172" i="3" s="1"/>
  <c r="O169" i="3"/>
  <c r="N169" i="3"/>
  <c r="M169" i="3"/>
  <c r="K169" i="3"/>
  <c r="I169" i="3"/>
  <c r="O168" i="3"/>
  <c r="N168" i="3"/>
  <c r="M168" i="3"/>
  <c r="K168" i="3"/>
  <c r="I168" i="3"/>
  <c r="N167" i="3"/>
  <c r="M167" i="3"/>
  <c r="M170" i="3" s="1"/>
  <c r="K167" i="3"/>
  <c r="K170" i="3" s="1"/>
  <c r="I167" i="3"/>
  <c r="O167" i="3" s="1"/>
  <c r="O170" i="3" s="1"/>
  <c r="K166" i="3"/>
  <c r="I166" i="3"/>
  <c r="N165" i="3"/>
  <c r="M165" i="3"/>
  <c r="K165" i="3"/>
  <c r="I165" i="3"/>
  <c r="O165" i="3" s="1"/>
  <c r="O164" i="3"/>
  <c r="N164" i="3"/>
  <c r="M164" i="3"/>
  <c r="K164" i="3"/>
  <c r="I164" i="3"/>
  <c r="O163" i="3"/>
  <c r="N163" i="3"/>
  <c r="M163" i="3"/>
  <c r="M166" i="3" s="1"/>
  <c r="K163" i="3"/>
  <c r="I163" i="3"/>
  <c r="I162" i="3"/>
  <c r="N161" i="3"/>
  <c r="M161" i="3"/>
  <c r="K161" i="3"/>
  <c r="I161" i="3"/>
  <c r="O161" i="3" s="1"/>
  <c r="N160" i="3"/>
  <c r="M160" i="3"/>
  <c r="K160" i="3"/>
  <c r="I160" i="3"/>
  <c r="O160" i="3" s="1"/>
  <c r="O159" i="3"/>
  <c r="N159" i="3"/>
  <c r="M159" i="3"/>
  <c r="K159" i="3"/>
  <c r="I159" i="3"/>
  <c r="O158" i="3"/>
  <c r="N158" i="3"/>
  <c r="M158" i="3"/>
  <c r="K158" i="3"/>
  <c r="I158" i="3"/>
  <c r="N157" i="3"/>
  <c r="M157" i="3"/>
  <c r="K157" i="3"/>
  <c r="I157" i="3"/>
  <c r="O157" i="3" s="1"/>
  <c r="N156" i="3"/>
  <c r="M156" i="3"/>
  <c r="K156" i="3"/>
  <c r="I156" i="3"/>
  <c r="O156" i="3" s="1"/>
  <c r="N155" i="3"/>
  <c r="M155" i="3"/>
  <c r="K155" i="3"/>
  <c r="I155" i="3"/>
  <c r="O155" i="3" s="1"/>
  <c r="O154" i="3"/>
  <c r="N154" i="3"/>
  <c r="M154" i="3"/>
  <c r="K154" i="3"/>
  <c r="I154" i="3"/>
  <c r="O153" i="3"/>
  <c r="N153" i="3"/>
  <c r="M153" i="3"/>
  <c r="K153" i="3"/>
  <c r="I153" i="3"/>
  <c r="N152" i="3"/>
  <c r="M152" i="3"/>
  <c r="K152" i="3"/>
  <c r="O152" i="3" s="1"/>
  <c r="I152" i="3"/>
  <c r="N151" i="3"/>
  <c r="M151" i="3"/>
  <c r="K151" i="3"/>
  <c r="I151" i="3"/>
  <c r="O151" i="3" s="1"/>
  <c r="N150" i="3"/>
  <c r="M150" i="3"/>
  <c r="K150" i="3"/>
  <c r="I150" i="3"/>
  <c r="O150" i="3" s="1"/>
  <c r="N149" i="3"/>
  <c r="M149" i="3"/>
  <c r="K149" i="3"/>
  <c r="I149" i="3"/>
  <c r="O149" i="3" s="1"/>
  <c r="N148" i="3"/>
  <c r="M148" i="3"/>
  <c r="K148" i="3"/>
  <c r="I148" i="3"/>
  <c r="O148" i="3" s="1"/>
  <c r="O147" i="3"/>
  <c r="N147" i="3"/>
  <c r="M147" i="3"/>
  <c r="K147" i="3"/>
  <c r="I147" i="3"/>
  <c r="O146" i="3"/>
  <c r="N146" i="3"/>
  <c r="M146" i="3"/>
  <c r="K146" i="3"/>
  <c r="I146" i="3"/>
  <c r="N145" i="3"/>
  <c r="M145" i="3"/>
  <c r="K145" i="3"/>
  <c r="I145" i="3"/>
  <c r="O145" i="3" s="1"/>
  <c r="N144" i="3"/>
  <c r="M144" i="3"/>
  <c r="K144" i="3"/>
  <c r="K162" i="3" s="1"/>
  <c r="I144" i="3"/>
  <c r="O144" i="3" s="1"/>
  <c r="N143" i="3"/>
  <c r="M143" i="3"/>
  <c r="K143" i="3"/>
  <c r="I143" i="3"/>
  <c r="O143" i="3" s="1"/>
  <c r="O142" i="3"/>
  <c r="N142" i="3"/>
  <c r="M142" i="3"/>
  <c r="K142" i="3"/>
  <c r="I142" i="3"/>
  <c r="O141" i="3"/>
  <c r="N141" i="3"/>
  <c r="M141" i="3"/>
  <c r="K141" i="3"/>
  <c r="I141" i="3"/>
  <c r="N140" i="3"/>
  <c r="M140" i="3"/>
  <c r="K140" i="3"/>
  <c r="O140" i="3" s="1"/>
  <c r="I140" i="3"/>
  <c r="N139" i="3"/>
  <c r="M139" i="3"/>
  <c r="M162" i="3" s="1"/>
  <c r="K139" i="3"/>
  <c r="I139" i="3"/>
  <c r="O139" i="3" s="1"/>
  <c r="O137" i="3"/>
  <c r="N137" i="3"/>
  <c r="M137" i="3"/>
  <c r="K137" i="3"/>
  <c r="I137" i="3"/>
  <c r="O136" i="3"/>
  <c r="N136" i="3"/>
  <c r="M136" i="3"/>
  <c r="K136" i="3"/>
  <c r="I136" i="3"/>
  <c r="N135" i="3"/>
  <c r="M135" i="3"/>
  <c r="K135" i="3"/>
  <c r="O135" i="3" s="1"/>
  <c r="I135" i="3"/>
  <c r="N134" i="3"/>
  <c r="M134" i="3"/>
  <c r="K134" i="3"/>
  <c r="I134" i="3"/>
  <c r="O134" i="3" s="1"/>
  <c r="N133" i="3"/>
  <c r="M133" i="3"/>
  <c r="K133" i="3"/>
  <c r="I133" i="3"/>
  <c r="O133" i="3" s="1"/>
  <c r="N132" i="3"/>
  <c r="M132" i="3"/>
  <c r="K132" i="3"/>
  <c r="I132" i="3"/>
  <c r="O132" i="3" s="1"/>
  <c r="N131" i="3"/>
  <c r="M131" i="3"/>
  <c r="K131" i="3"/>
  <c r="I131" i="3"/>
  <c r="O131" i="3" s="1"/>
  <c r="O130" i="3"/>
  <c r="N130" i="3"/>
  <c r="M130" i="3"/>
  <c r="K130" i="3"/>
  <c r="I130" i="3"/>
  <c r="O129" i="3"/>
  <c r="N129" i="3"/>
  <c r="M129" i="3"/>
  <c r="K129" i="3"/>
  <c r="I129" i="3"/>
  <c r="N128" i="3"/>
  <c r="M128" i="3"/>
  <c r="K128" i="3"/>
  <c r="I128" i="3"/>
  <c r="O128" i="3" s="1"/>
  <c r="N127" i="3"/>
  <c r="M127" i="3"/>
  <c r="K127" i="3"/>
  <c r="I127" i="3"/>
  <c r="O127" i="3" s="1"/>
  <c r="N126" i="3"/>
  <c r="M126" i="3"/>
  <c r="K126" i="3"/>
  <c r="I126" i="3"/>
  <c r="O126" i="3" s="1"/>
  <c r="O125" i="3"/>
  <c r="N125" i="3"/>
  <c r="M125" i="3"/>
  <c r="K125" i="3"/>
  <c r="I125" i="3"/>
  <c r="O124" i="3"/>
  <c r="N124" i="3"/>
  <c r="M124" i="3"/>
  <c r="K124" i="3"/>
  <c r="I124" i="3"/>
  <c r="N123" i="3"/>
  <c r="M123" i="3"/>
  <c r="K123" i="3"/>
  <c r="O123" i="3" s="1"/>
  <c r="I123" i="3"/>
  <c r="N122" i="3"/>
  <c r="M122" i="3"/>
  <c r="K122" i="3"/>
  <c r="I122" i="3"/>
  <c r="O122" i="3" s="1"/>
  <c r="N121" i="3"/>
  <c r="M121" i="3"/>
  <c r="K121" i="3"/>
  <c r="I121" i="3"/>
  <c r="O121" i="3" s="1"/>
  <c r="N120" i="3"/>
  <c r="M120" i="3"/>
  <c r="K120" i="3"/>
  <c r="I120" i="3"/>
  <c r="O120" i="3" s="1"/>
  <c r="N119" i="3"/>
  <c r="M119" i="3"/>
  <c r="K119" i="3"/>
  <c r="I119" i="3"/>
  <c r="O119" i="3" s="1"/>
  <c r="O118" i="3"/>
  <c r="N118" i="3"/>
  <c r="M118" i="3"/>
  <c r="K118" i="3"/>
  <c r="I118" i="3"/>
  <c r="O117" i="3"/>
  <c r="N117" i="3"/>
  <c r="M117" i="3"/>
  <c r="K117" i="3"/>
  <c r="I117" i="3"/>
  <c r="N116" i="3"/>
  <c r="M116" i="3"/>
  <c r="K116" i="3"/>
  <c r="I116" i="3"/>
  <c r="O116" i="3" s="1"/>
  <c r="N115" i="3"/>
  <c r="M115" i="3"/>
  <c r="K115" i="3"/>
  <c r="I115" i="3"/>
  <c r="O115" i="3" s="1"/>
  <c r="N114" i="3"/>
  <c r="M114" i="3"/>
  <c r="K114" i="3"/>
  <c r="I114" i="3"/>
  <c r="O114" i="3" s="1"/>
  <c r="O113" i="3"/>
  <c r="N113" i="3"/>
  <c r="M113" i="3"/>
  <c r="K113" i="3"/>
  <c r="I113" i="3"/>
  <c r="O112" i="3"/>
  <c r="N112" i="3"/>
  <c r="M112" i="3"/>
  <c r="K112" i="3"/>
  <c r="I112" i="3"/>
  <c r="N111" i="3"/>
  <c r="M111" i="3"/>
  <c r="K111" i="3"/>
  <c r="O111" i="3" s="1"/>
  <c r="I111" i="3"/>
  <c r="N110" i="3"/>
  <c r="M110" i="3"/>
  <c r="K110" i="3"/>
  <c r="I110" i="3"/>
  <c r="O110" i="3" s="1"/>
  <c r="N109" i="3"/>
  <c r="M109" i="3"/>
  <c r="K109" i="3"/>
  <c r="I109" i="3"/>
  <c r="O109" i="3" s="1"/>
  <c r="N108" i="3"/>
  <c r="M108" i="3"/>
  <c r="K108" i="3"/>
  <c r="I108" i="3"/>
  <c r="O108" i="3" s="1"/>
  <c r="N107" i="3"/>
  <c r="M107" i="3"/>
  <c r="K107" i="3"/>
  <c r="I107" i="3"/>
  <c r="O107" i="3" s="1"/>
  <c r="O106" i="3"/>
  <c r="N106" i="3"/>
  <c r="M106" i="3"/>
  <c r="K106" i="3"/>
  <c r="I106" i="3"/>
  <c r="O105" i="3"/>
  <c r="N105" i="3"/>
  <c r="M105" i="3"/>
  <c r="K105" i="3"/>
  <c r="I105" i="3"/>
  <c r="N104" i="3"/>
  <c r="M104" i="3"/>
  <c r="K104" i="3"/>
  <c r="I104" i="3"/>
  <c r="O104" i="3" s="1"/>
  <c r="N103" i="3"/>
  <c r="M103" i="3"/>
  <c r="K103" i="3"/>
  <c r="I103" i="3"/>
  <c r="O103" i="3" s="1"/>
  <c r="N102" i="3"/>
  <c r="M102" i="3"/>
  <c r="K102" i="3"/>
  <c r="I102" i="3"/>
  <c r="O102" i="3" s="1"/>
  <c r="O101" i="3"/>
  <c r="N101" i="3"/>
  <c r="M101" i="3"/>
  <c r="K101" i="3"/>
  <c r="I101" i="3"/>
  <c r="O100" i="3"/>
  <c r="N100" i="3"/>
  <c r="M100" i="3"/>
  <c r="K100" i="3"/>
  <c r="I100" i="3"/>
  <c r="N99" i="3"/>
  <c r="M99" i="3"/>
  <c r="K99" i="3"/>
  <c r="O99" i="3" s="1"/>
  <c r="I99" i="3"/>
  <c r="N98" i="3"/>
  <c r="M98" i="3"/>
  <c r="K98" i="3"/>
  <c r="I98" i="3"/>
  <c r="O98" i="3" s="1"/>
  <c r="N97" i="3"/>
  <c r="M97" i="3"/>
  <c r="K97" i="3"/>
  <c r="I97" i="3"/>
  <c r="O97" i="3" s="1"/>
  <c r="N96" i="3"/>
  <c r="M96" i="3"/>
  <c r="K96" i="3"/>
  <c r="I96" i="3"/>
  <c r="O96" i="3" s="1"/>
  <c r="N95" i="3"/>
  <c r="M95" i="3"/>
  <c r="K95" i="3"/>
  <c r="I95" i="3"/>
  <c r="O95" i="3" s="1"/>
  <c r="O94" i="3"/>
  <c r="N94" i="3"/>
  <c r="M94" i="3"/>
  <c r="K94" i="3"/>
  <c r="I94" i="3"/>
  <c r="O93" i="3"/>
  <c r="N93" i="3"/>
  <c r="M93" i="3"/>
  <c r="K93" i="3"/>
  <c r="I93" i="3"/>
  <c r="N92" i="3"/>
  <c r="M92" i="3"/>
  <c r="K92" i="3"/>
  <c r="I92" i="3"/>
  <c r="O92" i="3" s="1"/>
  <c r="N91" i="3"/>
  <c r="M91" i="3"/>
  <c r="K91" i="3"/>
  <c r="I91" i="3"/>
  <c r="O91" i="3" s="1"/>
  <c r="N90" i="3"/>
  <c r="M90" i="3"/>
  <c r="K90" i="3"/>
  <c r="I90" i="3"/>
  <c r="O90" i="3" s="1"/>
  <c r="O89" i="3"/>
  <c r="N89" i="3"/>
  <c r="M89" i="3"/>
  <c r="K89" i="3"/>
  <c r="I89" i="3"/>
  <c r="O88" i="3"/>
  <c r="N88" i="3"/>
  <c r="M88" i="3"/>
  <c r="K88" i="3"/>
  <c r="I88" i="3"/>
  <c r="N87" i="3"/>
  <c r="M87" i="3"/>
  <c r="K87" i="3"/>
  <c r="O87" i="3" s="1"/>
  <c r="I87" i="3"/>
  <c r="N86" i="3"/>
  <c r="M86" i="3"/>
  <c r="K86" i="3"/>
  <c r="I86" i="3"/>
  <c r="O86" i="3" s="1"/>
  <c r="N85" i="3"/>
  <c r="M85" i="3"/>
  <c r="M138" i="3" s="1"/>
  <c r="K85" i="3"/>
  <c r="K138" i="3" s="1"/>
  <c r="I85" i="3"/>
  <c r="O85" i="3" s="1"/>
  <c r="O138" i="3" s="1"/>
  <c r="O83" i="3"/>
  <c r="N83" i="3"/>
  <c r="M83" i="3"/>
  <c r="K83" i="3"/>
  <c r="I83" i="3"/>
  <c r="N82" i="3"/>
  <c r="M82" i="3"/>
  <c r="K82" i="3"/>
  <c r="O82" i="3" s="1"/>
  <c r="I82" i="3"/>
  <c r="N81" i="3"/>
  <c r="M81" i="3"/>
  <c r="K81" i="3"/>
  <c r="I81" i="3"/>
  <c r="O81" i="3" s="1"/>
  <c r="N80" i="3"/>
  <c r="M80" i="3"/>
  <c r="K80" i="3"/>
  <c r="I80" i="3"/>
  <c r="O80" i="3" s="1"/>
  <c r="N79" i="3"/>
  <c r="M79" i="3"/>
  <c r="K79" i="3"/>
  <c r="I79" i="3"/>
  <c r="O79" i="3" s="1"/>
  <c r="N78" i="3"/>
  <c r="M78" i="3"/>
  <c r="K78" i="3"/>
  <c r="I78" i="3"/>
  <c r="O78" i="3" s="1"/>
  <c r="O77" i="3"/>
  <c r="N77" i="3"/>
  <c r="M77" i="3"/>
  <c r="K77" i="3"/>
  <c r="I77" i="3"/>
  <c r="O76" i="3"/>
  <c r="N76" i="3"/>
  <c r="M76" i="3"/>
  <c r="K76" i="3"/>
  <c r="I76" i="3"/>
  <c r="N75" i="3"/>
  <c r="M75" i="3"/>
  <c r="K75" i="3"/>
  <c r="I75" i="3"/>
  <c r="O75" i="3" s="1"/>
  <c r="N74" i="3"/>
  <c r="M74" i="3"/>
  <c r="K74" i="3"/>
  <c r="I74" i="3"/>
  <c r="O74" i="3" s="1"/>
  <c r="N73" i="3"/>
  <c r="M73" i="3"/>
  <c r="K73" i="3"/>
  <c r="I73" i="3"/>
  <c r="O73" i="3" s="1"/>
  <c r="O72" i="3"/>
  <c r="N72" i="3"/>
  <c r="M72" i="3"/>
  <c r="K72" i="3"/>
  <c r="I72" i="3"/>
  <c r="O71" i="3"/>
  <c r="N71" i="3"/>
  <c r="M71" i="3"/>
  <c r="K71" i="3"/>
  <c r="I71" i="3"/>
  <c r="N70" i="3"/>
  <c r="M70" i="3"/>
  <c r="K70" i="3"/>
  <c r="O70" i="3" s="1"/>
  <c r="I70" i="3"/>
  <c r="N69" i="3"/>
  <c r="M69" i="3"/>
  <c r="K69" i="3"/>
  <c r="I69" i="3"/>
  <c r="O69" i="3" s="1"/>
  <c r="N68" i="3"/>
  <c r="M68" i="3"/>
  <c r="K68" i="3"/>
  <c r="I68" i="3"/>
  <c r="O68" i="3" s="1"/>
  <c r="N67" i="3"/>
  <c r="M67" i="3"/>
  <c r="K67" i="3"/>
  <c r="I67" i="3"/>
  <c r="O67" i="3" s="1"/>
  <c r="N66" i="3"/>
  <c r="M66" i="3"/>
  <c r="K66" i="3"/>
  <c r="I66" i="3"/>
  <c r="O66" i="3" s="1"/>
  <c r="O65" i="3"/>
  <c r="N65" i="3"/>
  <c r="M65" i="3"/>
  <c r="K65" i="3"/>
  <c r="I65" i="3"/>
  <c r="O64" i="3"/>
  <c r="N64" i="3"/>
  <c r="M64" i="3"/>
  <c r="K64" i="3"/>
  <c r="I64" i="3"/>
  <c r="N63" i="3"/>
  <c r="M63" i="3"/>
  <c r="K63" i="3"/>
  <c r="I63" i="3"/>
  <c r="O63" i="3" s="1"/>
  <c r="N62" i="3"/>
  <c r="M62" i="3"/>
  <c r="K62" i="3"/>
  <c r="I62" i="3"/>
  <c r="O62" i="3" s="1"/>
  <c r="N61" i="3"/>
  <c r="M61" i="3"/>
  <c r="K61" i="3"/>
  <c r="I61" i="3"/>
  <c r="O61" i="3" s="1"/>
  <c r="O60" i="3"/>
  <c r="N60" i="3"/>
  <c r="M60" i="3"/>
  <c r="K60" i="3"/>
  <c r="I60" i="3"/>
  <c r="O59" i="3"/>
  <c r="N59" i="3"/>
  <c r="M59" i="3"/>
  <c r="K59" i="3"/>
  <c r="I59" i="3"/>
  <c r="N58" i="3"/>
  <c r="M58" i="3"/>
  <c r="K58" i="3"/>
  <c r="O58" i="3" s="1"/>
  <c r="I58" i="3"/>
  <c r="N57" i="3"/>
  <c r="M57" i="3"/>
  <c r="K57" i="3"/>
  <c r="I57" i="3"/>
  <c r="O57" i="3" s="1"/>
  <c r="N56" i="3"/>
  <c r="M56" i="3"/>
  <c r="K56" i="3"/>
  <c r="I56" i="3"/>
  <c r="O56" i="3" s="1"/>
  <c r="N55" i="3"/>
  <c r="M55" i="3"/>
  <c r="K55" i="3"/>
  <c r="I55" i="3"/>
  <c r="O55" i="3" s="1"/>
  <c r="N54" i="3"/>
  <c r="M54" i="3"/>
  <c r="K54" i="3"/>
  <c r="I54" i="3"/>
  <c r="O54" i="3" s="1"/>
  <c r="O53" i="3"/>
  <c r="N53" i="3"/>
  <c r="M53" i="3"/>
  <c r="K53" i="3"/>
  <c r="I53" i="3"/>
  <c r="N52" i="3"/>
  <c r="M52" i="3"/>
  <c r="K52" i="3"/>
  <c r="O52" i="3" s="1"/>
  <c r="I52" i="3"/>
  <c r="N51" i="3"/>
  <c r="M51" i="3"/>
  <c r="K51" i="3"/>
  <c r="I51" i="3"/>
  <c r="O51" i="3" s="1"/>
  <c r="N50" i="3"/>
  <c r="M50" i="3"/>
  <c r="K50" i="3"/>
  <c r="I50" i="3"/>
  <c r="O50" i="3" s="1"/>
  <c r="N49" i="3"/>
  <c r="M49" i="3"/>
  <c r="K49" i="3"/>
  <c r="I49" i="3"/>
  <c r="O49" i="3" s="1"/>
  <c r="O48" i="3"/>
  <c r="N48" i="3"/>
  <c r="M48" i="3"/>
  <c r="K48" i="3"/>
  <c r="I48" i="3"/>
  <c r="O47" i="3"/>
  <c r="N47" i="3"/>
  <c r="M47" i="3"/>
  <c r="K47" i="3"/>
  <c r="I47" i="3"/>
  <c r="N46" i="3"/>
  <c r="M46" i="3"/>
  <c r="K46" i="3"/>
  <c r="O46" i="3" s="1"/>
  <c r="I46" i="3"/>
  <c r="N45" i="3"/>
  <c r="M45" i="3"/>
  <c r="K45" i="3"/>
  <c r="I45" i="3"/>
  <c r="O45" i="3" s="1"/>
  <c r="N44" i="3"/>
  <c r="M44" i="3"/>
  <c r="K44" i="3"/>
  <c r="I44" i="3"/>
  <c r="O44" i="3" s="1"/>
  <c r="N43" i="3"/>
  <c r="M43" i="3"/>
  <c r="K43" i="3"/>
  <c r="I43" i="3"/>
  <c r="O43" i="3" s="1"/>
  <c r="O42" i="3"/>
  <c r="N42" i="3"/>
  <c r="M42" i="3"/>
  <c r="M84" i="3" s="1"/>
  <c r="K42" i="3"/>
  <c r="K84" i="3" s="1"/>
  <c r="I42" i="3"/>
  <c r="I84" i="3" s="1"/>
  <c r="M41" i="3"/>
  <c r="N40" i="3"/>
  <c r="M40" i="3"/>
  <c r="K40" i="3"/>
  <c r="I40" i="3"/>
  <c r="O40" i="3" s="1"/>
  <c r="N39" i="3"/>
  <c r="M39" i="3"/>
  <c r="K39" i="3"/>
  <c r="I39" i="3"/>
  <c r="O39" i="3" s="1"/>
  <c r="N38" i="3"/>
  <c r="M38" i="3"/>
  <c r="K38" i="3"/>
  <c r="I38" i="3"/>
  <c r="O38" i="3" s="1"/>
  <c r="O37" i="3"/>
  <c r="N37" i="3"/>
  <c r="M37" i="3"/>
  <c r="K37" i="3"/>
  <c r="I37" i="3"/>
  <c r="O36" i="3"/>
  <c r="N36" i="3"/>
  <c r="M36" i="3"/>
  <c r="K36" i="3"/>
  <c r="I36" i="3"/>
  <c r="N35" i="3"/>
  <c r="M35" i="3"/>
  <c r="K35" i="3"/>
  <c r="O35" i="3" s="1"/>
  <c r="I35" i="3"/>
  <c r="N34" i="3"/>
  <c r="M34" i="3"/>
  <c r="K34" i="3"/>
  <c r="I34" i="3"/>
  <c r="O34" i="3" s="1"/>
  <c r="N33" i="3"/>
  <c r="M33" i="3"/>
  <c r="K33" i="3"/>
  <c r="I33" i="3"/>
  <c r="O33" i="3" s="1"/>
  <c r="N32" i="3"/>
  <c r="M32" i="3"/>
  <c r="K32" i="3"/>
  <c r="I32" i="3"/>
  <c r="O32" i="3" s="1"/>
  <c r="O31" i="3"/>
  <c r="N31" i="3"/>
  <c r="M31" i="3"/>
  <c r="K31" i="3"/>
  <c r="I31" i="3"/>
  <c r="O30" i="3"/>
  <c r="N30" i="3"/>
  <c r="M30" i="3"/>
  <c r="K30" i="3"/>
  <c r="I30" i="3"/>
  <c r="N29" i="3"/>
  <c r="M29" i="3"/>
  <c r="K29" i="3"/>
  <c r="O29" i="3" s="1"/>
  <c r="I29" i="3"/>
  <c r="N28" i="3"/>
  <c r="M28" i="3"/>
  <c r="K28" i="3"/>
  <c r="I28" i="3"/>
  <c r="O28" i="3" s="1"/>
  <c r="N27" i="3"/>
  <c r="M27" i="3"/>
  <c r="K27" i="3"/>
  <c r="I27" i="3"/>
  <c r="O27" i="3" s="1"/>
  <c r="N26" i="3"/>
  <c r="M26" i="3"/>
  <c r="K26" i="3"/>
  <c r="I26" i="3"/>
  <c r="O26" i="3" s="1"/>
  <c r="O25" i="3"/>
  <c r="N25" i="3"/>
  <c r="M25" i="3"/>
  <c r="K25" i="3"/>
  <c r="I25" i="3"/>
  <c r="N24" i="3"/>
  <c r="M24" i="3"/>
  <c r="O24" i="3" s="1"/>
  <c r="K24" i="3"/>
  <c r="I24" i="3"/>
  <c r="N23" i="3"/>
  <c r="M23" i="3"/>
  <c r="K23" i="3"/>
  <c r="O23" i="3" s="1"/>
  <c r="I23" i="3"/>
  <c r="N22" i="3"/>
  <c r="M22" i="3"/>
  <c r="K22" i="3"/>
  <c r="I22" i="3"/>
  <c r="O22" i="3" s="1"/>
  <c r="N21" i="3"/>
  <c r="M21" i="3"/>
  <c r="K21" i="3"/>
  <c r="K41" i="3" s="1"/>
  <c r="I21" i="3"/>
  <c r="O21" i="3" s="1"/>
  <c r="N20" i="3"/>
  <c r="M20" i="3"/>
  <c r="K20" i="3"/>
  <c r="I20" i="3"/>
  <c r="I41" i="3" s="1"/>
  <c r="M19" i="3"/>
  <c r="N18" i="3"/>
  <c r="M18" i="3"/>
  <c r="K18" i="3"/>
  <c r="K19" i="3" s="1"/>
  <c r="I18" i="3"/>
  <c r="I19" i="3" s="1"/>
  <c r="K55" i="2"/>
  <c r="L55" i="2" s="1"/>
  <c r="J55" i="2"/>
  <c r="I55" i="2"/>
  <c r="H55" i="2"/>
  <c r="F55" i="2"/>
  <c r="G55" i="2" s="1"/>
  <c r="E55" i="2"/>
  <c r="L54" i="2"/>
  <c r="K54" i="2"/>
  <c r="J54" i="2"/>
  <c r="I54" i="2"/>
  <c r="H54" i="2"/>
  <c r="G54" i="2"/>
  <c r="F54" i="2"/>
  <c r="E54" i="2"/>
  <c r="L53" i="2"/>
  <c r="K53" i="2"/>
  <c r="J53" i="2"/>
  <c r="I53" i="2"/>
  <c r="H53" i="2"/>
  <c r="G53" i="2"/>
  <c r="F53" i="2"/>
  <c r="E53" i="2"/>
  <c r="L50" i="2"/>
  <c r="K50" i="2"/>
  <c r="J50" i="2"/>
  <c r="I50" i="2"/>
  <c r="H50" i="2"/>
  <c r="G50" i="2"/>
  <c r="F50" i="2"/>
  <c r="E50" i="2"/>
  <c r="L49" i="2"/>
  <c r="K49" i="2"/>
  <c r="J49" i="2"/>
  <c r="I49" i="2"/>
  <c r="H49" i="2"/>
  <c r="G49" i="2"/>
  <c r="F49" i="2"/>
  <c r="E49" i="2"/>
  <c r="L38" i="2"/>
  <c r="K38" i="2"/>
  <c r="J38" i="2"/>
  <c r="I38" i="2"/>
  <c r="H38" i="2"/>
  <c r="G38" i="2"/>
  <c r="F38" i="2"/>
  <c r="E38" i="2"/>
  <c r="L37" i="2"/>
  <c r="K37" i="2"/>
  <c r="J37" i="2"/>
  <c r="I37" i="2"/>
  <c r="H37" i="2"/>
  <c r="G37" i="2"/>
  <c r="F37" i="2"/>
  <c r="E37" i="2"/>
  <c r="L35" i="2"/>
  <c r="K35" i="2"/>
  <c r="J35" i="2"/>
  <c r="I35" i="2"/>
  <c r="H35" i="2"/>
  <c r="G35" i="2"/>
  <c r="F35" i="2"/>
  <c r="E35" i="2"/>
  <c r="L24" i="2"/>
  <c r="K24" i="2"/>
  <c r="J24" i="2"/>
  <c r="I24" i="2"/>
  <c r="H24" i="2"/>
  <c r="G24" i="2"/>
  <c r="F24" i="2"/>
  <c r="E24" i="2"/>
  <c r="L23" i="2"/>
  <c r="K23" i="2"/>
  <c r="J23" i="2"/>
  <c r="I23" i="2"/>
  <c r="H23" i="2"/>
  <c r="G23" i="2"/>
  <c r="F23" i="2"/>
  <c r="E23" i="2"/>
  <c r="L13" i="2"/>
  <c r="K13" i="2"/>
  <c r="J13" i="2"/>
  <c r="I13" i="2"/>
  <c r="H13" i="2"/>
  <c r="G13" i="2"/>
  <c r="F13" i="2"/>
  <c r="E13" i="2"/>
  <c r="L12" i="2"/>
  <c r="K12" i="2"/>
  <c r="J12" i="2"/>
  <c r="I12" i="2"/>
  <c r="H12" i="2"/>
  <c r="G12" i="2"/>
  <c r="F12" i="2"/>
  <c r="E12" i="2"/>
  <c r="G22" i="1"/>
  <c r="F22" i="1"/>
  <c r="E22" i="1"/>
  <c r="D22" i="1"/>
  <c r="C22" i="1"/>
  <c r="B22" i="1"/>
  <c r="H21" i="1"/>
  <c r="H22" i="1" s="1"/>
  <c r="H20" i="1"/>
  <c r="H19" i="1"/>
  <c r="H18" i="1"/>
  <c r="H17" i="1"/>
  <c r="H16" i="1"/>
  <c r="O162" i="3" l="1"/>
  <c r="O84" i="3"/>
  <c r="O173" i="4"/>
  <c r="O40" i="4"/>
  <c r="O20" i="4"/>
  <c r="O177" i="4"/>
  <c r="O166" i="3"/>
  <c r="I138" i="3"/>
  <c r="I40" i="4"/>
  <c r="I146" i="4"/>
  <c r="M606" i="5"/>
  <c r="I67" i="5"/>
  <c r="O296" i="5"/>
  <c r="O62" i="6"/>
  <c r="M167" i="5"/>
  <c r="I170" i="3"/>
  <c r="O178" i="4"/>
  <c r="O179" i="4" s="1"/>
  <c r="K67" i="5"/>
  <c r="O224" i="5"/>
  <c r="O291" i="5"/>
  <c r="I457" i="5"/>
  <c r="O465" i="5"/>
  <c r="O91" i="6"/>
  <c r="I173" i="3"/>
  <c r="I376" i="5"/>
  <c r="O155" i="6"/>
  <c r="O166" i="6"/>
  <c r="K173" i="3"/>
  <c r="O105" i="4"/>
  <c r="O60" i="5"/>
  <c r="O65" i="5"/>
  <c r="O130" i="5"/>
  <c r="M212" i="5"/>
  <c r="O171" i="5"/>
  <c r="O255" i="5"/>
  <c r="K376" i="5"/>
  <c r="O308" i="5"/>
  <c r="O376" i="5" s="1"/>
  <c r="O344" i="5"/>
  <c r="M457" i="5"/>
  <c r="O443" i="5"/>
  <c r="K605" i="5"/>
  <c r="O547" i="5"/>
  <c r="K166" i="6"/>
  <c r="O20" i="3"/>
  <c r="O41" i="3" s="1"/>
  <c r="M40" i="4"/>
  <c r="O70" i="4"/>
  <c r="O93" i="4"/>
  <c r="O146" i="4" s="1"/>
  <c r="I169" i="4"/>
  <c r="O125" i="5"/>
  <c r="M376" i="5"/>
  <c r="O424" i="5"/>
  <c r="O457" i="5" s="1"/>
  <c r="O501" i="5"/>
  <c r="O521" i="5"/>
  <c r="O518" i="5"/>
  <c r="M605" i="5"/>
  <c r="O528" i="5"/>
  <c r="O605" i="5" s="1"/>
  <c r="K80" i="6"/>
  <c r="O74" i="6"/>
  <c r="M173" i="3"/>
  <c r="M69" i="4"/>
  <c r="O88" i="4"/>
  <c r="O48" i="5"/>
  <c r="O53" i="5"/>
  <c r="O168" i="5"/>
  <c r="O284" i="5"/>
  <c r="O289" i="5"/>
  <c r="O458" i="5"/>
  <c r="I511" i="5"/>
  <c r="O96" i="6"/>
  <c r="K112" i="6"/>
  <c r="I127" i="6"/>
  <c r="I180" i="4"/>
  <c r="K521" i="5"/>
  <c r="K524" i="5"/>
  <c r="K96" i="6"/>
  <c r="M112" i="6"/>
  <c r="K127" i="6"/>
  <c r="I166" i="6"/>
  <c r="O157" i="6"/>
  <c r="I420" i="5"/>
  <c r="I605" i="5"/>
  <c r="M96" i="6"/>
  <c r="M127" i="6"/>
  <c r="O18" i="3"/>
  <c r="O59" i="4"/>
  <c r="O24" i="5"/>
  <c r="O606" i="5" s="1"/>
  <c r="O68" i="5"/>
  <c r="O101" i="5"/>
  <c r="O106" i="5"/>
  <c r="I299" i="5"/>
  <c r="K420" i="5"/>
  <c r="O455" i="5"/>
  <c r="O559" i="5"/>
  <c r="I29" i="6"/>
  <c r="O35" i="6"/>
  <c r="I80" i="6"/>
  <c r="I142" i="6"/>
  <c r="O47" i="4"/>
  <c r="O69" i="4" s="1"/>
  <c r="O154" i="5"/>
  <c r="O195" i="5"/>
  <c r="K299" i="5"/>
  <c r="M420" i="5"/>
  <c r="O385" i="5"/>
  <c r="O420" i="5" s="1"/>
  <c r="O414" i="5"/>
  <c r="O419" i="5"/>
  <c r="O436" i="5"/>
  <c r="O540" i="5"/>
  <c r="K29" i="6"/>
  <c r="K142" i="6"/>
  <c r="O158" i="4"/>
  <c r="O169" i="4" s="1"/>
  <c r="I606" i="5"/>
  <c r="K167" i="5"/>
  <c r="O89" i="5"/>
  <c r="O94" i="5"/>
  <c r="O149" i="5"/>
  <c r="O190" i="5"/>
  <c r="M299" i="5"/>
  <c r="O236" i="5"/>
  <c r="O299" i="5" s="1"/>
  <c r="O241" i="5"/>
  <c r="O272" i="5"/>
  <c r="O277" i="5"/>
  <c r="O325" i="5"/>
  <c r="O330" i="5"/>
  <c r="O361" i="5"/>
  <c r="O366" i="5"/>
  <c r="O431" i="5"/>
  <c r="K511" i="5"/>
  <c r="O508" i="5"/>
  <c r="O523" i="5"/>
  <c r="O524" i="5" s="1"/>
  <c r="O535" i="5"/>
  <c r="O600" i="5"/>
  <c r="O23" i="6"/>
  <c r="O29" i="6" s="1"/>
  <c r="I96" i="6"/>
  <c r="O125" i="6"/>
  <c r="O142" i="6"/>
  <c r="I155" i="6"/>
  <c r="O30" i="6"/>
  <c r="O44" i="6" s="1"/>
  <c r="O64" i="6"/>
  <c r="O80" i="6" s="1"/>
  <c r="O98" i="6"/>
  <c r="O112" i="6" s="1"/>
  <c r="M142" i="6"/>
  <c r="I167" i="6"/>
  <c r="K167" i="6"/>
  <c r="O113" i="6"/>
  <c r="M167" i="6"/>
  <c r="O14" i="7"/>
  <c r="O167" i="6" l="1"/>
  <c r="O180" i="4"/>
  <c r="O89" i="4"/>
  <c r="O167" i="5"/>
  <c r="O511" i="5"/>
  <c r="O67" i="5"/>
  <c r="O127" i="6"/>
  <c r="O173" i="3"/>
  <c r="O19" i="3"/>
  <c r="O212" i="5"/>
</calcChain>
</file>

<file path=xl/sharedStrings.xml><?xml version="1.0" encoding="utf-8"?>
<sst xmlns="http://schemas.openxmlformats.org/spreadsheetml/2006/main" count="7127" uniqueCount="1584">
  <si>
    <t>화성 청원지구 — 총공사비 (도급액·간접비 포함)</t>
  </si>
  <si>
    <t>【1. 내역서별 요약】</t>
  </si>
  <si>
    <t>① 직접공사비 (재·노·경)</t>
  </si>
  <si>
    <t>구분</t>
  </si>
  <si>
    <t>No</t>
  </si>
  <si>
    <t>내역서</t>
  </si>
  <si>
    <t>재료비</t>
  </si>
  <si>
    <t>노무비</t>
  </si>
  <si>
    <t>경비</t>
  </si>
  <si>
    <t>직접공사비</t>
  </si>
  <si>
    <t>비고</t>
  </si>
  <si>
    <t>회전교차로</t>
  </si>
  <si>
    <t>05</t>
  </si>
  <si>
    <t>05 회전교차로</t>
  </si>
  <si>
    <t>진입도로</t>
  </si>
  <si>
    <t>04</t>
  </si>
  <si>
    <t>04 진입도로</t>
  </si>
  <si>
    <t>토목(조경)</t>
  </si>
  <si>
    <t>01</t>
  </si>
  <si>
    <t>01 토목</t>
  </si>
  <si>
    <t>01 조경</t>
  </si>
  <si>
    <t>푸른조경 내역(순공사비)·토목요율</t>
  </si>
  <si>
    <t>지구단위</t>
  </si>
  <si>
    <t>06</t>
  </si>
  <si>
    <t>06 개발행위</t>
  </si>
  <si>
    <t>폐기물</t>
  </si>
  <si>
    <t>07</t>
  </si>
  <si>
    <t>07 건설폐기물</t>
  </si>
  <si>
    <t>합계</t>
  </si>
  <si>
    <t>★ 01·04~07</t>
  </si>
  <si>
    <t>구분 시트 ★소계 합</t>
  </si>
  <si>
    <t>② 간접비·도급액</t>
  </si>
  <si>
    <t>항목</t>
  </si>
  <si>
    <t>간접노무비</t>
  </si>
  <si>
    <t>순공사원가</t>
  </si>
  <si>
    <t>일반관리비</t>
  </si>
  <si>
    <t>이윤</t>
  </si>
  <si>
    <t>부가세</t>
  </si>
  <si>
    <t>도급액</t>
  </si>
  <si>
    <t>배율</t>
  </si>
  <si>
    <t>【2. 간접비·원가계산 (내역서별 합산)】</t>
  </si>
  <si>
    <t>단계</t>
  </si>
  <si>
    <t>금액(원)</t>
  </si>
  <si>
    <t>산식</t>
  </si>
  <si>
    <t>①</t>
  </si>
  <si>
    <t>재료비+직접노무비+직접경비</t>
  </si>
  <si>
    <t>01·04~07 내역서별 합산</t>
  </si>
  <si>
    <t xml:space="preserve">· 재료비</t>
  </si>
  <si>
    <t xml:space="preserve">· 직접노무비</t>
  </si>
  <si>
    <t xml:space="preserve">· 직접경비</t>
  </si>
  <si>
    <t>②</t>
  </si>
  <si>
    <t>직접노무비 × 19.7%</t>
  </si>
  <si>
    <t>노무비계(직접+간접)</t>
  </si>
  <si>
    <t>③</t>
  </si>
  <si>
    <t>산재보험료</t>
  </si>
  <si>
    <t>노무비계 × 3.56%</t>
  </si>
  <si>
    <t>고용보험료</t>
  </si>
  <si>
    <t>노무비계 × 1.01%</t>
  </si>
  <si>
    <t>국민건강보험료</t>
  </si>
  <si>
    <t>직접노무비 × 3.595%</t>
  </si>
  <si>
    <t>국민연금보험료</t>
  </si>
  <si>
    <t>직접노무비 × 4.75%</t>
  </si>
  <si>
    <t>노인장기요양보험료</t>
  </si>
  <si>
    <t>건강보험료 × 13.14%</t>
  </si>
  <si>
    <t>산업안전보건관리비</t>
  </si>
  <si>
    <t>(재료비+직접노무비) × 2.53% + 기초액 3,300,000원</t>
  </si>
  <si>
    <t>기타경비</t>
  </si>
  <si>
    <t>(재료비+노무비계) × 6.9%</t>
  </si>
  <si>
    <t>건설기계대여대금 지급보증</t>
  </si>
  <si>
    <t>직접공사비 × 0.4% (법정부담금)</t>
  </si>
  <si>
    <t>환경보전비</t>
  </si>
  <si>
    <t>직접공사비 × 0.9%</t>
  </si>
  <si>
    <t>경비계(직접경비+산출경비)</t>
  </si>
  <si>
    <t>⑥</t>
  </si>
  <si>
    <t>재료비+노무비계+경비계</t>
  </si>
  <si>
    <t>⑦</t>
  </si>
  <si>
    <t>순공사원가 × 8% (추정가격 구간)</t>
  </si>
  <si>
    <t>⑧</t>
  </si>
  <si>
    <t>(노무비계+경비계+일반관리비) × 15% (추정가격 구간)</t>
  </si>
  <si>
    <t>⑨</t>
  </si>
  <si>
    <t>이행(준공)보증보험료</t>
  </si>
  <si>
    <t>공급가액(이윤까지) × 0.3% (PF·책임준공)</t>
  </si>
  <si>
    <t>PF·신용 리스크 프리미엄</t>
  </si>
  <si>
    <t>(직접공사비+간접노무비) × 6% (책임준공·미확정)</t>
  </si>
  <si>
    <t>공급가액</t>
  </si>
  <si>
    <t>순공사원가+일반관리비+이윤+PF협의항목</t>
  </si>
  <si>
    <t>부가가치세</t>
  </si>
  <si>
    <t>공급가액 × 10%</t>
  </si>
  <si>
    <t>★</t>
  </si>
  <si>
    <t>도급액(총공사비)</t>
  </si>
  <si>
    <t>공급가액 + 부가세 (직접비의 1.850배·통합)</t>
  </si>
  <si>
    <t>화성 청원지구 — 내역 집계 (01·04~07, 02 전기 제외)</t>
  </si>
  <si>
    <t>공종</t>
  </si>
  <si>
    <t>매칭</t>
  </si>
  <si>
    <t>전체</t>
  </si>
  <si>
    <t>매칭률</t>
  </si>
  <si>
    <t>합계(억)</t>
  </si>
  <si>
    <t>9. 산업안전보건관리비</t>
  </si>
  <si>
    <t>1. 토 공</t>
  </si>
  <si>
    <t>2. 우 수 공</t>
  </si>
  <si>
    <t>3. 포 장 공</t>
  </si>
  <si>
    <t>4. 구조물공</t>
  </si>
  <si>
    <t>5. 부 대 공</t>
  </si>
  <si>
    <t>가). 중기운반비</t>
  </si>
  <si>
    <t>▣ 품질관리비</t>
  </si>
  <si>
    <t>★ 05 회전교차로 소계</t>
  </si>
  <si>
    <t>★ 회전교차로 소계</t>
  </si>
  <si>
    <t>3. 상 수 공</t>
  </si>
  <si>
    <t>4. 포 장 공</t>
  </si>
  <si>
    <t>5. 구조물공</t>
  </si>
  <si>
    <t>6. 부 대 공</t>
  </si>
  <si>
    <t>★ 04 진입도로 소계</t>
  </si>
  <si>
    <t>★ 진입도로 소계</t>
  </si>
  <si>
    <t>3. 오 수 공</t>
  </si>
  <si>
    <t>4. 상 수 공</t>
  </si>
  <si>
    <t>5. 포 장 공</t>
  </si>
  <si>
    <t>6. 구조물공</t>
  </si>
  <si>
    <t>7. 부 대 공</t>
  </si>
  <si>
    <t>8. 하수처리장</t>
  </si>
  <si>
    <t>9. 지하저류조</t>
  </si>
  <si>
    <t>★ 01 토목 소계</t>
  </si>
  <si>
    <t>10. 조 경 공</t>
  </si>
  <si>
    <t>★ 01 조경 소계</t>
  </si>
  <si>
    <t>★ 토목(조경) 소계</t>
  </si>
  <si>
    <t>2. A1</t>
  </si>
  <si>
    <t>3. A2</t>
  </si>
  <si>
    <t>4. A3</t>
  </si>
  <si>
    <t>5. A4</t>
  </si>
  <si>
    <t>6. A5</t>
  </si>
  <si>
    <t>7. B1</t>
  </si>
  <si>
    <t>8. B2</t>
  </si>
  <si>
    <t>9. 지원시설</t>
  </si>
  <si>
    <t>10. 주차장</t>
  </si>
  <si>
    <t>★ 06 개발행위 소계</t>
  </si>
  <si>
    <t>★ 지구단위 소계</t>
  </si>
  <si>
    <t>1). 폐기물운반</t>
  </si>
  <si>
    <t>1). 폐콘크리트 처리비</t>
  </si>
  <si>
    <t>★ 07 건설폐기물 소계</t>
  </si>
  <si>
    <t>★ 폐기물 소계</t>
  </si>
  <si>
    <t>01·04~07</t>
  </si>
  <si>
    <t>★ 전체</t>
  </si>
  <si>
    <t>화성 청원지구 — 회전교차로</t>
  </si>
  <si>
    <t>★ 회전교차로 합계</t>
  </si>
  <si>
    <t>◆ 회전교차로 — 내역 일괄</t>
  </si>
  <si>
    <t>공종명</t>
  </si>
  <si>
    <t>규격</t>
  </si>
  <si>
    <t>수량</t>
  </si>
  <si>
    <t>단위</t>
  </si>
  <si>
    <t>재료단가</t>
  </si>
  <si>
    <t>재료금액</t>
  </si>
  <si>
    <t>노무단가</t>
  </si>
  <si>
    <t>노무금액</t>
  </si>
  <si>
    <t>경비단가</t>
  </si>
  <si>
    <t>경비금액</t>
  </si>
  <si>
    <t>합계단가</t>
  </si>
  <si>
    <t>합계금액</t>
  </si>
  <si>
    <t>상태</t>
  </si>
  <si>
    <t>10. 안전관리비</t>
  </si>
  <si>
    <t>P.S</t>
  </si>
  <si>
    <t>미매칭</t>
  </si>
  <si>
    <t>안전관리비</t>
  </si>
  <si>
    <t>★ 9. 산업안전보건관리비 소계</t>
  </si>
  <si>
    <t>1건</t>
  </si>
  <si>
    <t>1). 노상준비공</t>
  </si>
  <si>
    <t>깍기부</t>
  </si>
  <si>
    <t>m2</t>
  </si>
  <si>
    <t>1). 법면보호공</t>
  </si>
  <si>
    <t>잔디붙임(줄떼)</t>
  </si>
  <si>
    <t>㎡</t>
  </si>
  <si>
    <t>나). 흙깍기(토사)</t>
  </si>
  <si>
    <t>굴삭기1.0㎥</t>
  </si>
  <si>
    <t>㎥</t>
  </si>
  <si>
    <t>토사</t>
  </si>
  <si>
    <t>1). 터파기(토사)</t>
  </si>
  <si>
    <t>TYPE-1, 굴착기1.0, 기계100%</t>
  </si>
  <si>
    <t>가). 흙쌓기</t>
  </si>
  <si>
    <t>노상, 두께20cm, 다짐도95%이상</t>
  </si>
  <si>
    <t>노체, 두께30cm, 다짐도90%이상</t>
  </si>
  <si>
    <t>1). 층따기</t>
  </si>
  <si>
    <t>m3</t>
  </si>
  <si>
    <t>가). 토사</t>
  </si>
  <si>
    <t>하천 CUA31704000S 치환토(되메우기·교체) — 현재 후보 유지·현장 흙질 확인</t>
  </si>
  <si>
    <t>가). 흙운반(토사)</t>
  </si>
  <si>
    <t>불도저 32톤, L=44.9m</t>
  </si>
  <si>
    <t>가). 흙 운반(토사)(지구내)</t>
  </si>
  <si>
    <t>굴삭기1.0㎥+덤프24톤, L=0.076Km</t>
  </si>
  <si>
    <t>1). 목재규준틀</t>
  </si>
  <si>
    <t>비탈규준틀</t>
  </si>
  <si>
    <t>개</t>
  </si>
  <si>
    <t>하천 CUA31301000S · 품셈 목재규준틀(비탈)</t>
  </si>
  <si>
    <t>2). 목재규준틀</t>
  </si>
  <si>
    <t>수평규준틀</t>
  </si>
  <si>
    <t>하천 CUA31302000S · 품셈 목재규준틀(수평)</t>
  </si>
  <si>
    <t>가). 구조물헐기(철근)</t>
  </si>
  <si>
    <t>대형30CM미만</t>
  </si>
  <si>
    <t>철근</t>
  </si>
  <si>
    <t>나). 구조물헐기(무근)</t>
  </si>
  <si>
    <t>무근</t>
  </si>
  <si>
    <t>다). 포장절단/아스팔트</t>
  </si>
  <si>
    <t>m</t>
  </si>
  <si>
    <t>라). 포장절단/콘크리트</t>
  </si>
  <si>
    <t>마). 아스팔트포장깨기</t>
  </si>
  <si>
    <t>T=30cm 미만</t>
  </si>
  <si>
    <t>바). 콘크리트포장깨기</t>
  </si>
  <si>
    <t>사). 가드레일철거</t>
  </si>
  <si>
    <t>설치품의 30%</t>
  </si>
  <si>
    <t>내역 규격「설치품의 30%」· CTH80401010S 설치 5,292원/m × 30% = 1,588원/m · 설치 단가 대비 철거 관행</t>
  </si>
  <si>
    <t>가). 폐기물상차</t>
  </si>
  <si>
    <t>굴삭기 0.7㎥</t>
  </si>
  <si>
    <t>오매칭 CUS30201010S(가물막이 / 굴착,적사,운반) 제외 · 표준시장단가 CDS101201500 흙운반 직상차(덤프15t) — 굴삭기0.7㎥ 상차 공정 대용 · 운반·처리비 별도</t>
  </si>
  <si>
    <t>★ 1. 토 공 소계</t>
  </si>
  <si>
    <t>21건</t>
  </si>
  <si>
    <t>(1). 터파기(토사)</t>
  </si>
  <si>
    <t>TYPE-1, 백호1.0, 기계100%</t>
  </si>
  <si>
    <t>1</t>
  </si>
  <si>
    <t>가). 되메우기및다짐(토사)</t>
  </si>
  <si>
    <t>백호0.7+플레이트콤펙터1.5ton</t>
  </si>
  <si>
    <t>가). 되메우기및다짐</t>
  </si>
  <si>
    <t>가). 잔토처리(토사)</t>
  </si>
  <si>
    <t>기계</t>
  </si>
  <si>
    <t>가). 원심력철근콘크리트관 접합및부설(소켓식)</t>
  </si>
  <si>
    <t>Ø 250mm, 시공조건 B</t>
  </si>
  <si>
    <t>소켓식</t>
  </si>
  <si>
    <t>다). 원심력철근콘크리트관 접합및부설(소켓식)</t>
  </si>
  <si>
    <t>Ø 600mm, 시공조건 B</t>
  </si>
  <si>
    <t>(1) 콘크리트타설</t>
  </si>
  <si>
    <t>장비사용, 무근구조물</t>
  </si>
  <si>
    <t>콘크리트타설</t>
  </si>
  <si>
    <t>(2) 거푸집</t>
  </si>
  <si>
    <t>합판6회(간단)</t>
  </si>
  <si>
    <t>거푸집</t>
  </si>
  <si>
    <t>가). 하수관 천공 및 접합</t>
  </si>
  <si>
    <t>D600X250</t>
  </si>
  <si>
    <t>개소</t>
  </si>
  <si>
    <t>접합</t>
  </si>
  <si>
    <t>가). 원심력철근콘크리트관 절단</t>
  </si>
  <si>
    <t>Ø 250 MM</t>
  </si>
  <si>
    <t>나). 원심력철근콘크리트관 절단</t>
  </si>
  <si>
    <t>Ø 600 MM</t>
  </si>
  <si>
    <t>가). 관로경고용테이프</t>
  </si>
  <si>
    <t>200mmx1m</t>
  </si>
  <si>
    <t>오매칭(점수0.50, 표지판/PVC관) 제외 · 지중 매설 PE 경고테이프 200mm 자재 약100원/m + 되메우기 중 부설 노무 약200원/m = 300원/m(보수적·검증 권장)</t>
  </si>
  <si>
    <t>가). 우수 원형2호 맨홀</t>
  </si>
  <si>
    <t>D1200, H=1.7m, 차도</t>
  </si>
  <si>
    <t>D1200</t>
  </si>
  <si>
    <t>가). 무수축몰탈</t>
  </si>
  <si>
    <t>1:1, 자재비별산</t>
  </si>
  <si>
    <t>가영현</t>
  </si>
  <si>
    <t>1:1</t>
  </si>
  <si>
    <t>가). 1호 우수받이</t>
  </si>
  <si>
    <t>0.3×0.4×0.9m, 스틸그레이팅포함</t>
  </si>
  <si>
    <t>오매칭(점수0.49, 스틸 방음문) 제외 · 1호 우수받이(0.3×0.4×0.9m 스틸) 강재 받이틀+스틸그레이팅 자재 약150,000 + 설치 약50,000(조경일위 PE빗물받이 설치 50,124 준용) = 200,000원/개소(검증 권장)</t>
  </si>
  <si>
    <t>1). 벤치플륨관</t>
  </si>
  <si>
    <t>1000x1000</t>
  </si>
  <si>
    <t>1). 콘크리트타설</t>
  </si>
  <si>
    <t>장비사용, 철근구조물</t>
  </si>
  <si>
    <t>장비사용</t>
  </si>
  <si>
    <t>2). 콘크리트타설</t>
  </si>
  <si>
    <t>3). 철근가공조립(현장)</t>
  </si>
  <si>
    <t>TYPE-1-1</t>
  </si>
  <si>
    <t>ton</t>
  </si>
  <si>
    <t>현장</t>
  </si>
  <si>
    <t>4). 거푸집</t>
  </si>
  <si>
    <t>합판4회(보통)</t>
  </si>
  <si>
    <t>5). 거푸집</t>
  </si>
  <si>
    <t>현재 매칭 CUA31502000S — 품명 일치·점수 0.71</t>
  </si>
  <si>
    <t>6). 스페이셔설치</t>
  </si>
  <si>
    <t>수직</t>
  </si>
  <si>
    <t>7). 스페이셔설치</t>
  </si>
  <si>
    <t>수평</t>
  </si>
  <si>
    <t>8). 신축이음(Joint filler)</t>
  </si>
  <si>
    <t>t=20mm</t>
  </si>
  <si>
    <t>9). DOWEL BAR(옹벽용)</t>
  </si>
  <si>
    <t>Ø32×800(기성품)</t>
  </si>
  <si>
    <t>ea</t>
  </si>
  <si>
    <t>옹벽용</t>
  </si>
  <si>
    <t>15). 실링마감(실런트)</t>
  </si>
  <si>
    <t>20×25</t>
  </si>
  <si>
    <t>실런트</t>
  </si>
  <si>
    <t>16). 기초지정</t>
  </si>
  <si>
    <t>잡석지정, 재료비 제외</t>
  </si>
  <si>
    <t>가). 철근운반비</t>
  </si>
  <si>
    <t>L=10km이내</t>
  </si>
  <si>
    <t>Ton</t>
  </si>
  <si>
    <t>L=10km이내, ... 가). 철근운반비</t>
  </si>
  <si>
    <t>나). 고철(고재)</t>
  </si>
  <si>
    <t>중량A</t>
  </si>
  <si>
    <t>중량A, 고재, ... 나). 고철</t>
  </si>
  <si>
    <t>가). 보통시멘트</t>
  </si>
  <si>
    <t>40kg/대 (포장품)</t>
  </si>
  <si>
    <t>대</t>
  </si>
  <si>
    <t>40kg/대 (포장품), 포장품, ... 가). 보통시멘트, 40kg, 대 (포장품)</t>
  </si>
  <si>
    <t>나). 시멘트운반</t>
  </si>
  <si>
    <t>L=30km이내</t>
  </si>
  <si>
    <t>L=30km이내, ... 나). 시멘트운반</t>
  </si>
  <si>
    <t>가). 모래</t>
  </si>
  <si>
    <t>강모래, 현장도착도</t>
  </si>
  <si>
    <t>표준DB CVL40103000S (점수0.51) / 대안: 모래 운반(0.51) · 현장비빔타설(0.46)</t>
  </si>
  <si>
    <t>나). 잡석</t>
  </si>
  <si>
    <t>Φ150mm이하, 현장도착도</t>
  </si>
  <si>
    <t>표준DB 4. 조경 유지관리 외 (점수0.56) / 대안: 뒷채움 잡석(0.50) · 터파기(육상, 1m이하)(0.49)</t>
  </si>
  <si>
    <t>가). 레미콘</t>
  </si>
  <si>
    <t>25-21- 8(Mpa)</t>
  </si>
  <si>
    <t>DB CUG30401000S (0.72, 레미콘타설) / 대안: 레미콘타설(0.72) · 레미콘타설(0.72)</t>
  </si>
  <si>
    <t>나). 레미콘</t>
  </si>
  <si>
    <t>25-18-8(Mpa)</t>
  </si>
  <si>
    <t>표준DB CUG30401000S (점수0.55) / 대안: 레미콘타설(0.55) · 레미콘타설(0.55)</t>
  </si>
  <si>
    <t>다). 레미콘</t>
  </si>
  <si>
    <t>25-24-12(Mpa)</t>
  </si>
  <si>
    <t>가). 원심력철근콘크리트관(보통2종)</t>
  </si>
  <si>
    <t>250㎜ (소켓식,B형)</t>
  </si>
  <si>
    <t>m</t>
  </si>
  <si>
    <t>나). 원심력철근콘크리트관(보통2종)</t>
  </si>
  <si>
    <t>600㎜ (소켓식,B형)</t>
  </si>
  <si>
    <t>다). 흄관하차비</t>
  </si>
  <si>
    <t>Ø 250 MM - 차상도</t>
  </si>
  <si>
    <t>본</t>
  </si>
  <si>
    <t>오매칭(점수0.46) 제외 · 흄관 하차는 직경·중량 비례 → Ø250mm 크레인 상하차 추정 2,000원/본(장비경비, 검증 권장)</t>
  </si>
  <si>
    <t>라). 흄관하차비</t>
  </si>
  <si>
    <t>Ø 600 MM - 차상도</t>
  </si>
  <si>
    <t>오매칭(점수0.46) 제외 · 흄관 하차는 직경·중량 비례 → Ø600mm 크레인 상하차 추정 5,000원/본(장비경비, 검증 권장)</t>
  </si>
  <si>
    <t>가). 맨홀뚜껑(주철제)</t>
  </si>
  <si>
    <t>Φ648KS, 하수도용(잠금식)</t>
  </si>
  <si>
    <t>조</t>
  </si>
  <si>
    <t>주철제</t>
  </si>
  <si>
    <t>라). 이형철근(고장력철근)</t>
  </si>
  <si>
    <t>HD13M/M 0.995KG/M SD40</t>
  </si>
  <si>
    <t>TON</t>
  </si>
  <si>
    <t>라). 이형철근</t>
  </si>
  <si>
    <t>사). 이형철근(고장력철근)</t>
  </si>
  <si>
    <t>HD25M/M 3.980KG/M SD40</t>
  </si>
  <si>
    <t>사). 이형철근</t>
  </si>
  <si>
    <t>★ 2. 우 수 공 소계</t>
  </si>
  <si>
    <t>42건</t>
  </si>
  <si>
    <t>1). 아스팔트 표층 기계포설(대형장비)</t>
  </si>
  <si>
    <t>3.0m≤B, T=5cm</t>
  </si>
  <si>
    <t>대형장비</t>
  </si>
  <si>
    <t>2). 아스팔트 중간층 기계포설(대형장비)</t>
  </si>
  <si>
    <t>3). 아스팔트 기층 기계포설(대형장비)</t>
  </si>
  <si>
    <t>3.0m≤B, T=15cm, 2회</t>
  </si>
  <si>
    <t>4). 텍코팅(기계식)</t>
  </si>
  <si>
    <t>RSC-4:45ℓ/a, 2회</t>
  </si>
  <si>
    <t>4). 텍코팅</t>
  </si>
  <si>
    <t>5). 텍코팅(기계식)</t>
  </si>
  <si>
    <t>RSC-4:45ℓ/a</t>
  </si>
  <si>
    <t>5). 텍코팅</t>
  </si>
  <si>
    <t>6). 프라임코팅(기계식)</t>
  </si>
  <si>
    <t>RSC-3:150ℓ/a</t>
  </si>
  <si>
    <t>6). 프라임코팅</t>
  </si>
  <si>
    <t>7). 보조기층(기계시공)</t>
  </si>
  <si>
    <t>본선포장, T=20cm</t>
  </si>
  <si>
    <t>기계시공</t>
  </si>
  <si>
    <t>가). 보도용블럭포장(소형)</t>
  </si>
  <si>
    <t>A-TYPE, T=8㎝이하</t>
  </si>
  <si>
    <t>소형</t>
  </si>
  <si>
    <t>나). 보조기층(인력식)</t>
  </si>
  <si>
    <t>소규모장비</t>
  </si>
  <si>
    <t>가). 보도용블럭포장(유도블록)</t>
  </si>
  <si>
    <t>A-TYPE, T=6㎝이하</t>
  </si>
  <si>
    <t>A-TYPE</t>
  </si>
  <si>
    <t>나). 보도용블럭포장(점자블록)</t>
  </si>
  <si>
    <t>다). 보조기층(인력식)</t>
  </si>
  <si>
    <t>T=10cm, 소규모장비</t>
  </si>
  <si>
    <t>인력식</t>
  </si>
  <si>
    <t>1). 미끄럼방지공</t>
  </si>
  <si>
    <t>전면식</t>
  </si>
  <si>
    <t>가). 보차도경계석 설치</t>
  </si>
  <si>
    <t>180×200×1000, A-TYPE(직선구간)</t>
  </si>
  <si>
    <t>직선구간</t>
  </si>
  <si>
    <t>나). 보차도경계석 설치(경사)</t>
  </si>
  <si>
    <t>180×200~100×1000, A-TYPE(곡선구간)</t>
  </si>
  <si>
    <t>곡선구간</t>
  </si>
  <si>
    <t>다). 보차도경계석 설치(낮춤)</t>
  </si>
  <si>
    <t>180×100×1000, A-TYPE(곡선구간)</t>
  </si>
  <si>
    <t>가). 도로경계석 설치</t>
  </si>
  <si>
    <t>120×120×1000, A-TYPE(직선구간)</t>
  </si>
  <si>
    <t>1). 아스팔트절삭및덧씌우기</t>
  </si>
  <si>
    <t>덧씌우기</t>
  </si>
  <si>
    <t>가). 교통안전표지판(삼각)</t>
  </si>
  <si>
    <t>1변 900 MM</t>
  </si>
  <si>
    <t>삼각</t>
  </si>
  <si>
    <t>나). 교통안전표지판(오각)(횡단보도)</t>
  </si>
  <si>
    <t>600×200×600mm, 횡단보도</t>
  </si>
  <si>
    <t>오각</t>
  </si>
  <si>
    <t>다). 교통안전표지판(원형)</t>
  </si>
  <si>
    <t>속도제한</t>
  </si>
  <si>
    <t>원형</t>
  </si>
  <si>
    <t>가). 차선도색(페인트,기계식),신설구간</t>
  </si>
  <si>
    <t>백색-실선</t>
  </si>
  <si>
    <t>페인트</t>
  </si>
  <si>
    <t>나). 차선도색(페인트,기계식),신설구간</t>
  </si>
  <si>
    <t>백색-파선</t>
  </si>
  <si>
    <t>다). 차선도색(페인트,기계식),신설구간</t>
  </si>
  <si>
    <t>황색-실선</t>
  </si>
  <si>
    <t>라). 차선도색(페인트,기계식),신설구간</t>
  </si>
  <si>
    <t>황색-파선</t>
  </si>
  <si>
    <t>마). 차선도색(융착식,수동식),신설구간</t>
  </si>
  <si>
    <t>횡단보도,주차장</t>
  </si>
  <si>
    <t>융착식</t>
  </si>
  <si>
    <t>바). 차선도색(융착식,수동식),신설구간</t>
  </si>
  <si>
    <t>문자,기호</t>
  </si>
  <si>
    <t>사). 차선도색(차로밑그림),신설구간</t>
  </si>
  <si>
    <t>실선</t>
  </si>
  <si>
    <t>사). 차선도색</t>
  </si>
  <si>
    <t>아). 차선도색(차로밑그림),신설구간</t>
  </si>
  <si>
    <t>파선</t>
  </si>
  <si>
    <t>아). 차선도색</t>
  </si>
  <si>
    <t>자). 차선도색(차로밑그림),신설구간</t>
  </si>
  <si>
    <t>횡단보도</t>
  </si>
  <si>
    <t>차). 차선도색(차로밑그림),신설구간</t>
  </si>
  <si>
    <t>가). 도로표지병설치</t>
  </si>
  <si>
    <t>양면</t>
  </si>
  <si>
    <t>나). 탄성볼라드</t>
  </si>
  <si>
    <t>Ø130×1,050mm</t>
  </si>
  <si>
    <t>다). 시멘트운반</t>
  </si>
  <si>
    <t>L=30km이내, ... 다). 시멘트운반</t>
  </si>
  <si>
    <t>가). 철제가드레일</t>
  </si>
  <si>
    <t>W3000*H910</t>
  </si>
  <si>
    <t>경간</t>
  </si>
  <si>
    <t>W3000*H910, ... 가). 철제가드레일</t>
  </si>
  <si>
    <t>가). 디자인형울타리</t>
  </si>
  <si>
    <t>W2000xH1000</t>
  </si>
  <si>
    <t>W2000xH1000, ... 가). 디자인형울타리</t>
  </si>
  <si>
    <t>1). 레미콘</t>
  </si>
  <si>
    <t>2). 레미콘</t>
  </si>
  <si>
    <t>25-18- 8(Mpa)</t>
  </si>
  <si>
    <t>3). 보통시멘트</t>
  </si>
  <si>
    <t>40kg/대 (포장품), 포장품, .. 3). 보통시멘트, 40kg, 대 (포장품)</t>
  </si>
  <si>
    <t>4). 모래</t>
  </si>
  <si>
    <t>5). 혼합골재(보조기층용)</t>
  </si>
  <si>
    <t>Φ40mm, 현장도착도</t>
  </si>
  <si>
    <t>보조기층용</t>
  </si>
  <si>
    <t>6). 아스팔트(유제)</t>
  </si>
  <si>
    <t>RS(C)-3 (200ℓ)</t>
  </si>
  <si>
    <t>D/M</t>
  </si>
  <si>
    <t>6). 아스팔트</t>
  </si>
  <si>
    <t>7). 아스팔트(유제)</t>
  </si>
  <si>
    <t>RS(C)-4 (200ℓ)</t>
  </si>
  <si>
    <t>7). 아스팔트</t>
  </si>
  <si>
    <t>8). 아스팔트콘크리트</t>
  </si>
  <si>
    <t>#78 표층용</t>
  </si>
  <si>
    <t>#78 표층용, .. 8). 아스팔트콘크리트</t>
  </si>
  <si>
    <t>9). 아스팔트콘크리트</t>
  </si>
  <si>
    <t>#67 중간층용</t>
  </si>
  <si>
    <t>#67 중간층용, .. 9). 아스팔트콘크리트</t>
  </si>
  <si>
    <t>10). 아스팔트콘크리트</t>
  </si>
  <si>
    <t>#467 기층용</t>
  </si>
  <si>
    <t>#467 기층용, .. 10). 아스팔트콘크리트</t>
  </si>
  <si>
    <t>11). 보차도경계석(화강석)</t>
  </si>
  <si>
    <t>180x200x1000㎜ (직선)</t>
  </si>
  <si>
    <t>직선</t>
  </si>
  <si>
    <t>12). 횡단보도경계석(화강석)(경사)</t>
  </si>
  <si>
    <t>180x200∼100x1000㎜ (곡선경사)</t>
  </si>
  <si>
    <t>12). 횡단보도경계석</t>
  </si>
  <si>
    <t>13). 횡단보도경계석(화강석)(낮춤)</t>
  </si>
  <si>
    <t>180x100x1000㎜ (곡선)</t>
  </si>
  <si>
    <t>곡선</t>
  </si>
  <si>
    <t>14). 도로경계석(화강석)</t>
  </si>
  <si>
    <t>120x120x1000㎜ (직선), 국산</t>
  </si>
  <si>
    <t>15). 보도블록(인조화강)</t>
  </si>
  <si>
    <t>200x200x60, 투수</t>
  </si>
  <si>
    <t>투수</t>
  </si>
  <si>
    <t>16). 장애인용보도 선형블록</t>
  </si>
  <si>
    <t>300x300x60, 고강도, 논슬립</t>
  </si>
  <si>
    <t>오매칭(점수0.48, 고무타일 ㎡단가) 제외 · 표준시장단가 CLG802100810 시각장애인용 점자블록 포장 12,112원/㎡ × 0.09㎡/개(300×300) = 1,090원/개(검증 권장)</t>
  </si>
  <si>
    <t>17). 장애인용보도 점형블록</t>
  </si>
  <si>
    <t>★ 3. 포 장 공 소계</t>
  </si>
  <si>
    <t>53건</t>
  </si>
  <si>
    <t>4). 문양거푸집</t>
  </si>
  <si>
    <t>판넬</t>
  </si>
  <si>
    <t>오매칭 AOJ445001000(AL SHEET판넬(3t,불소코팅) → DB CED405010000 (0.70, 문양거푸집) / 대안: AL SHEET판넬(3t,(0.70) · AL SHEET판넬(3t,(0.70)</t>
  </si>
  <si>
    <t>6). 거푸집</t>
  </si>
  <si>
    <t>7). 강관비계</t>
  </si>
  <si>
    <t>10m이하-3개월사용</t>
  </si>
  <si>
    <t>8). 스페이셔설치</t>
  </si>
  <si>
    <t>9). 스페이셔설치</t>
  </si>
  <si>
    <t>10). PVC관 부설 및 접합</t>
  </si>
  <si>
    <t>Ø 100 MM - VG2 일반관</t>
  </si>
  <si>
    <t>11). 드레인보드 설치</t>
  </si>
  <si>
    <t>옹벽 배수용</t>
  </si>
  <si>
    <t>12). 부직포설치</t>
  </si>
  <si>
    <t>13). 신축이음(Joint filler)</t>
  </si>
  <si>
    <t>14). DOWEL BAR(옹벽용)</t>
  </si>
  <si>
    <t>25-21-8(Mpa)</t>
  </si>
  <si>
    <t>다). 잡석</t>
  </si>
  <si>
    <t>Φ80mm이하, 현장도착도</t>
  </si>
  <si>
    <t>표준DB 4. 조경 유지관리 외 (점수0.53) / 대안: 천단잡석부설(0.48) · 뒷채움 잡석(0.47)</t>
  </si>
  <si>
    <t>마). 이형철근(고장력철근)</t>
  </si>
  <si>
    <t>HD16M/M 1.560KG/M SD40</t>
  </si>
  <si>
    <t>마). 이형철근</t>
  </si>
  <si>
    <t>★ 4. 구조물공 소계</t>
  </si>
  <si>
    <t>23건</t>
  </si>
  <si>
    <t>가). 터파기(토사)</t>
  </si>
  <si>
    <t>인력100%</t>
  </si>
  <si>
    <t>기계100%</t>
  </si>
  <si>
    <t>★ 5. 부 대 공 소계</t>
  </si>
  <si>
    <t>3건</t>
  </si>
  <si>
    <t>▣ 안전관리비</t>
  </si>
  <si>
    <t>1). 안전관리계획작성 및 검토비</t>
  </si>
  <si>
    <t>1). 안전관리계획작성 및 검토비, .. 1). 안전관리계획작성, 검토비</t>
  </si>
  <si>
    <t>2). 안전점검비</t>
  </si>
  <si>
    <t>★ ... 가). 중기운반비 소계</t>
  </si>
  <si>
    <t>1). 품질시험</t>
  </si>
  <si>
    <t>sum</t>
  </si>
  <si>
    <t>★ ▣ 품질관리비 소계</t>
  </si>
  <si>
    <t>★ 회전교차로 내역 합계</t>
  </si>
  <si>
    <t>No&lt;&gt;인 행 합산</t>
  </si>
  <si>
    <t>화성 청원지구 — 진입도로</t>
  </si>
  <si>
    <t>★ 진입도로 합계</t>
  </si>
  <si>
    <t>◆ 진입도로 — 내역 일괄</t>
  </si>
  <si>
    <t>불도저 32톤, L=39.8m</t>
  </si>
  <si>
    <t>굴삭기1.0㎥+덤프24톤, L=0.090Km</t>
  </si>
  <si>
    <t>라). 아스팔트포장깨기</t>
  </si>
  <si>
    <t>마). 콘크리트포장깨기</t>
  </si>
  <si>
    <t>19건</t>
  </si>
  <si>
    <t>가). PC BOX</t>
  </si>
  <si>
    <t>1@2.0X1.5, 토피 H=1.0m이하</t>
  </si>
  <si>
    <t>가). 콘크리트타설</t>
  </si>
  <si>
    <t>나). 거푸집</t>
  </si>
  <si>
    <t>28건</t>
  </si>
  <si>
    <t>기계70%+인력30%, 보통토사</t>
  </si>
  <si>
    <t>가). 되메우기 및 다짐(토사)</t>
  </si>
  <si>
    <t>기계90%,인력10%,래머 80KG</t>
  </si>
  <si>
    <t>가). 되메우기 및 다짐</t>
  </si>
  <si>
    <t>가). 주철관 부설 및 접합(KP접합)</t>
  </si>
  <si>
    <t>D100mm, 시공조건 B</t>
  </si>
  <si>
    <t>표준시장단가 CGB202001010 직접 / 표준시장단가 주철관 부설(CGB) — 시공조건 A/B/C</t>
  </si>
  <si>
    <t>가). 주철 이형관 접합(KP접합)</t>
  </si>
  <si>
    <t>D100mm</t>
  </si>
  <si>
    <t>나). 주철 이형관 접합(이탈방지압륜)</t>
  </si>
  <si>
    <t>이탈방지압륜</t>
  </si>
  <si>
    <t>가). 플랜지 접합</t>
  </si>
  <si>
    <t>가). 주철관 절단</t>
  </si>
  <si>
    <t>가). 제수변 접합 및 부설</t>
  </si>
  <si>
    <t>100㎜</t>
  </si>
  <si>
    <t>부설</t>
  </si>
  <si>
    <t>가). 제수변실</t>
  </si>
  <si>
    <t>2.50×2.00</t>
  </si>
  <si>
    <t>2.50×2.00, ... 가). 제수변실</t>
  </si>
  <si>
    <t>나). 원형제수변실(D100mm)</t>
  </si>
  <si>
    <t>D800, 흄관</t>
  </si>
  <si>
    <t>흄관</t>
  </si>
  <si>
    <t>(1). 제수변보호통설치</t>
  </si>
  <si>
    <t>가). 수도용닥타일주철관(직관)</t>
  </si>
  <si>
    <t>100㎜ x 5m (KP시멘트,2종)</t>
  </si>
  <si>
    <t>가). 수도용닥타일주철관</t>
  </si>
  <si>
    <t>다). 수도용닥타일이형관</t>
  </si>
  <si>
    <t>시멘트라이닝</t>
  </si>
  <si>
    <t>kg</t>
  </si>
  <si>
    <t>표준DB 물가정보 (점수0.47) / 대안: 아스팔트(0.45) · 아스팔트(0.45)</t>
  </si>
  <si>
    <t>라). 주철관운반비</t>
  </si>
  <si>
    <t>공장---&gt;현장, L=160KM</t>
  </si>
  <si>
    <t>공장---&gt;현장, L=160KM, ... 라). 주철관운반비, 공장---&gt;현장, L=160KM</t>
  </si>
  <si>
    <t>가). 소프트실제수밸브</t>
  </si>
  <si>
    <t>Φ648x250, KS, 상수도용</t>
  </si>
  <si>
    <t>★ 3. 상 수 공 소계</t>
  </si>
  <si>
    <t>3.0m≤B, T=10cm</t>
  </si>
  <si>
    <t>2). 텍코팅(기계식)</t>
  </si>
  <si>
    <t>2). 텍코팅</t>
  </si>
  <si>
    <t>3). 차선도색(융착식,수동식),신설구간</t>
  </si>
  <si>
    <t>4). 차선도색(융착식,수동식),신설구간</t>
  </si>
  <si>
    <t>5). 차선도색(차로밑그림),신설구간</t>
  </si>
  <si>
    <t>5). 차선도색</t>
  </si>
  <si>
    <t>가). 교통안전표지판(삼각)(과속방지턱)</t>
  </si>
  <si>
    <t>다). 차선도색(융착식,수동식),신설구간</t>
  </si>
  <si>
    <t>라). 차선도색(융착식,수동식),신설구간</t>
  </si>
  <si>
    <t>마). 차선도색(차로밑그림),신설구간</t>
  </si>
  <si>
    <t>마). 차선도색</t>
  </si>
  <si>
    <t>바). 차선도색(차로밑그림),신설구간</t>
  </si>
  <si>
    <t>바). 차선도색</t>
  </si>
  <si>
    <t>나). 도로반사경(1면)</t>
  </si>
  <si>
    <t>Ø 800 mm, STS</t>
  </si>
  <si>
    <t>STS</t>
  </si>
  <si>
    <t>다). 탄성볼라드</t>
  </si>
  <si>
    <t>라). 시멘트운반</t>
  </si>
  <si>
    <t>L=30km이내, ... 라). 시멘트운반</t>
  </si>
  <si>
    <t>★ 4. 포 장 공 소계</t>
  </si>
  <si>
    <t>56건</t>
  </si>
  <si>
    <t>★ 5. 구조물공 소계</t>
  </si>
  <si>
    <t>22건</t>
  </si>
  <si>
    <t>★ 6. 부 대 공 소계</t>
  </si>
  <si>
    <t>★ 진입도로 내역 합계</t>
  </si>
  <si>
    <t>화성 청원지구 — 토목(조경)</t>
  </si>
  <si>
    <t>★ 토목(조경) 합계</t>
  </si>
  <si>
    <t>◆ 토목(조경) — 내역 일괄</t>
  </si>
  <si>
    <t>가). 벌목</t>
  </si>
  <si>
    <t>벌목</t>
  </si>
  <si>
    <t>나). 벌개제근</t>
  </si>
  <si>
    <t>벌개제근</t>
  </si>
  <si>
    <t>가). 임목 운반</t>
  </si>
  <si>
    <t>운반거리 L=83m(현장---&gt;임목파쇄장)</t>
  </si>
  <si>
    <t>수동위탁</t>
  </si>
  <si>
    <t>나). 임목파쇄</t>
  </si>
  <si>
    <t>가지, 잡목류, 354.35kW</t>
  </si>
  <si>
    <t>다). 임목파쇄</t>
  </si>
  <si>
    <t>뿌리류, 354.35kW</t>
  </si>
  <si>
    <t>가). PE천막지</t>
  </si>
  <si>
    <t>PE천막지</t>
  </si>
  <si>
    <t>나). 터파기(토사)</t>
  </si>
  <si>
    <t>다). 되메우기(토사)</t>
  </si>
  <si>
    <t>백호0.7, 기계100%</t>
  </si>
  <si>
    <t>되메우기</t>
  </si>
  <si>
    <t>1). 법면보호공</t>
  </si>
  <si>
    <t>2). 법면보호공</t>
  </si>
  <si>
    <t>잔디붙임(평떼)</t>
  </si>
  <si>
    <t>가).흙깍기(기계,토사)</t>
  </si>
  <si>
    <t>중규모, 보통토사, 불도져 19ton</t>
  </si>
  <si>
    <t>흙깎기</t>
  </si>
  <si>
    <t>나). 흙깍기(토사)</t>
  </si>
  <si>
    <t>가). 흙깍기(리핑암)</t>
  </si>
  <si>
    <t>불도저 32ton + 리퍼</t>
  </si>
  <si>
    <t>가). 땅깍기(암석절취)</t>
  </si>
  <si>
    <t>중규모진동제어발파, 연암</t>
  </si>
  <si>
    <t>일반발파, 보통암</t>
  </si>
  <si>
    <t>가). 발파암 소할</t>
  </si>
  <si>
    <t>30CM이상</t>
  </si>
  <si>
    <t>발파암 소할</t>
  </si>
  <si>
    <t>1). 터파기(토사)</t>
  </si>
  <si>
    <t>가). 흙쌓기(토사)</t>
  </si>
  <si>
    <t>비다짐, 불도저 32톤</t>
  </si>
  <si>
    <t>흙쌓기</t>
  </si>
  <si>
    <t>나). 흙쌓기(풍화암)</t>
  </si>
  <si>
    <t>가). 흙쌓기</t>
  </si>
  <si>
    <t>가). 토사</t>
  </si>
  <si>
    <t>가). 흙운반(토사)</t>
  </si>
  <si>
    <t>불도저 32톤, L=15.2m</t>
  </si>
  <si>
    <t>나). 흙운반(풍화암)</t>
  </si>
  <si>
    <t>불도저 32톤, L=19.7m</t>
  </si>
  <si>
    <t>흙운반</t>
  </si>
  <si>
    <t>가). 흙 운반(토사)(지구내)</t>
  </si>
  <si>
    <t>굴삭기1.0㎥+덤프24톤, L=0.145Km</t>
  </si>
  <si>
    <t>가). 흙 운반(토사)(구조물유용)</t>
  </si>
  <si>
    <t>굴삭기1.0㎥+덤프24톤, L=0.061Km</t>
  </si>
  <si>
    <t>가). 흙 운반(토사)(진입도로)</t>
  </si>
  <si>
    <t>굴삭기1.0㎥+덤프24톤, L=0.234Km</t>
  </si>
  <si>
    <t>나). 흙 운반(토사)(야적장)</t>
  </si>
  <si>
    <t>굴삭기1.0㎥+덤프24톤, L=0.238Km</t>
  </si>
  <si>
    <t>다). 흙운반(풍화암)(야적장)</t>
  </si>
  <si>
    <t>로우더1.72㎥+덤프24톤, L=0.212Km</t>
  </si>
  <si>
    <t>라). 흙운반(연암)(야적장)</t>
  </si>
  <si>
    <t>굴삭기1.0㎥+덤프24톤, L=0.216Km</t>
  </si>
  <si>
    <t>마). 흙운반(보통암)(야적장)</t>
  </si>
  <si>
    <t>굴삭기1.0㎥+덤프24톤, L=0.226Km</t>
  </si>
  <si>
    <t>가). 흙 운반(토사)(지하저류조)</t>
  </si>
  <si>
    <t>굴삭기1.0㎥+덤프24톤, L=0.093Km</t>
  </si>
  <si>
    <t>1). 목재규준틀</t>
  </si>
  <si>
    <t>2). 목재규준틀</t>
  </si>
  <si>
    <t>가). 교목 병해방제</t>
  </si>
  <si>
    <t>회</t>
  </si>
  <si>
    <t>교목 병해방제</t>
  </si>
  <si>
    <t>나). 교목 충해방제</t>
  </si>
  <si>
    <t>교목 충해방제</t>
  </si>
  <si>
    <t>다). 교목관수</t>
  </si>
  <si>
    <t>15회, 인력</t>
  </si>
  <si>
    <t>주</t>
  </si>
  <si>
    <t>인력</t>
  </si>
  <si>
    <t>라). 예초</t>
  </si>
  <si>
    <t>6회, 배부식기계사용</t>
  </si>
  <si>
    <t>100㎡</t>
  </si>
  <si>
    <t>예초</t>
  </si>
  <si>
    <t>가). 나무(이식)(상수리나무)</t>
  </si>
  <si>
    <t>B=27~31cm</t>
  </si>
  <si>
    <t>나무</t>
  </si>
  <si>
    <t>나). 나무(이식)(소나무)</t>
  </si>
  <si>
    <t>B=29cm</t>
  </si>
  <si>
    <t>다). 가로지지대</t>
  </si>
  <si>
    <t>B=20cm</t>
  </si>
  <si>
    <t>B=20cm, 가로지지대</t>
  </si>
  <si>
    <t>가). 구조물헐기(철근)</t>
  </si>
  <si>
    <t>나). 구조물헐기(무근)</t>
  </si>
  <si>
    <t>가). 폐기물상차</t>
  </si>
  <si>
    <t>폐기물상차</t>
  </si>
  <si>
    <t>45건</t>
  </si>
  <si>
    <t>(1). 터파기(토사)</t>
  </si>
  <si>
    <t>(2). 터파기(토사)</t>
  </si>
  <si>
    <t>가). 되메우기및다짐(토사)</t>
  </si>
  <si>
    <t>되메우기및다짐</t>
  </si>
  <si>
    <t>나). 되메우기및다짐(토사)</t>
  </si>
  <si>
    <t>다). 되메우기및다짐(토사)</t>
  </si>
  <si>
    <t>가). 잔토처리(토사)</t>
  </si>
  <si>
    <t>가). 원심력철근콘크리트관 접합및부설(소켓식)</t>
  </si>
  <si>
    <t>나). 원심력철근콘크리트관 접합및부설(소켓식)</t>
  </si>
  <si>
    <t>Ø 450mm, 시공조건 B</t>
  </si>
  <si>
    <t>다). 원심력철근콘크리트관 접합및부설(소켓식)</t>
  </si>
  <si>
    <t>라). 원심력철근콘크리트관 접합및부설(소켓식)</t>
  </si>
  <si>
    <t>Ø 800mm, 시공조건 B</t>
  </si>
  <si>
    <t>마). 원심력철근콘크리트관 접합및부설(소켓식)</t>
  </si>
  <si>
    <t>Ø 900mm, 시공조건 B</t>
  </si>
  <si>
    <t>바). 원심력철근콘크리트관 접합및부설(소켓식)</t>
  </si>
  <si>
    <t>Ø 1000mm, 시공조건 B</t>
  </si>
  <si>
    <t>사). 원심력철근콘크리트관 접합및부설(소켓식)</t>
  </si>
  <si>
    <t>Ø 1200mm, 시공조건 B</t>
  </si>
  <si>
    <t>(1) 콘크리트타설</t>
  </si>
  <si>
    <t>콘크리트타설</t>
  </si>
  <si>
    <t>(2) 거푸집</t>
  </si>
  <si>
    <t>거푸집</t>
  </si>
  <si>
    <t>가). 하수관 천공 및 접합</t>
  </si>
  <si>
    <t>D450X250</t>
  </si>
  <si>
    <t>나). 하수관 천공 및 접합</t>
  </si>
  <si>
    <t>다). 하수관 천공 및 접합</t>
  </si>
  <si>
    <t>D800X250</t>
  </si>
  <si>
    <t>라). 하수관 천공 및 접합</t>
  </si>
  <si>
    <t>D1000X250</t>
  </si>
  <si>
    <t>가). 원심력철근콘크리트관 절단</t>
  </si>
  <si>
    <t>원심력철근콘크리트관 절단</t>
  </si>
  <si>
    <t>나). 원심력철근콘크리트관 절단</t>
  </si>
  <si>
    <t>Ø 450 MM</t>
  </si>
  <si>
    <t>다). 원심력철근콘크리트관 절단</t>
  </si>
  <si>
    <t>라). 원심력철근콘크리트관 절단</t>
  </si>
  <si>
    <t>Ø 800 MM</t>
  </si>
  <si>
    <t>마). 원심력철근콘크리트관 절단</t>
  </si>
  <si>
    <t>Ø 900 MM</t>
  </si>
  <si>
    <t>바). 원심력철근콘크리트관 절단</t>
  </si>
  <si>
    <t>Ø 1000 MM</t>
  </si>
  <si>
    <t>사). 원심력철근콘크리트관 절단</t>
  </si>
  <si>
    <t>Ø 1200 MM</t>
  </si>
  <si>
    <t>가). 하수관내CCTV조사</t>
  </si>
  <si>
    <t>신설(1일:520m)</t>
  </si>
  <si>
    <t>하수관내CCTV조사</t>
  </si>
  <si>
    <t>나). 관로경고용테이프</t>
  </si>
  <si>
    <t>200mmx1m, 관로경고용테이프</t>
  </si>
  <si>
    <t>다). 하수관 준설</t>
  </si>
  <si>
    <t>흡입식</t>
  </si>
  <si>
    <t>가). 우수 원형1호 맨홀</t>
  </si>
  <si>
    <t>D900, H=2.54m, 차도</t>
  </si>
  <si>
    <t>D900</t>
  </si>
  <si>
    <t>나). 우수 원형1호 맨홀</t>
  </si>
  <si>
    <t>D900, H=4.59m, 보도</t>
  </si>
  <si>
    <t>다). 우수 원형2호 맨홀</t>
  </si>
  <si>
    <t>D1200, H=2.77m, 차도</t>
  </si>
  <si>
    <t>가). 우수 각형2호 맨홀</t>
  </si>
  <si>
    <t>1200X1200, H=3.20m, 차도</t>
  </si>
  <si>
    <t>우수 각형2호 맨홀</t>
  </si>
  <si>
    <t>나). 우수 각형2호 맨홀</t>
  </si>
  <si>
    <t>1200X1200, H=4.03m, 보도</t>
  </si>
  <si>
    <t>보도</t>
  </si>
  <si>
    <t>다). 우수 각형3호 맨홀</t>
  </si>
  <si>
    <t>1400X1200, H=4.22m, 차도</t>
  </si>
  <si>
    <t>우수 각형3호 맨홀</t>
  </si>
  <si>
    <t>라). 우수 각형3호 맨홀</t>
  </si>
  <si>
    <t>1400X1200, H=4.67m, 보도</t>
  </si>
  <si>
    <t>마). 우수 각형4호 맨홀</t>
  </si>
  <si>
    <t>1500X1500, H=4.56m, 차도</t>
  </si>
  <si>
    <t>우수 각형4호 맨홀</t>
  </si>
  <si>
    <t>바). 암거 맨홀</t>
  </si>
  <si>
    <t>900X900, H=3.67, 차도</t>
  </si>
  <si>
    <t>암거 맨홀</t>
  </si>
  <si>
    <t>가). 무수축몰탈</t>
  </si>
  <si>
    <t>나). 수팽창지수재</t>
  </si>
  <si>
    <t>20x10mm</t>
  </si>
  <si>
    <t>수팽창지수재</t>
  </si>
  <si>
    <t>가). 1호 우수받이</t>
  </si>
  <si>
    <t>0.3×0.4×0.9m, 스틸그레이팅포함, 1호 우수받이, 0.3×0.4×0.9m, 스틸그레이팅포함</t>
  </si>
  <si>
    <t>가). PC BOX</t>
  </si>
  <si>
    <t>PC BOX</t>
  </si>
  <si>
    <t>나). PC BOX</t>
  </si>
  <si>
    <t>1@2.0X1.5, 토피 H=4.0m미만</t>
  </si>
  <si>
    <t>다). PC BOX</t>
  </si>
  <si>
    <t>1@2.0X1.8, 토피 H=1.0m이하</t>
  </si>
  <si>
    <t>라). PC BOX</t>
  </si>
  <si>
    <t>1@2.0X1.8, 토피 H=4.0m미만</t>
  </si>
  <si>
    <t>가). 콘크리트타설</t>
  </si>
  <si>
    <t>나). 거푸집</t>
  </si>
  <si>
    <t>1). 집수정</t>
  </si>
  <si>
    <t>0.9x0.9, H=2.38m, 스틸그레이팅</t>
  </si>
  <si>
    <t>집수정</t>
  </si>
  <si>
    <t>1). U형측구</t>
  </si>
  <si>
    <t>300×300, 스틸그레이팅</t>
  </si>
  <si>
    <t>U형측구</t>
  </si>
  <si>
    <t>2). 생태측구(U형측구)</t>
  </si>
  <si>
    <t>300×300</t>
  </si>
  <si>
    <t>1). 산마루측구</t>
  </si>
  <si>
    <t>500×500, H=450</t>
  </si>
  <si>
    <t>산마루측구</t>
  </si>
  <si>
    <t>2). 생태측구(산마루측구)</t>
  </si>
  <si>
    <t>500×500</t>
  </si>
  <si>
    <t>500×500, 산마루측구, 생태측구</t>
  </si>
  <si>
    <t>가). 레디믹스콘크리트타설</t>
  </si>
  <si>
    <t>나). 레디믹스콘크리트타설</t>
  </si>
  <si>
    <t>다). 거푸집</t>
  </si>
  <si>
    <t>라). 모래부설</t>
  </si>
  <si>
    <t>기초, 인력</t>
  </si>
  <si>
    <t>기초</t>
  </si>
  <si>
    <t>마). 잡석부설</t>
  </si>
  <si>
    <t>잡석지정, 재료비 제외, 150mm이하</t>
  </si>
  <si>
    <t>잡석부설</t>
  </si>
  <si>
    <t>바). 구조물헐기(철근)</t>
  </si>
  <si>
    <t>사). 몰탈</t>
  </si>
  <si>
    <t>1:2, 재료비제외</t>
  </si>
  <si>
    <t>1:2</t>
  </si>
  <si>
    <t>아). 앵커볼트 설치</t>
  </si>
  <si>
    <t>케미컬앵커, Ø20mm, 300mm</t>
  </si>
  <si>
    <t>Ø20mm</t>
  </si>
  <si>
    <t>자). 고강성 PVC 이중벽관 접합 및 부설</t>
  </si>
  <si>
    <t>D300mm</t>
  </si>
  <si>
    <t>차). 고강성 PVC 이중벽관 절단</t>
  </si>
  <si>
    <t>고강성 PVC 이중벽관 절단</t>
  </si>
  <si>
    <t>카). 스테인리스관 접합및부설</t>
  </si>
  <si>
    <t>D=50mm</t>
  </si>
  <si>
    <t>스테인리스관 접합</t>
  </si>
  <si>
    <t>타). 스테인리스관 나사 접합</t>
  </si>
  <si>
    <t>D=50mm, 스테인리스관 나사 접합</t>
  </si>
  <si>
    <t>파). 스테인레스강관</t>
  </si>
  <si>
    <t>D50</t>
  </si>
  <si>
    <t>하). 스테인레스 90도 엘보</t>
  </si>
  <si>
    <t>갸). 고강성PVC이중벽관</t>
  </si>
  <si>
    <t>D300mm, 직관</t>
  </si>
  <si>
    <t>D300mm, 직관, 고강성PVC이중벽관, D300mm, 직관</t>
  </si>
  <si>
    <t>냐). 고강성PVC이중벽관 이음관</t>
  </si>
  <si>
    <t>D300mm, 소켓, 고무링</t>
  </si>
  <si>
    <t>set</t>
  </si>
  <si>
    <t>D300mm, 소켓, 고무링, 고강성PVC이중벽관 이음관, D300mm, 소켓, 고무링</t>
  </si>
  <si>
    <t>가). 보통시멘트</t>
  </si>
  <si>
    <t>40kg/대 (포장품), 포장품, 보통시멘트, 40kg, 대 (포장품)</t>
  </si>
  <si>
    <t>나). 무수축시멘트</t>
  </si>
  <si>
    <t>25kg/대 (포장품)</t>
  </si>
  <si>
    <t>25kg/대 (포장품), 포장품, 무수축시멘트, 25kg, 대 (포장품)</t>
  </si>
  <si>
    <t>다). 시멘트운반</t>
  </si>
  <si>
    <t>L=30km이내, 시멘트운반</t>
  </si>
  <si>
    <t>가). 모래</t>
  </si>
  <si>
    <t>모래</t>
  </si>
  <si>
    <t>나). 쇄석자갈</t>
  </si>
  <si>
    <t>Φ25mm, 현장도착도</t>
  </si>
  <si>
    <t>Φ25mm</t>
  </si>
  <si>
    <t>다). 잡석</t>
  </si>
  <si>
    <t>잡석</t>
  </si>
  <si>
    <t>가). 이형철근</t>
  </si>
  <si>
    <t>D13M/M 0.995KG/M SD30A</t>
  </si>
  <si>
    <t>이형철근</t>
  </si>
  <si>
    <t>나). 이형철근(고장력철근)</t>
  </si>
  <si>
    <t>HD13M/M 0.995KG/M SD35,40</t>
  </si>
  <si>
    <t>다). 이형철근(고장력철근)</t>
  </si>
  <si>
    <t>HD16M/M 1.560KG/M SD35,40</t>
  </si>
  <si>
    <t>라). 이형철근(고장력철근)</t>
  </si>
  <si>
    <t>HD19M/M 2.250KG/M SD35,40</t>
  </si>
  <si>
    <t>마). 철근운반비</t>
  </si>
  <si>
    <t>L=10km이내, 철근운반비</t>
  </si>
  <si>
    <t>바). 고철(고재)</t>
  </si>
  <si>
    <t>중량A, 고재, 고철</t>
  </si>
  <si>
    <t>가). 레미콘</t>
  </si>
  <si>
    <t>레미콘</t>
  </si>
  <si>
    <t>나). 레미콘</t>
  </si>
  <si>
    <t>가). 원심력철근콘크리트관(보통2종)</t>
  </si>
  <si>
    <t>원심력철근콘크리트관</t>
  </si>
  <si>
    <t>나). 원심력철근콘크리트관(보통2종)</t>
  </si>
  <si>
    <t>450㎜ (소켓식,B형)</t>
  </si>
  <si>
    <t>다). 원심력철근콘크리트관(보통2종)</t>
  </si>
  <si>
    <t>라). 원심력철근콘크리트관(보통2종)</t>
  </si>
  <si>
    <t>800㎜ (소켓식,B형)</t>
  </si>
  <si>
    <t>마). 원심력철근콘크리트관(보통2종)</t>
  </si>
  <si>
    <t>900㎜ (소켓식,B형)</t>
  </si>
  <si>
    <t>바). 원심력철근콘크리트관(보통2종)</t>
  </si>
  <si>
    <t>1000㎜ (소켓식,B형)</t>
  </si>
  <si>
    <t>사). 원심력철근콘크리트관(보통2종)</t>
  </si>
  <si>
    <t>1200㎜ (소켓식,B형)</t>
  </si>
  <si>
    <t>아). 흄관하차비</t>
  </si>
  <si>
    <t>Ø 250 MM - 차상도, 흄관하차비</t>
  </si>
  <si>
    <t>자). 흄관하차비</t>
  </si>
  <si>
    <t>Ø 450 MM - 차상도</t>
  </si>
  <si>
    <t>Ø 450 MM - 차상도, 흄관하차비</t>
  </si>
  <si>
    <t>차). 흄관하차비</t>
  </si>
  <si>
    <t>Ø 600 MM - 차상도, 흄관하차비</t>
  </si>
  <si>
    <t>카). 흄관하차비</t>
  </si>
  <si>
    <t>Ø 800 MM - 차상도</t>
  </si>
  <si>
    <t>Ø 800 MM - 차상도, 흄관하차비</t>
  </si>
  <si>
    <t>타). 흄관하차비</t>
  </si>
  <si>
    <t>Ø 900 MM - 차상도</t>
  </si>
  <si>
    <t>Ø 900 MM - 차상도, 흄관하차비</t>
  </si>
  <si>
    <t>파). 흄관하차비</t>
  </si>
  <si>
    <t>Ø 1000 MM - 차상도</t>
  </si>
  <si>
    <t>Ø 1000 MM - 차상도, 흄관하차비</t>
  </si>
  <si>
    <t>하). 흄관하차비</t>
  </si>
  <si>
    <t>Ø 1200 MM - 차상도</t>
  </si>
  <si>
    <t>Ø 1200 MM - 차상도, 흄관하차비</t>
  </si>
  <si>
    <t>가). 맨홀뚜껑(주철제)</t>
  </si>
  <si>
    <t>99건</t>
  </si>
  <si>
    <t>기계90%+인력10%, 보통토사</t>
  </si>
  <si>
    <t>가). 되메우기 및 다짐(토사)</t>
  </si>
  <si>
    <t>되메우기 및 다짐</t>
  </si>
  <si>
    <t>가). 고강성 PVC 이중벽관 접합 및 부설</t>
  </si>
  <si>
    <t>D150mm, 시공조건B</t>
  </si>
  <si>
    <t>D150mm</t>
  </si>
  <si>
    <t>나). 고강성 PVC 이중벽관 접합 및 부설</t>
  </si>
  <si>
    <t>D300mm, 시공조건B</t>
  </si>
  <si>
    <t>가). 고강성 PVC 이중벽관 절단</t>
  </si>
  <si>
    <t>나). 고강성 PVC 이중벽관 절단</t>
  </si>
  <si>
    <t>가). 모래부설</t>
  </si>
  <si>
    <t>관기초, 인력</t>
  </si>
  <si>
    <t>가). 원형1호 맨홀</t>
  </si>
  <si>
    <t>H=2.63m, 차도</t>
  </si>
  <si>
    <t>원형1호 맨홀</t>
  </si>
  <si>
    <t>가). 고강성 PVC이중벽 지수단관</t>
  </si>
  <si>
    <t>나). 고강성 PVC이중벽 지수단관</t>
  </si>
  <si>
    <t>가). 맨홀이음부 몰탈</t>
  </si>
  <si>
    <t>D150, 몰탈 1:2</t>
  </si>
  <si>
    <t>D150</t>
  </si>
  <si>
    <t>나). 맨홀이음부 몰탈</t>
  </si>
  <si>
    <t>D300, 몰탈 1:2</t>
  </si>
  <si>
    <t>D300</t>
  </si>
  <si>
    <t>다). 고강성 PVC 이중벽관 접합 및 부설</t>
  </si>
  <si>
    <t>D200mm, 시공조건B</t>
  </si>
  <si>
    <t>D200mm</t>
  </si>
  <si>
    <t>라). 고강성 PVC 이중벽관 접합 및 부설</t>
  </si>
  <si>
    <t>마). 고강성 PVC 이중벽관 절단</t>
  </si>
  <si>
    <t>바). 고강성 PVC 이중벽관 절단</t>
  </si>
  <si>
    <t>사). 고강성 PVC 이중벽관 이형관 접합</t>
  </si>
  <si>
    <t>고강성 PVC 이중벽관 이형관 접합</t>
  </si>
  <si>
    <t>아). 고강성 PVC 이중벽관 이형관 접합</t>
  </si>
  <si>
    <t>자). 고강성PVC이중벽관 이경티</t>
  </si>
  <si>
    <t>D300xD200</t>
  </si>
  <si>
    <t>고강성PVC이중벽관 이경티</t>
  </si>
  <si>
    <t>차). 고강성PVC이중벽관 90 엘보</t>
  </si>
  <si>
    <t>D200</t>
  </si>
  <si>
    <t>1). 하수관내CCTV조사</t>
  </si>
  <si>
    <t>2). 관로경고용테이프설치</t>
  </si>
  <si>
    <t>관로경고용테이프설치</t>
  </si>
  <si>
    <t>3). 하수관 공기압시험</t>
  </si>
  <si>
    <t>D300mm, 하수관 공기압시험</t>
  </si>
  <si>
    <t>가). 분기관 표식설치</t>
  </si>
  <si>
    <t>ELP D80,L=1.5M</t>
  </si>
  <si>
    <t>L=1.5M</t>
  </si>
  <si>
    <t>나). 분기관표시못 설치</t>
  </si>
  <si>
    <t>D80X110</t>
  </si>
  <si>
    <t>분기관표시못 설치</t>
  </si>
  <si>
    <t>다). 마개</t>
  </si>
  <si>
    <t>150㎜, 파상형경질PE전선관용</t>
  </si>
  <si>
    <t>150㎜</t>
  </si>
  <si>
    <t>나). 시멘트운반</t>
  </si>
  <si>
    <t>나). 이형철근</t>
  </si>
  <si>
    <t>D16M/M 1.560KG/M SD30A</t>
  </si>
  <si>
    <t>다). 철근운반비</t>
  </si>
  <si>
    <t>라). 고철(고재)</t>
  </si>
  <si>
    <t>가). 고강성PVC이중벽관</t>
  </si>
  <si>
    <t>D150mm, 직관</t>
  </si>
  <si>
    <t>D150mm, 직관, 고강성PVC이중벽관, D150mm, 직관</t>
  </si>
  <si>
    <t>나). 고강성PVC이중벽관</t>
  </si>
  <si>
    <t>D200mm, 직관</t>
  </si>
  <si>
    <t>D200mm, 직관, 고강성PVC이중벽관, D200mm, 직관</t>
  </si>
  <si>
    <t>다). 고강성PVC이중벽관</t>
  </si>
  <si>
    <t>★ 3. 오 수 공 소계</t>
  </si>
  <si>
    <t>44건</t>
  </si>
  <si>
    <t>나). 되메우기 및 다짐(토사)</t>
  </si>
  <si>
    <t>가). 주철관 부설 및 접합(KP접합)</t>
  </si>
  <si>
    <t>D100mm, 시공조건 B, KP접합, 주철관 부설 및 접합, D100mm, 시공조건 B</t>
  </si>
  <si>
    <t>나). 주철관 부설 및 접합(KP접합)</t>
  </si>
  <si>
    <t>D150mm, 시공조건 B</t>
  </si>
  <si>
    <t>D150mm, 시공조건 B, KP접합, 주철관 부설 및 접합, D150mm, 시공조건 B</t>
  </si>
  <si>
    <t>가). 주철 이형관 접합(KP접합)</t>
  </si>
  <si>
    <t>나). 주철 이형관 접합(KP접합)</t>
  </si>
  <si>
    <t>다). 주철 이형관 접합(이탈방지압륜)</t>
  </si>
  <si>
    <t>라). 주철 이형관 접합(이탈방지압륜)</t>
  </si>
  <si>
    <t>가). 플랜지 접합</t>
  </si>
  <si>
    <t>플랜지 접합</t>
  </si>
  <si>
    <t>나). 플랜지 접합</t>
  </si>
  <si>
    <t>가). 주철관 절단</t>
  </si>
  <si>
    <t>주철관 절단</t>
  </si>
  <si>
    <t>나). 주철관 절단</t>
  </si>
  <si>
    <t>가). 스테인리스관 접합및부설</t>
  </si>
  <si>
    <t>D=25mm</t>
  </si>
  <si>
    <t>나). 스테인리스관 접합및부설</t>
  </si>
  <si>
    <t>가). 스테인리스관 나사 접합</t>
  </si>
  <si>
    <t>D=25mm, 스테인리스관 나사 접합</t>
  </si>
  <si>
    <t>나). 스테인리스관 나사 접합</t>
  </si>
  <si>
    <t>다). 스테인리스관 슬립인조인트 접합</t>
  </si>
  <si>
    <t>D=25mm, 스테인리스관 슬립인조인트 접합</t>
  </si>
  <si>
    <t>라). 스테인리스관 슬립인조인트 접합</t>
  </si>
  <si>
    <t>D=50mm, 스테인리스관 슬립인조인트 접합</t>
  </si>
  <si>
    <t>가). 스테인리스관 절단</t>
  </si>
  <si>
    <t>D=25mm, 스테인리스관 절단</t>
  </si>
  <si>
    <t>나). 스테인리스관 절단</t>
  </si>
  <si>
    <t>D=50mm, 스테인리스관 절단</t>
  </si>
  <si>
    <t>가). 새들붙이분수전(단수천공)</t>
  </si>
  <si>
    <t>D100mmX25mm</t>
  </si>
  <si>
    <t>단수천공</t>
  </si>
  <si>
    <t>나). 새들붙이분수전(단수천공)</t>
  </si>
  <si>
    <t>D150mmX25mm</t>
  </si>
  <si>
    <t>다). 새들붙이분수전(단수천공)</t>
  </si>
  <si>
    <t>D150mmX50mm</t>
  </si>
  <si>
    <t>가). 게이트밸브 설치</t>
  </si>
  <si>
    <t>D=25mm, 청동</t>
  </si>
  <si>
    <t>게이트밸브 설치</t>
  </si>
  <si>
    <t>나). 게이트밸브 설치</t>
  </si>
  <si>
    <t>D=50mm, 청동</t>
  </si>
  <si>
    <t>가). 제수변 접합 및 부설</t>
  </si>
  <si>
    <t>나). 제수변 접합 및 부설</t>
  </si>
  <si>
    <t>가). 공기밸브 접합 및 부설</t>
  </si>
  <si>
    <t>가). 지상식소화전</t>
  </si>
  <si>
    <t>쌍구, D100mm</t>
  </si>
  <si>
    <t>나). 소화전보호틀</t>
  </si>
  <si>
    <t>600x600x750xø76A, Steel</t>
  </si>
  <si>
    <t>600x600x750xø76A, Steel, 소화전보호틀, 600x600x750xø76A, Steel</t>
  </si>
  <si>
    <t>(1). 차선도색(융착식,수동식),신설구간</t>
  </si>
  <si>
    <t>문자,기호, 백색</t>
  </si>
  <si>
    <t>(2). 차선도색(융착식,수동식),신설구간</t>
  </si>
  <si>
    <t>문자,기호, 적색</t>
  </si>
  <si>
    <t>라). 소화용수표지판</t>
  </si>
  <si>
    <t>가). 초음파유량계설치</t>
  </si>
  <si>
    <t>D150mm, TM/TC포함</t>
  </si>
  <si>
    <t>가). 제수변실</t>
  </si>
  <si>
    <t>2.50×2.00, 제수변실</t>
  </si>
  <si>
    <t>나). 원형제수변실(D100mm)</t>
  </si>
  <si>
    <t>다). 원형제수변실(D150mm)</t>
  </si>
  <si>
    <t>가). 공기변실</t>
  </si>
  <si>
    <t>1.20×1.20</t>
  </si>
  <si>
    <t>1.20×1.20, 공기변실</t>
  </si>
  <si>
    <t>가). 이토변실</t>
  </si>
  <si>
    <t>1.20×1.20, 이토변실</t>
  </si>
  <si>
    <t>가). 유량계실</t>
  </si>
  <si>
    <t>3.00×1.80</t>
  </si>
  <si>
    <t>3.00×1.80, 유량계실</t>
  </si>
  <si>
    <t>(1). 지수전 보호통</t>
  </si>
  <si>
    <t>D25mm</t>
  </si>
  <si>
    <t>(2). 지수전 보호통</t>
  </si>
  <si>
    <t>D50mm</t>
  </si>
  <si>
    <t>(1). 제수변보호통설치</t>
  </si>
  <si>
    <t>(2). 제수변보호통설치</t>
  </si>
  <si>
    <t>다). 관로경고용테이프</t>
  </si>
  <si>
    <t>가). 통수시험</t>
  </si>
  <si>
    <t>통수시험</t>
  </si>
  <si>
    <t>나). 물사용량</t>
  </si>
  <si>
    <t>일반용</t>
  </si>
  <si>
    <t>일반용, 물사용량</t>
  </si>
  <si>
    <t>가). 수압시험비</t>
  </si>
  <si>
    <t>D100mm, 수압시험비</t>
  </si>
  <si>
    <t>나). 수압시험비</t>
  </si>
  <si>
    <t>D150mm, 수압시험비</t>
  </si>
  <si>
    <t>25-21-12(Mpa)</t>
  </si>
  <si>
    <t>다). 레미콘</t>
  </si>
  <si>
    <t>다). 쇄석자갈</t>
  </si>
  <si>
    <t>쇄석자갈</t>
  </si>
  <si>
    <t>라). 잡석</t>
  </si>
  <si>
    <t>Φ50mm, 현장도착도</t>
  </si>
  <si>
    <t>마). 잡석</t>
  </si>
  <si>
    <t>가). 수도용닥타일주철관(직관)</t>
  </si>
  <si>
    <t>수도용닥타일주철관</t>
  </si>
  <si>
    <t>나). 수도용닥타일주철관(직관)</t>
  </si>
  <si>
    <t>150㎜ x 6m (KP시멘트,2종)</t>
  </si>
  <si>
    <t>다). 수도용닥타일이형관</t>
  </si>
  <si>
    <t>시멘트라이닝, 수도용닥타일이형관</t>
  </si>
  <si>
    <t>라). 주철관운반비</t>
  </si>
  <si>
    <t>공장---&gt;현장, L=160KM, 주철관운반비, 공장---&gt;현장, L=160KM</t>
  </si>
  <si>
    <t>가). 스테인레스강관</t>
  </si>
  <si>
    <t>D25</t>
  </si>
  <si>
    <t>나). 스테인레스강관</t>
  </si>
  <si>
    <t>다). 분수전연결용주름마디강관(STS)</t>
  </si>
  <si>
    <t>D25 × 1.0</t>
  </si>
  <si>
    <t>라). 분수전연결용주름마디강관(STS)</t>
  </si>
  <si>
    <t>D50 × 1.0</t>
  </si>
  <si>
    <t>마). 밸브소켓(슬립인조인트)</t>
  </si>
  <si>
    <t>바). 밸브소켓(슬립인조인트)</t>
  </si>
  <si>
    <t>사). 연결유니온</t>
  </si>
  <si>
    <t>아). 연결유니온</t>
  </si>
  <si>
    <t>자). 프러그(슬립인조인트)</t>
  </si>
  <si>
    <t>차). 프러그(슬립인조인트)</t>
  </si>
  <si>
    <t>가). 소프트실제수밸브</t>
  </si>
  <si>
    <t>나). 소프트실제수밸브</t>
  </si>
  <si>
    <t>다). 급속공기밸브(수도용)</t>
  </si>
  <si>
    <t>100A</t>
  </si>
  <si>
    <t>★ 4. 상 수 공 소계</t>
  </si>
  <si>
    <t>86건</t>
  </si>
  <si>
    <t>가). 구조물터파기(토사)</t>
  </si>
  <si>
    <t>기계90%+인력10%,래머 80KG</t>
  </si>
  <si>
    <t>1). 아스팔트 표층 기계포설(대형장비)</t>
  </si>
  <si>
    <t>2). 아스팔트 중간층 기계포설(대형장비)</t>
  </si>
  <si>
    <t>3). 아스팔트 기층 기계포설(대형장비)</t>
  </si>
  <si>
    <t>4). 텍코팅(기계식)</t>
  </si>
  <si>
    <t>텍코팅</t>
  </si>
  <si>
    <t>5). 텍코팅(기계식)</t>
  </si>
  <si>
    <t>6). 프라임코팅(기계식)</t>
  </si>
  <si>
    <t>프라임코팅</t>
  </si>
  <si>
    <t>7). 보조기층(기계시공)</t>
  </si>
  <si>
    <t>가). 보도용블럭포장(소형)</t>
  </si>
  <si>
    <t>나). 보조기층(인력식)</t>
  </si>
  <si>
    <t>가). 보도용블럭포장(유도블록)</t>
  </si>
  <si>
    <t>나). 보도용블럭포장(점자블록)</t>
  </si>
  <si>
    <t>다). 보조기층(인력식)</t>
  </si>
  <si>
    <t>1). 미끄럼방지공</t>
  </si>
  <si>
    <t>2). 텍코팅(기계식)</t>
  </si>
  <si>
    <t>3). 차선도색(융착식,수동식),신설구간</t>
  </si>
  <si>
    <t>4). 차선도색(융착식,수동식),신설구간</t>
  </si>
  <si>
    <t>5). 차선도색(차로밑그림),신설구간</t>
  </si>
  <si>
    <t>차선도색</t>
  </si>
  <si>
    <t>3). 미끄럼방지공</t>
  </si>
  <si>
    <t>5). 차선도색(융착식,수동식),신설구간</t>
  </si>
  <si>
    <t>6). 차선도색(차로밑그림),신설구간</t>
  </si>
  <si>
    <t>7). 차선도색(차로밑그림),신설구간</t>
  </si>
  <si>
    <t>가). 보차도경계석 설치</t>
  </si>
  <si>
    <t>나). 보차도경계석 설치</t>
  </si>
  <si>
    <t>180×200×1000, A-TYPE(곡선구간)</t>
  </si>
  <si>
    <t>다). 보차도경계석 설치(경사)</t>
  </si>
  <si>
    <t>라). 보차도경계석 설치(낮춤)</t>
  </si>
  <si>
    <t>가). 도로경계석 설치</t>
  </si>
  <si>
    <t>가). 교통안전표지판(삼각)(과속방지턱)</t>
  </si>
  <si>
    <t>나). 교통안전표지판(오각)(횡단보도)</t>
  </si>
  <si>
    <t>다). 교통안전표지판(오각+삼각)(횡단보도+과속방지턱)</t>
  </si>
  <si>
    <t>1변 900mm+1변 900mm,600×200×600mm</t>
  </si>
  <si>
    <t>교통안전표지판</t>
  </si>
  <si>
    <t>라). 교통안전표지판(사각)(주차장)</t>
  </si>
  <si>
    <t>600mmx600mm</t>
  </si>
  <si>
    <t>사각</t>
  </si>
  <si>
    <t>마). 교통안전표지판(삼각)(오르막경사)</t>
  </si>
  <si>
    <t>바). 교통안전표지판(삼각)(내리막경사)</t>
  </si>
  <si>
    <t>사). 교통안전표지판(삼각+삼각)(우로굽은도로+과속방지턱)</t>
  </si>
  <si>
    <t>1변 900 MM+1변 900 MM</t>
  </si>
  <si>
    <t>아). 교통안전표지판(오각+삼각)(횡단보도+좌로굽은도로)</t>
  </si>
  <si>
    <t>자). 갈매기표지판</t>
  </si>
  <si>
    <t>AL 450×600</t>
  </si>
  <si>
    <t>갈매기표지판</t>
  </si>
  <si>
    <t>가). 차선도색(페인트,기계식),신설구간</t>
  </si>
  <si>
    <t>나). 차선도색(페인트,기계식),신설구간</t>
  </si>
  <si>
    <t>다). 차선도색(페인트,기계식),신설구간</t>
  </si>
  <si>
    <t>라). 차선도색(융착식,수동식),신설구간</t>
  </si>
  <si>
    <t>마). 차선도색(융착식,수동식),신설구간</t>
  </si>
  <si>
    <t>바). 차선도색(차로밑그림),신설구간</t>
  </si>
  <si>
    <t>사). 차선도색(차로밑그림),신설구간</t>
  </si>
  <si>
    <t>아). 차선도색(차로밑그림),신설구간</t>
  </si>
  <si>
    <t>자). 차선도색(차로밑그림),신설구간</t>
  </si>
  <si>
    <t>가). 도로표지병설치</t>
  </si>
  <si>
    <t>도로표지병설치</t>
  </si>
  <si>
    <t>나). 도로반사경(1면)</t>
  </si>
  <si>
    <t>다). 탄성볼라드</t>
  </si>
  <si>
    <t>탄성볼라드</t>
  </si>
  <si>
    <t>라). 시멘트운반</t>
  </si>
  <si>
    <t>1). 레미콘</t>
  </si>
  <si>
    <t>2). 레미콘</t>
  </si>
  <si>
    <t>3). 보통시멘트</t>
  </si>
  <si>
    <t>4). 모래</t>
  </si>
  <si>
    <t>5). 혼합골재(보조기층용)</t>
  </si>
  <si>
    <t>6). 혼합골재(보조기층용)</t>
  </si>
  <si>
    <t>7). 혼합골재(보조기층용)(순환골재)</t>
  </si>
  <si>
    <t>8). 아스팔트(유제)</t>
  </si>
  <si>
    <t>아스팔트</t>
  </si>
  <si>
    <t>9). 아스팔트(유제)</t>
  </si>
  <si>
    <t>10). 아스팔트콘크리트</t>
  </si>
  <si>
    <t>#78 표층용, 아스팔트콘크리트</t>
  </si>
  <si>
    <t>11). 아스팔트콘크리트</t>
  </si>
  <si>
    <t>#67 중간층용, 아스팔트콘크리트</t>
  </si>
  <si>
    <t>12). 아스팔트콘크리트</t>
  </si>
  <si>
    <t>#467 기층용, 아스팔트콘크리트</t>
  </si>
  <si>
    <t>13). 아스팔트콘크리트(재생)</t>
  </si>
  <si>
    <t>#467 기층용(안정처리제)</t>
  </si>
  <si>
    <t>#467 기층용(안정처리제), 재생, 안정처리제, 아스팔트콘크리트</t>
  </si>
  <si>
    <t>14). 보차도경계석(화강석)</t>
  </si>
  <si>
    <t>15). 보차도경계석(화강석)</t>
  </si>
  <si>
    <t>180x200x1000㎜ (곡선)</t>
  </si>
  <si>
    <t>16). 횡단보도경계석(화강석)(경사)</t>
  </si>
  <si>
    <t>횡단보도경계석</t>
  </si>
  <si>
    <t>17). 횡단보도경계석(화강석)(낮춤)</t>
  </si>
  <si>
    <t>18). 도로경계석(화강석)</t>
  </si>
  <si>
    <t>19). 보도블록(인조화강)</t>
  </si>
  <si>
    <t>20). 장애인용보도 선형블록</t>
  </si>
  <si>
    <t>300x300x60, 고강도, 논슬립, 장애인용보도 선형블록, 300x300x60, 고강도, 논슬립</t>
  </si>
  <si>
    <t>21). 장애인용보도 점형블록</t>
  </si>
  <si>
    <t>300x300x60, 고강도, 논슬립, 장애인용보도 점형블록, 300x300x60, 고강도, 논슬립</t>
  </si>
  <si>
    <t>★ 5. 포 장 공 소계</t>
  </si>
  <si>
    <t>76건</t>
  </si>
  <si>
    <t>1). 콘크리트타설</t>
  </si>
  <si>
    <t>2). 콘크리트타설</t>
  </si>
  <si>
    <t>3). 철근가공조립(현장)</t>
  </si>
  <si>
    <t>철근가공조립</t>
  </si>
  <si>
    <t>4). 문양거푸집</t>
  </si>
  <si>
    <t>문양거푸집</t>
  </si>
  <si>
    <t>5). 거푸집</t>
  </si>
  <si>
    <t>6). 거푸집</t>
  </si>
  <si>
    <t>7). 강관비계</t>
  </si>
  <si>
    <t>강관비계</t>
  </si>
  <si>
    <t>8). 스페이셔설치</t>
  </si>
  <si>
    <t>9). 스페이셔설치</t>
  </si>
  <si>
    <t>10). PVC관 부설 및 접합</t>
  </si>
  <si>
    <t>11). 드레인보드 설치</t>
  </si>
  <si>
    <t>드레인보드 설치</t>
  </si>
  <si>
    <t>12). 부직포설치</t>
  </si>
  <si>
    <t>부직포설치</t>
  </si>
  <si>
    <t>13). 신축이음(Joint filler)</t>
  </si>
  <si>
    <t>신축이음</t>
  </si>
  <si>
    <t>14). DOWEL BAR(옹벽용)</t>
  </si>
  <si>
    <t>15). 실링마감(실런트)</t>
  </si>
  <si>
    <t>16). 기초지정</t>
  </si>
  <si>
    <t>기초지정</t>
  </si>
  <si>
    <t>가). 철근운반비</t>
  </si>
  <si>
    <t>나). 고철(고재)</t>
  </si>
  <si>
    <t>마). 이형철근(고장력철근)</t>
  </si>
  <si>
    <t>바). 이형철근(고장력철근)</t>
  </si>
  <si>
    <t>HD19M/M 2.250KG/M SD40</t>
  </si>
  <si>
    <t>사). 이형철근(고장력철근)</t>
  </si>
  <si>
    <t>HD22M/M 3.040KG/M SD40</t>
  </si>
  <si>
    <t>가). 터파기(토사)</t>
  </si>
  <si>
    <t>다). 잔토처리(토사)</t>
  </si>
  <si>
    <t>라). 거푸집</t>
  </si>
  <si>
    <t>마). 콘크리트타설</t>
  </si>
  <si>
    <t>가). 보강토옹벽(마감형블럭)</t>
  </si>
  <si>
    <t>450x410x125</t>
  </si>
  <si>
    <t>보강토옹벽</t>
  </si>
  <si>
    <t>나). 보강토옹벽(표준형블럭)</t>
  </si>
  <si>
    <t>550x420x250</t>
  </si>
  <si>
    <t>가). 보강토옹벽 뒤채움및다짐</t>
  </si>
  <si>
    <t>보강토옹벽 뒤채움및다짐</t>
  </si>
  <si>
    <t>가). 보강토옹벽(마감형) 운반비</t>
  </si>
  <si>
    <t>공장---&gt;현장, L=290KM</t>
  </si>
  <si>
    <t>공장---&gt;현장, L=290KM, 마감형, 보강토옹벽 운반비, 공장---&gt;현장, L=290KM</t>
  </si>
  <si>
    <t>나). 보강토옹벽(표준형) 운반비</t>
  </si>
  <si>
    <t>공장---&gt;현장, L=290KM, 표준형, 보강토옹벽 운반비, 공장---&gt;현장, L=290KM</t>
  </si>
  <si>
    <t>다). PE 유공관(배수유공관)</t>
  </si>
  <si>
    <t>라). 부직포</t>
  </si>
  <si>
    <t>500g/cm2, 사면보호용</t>
  </si>
  <si>
    <t>부직포</t>
  </si>
  <si>
    <t>마). 보강토옹벽 - 마감블럭</t>
  </si>
  <si>
    <t>보강토옹벽 - 마감블럭</t>
  </si>
  <si>
    <t>바). 보강토옹벽 - 기본블럭</t>
  </si>
  <si>
    <t>보강토옹벽 - 기본블럭</t>
  </si>
  <si>
    <t>사). 보강토옹벽 그리드</t>
  </si>
  <si>
    <t>지오그리드 6T</t>
  </si>
  <si>
    <t>보강토옹벽 그리드</t>
  </si>
  <si>
    <t>아). 보강토옹벽 그리드</t>
  </si>
  <si>
    <t>지오그리드 8T</t>
  </si>
  <si>
    <t>★ 6. 구조물공 소계</t>
  </si>
  <si>
    <t>43건</t>
  </si>
  <si>
    <t>가). 되메우기및다짐</t>
  </si>
  <si>
    <t>나). 되메우기(토사)</t>
  </si>
  <si>
    <t>1). 가설방음판넬</t>
  </si>
  <si>
    <t>H=3.0+1.0m, 34개월</t>
  </si>
  <si>
    <t>가설방음판넬</t>
  </si>
  <si>
    <t>1). 비닐깔기(PE필름)</t>
  </si>
  <si>
    <t>t=0.1mm</t>
  </si>
  <si>
    <t>비닐깔기</t>
  </si>
  <si>
    <t>2). 톤마대 쌓기 및 헐기</t>
  </si>
  <si>
    <t>0.7㎥/개</t>
  </si>
  <si>
    <t>톤마대 쌓기</t>
  </si>
  <si>
    <t>3). 흄관 접합및부설(소켓식)</t>
  </si>
  <si>
    <t>Ø 700 MM</t>
  </si>
  <si>
    <t>4). 퇴적토준설</t>
  </si>
  <si>
    <t>백호0.7㎥, 수중</t>
  </si>
  <si>
    <t>수중</t>
  </si>
  <si>
    <t>2). PP마대 쌓기 및 헐기</t>
  </si>
  <si>
    <t>45×75cm(인력)</t>
  </si>
  <si>
    <t>3). 퇴적토준설</t>
  </si>
  <si>
    <t>1). 세륜세차시설 설치및해체</t>
  </si>
  <si>
    <t>자동세륜기, 34개월</t>
  </si>
  <si>
    <t>해체</t>
  </si>
  <si>
    <t>2). 세륜세차시설 운영</t>
  </si>
  <si>
    <t>세륜세차시설 운영</t>
  </si>
  <si>
    <t>1). 폐유류저장소</t>
  </si>
  <si>
    <t>2.4MX2.4M</t>
  </si>
  <si>
    <t>2.4MX2.4M, 폐유류저장소</t>
  </si>
  <si>
    <t>가). 감리감독자 사무실</t>
  </si>
  <si>
    <t>조립식, 34개월</t>
  </si>
  <si>
    <t>조립식</t>
  </si>
  <si>
    <t>나). 공사도급자 사무실</t>
  </si>
  <si>
    <t>다). 창고</t>
  </si>
  <si>
    <t>라). 시험실</t>
  </si>
  <si>
    <t>마). 도급자 숙소</t>
  </si>
  <si>
    <t>바). 복지시설</t>
  </si>
  <si>
    <t>사). 오수정화조</t>
  </si>
  <si>
    <t>8PPM, 50인용</t>
  </si>
  <si>
    <t>8PPM, 50인용, 오수정화조, 8PPM, 50인용</t>
  </si>
  <si>
    <t>1). 살수(물탱크 16000ℓ)</t>
  </si>
  <si>
    <t>32개월</t>
  </si>
  <si>
    <t>a</t>
  </si>
  <si>
    <t>살수</t>
  </si>
  <si>
    <t>1). 전광판 소음측정기</t>
  </si>
  <si>
    <t>800x1200, 현장설치도</t>
  </si>
  <si>
    <t>800x1200, 현장설치도, 전광판 소음측정기, 800x1200, 현장설치도</t>
  </si>
  <si>
    <t>1). 시공상세도</t>
  </si>
  <si>
    <t>단순</t>
  </si>
  <si>
    <t>매</t>
  </si>
  <si>
    <t>단순, 시공상세도</t>
  </si>
  <si>
    <t>2). 시공상세도</t>
  </si>
  <si>
    <t>보통</t>
  </si>
  <si>
    <t>3). 시공상세도</t>
  </si>
  <si>
    <t>복잡</t>
  </si>
  <si>
    <t>복잡, 시공상세도</t>
  </si>
  <si>
    <t>가). 혼합골재</t>
  </si>
  <si>
    <t>Φ40mm, 현장도착도, 혼합골재, Φ40mm, 현장도착도</t>
  </si>
  <si>
    <t>나). 철근운반비</t>
  </si>
  <si>
    <t>L=10Km</t>
  </si>
  <si>
    <t>L=10Km, 철근운반비</t>
  </si>
  <si>
    <t>다). 고철(고재)</t>
  </si>
  <si>
    <t>25-21-15(Mpa)</t>
  </si>
  <si>
    <t>700㎜ (소켓식,B형)</t>
  </si>
  <si>
    <t>나). 흄관하차비</t>
  </si>
  <si>
    <t>Ø 700 MM - 차상도</t>
  </si>
  <si>
    <t>Ø 700 MM - 차상도, 흄관하차비</t>
  </si>
  <si>
    <t>★ 7. 부 대 공 소계</t>
  </si>
  <si>
    <t>36건</t>
  </si>
  <si>
    <t>나). 뒤채움 및 다짐</t>
  </si>
  <si>
    <t>뒤채움 및 다짐</t>
  </si>
  <si>
    <t>가). 콘크리트타설(펌프차,철근)</t>
  </si>
  <si>
    <t>S:15cm, TYPE-2</t>
  </si>
  <si>
    <t>나). 콘크리트타설</t>
  </si>
  <si>
    <t>합판3회(복잡)</t>
  </si>
  <si>
    <t>마). 유로폼 조립.해체</t>
  </si>
  <si>
    <t>벽체</t>
  </si>
  <si>
    <t>바). 철근가공조립(현장)</t>
  </si>
  <si>
    <t>TYPE-2-1</t>
  </si>
  <si>
    <t>사). 시스템비계</t>
  </si>
  <si>
    <t>시스템비계</t>
  </si>
  <si>
    <t>아). 시스템동바리</t>
  </si>
  <si>
    <t>공/㎥</t>
  </si>
  <si>
    <t>10m이하-3개월사용, 시스템동바리</t>
  </si>
  <si>
    <t>자). 스페이셔설치</t>
  </si>
  <si>
    <t>차). 스페이셔설치</t>
  </si>
  <si>
    <t>카). 콘크리트치핑</t>
  </si>
  <si>
    <t>콘크리트치핑</t>
  </si>
  <si>
    <t>타). 지수판 설치(PVC 용접)</t>
  </si>
  <si>
    <t>200×5t</t>
  </si>
  <si>
    <t>지수판 설치</t>
  </si>
  <si>
    <t>파). 외부방수(폴리우레아도막방수)</t>
  </si>
  <si>
    <t>t=2.0mm, 현장설치도</t>
  </si>
  <si>
    <t>t=2.0mm</t>
  </si>
  <si>
    <t>하). 내부방수(세라믹코팅제)</t>
  </si>
  <si>
    <t>현장설치도</t>
  </si>
  <si>
    <t>현장설치도, 세라믹코팅제, 내부방수</t>
  </si>
  <si>
    <t>갸). 바닥방수(에폭시)</t>
  </si>
  <si>
    <t>25-27-15(Mpa)</t>
  </si>
  <si>
    <t>바). 철근운반비</t>
  </si>
  <si>
    <t>L=10Km 이내</t>
  </si>
  <si>
    <t>L=10Km 이내, 철근운반비</t>
  </si>
  <si>
    <t>사). 고철(고재)</t>
  </si>
  <si>
    <t>나). 구조물터파기(토사)</t>
  </si>
  <si>
    <t>다). 터파기(토사)</t>
  </si>
  <si>
    <t>라). 되메우기 및 다짐(토사)</t>
  </si>
  <si>
    <t>마). 잔토처리(토사)</t>
  </si>
  <si>
    <t>가). 아스팔트 표층 기계포설(대형장비)</t>
  </si>
  <si>
    <t>나). 아스팔트 기층 기계포설(대형장비)</t>
  </si>
  <si>
    <t>3.0m≤B, T=13cm</t>
  </si>
  <si>
    <t>다). 텍코팅(기계식)</t>
  </si>
  <si>
    <t>라). 프라임코팅(기계식)</t>
  </si>
  <si>
    <t>마). 보조기층(기계시공)</t>
  </si>
  <si>
    <t>본선포장, T=22cm</t>
  </si>
  <si>
    <t>다). 1호 우수받이</t>
  </si>
  <si>
    <t>라). 집수정</t>
  </si>
  <si>
    <t>0.6x0.6, H=1.70, 스틸그레이팅</t>
  </si>
  <si>
    <t>가). 메쉬I휀스</t>
  </si>
  <si>
    <t>W2.0×H1.5m, 기초형, 현장설치도</t>
  </si>
  <si>
    <t>가). 메쉬I휀스 출입문</t>
  </si>
  <si>
    <t>W2.0×H1.8m(쌍문), 기초형, 현장설치도</t>
  </si>
  <si>
    <t>나). 혼합골재(보조기층용)(순환골재)</t>
  </si>
  <si>
    <t>다). 아스팔트(유제)</t>
  </si>
  <si>
    <t>라). 아스팔트(유제)</t>
  </si>
  <si>
    <t>마). 아스팔트콘크리트</t>
  </si>
  <si>
    <t>바). 아스팔트콘크리트</t>
  </si>
  <si>
    <t>사). 보차도경계석(화강석)</t>
  </si>
  <si>
    <t>아). 보통시멘트</t>
  </si>
  <si>
    <t>자). 시멘트운반</t>
  </si>
  <si>
    <t>차). 원심력철근콘크리트관(보통2종)</t>
  </si>
  <si>
    <t>★ 8. 하수처리장 소계</t>
  </si>
  <si>
    <t>1). 석분깔기</t>
  </si>
  <si>
    <t>T100</t>
  </si>
  <si>
    <t>석분깔기</t>
  </si>
  <si>
    <t>2). 조립식 블록형 빗물저류시설</t>
  </si>
  <si>
    <t>조립식 블록형 빗물저류시설</t>
  </si>
  <si>
    <t>3). 매트부설</t>
  </si>
  <si>
    <t>1차 200g/m2</t>
  </si>
  <si>
    <t>매트부설</t>
  </si>
  <si>
    <t>4). 유지관리용 PC 점검구 설치</t>
  </si>
  <si>
    <t>1000x1000x1000</t>
  </si>
  <si>
    <t>유지관리용 PC 점검구 설치</t>
  </si>
  <si>
    <t>5). PC 슬래브 설치</t>
  </si>
  <si>
    <t>1000x1500xT200</t>
  </si>
  <si>
    <t>PC 슬래브 설치</t>
  </si>
  <si>
    <t>1). 빗물저류블록 하차비</t>
  </si>
  <si>
    <t>1000x1000x1160</t>
  </si>
  <si>
    <t>1000x1000x1160, 빗물저류블록 하차비</t>
  </si>
  <si>
    <t>★ 9. 지하저류조 소계</t>
  </si>
  <si>
    <t>9건</t>
  </si>
  <si>
    <t>1). 품질시험</t>
  </si>
  <si>
    <t>품질시험</t>
  </si>
  <si>
    <t>가). 품질관리자인건비</t>
  </si>
  <si>
    <t>중급품질관리대상</t>
  </si>
  <si>
    <t>개월</t>
  </si>
  <si>
    <t>중급품질관리대상, 품질관리자인건비</t>
  </si>
  <si>
    <t>2건</t>
  </si>
  <si>
    <t>가). 소나무</t>
  </si>
  <si>
    <t>H4.0xW2.0xR15</t>
  </si>
  <si>
    <t>푸른조경</t>
  </si>
  <si>
    <t>나). 스트로브잣</t>
  </si>
  <si>
    <t>H3.5xW1.8</t>
  </si>
  <si>
    <t>다). 느티나무</t>
  </si>
  <si>
    <t>H4.0xR15</t>
  </si>
  <si>
    <t>라). 배롱나무</t>
  </si>
  <si>
    <t>H3.0xR10</t>
  </si>
  <si>
    <t>마). 왕벚나무</t>
  </si>
  <si>
    <t>H3.5xB8</t>
  </si>
  <si>
    <t>바). 청단풍</t>
  </si>
  <si>
    <t>H3.0xR8</t>
  </si>
  <si>
    <t>사). 이팝나무</t>
  </si>
  <si>
    <t>아). 복자기</t>
  </si>
  <si>
    <t>H3.5xR8</t>
  </si>
  <si>
    <t>자). 영산홍</t>
  </si>
  <si>
    <t>H0.3xW0.3</t>
  </si>
  <si>
    <t>차). 산철쭉</t>
  </si>
  <si>
    <t>카). 잔디(평떼)</t>
  </si>
  <si>
    <t>0.3x0.3x0.03</t>
  </si>
  <si>
    <t>가). 생활체육시설A</t>
  </si>
  <si>
    <t>1850*840*H1760</t>
  </si>
  <si>
    <t>EA</t>
  </si>
  <si>
    <t>나). 생활체육시설B</t>
  </si>
  <si>
    <t>2836*600*H1760</t>
  </si>
  <si>
    <t>다). 생활체육시설C</t>
  </si>
  <si>
    <t>2200*750*H1760</t>
  </si>
  <si>
    <t>라). 생활체육시설D</t>
  </si>
  <si>
    <t>2470*750*H1760</t>
  </si>
  <si>
    <t>마). 파고라A</t>
  </si>
  <si>
    <t>5000*3200*H2700</t>
  </si>
  <si>
    <t>바). 등의자</t>
  </si>
  <si>
    <t>1600*533*H766</t>
  </si>
  <si>
    <t>사). 플랜터형의자</t>
  </si>
  <si>
    <t>2200*2200*H700</t>
  </si>
  <si>
    <t>가). 투수블럭포장 A</t>
  </si>
  <si>
    <t>T60</t>
  </si>
  <si>
    <t>나). 투수블럭포장 B</t>
  </si>
  <si>
    <t>T80</t>
  </si>
  <si>
    <t>다). 흙콘크리트포장</t>
  </si>
  <si>
    <t>T150</t>
  </si>
  <si>
    <t>라). 흙콘크리트거푸집</t>
  </si>
  <si>
    <t>H150</t>
  </si>
  <si>
    <t>마). 야자매트</t>
  </si>
  <si>
    <t>T35</t>
  </si>
  <si>
    <t>바). 녹지경계석(직선)</t>
  </si>
  <si>
    <t>150x150x1000</t>
  </si>
  <si>
    <t>사). 포장경계석(직선)</t>
  </si>
  <si>
    <t>100x100x1000</t>
  </si>
  <si>
    <t>가). 집수정</t>
  </si>
  <si>
    <t>600*600*H900</t>
  </si>
  <si>
    <t>나). 맹암거(간선)</t>
  </si>
  <si>
    <t>M</t>
  </si>
  <si>
    <t>다). 맹암거(지선)</t>
  </si>
  <si>
    <t>라). 우수관</t>
  </si>
  <si>
    <t>마). 산마루측구</t>
  </si>
  <si>
    <t>W300</t>
  </si>
  <si>
    <t>아). 꽃사과</t>
  </si>
  <si>
    <t>자). 복자기</t>
  </si>
  <si>
    <t>차). 모감주나무</t>
  </si>
  <si>
    <t>카). 영산홍</t>
  </si>
  <si>
    <t>타). 산철쭉</t>
  </si>
  <si>
    <t>파). 조팝나무</t>
  </si>
  <si>
    <t>하). 쥐똥나무</t>
  </si>
  <si>
    <t>H1.2xW0.3</t>
  </si>
  <si>
    <t>갸). 잔디(평떼)</t>
  </si>
  <si>
    <t>가). 생활체육시설E</t>
  </si>
  <si>
    <t>1860*1730*H1760</t>
  </si>
  <si>
    <t>나). 생활체육시설F</t>
  </si>
  <si>
    <t>2870*860*H1760</t>
  </si>
  <si>
    <t>다). 생활체육시설G</t>
  </si>
  <si>
    <t>1850*560*H1760</t>
  </si>
  <si>
    <t>라). 파고라B</t>
  </si>
  <si>
    <t>4000*4000*H3200</t>
  </si>
  <si>
    <t>마). 평의자</t>
  </si>
  <si>
    <t>1600*440*H430</t>
  </si>
  <si>
    <t>아). 안전휀스</t>
  </si>
  <si>
    <t>마). 녹지경계석(직선)</t>
  </si>
  <si>
    <t>바). 포장경계석(직선)</t>
  </si>
  <si>
    <t>가). 상수리나무(이식)</t>
  </si>
  <si>
    <t>R31</t>
  </si>
  <si>
    <t>나). 소나무(이식)</t>
  </si>
  <si>
    <t>R29</t>
  </si>
  <si>
    <t>다). 스트로브잣</t>
  </si>
  <si>
    <t>라). 복자기</t>
  </si>
  <si>
    <t>마). 청단풍</t>
  </si>
  <si>
    <t>바). 산철쭉</t>
  </si>
  <si>
    <t>사). 법면보호공</t>
  </si>
  <si>
    <t>R27</t>
  </si>
  <si>
    <t>나). 상수리나무(이식)</t>
  </si>
  <si>
    <t>다). 소나무(이식)</t>
  </si>
  <si>
    <t>R25</t>
  </si>
  <si>
    <t>라). 스트로브잣</t>
  </si>
  <si>
    <t>마). 복자기</t>
  </si>
  <si>
    <t>사). 산철쭉</t>
  </si>
  <si>
    <t>아). 법면보호공</t>
  </si>
  <si>
    <t>가). 목백합(튜립)</t>
  </si>
  <si>
    <t>H5.0xR15</t>
  </si>
  <si>
    <t>가). 수목보호판</t>
  </si>
  <si>
    <t>800*800</t>
  </si>
  <si>
    <t>★ 10. 조 경 공 소계</t>
  </si>
  <si>
    <t>80건</t>
  </si>
  <si>
    <t>★ 토목(조경) 내역 합계</t>
  </si>
  <si>
    <t>화성 청원지구 — 지구단위</t>
  </si>
  <si>
    <t>★ 지구단위 합계</t>
  </si>
  <si>
    <t>◆ 지구단위 — 내역 일괄</t>
  </si>
  <si>
    <t>가).흙깍기(기계,토사)</t>
  </si>
  <si>
    <t>가). 흙깍기(리핑암)</t>
  </si>
  <si>
    <t>가). 흙깎기</t>
  </si>
  <si>
    <t>가). 땅깍기(암석절취)</t>
  </si>
  <si>
    <t>중규모진동제어발파</t>
  </si>
  <si>
    <t>가). 흙쌓기(토사)</t>
  </si>
  <si>
    <t>가). 흙 운반(토사)(야적장)</t>
  </si>
  <si>
    <t>나). 흙운반(풍화암)(야적장)</t>
  </si>
  <si>
    <t>나). 흙운반</t>
  </si>
  <si>
    <t>다). 흙운반(연암)(야적장)</t>
  </si>
  <si>
    <t>다). 흙운반</t>
  </si>
  <si>
    <t>라). 흙운반(보통암)(야적장)</t>
  </si>
  <si>
    <t>라). 흙운반</t>
  </si>
  <si>
    <t>1). 우수 원형1호 맨홀</t>
  </si>
  <si>
    <t>2). 집수정</t>
  </si>
  <si>
    <t>0.6x0.6,스틸그레이팅</t>
  </si>
  <si>
    <t>표준DB CTC30702040S (점수0.55) / 대안: 스틸레자방음문(0.51) · 깍기부집수정(흄관)(0.51)</t>
  </si>
  <si>
    <t>3). 오수받이</t>
  </si>
  <si>
    <t>4). 고강성 PVC 이중벽관 접합 및 부설</t>
  </si>
  <si>
    <t>5). 고강성 PVC 이중벽관 접합 및 부설</t>
  </si>
  <si>
    <t>D450mm, 시공조건B</t>
  </si>
  <si>
    <t>6). 고강성PVC이중벽관</t>
  </si>
  <si>
    <t>표준DB CGR10100500S (점수0.55) / 대안: 내충격PVC수도관 부설 및 접(0.55) · 내충격PVC수도관 부설 및 접(0.55)</t>
  </si>
  <si>
    <t>7). 고강성PVC이중벽관</t>
  </si>
  <si>
    <t>D450mm, 직관</t>
  </si>
  <si>
    <t>8). 원심력철근콘크리트관 접합및부설(소켓식)</t>
  </si>
  <si>
    <t>9). 사각수로관</t>
  </si>
  <si>
    <t>Ø 300mm</t>
  </si>
  <si>
    <t>10). CEP옹벽</t>
  </si>
  <si>
    <t>1.5m~5.0m</t>
  </si>
  <si>
    <t>M2</t>
  </si>
  <si>
    <t>11). 메쉬휀스</t>
  </si>
  <si>
    <t>H=1.5m</t>
  </si>
  <si>
    <t>12). 콘크리트포장</t>
  </si>
  <si>
    <t>T=20Cm</t>
  </si>
  <si>
    <t>13). 관목</t>
  </si>
  <si>
    <t>14). 법면보호공</t>
  </si>
  <si>
    <t>★ 2. A1 소계</t>
  </si>
  <si>
    <t>14건</t>
  </si>
  <si>
    <t>11). CEP옹벽</t>
  </si>
  <si>
    <t>5.0m</t>
  </si>
  <si>
    <t>12). 보강토옹벽</t>
  </si>
  <si>
    <t>H=2.2~3.0m</t>
  </si>
  <si>
    <t>13). 보강토옹벽</t>
  </si>
  <si>
    <t>H=3.0~5.0m</t>
  </si>
  <si>
    <t>14). 메쉬휀스</t>
  </si>
  <si>
    <t>★ 3. A2 소계</t>
  </si>
  <si>
    <t>17건</t>
  </si>
  <si>
    <t>10). 보강토옹벽</t>
  </si>
  <si>
    <t>H=2.2~3.4m</t>
  </si>
  <si>
    <t>11). 보강토옹벽</t>
  </si>
  <si>
    <t>H=1.0~2.5m</t>
  </si>
  <si>
    <t>H=3.42~5.0m</t>
  </si>
  <si>
    <t>13). 메쉬휀스</t>
  </si>
  <si>
    <t>14). 철제가드레일</t>
  </si>
  <si>
    <t>W3000*H910, ..14). 철제가드레일</t>
  </si>
  <si>
    <t>15). 콘크리트포장</t>
  </si>
  <si>
    <t>★ 4. A3 소계</t>
  </si>
  <si>
    <t>H=3.5~5.0m</t>
  </si>
  <si>
    <t>12). 철제가드레일</t>
  </si>
  <si>
    <t>W3000*H910, ..12). 철제가드레일</t>
  </si>
  <si>
    <t>13). 콘크리트포장</t>
  </si>
  <si>
    <t>14). 관목</t>
  </si>
  <si>
    <t>15). 법면보호공</t>
  </si>
  <si>
    <t>★ 5. A4 소계</t>
  </si>
  <si>
    <t>15건</t>
  </si>
  <si>
    <t>H=2.84~4.65m</t>
  </si>
  <si>
    <t>H=0.4~2.84m</t>
  </si>
  <si>
    <t>★ 6. A5 소계</t>
  </si>
  <si>
    <t>10). 메쉬휀스</t>
  </si>
  <si>
    <t>11). 철제가드레일</t>
  </si>
  <si>
    <t>W3000*H910, ..11). 철제가드레일</t>
  </si>
  <si>
    <t>★ 7. B1 소계</t>
  </si>
  <si>
    <t>★ 8. B2 소계</t>
  </si>
  <si>
    <t>1). 집수정</t>
  </si>
  <si>
    <t>2). 오수받이</t>
  </si>
  <si>
    <t>3). 고강성 PVC 이중벽관 접합 및 부설</t>
  </si>
  <si>
    <t>8). 고강성PVC이중벽관</t>
  </si>
  <si>
    <t>10). 철제가드레일</t>
  </si>
  <si>
    <t>W3000*H910, ..10). 철제가드레일</t>
  </si>
  <si>
    <t>11). 콘크리트포장</t>
  </si>
  <si>
    <t>12). 관목</t>
  </si>
  <si>
    <t>DB 3. 수목식재 및 이식 기타 (0.81, 관목) / 대안: 관목이식(0.81) · 관목가식후 정식(0.81)</t>
  </si>
  <si>
    <t>★ 9. 지원시설 소계</t>
  </si>
  <si>
    <t>12건</t>
  </si>
  <si>
    <t>2). 고강성 PVC 이중벽관 접합 및 부설</t>
  </si>
  <si>
    <t>4). 고강성PVC이중벽관</t>
  </si>
  <si>
    <t>5). 고강성PVC이중벽관</t>
  </si>
  <si>
    <t>6). 사각수로관</t>
  </si>
  <si>
    <t>7). 메쉬휀스</t>
  </si>
  <si>
    <t>8). 철제가드레일</t>
  </si>
  <si>
    <t>W3000*H910, .. 8). 철제가드레일</t>
  </si>
  <si>
    <t>9). 콘크리트포장</t>
  </si>
  <si>
    <t>10). 법면보호공</t>
  </si>
  <si>
    <t>★ 10. 주차장 소계</t>
  </si>
  <si>
    <t>10건</t>
  </si>
  <si>
    <t>★ 지구단위 내역 합계</t>
  </si>
  <si>
    <t>화성 청원지구 — 폐기물</t>
  </si>
  <si>
    <t>★ 폐기물 합계</t>
  </si>
  <si>
    <t>◆ 폐기물 — 내역 일괄</t>
  </si>
  <si>
    <t>건설폐기물처리</t>
  </si>
  <si>
    <t>24톤, 30Km 이내</t>
  </si>
  <si>
    <t>26. 협회단가</t>
  </si>
  <si>
    <t>★ 건설폐기물처리 소계</t>
  </si>
  <si>
    <t>★ 폐기물 내역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</si>
</sst>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00"/>
    <numFmt numFmtId="177" formatCode="0.0%"/>
  </numFmts>
  <fonts count="10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4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4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</borders>
  <cellStyleXfs count="2">
    <xf numFmtId="0" fontId="0" fillId="0" borderId="0"/>
    <xf numFmtId="41" fontId="4" fillId="0" borderId="0">
      <alignment vertical="center"/>
    </xf>
  </cellStyleXfs>
  <cellXfs count="6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3" fontId="0" fillId="0" borderId="0" xfId="0" applyNumberFormat="1"/>
    <xf numFmtId="0" fontId="1" fillId="4" borderId="0" xfId="0" applyFont="1" applyFill="1"/>
    <xf numFmtId="3" fontId="1" fillId="4" borderId="0" xfId="0" applyNumberFormat="1" applyFont="1" applyFill="1"/>
    <xf numFmtId="176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177" fontId="0" fillId="0" borderId="0" xfId="0" applyNumberFormat="1"/>
    <xf numFmtId="2" fontId="0" fillId="0" borderId="0" xfId="0" applyNumberFormat="1"/>
    <xf numFmtId="0" fontId="1" fillId="3" borderId="0" xfId="0" applyFont="1" applyFill="1"/>
    <xf numFmtId="3" fontId="1" fillId="3" borderId="0" xfId="0" applyNumberFormat="1" applyFont="1" applyFill="1"/>
    <xf numFmtId="2" fontId="1" fillId="3" borderId="0" xfId="0" applyNumberFormat="1" applyFont="1" applyFill="1"/>
    <xf numFmtId="0" fontId="1" fillId="5" borderId="0" xfId="0" applyFont="1" applyFill="1"/>
    <xf numFmtId="3" fontId="1" fillId="5" borderId="0" xfId="0" applyNumberFormat="1" applyFont="1" applyFill="1"/>
    <xf numFmtId="2" fontId="1" fillId="5" borderId="0" xfId="0" applyNumberFormat="1" applyFont="1" applyFill="1"/>
    <xf numFmtId="177" fontId="1" fillId="4" borderId="0" xfId="0" applyNumberFormat="1" applyFont="1" applyFill="1"/>
    <xf numFmtId="2" fontId="1" fillId="4" borderId="0" xfId="0" applyNumberFormat="1" applyFont="1" applyFill="1"/>
    <xf numFmtId="177" fontId="1" fillId="3" borderId="0" xfId="0" applyNumberFormat="1" applyFont="1" applyFill="1"/>
    <xf numFmtId="41" fontId="0" fillId="0" borderId="0" xfId="1" applyFont="1" applyAlignment="1"/>
    <xf numFmtId="41" fontId="1" fillId="2" borderId="0" xfId="1" applyFont="1" applyFill="1" applyAlignment="1">
      <alignment horizontal="center" vertical="center" wrapText="1"/>
    </xf>
    <xf numFmtId="41" fontId="1" fillId="3" borderId="0" xfId="1" applyFont="1" applyFill="1" applyAlignment="1"/>
    <xf numFmtId="41" fontId="1" fillId="4" borderId="0" xfId="1" applyFont="1" applyFill="1" applyAlignment="1"/>
    <xf numFmtId="0" fontId="5" fillId="0" borderId="0" xfId="0" applyFont="1"/>
    <xf numFmtId="0" fontId="6" fillId="0" borderId="0" xfId="0" applyFont="1"/>
    <xf numFmtId="0" fontId="7" fillId="5" borderId="0" xfId="0" applyFont="1" applyFill="1"/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3" fontId="0" fillId="0" borderId="6" xfId="0" applyNumberFormat="1" applyBorder="1"/>
    <xf numFmtId="0" fontId="1" fillId="3" borderId="4" xfId="0" applyFont="1" applyFill="1" applyBorder="1"/>
    <xf numFmtId="0" fontId="1" fillId="3" borderId="5" xfId="0" applyFont="1" applyFill="1" applyBorder="1"/>
    <xf numFmtId="3" fontId="1" fillId="3" borderId="5" xfId="0" applyNumberFormat="1" applyFont="1" applyFill="1" applyBorder="1"/>
    <xf numFmtId="3" fontId="1" fillId="3" borderId="6" xfId="0" applyNumberFormat="1" applyFont="1" applyFill="1" applyBorder="1"/>
    <xf numFmtId="0" fontId="6" fillId="0" borderId="5" xfId="0" applyFont="1" applyBorder="1"/>
    <xf numFmtId="0" fontId="1" fillId="4" borderId="7" xfId="0" applyFont="1" applyFill="1" applyBorder="1"/>
    <xf numFmtId="0" fontId="1" fillId="4" borderId="8" xfId="0" applyFont="1" applyFill="1" applyBorder="1"/>
    <xf numFmtId="3" fontId="1" fillId="4" borderId="8" xfId="0" applyNumberFormat="1" applyFont="1" applyFill="1" applyBorder="1"/>
    <xf numFmtId="3" fontId="1" fillId="4" borderId="9" xfId="0" applyNumberFormat="1" applyFont="1" applyFill="1" applyBorder="1"/>
    <xf numFmtId="0" fontId="0" fillId="0" borderId="10" xfId="0" applyBorder="1"/>
    <xf numFmtId="0" fontId="0" fillId="0" borderId="11" xfId="0" applyBorder="1"/>
    <xf numFmtId="3" fontId="0" fillId="0" borderId="11" xfId="0" applyNumberFormat="1" applyBorder="1"/>
    <xf numFmtId="3" fontId="0" fillId="0" borderId="12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9" fillId="0" borderId="0" xfId="0" applyFont="1"/>
    <xf numFmtId="0" fontId="8" fillId="6" borderId="0" xfId="0" applyFont="1" applyFill="1" applyAlignment="1">
      <alignment horizontal="center" vertical="center" wrapText="1"/>
    </xf>
    <xf numFmtId="0" fontId="8" fillId="7" borderId="0" xfId="0" applyFont="1" applyFill="1"/>
    <xf numFmtId="3" fontId="8" fillId="7" borderId="0" xfId="0" applyNumberFormat="1" applyFont="1" applyFill="1"/>
    <xf numFmtId="0" fontId="8" fillId="7" borderId="0" xfId="0" applyFont="1" applyFill="1" applyAlignment="1">
      <alignment vertical="top" wrapText="1"/>
    </xf>
    <xf numFmtId="3" fontId="8" fillId="7" borderId="0" xfId="0" applyNumberFormat="1" applyFont="1" applyFill="1" applyAlignment="1">
      <alignment vertical="top" wrapText="1"/>
    </xf>
    <xf numFmtId="0" fontId="8" fillId="8" borderId="0" xfId="0" applyFont="1" applyFill="1" applyAlignment="1">
      <alignment vertical="top" wrapText="1"/>
    </xf>
    <xf numFmtId="3" fontId="8" fillId="8" borderId="0" xfId="0" applyNumberFormat="1" applyFont="1" applyFill="1" applyAlignment="1">
      <alignment vertical="top" wrapText="1"/>
    </xf>
    <xf numFmtId="0" fontId="0" fillId="0" borderId="0" xfId="0" applyAlignment="1">
      <alignment vertical="top" wrapText="1"/>
    </xf>
    <xf numFmtId="0" fontId="8" fillId="6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vertical="top" wrapText="1"/>
    </xf>
    <xf numFmtId="0" fontId="8" fillId="7" borderId="0" xfId="0" applyFont="1" applyFill="1" applyAlignment="1">
      <alignment vertical="top" wrapText="1"/>
    </xf>
    <xf numFmtId="0" fontId="2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left"/>
    </xf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opLeftCell="A7" workbookViewId="0"/>
  </sheetViews>
  <sheetFormatPr defaultRowHeight="16.5" x14ac:dyDescent="0.3"/>
  <cols>
    <col min="1" max="1" width="20" customWidth="1"/>
    <col min="2" max="2" width="27" customWidth="1"/>
    <col min="3" max="3" width="20" customWidth="1"/>
    <col min="4" max="4" width="30" customWidth="1"/>
    <col min="5" max="5" width="15" customWidth="1"/>
    <col min="6" max="6" width="25" customWidth="1"/>
    <col min="7" max="7" width="15" customWidth="1"/>
    <col min="8" max="8" width="26" customWidth="1"/>
  </cols>
  <sheetData>
    <row r="1" spans="1:8" ht="24" customHeight="1" x14ac:dyDescent="0.35">
      <c r="A1" s="46" t="s">
        <v>0</v>
      </c>
    </row>
    <row r="2" spans="1:8" ht="24" customHeight="1" x14ac:dyDescent="0.3"/>
    <row r="3" spans="1:8" ht="24" customHeight="1" x14ac:dyDescent="0.3">
      <c r="A3" t="s">
        <v>1</v>
      </c>
    </row>
    <row r="4" spans="1:8" ht="24" customHeight="1" x14ac:dyDescent="0.3">
      <c r="A4" t="s">
        <v>2</v>
      </c>
    </row>
    <row r="5" spans="1:8" ht="24" customHeight="1" x14ac:dyDescent="0.3">
      <c r="A5" s="47" t="s">
        <v>3</v>
      </c>
      <c r="B5" s="47" t="s">
        <v>4</v>
      </c>
      <c r="C5" s="47" t="s">
        <v>5</v>
      </c>
      <c r="D5" s="47" t="s">
        <v>6</v>
      </c>
      <c r="E5" s="47" t="s">
        <v>7</v>
      </c>
      <c r="F5" s="47" t="s">
        <v>8</v>
      </c>
      <c r="G5" s="47" t="s">
        <v>9</v>
      </c>
      <c r="H5" s="47" t="s">
        <v>10</v>
      </c>
    </row>
    <row r="6" spans="1:8" ht="24" customHeight="1" x14ac:dyDescent="0.3">
      <c r="A6" t="s">
        <v>11</v>
      </c>
      <c r="B6" t="s">
        <v>12</v>
      </c>
      <c r="C6" t="s">
        <v>13</v>
      </c>
      <c r="D6" s="2">
        <v>115856514</v>
      </c>
      <c r="E6" s="2">
        <v>519405822</v>
      </c>
      <c r="F6" s="2">
        <v>35734886</v>
      </c>
      <c r="G6" s="2">
        <v>670997222</v>
      </c>
    </row>
    <row r="7" spans="1:8" ht="24" customHeight="1" x14ac:dyDescent="0.3">
      <c r="A7" t="s">
        <v>14</v>
      </c>
      <c r="B7" t="s">
        <v>15</v>
      </c>
      <c r="C7" t="s">
        <v>16</v>
      </c>
      <c r="D7" s="2">
        <v>84435224</v>
      </c>
      <c r="E7" s="2">
        <v>401743339</v>
      </c>
      <c r="F7" s="2">
        <v>46174874</v>
      </c>
      <c r="G7" s="2">
        <v>532353437</v>
      </c>
    </row>
    <row r="8" spans="1:8" ht="24" customHeight="1" x14ac:dyDescent="0.3">
      <c r="A8" t="s">
        <v>17</v>
      </c>
      <c r="B8" t="s">
        <v>18</v>
      </c>
      <c r="C8" t="s">
        <v>19</v>
      </c>
      <c r="D8" s="2">
        <v>381224824</v>
      </c>
      <c r="E8" s="2">
        <v>1741229079</v>
      </c>
      <c r="F8" s="2">
        <v>347578180</v>
      </c>
      <c r="G8" s="2">
        <v>2470032083</v>
      </c>
    </row>
    <row r="9" spans="1:8" ht="24" customHeight="1" x14ac:dyDescent="0.3">
      <c r="A9" t="s">
        <v>17</v>
      </c>
      <c r="B9" t="s">
        <v>18</v>
      </c>
      <c r="C9" t="s">
        <v>20</v>
      </c>
      <c r="D9" s="2">
        <v>600710000</v>
      </c>
      <c r="E9" s="2">
        <v>386951000</v>
      </c>
      <c r="F9" s="2">
        <v>30172000</v>
      </c>
      <c r="G9" s="2">
        <v>1017833000</v>
      </c>
      <c r="H9" t="s">
        <v>21</v>
      </c>
    </row>
    <row r="10" spans="1:8" ht="24" customHeight="1" x14ac:dyDescent="0.3">
      <c r="A10" t="s">
        <v>22</v>
      </c>
      <c r="B10" t="s">
        <v>23</v>
      </c>
      <c r="C10" t="s">
        <v>24</v>
      </c>
      <c r="D10" s="2">
        <v>341175859</v>
      </c>
      <c r="E10" s="2">
        <v>1079591249</v>
      </c>
      <c r="F10" s="2">
        <v>302642322</v>
      </c>
      <c r="G10" s="2">
        <v>1723409430</v>
      </c>
    </row>
    <row r="11" spans="1:8" ht="24" customHeight="1" x14ac:dyDescent="0.3">
      <c r="A11" t="s">
        <v>25</v>
      </c>
      <c r="B11" t="s">
        <v>26</v>
      </c>
      <c r="C11" t="s">
        <v>27</v>
      </c>
      <c r="D11" s="2">
        <v>0</v>
      </c>
      <c r="E11" s="2">
        <v>0</v>
      </c>
      <c r="F11" s="2">
        <v>31458312</v>
      </c>
      <c r="G11" s="2">
        <v>31458312</v>
      </c>
    </row>
    <row r="12" spans="1:8" ht="24" customHeight="1" x14ac:dyDescent="0.3">
      <c r="A12" s="48" t="s">
        <v>28</v>
      </c>
      <c r="B12" s="48"/>
      <c r="C12" s="48" t="s">
        <v>29</v>
      </c>
      <c r="D12" s="49">
        <v>1523402421</v>
      </c>
      <c r="E12" s="49">
        <v>4128920489</v>
      </c>
      <c r="F12" s="49">
        <v>793760574</v>
      </c>
      <c r="G12" s="49">
        <v>6446083484</v>
      </c>
      <c r="H12" s="48" t="s">
        <v>30</v>
      </c>
    </row>
    <row r="13" spans="1:8" ht="24" customHeight="1" x14ac:dyDescent="0.3"/>
    <row r="14" spans="1:8" ht="24" customHeight="1" x14ac:dyDescent="0.3">
      <c r="A14" t="s">
        <v>31</v>
      </c>
    </row>
    <row r="15" spans="1:8" ht="24" customHeight="1" x14ac:dyDescent="0.3">
      <c r="A15" s="47" t="s">
        <v>32</v>
      </c>
      <c r="B15" s="47" t="s">
        <v>13</v>
      </c>
      <c r="C15" s="47" t="s">
        <v>16</v>
      </c>
      <c r="D15" s="47" t="s">
        <v>19</v>
      </c>
      <c r="E15" s="47" t="s">
        <v>20</v>
      </c>
      <c r="F15" s="47" t="s">
        <v>24</v>
      </c>
      <c r="G15" s="47" t="s">
        <v>27</v>
      </c>
      <c r="H15" s="47" t="s">
        <v>28</v>
      </c>
    </row>
    <row r="16" spans="1:8" ht="24" customHeight="1" x14ac:dyDescent="0.3">
      <c r="A16" t="s">
        <v>33</v>
      </c>
      <c r="B16" s="2">
        <v>102322947</v>
      </c>
      <c r="C16" s="2">
        <v>79143438</v>
      </c>
      <c r="D16" s="2">
        <v>343022129</v>
      </c>
      <c r="E16" s="2">
        <v>76229347</v>
      </c>
      <c r="F16" s="2">
        <v>212679476</v>
      </c>
      <c r="G16" s="2">
        <v>0</v>
      </c>
      <c r="H16" s="2">
        <f t="shared" ref="H16:H21" si="0">B16+C16+D16+E16+F16+G16</f>
        <v>813397337</v>
      </c>
    </row>
    <row r="17" spans="1:8" ht="24" customHeight="1" x14ac:dyDescent="0.3">
      <c r="A17" t="s">
        <v>34</v>
      </c>
      <c r="B17" s="2">
        <v>926519661</v>
      </c>
      <c r="C17" s="2">
        <v>730139087</v>
      </c>
      <c r="D17" s="2">
        <v>3321061676</v>
      </c>
      <c r="E17" s="2">
        <v>1264276727</v>
      </c>
      <c r="F17" s="2">
        <v>2264694918</v>
      </c>
      <c r="G17" s="2">
        <v>31867270</v>
      </c>
      <c r="H17" s="2">
        <f t="shared" si="0"/>
        <v>8538559339</v>
      </c>
    </row>
    <row r="18" spans="1:8" ht="24" customHeight="1" x14ac:dyDescent="0.3">
      <c r="A18" t="s">
        <v>35</v>
      </c>
      <c r="B18" s="2">
        <v>74121573</v>
      </c>
      <c r="C18" s="2">
        <v>58411127</v>
      </c>
      <c r="D18" s="2">
        <v>265684934</v>
      </c>
      <c r="E18" s="2">
        <v>101142138</v>
      </c>
      <c r="F18" s="2">
        <v>181175593</v>
      </c>
      <c r="G18" s="2">
        <v>2549382</v>
      </c>
      <c r="H18" s="2">
        <f t="shared" si="0"/>
        <v>683084747</v>
      </c>
    </row>
    <row r="19" spans="1:8" ht="24" customHeight="1" x14ac:dyDescent="0.3">
      <c r="A19" t="s">
        <v>36</v>
      </c>
      <c r="B19" s="2">
        <v>132717708</v>
      </c>
      <c r="C19" s="2">
        <v>105617249</v>
      </c>
      <c r="D19" s="2">
        <v>480828268</v>
      </c>
      <c r="E19" s="2">
        <v>114706330</v>
      </c>
      <c r="F19" s="2">
        <v>315704198</v>
      </c>
      <c r="G19" s="2">
        <v>5162498</v>
      </c>
      <c r="H19" s="2">
        <f t="shared" si="0"/>
        <v>1154736251</v>
      </c>
    </row>
    <row r="20" spans="1:8" ht="24" customHeight="1" x14ac:dyDescent="0.3">
      <c r="A20" t="s">
        <v>37</v>
      </c>
      <c r="B20" s="2">
        <v>118315823</v>
      </c>
      <c r="C20" s="2">
        <v>93353978</v>
      </c>
      <c r="D20" s="2">
        <v>424856086</v>
      </c>
      <c r="E20" s="2">
        <v>155020931</v>
      </c>
      <c r="F20" s="2">
        <v>288602477</v>
      </c>
      <c r="G20" s="2">
        <v>4158539</v>
      </c>
      <c r="H20" s="2">
        <f t="shared" si="0"/>
        <v>1084307834</v>
      </c>
    </row>
    <row r="21" spans="1:8" ht="24" customHeight="1" x14ac:dyDescent="0.3">
      <c r="A21" s="48" t="s">
        <v>38</v>
      </c>
      <c r="B21" s="49">
        <v>1301474051</v>
      </c>
      <c r="C21" s="49">
        <v>1026893755</v>
      </c>
      <c r="D21" s="49">
        <v>4673416942</v>
      </c>
      <c r="E21" s="49">
        <v>1705230242</v>
      </c>
      <c r="F21" s="49">
        <v>3174627245</v>
      </c>
      <c r="G21" s="49">
        <v>45743924</v>
      </c>
      <c r="H21" s="49">
        <f t="shared" si="0"/>
        <v>11927386159</v>
      </c>
    </row>
    <row r="22" spans="1:8" ht="24" customHeight="1" x14ac:dyDescent="0.3">
      <c r="A22" t="s">
        <v>39</v>
      </c>
      <c r="B22" s="5">
        <f>IF(G6=0,0,B21/G6)</f>
        <v>1.939611682922884</v>
      </c>
      <c r="C22" s="5">
        <f>IF(G7=0,0,C21/G7)</f>
        <v>1.9289698978688101</v>
      </c>
      <c r="D22" s="5">
        <f>IF(G8=0,0,D21/G8)</f>
        <v>1.8920470605077562</v>
      </c>
      <c r="E22" s="5">
        <f>IF(G9=0,0,E21/G9)</f>
        <v>1.675353660178045</v>
      </c>
      <c r="F22" s="5">
        <f>IF(G10=0,0,F21/G10)</f>
        <v>1.8420621297169066</v>
      </c>
      <c r="G22" s="5">
        <f>IF(G11=0,0,G21/G11)</f>
        <v>1.4541124774908456</v>
      </c>
      <c r="H22" s="5">
        <f>IF(G12=0,0,H21/G12)</f>
        <v>1.8503306990369099</v>
      </c>
    </row>
    <row r="23" spans="1:8" ht="24" customHeight="1" x14ac:dyDescent="0.3"/>
    <row r="24" spans="1:8" ht="24" customHeight="1" x14ac:dyDescent="0.3">
      <c r="A24" t="s">
        <v>40</v>
      </c>
    </row>
    <row r="25" spans="1:8" ht="24" customHeight="1" x14ac:dyDescent="0.3">
      <c r="A25" s="47" t="s">
        <v>41</v>
      </c>
      <c r="B25" s="47" t="s">
        <v>32</v>
      </c>
      <c r="C25" s="47" t="s">
        <v>42</v>
      </c>
      <c r="D25" s="55" t="s">
        <v>43</v>
      </c>
      <c r="E25" s="55"/>
      <c r="F25" s="55" t="s">
        <v>10</v>
      </c>
      <c r="G25" s="55"/>
    </row>
    <row r="26" spans="1:8" ht="24" customHeight="1" x14ac:dyDescent="0.3">
      <c r="A26" s="50" t="s">
        <v>44</v>
      </c>
      <c r="B26" s="50" t="s">
        <v>9</v>
      </c>
      <c r="C26" s="51">
        <v>6446083486</v>
      </c>
      <c r="D26" s="57" t="s">
        <v>45</v>
      </c>
      <c r="E26" s="57"/>
      <c r="F26" s="57" t="s">
        <v>46</v>
      </c>
      <c r="G26" s="57"/>
    </row>
    <row r="27" spans="1:8" ht="24" customHeight="1" x14ac:dyDescent="0.3">
      <c r="A27" s="6"/>
      <c r="B27" s="6" t="s">
        <v>47</v>
      </c>
      <c r="C27" s="7">
        <v>1523402421</v>
      </c>
      <c r="D27" s="54"/>
      <c r="E27" s="54"/>
      <c r="F27" s="54"/>
      <c r="G27" s="54"/>
    </row>
    <row r="28" spans="1:8" ht="24" customHeight="1" x14ac:dyDescent="0.3">
      <c r="A28" s="6"/>
      <c r="B28" s="6" t="s">
        <v>48</v>
      </c>
      <c r="C28" s="7">
        <v>4128920489</v>
      </c>
      <c r="D28" s="54"/>
      <c r="E28" s="54"/>
      <c r="F28" s="54"/>
      <c r="G28" s="54"/>
    </row>
    <row r="29" spans="1:8" ht="24" customHeight="1" x14ac:dyDescent="0.3">
      <c r="A29" s="6"/>
      <c r="B29" s="6" t="s">
        <v>49</v>
      </c>
      <c r="C29" s="7">
        <v>793760574</v>
      </c>
      <c r="D29" s="54"/>
      <c r="E29" s="54"/>
      <c r="F29" s="54"/>
      <c r="G29" s="54"/>
    </row>
    <row r="30" spans="1:8" ht="24" customHeight="1" x14ac:dyDescent="0.3">
      <c r="A30" s="6" t="s">
        <v>50</v>
      </c>
      <c r="B30" s="6" t="s">
        <v>33</v>
      </c>
      <c r="C30" s="7">
        <v>813397337</v>
      </c>
      <c r="D30" s="54" t="s">
        <v>51</v>
      </c>
      <c r="E30" s="54"/>
      <c r="F30" s="54" t="s">
        <v>46</v>
      </c>
      <c r="G30" s="54"/>
    </row>
    <row r="31" spans="1:8" ht="24" customHeight="1" x14ac:dyDescent="0.3">
      <c r="A31" s="52"/>
      <c r="B31" s="52" t="s">
        <v>52</v>
      </c>
      <c r="C31" s="53">
        <v>4942317826</v>
      </c>
      <c r="D31" s="56"/>
      <c r="E31" s="56"/>
      <c r="F31" s="56" t="s">
        <v>46</v>
      </c>
      <c r="G31" s="56"/>
    </row>
    <row r="32" spans="1:8" ht="24" customHeight="1" x14ac:dyDescent="0.3">
      <c r="A32" s="6" t="s">
        <v>53</v>
      </c>
      <c r="B32" s="6" t="s">
        <v>54</v>
      </c>
      <c r="C32" s="7">
        <v>175946514</v>
      </c>
      <c r="D32" s="54" t="s">
        <v>55</v>
      </c>
      <c r="E32" s="54"/>
      <c r="F32" s="54" t="s">
        <v>46</v>
      </c>
      <c r="G32" s="54"/>
    </row>
    <row r="33" spans="1:7" ht="24" customHeight="1" x14ac:dyDescent="0.3">
      <c r="A33" s="6" t="s">
        <v>53</v>
      </c>
      <c r="B33" s="6" t="s">
        <v>56</v>
      </c>
      <c r="C33" s="7">
        <v>49917410</v>
      </c>
      <c r="D33" s="54" t="s">
        <v>57</v>
      </c>
      <c r="E33" s="54"/>
      <c r="F33" s="54" t="s">
        <v>46</v>
      </c>
      <c r="G33" s="54"/>
    </row>
    <row r="34" spans="1:7" ht="24" customHeight="1" x14ac:dyDescent="0.3">
      <c r="A34" s="6" t="s">
        <v>53</v>
      </c>
      <c r="B34" s="6" t="s">
        <v>58</v>
      </c>
      <c r="C34" s="7">
        <v>148434690</v>
      </c>
      <c r="D34" s="54" t="s">
        <v>59</v>
      </c>
      <c r="E34" s="54"/>
      <c r="F34" s="54" t="s">
        <v>46</v>
      </c>
      <c r="G34" s="54"/>
    </row>
    <row r="35" spans="1:7" ht="24" customHeight="1" x14ac:dyDescent="0.3">
      <c r="A35" s="6" t="s">
        <v>53</v>
      </c>
      <c r="B35" s="6" t="s">
        <v>60</v>
      </c>
      <c r="C35" s="7">
        <v>196123723</v>
      </c>
      <c r="D35" s="54" t="s">
        <v>61</v>
      </c>
      <c r="E35" s="54"/>
      <c r="F35" s="54" t="s">
        <v>46</v>
      </c>
      <c r="G35" s="54"/>
    </row>
    <row r="36" spans="1:7" ht="24" customHeight="1" x14ac:dyDescent="0.3">
      <c r="A36" s="6" t="s">
        <v>53</v>
      </c>
      <c r="B36" s="6" t="s">
        <v>62</v>
      </c>
      <c r="C36" s="7">
        <v>19504319</v>
      </c>
      <c r="D36" s="54" t="s">
        <v>63</v>
      </c>
      <c r="E36" s="54"/>
      <c r="F36" s="54" t="s">
        <v>46</v>
      </c>
      <c r="G36" s="54"/>
    </row>
    <row r="37" spans="1:7" ht="24" customHeight="1" x14ac:dyDescent="0.3">
      <c r="A37" s="6" t="s">
        <v>53</v>
      </c>
      <c r="B37" s="6" t="s">
        <v>64</v>
      </c>
      <c r="C37" s="7">
        <v>159218077</v>
      </c>
      <c r="D37" s="54" t="s">
        <v>65</v>
      </c>
      <c r="E37" s="54"/>
      <c r="F37" s="54" t="s">
        <v>46</v>
      </c>
      <c r="G37" s="54"/>
    </row>
    <row r="38" spans="1:7" ht="24" customHeight="1" x14ac:dyDescent="0.3">
      <c r="A38" s="6" t="s">
        <v>53</v>
      </c>
      <c r="B38" s="6" t="s">
        <v>66</v>
      </c>
      <c r="C38" s="7">
        <v>446134697</v>
      </c>
      <c r="D38" s="54" t="s">
        <v>67</v>
      </c>
      <c r="E38" s="54"/>
      <c r="F38" s="54" t="s">
        <v>46</v>
      </c>
      <c r="G38" s="54"/>
    </row>
    <row r="39" spans="1:7" ht="24" customHeight="1" x14ac:dyDescent="0.3">
      <c r="A39" s="6" t="s">
        <v>53</v>
      </c>
      <c r="B39" s="6" t="s">
        <v>68</v>
      </c>
      <c r="C39" s="7">
        <v>25784334</v>
      </c>
      <c r="D39" s="54" t="s">
        <v>69</v>
      </c>
      <c r="E39" s="54"/>
      <c r="F39" s="54" t="s">
        <v>46</v>
      </c>
      <c r="G39" s="54"/>
    </row>
    <row r="40" spans="1:7" ht="24" customHeight="1" x14ac:dyDescent="0.3">
      <c r="A40" s="6" t="s">
        <v>53</v>
      </c>
      <c r="B40" s="6" t="s">
        <v>70</v>
      </c>
      <c r="C40" s="7">
        <v>58014752</v>
      </c>
      <c r="D40" s="54" t="s">
        <v>71</v>
      </c>
      <c r="E40" s="54"/>
      <c r="F40" s="54" t="s">
        <v>46</v>
      </c>
      <c r="G40" s="54"/>
    </row>
    <row r="41" spans="1:7" ht="24" customHeight="1" x14ac:dyDescent="0.3">
      <c r="A41" s="52"/>
      <c r="B41" s="52" t="s">
        <v>72</v>
      </c>
      <c r="C41" s="53">
        <v>2072839091</v>
      </c>
      <c r="D41" s="56"/>
      <c r="E41" s="56"/>
      <c r="F41" s="56" t="s">
        <v>46</v>
      </c>
      <c r="G41" s="56"/>
    </row>
    <row r="42" spans="1:7" ht="24" customHeight="1" x14ac:dyDescent="0.3">
      <c r="A42" s="50" t="s">
        <v>73</v>
      </c>
      <c r="B42" s="50" t="s">
        <v>34</v>
      </c>
      <c r="C42" s="51">
        <v>8538559339</v>
      </c>
      <c r="D42" s="57" t="s">
        <v>74</v>
      </c>
      <c r="E42" s="57"/>
      <c r="F42" s="57" t="s">
        <v>46</v>
      </c>
      <c r="G42" s="57"/>
    </row>
    <row r="43" spans="1:7" ht="24" customHeight="1" x14ac:dyDescent="0.3">
      <c r="A43" s="6" t="s">
        <v>75</v>
      </c>
      <c r="B43" s="6" t="s">
        <v>35</v>
      </c>
      <c r="C43" s="7">
        <v>683084747</v>
      </c>
      <c r="D43" s="54" t="s">
        <v>76</v>
      </c>
      <c r="E43" s="54"/>
      <c r="F43" s="54" t="s">
        <v>46</v>
      </c>
      <c r="G43" s="54"/>
    </row>
    <row r="44" spans="1:7" ht="24" customHeight="1" x14ac:dyDescent="0.3">
      <c r="A44" s="6" t="s">
        <v>77</v>
      </c>
      <c r="B44" s="6" t="s">
        <v>36</v>
      </c>
      <c r="C44" s="7">
        <v>1154736251</v>
      </c>
      <c r="D44" s="54" t="s">
        <v>78</v>
      </c>
      <c r="E44" s="54"/>
      <c r="F44" s="54" t="s">
        <v>46</v>
      </c>
      <c r="G44" s="54"/>
    </row>
    <row r="45" spans="1:7" ht="24" customHeight="1" x14ac:dyDescent="0.3">
      <c r="A45" s="6" t="s">
        <v>79</v>
      </c>
      <c r="B45" s="6" t="s">
        <v>80</v>
      </c>
      <c r="C45" s="7">
        <v>31129141</v>
      </c>
      <c r="D45" s="54" t="s">
        <v>81</v>
      </c>
      <c r="E45" s="54"/>
      <c r="F45" s="54" t="s">
        <v>46</v>
      </c>
      <c r="G45" s="54"/>
    </row>
    <row r="46" spans="1:7" ht="24" customHeight="1" x14ac:dyDescent="0.3">
      <c r="A46" s="6" t="s">
        <v>79</v>
      </c>
      <c r="B46" s="6" t="s">
        <v>82</v>
      </c>
      <c r="C46" s="7">
        <v>435568849</v>
      </c>
      <c r="D46" s="54" t="s">
        <v>83</v>
      </c>
      <c r="E46" s="54"/>
      <c r="F46" s="54" t="s">
        <v>46</v>
      </c>
      <c r="G46" s="54"/>
    </row>
    <row r="47" spans="1:7" ht="24" customHeight="1" x14ac:dyDescent="0.3">
      <c r="A47" s="52"/>
      <c r="B47" s="52" t="s">
        <v>84</v>
      </c>
      <c r="C47" s="53">
        <v>10843078326</v>
      </c>
      <c r="D47" s="56" t="s">
        <v>85</v>
      </c>
      <c r="E47" s="56"/>
      <c r="F47" s="56" t="s">
        <v>46</v>
      </c>
      <c r="G47" s="56"/>
    </row>
    <row r="48" spans="1:7" ht="24" customHeight="1" x14ac:dyDescent="0.3">
      <c r="A48" s="6"/>
      <c r="B48" s="6" t="s">
        <v>86</v>
      </c>
      <c r="C48" s="7">
        <v>1084307834</v>
      </c>
      <c r="D48" s="54" t="s">
        <v>87</v>
      </c>
      <c r="E48" s="54"/>
      <c r="F48" s="54" t="s">
        <v>46</v>
      </c>
      <c r="G48" s="54"/>
    </row>
    <row r="49" spans="1:7" ht="24" customHeight="1" x14ac:dyDescent="0.3">
      <c r="A49" s="50" t="s">
        <v>88</v>
      </c>
      <c r="B49" s="50" t="s">
        <v>89</v>
      </c>
      <c r="C49" s="51">
        <v>11927386159</v>
      </c>
      <c r="D49" s="57" t="s">
        <v>90</v>
      </c>
      <c r="E49" s="57"/>
      <c r="F49" s="57" t="s">
        <v>46</v>
      </c>
      <c r="G49" s="57"/>
    </row>
  </sheetData>
  <mergeCells count="50">
    <mergeCell ref="F48:G48"/>
    <mergeCell ref="D33:E33"/>
    <mergeCell ref="D29:E29"/>
    <mergeCell ref="D38:E38"/>
    <mergeCell ref="F49:G49"/>
    <mergeCell ref="F44:G44"/>
    <mergeCell ref="D44:E44"/>
    <mergeCell ref="D35:E35"/>
    <mergeCell ref="F28:G28"/>
    <mergeCell ref="F27:G27"/>
    <mergeCell ref="D39:E39"/>
    <mergeCell ref="D25:E25"/>
    <mergeCell ref="F43:G43"/>
    <mergeCell ref="F37:G37"/>
    <mergeCell ref="F39:G39"/>
    <mergeCell ref="D30:E30"/>
    <mergeCell ref="D42:E42"/>
    <mergeCell ref="D26:E26"/>
    <mergeCell ref="D49:E49"/>
    <mergeCell ref="D27:E27"/>
    <mergeCell ref="F33:G33"/>
    <mergeCell ref="F45:G45"/>
    <mergeCell ref="D32:E32"/>
    <mergeCell ref="F36:G36"/>
    <mergeCell ref="F42:G42"/>
    <mergeCell ref="F32:G32"/>
    <mergeCell ref="D41:E41"/>
    <mergeCell ref="F41:G41"/>
    <mergeCell ref="D48:E48"/>
    <mergeCell ref="F35:G35"/>
    <mergeCell ref="D47:E47"/>
    <mergeCell ref="F47:G47"/>
    <mergeCell ref="F38:G38"/>
    <mergeCell ref="D43:E43"/>
    <mergeCell ref="F29:G29"/>
    <mergeCell ref="D34:E34"/>
    <mergeCell ref="F25:G25"/>
    <mergeCell ref="F34:G34"/>
    <mergeCell ref="D46:E46"/>
    <mergeCell ref="D40:E40"/>
    <mergeCell ref="D36:E36"/>
    <mergeCell ref="D31:E31"/>
    <mergeCell ref="F40:G40"/>
    <mergeCell ref="D45:E45"/>
    <mergeCell ref="F30:G30"/>
    <mergeCell ref="F26:G26"/>
    <mergeCell ref="D37:E37"/>
    <mergeCell ref="F31:G31"/>
    <mergeCell ref="D28:E28"/>
    <mergeCell ref="F46:G46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55"/>
  <sheetViews>
    <sheetView topLeftCell="A7" workbookViewId="0">
      <selection activeCell="L15" sqref="L15"/>
    </sheetView>
  </sheetViews>
  <sheetFormatPr defaultRowHeight="16.5" x14ac:dyDescent="0.3"/>
  <cols>
    <col min="1" max="1" width="20" bestFit="1" customWidth="1"/>
    <col min="2" max="2" width="6" bestFit="1" customWidth="1"/>
    <col min="3" max="3" width="15" bestFit="1" customWidth="1"/>
    <col min="4" max="4" width="20" bestFit="1" customWidth="1"/>
    <col min="5" max="7" width="10" bestFit="1" customWidth="1"/>
    <col min="8" max="9" width="15" customWidth="1"/>
    <col min="10" max="10" width="15" bestFit="1" customWidth="1"/>
    <col min="11" max="11" width="15" customWidth="1"/>
    <col min="12" max="12" width="19" bestFit="1" customWidth="1"/>
  </cols>
  <sheetData>
    <row r="1" spans="1:12" ht="24" customHeight="1" x14ac:dyDescent="0.35">
      <c r="A1" s="58" t="s">
        <v>91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1:12" ht="24" customHeight="1" x14ac:dyDescent="0.3"/>
    <row r="3" spans="1:12" ht="24" customHeight="1" x14ac:dyDescent="0.3">
      <c r="A3" s="1" t="s">
        <v>3</v>
      </c>
      <c r="B3" s="1" t="s">
        <v>4</v>
      </c>
      <c r="C3" s="1" t="s">
        <v>5</v>
      </c>
      <c r="D3" s="1" t="s">
        <v>92</v>
      </c>
      <c r="E3" s="1" t="s">
        <v>93</v>
      </c>
      <c r="F3" s="1" t="s">
        <v>94</v>
      </c>
      <c r="G3" s="1" t="s">
        <v>95</v>
      </c>
      <c r="H3" s="1" t="s">
        <v>6</v>
      </c>
      <c r="I3" s="1" t="s">
        <v>7</v>
      </c>
      <c r="J3" s="1" t="s">
        <v>8</v>
      </c>
      <c r="K3" s="1" t="s">
        <v>28</v>
      </c>
      <c r="L3" s="1" t="s">
        <v>96</v>
      </c>
    </row>
    <row r="4" spans="1:12" ht="24" customHeight="1" x14ac:dyDescent="0.3">
      <c r="A4" t="s">
        <v>11</v>
      </c>
      <c r="B4" t="s">
        <v>12</v>
      </c>
      <c r="C4" t="s">
        <v>13</v>
      </c>
      <c r="D4" t="s">
        <v>97</v>
      </c>
      <c r="E4">
        <v>0</v>
      </c>
      <c r="F4">
        <v>1</v>
      </c>
      <c r="G4" s="8">
        <v>0</v>
      </c>
      <c r="H4" s="2">
        <v>0</v>
      </c>
      <c r="I4" s="2">
        <v>0</v>
      </c>
      <c r="J4" s="2">
        <v>0</v>
      </c>
      <c r="K4" s="2">
        <v>0</v>
      </c>
      <c r="L4" s="9">
        <v>0</v>
      </c>
    </row>
    <row r="5" spans="1:12" ht="24" customHeight="1" x14ac:dyDescent="0.3">
      <c r="A5" t="s">
        <v>11</v>
      </c>
      <c r="B5" t="s">
        <v>12</v>
      </c>
      <c r="C5" t="s">
        <v>13</v>
      </c>
      <c r="D5" t="s">
        <v>98</v>
      </c>
      <c r="E5">
        <v>21</v>
      </c>
      <c r="F5">
        <v>21</v>
      </c>
      <c r="G5" s="8">
        <v>1</v>
      </c>
      <c r="H5" s="2">
        <v>10163806</v>
      </c>
      <c r="I5" s="2">
        <v>30847384</v>
      </c>
      <c r="J5" s="2">
        <v>12145548</v>
      </c>
      <c r="K5" s="2">
        <v>53156738</v>
      </c>
      <c r="L5" s="9">
        <v>0.53156738000000003</v>
      </c>
    </row>
    <row r="6" spans="1:12" ht="24" customHeight="1" x14ac:dyDescent="0.3">
      <c r="A6" t="s">
        <v>11</v>
      </c>
      <c r="B6" t="s">
        <v>12</v>
      </c>
      <c r="C6" t="s">
        <v>13</v>
      </c>
      <c r="D6" t="s">
        <v>99</v>
      </c>
      <c r="E6">
        <v>38</v>
      </c>
      <c r="F6">
        <v>42</v>
      </c>
      <c r="G6" s="8">
        <v>0.90476190476190477</v>
      </c>
      <c r="H6" s="2">
        <v>10110091.835999999</v>
      </c>
      <c r="I6" s="2">
        <v>57050724.278999999</v>
      </c>
      <c r="J6" s="2">
        <v>5814386</v>
      </c>
      <c r="K6" s="2">
        <v>72975202.11500001</v>
      </c>
      <c r="L6" s="9">
        <v>0.72975202115000004</v>
      </c>
    </row>
    <row r="7" spans="1:12" ht="24" customHeight="1" x14ac:dyDescent="0.3">
      <c r="A7" t="s">
        <v>11</v>
      </c>
      <c r="B7" t="s">
        <v>12</v>
      </c>
      <c r="C7" t="s">
        <v>13</v>
      </c>
      <c r="D7" t="s">
        <v>100</v>
      </c>
      <c r="E7">
        <v>46</v>
      </c>
      <c r="F7">
        <v>53</v>
      </c>
      <c r="G7" s="8">
        <v>0.86792452830188682</v>
      </c>
      <c r="H7" s="2">
        <v>25531309</v>
      </c>
      <c r="I7" s="2">
        <v>181022224</v>
      </c>
      <c r="J7" s="2">
        <v>14034229</v>
      </c>
      <c r="K7" s="2">
        <v>220587762</v>
      </c>
      <c r="L7" s="9">
        <v>2.2058776199999999</v>
      </c>
    </row>
    <row r="8" spans="1:12" ht="24" customHeight="1" x14ac:dyDescent="0.3">
      <c r="A8" t="s">
        <v>11</v>
      </c>
      <c r="B8" t="s">
        <v>12</v>
      </c>
      <c r="C8" t="s">
        <v>13</v>
      </c>
      <c r="D8" t="s">
        <v>101</v>
      </c>
      <c r="E8">
        <v>21</v>
      </c>
      <c r="F8">
        <v>23</v>
      </c>
      <c r="G8" s="8">
        <v>0.91304347826086951</v>
      </c>
      <c r="H8" s="2">
        <v>70040560.664000005</v>
      </c>
      <c r="I8" s="2">
        <v>249705349.84599999</v>
      </c>
      <c r="J8" s="2">
        <v>3732883</v>
      </c>
      <c r="K8" s="2">
        <v>323478793.50999999</v>
      </c>
      <c r="L8" s="9">
        <v>3.2347879351</v>
      </c>
    </row>
    <row r="9" spans="1:12" ht="24" customHeight="1" x14ac:dyDescent="0.3">
      <c r="A9" t="s">
        <v>11</v>
      </c>
      <c r="B9" t="s">
        <v>12</v>
      </c>
      <c r="C9" t="s">
        <v>13</v>
      </c>
      <c r="D9" t="s">
        <v>102</v>
      </c>
      <c r="E9">
        <v>3</v>
      </c>
      <c r="F9">
        <v>3</v>
      </c>
      <c r="G9" s="8">
        <v>1</v>
      </c>
      <c r="H9" s="2">
        <v>10747</v>
      </c>
      <c r="I9" s="2">
        <v>780140</v>
      </c>
      <c r="J9" s="2">
        <v>7840</v>
      </c>
      <c r="K9" s="2">
        <v>798727</v>
      </c>
      <c r="L9" s="9">
        <v>7.9872699999999994E-3</v>
      </c>
    </row>
    <row r="10" spans="1:12" ht="24" customHeight="1" x14ac:dyDescent="0.3">
      <c r="A10" t="s">
        <v>11</v>
      </c>
      <c r="B10" t="s">
        <v>12</v>
      </c>
      <c r="C10" t="s">
        <v>13</v>
      </c>
      <c r="D10" t="s">
        <v>103</v>
      </c>
      <c r="E10">
        <v>0</v>
      </c>
      <c r="F10">
        <v>3</v>
      </c>
      <c r="G10" s="8">
        <v>0</v>
      </c>
      <c r="H10" s="2">
        <v>0</v>
      </c>
      <c r="I10" s="2">
        <v>0</v>
      </c>
      <c r="J10" s="2">
        <v>0</v>
      </c>
      <c r="K10" s="2">
        <v>0</v>
      </c>
      <c r="L10" s="9">
        <v>0</v>
      </c>
    </row>
    <row r="11" spans="1:12" ht="24" customHeight="1" x14ac:dyDescent="0.3">
      <c r="A11" t="s">
        <v>11</v>
      </c>
      <c r="B11" t="s">
        <v>12</v>
      </c>
      <c r="C11" t="s">
        <v>13</v>
      </c>
      <c r="D11" t="s">
        <v>104</v>
      </c>
      <c r="E11">
        <v>0</v>
      </c>
      <c r="F11">
        <v>1</v>
      </c>
      <c r="G11" s="8">
        <v>0</v>
      </c>
      <c r="H11" s="2">
        <v>0</v>
      </c>
      <c r="I11" s="2">
        <v>0</v>
      </c>
      <c r="J11" s="2">
        <v>0</v>
      </c>
      <c r="K11" s="2">
        <v>0</v>
      </c>
      <c r="L11" s="9">
        <v>0</v>
      </c>
    </row>
    <row r="12" spans="1:12" ht="24" customHeight="1" x14ac:dyDescent="0.3">
      <c r="A12" s="10" t="s">
        <v>11</v>
      </c>
      <c r="B12" s="10" t="s">
        <v>12</v>
      </c>
      <c r="C12" s="10" t="s">
        <v>13</v>
      </c>
      <c r="D12" s="10" t="s">
        <v>105</v>
      </c>
      <c r="E12" s="10">
        <f>회전교차로!D12</f>
        <v>129</v>
      </c>
      <c r="F12" s="10">
        <f>회전교차로!E12</f>
        <v>147</v>
      </c>
      <c r="G12" s="10">
        <f>회전교차로!F12</f>
        <v>0.87755102040816324</v>
      </c>
      <c r="H12" s="11">
        <f>회전교차로!G12</f>
        <v>115856514.5</v>
      </c>
      <c r="I12" s="11">
        <f>회전교차로!H12</f>
        <v>519405822.125</v>
      </c>
      <c r="J12" s="11">
        <f>회전교차로!I12</f>
        <v>35734886</v>
      </c>
      <c r="K12" s="11">
        <f>회전교차로!J12</f>
        <v>670997222.625</v>
      </c>
      <c r="L12" s="12">
        <f>회전교차로!K12</f>
        <v>6.7099722262499997</v>
      </c>
    </row>
    <row r="13" spans="1:12" ht="24" customHeight="1" x14ac:dyDescent="0.3">
      <c r="A13" s="13" t="s">
        <v>11</v>
      </c>
      <c r="B13" s="13"/>
      <c r="C13" s="13" t="s">
        <v>11</v>
      </c>
      <c r="D13" s="13" t="s">
        <v>106</v>
      </c>
      <c r="E13" s="13">
        <f>회전교차로!D13</f>
        <v>129</v>
      </c>
      <c r="F13" s="13">
        <f>회전교차로!E13</f>
        <v>147</v>
      </c>
      <c r="G13" s="13">
        <f>회전교차로!F13</f>
        <v>0.87755102040816324</v>
      </c>
      <c r="H13" s="14">
        <f>회전교차로!G13</f>
        <v>115856514.5</v>
      </c>
      <c r="I13" s="14">
        <f>회전교차로!H13</f>
        <v>519405822.125</v>
      </c>
      <c r="J13" s="14">
        <f>회전교차로!I13</f>
        <v>35734886</v>
      </c>
      <c r="K13" s="14">
        <f>회전교차로!J13</f>
        <v>670997222.625</v>
      </c>
      <c r="L13" s="15">
        <f>회전교차로!K13</f>
        <v>6.7099722262499997</v>
      </c>
    </row>
    <row r="14" spans="1:12" ht="24" customHeight="1" x14ac:dyDescent="0.3">
      <c r="A14" t="s">
        <v>14</v>
      </c>
      <c r="B14" t="s">
        <v>15</v>
      </c>
      <c r="C14" t="s">
        <v>16</v>
      </c>
      <c r="D14" t="s">
        <v>97</v>
      </c>
      <c r="E14">
        <v>0</v>
      </c>
      <c r="F14">
        <v>1</v>
      </c>
      <c r="G14" s="8">
        <v>0</v>
      </c>
      <c r="H14" s="2">
        <v>0</v>
      </c>
      <c r="I14" s="2">
        <v>0</v>
      </c>
      <c r="J14" s="2">
        <v>0</v>
      </c>
      <c r="K14" s="2">
        <v>0</v>
      </c>
      <c r="L14" s="9">
        <v>0</v>
      </c>
    </row>
    <row r="15" spans="1:12" ht="24" customHeight="1" x14ac:dyDescent="0.3">
      <c r="A15" t="s">
        <v>14</v>
      </c>
      <c r="B15" t="s">
        <v>15</v>
      </c>
      <c r="C15" t="s">
        <v>16</v>
      </c>
      <c r="D15" t="s">
        <v>98</v>
      </c>
      <c r="E15">
        <v>19</v>
      </c>
      <c r="F15">
        <v>19</v>
      </c>
      <c r="G15" s="8">
        <v>1</v>
      </c>
      <c r="H15" s="2">
        <v>20465208</v>
      </c>
      <c r="I15" s="2">
        <v>65102573</v>
      </c>
      <c r="J15" s="2">
        <v>25173284</v>
      </c>
      <c r="K15" s="2">
        <v>110741065</v>
      </c>
      <c r="L15" s="9">
        <v>1.1074106500000001</v>
      </c>
    </row>
    <row r="16" spans="1:12" ht="24" customHeight="1" x14ac:dyDescent="0.3">
      <c r="A16" t="s">
        <v>14</v>
      </c>
      <c r="B16" t="s">
        <v>15</v>
      </c>
      <c r="C16" t="s">
        <v>16</v>
      </c>
      <c r="D16" t="s">
        <v>99</v>
      </c>
      <c r="E16">
        <v>26</v>
      </c>
      <c r="F16">
        <v>28</v>
      </c>
      <c r="G16" s="8">
        <v>0.9285714285714286</v>
      </c>
      <c r="H16" s="2">
        <v>11851285</v>
      </c>
      <c r="I16" s="2">
        <v>79191767</v>
      </c>
      <c r="J16" s="2">
        <v>8862011</v>
      </c>
      <c r="K16" s="2">
        <v>99905063</v>
      </c>
      <c r="L16" s="9">
        <v>0.99905063000000005</v>
      </c>
    </row>
    <row r="17" spans="1:12" ht="24" customHeight="1" x14ac:dyDescent="0.3">
      <c r="A17" t="s">
        <v>14</v>
      </c>
      <c r="B17" t="s">
        <v>15</v>
      </c>
      <c r="C17" t="s">
        <v>16</v>
      </c>
      <c r="D17" t="s">
        <v>107</v>
      </c>
      <c r="E17">
        <v>17</v>
      </c>
      <c r="F17">
        <v>19</v>
      </c>
      <c r="G17" s="8">
        <v>0.89473684210526316</v>
      </c>
      <c r="H17" s="2">
        <v>885328</v>
      </c>
      <c r="I17" s="2">
        <v>20516305</v>
      </c>
      <c r="J17" s="2">
        <v>467412</v>
      </c>
      <c r="K17" s="2">
        <v>21869045</v>
      </c>
      <c r="L17" s="9">
        <v>0.21869045000000001</v>
      </c>
    </row>
    <row r="18" spans="1:12" ht="24" customHeight="1" x14ac:dyDescent="0.3">
      <c r="A18" t="s">
        <v>14</v>
      </c>
      <c r="B18" t="s">
        <v>15</v>
      </c>
      <c r="C18" t="s">
        <v>16</v>
      </c>
      <c r="D18" t="s">
        <v>108</v>
      </c>
      <c r="E18">
        <v>50</v>
      </c>
      <c r="F18">
        <v>56</v>
      </c>
      <c r="G18" s="8">
        <v>0.8928571428571429</v>
      </c>
      <c r="H18" s="2">
        <v>16880940</v>
      </c>
      <c r="I18" s="2">
        <v>108358542</v>
      </c>
      <c r="J18" s="2">
        <v>9375195</v>
      </c>
      <c r="K18" s="2">
        <v>134614677</v>
      </c>
      <c r="L18" s="9">
        <v>1.34614677</v>
      </c>
    </row>
    <row r="19" spans="1:12" ht="24" customHeight="1" x14ac:dyDescent="0.3">
      <c r="A19" t="s">
        <v>14</v>
      </c>
      <c r="B19" t="s">
        <v>15</v>
      </c>
      <c r="C19" t="s">
        <v>16</v>
      </c>
      <c r="D19" t="s">
        <v>109</v>
      </c>
      <c r="E19">
        <v>20</v>
      </c>
      <c r="F19">
        <v>22</v>
      </c>
      <c r="G19" s="8">
        <v>0.90909090909090906</v>
      </c>
      <c r="H19" s="2">
        <v>34341715.640000001</v>
      </c>
      <c r="I19" s="2">
        <v>127794012.20999999</v>
      </c>
      <c r="J19" s="2">
        <v>2289132</v>
      </c>
      <c r="K19" s="2">
        <v>164424859.84999999</v>
      </c>
      <c r="L19" s="9">
        <v>1.6442485984999999</v>
      </c>
    </row>
    <row r="20" spans="1:12" ht="24" customHeight="1" x14ac:dyDescent="0.3">
      <c r="A20" t="s">
        <v>14</v>
      </c>
      <c r="B20" t="s">
        <v>15</v>
      </c>
      <c r="C20" t="s">
        <v>16</v>
      </c>
      <c r="D20" t="s">
        <v>110</v>
      </c>
      <c r="E20">
        <v>3</v>
      </c>
      <c r="F20">
        <v>3</v>
      </c>
      <c r="G20" s="8">
        <v>1</v>
      </c>
      <c r="H20" s="2">
        <v>10747</v>
      </c>
      <c r="I20" s="2">
        <v>780140</v>
      </c>
      <c r="J20" s="2">
        <v>7840</v>
      </c>
      <c r="K20" s="2">
        <v>798727</v>
      </c>
      <c r="L20" s="9">
        <v>7.9872699999999994E-3</v>
      </c>
    </row>
    <row r="21" spans="1:12" ht="24" customHeight="1" x14ac:dyDescent="0.3">
      <c r="A21" t="s">
        <v>14</v>
      </c>
      <c r="B21" t="s">
        <v>15</v>
      </c>
      <c r="C21" t="s">
        <v>16</v>
      </c>
      <c r="D21" t="s">
        <v>103</v>
      </c>
      <c r="E21">
        <v>0</v>
      </c>
      <c r="F21">
        <v>3</v>
      </c>
      <c r="G21" s="8">
        <v>0</v>
      </c>
      <c r="H21" s="2">
        <v>0</v>
      </c>
      <c r="I21" s="2">
        <v>0</v>
      </c>
      <c r="J21" s="2">
        <v>0</v>
      </c>
      <c r="K21" s="2">
        <v>0</v>
      </c>
      <c r="L21" s="9">
        <v>0</v>
      </c>
    </row>
    <row r="22" spans="1:12" ht="24" customHeight="1" x14ac:dyDescent="0.3">
      <c r="A22" t="s">
        <v>14</v>
      </c>
      <c r="B22" t="s">
        <v>15</v>
      </c>
      <c r="C22" t="s">
        <v>16</v>
      </c>
      <c r="D22" t="s">
        <v>104</v>
      </c>
      <c r="E22">
        <v>0</v>
      </c>
      <c r="F22">
        <v>1</v>
      </c>
      <c r="G22" s="8">
        <v>0</v>
      </c>
      <c r="H22" s="2">
        <v>0</v>
      </c>
      <c r="I22" s="2">
        <v>0</v>
      </c>
      <c r="J22" s="2">
        <v>0</v>
      </c>
      <c r="K22" s="2">
        <v>0</v>
      </c>
      <c r="L22" s="9">
        <v>0</v>
      </c>
    </row>
    <row r="23" spans="1:12" ht="24" customHeight="1" x14ac:dyDescent="0.3">
      <c r="A23" s="10" t="s">
        <v>14</v>
      </c>
      <c r="B23" s="10" t="s">
        <v>15</v>
      </c>
      <c r="C23" s="10" t="s">
        <v>16</v>
      </c>
      <c r="D23" s="10" t="s">
        <v>111</v>
      </c>
      <c r="E23" s="10">
        <f>진입도로!D13</f>
        <v>135</v>
      </c>
      <c r="F23" s="10">
        <f>진입도로!E13</f>
        <v>152</v>
      </c>
      <c r="G23" s="10">
        <f>진입도로!F13</f>
        <v>0.88815789473684215</v>
      </c>
      <c r="H23" s="11">
        <f>진입도로!G13</f>
        <v>84435223.640000001</v>
      </c>
      <c r="I23" s="11">
        <f>진입도로!H13</f>
        <v>401743339.20999998</v>
      </c>
      <c r="J23" s="11">
        <f>진입도로!I13</f>
        <v>46174874</v>
      </c>
      <c r="K23" s="11">
        <f>진입도로!J13</f>
        <v>532353436.85000002</v>
      </c>
      <c r="L23" s="12">
        <f>진입도로!K13</f>
        <v>5.3235343684999998</v>
      </c>
    </row>
    <row r="24" spans="1:12" ht="24" customHeight="1" x14ac:dyDescent="0.3">
      <c r="A24" s="13" t="s">
        <v>14</v>
      </c>
      <c r="B24" s="13"/>
      <c r="C24" s="13" t="s">
        <v>14</v>
      </c>
      <c r="D24" s="13" t="s">
        <v>112</v>
      </c>
      <c r="E24" s="13">
        <f>진입도로!D14</f>
        <v>135</v>
      </c>
      <c r="F24" s="13">
        <f>진입도로!E14</f>
        <v>152</v>
      </c>
      <c r="G24" s="13">
        <f>진입도로!F14</f>
        <v>0.88815789473684215</v>
      </c>
      <c r="H24" s="14">
        <f>진입도로!G14</f>
        <v>84435223.640000001</v>
      </c>
      <c r="I24" s="14">
        <f>진입도로!H14</f>
        <v>401743339.20999998</v>
      </c>
      <c r="J24" s="14">
        <f>진입도로!I14</f>
        <v>46174874</v>
      </c>
      <c r="K24" s="14">
        <f>진입도로!J14</f>
        <v>532353436.85000002</v>
      </c>
      <c r="L24" s="15">
        <f>진입도로!K14</f>
        <v>5.3235343684999998</v>
      </c>
    </row>
    <row r="25" spans="1:12" ht="24" customHeight="1" x14ac:dyDescent="0.3">
      <c r="A25" t="s">
        <v>17</v>
      </c>
      <c r="B25" t="s">
        <v>18</v>
      </c>
      <c r="C25" t="s">
        <v>19</v>
      </c>
      <c r="D25" t="s">
        <v>98</v>
      </c>
      <c r="E25">
        <v>41</v>
      </c>
      <c r="F25">
        <v>45</v>
      </c>
      <c r="G25" s="8">
        <v>0.91111111111111109</v>
      </c>
      <c r="H25" s="2">
        <v>193864804.08000001</v>
      </c>
      <c r="I25" s="2">
        <v>375830828.63999999</v>
      </c>
      <c r="J25" s="2">
        <v>248626066</v>
      </c>
      <c r="K25" s="2">
        <v>818321698.72000003</v>
      </c>
      <c r="L25" s="9">
        <v>8.1832169871999998</v>
      </c>
    </row>
    <row r="26" spans="1:12" ht="24" customHeight="1" x14ac:dyDescent="0.3">
      <c r="A26" t="s">
        <v>17</v>
      </c>
      <c r="B26" t="s">
        <v>18</v>
      </c>
      <c r="C26" t="s">
        <v>19</v>
      </c>
      <c r="D26" t="s">
        <v>99</v>
      </c>
      <c r="E26">
        <v>81</v>
      </c>
      <c r="F26">
        <v>99</v>
      </c>
      <c r="G26" s="8">
        <v>0.81818181818181823</v>
      </c>
      <c r="H26" s="2">
        <v>45773359.869999997</v>
      </c>
      <c r="I26" s="2">
        <v>412651288.27999997</v>
      </c>
      <c r="J26" s="2">
        <v>30187164.210000001</v>
      </c>
      <c r="K26" s="2">
        <v>488611812.36000001</v>
      </c>
      <c r="L26" s="9">
        <v>4.8861181236000002</v>
      </c>
    </row>
    <row r="27" spans="1:12" ht="24" customHeight="1" x14ac:dyDescent="0.3">
      <c r="A27" t="s">
        <v>17</v>
      </c>
      <c r="B27" t="s">
        <v>18</v>
      </c>
      <c r="C27" t="s">
        <v>19</v>
      </c>
      <c r="D27" t="s">
        <v>113</v>
      </c>
      <c r="E27">
        <v>36</v>
      </c>
      <c r="F27">
        <v>44</v>
      </c>
      <c r="G27" s="8">
        <v>0.81818181818181823</v>
      </c>
      <c r="H27" s="2">
        <v>8139274.2000000002</v>
      </c>
      <c r="I27" s="2">
        <v>91589701.700000003</v>
      </c>
      <c r="J27" s="2">
        <v>6281483</v>
      </c>
      <c r="K27" s="2">
        <v>106010458.90000001</v>
      </c>
      <c r="L27" s="9">
        <v>1.060104589</v>
      </c>
    </row>
    <row r="28" spans="1:12" ht="24" customHeight="1" x14ac:dyDescent="0.3">
      <c r="A28" t="s">
        <v>17</v>
      </c>
      <c r="B28" t="s">
        <v>18</v>
      </c>
      <c r="C28" t="s">
        <v>19</v>
      </c>
      <c r="D28" t="s">
        <v>114</v>
      </c>
      <c r="E28">
        <v>62</v>
      </c>
      <c r="F28">
        <v>86</v>
      </c>
      <c r="G28" s="8">
        <v>0.72093023255813948</v>
      </c>
      <c r="H28" s="2">
        <v>11736539</v>
      </c>
      <c r="I28" s="2">
        <v>84912162</v>
      </c>
      <c r="J28" s="2">
        <v>4722073</v>
      </c>
      <c r="K28" s="2">
        <v>101370774</v>
      </c>
      <c r="L28" s="9">
        <v>1.0137077400000001</v>
      </c>
    </row>
    <row r="29" spans="1:12" ht="24" customHeight="1" x14ac:dyDescent="0.3">
      <c r="A29" t="s">
        <v>17</v>
      </c>
      <c r="B29" t="s">
        <v>18</v>
      </c>
      <c r="C29" t="s">
        <v>19</v>
      </c>
      <c r="D29" t="s">
        <v>115</v>
      </c>
      <c r="E29">
        <v>68</v>
      </c>
      <c r="F29">
        <v>76</v>
      </c>
      <c r="G29" s="8">
        <v>0.89473684210526316</v>
      </c>
      <c r="H29" s="2">
        <v>55159585</v>
      </c>
      <c r="I29" s="2">
        <v>294369653</v>
      </c>
      <c r="J29" s="2">
        <v>23035558</v>
      </c>
      <c r="K29" s="2">
        <v>372564796</v>
      </c>
      <c r="L29" s="9">
        <v>3.7256479599999999</v>
      </c>
    </row>
    <row r="30" spans="1:12" ht="24" customHeight="1" x14ac:dyDescent="0.3">
      <c r="A30" t="s">
        <v>17</v>
      </c>
      <c r="B30" t="s">
        <v>18</v>
      </c>
      <c r="C30" t="s">
        <v>19</v>
      </c>
      <c r="D30" t="s">
        <v>116</v>
      </c>
      <c r="E30">
        <v>39</v>
      </c>
      <c r="F30">
        <v>43</v>
      </c>
      <c r="G30" s="8">
        <v>0.90697674418604646</v>
      </c>
      <c r="H30" s="2">
        <v>27584724.298999999</v>
      </c>
      <c r="I30" s="2">
        <v>215414584.34200001</v>
      </c>
      <c r="J30" s="2">
        <v>17151782</v>
      </c>
      <c r="K30" s="2">
        <v>260151090.641</v>
      </c>
      <c r="L30" s="9">
        <v>2.6015109064100002</v>
      </c>
    </row>
    <row r="31" spans="1:12" ht="24" customHeight="1" x14ac:dyDescent="0.3">
      <c r="A31" t="s">
        <v>17</v>
      </c>
      <c r="B31" t="s">
        <v>18</v>
      </c>
      <c r="C31" t="s">
        <v>19</v>
      </c>
      <c r="D31" t="s">
        <v>117</v>
      </c>
      <c r="E31">
        <v>27</v>
      </c>
      <c r="F31">
        <v>36</v>
      </c>
      <c r="G31" s="8">
        <v>0.75</v>
      </c>
      <c r="H31" s="2">
        <v>15032685</v>
      </c>
      <c r="I31" s="2">
        <v>173478672</v>
      </c>
      <c r="J31" s="2">
        <v>7842946</v>
      </c>
      <c r="K31" s="2">
        <v>196354303</v>
      </c>
      <c r="L31" s="9">
        <v>1.9635430300000001</v>
      </c>
    </row>
    <row r="32" spans="1:12" ht="24" customHeight="1" x14ac:dyDescent="0.3">
      <c r="A32" t="s">
        <v>17</v>
      </c>
      <c r="B32" t="s">
        <v>18</v>
      </c>
      <c r="C32" t="s">
        <v>19</v>
      </c>
      <c r="D32" t="s">
        <v>118</v>
      </c>
      <c r="E32">
        <v>43</v>
      </c>
      <c r="F32">
        <v>53</v>
      </c>
      <c r="G32" s="8">
        <v>0.81132075471698117</v>
      </c>
      <c r="H32" s="2">
        <v>14684152.867000001</v>
      </c>
      <c r="I32" s="2">
        <v>65843674.285999998</v>
      </c>
      <c r="J32" s="2">
        <v>1789336</v>
      </c>
      <c r="K32" s="2">
        <v>82317163.152999997</v>
      </c>
      <c r="L32" s="9">
        <v>0.82317163152999995</v>
      </c>
    </row>
    <row r="33" spans="1:12" ht="24" customHeight="1" x14ac:dyDescent="0.3">
      <c r="A33" t="s">
        <v>17</v>
      </c>
      <c r="B33" t="s">
        <v>18</v>
      </c>
      <c r="C33" t="s">
        <v>19</v>
      </c>
      <c r="D33" t="s">
        <v>119</v>
      </c>
      <c r="E33">
        <v>7</v>
      </c>
      <c r="F33">
        <v>9</v>
      </c>
      <c r="G33" s="8">
        <v>0.77777777777777779</v>
      </c>
      <c r="H33" s="2">
        <v>9249700</v>
      </c>
      <c r="I33" s="2">
        <v>27138515</v>
      </c>
      <c r="J33" s="2">
        <v>7941772</v>
      </c>
      <c r="K33" s="2">
        <v>44329987</v>
      </c>
      <c r="L33" s="9">
        <v>0.44329986999999998</v>
      </c>
    </row>
    <row r="34" spans="1:12" ht="24" customHeight="1" x14ac:dyDescent="0.3">
      <c r="A34" t="s">
        <v>17</v>
      </c>
      <c r="B34" t="s">
        <v>18</v>
      </c>
      <c r="C34" t="s">
        <v>19</v>
      </c>
      <c r="D34" t="s">
        <v>104</v>
      </c>
      <c r="E34">
        <v>0</v>
      </c>
      <c r="F34">
        <v>2</v>
      </c>
      <c r="G34" s="8">
        <v>0</v>
      </c>
      <c r="H34" s="2">
        <v>0</v>
      </c>
      <c r="I34" s="2">
        <v>0</v>
      </c>
      <c r="J34" s="2">
        <v>0</v>
      </c>
      <c r="K34" s="2">
        <v>0</v>
      </c>
      <c r="L34" s="9">
        <v>0</v>
      </c>
    </row>
    <row r="35" spans="1:12" ht="24" customHeight="1" x14ac:dyDescent="0.3">
      <c r="A35" s="10" t="s">
        <v>17</v>
      </c>
      <c r="B35" s="10" t="s">
        <v>18</v>
      </c>
      <c r="C35" s="10" t="s">
        <v>19</v>
      </c>
      <c r="D35" s="10" t="s">
        <v>120</v>
      </c>
      <c r="E35" s="10">
        <f>'토목(조경)'!D14</f>
        <v>404</v>
      </c>
      <c r="F35" s="10">
        <f>'토목(조경)'!E14</f>
        <v>493</v>
      </c>
      <c r="G35" s="10">
        <f>'토목(조경)'!F14</f>
        <v>0.81947261663286008</v>
      </c>
      <c r="H35" s="11">
        <f>'토목(조경)'!G14</f>
        <v>381224824.31599998</v>
      </c>
      <c r="I35" s="11">
        <f>'토목(조경)'!H14</f>
        <v>1741229079.2479999</v>
      </c>
      <c r="J35" s="11">
        <f>'토목(조경)'!I14</f>
        <v>347578180.20999998</v>
      </c>
      <c r="K35" s="11">
        <f>'토목(조경)'!J14</f>
        <v>2470032083.7740002</v>
      </c>
      <c r="L35" s="12">
        <f>'토목(조경)'!K14</f>
        <v>24.700320837740001</v>
      </c>
    </row>
    <row r="36" spans="1:12" ht="24" customHeight="1" x14ac:dyDescent="0.3">
      <c r="A36" t="s">
        <v>17</v>
      </c>
      <c r="B36" t="s">
        <v>18</v>
      </c>
      <c r="C36" t="s">
        <v>20</v>
      </c>
      <c r="D36" t="s">
        <v>121</v>
      </c>
      <c r="E36">
        <v>80</v>
      </c>
      <c r="F36">
        <v>80</v>
      </c>
      <c r="G36" s="8">
        <v>1</v>
      </c>
      <c r="H36" s="2">
        <v>600710000</v>
      </c>
      <c r="I36" s="2">
        <v>386951000</v>
      </c>
      <c r="J36" s="2">
        <v>30172000</v>
      </c>
      <c r="K36" s="2">
        <v>1017833000</v>
      </c>
      <c r="L36" s="9">
        <v>10.178330000000001</v>
      </c>
    </row>
    <row r="37" spans="1:12" ht="24" customHeight="1" x14ac:dyDescent="0.3">
      <c r="A37" s="10" t="s">
        <v>17</v>
      </c>
      <c r="B37" s="10" t="s">
        <v>18</v>
      </c>
      <c r="C37" s="10" t="s">
        <v>20</v>
      </c>
      <c r="D37" s="10" t="s">
        <v>122</v>
      </c>
      <c r="E37" s="10">
        <f>'토목(조경)'!D16</f>
        <v>80</v>
      </c>
      <c r="F37" s="10">
        <f>'토목(조경)'!E16</f>
        <v>80</v>
      </c>
      <c r="G37" s="10">
        <f>'토목(조경)'!F16</f>
        <v>1</v>
      </c>
      <c r="H37" s="11">
        <f>'토목(조경)'!G16</f>
        <v>600710000</v>
      </c>
      <c r="I37" s="11">
        <f>'토목(조경)'!H16</f>
        <v>386951000</v>
      </c>
      <c r="J37" s="11">
        <f>'토목(조경)'!I16</f>
        <v>30172000</v>
      </c>
      <c r="K37" s="11">
        <f>'토목(조경)'!J16</f>
        <v>1017833000</v>
      </c>
      <c r="L37" s="12">
        <f>'토목(조경)'!K16</f>
        <v>10.178330000000001</v>
      </c>
    </row>
    <row r="38" spans="1:12" ht="24" customHeight="1" x14ac:dyDescent="0.3">
      <c r="A38" s="13" t="s">
        <v>17</v>
      </c>
      <c r="B38" s="13"/>
      <c r="C38" s="13" t="s">
        <v>17</v>
      </c>
      <c r="D38" s="13" t="s">
        <v>123</v>
      </c>
      <c r="E38" s="13">
        <f>'토목(조경)'!D17</f>
        <v>484</v>
      </c>
      <c r="F38" s="13">
        <f>'토목(조경)'!E17</f>
        <v>573</v>
      </c>
      <c r="G38" s="13">
        <f>'토목(조경)'!F17</f>
        <v>0.84467713787085519</v>
      </c>
      <c r="H38" s="14">
        <f>'토목(조경)'!G17</f>
        <v>981934824.31599998</v>
      </c>
      <c r="I38" s="14">
        <f>'토목(조경)'!H17</f>
        <v>2128180079.2479999</v>
      </c>
      <c r="J38" s="14">
        <f>'토목(조경)'!I17</f>
        <v>377750180.20999998</v>
      </c>
      <c r="K38" s="14">
        <f>'토목(조경)'!J17</f>
        <v>3487865083.7740002</v>
      </c>
      <c r="L38" s="15">
        <f>'토목(조경)'!K17</f>
        <v>34.878650837739997</v>
      </c>
    </row>
    <row r="39" spans="1:12" ht="24" customHeight="1" x14ac:dyDescent="0.3">
      <c r="A39" t="s">
        <v>22</v>
      </c>
      <c r="B39" t="s">
        <v>23</v>
      </c>
      <c r="C39" t="s">
        <v>24</v>
      </c>
      <c r="D39" t="s">
        <v>98</v>
      </c>
      <c r="E39">
        <v>9</v>
      </c>
      <c r="F39">
        <v>9</v>
      </c>
      <c r="G39" s="8">
        <v>1</v>
      </c>
      <c r="H39" s="2">
        <v>329303137</v>
      </c>
      <c r="I39" s="2">
        <v>633526312</v>
      </c>
      <c r="J39" s="2">
        <v>288990853</v>
      </c>
      <c r="K39" s="2">
        <v>1251820302</v>
      </c>
      <c r="L39" s="9">
        <v>12.51820302</v>
      </c>
    </row>
    <row r="40" spans="1:12" ht="24" customHeight="1" x14ac:dyDescent="0.3">
      <c r="A40" t="s">
        <v>22</v>
      </c>
      <c r="B40" t="s">
        <v>23</v>
      </c>
      <c r="C40" t="s">
        <v>24</v>
      </c>
      <c r="D40" t="s">
        <v>124</v>
      </c>
      <c r="E40">
        <v>14</v>
      </c>
      <c r="F40">
        <v>14</v>
      </c>
      <c r="G40" s="8">
        <v>1</v>
      </c>
      <c r="H40" s="2">
        <v>1322809</v>
      </c>
      <c r="I40" s="2">
        <v>36399255</v>
      </c>
      <c r="J40" s="2">
        <v>1512006</v>
      </c>
      <c r="K40" s="2">
        <v>39234070</v>
      </c>
      <c r="L40" s="9">
        <v>0.39234069999999999</v>
      </c>
    </row>
    <row r="41" spans="1:12" ht="24" customHeight="1" x14ac:dyDescent="0.3">
      <c r="A41" t="s">
        <v>22</v>
      </c>
      <c r="B41" t="s">
        <v>23</v>
      </c>
      <c r="C41" t="s">
        <v>24</v>
      </c>
      <c r="D41" t="s">
        <v>125</v>
      </c>
      <c r="E41">
        <v>17</v>
      </c>
      <c r="F41">
        <v>17</v>
      </c>
      <c r="G41" s="8">
        <v>1</v>
      </c>
      <c r="H41" s="2">
        <v>2352580</v>
      </c>
      <c r="I41" s="2">
        <v>88315220</v>
      </c>
      <c r="J41" s="2">
        <v>2468726</v>
      </c>
      <c r="K41" s="2">
        <v>93136526</v>
      </c>
      <c r="L41" s="9">
        <v>0.93136525999999997</v>
      </c>
    </row>
    <row r="42" spans="1:12" ht="24" customHeight="1" x14ac:dyDescent="0.3">
      <c r="A42" t="s">
        <v>22</v>
      </c>
      <c r="B42" t="s">
        <v>23</v>
      </c>
      <c r="C42" t="s">
        <v>24</v>
      </c>
      <c r="D42" t="s">
        <v>126</v>
      </c>
      <c r="E42">
        <v>16</v>
      </c>
      <c r="F42">
        <v>17</v>
      </c>
      <c r="G42" s="8">
        <v>0.94117647058823528</v>
      </c>
      <c r="H42" s="2">
        <v>1709156</v>
      </c>
      <c r="I42" s="2">
        <v>77274394</v>
      </c>
      <c r="J42" s="2">
        <v>2194560</v>
      </c>
      <c r="K42" s="2">
        <v>81178110</v>
      </c>
      <c r="L42" s="9">
        <v>0.81178110000000003</v>
      </c>
    </row>
    <row r="43" spans="1:12" ht="24" customHeight="1" x14ac:dyDescent="0.3">
      <c r="A43" t="s">
        <v>22</v>
      </c>
      <c r="B43" t="s">
        <v>23</v>
      </c>
      <c r="C43" t="s">
        <v>24</v>
      </c>
      <c r="D43" t="s">
        <v>127</v>
      </c>
      <c r="E43">
        <v>14</v>
      </c>
      <c r="F43">
        <v>15</v>
      </c>
      <c r="G43" s="8">
        <v>0.93333333333333335</v>
      </c>
      <c r="H43" s="2">
        <v>1677855</v>
      </c>
      <c r="I43" s="2">
        <v>59383425</v>
      </c>
      <c r="J43" s="2">
        <v>2123566</v>
      </c>
      <c r="K43" s="2">
        <v>63184846</v>
      </c>
      <c r="L43" s="9">
        <v>0.63184845999999995</v>
      </c>
    </row>
    <row r="44" spans="1:12" ht="24" customHeight="1" x14ac:dyDescent="0.3">
      <c r="A44" t="s">
        <v>22</v>
      </c>
      <c r="B44" t="s">
        <v>23</v>
      </c>
      <c r="C44" t="s">
        <v>24</v>
      </c>
      <c r="D44" t="s">
        <v>128</v>
      </c>
      <c r="E44">
        <v>14</v>
      </c>
      <c r="F44">
        <v>15</v>
      </c>
      <c r="G44" s="8">
        <v>0.93333333333333335</v>
      </c>
      <c r="H44" s="2">
        <v>1149785</v>
      </c>
      <c r="I44" s="2">
        <v>45609407</v>
      </c>
      <c r="J44" s="2">
        <v>1591411</v>
      </c>
      <c r="K44" s="2">
        <v>48350603</v>
      </c>
      <c r="L44" s="9">
        <v>0.48350602999999998</v>
      </c>
    </row>
    <row r="45" spans="1:12" ht="24" customHeight="1" x14ac:dyDescent="0.3">
      <c r="A45" t="s">
        <v>22</v>
      </c>
      <c r="B45" t="s">
        <v>23</v>
      </c>
      <c r="C45" t="s">
        <v>24</v>
      </c>
      <c r="D45" t="s">
        <v>129</v>
      </c>
      <c r="E45">
        <v>13</v>
      </c>
      <c r="F45">
        <v>14</v>
      </c>
      <c r="G45" s="8">
        <v>0.9285714285714286</v>
      </c>
      <c r="H45" s="2">
        <v>1161816</v>
      </c>
      <c r="I45" s="2">
        <v>62903235</v>
      </c>
      <c r="J45" s="2">
        <v>1273047</v>
      </c>
      <c r="K45" s="2">
        <v>65338098</v>
      </c>
      <c r="L45" s="9">
        <v>0.65338098</v>
      </c>
    </row>
    <row r="46" spans="1:12" ht="24" customHeight="1" x14ac:dyDescent="0.3">
      <c r="A46" t="s">
        <v>22</v>
      </c>
      <c r="B46" t="s">
        <v>23</v>
      </c>
      <c r="C46" t="s">
        <v>24</v>
      </c>
      <c r="D46" t="s">
        <v>130</v>
      </c>
      <c r="E46">
        <v>13</v>
      </c>
      <c r="F46">
        <v>14</v>
      </c>
      <c r="G46" s="8">
        <v>0.9285714285714286</v>
      </c>
      <c r="H46" s="2">
        <v>1365630</v>
      </c>
      <c r="I46" s="2">
        <v>58315326</v>
      </c>
      <c r="J46" s="2">
        <v>1427499</v>
      </c>
      <c r="K46" s="2">
        <v>61108455</v>
      </c>
      <c r="L46" s="9">
        <v>0.61108454999999995</v>
      </c>
    </row>
    <row r="47" spans="1:12" ht="24" customHeight="1" x14ac:dyDescent="0.3">
      <c r="A47" t="s">
        <v>22</v>
      </c>
      <c r="B47" t="s">
        <v>23</v>
      </c>
      <c r="C47" t="s">
        <v>24</v>
      </c>
      <c r="D47" t="s">
        <v>131</v>
      </c>
      <c r="E47">
        <v>11</v>
      </c>
      <c r="F47">
        <v>12</v>
      </c>
      <c r="G47" s="8">
        <v>0.91666666666666663</v>
      </c>
      <c r="H47" s="2">
        <v>656770</v>
      </c>
      <c r="I47" s="2">
        <v>13039376</v>
      </c>
      <c r="J47" s="2">
        <v>460290</v>
      </c>
      <c r="K47" s="2">
        <v>14156436</v>
      </c>
      <c r="L47" s="9">
        <v>0.14156436</v>
      </c>
    </row>
    <row r="48" spans="1:12" ht="24" customHeight="1" x14ac:dyDescent="0.3">
      <c r="A48" t="s">
        <v>22</v>
      </c>
      <c r="B48" t="s">
        <v>23</v>
      </c>
      <c r="C48" t="s">
        <v>24</v>
      </c>
      <c r="D48" t="s">
        <v>132</v>
      </c>
      <c r="E48">
        <v>9</v>
      </c>
      <c r="F48">
        <v>10</v>
      </c>
      <c r="G48" s="8">
        <v>0.9</v>
      </c>
      <c r="H48" s="2">
        <v>476321</v>
      </c>
      <c r="I48" s="2">
        <v>4825299</v>
      </c>
      <c r="J48" s="2">
        <v>600364</v>
      </c>
      <c r="K48" s="2">
        <v>5901984</v>
      </c>
      <c r="L48" s="9">
        <v>5.9019839999999997E-2</v>
      </c>
    </row>
    <row r="49" spans="1:12" ht="24" customHeight="1" x14ac:dyDescent="0.3">
      <c r="A49" s="10" t="s">
        <v>22</v>
      </c>
      <c r="B49" s="10" t="s">
        <v>23</v>
      </c>
      <c r="C49" s="10" t="s">
        <v>24</v>
      </c>
      <c r="D49" s="10" t="s">
        <v>133</v>
      </c>
      <c r="E49" s="10">
        <f>지구단위!D14</f>
        <v>130</v>
      </c>
      <c r="F49" s="10">
        <f>지구단위!E14</f>
        <v>137</v>
      </c>
      <c r="G49" s="10">
        <f>지구단위!F14</f>
        <v>0.94890510948905105</v>
      </c>
      <c r="H49" s="11">
        <f>지구단위!G14</f>
        <v>341175859</v>
      </c>
      <c r="I49" s="11">
        <f>지구단위!H14</f>
        <v>1079591249</v>
      </c>
      <c r="J49" s="11">
        <f>지구단위!I14</f>
        <v>302642322</v>
      </c>
      <c r="K49" s="11">
        <f>지구단위!J14</f>
        <v>1723409430</v>
      </c>
      <c r="L49" s="12">
        <f>지구단위!K14</f>
        <v>17.234094299999999</v>
      </c>
    </row>
    <row r="50" spans="1:12" ht="24" customHeight="1" x14ac:dyDescent="0.3">
      <c r="A50" s="13" t="s">
        <v>22</v>
      </c>
      <c r="B50" s="13"/>
      <c r="C50" s="13" t="s">
        <v>22</v>
      </c>
      <c r="D50" s="13" t="s">
        <v>134</v>
      </c>
      <c r="E50" s="13">
        <f>지구단위!D15</f>
        <v>130</v>
      </c>
      <c r="F50" s="13">
        <f>지구단위!E15</f>
        <v>137</v>
      </c>
      <c r="G50" s="13">
        <f>지구단위!F15</f>
        <v>0.94890510948905105</v>
      </c>
      <c r="H50" s="14">
        <f>지구단위!G15</f>
        <v>341175859</v>
      </c>
      <c r="I50" s="14">
        <f>지구단위!H15</f>
        <v>1079591249</v>
      </c>
      <c r="J50" s="14">
        <f>지구단위!I15</f>
        <v>302642322</v>
      </c>
      <c r="K50" s="14">
        <f>지구단위!J15</f>
        <v>1723409430</v>
      </c>
      <c r="L50" s="15">
        <f>지구단위!K15</f>
        <v>17.234094299999999</v>
      </c>
    </row>
    <row r="51" spans="1:12" ht="24" customHeight="1" x14ac:dyDescent="0.3">
      <c r="A51" t="s">
        <v>25</v>
      </c>
      <c r="B51" t="s">
        <v>26</v>
      </c>
      <c r="C51" t="s">
        <v>27</v>
      </c>
      <c r="D51" t="s">
        <v>135</v>
      </c>
      <c r="H51" s="2">
        <v>0</v>
      </c>
      <c r="I51" s="2">
        <v>0</v>
      </c>
      <c r="J51" s="2">
        <v>10873450</v>
      </c>
      <c r="K51" s="2">
        <v>10873450</v>
      </c>
      <c r="L51" s="9">
        <v>0.1087345</v>
      </c>
    </row>
    <row r="52" spans="1:12" ht="24" customHeight="1" x14ac:dyDescent="0.3">
      <c r="A52" t="s">
        <v>25</v>
      </c>
      <c r="B52" t="s">
        <v>26</v>
      </c>
      <c r="C52" t="s">
        <v>27</v>
      </c>
      <c r="D52" t="s">
        <v>136</v>
      </c>
      <c r="H52" s="2">
        <v>0</v>
      </c>
      <c r="I52" s="2">
        <v>0</v>
      </c>
      <c r="J52" s="2">
        <v>20584862</v>
      </c>
      <c r="K52" s="2">
        <v>20584862</v>
      </c>
      <c r="L52" s="9">
        <v>0.20584862000000001</v>
      </c>
    </row>
    <row r="53" spans="1:12" ht="24" customHeight="1" x14ac:dyDescent="0.3">
      <c r="A53" s="10" t="s">
        <v>25</v>
      </c>
      <c r="B53" s="10" t="s">
        <v>26</v>
      </c>
      <c r="C53" s="10" t="s">
        <v>27</v>
      </c>
      <c r="D53" s="10" t="s">
        <v>137</v>
      </c>
      <c r="E53" s="10">
        <f>폐기물!D6</f>
        <v>0</v>
      </c>
      <c r="F53" s="10">
        <f>폐기물!E6</f>
        <v>0</v>
      </c>
      <c r="G53" s="10">
        <f>폐기물!F6</f>
        <v>0</v>
      </c>
      <c r="H53" s="11">
        <f>폐기물!G6</f>
        <v>0</v>
      </c>
      <c r="I53" s="11">
        <f>폐기물!H6</f>
        <v>0</v>
      </c>
      <c r="J53" s="11">
        <f>폐기물!I6</f>
        <v>31458312</v>
      </c>
      <c r="K53" s="11">
        <f>폐기물!J6</f>
        <v>31458312</v>
      </c>
      <c r="L53" s="12">
        <f>폐기물!K6</f>
        <v>0.31458311999999999</v>
      </c>
    </row>
    <row r="54" spans="1:12" ht="24" customHeight="1" x14ac:dyDescent="0.3">
      <c r="A54" s="13" t="s">
        <v>25</v>
      </c>
      <c r="B54" s="13"/>
      <c r="C54" s="13" t="s">
        <v>25</v>
      </c>
      <c r="D54" s="13" t="s">
        <v>138</v>
      </c>
      <c r="E54" s="25">
        <f>폐기물!D7</f>
        <v>0</v>
      </c>
      <c r="F54" s="13">
        <f>폐기물!E7</f>
        <v>0</v>
      </c>
      <c r="G54" s="13">
        <f>폐기물!F7</f>
        <v>0</v>
      </c>
      <c r="H54" s="14">
        <f>폐기물!G7</f>
        <v>0</v>
      </c>
      <c r="I54" s="14">
        <f>폐기물!H7</f>
        <v>0</v>
      </c>
      <c r="J54" s="14">
        <f>폐기물!I7</f>
        <v>31458312</v>
      </c>
      <c r="K54" s="14">
        <f>폐기물!J7</f>
        <v>31458312</v>
      </c>
      <c r="L54" s="15">
        <f>폐기물!K7</f>
        <v>0.31458311999999999</v>
      </c>
    </row>
    <row r="55" spans="1:12" ht="24" customHeight="1" x14ac:dyDescent="0.3">
      <c r="A55" s="3" t="s">
        <v>28</v>
      </c>
      <c r="B55" s="3"/>
      <c r="C55" s="3" t="s">
        <v>139</v>
      </c>
      <c r="D55" s="3" t="s">
        <v>140</v>
      </c>
      <c r="E55" s="3">
        <f>회전교차로!D13+진입도로!D14+'토목(조경)'!D17+지구단위!D15+폐기물!D7</f>
        <v>878</v>
      </c>
      <c r="F55" s="3">
        <f>회전교차로!E13+진입도로!E14+'토목(조경)'!E17+지구단위!E15+폐기물!E7</f>
        <v>1009</v>
      </c>
      <c r="G55" s="16">
        <f>IF(F55=0,0,E55/F55)</f>
        <v>0.87016848364717547</v>
      </c>
      <c r="H55" s="4">
        <f>회전교차로!G13+진입도로!G14+'토목(조경)'!G17+지구단위!G15+폐기물!G7</f>
        <v>1523402421.4559999</v>
      </c>
      <c r="I55" s="4">
        <f>회전교차로!H13+진입도로!H14+'토목(조경)'!H17+지구단위!H15+폐기물!H7</f>
        <v>4128920489.5830002</v>
      </c>
      <c r="J55" s="4">
        <f>회전교차로!I13+진입도로!I14+'토목(조경)'!I17+지구단위!I15+폐기물!I7</f>
        <v>793760574.21000004</v>
      </c>
      <c r="K55" s="4">
        <f>회전교차로!J13+진입도로!J14+'토목(조경)'!J17+지구단위!J15+폐기물!J7</f>
        <v>6446083485.2490005</v>
      </c>
      <c r="L55" s="17">
        <f>K55/100000000</f>
        <v>64.460834852490009</v>
      </c>
    </row>
  </sheetData>
  <mergeCells count="1">
    <mergeCell ref="A1:L1"/>
  </mergeCells>
  <phoneticPr fontId="3" type="noConversion"/>
  <pageMargins left="0.74803149606299213" right="0.74803149606299213" top="0.98425196850393704" bottom="0.98425196850393704" header="0.51181102362204722" footer="0.51181102362204722"/>
  <pageSetup paperSize="9" scale="52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73"/>
  <sheetViews>
    <sheetView view="pageBreakPreview" zoomScale="60" zoomScaleNormal="100" workbookViewId="0">
      <pane ySplit="17" topLeftCell="A154" activePane="bottomLeft" state="frozen"/>
      <selection activeCell="F132" sqref="F132"/>
      <selection pane="bottomLeft" activeCell="R10" sqref="R10"/>
    </sheetView>
  </sheetViews>
  <sheetFormatPr defaultRowHeight="16.5" x14ac:dyDescent="0.3"/>
  <cols>
    <col min="1" max="1" width="28" bestFit="1" customWidth="1"/>
    <col min="2" max="3" width="23" bestFit="1" customWidth="1"/>
    <col min="4" max="4" width="49.125" bestFit="1" customWidth="1"/>
    <col min="5" max="5" width="40.125" bestFit="1" customWidth="1"/>
    <col min="6" max="6" width="8.625" bestFit="1" customWidth="1"/>
    <col min="7" max="11" width="13.125" bestFit="1" customWidth="1"/>
    <col min="12" max="12" width="9.875" bestFit="1" customWidth="1"/>
    <col min="13" max="13" width="13.125" bestFit="1" customWidth="1"/>
    <col min="14" max="14" width="10.5" bestFit="1" customWidth="1"/>
    <col min="15" max="15" width="15" bestFit="1" customWidth="1"/>
    <col min="16" max="16" width="8" bestFit="1" customWidth="1"/>
    <col min="17" max="17" width="30" bestFit="1" customWidth="1"/>
  </cols>
  <sheetData>
    <row r="1" spans="1:15" ht="24" customHeight="1" x14ac:dyDescent="0.35">
      <c r="A1" s="60" t="s">
        <v>141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24" customHeight="1" x14ac:dyDescent="0.3"/>
    <row r="3" spans="1:15" ht="24" customHeight="1" x14ac:dyDescent="0.3">
      <c r="A3" s="1" t="s">
        <v>4</v>
      </c>
      <c r="B3" s="1" t="s">
        <v>5</v>
      </c>
      <c r="C3" s="1" t="s">
        <v>92</v>
      </c>
      <c r="D3" s="1" t="s">
        <v>93</v>
      </c>
      <c r="E3" s="1" t="s">
        <v>94</v>
      </c>
      <c r="F3" s="1" t="s">
        <v>95</v>
      </c>
      <c r="G3" s="1" t="s">
        <v>6</v>
      </c>
      <c r="H3" s="1" t="s">
        <v>7</v>
      </c>
      <c r="I3" s="1" t="s">
        <v>8</v>
      </c>
      <c r="J3" s="1" t="s">
        <v>28</v>
      </c>
      <c r="K3" s="1" t="s">
        <v>96</v>
      </c>
    </row>
    <row r="4" spans="1:15" ht="24" customHeight="1" x14ac:dyDescent="0.3">
      <c r="A4" t="s">
        <v>12</v>
      </c>
      <c r="B4" t="s">
        <v>13</v>
      </c>
      <c r="C4" t="s">
        <v>97</v>
      </c>
      <c r="D4">
        <v>0</v>
      </c>
      <c r="E4">
        <v>1</v>
      </c>
      <c r="F4" s="8">
        <v>0</v>
      </c>
      <c r="G4" s="2">
        <v>0</v>
      </c>
      <c r="H4" s="2">
        <v>0</v>
      </c>
      <c r="I4" s="2">
        <v>0</v>
      </c>
      <c r="J4" s="2">
        <v>0</v>
      </c>
      <c r="K4" s="9">
        <v>0</v>
      </c>
    </row>
    <row r="5" spans="1:15" ht="24" customHeight="1" x14ac:dyDescent="0.3">
      <c r="A5" t="s">
        <v>12</v>
      </c>
      <c r="B5" t="s">
        <v>13</v>
      </c>
      <c r="C5" t="s">
        <v>98</v>
      </c>
      <c r="D5">
        <v>21</v>
      </c>
      <c r="E5">
        <v>21</v>
      </c>
      <c r="F5" s="8">
        <v>1</v>
      </c>
      <c r="G5" s="2">
        <v>10163806</v>
      </c>
      <c r="H5" s="2">
        <v>30847384</v>
      </c>
      <c r="I5" s="2">
        <v>12145548</v>
      </c>
      <c r="J5" s="2">
        <v>53156738</v>
      </c>
      <c r="K5" s="9">
        <v>0.53156738000000003</v>
      </c>
    </row>
    <row r="6" spans="1:15" ht="24" customHeight="1" x14ac:dyDescent="0.3">
      <c r="A6" t="s">
        <v>12</v>
      </c>
      <c r="B6" t="s">
        <v>13</v>
      </c>
      <c r="C6" t="s">
        <v>99</v>
      </c>
      <c r="D6">
        <v>38</v>
      </c>
      <c r="E6">
        <v>42</v>
      </c>
      <c r="F6" s="8">
        <v>0.90476190476190477</v>
      </c>
      <c r="G6" s="2">
        <v>10110091.835999999</v>
      </c>
      <c r="H6" s="2">
        <v>57050724.278999999</v>
      </c>
      <c r="I6" s="2">
        <v>5814386</v>
      </c>
      <c r="J6" s="2">
        <v>72975202.11500001</v>
      </c>
      <c r="K6" s="9">
        <v>0.72975202115000004</v>
      </c>
    </row>
    <row r="7" spans="1:15" ht="24" customHeight="1" x14ac:dyDescent="0.3">
      <c r="A7" t="s">
        <v>12</v>
      </c>
      <c r="B7" t="s">
        <v>13</v>
      </c>
      <c r="C7" t="s">
        <v>100</v>
      </c>
      <c r="D7">
        <v>46</v>
      </c>
      <c r="E7">
        <v>53</v>
      </c>
      <c r="F7" s="8">
        <v>0.86792452830188682</v>
      </c>
      <c r="G7" s="2">
        <v>25531309</v>
      </c>
      <c r="H7" s="2">
        <v>181022224</v>
      </c>
      <c r="I7" s="2">
        <v>14034229</v>
      </c>
      <c r="J7" s="2">
        <v>220587762</v>
      </c>
      <c r="K7" s="9">
        <v>2.2058776199999999</v>
      </c>
    </row>
    <row r="8" spans="1:15" ht="24" customHeight="1" x14ac:dyDescent="0.3">
      <c r="A8" t="s">
        <v>12</v>
      </c>
      <c r="B8" t="s">
        <v>13</v>
      </c>
      <c r="C8" t="s">
        <v>101</v>
      </c>
      <c r="D8">
        <v>21</v>
      </c>
      <c r="E8">
        <v>23</v>
      </c>
      <c r="F8" s="8">
        <v>0.91304347826086951</v>
      </c>
      <c r="G8" s="2">
        <v>70040560.664000005</v>
      </c>
      <c r="H8" s="2">
        <v>249705349.84599999</v>
      </c>
      <c r="I8" s="2">
        <v>3732883</v>
      </c>
      <c r="J8" s="2">
        <v>323478793.50999999</v>
      </c>
      <c r="K8" s="9">
        <v>3.2347879351</v>
      </c>
    </row>
    <row r="9" spans="1:15" ht="24" customHeight="1" x14ac:dyDescent="0.3">
      <c r="A9" t="s">
        <v>12</v>
      </c>
      <c r="B9" t="s">
        <v>13</v>
      </c>
      <c r="C9" t="s">
        <v>102</v>
      </c>
      <c r="D9">
        <v>3</v>
      </c>
      <c r="E9">
        <v>3</v>
      </c>
      <c r="F9" s="8">
        <v>1</v>
      </c>
      <c r="G9" s="2">
        <v>10747</v>
      </c>
      <c r="H9" s="2">
        <v>780140</v>
      </c>
      <c r="I9" s="2">
        <v>7840</v>
      </c>
      <c r="J9" s="2">
        <v>798727</v>
      </c>
      <c r="K9" s="9">
        <v>7.9872699999999994E-3</v>
      </c>
    </row>
    <row r="10" spans="1:15" ht="24" customHeight="1" x14ac:dyDescent="0.3">
      <c r="A10" t="s">
        <v>12</v>
      </c>
      <c r="B10" t="s">
        <v>13</v>
      </c>
      <c r="C10" t="s">
        <v>103</v>
      </c>
      <c r="D10">
        <v>0</v>
      </c>
      <c r="E10">
        <v>3</v>
      </c>
      <c r="F10" s="8">
        <v>0</v>
      </c>
      <c r="G10" s="2">
        <v>0</v>
      </c>
      <c r="H10" s="2">
        <v>0</v>
      </c>
      <c r="I10" s="2">
        <v>0</v>
      </c>
      <c r="J10" s="2">
        <v>0</v>
      </c>
      <c r="K10" s="9">
        <v>0</v>
      </c>
    </row>
    <row r="11" spans="1:15" ht="24" customHeight="1" x14ac:dyDescent="0.3">
      <c r="A11" t="s">
        <v>12</v>
      </c>
      <c r="B11" t="s">
        <v>13</v>
      </c>
      <c r="C11" t="s">
        <v>104</v>
      </c>
      <c r="D11">
        <v>0</v>
      </c>
      <c r="E11">
        <v>1</v>
      </c>
      <c r="F11" s="8">
        <v>0</v>
      </c>
      <c r="G11" s="2">
        <v>0</v>
      </c>
      <c r="H11" s="2">
        <v>0</v>
      </c>
      <c r="I11" s="2">
        <v>0</v>
      </c>
      <c r="J11" s="2">
        <v>0</v>
      </c>
      <c r="K11" s="9">
        <v>0</v>
      </c>
    </row>
    <row r="12" spans="1:15" ht="24" customHeight="1" x14ac:dyDescent="0.3">
      <c r="A12" s="10" t="s">
        <v>12</v>
      </c>
      <c r="B12" s="10" t="s">
        <v>13</v>
      </c>
      <c r="C12" s="10" t="s">
        <v>105</v>
      </c>
      <c r="D12" s="10">
        <v>129</v>
      </c>
      <c r="E12" s="10">
        <v>147</v>
      </c>
      <c r="F12" s="18">
        <v>0.87755102040816324</v>
      </c>
      <c r="G12" s="11">
        <v>115856514.5</v>
      </c>
      <c r="H12" s="11">
        <v>519405822.125</v>
      </c>
      <c r="I12" s="11">
        <v>35734886</v>
      </c>
      <c r="J12" s="11">
        <v>670997222.625</v>
      </c>
      <c r="K12" s="12">
        <v>6.7099722262499997</v>
      </c>
    </row>
    <row r="13" spans="1:15" ht="24" customHeight="1" x14ac:dyDescent="0.3">
      <c r="A13" s="3"/>
      <c r="B13" s="3" t="s">
        <v>11</v>
      </c>
      <c r="C13" s="3" t="s">
        <v>142</v>
      </c>
      <c r="D13" s="3">
        <v>129</v>
      </c>
      <c r="E13" s="3">
        <v>147</v>
      </c>
      <c r="F13" s="16">
        <v>0.87755102040816324</v>
      </c>
      <c r="G13" s="4">
        <v>115856514.5</v>
      </c>
      <c r="H13" s="4">
        <v>519405822.125</v>
      </c>
      <c r="I13" s="4">
        <v>35734886</v>
      </c>
      <c r="J13" s="4">
        <v>670997222.625</v>
      </c>
      <c r="K13" s="17">
        <v>6.7099722262499997</v>
      </c>
    </row>
    <row r="14" spans="1:15" ht="24" customHeight="1" x14ac:dyDescent="0.3"/>
    <row r="15" spans="1:15" ht="24" customHeight="1" x14ac:dyDescent="0.3">
      <c r="A15" t="s">
        <v>143</v>
      </c>
    </row>
    <row r="16" spans="1:15" ht="24" customHeight="1" x14ac:dyDescent="0.3"/>
    <row r="17" spans="1:17" ht="24" customHeight="1" x14ac:dyDescent="0.3">
      <c r="A17" s="43" t="s">
        <v>5</v>
      </c>
      <c r="B17" s="44" t="s">
        <v>92</v>
      </c>
      <c r="C17" s="44" t="s">
        <v>4</v>
      </c>
      <c r="D17" s="44" t="s">
        <v>144</v>
      </c>
      <c r="E17" s="44" t="s">
        <v>145</v>
      </c>
      <c r="F17" s="44" t="s">
        <v>146</v>
      </c>
      <c r="G17" s="44" t="s">
        <v>147</v>
      </c>
      <c r="H17" s="44" t="s">
        <v>148</v>
      </c>
      <c r="I17" s="44" t="s">
        <v>149</v>
      </c>
      <c r="J17" s="44" t="s">
        <v>150</v>
      </c>
      <c r="K17" s="44" t="s">
        <v>151</v>
      </c>
      <c r="L17" s="44" t="s">
        <v>152</v>
      </c>
      <c r="M17" s="44" t="s">
        <v>153</v>
      </c>
      <c r="N17" s="44" t="s">
        <v>154</v>
      </c>
      <c r="O17" s="45" t="s">
        <v>155</v>
      </c>
      <c r="P17" s="1" t="s">
        <v>156</v>
      </c>
      <c r="Q17" s="1" t="s">
        <v>10</v>
      </c>
    </row>
    <row r="18" spans="1:17" ht="24" customHeight="1" x14ac:dyDescent="0.3">
      <c r="A18" s="39" t="s">
        <v>13</v>
      </c>
      <c r="B18" s="40" t="s">
        <v>97</v>
      </c>
      <c r="C18" s="40">
        <v>1</v>
      </c>
      <c r="D18" s="40" t="s">
        <v>157</v>
      </c>
      <c r="E18" s="40"/>
      <c r="F18" s="40">
        <v>1</v>
      </c>
      <c r="G18" s="40" t="s">
        <v>158</v>
      </c>
      <c r="H18" s="40"/>
      <c r="I18" s="41">
        <f>F18*H18</f>
        <v>0</v>
      </c>
      <c r="J18" s="40"/>
      <c r="K18" s="41">
        <f>F18*J18</f>
        <v>0</v>
      </c>
      <c r="L18" s="40"/>
      <c r="M18" s="41">
        <f>F18*L18</f>
        <v>0</v>
      </c>
      <c r="N18" s="41">
        <f>H18+J18+L18</f>
        <v>0</v>
      </c>
      <c r="O18" s="42">
        <f>I18+K18+M18</f>
        <v>0</v>
      </c>
      <c r="P18" t="s">
        <v>159</v>
      </c>
      <c r="Q18" t="s">
        <v>160</v>
      </c>
    </row>
    <row r="19" spans="1:17" ht="24" customHeight="1" x14ac:dyDescent="0.3">
      <c r="A19" s="30" t="s">
        <v>13</v>
      </c>
      <c r="B19" s="31" t="s">
        <v>97</v>
      </c>
      <c r="C19" s="31"/>
      <c r="D19" s="31" t="s">
        <v>161</v>
      </c>
      <c r="E19" s="31"/>
      <c r="F19" s="31"/>
      <c r="G19" s="31"/>
      <c r="H19" s="31"/>
      <c r="I19" s="32">
        <f>SUM(I18:I18)</f>
        <v>0</v>
      </c>
      <c r="J19" s="31"/>
      <c r="K19" s="32">
        <f>SUM(K18:K18)</f>
        <v>0</v>
      </c>
      <c r="L19" s="31"/>
      <c r="M19" s="32">
        <f>SUM(M18:M18)</f>
        <v>0</v>
      </c>
      <c r="N19" s="31"/>
      <c r="O19" s="33">
        <f>SUM(O18:O18)</f>
        <v>0</v>
      </c>
      <c r="P19" s="10"/>
      <c r="Q19" s="10" t="s">
        <v>162</v>
      </c>
    </row>
    <row r="20" spans="1:17" ht="24" customHeight="1" x14ac:dyDescent="0.3">
      <c r="A20" s="26" t="s">
        <v>13</v>
      </c>
      <c r="B20" s="27" t="s">
        <v>98</v>
      </c>
      <c r="C20" s="27">
        <v>1</v>
      </c>
      <c r="D20" s="27" t="s">
        <v>163</v>
      </c>
      <c r="E20" s="27" t="s">
        <v>164</v>
      </c>
      <c r="F20" s="27">
        <v>3022</v>
      </c>
      <c r="G20" s="27" t="s">
        <v>165</v>
      </c>
      <c r="H20" s="28">
        <v>193</v>
      </c>
      <c r="I20" s="28">
        <f t="shared" ref="I20:I40" si="0">F20*H20</f>
        <v>583246</v>
      </c>
      <c r="J20" s="28">
        <v>445</v>
      </c>
      <c r="K20" s="28">
        <f t="shared" ref="K20:K40" si="1">F20*J20</f>
        <v>1344790</v>
      </c>
      <c r="L20" s="28">
        <v>216</v>
      </c>
      <c r="M20" s="28">
        <f t="shared" ref="M20:M40" si="2">F20*L20</f>
        <v>652752</v>
      </c>
      <c r="N20" s="28">
        <f t="shared" ref="N20:N40" si="3">H20+J20+L20</f>
        <v>854</v>
      </c>
      <c r="O20" s="29">
        <f t="shared" ref="O20:O40" si="4">I20+K20+M20</f>
        <v>2580788</v>
      </c>
      <c r="Q20" t="s">
        <v>163</v>
      </c>
    </row>
    <row r="21" spans="1:17" ht="24" customHeight="1" x14ac:dyDescent="0.3">
      <c r="A21" s="26" t="s">
        <v>13</v>
      </c>
      <c r="B21" s="27" t="s">
        <v>98</v>
      </c>
      <c r="C21" s="27">
        <v>2</v>
      </c>
      <c r="D21" s="27" t="s">
        <v>166</v>
      </c>
      <c r="E21" s="27" t="s">
        <v>167</v>
      </c>
      <c r="F21" s="27">
        <v>245</v>
      </c>
      <c r="G21" s="27" t="s">
        <v>168</v>
      </c>
      <c r="H21" s="28">
        <v>0</v>
      </c>
      <c r="I21" s="28">
        <f t="shared" si="0"/>
        <v>0</v>
      </c>
      <c r="J21" s="28">
        <v>4699</v>
      </c>
      <c r="K21" s="28">
        <f t="shared" si="1"/>
        <v>1151255</v>
      </c>
      <c r="L21" s="28">
        <v>0</v>
      </c>
      <c r="M21" s="28">
        <f t="shared" si="2"/>
        <v>0</v>
      </c>
      <c r="N21" s="28">
        <f t="shared" si="3"/>
        <v>4699</v>
      </c>
      <c r="O21" s="29">
        <f t="shared" si="4"/>
        <v>1151255</v>
      </c>
      <c r="Q21" t="s">
        <v>167</v>
      </c>
    </row>
    <row r="22" spans="1:17" ht="24" customHeight="1" x14ac:dyDescent="0.3">
      <c r="A22" s="26" t="s">
        <v>13</v>
      </c>
      <c r="B22" s="27" t="s">
        <v>98</v>
      </c>
      <c r="C22" s="27">
        <v>3</v>
      </c>
      <c r="D22" s="27" t="s">
        <v>169</v>
      </c>
      <c r="E22" s="27" t="s">
        <v>170</v>
      </c>
      <c r="F22" s="27">
        <v>578</v>
      </c>
      <c r="G22" s="27" t="s">
        <v>171</v>
      </c>
      <c r="H22" s="28">
        <v>912</v>
      </c>
      <c r="I22" s="28">
        <f t="shared" si="0"/>
        <v>527136</v>
      </c>
      <c r="J22" s="28">
        <v>1951</v>
      </c>
      <c r="K22" s="28">
        <f t="shared" si="1"/>
        <v>1127678</v>
      </c>
      <c r="L22" s="28">
        <v>685</v>
      </c>
      <c r="M22" s="28">
        <f t="shared" si="2"/>
        <v>395930</v>
      </c>
      <c r="N22" s="28">
        <f t="shared" si="3"/>
        <v>3548</v>
      </c>
      <c r="O22" s="29">
        <f t="shared" si="4"/>
        <v>2050744</v>
      </c>
      <c r="Q22" t="s">
        <v>172</v>
      </c>
    </row>
    <row r="23" spans="1:17" ht="24" customHeight="1" x14ac:dyDescent="0.3">
      <c r="A23" s="26" t="s">
        <v>13</v>
      </c>
      <c r="B23" s="27" t="s">
        <v>98</v>
      </c>
      <c r="C23" s="27">
        <v>4</v>
      </c>
      <c r="D23" s="27" t="s">
        <v>173</v>
      </c>
      <c r="E23" s="27" t="s">
        <v>174</v>
      </c>
      <c r="F23" s="27">
        <v>2132</v>
      </c>
      <c r="G23" s="27" t="s">
        <v>171</v>
      </c>
      <c r="H23" s="28">
        <v>447</v>
      </c>
      <c r="I23" s="28">
        <f t="shared" si="0"/>
        <v>953004</v>
      </c>
      <c r="J23" s="28">
        <v>955</v>
      </c>
      <c r="K23" s="28">
        <f t="shared" si="1"/>
        <v>2036060</v>
      </c>
      <c r="L23" s="28">
        <v>336</v>
      </c>
      <c r="M23" s="28">
        <f t="shared" si="2"/>
        <v>716352</v>
      </c>
      <c r="N23" s="28">
        <f t="shared" si="3"/>
        <v>1738</v>
      </c>
      <c r="O23" s="29">
        <f t="shared" si="4"/>
        <v>3705416</v>
      </c>
      <c r="Q23" t="s">
        <v>172</v>
      </c>
    </row>
    <row r="24" spans="1:17" ht="24" customHeight="1" x14ac:dyDescent="0.3">
      <c r="A24" s="26" t="s">
        <v>13</v>
      </c>
      <c r="B24" s="27" t="s">
        <v>98</v>
      </c>
      <c r="C24" s="27">
        <v>5</v>
      </c>
      <c r="D24" s="27" t="s">
        <v>175</v>
      </c>
      <c r="E24" s="27" t="s">
        <v>176</v>
      </c>
      <c r="F24" s="27">
        <v>1216</v>
      </c>
      <c r="G24" s="27" t="s">
        <v>171</v>
      </c>
      <c r="H24" s="28">
        <v>887</v>
      </c>
      <c r="I24" s="28">
        <f t="shared" si="0"/>
        <v>1078592</v>
      </c>
      <c r="J24" s="28">
        <v>2394</v>
      </c>
      <c r="K24" s="28">
        <f t="shared" si="1"/>
        <v>2911104</v>
      </c>
      <c r="L24" s="28">
        <v>1107</v>
      </c>
      <c r="M24" s="28">
        <f t="shared" si="2"/>
        <v>1346112</v>
      </c>
      <c r="N24" s="28">
        <f t="shared" si="3"/>
        <v>4388</v>
      </c>
      <c r="O24" s="29">
        <f t="shared" si="4"/>
        <v>5335808</v>
      </c>
      <c r="Q24" t="s">
        <v>175</v>
      </c>
    </row>
    <row r="25" spans="1:17" ht="24" customHeight="1" x14ac:dyDescent="0.3">
      <c r="A25" s="26" t="s">
        <v>13</v>
      </c>
      <c r="B25" s="27" t="s">
        <v>98</v>
      </c>
      <c r="C25" s="27">
        <v>6</v>
      </c>
      <c r="D25" s="27" t="s">
        <v>175</v>
      </c>
      <c r="E25" s="27" t="s">
        <v>177</v>
      </c>
      <c r="F25" s="27">
        <v>1406</v>
      </c>
      <c r="G25" s="27" t="s">
        <v>171</v>
      </c>
      <c r="H25" s="28">
        <v>594</v>
      </c>
      <c r="I25" s="28">
        <f t="shared" si="0"/>
        <v>835164</v>
      </c>
      <c r="J25" s="28">
        <v>1602</v>
      </c>
      <c r="K25" s="28">
        <f t="shared" si="1"/>
        <v>2252412</v>
      </c>
      <c r="L25" s="28">
        <v>741</v>
      </c>
      <c r="M25" s="28">
        <f t="shared" si="2"/>
        <v>1041846</v>
      </c>
      <c r="N25" s="28">
        <f t="shared" si="3"/>
        <v>2937</v>
      </c>
      <c r="O25" s="29">
        <f t="shared" si="4"/>
        <v>4129422</v>
      </c>
      <c r="Q25" t="s">
        <v>175</v>
      </c>
    </row>
    <row r="26" spans="1:17" ht="24" customHeight="1" x14ac:dyDescent="0.3">
      <c r="A26" s="26" t="s">
        <v>13</v>
      </c>
      <c r="B26" s="27" t="s">
        <v>98</v>
      </c>
      <c r="C26" s="27">
        <v>7</v>
      </c>
      <c r="D26" s="27" t="s">
        <v>175</v>
      </c>
      <c r="E26" s="27" t="s">
        <v>177</v>
      </c>
      <c r="F26" s="27">
        <v>1787</v>
      </c>
      <c r="G26" s="27" t="s">
        <v>171</v>
      </c>
      <c r="H26" s="28">
        <v>594</v>
      </c>
      <c r="I26" s="28">
        <f t="shared" si="0"/>
        <v>1061478</v>
      </c>
      <c r="J26" s="28">
        <v>1602</v>
      </c>
      <c r="K26" s="28">
        <f t="shared" si="1"/>
        <v>2862774</v>
      </c>
      <c r="L26" s="28">
        <v>741</v>
      </c>
      <c r="M26" s="28">
        <f t="shared" si="2"/>
        <v>1324167</v>
      </c>
      <c r="N26" s="28">
        <f t="shared" si="3"/>
        <v>2937</v>
      </c>
      <c r="O26" s="29">
        <f t="shared" si="4"/>
        <v>5248419</v>
      </c>
      <c r="Q26" t="s">
        <v>175</v>
      </c>
    </row>
    <row r="27" spans="1:17" ht="24" customHeight="1" x14ac:dyDescent="0.3">
      <c r="A27" s="26" t="s">
        <v>13</v>
      </c>
      <c r="B27" s="27" t="s">
        <v>98</v>
      </c>
      <c r="C27" s="27">
        <v>8</v>
      </c>
      <c r="D27" s="27" t="s">
        <v>178</v>
      </c>
      <c r="E27" s="27"/>
      <c r="F27" s="27">
        <v>161</v>
      </c>
      <c r="G27" s="27" t="s">
        <v>179</v>
      </c>
      <c r="H27" s="28">
        <v>438</v>
      </c>
      <c r="I27" s="28">
        <f t="shared" si="0"/>
        <v>70518</v>
      </c>
      <c r="J27" s="28">
        <v>728</v>
      </c>
      <c r="K27" s="28">
        <f t="shared" si="1"/>
        <v>117208</v>
      </c>
      <c r="L27" s="28">
        <v>427</v>
      </c>
      <c r="M27" s="28">
        <f t="shared" si="2"/>
        <v>68747</v>
      </c>
      <c r="N27" s="28">
        <f t="shared" si="3"/>
        <v>1593</v>
      </c>
      <c r="O27" s="29">
        <f t="shared" si="4"/>
        <v>256473</v>
      </c>
      <c r="Q27" t="s">
        <v>178</v>
      </c>
    </row>
    <row r="28" spans="1:17" ht="24" customHeight="1" x14ac:dyDescent="0.3">
      <c r="A28" s="26" t="s">
        <v>13</v>
      </c>
      <c r="B28" s="27" t="s">
        <v>98</v>
      </c>
      <c r="C28" s="27">
        <v>9</v>
      </c>
      <c r="D28" s="27" t="s">
        <v>180</v>
      </c>
      <c r="E28" s="27"/>
      <c r="F28" s="27">
        <v>2720</v>
      </c>
      <c r="G28" s="27" t="s">
        <v>171</v>
      </c>
      <c r="H28" s="28">
        <v>678</v>
      </c>
      <c r="I28" s="28">
        <f t="shared" si="0"/>
        <v>1844160</v>
      </c>
      <c r="J28" s="28">
        <v>1818</v>
      </c>
      <c r="K28" s="28">
        <f t="shared" si="1"/>
        <v>4944960</v>
      </c>
      <c r="L28" s="28">
        <v>909</v>
      </c>
      <c r="M28" s="28">
        <f t="shared" si="2"/>
        <v>2472480</v>
      </c>
      <c r="N28" s="28">
        <f t="shared" si="3"/>
        <v>3405</v>
      </c>
      <c r="O28" s="29">
        <f t="shared" si="4"/>
        <v>9261600</v>
      </c>
      <c r="Q28" t="s">
        <v>181</v>
      </c>
    </row>
    <row r="29" spans="1:17" ht="24" customHeight="1" x14ac:dyDescent="0.3">
      <c r="A29" s="26" t="s">
        <v>13</v>
      </c>
      <c r="B29" s="27" t="s">
        <v>98</v>
      </c>
      <c r="C29" s="27">
        <v>10</v>
      </c>
      <c r="D29" s="27" t="s">
        <v>182</v>
      </c>
      <c r="E29" s="27" t="s">
        <v>183</v>
      </c>
      <c r="F29" s="27">
        <v>206</v>
      </c>
      <c r="G29" s="27" t="s">
        <v>171</v>
      </c>
      <c r="H29" s="28">
        <v>906</v>
      </c>
      <c r="I29" s="28">
        <f t="shared" si="0"/>
        <v>186636</v>
      </c>
      <c r="J29" s="28">
        <v>1736</v>
      </c>
      <c r="K29" s="28">
        <f t="shared" si="1"/>
        <v>357616</v>
      </c>
      <c r="L29" s="28">
        <v>515</v>
      </c>
      <c r="M29" s="28">
        <f t="shared" si="2"/>
        <v>106090</v>
      </c>
      <c r="N29" s="28">
        <f t="shared" si="3"/>
        <v>3157</v>
      </c>
      <c r="O29" s="29">
        <f t="shared" si="4"/>
        <v>650342</v>
      </c>
      <c r="Q29" t="s">
        <v>172</v>
      </c>
    </row>
    <row r="30" spans="1:17" ht="24" customHeight="1" x14ac:dyDescent="0.3">
      <c r="A30" s="26" t="s">
        <v>13</v>
      </c>
      <c r="B30" s="27" t="s">
        <v>98</v>
      </c>
      <c r="C30" s="27">
        <v>11</v>
      </c>
      <c r="D30" s="27" t="s">
        <v>184</v>
      </c>
      <c r="E30" s="27" t="s">
        <v>185</v>
      </c>
      <c r="F30" s="27">
        <v>136</v>
      </c>
      <c r="G30" s="27" t="s">
        <v>171</v>
      </c>
      <c r="H30" s="28">
        <v>873</v>
      </c>
      <c r="I30" s="28">
        <f t="shared" si="0"/>
        <v>118728</v>
      </c>
      <c r="J30" s="28">
        <v>1719</v>
      </c>
      <c r="K30" s="28">
        <f t="shared" si="1"/>
        <v>233784</v>
      </c>
      <c r="L30" s="28">
        <v>653</v>
      </c>
      <c r="M30" s="28">
        <f t="shared" si="2"/>
        <v>88808</v>
      </c>
      <c r="N30" s="28">
        <f t="shared" si="3"/>
        <v>3245</v>
      </c>
      <c r="O30" s="29">
        <f t="shared" si="4"/>
        <v>441320</v>
      </c>
      <c r="Q30" t="s">
        <v>172</v>
      </c>
    </row>
    <row r="31" spans="1:17" ht="24" customHeight="1" x14ac:dyDescent="0.3">
      <c r="A31" s="26" t="s">
        <v>13</v>
      </c>
      <c r="B31" s="27" t="s">
        <v>98</v>
      </c>
      <c r="C31" s="27">
        <v>12</v>
      </c>
      <c r="D31" s="27" t="s">
        <v>186</v>
      </c>
      <c r="E31" s="27" t="s">
        <v>187</v>
      </c>
      <c r="F31" s="27">
        <v>44</v>
      </c>
      <c r="G31" s="27" t="s">
        <v>188</v>
      </c>
      <c r="H31" s="28">
        <v>0</v>
      </c>
      <c r="I31" s="28">
        <f t="shared" si="0"/>
        <v>0</v>
      </c>
      <c r="J31" s="28">
        <v>68074</v>
      </c>
      <c r="K31" s="28">
        <f t="shared" si="1"/>
        <v>2995256</v>
      </c>
      <c r="L31" s="28">
        <v>0</v>
      </c>
      <c r="M31" s="28">
        <f t="shared" si="2"/>
        <v>0</v>
      </c>
      <c r="N31" s="28">
        <f t="shared" si="3"/>
        <v>68074</v>
      </c>
      <c r="O31" s="29">
        <f t="shared" si="4"/>
        <v>2995256</v>
      </c>
      <c r="Q31" t="s">
        <v>189</v>
      </c>
    </row>
    <row r="32" spans="1:17" ht="24" customHeight="1" x14ac:dyDescent="0.3">
      <c r="A32" s="26" t="s">
        <v>13</v>
      </c>
      <c r="B32" s="27" t="s">
        <v>98</v>
      </c>
      <c r="C32" s="27">
        <v>13</v>
      </c>
      <c r="D32" s="27" t="s">
        <v>190</v>
      </c>
      <c r="E32" s="27" t="s">
        <v>191</v>
      </c>
      <c r="F32" s="27">
        <v>4</v>
      </c>
      <c r="G32" s="27" t="s">
        <v>188</v>
      </c>
      <c r="H32" s="28">
        <v>0</v>
      </c>
      <c r="I32" s="28">
        <f t="shared" si="0"/>
        <v>0</v>
      </c>
      <c r="J32" s="28">
        <v>90391</v>
      </c>
      <c r="K32" s="28">
        <f t="shared" si="1"/>
        <v>361564</v>
      </c>
      <c r="L32" s="28">
        <v>0</v>
      </c>
      <c r="M32" s="28">
        <f t="shared" si="2"/>
        <v>0</v>
      </c>
      <c r="N32" s="28">
        <f t="shared" si="3"/>
        <v>90391</v>
      </c>
      <c r="O32" s="29">
        <f t="shared" si="4"/>
        <v>361564</v>
      </c>
      <c r="Q32" t="s">
        <v>192</v>
      </c>
    </row>
    <row r="33" spans="1:17" ht="24" customHeight="1" x14ac:dyDescent="0.3">
      <c r="A33" s="26" t="s">
        <v>13</v>
      </c>
      <c r="B33" s="27" t="s">
        <v>98</v>
      </c>
      <c r="C33" s="27">
        <v>14</v>
      </c>
      <c r="D33" s="27" t="s">
        <v>193</v>
      </c>
      <c r="E33" s="27" t="s">
        <v>194</v>
      </c>
      <c r="F33" s="27">
        <v>13</v>
      </c>
      <c r="G33" s="27" t="s">
        <v>171</v>
      </c>
      <c r="H33" s="28">
        <v>18511</v>
      </c>
      <c r="I33" s="28">
        <f t="shared" si="0"/>
        <v>240643</v>
      </c>
      <c r="J33" s="28">
        <v>70869</v>
      </c>
      <c r="K33" s="28">
        <f t="shared" si="1"/>
        <v>921297</v>
      </c>
      <c r="L33" s="28">
        <v>33531</v>
      </c>
      <c r="M33" s="28">
        <f t="shared" si="2"/>
        <v>435903</v>
      </c>
      <c r="N33" s="28">
        <f t="shared" si="3"/>
        <v>122911</v>
      </c>
      <c r="O33" s="29">
        <f t="shared" si="4"/>
        <v>1597843</v>
      </c>
      <c r="Q33" t="s">
        <v>195</v>
      </c>
    </row>
    <row r="34" spans="1:17" ht="24" customHeight="1" x14ac:dyDescent="0.3">
      <c r="A34" s="26" t="s">
        <v>13</v>
      </c>
      <c r="B34" s="27" t="s">
        <v>98</v>
      </c>
      <c r="C34" s="27">
        <v>15</v>
      </c>
      <c r="D34" s="27" t="s">
        <v>196</v>
      </c>
      <c r="E34" s="27" t="s">
        <v>194</v>
      </c>
      <c r="F34" s="27">
        <v>72</v>
      </c>
      <c r="G34" s="27" t="s">
        <v>171</v>
      </c>
      <c r="H34" s="28">
        <v>5125</v>
      </c>
      <c r="I34" s="28">
        <f t="shared" si="0"/>
        <v>369000</v>
      </c>
      <c r="J34" s="28">
        <v>19126</v>
      </c>
      <c r="K34" s="28">
        <f t="shared" si="1"/>
        <v>1377072</v>
      </c>
      <c r="L34" s="28">
        <v>8630</v>
      </c>
      <c r="M34" s="28">
        <f t="shared" si="2"/>
        <v>621360</v>
      </c>
      <c r="N34" s="28">
        <f t="shared" si="3"/>
        <v>32881</v>
      </c>
      <c r="O34" s="29">
        <f t="shared" si="4"/>
        <v>2367432</v>
      </c>
      <c r="Q34" t="s">
        <v>197</v>
      </c>
    </row>
    <row r="35" spans="1:17" ht="24" customHeight="1" x14ac:dyDescent="0.3">
      <c r="A35" s="26" t="s">
        <v>13</v>
      </c>
      <c r="B35" s="27" t="s">
        <v>98</v>
      </c>
      <c r="C35" s="27">
        <v>16</v>
      </c>
      <c r="D35" s="27" t="s">
        <v>198</v>
      </c>
      <c r="E35" s="27"/>
      <c r="F35" s="27">
        <v>30</v>
      </c>
      <c r="G35" s="27" t="s">
        <v>199</v>
      </c>
      <c r="H35" s="28">
        <v>1266</v>
      </c>
      <c r="I35" s="28">
        <f t="shared" si="0"/>
        <v>37980</v>
      </c>
      <c r="J35" s="28">
        <v>1229</v>
      </c>
      <c r="K35" s="28">
        <f t="shared" si="1"/>
        <v>36870</v>
      </c>
      <c r="L35" s="28">
        <v>122</v>
      </c>
      <c r="M35" s="28">
        <f t="shared" si="2"/>
        <v>3660</v>
      </c>
      <c r="N35" s="28">
        <f t="shared" si="3"/>
        <v>2617</v>
      </c>
      <c r="O35" s="29">
        <f t="shared" si="4"/>
        <v>78510</v>
      </c>
      <c r="Q35" t="s">
        <v>198</v>
      </c>
    </row>
    <row r="36" spans="1:17" ht="24" customHeight="1" x14ac:dyDescent="0.3">
      <c r="A36" s="26" t="s">
        <v>13</v>
      </c>
      <c r="B36" s="27" t="s">
        <v>98</v>
      </c>
      <c r="C36" s="27">
        <v>17</v>
      </c>
      <c r="D36" s="27" t="s">
        <v>200</v>
      </c>
      <c r="E36" s="27"/>
      <c r="F36" s="27">
        <v>17</v>
      </c>
      <c r="G36" s="27" t="s">
        <v>199</v>
      </c>
      <c r="H36" s="28">
        <v>1379</v>
      </c>
      <c r="I36" s="28">
        <f t="shared" si="0"/>
        <v>23443</v>
      </c>
      <c r="J36" s="28">
        <v>1386</v>
      </c>
      <c r="K36" s="28">
        <f t="shared" si="1"/>
        <v>23562</v>
      </c>
      <c r="L36" s="28">
        <v>124</v>
      </c>
      <c r="M36" s="28">
        <f t="shared" si="2"/>
        <v>2108</v>
      </c>
      <c r="N36" s="28">
        <f t="shared" si="3"/>
        <v>2889</v>
      </c>
      <c r="O36" s="29">
        <f t="shared" si="4"/>
        <v>49113</v>
      </c>
      <c r="Q36" t="s">
        <v>200</v>
      </c>
    </row>
    <row r="37" spans="1:17" ht="24" customHeight="1" x14ac:dyDescent="0.3">
      <c r="A37" s="26" t="s">
        <v>13</v>
      </c>
      <c r="B37" s="27" t="s">
        <v>98</v>
      </c>
      <c r="C37" s="27">
        <v>18</v>
      </c>
      <c r="D37" s="27" t="s">
        <v>201</v>
      </c>
      <c r="E37" s="27" t="s">
        <v>202</v>
      </c>
      <c r="F37" s="27">
        <v>631</v>
      </c>
      <c r="G37" s="27" t="s">
        <v>179</v>
      </c>
      <c r="H37" s="28">
        <v>2730</v>
      </c>
      <c r="I37" s="28">
        <f t="shared" si="0"/>
        <v>1722630</v>
      </c>
      <c r="J37" s="28">
        <v>7242</v>
      </c>
      <c r="K37" s="28">
        <f t="shared" si="1"/>
        <v>4569702</v>
      </c>
      <c r="L37" s="28">
        <v>3955</v>
      </c>
      <c r="M37" s="28">
        <f t="shared" si="2"/>
        <v>2495605</v>
      </c>
      <c r="N37" s="28">
        <f t="shared" si="3"/>
        <v>13927</v>
      </c>
      <c r="O37" s="29">
        <f t="shared" si="4"/>
        <v>8787937</v>
      </c>
      <c r="Q37" t="s">
        <v>201</v>
      </c>
    </row>
    <row r="38" spans="1:17" ht="24" customHeight="1" x14ac:dyDescent="0.3">
      <c r="A38" s="26" t="s">
        <v>13</v>
      </c>
      <c r="B38" s="27" t="s">
        <v>98</v>
      </c>
      <c r="C38" s="27">
        <v>19</v>
      </c>
      <c r="D38" s="27" t="s">
        <v>203</v>
      </c>
      <c r="E38" s="27" t="s">
        <v>202</v>
      </c>
      <c r="F38" s="27">
        <v>11</v>
      </c>
      <c r="G38" s="27" t="s">
        <v>179</v>
      </c>
      <c r="H38" s="28">
        <v>6259</v>
      </c>
      <c r="I38" s="28">
        <f t="shared" si="0"/>
        <v>68849</v>
      </c>
      <c r="J38" s="28">
        <v>18737</v>
      </c>
      <c r="K38" s="28">
        <f t="shared" si="1"/>
        <v>206107</v>
      </c>
      <c r="L38" s="28">
        <v>9072</v>
      </c>
      <c r="M38" s="28">
        <f t="shared" si="2"/>
        <v>99792</v>
      </c>
      <c r="N38" s="28">
        <f t="shared" si="3"/>
        <v>34068</v>
      </c>
      <c r="O38" s="29">
        <f t="shared" si="4"/>
        <v>374748</v>
      </c>
      <c r="Q38" t="s">
        <v>203</v>
      </c>
    </row>
    <row r="39" spans="1:17" ht="24" customHeight="1" x14ac:dyDescent="0.3">
      <c r="A39" s="26" t="s">
        <v>13</v>
      </c>
      <c r="B39" s="27" t="s">
        <v>98</v>
      </c>
      <c r="C39" s="27">
        <v>20</v>
      </c>
      <c r="D39" s="27" t="s">
        <v>204</v>
      </c>
      <c r="E39" s="27" t="s">
        <v>205</v>
      </c>
      <c r="F39" s="27">
        <v>249</v>
      </c>
      <c r="G39" s="27" t="s">
        <v>199</v>
      </c>
      <c r="H39" s="28">
        <v>111</v>
      </c>
      <c r="I39" s="28">
        <f t="shared" si="0"/>
        <v>27639</v>
      </c>
      <c r="J39" s="28">
        <v>1345</v>
      </c>
      <c r="K39" s="28">
        <f t="shared" si="1"/>
        <v>334905</v>
      </c>
      <c r="L39" s="28">
        <v>132</v>
      </c>
      <c r="M39" s="28">
        <f t="shared" si="2"/>
        <v>32868</v>
      </c>
      <c r="N39" s="28">
        <f t="shared" si="3"/>
        <v>1588</v>
      </c>
      <c r="O39" s="29">
        <f t="shared" si="4"/>
        <v>395412</v>
      </c>
      <c r="Q39" t="s">
        <v>206</v>
      </c>
    </row>
    <row r="40" spans="1:17" ht="24" customHeight="1" x14ac:dyDescent="0.3">
      <c r="A40" s="26" t="s">
        <v>13</v>
      </c>
      <c r="B40" s="27" t="s">
        <v>98</v>
      </c>
      <c r="C40" s="27">
        <v>21</v>
      </c>
      <c r="D40" s="27" t="s">
        <v>207</v>
      </c>
      <c r="E40" s="27" t="s">
        <v>208</v>
      </c>
      <c r="F40" s="27">
        <v>728</v>
      </c>
      <c r="G40" s="27" t="s">
        <v>171</v>
      </c>
      <c r="H40" s="28">
        <v>570</v>
      </c>
      <c r="I40" s="28">
        <f t="shared" si="0"/>
        <v>414960</v>
      </c>
      <c r="J40" s="28">
        <v>936</v>
      </c>
      <c r="K40" s="28">
        <f t="shared" si="1"/>
        <v>681408</v>
      </c>
      <c r="L40" s="28">
        <v>331</v>
      </c>
      <c r="M40" s="28">
        <f t="shared" si="2"/>
        <v>240968</v>
      </c>
      <c r="N40" s="28">
        <f t="shared" si="3"/>
        <v>1837</v>
      </c>
      <c r="O40" s="29">
        <f t="shared" si="4"/>
        <v>1337336</v>
      </c>
      <c r="Q40" t="s">
        <v>209</v>
      </c>
    </row>
    <row r="41" spans="1:17" ht="24" customHeight="1" x14ac:dyDescent="0.3">
      <c r="A41" s="30" t="s">
        <v>13</v>
      </c>
      <c r="B41" s="31" t="s">
        <v>98</v>
      </c>
      <c r="C41" s="31"/>
      <c r="D41" s="31" t="s">
        <v>210</v>
      </c>
      <c r="E41" s="31"/>
      <c r="F41" s="31"/>
      <c r="G41" s="31"/>
      <c r="H41" s="31"/>
      <c r="I41" s="32">
        <f>SUM(I20:I40)</f>
        <v>10163806</v>
      </c>
      <c r="J41" s="31"/>
      <c r="K41" s="32">
        <f>SUM(K20:K40)</f>
        <v>30847384</v>
      </c>
      <c r="L41" s="31"/>
      <c r="M41" s="32">
        <f>SUM(M20:M40)</f>
        <v>12145548</v>
      </c>
      <c r="N41" s="31"/>
      <c r="O41" s="33">
        <f>SUM(O20:O40)</f>
        <v>53156738</v>
      </c>
      <c r="P41" s="10"/>
      <c r="Q41" s="10" t="s">
        <v>211</v>
      </c>
    </row>
    <row r="42" spans="1:17" ht="24" customHeight="1" x14ac:dyDescent="0.3">
      <c r="A42" s="26" t="s">
        <v>13</v>
      </c>
      <c r="B42" s="27" t="s">
        <v>99</v>
      </c>
      <c r="C42" s="27">
        <v>1</v>
      </c>
      <c r="D42" s="27" t="s">
        <v>212</v>
      </c>
      <c r="E42" s="27" t="s">
        <v>213</v>
      </c>
      <c r="F42" s="27">
        <v>1711</v>
      </c>
      <c r="G42" s="27" t="s">
        <v>171</v>
      </c>
      <c r="H42" s="28">
        <v>301</v>
      </c>
      <c r="I42" s="28">
        <f t="shared" ref="I42:I83" si="5">F42*H42</f>
        <v>515011</v>
      </c>
      <c r="J42" s="28">
        <v>4367</v>
      </c>
      <c r="K42" s="28">
        <f t="shared" ref="K42:K83" si="6">F42*J42</f>
        <v>7471937</v>
      </c>
      <c r="L42" s="28">
        <v>417</v>
      </c>
      <c r="M42" s="28">
        <f t="shared" ref="M42:M83" si="7">F42*L42</f>
        <v>713487</v>
      </c>
      <c r="N42" s="28">
        <f t="shared" ref="N42:N83" si="8">H42+J42+L42</f>
        <v>5085</v>
      </c>
      <c r="O42" s="29">
        <f t="shared" ref="O42:O83" si="9">I42+K42+M42</f>
        <v>8700435</v>
      </c>
      <c r="Q42" t="s">
        <v>214</v>
      </c>
    </row>
    <row r="43" spans="1:17" ht="24" customHeight="1" x14ac:dyDescent="0.3">
      <c r="A43" s="26" t="s">
        <v>13</v>
      </c>
      <c r="B43" s="27" t="s">
        <v>99</v>
      </c>
      <c r="C43" s="27">
        <v>2</v>
      </c>
      <c r="D43" s="27" t="s">
        <v>215</v>
      </c>
      <c r="E43" s="27" t="s">
        <v>216</v>
      </c>
      <c r="F43" s="27">
        <v>1504</v>
      </c>
      <c r="G43" s="27" t="s">
        <v>171</v>
      </c>
      <c r="H43" s="28">
        <v>1652</v>
      </c>
      <c r="I43" s="28">
        <f t="shared" si="5"/>
        <v>2484608</v>
      </c>
      <c r="J43" s="28">
        <v>3924</v>
      </c>
      <c r="K43" s="28">
        <f t="shared" si="6"/>
        <v>5901696</v>
      </c>
      <c r="L43" s="28">
        <v>1432</v>
      </c>
      <c r="M43" s="28">
        <f t="shared" si="7"/>
        <v>2153728</v>
      </c>
      <c r="N43" s="28">
        <f t="shared" si="8"/>
        <v>7008</v>
      </c>
      <c r="O43" s="29">
        <f t="shared" si="9"/>
        <v>10540032</v>
      </c>
      <c r="Q43" t="s">
        <v>217</v>
      </c>
    </row>
    <row r="44" spans="1:17" ht="24" customHeight="1" x14ac:dyDescent="0.3">
      <c r="A44" s="26" t="s">
        <v>13</v>
      </c>
      <c r="B44" s="27" t="s">
        <v>99</v>
      </c>
      <c r="C44" s="27">
        <v>3</v>
      </c>
      <c r="D44" s="27" t="s">
        <v>218</v>
      </c>
      <c r="E44" s="27" t="s">
        <v>219</v>
      </c>
      <c r="F44" s="27">
        <v>207</v>
      </c>
      <c r="G44" s="27" t="s">
        <v>171</v>
      </c>
      <c r="H44" s="28">
        <v>447</v>
      </c>
      <c r="I44" s="28">
        <f t="shared" si="5"/>
        <v>92529</v>
      </c>
      <c r="J44" s="28">
        <v>955</v>
      </c>
      <c r="K44" s="28">
        <f t="shared" si="6"/>
        <v>197685</v>
      </c>
      <c r="L44" s="28">
        <v>336</v>
      </c>
      <c r="M44" s="28">
        <f t="shared" si="7"/>
        <v>69552</v>
      </c>
      <c r="N44" s="28">
        <f t="shared" si="8"/>
        <v>1738</v>
      </c>
      <c r="O44" s="29">
        <f t="shared" si="9"/>
        <v>359766</v>
      </c>
      <c r="Q44" t="s">
        <v>219</v>
      </c>
    </row>
    <row r="45" spans="1:17" ht="24" customHeight="1" x14ac:dyDescent="0.3">
      <c r="A45" s="26" t="s">
        <v>13</v>
      </c>
      <c r="B45" s="27" t="s">
        <v>99</v>
      </c>
      <c r="C45" s="27">
        <v>4</v>
      </c>
      <c r="D45" s="27" t="s">
        <v>220</v>
      </c>
      <c r="E45" s="27" t="s">
        <v>221</v>
      </c>
      <c r="F45" s="27">
        <v>145</v>
      </c>
      <c r="G45" s="27" t="s">
        <v>199</v>
      </c>
      <c r="H45" s="28">
        <v>2339</v>
      </c>
      <c r="I45" s="28">
        <f t="shared" si="5"/>
        <v>339155</v>
      </c>
      <c r="J45" s="28">
        <v>19375</v>
      </c>
      <c r="K45" s="28">
        <f t="shared" si="6"/>
        <v>2809375</v>
      </c>
      <c r="L45" s="28">
        <v>2505</v>
      </c>
      <c r="M45" s="28">
        <f t="shared" si="7"/>
        <v>363225</v>
      </c>
      <c r="N45" s="28">
        <f t="shared" si="8"/>
        <v>24219</v>
      </c>
      <c r="O45" s="29">
        <f t="shared" si="9"/>
        <v>3511755</v>
      </c>
      <c r="Q45" t="s">
        <v>222</v>
      </c>
    </row>
    <row r="46" spans="1:17" ht="24" customHeight="1" x14ac:dyDescent="0.3">
      <c r="A46" s="26" t="s">
        <v>13</v>
      </c>
      <c r="B46" s="27" t="s">
        <v>99</v>
      </c>
      <c r="C46" s="27">
        <v>5</v>
      </c>
      <c r="D46" s="27" t="s">
        <v>223</v>
      </c>
      <c r="E46" s="27" t="s">
        <v>224</v>
      </c>
      <c r="F46" s="27">
        <v>177</v>
      </c>
      <c r="G46" s="27" t="s">
        <v>199</v>
      </c>
      <c r="H46" s="28">
        <v>2339</v>
      </c>
      <c r="I46" s="28">
        <f t="shared" si="5"/>
        <v>414003</v>
      </c>
      <c r="J46" s="28">
        <v>19375</v>
      </c>
      <c r="K46" s="28">
        <f t="shared" si="6"/>
        <v>3429375</v>
      </c>
      <c r="L46" s="28">
        <v>2505</v>
      </c>
      <c r="M46" s="28">
        <f t="shared" si="7"/>
        <v>443385</v>
      </c>
      <c r="N46" s="28">
        <f t="shared" si="8"/>
        <v>24219</v>
      </c>
      <c r="O46" s="29">
        <f t="shared" si="9"/>
        <v>4286763</v>
      </c>
      <c r="Q46" t="s">
        <v>222</v>
      </c>
    </row>
    <row r="47" spans="1:17" ht="24" customHeight="1" x14ac:dyDescent="0.3">
      <c r="A47" s="26" t="s">
        <v>13</v>
      </c>
      <c r="B47" s="27" t="s">
        <v>99</v>
      </c>
      <c r="C47" s="27">
        <v>6</v>
      </c>
      <c r="D47" s="27" t="s">
        <v>225</v>
      </c>
      <c r="E47" s="27" t="s">
        <v>226</v>
      </c>
      <c r="F47" s="27">
        <v>71</v>
      </c>
      <c r="G47" s="27" t="s">
        <v>171</v>
      </c>
      <c r="H47" s="28">
        <v>5963</v>
      </c>
      <c r="I47" s="28">
        <f t="shared" si="5"/>
        <v>423373</v>
      </c>
      <c r="J47" s="28">
        <v>50648</v>
      </c>
      <c r="K47" s="28">
        <f t="shared" si="6"/>
        <v>3596008</v>
      </c>
      <c r="L47" s="28">
        <v>6730</v>
      </c>
      <c r="M47" s="28">
        <f t="shared" si="7"/>
        <v>477830</v>
      </c>
      <c r="N47" s="28">
        <f t="shared" si="8"/>
        <v>63341</v>
      </c>
      <c r="O47" s="29">
        <f t="shared" si="9"/>
        <v>4497211</v>
      </c>
      <c r="Q47" t="s">
        <v>227</v>
      </c>
    </row>
    <row r="48" spans="1:17" ht="24" customHeight="1" x14ac:dyDescent="0.3">
      <c r="A48" s="26" t="s">
        <v>13</v>
      </c>
      <c r="B48" s="27" t="s">
        <v>99</v>
      </c>
      <c r="C48" s="27">
        <v>7</v>
      </c>
      <c r="D48" s="27" t="s">
        <v>228</v>
      </c>
      <c r="E48" s="27" t="s">
        <v>229</v>
      </c>
      <c r="F48" s="27">
        <v>230</v>
      </c>
      <c r="G48" s="27" t="s">
        <v>168</v>
      </c>
      <c r="H48" s="28">
        <v>378</v>
      </c>
      <c r="I48" s="28">
        <f t="shared" si="5"/>
        <v>86940</v>
      </c>
      <c r="J48" s="28">
        <v>37806</v>
      </c>
      <c r="K48" s="28">
        <f t="shared" si="6"/>
        <v>8695380</v>
      </c>
      <c r="L48" s="28">
        <v>0</v>
      </c>
      <c r="M48" s="28">
        <f t="shared" si="7"/>
        <v>0</v>
      </c>
      <c r="N48" s="28">
        <f t="shared" si="8"/>
        <v>38184</v>
      </c>
      <c r="O48" s="29">
        <f t="shared" si="9"/>
        <v>8782320</v>
      </c>
      <c r="Q48" t="s">
        <v>230</v>
      </c>
    </row>
    <row r="49" spans="1:17" ht="24" customHeight="1" x14ac:dyDescent="0.3">
      <c r="A49" s="26" t="s">
        <v>13</v>
      </c>
      <c r="B49" s="27" t="s">
        <v>99</v>
      </c>
      <c r="C49" s="27">
        <v>8</v>
      </c>
      <c r="D49" s="27" t="s">
        <v>231</v>
      </c>
      <c r="E49" s="27" t="s">
        <v>232</v>
      </c>
      <c r="F49" s="27">
        <v>22</v>
      </c>
      <c r="G49" s="27" t="s">
        <v>233</v>
      </c>
      <c r="H49" s="28">
        <v>2463</v>
      </c>
      <c r="I49" s="28">
        <f t="shared" si="5"/>
        <v>54186</v>
      </c>
      <c r="J49" s="28">
        <v>120645</v>
      </c>
      <c r="K49" s="28">
        <f t="shared" si="6"/>
        <v>2654190</v>
      </c>
      <c r="L49" s="28">
        <v>0</v>
      </c>
      <c r="M49" s="28">
        <f t="shared" si="7"/>
        <v>0</v>
      </c>
      <c r="N49" s="28">
        <f t="shared" si="8"/>
        <v>123108</v>
      </c>
      <c r="O49" s="29">
        <f t="shared" si="9"/>
        <v>2708376</v>
      </c>
      <c r="Q49" t="s">
        <v>234</v>
      </c>
    </row>
    <row r="50" spans="1:17" ht="24" customHeight="1" x14ac:dyDescent="0.3">
      <c r="A50" s="26" t="s">
        <v>13</v>
      </c>
      <c r="B50" s="27" t="s">
        <v>99</v>
      </c>
      <c r="C50" s="27">
        <v>9</v>
      </c>
      <c r="D50" s="27" t="s">
        <v>235</v>
      </c>
      <c r="E50" s="27" t="s">
        <v>236</v>
      </c>
      <c r="F50" s="27">
        <v>22</v>
      </c>
      <c r="G50" s="27" t="s">
        <v>233</v>
      </c>
      <c r="H50" s="28">
        <v>0</v>
      </c>
      <c r="I50" s="28">
        <f t="shared" si="5"/>
        <v>0</v>
      </c>
      <c r="J50" s="28">
        <v>13039</v>
      </c>
      <c r="K50" s="28">
        <f t="shared" si="6"/>
        <v>286858</v>
      </c>
      <c r="L50" s="28">
        <v>782</v>
      </c>
      <c r="M50" s="28">
        <f t="shared" si="7"/>
        <v>17204</v>
      </c>
      <c r="N50" s="28">
        <f t="shared" si="8"/>
        <v>13821</v>
      </c>
      <c r="O50" s="29">
        <f t="shared" si="9"/>
        <v>304062</v>
      </c>
      <c r="Q50" t="s">
        <v>235</v>
      </c>
    </row>
    <row r="51" spans="1:17" ht="24" customHeight="1" x14ac:dyDescent="0.3">
      <c r="A51" s="26" t="s">
        <v>13</v>
      </c>
      <c r="B51" s="27" t="s">
        <v>99</v>
      </c>
      <c r="C51" s="27">
        <v>10</v>
      </c>
      <c r="D51" s="27" t="s">
        <v>237</v>
      </c>
      <c r="E51" s="27" t="s">
        <v>238</v>
      </c>
      <c r="F51" s="27">
        <v>4</v>
      </c>
      <c r="G51" s="27" t="s">
        <v>233</v>
      </c>
      <c r="H51" s="28">
        <v>0</v>
      </c>
      <c r="I51" s="28">
        <f t="shared" si="5"/>
        <v>0</v>
      </c>
      <c r="J51" s="28">
        <v>13039</v>
      </c>
      <c r="K51" s="28">
        <f t="shared" si="6"/>
        <v>52156</v>
      </c>
      <c r="L51" s="28">
        <v>782</v>
      </c>
      <c r="M51" s="28">
        <f t="shared" si="7"/>
        <v>3128</v>
      </c>
      <c r="N51" s="28">
        <f t="shared" si="8"/>
        <v>13821</v>
      </c>
      <c r="O51" s="29">
        <f t="shared" si="9"/>
        <v>55284</v>
      </c>
      <c r="Q51" t="s">
        <v>237</v>
      </c>
    </row>
    <row r="52" spans="1:17" ht="24" customHeight="1" x14ac:dyDescent="0.3">
      <c r="A52" s="26" t="s">
        <v>13</v>
      </c>
      <c r="B52" s="27" t="s">
        <v>99</v>
      </c>
      <c r="C52" s="27">
        <v>11</v>
      </c>
      <c r="D52" s="27" t="s">
        <v>239</v>
      </c>
      <c r="E52" s="27" t="s">
        <v>240</v>
      </c>
      <c r="F52" s="27">
        <v>177</v>
      </c>
      <c r="G52" s="27" t="s">
        <v>199</v>
      </c>
      <c r="H52" s="28">
        <v>100</v>
      </c>
      <c r="I52" s="28">
        <f t="shared" si="5"/>
        <v>17700</v>
      </c>
      <c r="J52" s="28">
        <v>200</v>
      </c>
      <c r="K52" s="28">
        <f t="shared" si="6"/>
        <v>35400</v>
      </c>
      <c r="L52" s="28">
        <v>0</v>
      </c>
      <c r="M52" s="28">
        <f t="shared" si="7"/>
        <v>0</v>
      </c>
      <c r="N52" s="28">
        <f t="shared" si="8"/>
        <v>300</v>
      </c>
      <c r="O52" s="29">
        <f t="shared" si="9"/>
        <v>53100</v>
      </c>
      <c r="Q52" t="s">
        <v>241</v>
      </c>
    </row>
    <row r="53" spans="1:17" ht="24" customHeight="1" x14ac:dyDescent="0.3">
      <c r="A53" s="26" t="s">
        <v>13</v>
      </c>
      <c r="B53" s="27" t="s">
        <v>99</v>
      </c>
      <c r="C53" s="27">
        <v>12</v>
      </c>
      <c r="D53" s="27" t="s">
        <v>242</v>
      </c>
      <c r="E53" s="27" t="s">
        <v>243</v>
      </c>
      <c r="F53" s="27">
        <v>4</v>
      </c>
      <c r="G53" s="27" t="s">
        <v>233</v>
      </c>
      <c r="H53" s="28">
        <v>0</v>
      </c>
      <c r="I53" s="28">
        <f t="shared" si="5"/>
        <v>0</v>
      </c>
      <c r="J53" s="28">
        <v>81796</v>
      </c>
      <c r="K53" s="28">
        <f t="shared" si="6"/>
        <v>327184</v>
      </c>
      <c r="L53" s="28">
        <v>0</v>
      </c>
      <c r="M53" s="28">
        <f t="shared" si="7"/>
        <v>0</v>
      </c>
      <c r="N53" s="28">
        <f t="shared" si="8"/>
        <v>81796</v>
      </c>
      <c r="O53" s="29">
        <f t="shared" si="9"/>
        <v>327184</v>
      </c>
      <c r="Q53" t="s">
        <v>244</v>
      </c>
    </row>
    <row r="54" spans="1:17" ht="24" customHeight="1" x14ac:dyDescent="0.3">
      <c r="A54" s="26" t="s">
        <v>13</v>
      </c>
      <c r="B54" s="27" t="s">
        <v>99</v>
      </c>
      <c r="C54" s="27">
        <v>13</v>
      </c>
      <c r="D54" s="27" t="s">
        <v>245</v>
      </c>
      <c r="E54" s="34" t="s">
        <v>246</v>
      </c>
      <c r="F54" s="27">
        <v>0.92600000000000005</v>
      </c>
      <c r="G54" s="27" t="s">
        <v>171</v>
      </c>
      <c r="H54" s="27">
        <v>500</v>
      </c>
      <c r="I54" s="28">
        <f t="shared" si="5"/>
        <v>463</v>
      </c>
      <c r="J54" s="27">
        <v>1000</v>
      </c>
      <c r="K54" s="28">
        <f t="shared" si="6"/>
        <v>926</v>
      </c>
      <c r="L54" s="27"/>
      <c r="M54" s="28">
        <f t="shared" si="7"/>
        <v>0</v>
      </c>
      <c r="N54" s="28">
        <f t="shared" si="8"/>
        <v>1500</v>
      </c>
      <c r="O54" s="29">
        <f t="shared" si="9"/>
        <v>1389</v>
      </c>
      <c r="P54" t="s">
        <v>247</v>
      </c>
      <c r="Q54" t="s">
        <v>248</v>
      </c>
    </row>
    <row r="55" spans="1:17" ht="24" customHeight="1" x14ac:dyDescent="0.3">
      <c r="A55" s="26" t="s">
        <v>13</v>
      </c>
      <c r="B55" s="27" t="s">
        <v>99</v>
      </c>
      <c r="C55" s="27">
        <v>14</v>
      </c>
      <c r="D55" s="27" t="s">
        <v>249</v>
      </c>
      <c r="E55" s="27" t="s">
        <v>250</v>
      </c>
      <c r="F55" s="27">
        <v>22</v>
      </c>
      <c r="G55" s="27" t="s">
        <v>233</v>
      </c>
      <c r="H55" s="28">
        <v>150000</v>
      </c>
      <c r="I55" s="28">
        <f t="shared" si="5"/>
        <v>3300000</v>
      </c>
      <c r="J55" s="28">
        <v>50000</v>
      </c>
      <c r="K55" s="28">
        <f t="shared" si="6"/>
        <v>1100000</v>
      </c>
      <c r="L55" s="28">
        <v>0</v>
      </c>
      <c r="M55" s="28">
        <f t="shared" si="7"/>
        <v>0</v>
      </c>
      <c r="N55" s="28">
        <f t="shared" si="8"/>
        <v>200000</v>
      </c>
      <c r="O55" s="29">
        <f t="shared" si="9"/>
        <v>4400000</v>
      </c>
      <c r="Q55" t="s">
        <v>251</v>
      </c>
    </row>
    <row r="56" spans="1:17" ht="24" customHeight="1" x14ac:dyDescent="0.3">
      <c r="A56" s="26" t="s">
        <v>13</v>
      </c>
      <c r="B56" s="27" t="s">
        <v>99</v>
      </c>
      <c r="C56" s="27">
        <v>15</v>
      </c>
      <c r="D56" s="27" t="s">
        <v>252</v>
      </c>
      <c r="E56" s="27" t="s">
        <v>253</v>
      </c>
      <c r="F56" s="27">
        <v>54</v>
      </c>
      <c r="G56" s="27" t="s">
        <v>199</v>
      </c>
      <c r="H56" s="28">
        <v>270000</v>
      </c>
      <c r="I56" s="28">
        <f t="shared" si="5"/>
        <v>14580000</v>
      </c>
      <c r="J56" s="28">
        <v>20851</v>
      </c>
      <c r="K56" s="28">
        <f t="shared" si="6"/>
        <v>1125954</v>
      </c>
      <c r="L56" s="28">
        <v>45000</v>
      </c>
      <c r="M56" s="28">
        <f t="shared" si="7"/>
        <v>2430000</v>
      </c>
      <c r="N56" s="28">
        <f t="shared" si="8"/>
        <v>335851</v>
      </c>
      <c r="O56" s="29">
        <f t="shared" si="9"/>
        <v>18135954</v>
      </c>
      <c r="P56" t="s">
        <v>247</v>
      </c>
      <c r="Q56" t="s">
        <v>252</v>
      </c>
    </row>
    <row r="57" spans="1:17" ht="24" customHeight="1" x14ac:dyDescent="0.3">
      <c r="A57" s="26" t="s">
        <v>13</v>
      </c>
      <c r="B57" s="27" t="s">
        <v>99</v>
      </c>
      <c r="C57" s="27">
        <v>16</v>
      </c>
      <c r="D57" s="27" t="s">
        <v>254</v>
      </c>
      <c r="E57" s="27" t="s">
        <v>255</v>
      </c>
      <c r="F57" s="27">
        <v>10</v>
      </c>
      <c r="G57" s="27" t="s">
        <v>171</v>
      </c>
      <c r="H57" s="28">
        <v>3186</v>
      </c>
      <c r="I57" s="28">
        <f t="shared" si="5"/>
        <v>31860</v>
      </c>
      <c r="J57" s="28">
        <v>26699</v>
      </c>
      <c r="K57" s="28">
        <f t="shared" si="6"/>
        <v>266990</v>
      </c>
      <c r="L57" s="28">
        <v>3560</v>
      </c>
      <c r="M57" s="28">
        <f t="shared" si="7"/>
        <v>35600</v>
      </c>
      <c r="N57" s="28">
        <f t="shared" si="8"/>
        <v>33445</v>
      </c>
      <c r="O57" s="29">
        <f t="shared" si="9"/>
        <v>334450</v>
      </c>
      <c r="Q57" t="s">
        <v>256</v>
      </c>
    </row>
    <row r="58" spans="1:17" ht="24" customHeight="1" x14ac:dyDescent="0.3">
      <c r="A58" s="26" t="s">
        <v>13</v>
      </c>
      <c r="B58" s="27" t="s">
        <v>99</v>
      </c>
      <c r="C58" s="27">
        <v>17</v>
      </c>
      <c r="D58" s="27" t="s">
        <v>257</v>
      </c>
      <c r="E58" s="27" t="s">
        <v>226</v>
      </c>
      <c r="F58" s="27">
        <v>1</v>
      </c>
      <c r="G58" s="27" t="s">
        <v>171</v>
      </c>
      <c r="H58" s="28">
        <v>0</v>
      </c>
      <c r="I58" s="28">
        <f t="shared" si="5"/>
        <v>0</v>
      </c>
      <c r="J58" s="28">
        <v>0</v>
      </c>
      <c r="K58" s="28">
        <f t="shared" si="6"/>
        <v>0</v>
      </c>
      <c r="L58" s="28">
        <v>0</v>
      </c>
      <c r="M58" s="28">
        <f t="shared" si="7"/>
        <v>0</v>
      </c>
      <c r="N58" s="28">
        <f t="shared" si="8"/>
        <v>0</v>
      </c>
      <c r="O58" s="29">
        <f t="shared" si="9"/>
        <v>0</v>
      </c>
      <c r="Q58" t="s">
        <v>256</v>
      </c>
    </row>
    <row r="59" spans="1:17" ht="24" customHeight="1" x14ac:dyDescent="0.3">
      <c r="A59" s="26" t="s">
        <v>13</v>
      </c>
      <c r="B59" s="27" t="s">
        <v>99</v>
      </c>
      <c r="C59" s="27">
        <v>18</v>
      </c>
      <c r="D59" s="27" t="s">
        <v>258</v>
      </c>
      <c r="E59" s="27" t="s">
        <v>259</v>
      </c>
      <c r="F59" s="27">
        <v>1.167</v>
      </c>
      <c r="G59" s="27" t="s">
        <v>260</v>
      </c>
      <c r="H59" s="28">
        <v>55508</v>
      </c>
      <c r="I59" s="28">
        <f t="shared" si="5"/>
        <v>64777.836000000003</v>
      </c>
      <c r="J59" s="28">
        <v>638337</v>
      </c>
      <c r="K59" s="28">
        <f t="shared" si="6"/>
        <v>744939.27899999998</v>
      </c>
      <c r="L59" s="28">
        <v>0</v>
      </c>
      <c r="M59" s="28">
        <f t="shared" si="7"/>
        <v>0</v>
      </c>
      <c r="N59" s="28">
        <f t="shared" si="8"/>
        <v>693845</v>
      </c>
      <c r="O59" s="29">
        <f t="shared" si="9"/>
        <v>809717.11499999999</v>
      </c>
      <c r="Q59" t="s">
        <v>261</v>
      </c>
    </row>
    <row r="60" spans="1:17" ht="24" customHeight="1" x14ac:dyDescent="0.3">
      <c r="A60" s="26" t="s">
        <v>13</v>
      </c>
      <c r="B60" s="27" t="s">
        <v>99</v>
      </c>
      <c r="C60" s="27">
        <v>19</v>
      </c>
      <c r="D60" s="27" t="s">
        <v>262</v>
      </c>
      <c r="E60" s="27" t="s">
        <v>263</v>
      </c>
      <c r="F60" s="27">
        <v>97</v>
      </c>
      <c r="G60" s="27" t="s">
        <v>168</v>
      </c>
      <c r="H60" s="28">
        <v>378</v>
      </c>
      <c r="I60" s="28">
        <f t="shared" si="5"/>
        <v>36666</v>
      </c>
      <c r="J60" s="28">
        <v>37806</v>
      </c>
      <c r="K60" s="28">
        <f t="shared" si="6"/>
        <v>3667182</v>
      </c>
      <c r="L60" s="28">
        <v>0</v>
      </c>
      <c r="M60" s="28">
        <f t="shared" si="7"/>
        <v>0</v>
      </c>
      <c r="N60" s="28">
        <f t="shared" si="8"/>
        <v>38184</v>
      </c>
      <c r="O60" s="29">
        <f t="shared" si="9"/>
        <v>3703848</v>
      </c>
      <c r="Q60" t="s">
        <v>263</v>
      </c>
    </row>
    <row r="61" spans="1:17" ht="24" customHeight="1" x14ac:dyDescent="0.3">
      <c r="A61" s="26" t="s">
        <v>13</v>
      </c>
      <c r="B61" s="27" t="s">
        <v>99</v>
      </c>
      <c r="C61" s="27">
        <v>20</v>
      </c>
      <c r="D61" s="27" t="s">
        <v>264</v>
      </c>
      <c r="E61" s="27" t="s">
        <v>229</v>
      </c>
      <c r="F61" s="27">
        <v>1</v>
      </c>
      <c r="G61" s="27" t="s">
        <v>168</v>
      </c>
      <c r="H61" s="28">
        <v>0</v>
      </c>
      <c r="I61" s="28">
        <f t="shared" si="5"/>
        <v>0</v>
      </c>
      <c r="J61" s="28">
        <v>0</v>
      </c>
      <c r="K61" s="28">
        <f t="shared" si="6"/>
        <v>0</v>
      </c>
      <c r="L61" s="28">
        <v>34535</v>
      </c>
      <c r="M61" s="28">
        <f t="shared" si="7"/>
        <v>34535</v>
      </c>
      <c r="N61" s="28">
        <f t="shared" si="8"/>
        <v>34535</v>
      </c>
      <c r="O61" s="29">
        <f t="shared" si="9"/>
        <v>34535</v>
      </c>
      <c r="Q61" t="s">
        <v>265</v>
      </c>
    </row>
    <row r="62" spans="1:17" ht="24" customHeight="1" x14ac:dyDescent="0.3">
      <c r="A62" s="26" t="s">
        <v>13</v>
      </c>
      <c r="B62" s="27" t="s">
        <v>99</v>
      </c>
      <c r="C62" s="27">
        <v>21</v>
      </c>
      <c r="D62" s="27" t="s">
        <v>266</v>
      </c>
      <c r="E62" s="27" t="s">
        <v>267</v>
      </c>
      <c r="F62" s="27">
        <v>88</v>
      </c>
      <c r="G62" s="27" t="s">
        <v>168</v>
      </c>
      <c r="H62" s="28">
        <v>623</v>
      </c>
      <c r="I62" s="28">
        <f t="shared" si="5"/>
        <v>54824</v>
      </c>
      <c r="J62" s="28">
        <v>9748</v>
      </c>
      <c r="K62" s="28">
        <f t="shared" si="6"/>
        <v>857824</v>
      </c>
      <c r="L62" s="28">
        <v>0</v>
      </c>
      <c r="M62" s="28">
        <f t="shared" si="7"/>
        <v>0</v>
      </c>
      <c r="N62" s="28">
        <f t="shared" si="8"/>
        <v>10371</v>
      </c>
      <c r="O62" s="29">
        <f t="shared" si="9"/>
        <v>912648</v>
      </c>
      <c r="Q62" t="s">
        <v>267</v>
      </c>
    </row>
    <row r="63" spans="1:17" ht="24" customHeight="1" x14ac:dyDescent="0.3">
      <c r="A63" s="26" t="s">
        <v>13</v>
      </c>
      <c r="B63" s="27" t="s">
        <v>99</v>
      </c>
      <c r="C63" s="27">
        <v>22</v>
      </c>
      <c r="D63" s="27" t="s">
        <v>268</v>
      </c>
      <c r="E63" s="27" t="s">
        <v>269</v>
      </c>
      <c r="F63" s="27">
        <v>15</v>
      </c>
      <c r="G63" s="27" t="s">
        <v>168</v>
      </c>
      <c r="H63" s="28">
        <v>500</v>
      </c>
      <c r="I63" s="28">
        <f t="shared" si="5"/>
        <v>7500</v>
      </c>
      <c r="J63" s="28">
        <v>1500</v>
      </c>
      <c r="K63" s="28">
        <f t="shared" si="6"/>
        <v>22500</v>
      </c>
      <c r="L63" s="27"/>
      <c r="M63" s="28">
        <f t="shared" si="7"/>
        <v>0</v>
      </c>
      <c r="N63" s="28">
        <f t="shared" si="8"/>
        <v>2000</v>
      </c>
      <c r="O63" s="29">
        <f t="shared" si="9"/>
        <v>30000</v>
      </c>
      <c r="P63" t="s">
        <v>247</v>
      </c>
      <c r="Q63" t="s">
        <v>269</v>
      </c>
    </row>
    <row r="64" spans="1:17" ht="24" customHeight="1" x14ac:dyDescent="0.3">
      <c r="A64" s="26" t="s">
        <v>13</v>
      </c>
      <c r="B64" s="27" t="s">
        <v>99</v>
      </c>
      <c r="C64" s="27">
        <v>23</v>
      </c>
      <c r="D64" s="27" t="s">
        <v>270</v>
      </c>
      <c r="E64" s="27" t="s">
        <v>271</v>
      </c>
      <c r="F64" s="27">
        <v>5</v>
      </c>
      <c r="G64" s="27" t="s">
        <v>168</v>
      </c>
      <c r="H64" s="28">
        <v>0</v>
      </c>
      <c r="I64" s="28">
        <f t="shared" si="5"/>
        <v>0</v>
      </c>
      <c r="J64" s="28">
        <v>67244</v>
      </c>
      <c r="K64" s="28">
        <f t="shared" si="6"/>
        <v>336220</v>
      </c>
      <c r="L64" s="28">
        <v>0</v>
      </c>
      <c r="M64" s="28">
        <f t="shared" si="7"/>
        <v>0</v>
      </c>
      <c r="N64" s="28">
        <f t="shared" si="8"/>
        <v>67244</v>
      </c>
      <c r="O64" s="29">
        <f t="shared" si="9"/>
        <v>336220</v>
      </c>
      <c r="Q64" t="s">
        <v>271</v>
      </c>
    </row>
    <row r="65" spans="1:17" ht="24" customHeight="1" x14ac:dyDescent="0.3">
      <c r="A65" s="26" t="s">
        <v>13</v>
      </c>
      <c r="B65" s="27" t="s">
        <v>99</v>
      </c>
      <c r="C65" s="27">
        <v>24</v>
      </c>
      <c r="D65" s="27" t="s">
        <v>272</v>
      </c>
      <c r="E65" s="27" t="s">
        <v>273</v>
      </c>
      <c r="F65" s="27">
        <v>72</v>
      </c>
      <c r="G65" s="27" t="s">
        <v>274</v>
      </c>
      <c r="H65" s="28">
        <v>35000</v>
      </c>
      <c r="I65" s="28">
        <f t="shared" si="5"/>
        <v>2520000</v>
      </c>
      <c r="J65" s="28">
        <v>12000</v>
      </c>
      <c r="K65" s="28">
        <f t="shared" si="6"/>
        <v>864000</v>
      </c>
      <c r="L65" s="27">
        <v>800</v>
      </c>
      <c r="M65" s="28">
        <f t="shared" si="7"/>
        <v>57600</v>
      </c>
      <c r="N65" s="28">
        <f t="shared" si="8"/>
        <v>47800</v>
      </c>
      <c r="O65" s="29">
        <f t="shared" si="9"/>
        <v>3441600</v>
      </c>
      <c r="P65" t="s">
        <v>247</v>
      </c>
      <c r="Q65" t="s">
        <v>275</v>
      </c>
    </row>
    <row r="66" spans="1:17" ht="24" customHeight="1" x14ac:dyDescent="0.3">
      <c r="A66" s="26" t="s">
        <v>13</v>
      </c>
      <c r="B66" s="27" t="s">
        <v>99</v>
      </c>
      <c r="C66" s="27">
        <v>25</v>
      </c>
      <c r="D66" s="27" t="s">
        <v>276</v>
      </c>
      <c r="E66" s="27" t="s">
        <v>277</v>
      </c>
      <c r="F66" s="27">
        <v>22</v>
      </c>
      <c r="G66" s="27" t="s">
        <v>199</v>
      </c>
      <c r="H66" s="28">
        <v>51</v>
      </c>
      <c r="I66" s="28">
        <f t="shared" si="5"/>
        <v>1122</v>
      </c>
      <c r="J66" s="28">
        <v>5125</v>
      </c>
      <c r="K66" s="28">
        <f t="shared" si="6"/>
        <v>112750</v>
      </c>
      <c r="L66" s="28">
        <v>0</v>
      </c>
      <c r="M66" s="28">
        <f t="shared" si="7"/>
        <v>0</v>
      </c>
      <c r="N66" s="28">
        <f t="shared" si="8"/>
        <v>5176</v>
      </c>
      <c r="O66" s="29">
        <f t="shared" si="9"/>
        <v>113872</v>
      </c>
      <c r="Q66" t="s">
        <v>278</v>
      </c>
    </row>
    <row r="67" spans="1:17" ht="24" customHeight="1" x14ac:dyDescent="0.3">
      <c r="A67" s="26" t="s">
        <v>13</v>
      </c>
      <c r="B67" s="27" t="s">
        <v>99</v>
      </c>
      <c r="C67" s="27">
        <v>26</v>
      </c>
      <c r="D67" s="27" t="s">
        <v>279</v>
      </c>
      <c r="E67" s="27" t="s">
        <v>280</v>
      </c>
      <c r="F67" s="27">
        <v>11</v>
      </c>
      <c r="G67" s="27" t="s">
        <v>171</v>
      </c>
      <c r="H67" s="28">
        <v>1606</v>
      </c>
      <c r="I67" s="28">
        <f t="shared" si="5"/>
        <v>17666</v>
      </c>
      <c r="J67" s="28">
        <v>8751</v>
      </c>
      <c r="K67" s="28">
        <f t="shared" si="6"/>
        <v>96261</v>
      </c>
      <c r="L67" s="28">
        <v>1798</v>
      </c>
      <c r="M67" s="28">
        <f t="shared" si="7"/>
        <v>19778</v>
      </c>
      <c r="N67" s="28">
        <f t="shared" si="8"/>
        <v>12155</v>
      </c>
      <c r="O67" s="29">
        <f t="shared" si="9"/>
        <v>133705</v>
      </c>
      <c r="Q67" t="s">
        <v>279</v>
      </c>
    </row>
    <row r="68" spans="1:17" ht="24" customHeight="1" x14ac:dyDescent="0.3">
      <c r="A68" s="26" t="s">
        <v>13</v>
      </c>
      <c r="B68" s="27" t="s">
        <v>99</v>
      </c>
      <c r="C68" s="27">
        <v>27</v>
      </c>
      <c r="D68" s="27" t="s">
        <v>281</v>
      </c>
      <c r="E68" s="27" t="s">
        <v>282</v>
      </c>
      <c r="F68" s="27">
        <v>1.2070000000000001</v>
      </c>
      <c r="G68" s="27" t="s">
        <v>283</v>
      </c>
      <c r="H68" s="27"/>
      <c r="I68" s="28">
        <f t="shared" si="5"/>
        <v>0</v>
      </c>
      <c r="J68" s="27"/>
      <c r="K68" s="28">
        <f t="shared" si="6"/>
        <v>0</v>
      </c>
      <c r="L68" s="27">
        <v>30000</v>
      </c>
      <c r="M68" s="28">
        <f t="shared" si="7"/>
        <v>36210</v>
      </c>
      <c r="N68" s="28">
        <f t="shared" si="8"/>
        <v>30000</v>
      </c>
      <c r="O68" s="29">
        <f t="shared" si="9"/>
        <v>36210</v>
      </c>
      <c r="P68" t="s">
        <v>247</v>
      </c>
      <c r="Q68" t="s">
        <v>284</v>
      </c>
    </row>
    <row r="69" spans="1:17" ht="24" customHeight="1" x14ac:dyDescent="0.3">
      <c r="A69" s="26" t="s">
        <v>13</v>
      </c>
      <c r="B69" s="27" t="s">
        <v>99</v>
      </c>
      <c r="C69" s="27">
        <v>28</v>
      </c>
      <c r="D69" s="27" t="s">
        <v>285</v>
      </c>
      <c r="E69" s="27" t="s">
        <v>286</v>
      </c>
      <c r="F69" s="27">
        <v>2.8000000000000001E-2</v>
      </c>
      <c r="G69" s="27" t="s">
        <v>283</v>
      </c>
      <c r="H69" s="27">
        <v>-10000</v>
      </c>
      <c r="I69" s="28">
        <f t="shared" si="5"/>
        <v>-280</v>
      </c>
      <c r="J69" s="27"/>
      <c r="K69" s="28">
        <f t="shared" si="6"/>
        <v>0</v>
      </c>
      <c r="L69" s="27"/>
      <c r="M69" s="28">
        <f t="shared" si="7"/>
        <v>0</v>
      </c>
      <c r="N69" s="28">
        <f t="shared" si="8"/>
        <v>-10000</v>
      </c>
      <c r="O69" s="29">
        <f t="shared" si="9"/>
        <v>-280</v>
      </c>
      <c r="P69" t="s">
        <v>247</v>
      </c>
      <c r="Q69" t="s">
        <v>287</v>
      </c>
    </row>
    <row r="70" spans="1:17" ht="24" customHeight="1" x14ac:dyDescent="0.3">
      <c r="A70" s="26" t="s">
        <v>13</v>
      </c>
      <c r="B70" s="27" t="s">
        <v>99</v>
      </c>
      <c r="C70" s="27">
        <v>29</v>
      </c>
      <c r="D70" s="27" t="s">
        <v>288</v>
      </c>
      <c r="E70" s="27" t="s">
        <v>289</v>
      </c>
      <c r="F70" s="27">
        <v>17</v>
      </c>
      <c r="G70" s="27" t="s">
        <v>290</v>
      </c>
      <c r="H70" s="27">
        <v>5500</v>
      </c>
      <c r="I70" s="28">
        <f t="shared" si="5"/>
        <v>93500</v>
      </c>
      <c r="J70" s="27"/>
      <c r="K70" s="28">
        <f t="shared" si="6"/>
        <v>0</v>
      </c>
      <c r="L70" s="27"/>
      <c r="M70" s="28">
        <f t="shared" si="7"/>
        <v>0</v>
      </c>
      <c r="N70" s="28">
        <f t="shared" si="8"/>
        <v>5500</v>
      </c>
      <c r="O70" s="29">
        <f t="shared" si="9"/>
        <v>93500</v>
      </c>
      <c r="P70" t="s">
        <v>247</v>
      </c>
      <c r="Q70" t="s">
        <v>291</v>
      </c>
    </row>
    <row r="71" spans="1:17" ht="24" customHeight="1" x14ac:dyDescent="0.3">
      <c r="A71" s="26" t="s">
        <v>13</v>
      </c>
      <c r="B71" s="27" t="s">
        <v>99</v>
      </c>
      <c r="C71" s="27">
        <v>30</v>
      </c>
      <c r="D71" s="27" t="s">
        <v>292</v>
      </c>
      <c r="E71" s="27" t="s">
        <v>293</v>
      </c>
      <c r="F71" s="27">
        <v>17</v>
      </c>
      <c r="G71" s="27" t="s">
        <v>290</v>
      </c>
      <c r="H71" s="27"/>
      <c r="I71" s="28">
        <f t="shared" si="5"/>
        <v>0</v>
      </c>
      <c r="J71" s="27"/>
      <c r="K71" s="28">
        <f t="shared" si="6"/>
        <v>0</v>
      </c>
      <c r="L71" s="27">
        <v>200</v>
      </c>
      <c r="M71" s="28">
        <f t="shared" si="7"/>
        <v>3400</v>
      </c>
      <c r="N71" s="28">
        <f t="shared" si="8"/>
        <v>200</v>
      </c>
      <c r="O71" s="29">
        <f t="shared" si="9"/>
        <v>3400</v>
      </c>
      <c r="P71" t="s">
        <v>247</v>
      </c>
      <c r="Q71" t="s">
        <v>294</v>
      </c>
    </row>
    <row r="72" spans="1:17" ht="24" customHeight="1" x14ac:dyDescent="0.3">
      <c r="A72" s="26" t="s">
        <v>13</v>
      </c>
      <c r="B72" s="27" t="s">
        <v>99</v>
      </c>
      <c r="C72" s="27">
        <v>31</v>
      </c>
      <c r="D72" s="27" t="s">
        <v>295</v>
      </c>
      <c r="E72" s="27" t="s">
        <v>296</v>
      </c>
      <c r="F72" s="27">
        <v>22</v>
      </c>
      <c r="G72" s="27" t="s">
        <v>171</v>
      </c>
      <c r="H72" s="28">
        <v>806</v>
      </c>
      <c r="I72" s="28">
        <f t="shared" si="5"/>
        <v>17732</v>
      </c>
      <c r="J72" s="28">
        <v>1354</v>
      </c>
      <c r="K72" s="28">
        <f t="shared" si="6"/>
        <v>29788</v>
      </c>
      <c r="L72" s="28">
        <v>678</v>
      </c>
      <c r="M72" s="28">
        <f t="shared" si="7"/>
        <v>14916</v>
      </c>
      <c r="N72" s="28">
        <f t="shared" si="8"/>
        <v>2838</v>
      </c>
      <c r="O72" s="29">
        <f t="shared" si="9"/>
        <v>62436</v>
      </c>
      <c r="Q72" t="s">
        <v>297</v>
      </c>
    </row>
    <row r="73" spans="1:17" ht="24" customHeight="1" x14ac:dyDescent="0.3">
      <c r="A73" s="26" t="s">
        <v>13</v>
      </c>
      <c r="B73" s="27" t="s">
        <v>99</v>
      </c>
      <c r="C73" s="27">
        <v>32</v>
      </c>
      <c r="D73" s="27" t="s">
        <v>298</v>
      </c>
      <c r="E73" s="27" t="s">
        <v>299</v>
      </c>
      <c r="F73" s="27">
        <v>2</v>
      </c>
      <c r="G73" s="27" t="s">
        <v>171</v>
      </c>
      <c r="H73" s="28">
        <v>0</v>
      </c>
      <c r="I73" s="28">
        <f t="shared" si="5"/>
        <v>0</v>
      </c>
      <c r="J73" s="28">
        <v>4036</v>
      </c>
      <c r="K73" s="28">
        <f t="shared" si="6"/>
        <v>8072</v>
      </c>
      <c r="L73" s="28">
        <v>947</v>
      </c>
      <c r="M73" s="28">
        <f t="shared" si="7"/>
        <v>1894</v>
      </c>
      <c r="N73" s="28">
        <f t="shared" si="8"/>
        <v>4983</v>
      </c>
      <c r="O73" s="29">
        <f t="shared" si="9"/>
        <v>9966</v>
      </c>
      <c r="Q73" t="s">
        <v>300</v>
      </c>
    </row>
    <row r="74" spans="1:17" ht="24" customHeight="1" x14ac:dyDescent="0.3">
      <c r="A74" s="26" t="s">
        <v>13</v>
      </c>
      <c r="B74" s="27" t="s">
        <v>99</v>
      </c>
      <c r="C74" s="27">
        <v>33</v>
      </c>
      <c r="D74" s="27" t="s">
        <v>301</v>
      </c>
      <c r="E74" s="27" t="s">
        <v>302</v>
      </c>
      <c r="F74" s="27">
        <v>71</v>
      </c>
      <c r="G74" s="27" t="s">
        <v>171</v>
      </c>
      <c r="H74" s="28">
        <v>1293</v>
      </c>
      <c r="I74" s="28">
        <f t="shared" si="5"/>
        <v>91803</v>
      </c>
      <c r="J74" s="28">
        <v>64674</v>
      </c>
      <c r="K74" s="28">
        <f t="shared" si="6"/>
        <v>4591854</v>
      </c>
      <c r="L74" s="28">
        <v>0</v>
      </c>
      <c r="M74" s="28">
        <f t="shared" si="7"/>
        <v>0</v>
      </c>
      <c r="N74" s="28">
        <f t="shared" si="8"/>
        <v>65967</v>
      </c>
      <c r="O74" s="29">
        <f t="shared" si="9"/>
        <v>4683657</v>
      </c>
      <c r="Q74" t="s">
        <v>303</v>
      </c>
    </row>
    <row r="75" spans="1:17" ht="24" customHeight="1" x14ac:dyDescent="0.3">
      <c r="A75" s="26" t="s">
        <v>13</v>
      </c>
      <c r="B75" s="27" t="s">
        <v>99</v>
      </c>
      <c r="C75" s="27">
        <v>34</v>
      </c>
      <c r="D75" s="27" t="s">
        <v>304</v>
      </c>
      <c r="E75" s="27" t="s">
        <v>305</v>
      </c>
      <c r="F75" s="27">
        <v>1</v>
      </c>
      <c r="G75" s="27" t="s">
        <v>171</v>
      </c>
      <c r="H75" s="28">
        <v>1293</v>
      </c>
      <c r="I75" s="28">
        <f t="shared" si="5"/>
        <v>1293</v>
      </c>
      <c r="J75" s="28">
        <v>64674</v>
      </c>
      <c r="K75" s="28">
        <f t="shared" si="6"/>
        <v>64674</v>
      </c>
      <c r="L75" s="28">
        <v>0</v>
      </c>
      <c r="M75" s="28">
        <f t="shared" si="7"/>
        <v>0</v>
      </c>
      <c r="N75" s="28">
        <f t="shared" si="8"/>
        <v>65967</v>
      </c>
      <c r="O75" s="29">
        <f t="shared" si="9"/>
        <v>65967</v>
      </c>
      <c r="Q75" t="s">
        <v>306</v>
      </c>
    </row>
    <row r="76" spans="1:17" ht="24" customHeight="1" x14ac:dyDescent="0.3">
      <c r="A76" s="26" t="s">
        <v>13</v>
      </c>
      <c r="B76" s="27" t="s">
        <v>99</v>
      </c>
      <c r="C76" s="27">
        <v>35</v>
      </c>
      <c r="D76" s="27" t="s">
        <v>307</v>
      </c>
      <c r="E76" s="27" t="s">
        <v>308</v>
      </c>
      <c r="F76" s="27">
        <v>10</v>
      </c>
      <c r="G76" s="27" t="s">
        <v>171</v>
      </c>
      <c r="H76" s="28">
        <v>1293</v>
      </c>
      <c r="I76" s="28">
        <f t="shared" si="5"/>
        <v>12930</v>
      </c>
      <c r="J76" s="28">
        <v>64674</v>
      </c>
      <c r="K76" s="28">
        <f t="shared" si="6"/>
        <v>646740</v>
      </c>
      <c r="L76" s="28">
        <v>0</v>
      </c>
      <c r="M76" s="28">
        <f t="shared" si="7"/>
        <v>0</v>
      </c>
      <c r="N76" s="28">
        <f t="shared" si="8"/>
        <v>65967</v>
      </c>
      <c r="O76" s="29">
        <f t="shared" si="9"/>
        <v>659670</v>
      </c>
      <c r="Q76" t="s">
        <v>306</v>
      </c>
    </row>
    <row r="77" spans="1:17" ht="24" customHeight="1" x14ac:dyDescent="0.3">
      <c r="A77" s="26" t="s">
        <v>13</v>
      </c>
      <c r="B77" s="27" t="s">
        <v>99</v>
      </c>
      <c r="C77" s="27">
        <v>36</v>
      </c>
      <c r="D77" s="27" t="s">
        <v>309</v>
      </c>
      <c r="E77" s="27" t="s">
        <v>310</v>
      </c>
      <c r="F77" s="27">
        <v>145</v>
      </c>
      <c r="G77" s="27" t="s">
        <v>311</v>
      </c>
      <c r="H77" s="28">
        <v>2339</v>
      </c>
      <c r="I77" s="28">
        <f t="shared" si="5"/>
        <v>339155</v>
      </c>
      <c r="J77" s="28">
        <v>19375</v>
      </c>
      <c r="K77" s="28">
        <f t="shared" si="6"/>
        <v>2809375</v>
      </c>
      <c r="L77" s="28">
        <v>2505</v>
      </c>
      <c r="M77" s="28">
        <f t="shared" si="7"/>
        <v>363225</v>
      </c>
      <c r="N77" s="28">
        <f t="shared" si="8"/>
        <v>24219</v>
      </c>
      <c r="O77" s="29">
        <f t="shared" si="9"/>
        <v>3511755</v>
      </c>
      <c r="Q77" t="s">
        <v>222</v>
      </c>
    </row>
    <row r="78" spans="1:17" ht="24" customHeight="1" x14ac:dyDescent="0.3">
      <c r="A78" s="26" t="s">
        <v>13</v>
      </c>
      <c r="B78" s="27" t="s">
        <v>99</v>
      </c>
      <c r="C78" s="27">
        <v>37</v>
      </c>
      <c r="D78" s="27" t="s">
        <v>312</v>
      </c>
      <c r="E78" s="27" t="s">
        <v>313</v>
      </c>
      <c r="F78" s="27">
        <v>177</v>
      </c>
      <c r="G78" s="27" t="s">
        <v>311</v>
      </c>
      <c r="H78" s="28">
        <v>2339</v>
      </c>
      <c r="I78" s="28">
        <f t="shared" si="5"/>
        <v>414003</v>
      </c>
      <c r="J78" s="28">
        <v>19375</v>
      </c>
      <c r="K78" s="28">
        <f t="shared" si="6"/>
        <v>3429375</v>
      </c>
      <c r="L78" s="28">
        <v>2505</v>
      </c>
      <c r="M78" s="28">
        <f t="shared" si="7"/>
        <v>443385</v>
      </c>
      <c r="N78" s="28">
        <f t="shared" si="8"/>
        <v>24219</v>
      </c>
      <c r="O78" s="29">
        <f t="shared" si="9"/>
        <v>4286763</v>
      </c>
      <c r="Q78" t="s">
        <v>222</v>
      </c>
    </row>
    <row r="79" spans="1:17" ht="24" customHeight="1" x14ac:dyDescent="0.3">
      <c r="A79" s="26" t="s">
        <v>13</v>
      </c>
      <c r="B79" s="27" t="s">
        <v>99</v>
      </c>
      <c r="C79" s="27">
        <v>38</v>
      </c>
      <c r="D79" s="27" t="s">
        <v>314</v>
      </c>
      <c r="E79" s="27" t="s">
        <v>315</v>
      </c>
      <c r="F79" s="27">
        <v>58</v>
      </c>
      <c r="G79" s="27" t="s">
        <v>316</v>
      </c>
      <c r="H79" s="28">
        <v>0</v>
      </c>
      <c r="I79" s="28">
        <f t="shared" si="5"/>
        <v>0</v>
      </c>
      <c r="J79" s="28">
        <v>0</v>
      </c>
      <c r="K79" s="28">
        <f t="shared" si="6"/>
        <v>0</v>
      </c>
      <c r="L79" s="28">
        <v>2000</v>
      </c>
      <c r="M79" s="28">
        <f t="shared" si="7"/>
        <v>116000</v>
      </c>
      <c r="N79" s="28">
        <f t="shared" si="8"/>
        <v>2000</v>
      </c>
      <c r="O79" s="29">
        <f t="shared" si="9"/>
        <v>116000</v>
      </c>
      <c r="Q79" t="s">
        <v>317</v>
      </c>
    </row>
    <row r="80" spans="1:17" ht="24" customHeight="1" x14ac:dyDescent="0.3">
      <c r="A80" s="26" t="s">
        <v>13</v>
      </c>
      <c r="B80" s="27" t="s">
        <v>99</v>
      </c>
      <c r="C80" s="27">
        <v>39</v>
      </c>
      <c r="D80" s="27" t="s">
        <v>318</v>
      </c>
      <c r="E80" s="27" t="s">
        <v>319</v>
      </c>
      <c r="F80" s="27">
        <v>71</v>
      </c>
      <c r="G80" s="27" t="s">
        <v>316</v>
      </c>
      <c r="H80" s="28">
        <v>0</v>
      </c>
      <c r="I80" s="28">
        <f t="shared" si="5"/>
        <v>0</v>
      </c>
      <c r="J80" s="28">
        <v>0</v>
      </c>
      <c r="K80" s="28">
        <f t="shared" si="6"/>
        <v>0</v>
      </c>
      <c r="L80" s="28">
        <v>5000</v>
      </c>
      <c r="M80" s="28">
        <f t="shared" si="7"/>
        <v>355000</v>
      </c>
      <c r="N80" s="28">
        <f t="shared" si="8"/>
        <v>5000</v>
      </c>
      <c r="O80" s="29">
        <f t="shared" si="9"/>
        <v>355000</v>
      </c>
      <c r="Q80" t="s">
        <v>320</v>
      </c>
    </row>
    <row r="81" spans="1:17" ht="24" customHeight="1" x14ac:dyDescent="0.3">
      <c r="A81" s="26" t="s">
        <v>13</v>
      </c>
      <c r="B81" s="27" t="s">
        <v>99</v>
      </c>
      <c r="C81" s="27">
        <v>40</v>
      </c>
      <c r="D81" s="27" t="s">
        <v>321</v>
      </c>
      <c r="E81" s="27" t="s">
        <v>322</v>
      </c>
      <c r="F81" s="27">
        <v>4</v>
      </c>
      <c r="G81" s="27" t="s">
        <v>323</v>
      </c>
      <c r="H81" s="28">
        <v>0</v>
      </c>
      <c r="I81" s="28">
        <f t="shared" si="5"/>
        <v>0</v>
      </c>
      <c r="J81" s="28">
        <v>289893</v>
      </c>
      <c r="K81" s="28">
        <f t="shared" si="6"/>
        <v>1159572</v>
      </c>
      <c r="L81" s="28">
        <v>0</v>
      </c>
      <c r="M81" s="28">
        <f t="shared" si="7"/>
        <v>0</v>
      </c>
      <c r="N81" s="28">
        <f t="shared" si="8"/>
        <v>289893</v>
      </c>
      <c r="O81" s="29">
        <f t="shared" si="9"/>
        <v>1159572</v>
      </c>
      <c r="Q81" t="s">
        <v>324</v>
      </c>
    </row>
    <row r="82" spans="1:17" ht="24" customHeight="1" x14ac:dyDescent="0.3">
      <c r="A82" s="26" t="s">
        <v>13</v>
      </c>
      <c r="B82" s="27" t="s">
        <v>99</v>
      </c>
      <c r="C82" s="27">
        <v>41</v>
      </c>
      <c r="D82" s="27" t="s">
        <v>325</v>
      </c>
      <c r="E82" s="27" t="s">
        <v>326</v>
      </c>
      <c r="F82" s="27">
        <v>1.0249999999999999</v>
      </c>
      <c r="G82" s="27" t="s">
        <v>327</v>
      </c>
      <c r="H82" s="28">
        <v>952000</v>
      </c>
      <c r="I82" s="28">
        <f t="shared" si="5"/>
        <v>975799.99999999988</v>
      </c>
      <c r="J82" s="28">
        <v>0</v>
      </c>
      <c r="K82" s="28">
        <f t="shared" si="6"/>
        <v>0</v>
      </c>
      <c r="L82" s="28">
        <v>0</v>
      </c>
      <c r="M82" s="28">
        <f t="shared" si="7"/>
        <v>0</v>
      </c>
      <c r="N82" s="28">
        <f t="shared" si="8"/>
        <v>952000</v>
      </c>
      <c r="O82" s="29">
        <f t="shared" si="9"/>
        <v>975799.99999999988</v>
      </c>
      <c r="Q82" t="s">
        <v>328</v>
      </c>
    </row>
    <row r="83" spans="1:17" ht="24" customHeight="1" x14ac:dyDescent="0.3">
      <c r="A83" s="26" t="s">
        <v>13</v>
      </c>
      <c r="B83" s="27" t="s">
        <v>99</v>
      </c>
      <c r="C83" s="27">
        <v>42</v>
      </c>
      <c r="D83" s="27" t="s">
        <v>329</v>
      </c>
      <c r="E83" s="27" t="s">
        <v>330</v>
      </c>
      <c r="F83" s="27">
        <v>0.182</v>
      </c>
      <c r="G83" s="27" t="s">
        <v>327</v>
      </c>
      <c r="H83" s="28">
        <v>952000</v>
      </c>
      <c r="I83" s="28">
        <f t="shared" si="5"/>
        <v>173264</v>
      </c>
      <c r="J83" s="28">
        <v>0</v>
      </c>
      <c r="K83" s="28">
        <f t="shared" si="6"/>
        <v>0</v>
      </c>
      <c r="L83" s="28">
        <v>0</v>
      </c>
      <c r="M83" s="28">
        <f t="shared" si="7"/>
        <v>0</v>
      </c>
      <c r="N83" s="28">
        <f t="shared" si="8"/>
        <v>952000</v>
      </c>
      <c r="O83" s="29">
        <f t="shared" si="9"/>
        <v>173264</v>
      </c>
      <c r="Q83" t="s">
        <v>331</v>
      </c>
    </row>
    <row r="84" spans="1:17" ht="24" customHeight="1" x14ac:dyDescent="0.3">
      <c r="A84" s="30" t="s">
        <v>13</v>
      </c>
      <c r="B84" s="31" t="s">
        <v>99</v>
      </c>
      <c r="C84" s="31"/>
      <c r="D84" s="31" t="s">
        <v>332</v>
      </c>
      <c r="E84" s="31"/>
      <c r="F84" s="31"/>
      <c r="G84" s="31"/>
      <c r="H84" s="31"/>
      <c r="I84" s="32">
        <f>SUM(I42:I83)</f>
        <v>27161583.835999999</v>
      </c>
      <c r="J84" s="31"/>
      <c r="K84" s="32">
        <f>SUM(K42:K83)</f>
        <v>57392240.278999999</v>
      </c>
      <c r="L84" s="31"/>
      <c r="M84" s="32">
        <f>SUM(M42:M83)</f>
        <v>8153082</v>
      </c>
      <c r="N84" s="31"/>
      <c r="O84" s="33">
        <f>SUM(O42:O83)</f>
        <v>92706906.114999995</v>
      </c>
      <c r="P84" s="10"/>
      <c r="Q84" s="10" t="s">
        <v>333</v>
      </c>
    </row>
    <row r="85" spans="1:17" ht="24" customHeight="1" x14ac:dyDescent="0.3">
      <c r="A85" s="26" t="s">
        <v>13</v>
      </c>
      <c r="B85" s="27" t="s">
        <v>100</v>
      </c>
      <c r="C85" s="27">
        <v>1</v>
      </c>
      <c r="D85" s="27" t="s">
        <v>334</v>
      </c>
      <c r="E85" s="27" t="s">
        <v>335</v>
      </c>
      <c r="F85" s="27">
        <v>3270</v>
      </c>
      <c r="G85" s="27" t="s">
        <v>168</v>
      </c>
      <c r="H85" s="28">
        <v>177</v>
      </c>
      <c r="I85" s="28">
        <f t="shared" ref="I85:I116" si="10">F85*H85</f>
        <v>578790</v>
      </c>
      <c r="J85" s="28">
        <v>1249</v>
      </c>
      <c r="K85" s="28">
        <f t="shared" ref="K85:K116" si="11">F85*J85</f>
        <v>4084230</v>
      </c>
      <c r="L85" s="28">
        <v>311</v>
      </c>
      <c r="M85" s="28">
        <f t="shared" ref="M85:M116" si="12">F85*L85</f>
        <v>1016970</v>
      </c>
      <c r="N85" s="28">
        <f t="shared" ref="N85:N116" si="13">H85+J85+L85</f>
        <v>1737</v>
      </c>
      <c r="O85" s="29">
        <f t="shared" ref="O85:O116" si="14">I85+K85+M85</f>
        <v>5679990</v>
      </c>
      <c r="Q85" t="s">
        <v>336</v>
      </c>
    </row>
    <row r="86" spans="1:17" ht="24" customHeight="1" x14ac:dyDescent="0.3">
      <c r="A86" s="26" t="s">
        <v>13</v>
      </c>
      <c r="B86" s="27" t="s">
        <v>100</v>
      </c>
      <c r="C86" s="27">
        <v>2</v>
      </c>
      <c r="D86" s="27" t="s">
        <v>337</v>
      </c>
      <c r="E86" s="27" t="s">
        <v>335</v>
      </c>
      <c r="F86" s="27">
        <v>3270</v>
      </c>
      <c r="G86" s="27" t="s">
        <v>168</v>
      </c>
      <c r="H86" s="28">
        <v>177</v>
      </c>
      <c r="I86" s="28">
        <f t="shared" si="10"/>
        <v>578790</v>
      </c>
      <c r="J86" s="28">
        <v>1249</v>
      </c>
      <c r="K86" s="28">
        <f t="shared" si="11"/>
        <v>4084230</v>
      </c>
      <c r="L86" s="28">
        <v>311</v>
      </c>
      <c r="M86" s="28">
        <f t="shared" si="12"/>
        <v>1016970</v>
      </c>
      <c r="N86" s="28">
        <f t="shared" si="13"/>
        <v>1737</v>
      </c>
      <c r="O86" s="29">
        <f t="shared" si="14"/>
        <v>5679990</v>
      </c>
      <c r="Q86" t="s">
        <v>336</v>
      </c>
    </row>
    <row r="87" spans="1:17" ht="24" customHeight="1" x14ac:dyDescent="0.3">
      <c r="A87" s="26" t="s">
        <v>13</v>
      </c>
      <c r="B87" s="27" t="s">
        <v>100</v>
      </c>
      <c r="C87" s="27">
        <v>3</v>
      </c>
      <c r="D87" s="27" t="s">
        <v>338</v>
      </c>
      <c r="E87" s="27" t="s">
        <v>339</v>
      </c>
      <c r="F87" s="27">
        <v>3270</v>
      </c>
      <c r="G87" s="27" t="s">
        <v>168</v>
      </c>
      <c r="H87" s="28">
        <v>0</v>
      </c>
      <c r="I87" s="28">
        <f t="shared" si="10"/>
        <v>0</v>
      </c>
      <c r="J87" s="28">
        <v>0</v>
      </c>
      <c r="K87" s="28">
        <f t="shared" si="11"/>
        <v>0</v>
      </c>
      <c r="L87" s="28">
        <v>0</v>
      </c>
      <c r="M87" s="28">
        <f t="shared" si="12"/>
        <v>0</v>
      </c>
      <c r="N87" s="28">
        <f t="shared" si="13"/>
        <v>0</v>
      </c>
      <c r="O87" s="29">
        <f t="shared" si="14"/>
        <v>0</v>
      </c>
      <c r="Q87" t="s">
        <v>336</v>
      </c>
    </row>
    <row r="88" spans="1:17" ht="24" customHeight="1" x14ac:dyDescent="0.3">
      <c r="A88" s="26" t="s">
        <v>13</v>
      </c>
      <c r="B88" s="27" t="s">
        <v>100</v>
      </c>
      <c r="C88" s="27">
        <v>4</v>
      </c>
      <c r="D88" s="27" t="s">
        <v>340</v>
      </c>
      <c r="E88" s="27" t="s">
        <v>341</v>
      </c>
      <c r="F88" s="27">
        <v>3270</v>
      </c>
      <c r="G88" s="27" t="s">
        <v>168</v>
      </c>
      <c r="H88" s="28">
        <v>11</v>
      </c>
      <c r="I88" s="28">
        <f t="shared" si="10"/>
        <v>35970</v>
      </c>
      <c r="J88" s="28">
        <v>36</v>
      </c>
      <c r="K88" s="28">
        <f t="shared" si="11"/>
        <v>117720</v>
      </c>
      <c r="L88" s="28">
        <v>1</v>
      </c>
      <c r="M88" s="28">
        <f t="shared" si="12"/>
        <v>3270</v>
      </c>
      <c r="N88" s="28">
        <f t="shared" si="13"/>
        <v>48</v>
      </c>
      <c r="O88" s="29">
        <f t="shared" si="14"/>
        <v>156960</v>
      </c>
      <c r="Q88" t="s">
        <v>342</v>
      </c>
    </row>
    <row r="89" spans="1:17" ht="24" customHeight="1" x14ac:dyDescent="0.3">
      <c r="A89" s="26" t="s">
        <v>13</v>
      </c>
      <c r="B89" s="27" t="s">
        <v>100</v>
      </c>
      <c r="C89" s="27">
        <v>5</v>
      </c>
      <c r="D89" s="27" t="s">
        <v>343</v>
      </c>
      <c r="E89" s="27" t="s">
        <v>344</v>
      </c>
      <c r="F89" s="27">
        <v>3270</v>
      </c>
      <c r="G89" s="27" t="s">
        <v>168</v>
      </c>
      <c r="H89" s="28">
        <v>11</v>
      </c>
      <c r="I89" s="28">
        <f t="shared" si="10"/>
        <v>35970</v>
      </c>
      <c r="J89" s="28">
        <v>36</v>
      </c>
      <c r="K89" s="28">
        <f t="shared" si="11"/>
        <v>117720</v>
      </c>
      <c r="L89" s="28">
        <v>1</v>
      </c>
      <c r="M89" s="28">
        <f t="shared" si="12"/>
        <v>3270</v>
      </c>
      <c r="N89" s="28">
        <f t="shared" si="13"/>
        <v>48</v>
      </c>
      <c r="O89" s="29">
        <f t="shared" si="14"/>
        <v>156960</v>
      </c>
      <c r="Q89" t="s">
        <v>345</v>
      </c>
    </row>
    <row r="90" spans="1:17" ht="24" customHeight="1" x14ac:dyDescent="0.3">
      <c r="A90" s="26" t="s">
        <v>13</v>
      </c>
      <c r="B90" s="27" t="s">
        <v>100</v>
      </c>
      <c r="C90" s="27">
        <v>6</v>
      </c>
      <c r="D90" s="27" t="s">
        <v>346</v>
      </c>
      <c r="E90" s="27" t="s">
        <v>347</v>
      </c>
      <c r="F90" s="27">
        <v>6540</v>
      </c>
      <c r="G90" s="27" t="s">
        <v>168</v>
      </c>
      <c r="H90" s="28">
        <v>11</v>
      </c>
      <c r="I90" s="28">
        <f t="shared" si="10"/>
        <v>71940</v>
      </c>
      <c r="J90" s="28">
        <v>36</v>
      </c>
      <c r="K90" s="28">
        <f t="shared" si="11"/>
        <v>235440</v>
      </c>
      <c r="L90" s="28">
        <v>1</v>
      </c>
      <c r="M90" s="28">
        <f t="shared" si="12"/>
        <v>6540</v>
      </c>
      <c r="N90" s="28">
        <f t="shared" si="13"/>
        <v>48</v>
      </c>
      <c r="O90" s="29">
        <f t="shared" si="14"/>
        <v>313920</v>
      </c>
      <c r="Q90" t="s">
        <v>348</v>
      </c>
    </row>
    <row r="91" spans="1:17" ht="24" customHeight="1" x14ac:dyDescent="0.3">
      <c r="A91" s="26" t="s">
        <v>13</v>
      </c>
      <c r="B91" s="27" t="s">
        <v>100</v>
      </c>
      <c r="C91" s="27">
        <v>7</v>
      </c>
      <c r="D91" s="27" t="s">
        <v>349</v>
      </c>
      <c r="E91" s="27" t="s">
        <v>350</v>
      </c>
      <c r="F91" s="27">
        <v>818</v>
      </c>
      <c r="G91" s="27" t="s">
        <v>171</v>
      </c>
      <c r="H91" s="28">
        <v>2216</v>
      </c>
      <c r="I91" s="28">
        <f t="shared" si="10"/>
        <v>1812688</v>
      </c>
      <c r="J91" s="28">
        <v>7533</v>
      </c>
      <c r="K91" s="28">
        <f t="shared" si="11"/>
        <v>6161994</v>
      </c>
      <c r="L91" s="28">
        <v>2292</v>
      </c>
      <c r="M91" s="28">
        <f t="shared" si="12"/>
        <v>1874856</v>
      </c>
      <c r="N91" s="28">
        <f t="shared" si="13"/>
        <v>12041</v>
      </c>
      <c r="O91" s="29">
        <f t="shared" si="14"/>
        <v>9849538</v>
      </c>
      <c r="Q91" t="s">
        <v>351</v>
      </c>
    </row>
    <row r="92" spans="1:17" ht="24" customHeight="1" x14ac:dyDescent="0.3">
      <c r="A92" s="26" t="s">
        <v>13</v>
      </c>
      <c r="B92" s="27" t="s">
        <v>100</v>
      </c>
      <c r="C92" s="27">
        <v>8</v>
      </c>
      <c r="D92" s="27" t="s">
        <v>352</v>
      </c>
      <c r="E92" s="27" t="s">
        <v>353</v>
      </c>
      <c r="F92" s="27">
        <v>1126</v>
      </c>
      <c r="G92" s="27" t="s">
        <v>168</v>
      </c>
      <c r="H92" s="28">
        <v>596</v>
      </c>
      <c r="I92" s="28">
        <f t="shared" si="10"/>
        <v>671096</v>
      </c>
      <c r="J92" s="28">
        <v>7175</v>
      </c>
      <c r="K92" s="28">
        <f t="shared" si="11"/>
        <v>8079050</v>
      </c>
      <c r="L92" s="28">
        <v>641</v>
      </c>
      <c r="M92" s="28">
        <f t="shared" si="12"/>
        <v>721766</v>
      </c>
      <c r="N92" s="28">
        <f t="shared" si="13"/>
        <v>8412</v>
      </c>
      <c r="O92" s="29">
        <f t="shared" si="14"/>
        <v>9471912</v>
      </c>
      <c r="Q92" t="s">
        <v>354</v>
      </c>
    </row>
    <row r="93" spans="1:17" ht="24" customHeight="1" x14ac:dyDescent="0.3">
      <c r="A93" s="26" t="s">
        <v>13</v>
      </c>
      <c r="B93" s="27" t="s">
        <v>100</v>
      </c>
      <c r="C93" s="27">
        <v>9</v>
      </c>
      <c r="D93" s="27" t="s">
        <v>355</v>
      </c>
      <c r="E93" s="27" t="s">
        <v>356</v>
      </c>
      <c r="F93" s="27">
        <v>113</v>
      </c>
      <c r="G93" s="27" t="s">
        <v>171</v>
      </c>
      <c r="H93" s="28">
        <v>1320</v>
      </c>
      <c r="I93" s="28">
        <f t="shared" si="10"/>
        <v>149160</v>
      </c>
      <c r="J93" s="28">
        <v>11220</v>
      </c>
      <c r="K93" s="28">
        <f t="shared" si="11"/>
        <v>1267860</v>
      </c>
      <c r="L93" s="28">
        <v>1521</v>
      </c>
      <c r="M93" s="28">
        <f t="shared" si="12"/>
        <v>171873</v>
      </c>
      <c r="N93" s="28">
        <f t="shared" si="13"/>
        <v>14061</v>
      </c>
      <c r="O93" s="29">
        <f t="shared" si="14"/>
        <v>1588893</v>
      </c>
      <c r="Q93" t="s">
        <v>356</v>
      </c>
    </row>
    <row r="94" spans="1:17" ht="24" customHeight="1" x14ac:dyDescent="0.3">
      <c r="A94" s="26" t="s">
        <v>13</v>
      </c>
      <c r="B94" s="27" t="s">
        <v>100</v>
      </c>
      <c r="C94" s="27">
        <v>10</v>
      </c>
      <c r="D94" s="27" t="s">
        <v>357</v>
      </c>
      <c r="E94" s="27" t="s">
        <v>358</v>
      </c>
      <c r="F94" s="27">
        <v>184</v>
      </c>
      <c r="G94" s="27" t="s">
        <v>168</v>
      </c>
      <c r="H94" s="28">
        <v>445</v>
      </c>
      <c r="I94" s="28">
        <f t="shared" si="10"/>
        <v>81880</v>
      </c>
      <c r="J94" s="28">
        <v>1402</v>
      </c>
      <c r="K94" s="28">
        <f t="shared" si="11"/>
        <v>257968</v>
      </c>
      <c r="L94" s="28">
        <v>783</v>
      </c>
      <c r="M94" s="28">
        <f t="shared" si="12"/>
        <v>144072</v>
      </c>
      <c r="N94" s="28">
        <f t="shared" si="13"/>
        <v>2630</v>
      </c>
      <c r="O94" s="29">
        <f t="shared" si="14"/>
        <v>483920</v>
      </c>
      <c r="Q94" t="s">
        <v>359</v>
      </c>
    </row>
    <row r="95" spans="1:17" ht="24" customHeight="1" x14ac:dyDescent="0.3">
      <c r="A95" s="26" t="s">
        <v>13</v>
      </c>
      <c r="B95" s="27" t="s">
        <v>100</v>
      </c>
      <c r="C95" s="27">
        <v>11</v>
      </c>
      <c r="D95" s="27" t="s">
        <v>360</v>
      </c>
      <c r="E95" s="27" t="s">
        <v>358</v>
      </c>
      <c r="F95" s="27">
        <v>11</v>
      </c>
      <c r="G95" s="27" t="s">
        <v>168</v>
      </c>
      <c r="H95" s="28">
        <v>445</v>
      </c>
      <c r="I95" s="28">
        <f t="shared" si="10"/>
        <v>4895</v>
      </c>
      <c r="J95" s="28">
        <v>1402</v>
      </c>
      <c r="K95" s="28">
        <f t="shared" si="11"/>
        <v>15422</v>
      </c>
      <c r="L95" s="28">
        <v>783</v>
      </c>
      <c r="M95" s="28">
        <f t="shared" si="12"/>
        <v>8613</v>
      </c>
      <c r="N95" s="28">
        <f t="shared" si="13"/>
        <v>2630</v>
      </c>
      <c r="O95" s="29">
        <f t="shared" si="14"/>
        <v>28930</v>
      </c>
      <c r="Q95" t="s">
        <v>359</v>
      </c>
    </row>
    <row r="96" spans="1:17" ht="24" customHeight="1" x14ac:dyDescent="0.3">
      <c r="A96" s="26" t="s">
        <v>13</v>
      </c>
      <c r="B96" s="27" t="s">
        <v>100</v>
      </c>
      <c r="C96" s="27">
        <v>12</v>
      </c>
      <c r="D96" s="27" t="s">
        <v>361</v>
      </c>
      <c r="E96" s="27" t="s">
        <v>362</v>
      </c>
      <c r="F96" s="27">
        <v>20</v>
      </c>
      <c r="G96" s="27" t="s">
        <v>171</v>
      </c>
      <c r="H96" s="28">
        <v>1320</v>
      </c>
      <c r="I96" s="28">
        <f t="shared" si="10"/>
        <v>26400</v>
      </c>
      <c r="J96" s="28">
        <v>11220</v>
      </c>
      <c r="K96" s="28">
        <f t="shared" si="11"/>
        <v>224400</v>
      </c>
      <c r="L96" s="28">
        <v>1521</v>
      </c>
      <c r="M96" s="28">
        <f t="shared" si="12"/>
        <v>30420</v>
      </c>
      <c r="N96" s="28">
        <f t="shared" si="13"/>
        <v>14061</v>
      </c>
      <c r="O96" s="29">
        <f t="shared" si="14"/>
        <v>281220</v>
      </c>
      <c r="Q96" t="s">
        <v>363</v>
      </c>
    </row>
    <row r="97" spans="1:17" ht="24" customHeight="1" x14ac:dyDescent="0.3">
      <c r="A97" s="26" t="s">
        <v>13</v>
      </c>
      <c r="B97" s="27" t="s">
        <v>100</v>
      </c>
      <c r="C97" s="27">
        <v>13</v>
      </c>
      <c r="D97" s="27" t="s">
        <v>364</v>
      </c>
      <c r="E97" s="27" t="s">
        <v>365</v>
      </c>
      <c r="F97" s="27">
        <v>1271</v>
      </c>
      <c r="G97" s="27" t="s">
        <v>168</v>
      </c>
      <c r="H97" s="28">
        <v>5499</v>
      </c>
      <c r="I97" s="28">
        <f t="shared" si="10"/>
        <v>6989229</v>
      </c>
      <c r="J97" s="28">
        <v>71313</v>
      </c>
      <c r="K97" s="28">
        <f t="shared" si="11"/>
        <v>90638823</v>
      </c>
      <c r="L97" s="28">
        <v>3096</v>
      </c>
      <c r="M97" s="28">
        <f t="shared" si="12"/>
        <v>3935016</v>
      </c>
      <c r="N97" s="28">
        <f t="shared" si="13"/>
        <v>79908</v>
      </c>
      <c r="O97" s="29">
        <f t="shared" si="14"/>
        <v>101563068</v>
      </c>
      <c r="Q97" t="s">
        <v>365</v>
      </c>
    </row>
    <row r="98" spans="1:17" ht="24" customHeight="1" x14ac:dyDescent="0.3">
      <c r="A98" s="26" t="s">
        <v>13</v>
      </c>
      <c r="B98" s="27" t="s">
        <v>100</v>
      </c>
      <c r="C98" s="27">
        <v>14</v>
      </c>
      <c r="D98" s="27" t="s">
        <v>366</v>
      </c>
      <c r="E98" s="27" t="s">
        <v>367</v>
      </c>
      <c r="F98" s="27">
        <v>475</v>
      </c>
      <c r="G98" s="27" t="s">
        <v>199</v>
      </c>
      <c r="H98" s="28">
        <v>659</v>
      </c>
      <c r="I98" s="28">
        <f t="shared" si="10"/>
        <v>313025</v>
      </c>
      <c r="J98" s="28">
        <v>6686</v>
      </c>
      <c r="K98" s="28">
        <f t="shared" si="11"/>
        <v>3175850</v>
      </c>
      <c r="L98" s="28">
        <v>522</v>
      </c>
      <c r="M98" s="28">
        <f t="shared" si="12"/>
        <v>247950</v>
      </c>
      <c r="N98" s="28">
        <f t="shared" si="13"/>
        <v>7867</v>
      </c>
      <c r="O98" s="29">
        <f t="shared" si="14"/>
        <v>3736825</v>
      </c>
      <c r="Q98" t="s">
        <v>368</v>
      </c>
    </row>
    <row r="99" spans="1:17" ht="24" customHeight="1" x14ac:dyDescent="0.3">
      <c r="A99" s="26" t="s">
        <v>13</v>
      </c>
      <c r="B99" s="27" t="s">
        <v>100</v>
      </c>
      <c r="C99" s="27">
        <v>15</v>
      </c>
      <c r="D99" s="27" t="s">
        <v>369</v>
      </c>
      <c r="E99" s="27" t="s">
        <v>370</v>
      </c>
      <c r="F99" s="27">
        <v>9</v>
      </c>
      <c r="G99" s="27" t="s">
        <v>199</v>
      </c>
      <c r="H99" s="28">
        <v>771</v>
      </c>
      <c r="I99" s="28">
        <f t="shared" si="10"/>
        <v>6939</v>
      </c>
      <c r="J99" s="28">
        <v>7823</v>
      </c>
      <c r="K99" s="28">
        <f t="shared" si="11"/>
        <v>70407</v>
      </c>
      <c r="L99" s="28">
        <v>610</v>
      </c>
      <c r="M99" s="28">
        <f t="shared" si="12"/>
        <v>5490</v>
      </c>
      <c r="N99" s="28">
        <f t="shared" si="13"/>
        <v>9204</v>
      </c>
      <c r="O99" s="29">
        <f t="shared" si="14"/>
        <v>82836</v>
      </c>
      <c r="Q99" t="s">
        <v>371</v>
      </c>
    </row>
    <row r="100" spans="1:17" ht="24" customHeight="1" x14ac:dyDescent="0.3">
      <c r="A100" s="26" t="s">
        <v>13</v>
      </c>
      <c r="B100" s="27" t="s">
        <v>100</v>
      </c>
      <c r="C100" s="27">
        <v>16</v>
      </c>
      <c r="D100" s="27" t="s">
        <v>372</v>
      </c>
      <c r="E100" s="27" t="s">
        <v>373</v>
      </c>
      <c r="F100" s="27">
        <v>26</v>
      </c>
      <c r="G100" s="27" t="s">
        <v>199</v>
      </c>
      <c r="H100" s="28">
        <v>771</v>
      </c>
      <c r="I100" s="28">
        <f t="shared" si="10"/>
        <v>20046</v>
      </c>
      <c r="J100" s="28">
        <v>7823</v>
      </c>
      <c r="K100" s="28">
        <f t="shared" si="11"/>
        <v>203398</v>
      </c>
      <c r="L100" s="28">
        <v>610</v>
      </c>
      <c r="M100" s="28">
        <f t="shared" si="12"/>
        <v>15860</v>
      </c>
      <c r="N100" s="28">
        <f t="shared" si="13"/>
        <v>9204</v>
      </c>
      <c r="O100" s="29">
        <f t="shared" si="14"/>
        <v>239304</v>
      </c>
      <c r="Q100" t="s">
        <v>371</v>
      </c>
    </row>
    <row r="101" spans="1:17" ht="24" customHeight="1" x14ac:dyDescent="0.3">
      <c r="A101" s="26" t="s">
        <v>13</v>
      </c>
      <c r="B101" s="27" t="s">
        <v>100</v>
      </c>
      <c r="C101" s="27">
        <v>17</v>
      </c>
      <c r="D101" s="27" t="s">
        <v>374</v>
      </c>
      <c r="E101" s="27" t="s">
        <v>375</v>
      </c>
      <c r="F101" s="27">
        <v>220</v>
      </c>
      <c r="G101" s="27" t="s">
        <v>199</v>
      </c>
      <c r="H101" s="28">
        <v>659</v>
      </c>
      <c r="I101" s="28">
        <f t="shared" si="10"/>
        <v>144980</v>
      </c>
      <c r="J101" s="28">
        <v>6686</v>
      </c>
      <c r="K101" s="28">
        <f t="shared" si="11"/>
        <v>1470920</v>
      </c>
      <c r="L101" s="28">
        <v>522</v>
      </c>
      <c r="M101" s="28">
        <f t="shared" si="12"/>
        <v>114840</v>
      </c>
      <c r="N101" s="28">
        <f t="shared" si="13"/>
        <v>7867</v>
      </c>
      <c r="O101" s="29">
        <f t="shared" si="14"/>
        <v>1730740</v>
      </c>
      <c r="Q101" t="s">
        <v>368</v>
      </c>
    </row>
    <row r="102" spans="1:17" ht="24" customHeight="1" x14ac:dyDescent="0.3">
      <c r="A102" s="26" t="s">
        <v>13</v>
      </c>
      <c r="B102" s="27" t="s">
        <v>100</v>
      </c>
      <c r="C102" s="27">
        <v>18</v>
      </c>
      <c r="D102" s="27" t="s">
        <v>376</v>
      </c>
      <c r="E102" s="27"/>
      <c r="F102" s="27">
        <v>1350</v>
      </c>
      <c r="G102" s="27" t="s">
        <v>165</v>
      </c>
      <c r="H102" s="28">
        <v>445</v>
      </c>
      <c r="I102" s="28">
        <f t="shared" si="10"/>
        <v>600750</v>
      </c>
      <c r="J102" s="28">
        <v>1402</v>
      </c>
      <c r="K102" s="28">
        <f t="shared" si="11"/>
        <v>1892700</v>
      </c>
      <c r="L102" s="28">
        <v>783</v>
      </c>
      <c r="M102" s="28">
        <f t="shared" si="12"/>
        <v>1057050</v>
      </c>
      <c r="N102" s="28">
        <f t="shared" si="13"/>
        <v>2630</v>
      </c>
      <c r="O102" s="29">
        <f t="shared" si="14"/>
        <v>3550500</v>
      </c>
      <c r="Q102" t="s">
        <v>377</v>
      </c>
    </row>
    <row r="103" spans="1:17" ht="24" customHeight="1" x14ac:dyDescent="0.3">
      <c r="A103" s="26" t="s">
        <v>13</v>
      </c>
      <c r="B103" s="27" t="s">
        <v>100</v>
      </c>
      <c r="C103" s="27">
        <v>19</v>
      </c>
      <c r="D103" s="27" t="s">
        <v>378</v>
      </c>
      <c r="E103" s="27" t="s">
        <v>379</v>
      </c>
      <c r="F103" s="27">
        <v>13</v>
      </c>
      <c r="G103" s="27" t="s">
        <v>188</v>
      </c>
      <c r="H103" s="28">
        <v>10164</v>
      </c>
      <c r="I103" s="28">
        <f t="shared" si="10"/>
        <v>132132</v>
      </c>
      <c r="J103" s="28">
        <v>386451</v>
      </c>
      <c r="K103" s="28">
        <f t="shared" si="11"/>
        <v>5023863</v>
      </c>
      <c r="L103" s="28">
        <v>10071</v>
      </c>
      <c r="M103" s="28">
        <f t="shared" si="12"/>
        <v>130923</v>
      </c>
      <c r="N103" s="28">
        <f t="shared" si="13"/>
        <v>406686</v>
      </c>
      <c r="O103" s="29">
        <f t="shared" si="14"/>
        <v>5286918</v>
      </c>
      <c r="Q103" t="s">
        <v>380</v>
      </c>
    </row>
    <row r="104" spans="1:17" ht="24" customHeight="1" x14ac:dyDescent="0.3">
      <c r="A104" s="26" t="s">
        <v>13</v>
      </c>
      <c r="B104" s="27" t="s">
        <v>100</v>
      </c>
      <c r="C104" s="27">
        <v>20</v>
      </c>
      <c r="D104" s="27" t="s">
        <v>381</v>
      </c>
      <c r="E104" s="27" t="s">
        <v>382</v>
      </c>
      <c r="F104" s="27">
        <v>3</v>
      </c>
      <c r="G104" s="27" t="s">
        <v>188</v>
      </c>
      <c r="H104" s="28">
        <v>10164</v>
      </c>
      <c r="I104" s="28">
        <f t="shared" si="10"/>
        <v>30492</v>
      </c>
      <c r="J104" s="28">
        <v>386451</v>
      </c>
      <c r="K104" s="28">
        <f t="shared" si="11"/>
        <v>1159353</v>
      </c>
      <c r="L104" s="28">
        <v>10071</v>
      </c>
      <c r="M104" s="28">
        <f t="shared" si="12"/>
        <v>30213</v>
      </c>
      <c r="N104" s="28">
        <f t="shared" si="13"/>
        <v>406686</v>
      </c>
      <c r="O104" s="29">
        <f t="shared" si="14"/>
        <v>1220058</v>
      </c>
      <c r="Q104" t="s">
        <v>383</v>
      </c>
    </row>
    <row r="105" spans="1:17" ht="24" customHeight="1" x14ac:dyDescent="0.3">
      <c r="A105" s="26" t="s">
        <v>13</v>
      </c>
      <c r="B105" s="27" t="s">
        <v>100</v>
      </c>
      <c r="C105" s="27">
        <v>21</v>
      </c>
      <c r="D105" s="27" t="s">
        <v>384</v>
      </c>
      <c r="E105" s="27" t="s">
        <v>385</v>
      </c>
      <c r="F105" s="27">
        <v>7</v>
      </c>
      <c r="G105" s="27" t="s">
        <v>188</v>
      </c>
      <c r="H105" s="28">
        <v>110000</v>
      </c>
      <c r="I105" s="28">
        <f t="shared" si="10"/>
        <v>770000</v>
      </c>
      <c r="J105" s="28">
        <v>386451</v>
      </c>
      <c r="K105" s="28">
        <f t="shared" si="11"/>
        <v>2705157</v>
      </c>
      <c r="L105" s="28">
        <v>10071</v>
      </c>
      <c r="M105" s="28">
        <f t="shared" si="12"/>
        <v>70497</v>
      </c>
      <c r="N105" s="28">
        <f t="shared" si="13"/>
        <v>506522</v>
      </c>
      <c r="O105" s="29">
        <f t="shared" si="14"/>
        <v>3545654</v>
      </c>
      <c r="P105" t="s">
        <v>247</v>
      </c>
      <c r="Q105" t="s">
        <v>386</v>
      </c>
    </row>
    <row r="106" spans="1:17" ht="24" customHeight="1" x14ac:dyDescent="0.3">
      <c r="A106" s="26" t="s">
        <v>13</v>
      </c>
      <c r="B106" s="27" t="s">
        <v>100</v>
      </c>
      <c r="C106" s="27">
        <v>22</v>
      </c>
      <c r="D106" s="27" t="s">
        <v>387</v>
      </c>
      <c r="E106" s="27" t="s">
        <v>388</v>
      </c>
      <c r="F106" s="27">
        <v>7</v>
      </c>
      <c r="G106" s="27" t="s">
        <v>168</v>
      </c>
      <c r="H106" s="28">
        <v>4840</v>
      </c>
      <c r="I106" s="28">
        <f t="shared" si="10"/>
        <v>33880</v>
      </c>
      <c r="J106" s="28">
        <v>3492</v>
      </c>
      <c r="K106" s="28">
        <f t="shared" si="11"/>
        <v>24444</v>
      </c>
      <c r="L106" s="28">
        <v>247</v>
      </c>
      <c r="M106" s="28">
        <f t="shared" si="12"/>
        <v>1729</v>
      </c>
      <c r="N106" s="28">
        <f t="shared" si="13"/>
        <v>8579</v>
      </c>
      <c r="O106" s="29">
        <f t="shared" si="14"/>
        <v>60053</v>
      </c>
      <c r="Q106" t="s">
        <v>389</v>
      </c>
    </row>
    <row r="107" spans="1:17" ht="24" customHeight="1" x14ac:dyDescent="0.3">
      <c r="A107" s="26" t="s">
        <v>13</v>
      </c>
      <c r="B107" s="27" t="s">
        <v>100</v>
      </c>
      <c r="C107" s="27">
        <v>23</v>
      </c>
      <c r="D107" s="27" t="s">
        <v>390</v>
      </c>
      <c r="E107" s="27" t="s">
        <v>391</v>
      </c>
      <c r="F107" s="27">
        <v>16</v>
      </c>
      <c r="G107" s="27" t="s">
        <v>168</v>
      </c>
      <c r="H107" s="28">
        <v>4840</v>
      </c>
      <c r="I107" s="28">
        <f t="shared" si="10"/>
        <v>77440</v>
      </c>
      <c r="J107" s="28">
        <v>3492</v>
      </c>
      <c r="K107" s="28">
        <f t="shared" si="11"/>
        <v>55872</v>
      </c>
      <c r="L107" s="28">
        <v>247</v>
      </c>
      <c r="M107" s="28">
        <f t="shared" si="12"/>
        <v>3952</v>
      </c>
      <c r="N107" s="28">
        <f t="shared" si="13"/>
        <v>8579</v>
      </c>
      <c r="O107" s="29">
        <f t="shared" si="14"/>
        <v>137264</v>
      </c>
      <c r="Q107" t="s">
        <v>389</v>
      </c>
    </row>
    <row r="108" spans="1:17" ht="24" customHeight="1" x14ac:dyDescent="0.3">
      <c r="A108" s="26" t="s">
        <v>13</v>
      </c>
      <c r="B108" s="27" t="s">
        <v>100</v>
      </c>
      <c r="C108" s="27">
        <v>24</v>
      </c>
      <c r="D108" s="27" t="s">
        <v>392</v>
      </c>
      <c r="E108" s="27" t="s">
        <v>393</v>
      </c>
      <c r="F108" s="27">
        <v>260</v>
      </c>
      <c r="G108" s="27" t="s">
        <v>168</v>
      </c>
      <c r="H108" s="28">
        <v>4840</v>
      </c>
      <c r="I108" s="28">
        <f t="shared" si="10"/>
        <v>1258400</v>
      </c>
      <c r="J108" s="28">
        <v>3492</v>
      </c>
      <c r="K108" s="28">
        <f t="shared" si="11"/>
        <v>907920</v>
      </c>
      <c r="L108" s="28">
        <v>247</v>
      </c>
      <c r="M108" s="28">
        <f t="shared" si="12"/>
        <v>64220</v>
      </c>
      <c r="N108" s="28">
        <f t="shared" si="13"/>
        <v>8579</v>
      </c>
      <c r="O108" s="29">
        <f t="shared" si="14"/>
        <v>2230540</v>
      </c>
      <c r="Q108" t="s">
        <v>389</v>
      </c>
    </row>
    <row r="109" spans="1:17" ht="24" customHeight="1" x14ac:dyDescent="0.3">
      <c r="A109" s="26" t="s">
        <v>13</v>
      </c>
      <c r="B109" s="27" t="s">
        <v>100</v>
      </c>
      <c r="C109" s="27">
        <v>25</v>
      </c>
      <c r="D109" s="27" t="s">
        <v>394</v>
      </c>
      <c r="E109" s="27" t="s">
        <v>395</v>
      </c>
      <c r="F109" s="27">
        <v>6</v>
      </c>
      <c r="G109" s="27" t="s">
        <v>168</v>
      </c>
      <c r="H109" s="28">
        <v>4840</v>
      </c>
      <c r="I109" s="28">
        <f t="shared" si="10"/>
        <v>29040</v>
      </c>
      <c r="J109" s="28">
        <v>3492</v>
      </c>
      <c r="K109" s="28">
        <f t="shared" si="11"/>
        <v>20952</v>
      </c>
      <c r="L109" s="28">
        <v>247</v>
      </c>
      <c r="M109" s="28">
        <f t="shared" si="12"/>
        <v>1482</v>
      </c>
      <c r="N109" s="28">
        <f t="shared" si="13"/>
        <v>8579</v>
      </c>
      <c r="O109" s="29">
        <f t="shared" si="14"/>
        <v>51474</v>
      </c>
      <c r="Q109" t="s">
        <v>389</v>
      </c>
    </row>
    <row r="110" spans="1:17" ht="24" customHeight="1" x14ac:dyDescent="0.3">
      <c r="A110" s="26" t="s">
        <v>13</v>
      </c>
      <c r="B110" s="27" t="s">
        <v>100</v>
      </c>
      <c r="C110" s="27">
        <v>26</v>
      </c>
      <c r="D110" s="27" t="s">
        <v>396</v>
      </c>
      <c r="E110" s="27" t="s">
        <v>397</v>
      </c>
      <c r="F110" s="27">
        <v>119</v>
      </c>
      <c r="G110" s="27" t="s">
        <v>168</v>
      </c>
      <c r="H110" s="28">
        <v>21956</v>
      </c>
      <c r="I110" s="28">
        <f t="shared" si="10"/>
        <v>2612764</v>
      </c>
      <c r="J110" s="28">
        <v>5987</v>
      </c>
      <c r="K110" s="28">
        <f t="shared" si="11"/>
        <v>712453</v>
      </c>
      <c r="L110" s="28">
        <v>724</v>
      </c>
      <c r="M110" s="28">
        <f t="shared" si="12"/>
        <v>86156</v>
      </c>
      <c r="N110" s="28">
        <f t="shared" si="13"/>
        <v>28667</v>
      </c>
      <c r="O110" s="29">
        <f t="shared" si="14"/>
        <v>3411373</v>
      </c>
      <c r="Q110" t="s">
        <v>398</v>
      </c>
    </row>
    <row r="111" spans="1:17" ht="24" customHeight="1" x14ac:dyDescent="0.3">
      <c r="A111" s="26" t="s">
        <v>13</v>
      </c>
      <c r="B111" s="27" t="s">
        <v>100</v>
      </c>
      <c r="C111" s="27">
        <v>27</v>
      </c>
      <c r="D111" s="27" t="s">
        <v>399</v>
      </c>
      <c r="E111" s="27" t="s">
        <v>400</v>
      </c>
      <c r="F111" s="27">
        <v>36</v>
      </c>
      <c r="G111" s="27" t="s">
        <v>168</v>
      </c>
      <c r="H111" s="28">
        <v>21956</v>
      </c>
      <c r="I111" s="28">
        <f t="shared" si="10"/>
        <v>790416</v>
      </c>
      <c r="J111" s="28">
        <v>5987</v>
      </c>
      <c r="K111" s="28">
        <f t="shared" si="11"/>
        <v>215532</v>
      </c>
      <c r="L111" s="28">
        <v>724</v>
      </c>
      <c r="M111" s="28">
        <f t="shared" si="12"/>
        <v>26064</v>
      </c>
      <c r="N111" s="28">
        <f t="shared" si="13"/>
        <v>28667</v>
      </c>
      <c r="O111" s="29">
        <f t="shared" si="14"/>
        <v>1032012</v>
      </c>
      <c r="Q111" t="s">
        <v>398</v>
      </c>
    </row>
    <row r="112" spans="1:17" ht="24" customHeight="1" x14ac:dyDescent="0.3">
      <c r="A112" s="26" t="s">
        <v>13</v>
      </c>
      <c r="B112" s="27" t="s">
        <v>100</v>
      </c>
      <c r="C112" s="27">
        <v>28</v>
      </c>
      <c r="D112" s="27" t="s">
        <v>401</v>
      </c>
      <c r="E112" s="27" t="s">
        <v>402</v>
      </c>
      <c r="F112" s="27">
        <v>267</v>
      </c>
      <c r="G112" s="27" t="s">
        <v>168</v>
      </c>
      <c r="H112" s="28">
        <v>3499</v>
      </c>
      <c r="I112" s="28">
        <f t="shared" si="10"/>
        <v>934233</v>
      </c>
      <c r="J112" s="28">
        <v>39163</v>
      </c>
      <c r="K112" s="28">
        <f t="shared" si="11"/>
        <v>10456521</v>
      </c>
      <c r="L112" s="28">
        <v>2355</v>
      </c>
      <c r="M112" s="28">
        <f t="shared" si="12"/>
        <v>628785</v>
      </c>
      <c r="N112" s="28">
        <f t="shared" si="13"/>
        <v>45017</v>
      </c>
      <c r="O112" s="29">
        <f t="shared" si="14"/>
        <v>12019539</v>
      </c>
      <c r="Q112" t="s">
        <v>403</v>
      </c>
    </row>
    <row r="113" spans="1:17" ht="24" customHeight="1" x14ac:dyDescent="0.3">
      <c r="A113" s="26" t="s">
        <v>13</v>
      </c>
      <c r="B113" s="27" t="s">
        <v>100</v>
      </c>
      <c r="C113" s="27">
        <v>29</v>
      </c>
      <c r="D113" s="27" t="s">
        <v>404</v>
      </c>
      <c r="E113" s="27" t="s">
        <v>405</v>
      </c>
      <c r="F113" s="27">
        <v>22</v>
      </c>
      <c r="G113" s="27" t="s">
        <v>168</v>
      </c>
      <c r="H113" s="28">
        <v>3499</v>
      </c>
      <c r="I113" s="28">
        <f t="shared" si="10"/>
        <v>76978</v>
      </c>
      <c r="J113" s="28">
        <v>39163</v>
      </c>
      <c r="K113" s="28">
        <f t="shared" si="11"/>
        <v>861586</v>
      </c>
      <c r="L113" s="28">
        <v>2355</v>
      </c>
      <c r="M113" s="28">
        <f t="shared" si="12"/>
        <v>51810</v>
      </c>
      <c r="N113" s="28">
        <f t="shared" si="13"/>
        <v>45017</v>
      </c>
      <c r="O113" s="29">
        <f t="shared" si="14"/>
        <v>990374</v>
      </c>
      <c r="Q113" t="s">
        <v>406</v>
      </c>
    </row>
    <row r="114" spans="1:17" ht="24" customHeight="1" x14ac:dyDescent="0.3">
      <c r="A114" s="26" t="s">
        <v>13</v>
      </c>
      <c r="B114" s="27" t="s">
        <v>100</v>
      </c>
      <c r="C114" s="27">
        <v>30</v>
      </c>
      <c r="D114" s="27" t="s">
        <v>407</v>
      </c>
      <c r="E114" s="27" t="s">
        <v>397</v>
      </c>
      <c r="F114" s="27">
        <v>119</v>
      </c>
      <c r="G114" s="27" t="s">
        <v>168</v>
      </c>
      <c r="H114" s="28">
        <v>4840</v>
      </c>
      <c r="I114" s="28">
        <f t="shared" si="10"/>
        <v>575960</v>
      </c>
      <c r="J114" s="28">
        <v>3492</v>
      </c>
      <c r="K114" s="28">
        <f t="shared" si="11"/>
        <v>415548</v>
      </c>
      <c r="L114" s="28">
        <v>247</v>
      </c>
      <c r="M114" s="28">
        <f t="shared" si="12"/>
        <v>29393</v>
      </c>
      <c r="N114" s="28">
        <f t="shared" si="13"/>
        <v>8579</v>
      </c>
      <c r="O114" s="29">
        <f t="shared" si="14"/>
        <v>1020901</v>
      </c>
      <c r="Q114" t="s">
        <v>408</v>
      </c>
    </row>
    <row r="115" spans="1:17" ht="24" customHeight="1" x14ac:dyDescent="0.3">
      <c r="A115" s="26" t="s">
        <v>13</v>
      </c>
      <c r="B115" s="27" t="s">
        <v>100</v>
      </c>
      <c r="C115" s="27">
        <v>31</v>
      </c>
      <c r="D115" s="27" t="s">
        <v>409</v>
      </c>
      <c r="E115" s="27" t="s">
        <v>400</v>
      </c>
      <c r="F115" s="27">
        <v>36</v>
      </c>
      <c r="G115" s="27" t="s">
        <v>168</v>
      </c>
      <c r="H115" s="28">
        <v>5079</v>
      </c>
      <c r="I115" s="28">
        <f t="shared" si="10"/>
        <v>182844</v>
      </c>
      <c r="J115" s="28">
        <v>7373</v>
      </c>
      <c r="K115" s="28">
        <f t="shared" si="11"/>
        <v>265428</v>
      </c>
      <c r="L115" s="28">
        <v>523</v>
      </c>
      <c r="M115" s="28">
        <f t="shared" si="12"/>
        <v>18828</v>
      </c>
      <c r="N115" s="28">
        <f t="shared" si="13"/>
        <v>12975</v>
      </c>
      <c r="O115" s="29">
        <f t="shared" si="14"/>
        <v>467100</v>
      </c>
      <c r="Q115" t="s">
        <v>400</v>
      </c>
    </row>
    <row r="116" spans="1:17" ht="24" customHeight="1" x14ac:dyDescent="0.3">
      <c r="A116" s="26" t="s">
        <v>13</v>
      </c>
      <c r="B116" s="27" t="s">
        <v>100</v>
      </c>
      <c r="C116" s="27">
        <v>32</v>
      </c>
      <c r="D116" s="27" t="s">
        <v>410</v>
      </c>
      <c r="E116" s="27" t="s">
        <v>411</v>
      </c>
      <c r="F116" s="27">
        <v>40</v>
      </c>
      <c r="G116" s="27" t="s">
        <v>188</v>
      </c>
      <c r="H116" s="28">
        <v>265</v>
      </c>
      <c r="I116" s="28">
        <f t="shared" si="10"/>
        <v>10600</v>
      </c>
      <c r="J116" s="28">
        <v>5316</v>
      </c>
      <c r="K116" s="28">
        <f t="shared" si="11"/>
        <v>212640</v>
      </c>
      <c r="L116" s="28">
        <v>0</v>
      </c>
      <c r="M116" s="28">
        <f t="shared" si="12"/>
        <v>0</v>
      </c>
      <c r="N116" s="28">
        <f t="shared" si="13"/>
        <v>5581</v>
      </c>
      <c r="O116" s="29">
        <f t="shared" si="14"/>
        <v>223240</v>
      </c>
      <c r="Q116" t="s">
        <v>410</v>
      </c>
    </row>
    <row r="117" spans="1:17" ht="24" customHeight="1" x14ac:dyDescent="0.3">
      <c r="A117" s="26" t="s">
        <v>13</v>
      </c>
      <c r="B117" s="27" t="s">
        <v>100</v>
      </c>
      <c r="C117" s="27">
        <v>33</v>
      </c>
      <c r="D117" s="27" t="s">
        <v>412</v>
      </c>
      <c r="E117" s="27" t="s">
        <v>413</v>
      </c>
      <c r="F117" s="27">
        <v>8</v>
      </c>
      <c r="G117" s="27" t="s">
        <v>233</v>
      </c>
      <c r="H117" s="28">
        <v>85000</v>
      </c>
      <c r="I117" s="28">
        <f t="shared" ref="I117:I148" si="15">F117*H117</f>
        <v>680000</v>
      </c>
      <c r="J117" s="28">
        <v>48000</v>
      </c>
      <c r="K117" s="28">
        <f t="shared" ref="K117:K148" si="16">F117*J117</f>
        <v>384000</v>
      </c>
      <c r="L117" s="27">
        <v>15000</v>
      </c>
      <c r="M117" s="28">
        <f t="shared" ref="M117:M148" si="17">F117*L117</f>
        <v>120000</v>
      </c>
      <c r="N117" s="28">
        <f t="shared" ref="N117:N137" si="18">H117+J117+L117</f>
        <v>148000</v>
      </c>
      <c r="O117" s="29">
        <f t="shared" ref="O117:O137" si="19">I117+K117+M117</f>
        <v>1184000</v>
      </c>
      <c r="P117" t="s">
        <v>247</v>
      </c>
      <c r="Q117" t="s">
        <v>412</v>
      </c>
    </row>
    <row r="118" spans="1:17" ht="24" customHeight="1" x14ac:dyDescent="0.3">
      <c r="A118" s="26" t="s">
        <v>13</v>
      </c>
      <c r="B118" s="27" t="s">
        <v>100</v>
      </c>
      <c r="C118" s="27">
        <v>34</v>
      </c>
      <c r="D118" s="27" t="s">
        <v>414</v>
      </c>
      <c r="E118" s="27" t="s">
        <v>293</v>
      </c>
      <c r="F118" s="27">
        <v>21</v>
      </c>
      <c r="G118" s="27" t="s">
        <v>290</v>
      </c>
      <c r="H118" s="27"/>
      <c r="I118" s="28">
        <f t="shared" si="15"/>
        <v>0</v>
      </c>
      <c r="J118" s="27"/>
      <c r="K118" s="28">
        <f t="shared" si="16"/>
        <v>0</v>
      </c>
      <c r="L118" s="27">
        <v>200</v>
      </c>
      <c r="M118" s="28">
        <f t="shared" si="17"/>
        <v>4200</v>
      </c>
      <c r="N118" s="28">
        <f t="shared" si="18"/>
        <v>200</v>
      </c>
      <c r="O118" s="29">
        <f t="shared" si="19"/>
        <v>4200</v>
      </c>
      <c r="P118" t="s">
        <v>247</v>
      </c>
      <c r="Q118" t="s">
        <v>415</v>
      </c>
    </row>
    <row r="119" spans="1:17" ht="24" customHeight="1" x14ac:dyDescent="0.3">
      <c r="A119" s="26" t="s">
        <v>13</v>
      </c>
      <c r="B119" s="27" t="s">
        <v>100</v>
      </c>
      <c r="C119" s="27">
        <v>35</v>
      </c>
      <c r="D119" s="27" t="s">
        <v>416</v>
      </c>
      <c r="E119" s="27" t="s">
        <v>417</v>
      </c>
      <c r="F119" s="27">
        <v>306</v>
      </c>
      <c r="G119" s="27" t="s">
        <v>418</v>
      </c>
      <c r="H119" s="27">
        <v>140000</v>
      </c>
      <c r="I119" s="28">
        <f t="shared" si="15"/>
        <v>42840000</v>
      </c>
      <c r="J119" s="27">
        <v>45000</v>
      </c>
      <c r="K119" s="28">
        <f t="shared" si="16"/>
        <v>13770000</v>
      </c>
      <c r="L119" s="27">
        <v>55000</v>
      </c>
      <c r="M119" s="28">
        <f t="shared" si="17"/>
        <v>16830000</v>
      </c>
      <c r="N119" s="28">
        <f t="shared" si="18"/>
        <v>240000</v>
      </c>
      <c r="O119" s="29">
        <f t="shared" si="19"/>
        <v>73440000</v>
      </c>
      <c r="P119" t="s">
        <v>247</v>
      </c>
      <c r="Q119" t="s">
        <v>419</v>
      </c>
    </row>
    <row r="120" spans="1:17" ht="24" customHeight="1" x14ac:dyDescent="0.3">
      <c r="A120" s="26" t="s">
        <v>13</v>
      </c>
      <c r="B120" s="27" t="s">
        <v>100</v>
      </c>
      <c r="C120" s="27">
        <v>36</v>
      </c>
      <c r="D120" s="27" t="s">
        <v>420</v>
      </c>
      <c r="E120" s="27" t="s">
        <v>421</v>
      </c>
      <c r="F120" s="27">
        <v>218</v>
      </c>
      <c r="G120" s="27" t="s">
        <v>418</v>
      </c>
      <c r="H120" s="27">
        <v>150000</v>
      </c>
      <c r="I120" s="28">
        <f t="shared" si="15"/>
        <v>32700000</v>
      </c>
      <c r="J120" s="27">
        <v>45000</v>
      </c>
      <c r="K120" s="28">
        <f t="shared" si="16"/>
        <v>9810000</v>
      </c>
      <c r="L120" s="27">
        <v>55000</v>
      </c>
      <c r="M120" s="28">
        <f t="shared" si="17"/>
        <v>11990000</v>
      </c>
      <c r="N120" s="28">
        <f t="shared" si="18"/>
        <v>250000</v>
      </c>
      <c r="O120" s="29">
        <f t="shared" si="19"/>
        <v>54500000</v>
      </c>
      <c r="P120" t="s">
        <v>247</v>
      </c>
      <c r="Q120" t="s">
        <v>422</v>
      </c>
    </row>
    <row r="121" spans="1:17" ht="24" customHeight="1" x14ac:dyDescent="0.3">
      <c r="A121" s="26" t="s">
        <v>13</v>
      </c>
      <c r="B121" s="27" t="s">
        <v>100</v>
      </c>
      <c r="C121" s="27">
        <v>37</v>
      </c>
      <c r="D121" s="27" t="s">
        <v>423</v>
      </c>
      <c r="E121" s="27" t="s">
        <v>302</v>
      </c>
      <c r="F121" s="27">
        <v>29</v>
      </c>
      <c r="G121" s="27" t="s">
        <v>171</v>
      </c>
      <c r="H121" s="28">
        <v>1293</v>
      </c>
      <c r="I121" s="28">
        <f t="shared" si="15"/>
        <v>37497</v>
      </c>
      <c r="J121" s="28">
        <v>64674</v>
      </c>
      <c r="K121" s="28">
        <f t="shared" si="16"/>
        <v>1875546</v>
      </c>
      <c r="L121" s="28">
        <v>0</v>
      </c>
      <c r="M121" s="28">
        <f t="shared" si="17"/>
        <v>0</v>
      </c>
      <c r="N121" s="28">
        <f t="shared" si="18"/>
        <v>65967</v>
      </c>
      <c r="O121" s="29">
        <f t="shared" si="19"/>
        <v>1913043</v>
      </c>
      <c r="Q121" t="s">
        <v>303</v>
      </c>
    </row>
    <row r="122" spans="1:17" ht="24" customHeight="1" x14ac:dyDescent="0.3">
      <c r="A122" s="26" t="s">
        <v>13</v>
      </c>
      <c r="B122" s="27" t="s">
        <v>100</v>
      </c>
      <c r="C122" s="27">
        <v>38</v>
      </c>
      <c r="D122" s="27" t="s">
        <v>424</v>
      </c>
      <c r="E122" s="27" t="s">
        <v>425</v>
      </c>
      <c r="F122" s="27">
        <v>48</v>
      </c>
      <c r="G122" s="27" t="s">
        <v>171</v>
      </c>
      <c r="H122" s="28">
        <v>1293</v>
      </c>
      <c r="I122" s="28">
        <f t="shared" si="15"/>
        <v>62064</v>
      </c>
      <c r="J122" s="28">
        <v>64674</v>
      </c>
      <c r="K122" s="28">
        <f t="shared" si="16"/>
        <v>3104352</v>
      </c>
      <c r="L122" s="28">
        <v>0</v>
      </c>
      <c r="M122" s="28">
        <f t="shared" si="17"/>
        <v>0</v>
      </c>
      <c r="N122" s="28">
        <f t="shared" si="18"/>
        <v>65967</v>
      </c>
      <c r="O122" s="29">
        <f t="shared" si="19"/>
        <v>3166416</v>
      </c>
      <c r="Q122" t="s">
        <v>303</v>
      </c>
    </row>
    <row r="123" spans="1:17" ht="24" customHeight="1" x14ac:dyDescent="0.3">
      <c r="A123" s="26" t="s">
        <v>13</v>
      </c>
      <c r="B123" s="27" t="s">
        <v>100</v>
      </c>
      <c r="C123" s="27">
        <v>39</v>
      </c>
      <c r="D123" s="27" t="s">
        <v>426</v>
      </c>
      <c r="E123" s="27" t="s">
        <v>289</v>
      </c>
      <c r="F123" s="27">
        <v>5</v>
      </c>
      <c r="G123" s="27" t="s">
        <v>290</v>
      </c>
      <c r="H123" s="27">
        <v>5500</v>
      </c>
      <c r="I123" s="28">
        <f t="shared" si="15"/>
        <v>27500</v>
      </c>
      <c r="J123" s="27"/>
      <c r="K123" s="28">
        <f t="shared" si="16"/>
        <v>0</v>
      </c>
      <c r="L123" s="27"/>
      <c r="M123" s="28">
        <f t="shared" si="17"/>
        <v>0</v>
      </c>
      <c r="N123" s="28">
        <f t="shared" si="18"/>
        <v>5500</v>
      </c>
      <c r="O123" s="29">
        <f t="shared" si="19"/>
        <v>27500</v>
      </c>
      <c r="P123" t="s">
        <v>247</v>
      </c>
      <c r="Q123" t="s">
        <v>427</v>
      </c>
    </row>
    <row r="124" spans="1:17" ht="24" customHeight="1" x14ac:dyDescent="0.3">
      <c r="A124" s="26" t="s">
        <v>13</v>
      </c>
      <c r="B124" s="27" t="s">
        <v>100</v>
      </c>
      <c r="C124" s="27">
        <v>40</v>
      </c>
      <c r="D124" s="27" t="s">
        <v>428</v>
      </c>
      <c r="E124" s="27" t="s">
        <v>296</v>
      </c>
      <c r="F124" s="27">
        <v>45</v>
      </c>
      <c r="G124" s="27" t="s">
        <v>171</v>
      </c>
      <c r="H124" s="27">
        <v>45000</v>
      </c>
      <c r="I124" s="28">
        <f t="shared" si="15"/>
        <v>2025000</v>
      </c>
      <c r="J124" s="28">
        <v>0</v>
      </c>
      <c r="K124" s="28">
        <f t="shared" si="16"/>
        <v>0</v>
      </c>
      <c r="L124" s="27"/>
      <c r="M124" s="28">
        <f t="shared" si="17"/>
        <v>0</v>
      </c>
      <c r="N124" s="28">
        <f t="shared" si="18"/>
        <v>45000</v>
      </c>
      <c r="O124" s="29">
        <f t="shared" si="19"/>
        <v>2025000</v>
      </c>
      <c r="P124" t="s">
        <v>247</v>
      </c>
      <c r="Q124" t="s">
        <v>428</v>
      </c>
    </row>
    <row r="125" spans="1:17" ht="24" customHeight="1" x14ac:dyDescent="0.3">
      <c r="A125" s="26" t="s">
        <v>13</v>
      </c>
      <c r="B125" s="27" t="s">
        <v>100</v>
      </c>
      <c r="C125" s="27">
        <v>41</v>
      </c>
      <c r="D125" s="27" t="s">
        <v>429</v>
      </c>
      <c r="E125" s="27" t="s">
        <v>430</v>
      </c>
      <c r="F125" s="27">
        <v>1033</v>
      </c>
      <c r="G125" s="27" t="s">
        <v>171</v>
      </c>
      <c r="H125" s="28">
        <v>1320</v>
      </c>
      <c r="I125" s="28">
        <f t="shared" si="15"/>
        <v>1363560</v>
      </c>
      <c r="J125" s="28">
        <v>11220</v>
      </c>
      <c r="K125" s="28">
        <f t="shared" si="16"/>
        <v>11590260</v>
      </c>
      <c r="L125" s="28">
        <v>1521</v>
      </c>
      <c r="M125" s="28">
        <f t="shared" si="17"/>
        <v>1571193</v>
      </c>
      <c r="N125" s="28">
        <f t="shared" si="18"/>
        <v>14061</v>
      </c>
      <c r="O125" s="29">
        <f t="shared" si="19"/>
        <v>14525013</v>
      </c>
      <c r="Q125" t="s">
        <v>431</v>
      </c>
    </row>
    <row r="126" spans="1:17" ht="24" customHeight="1" x14ac:dyDescent="0.3">
      <c r="A126" s="26" t="s">
        <v>13</v>
      </c>
      <c r="B126" s="27" t="s">
        <v>100</v>
      </c>
      <c r="C126" s="27">
        <v>42</v>
      </c>
      <c r="D126" s="27" t="s">
        <v>432</v>
      </c>
      <c r="E126" s="27" t="s">
        <v>433</v>
      </c>
      <c r="F126" s="27">
        <v>12</v>
      </c>
      <c r="G126" s="27" t="s">
        <v>434</v>
      </c>
      <c r="H126" s="28">
        <v>154620</v>
      </c>
      <c r="I126" s="28">
        <f t="shared" si="15"/>
        <v>1855440</v>
      </c>
      <c r="J126" s="28">
        <v>0</v>
      </c>
      <c r="K126" s="28">
        <f t="shared" si="16"/>
        <v>0</v>
      </c>
      <c r="L126" s="28">
        <v>0</v>
      </c>
      <c r="M126" s="28">
        <f t="shared" si="17"/>
        <v>0</v>
      </c>
      <c r="N126" s="28">
        <f t="shared" si="18"/>
        <v>154620</v>
      </c>
      <c r="O126" s="29">
        <f t="shared" si="19"/>
        <v>1855440</v>
      </c>
      <c r="Q126" t="s">
        <v>435</v>
      </c>
    </row>
    <row r="127" spans="1:17" ht="24" customHeight="1" x14ac:dyDescent="0.3">
      <c r="A127" s="26" t="s">
        <v>13</v>
      </c>
      <c r="B127" s="27" t="s">
        <v>100</v>
      </c>
      <c r="C127" s="27">
        <v>43</v>
      </c>
      <c r="D127" s="27" t="s">
        <v>436</v>
      </c>
      <c r="E127" s="27" t="s">
        <v>437</v>
      </c>
      <c r="F127" s="27">
        <v>13</v>
      </c>
      <c r="G127" s="27" t="s">
        <v>434</v>
      </c>
      <c r="H127" s="28">
        <v>154620</v>
      </c>
      <c r="I127" s="28">
        <f t="shared" si="15"/>
        <v>2010060</v>
      </c>
      <c r="J127" s="28">
        <v>0</v>
      </c>
      <c r="K127" s="28">
        <f t="shared" si="16"/>
        <v>0</v>
      </c>
      <c r="L127" s="28">
        <v>0</v>
      </c>
      <c r="M127" s="28">
        <f t="shared" si="17"/>
        <v>0</v>
      </c>
      <c r="N127" s="28">
        <f t="shared" si="18"/>
        <v>154620</v>
      </c>
      <c r="O127" s="29">
        <f t="shared" si="19"/>
        <v>2010060</v>
      </c>
      <c r="Q127" t="s">
        <v>438</v>
      </c>
    </row>
    <row r="128" spans="1:17" ht="24" customHeight="1" x14ac:dyDescent="0.3">
      <c r="A128" s="26" t="s">
        <v>13</v>
      </c>
      <c r="B128" s="27" t="s">
        <v>100</v>
      </c>
      <c r="C128" s="27">
        <v>44</v>
      </c>
      <c r="D128" s="27" t="s">
        <v>439</v>
      </c>
      <c r="E128" s="27" t="s">
        <v>440</v>
      </c>
      <c r="F128" s="27">
        <v>543</v>
      </c>
      <c r="G128" s="27" t="s">
        <v>283</v>
      </c>
      <c r="H128" s="27">
        <v>120000</v>
      </c>
      <c r="I128" s="28">
        <f t="shared" si="15"/>
        <v>65160000</v>
      </c>
      <c r="J128" s="27">
        <v>7500</v>
      </c>
      <c r="K128" s="28">
        <f t="shared" si="16"/>
        <v>4072500</v>
      </c>
      <c r="L128" s="27">
        <v>12000</v>
      </c>
      <c r="M128" s="28">
        <f t="shared" si="17"/>
        <v>6516000</v>
      </c>
      <c r="N128" s="28">
        <f t="shared" si="18"/>
        <v>139500</v>
      </c>
      <c r="O128" s="29">
        <f t="shared" si="19"/>
        <v>75748500</v>
      </c>
      <c r="P128" t="s">
        <v>247</v>
      </c>
      <c r="Q128" t="s">
        <v>441</v>
      </c>
    </row>
    <row r="129" spans="1:17" ht="24" customHeight="1" x14ac:dyDescent="0.3">
      <c r="A129" s="26" t="s">
        <v>13</v>
      </c>
      <c r="B129" s="27" t="s">
        <v>100</v>
      </c>
      <c r="C129" s="27">
        <v>45</v>
      </c>
      <c r="D129" s="27" t="s">
        <v>442</v>
      </c>
      <c r="E129" s="27" t="s">
        <v>443</v>
      </c>
      <c r="F129" s="27">
        <v>543</v>
      </c>
      <c r="G129" s="27" t="s">
        <v>283</v>
      </c>
      <c r="H129" s="27">
        <v>110000</v>
      </c>
      <c r="I129" s="28">
        <f t="shared" si="15"/>
        <v>59730000</v>
      </c>
      <c r="J129" s="27">
        <v>7500</v>
      </c>
      <c r="K129" s="28">
        <f t="shared" si="16"/>
        <v>4072500</v>
      </c>
      <c r="L129" s="27">
        <v>12000</v>
      </c>
      <c r="M129" s="28">
        <f t="shared" si="17"/>
        <v>6516000</v>
      </c>
      <c r="N129" s="28">
        <f t="shared" si="18"/>
        <v>129500</v>
      </c>
      <c r="O129" s="29">
        <f t="shared" si="19"/>
        <v>70318500</v>
      </c>
      <c r="P129" t="s">
        <v>247</v>
      </c>
      <c r="Q129" t="s">
        <v>444</v>
      </c>
    </row>
    <row r="130" spans="1:17" ht="24" customHeight="1" x14ac:dyDescent="0.3">
      <c r="A130" s="26" t="s">
        <v>13</v>
      </c>
      <c r="B130" s="27" t="s">
        <v>100</v>
      </c>
      <c r="C130" s="27">
        <v>46</v>
      </c>
      <c r="D130" s="27" t="s">
        <v>445</v>
      </c>
      <c r="E130" s="27" t="s">
        <v>446</v>
      </c>
      <c r="F130" s="27">
        <v>1161</v>
      </c>
      <c r="G130" s="27" t="s">
        <v>283</v>
      </c>
      <c r="H130" s="27">
        <v>110000</v>
      </c>
      <c r="I130" s="28">
        <f t="shared" si="15"/>
        <v>127710000</v>
      </c>
      <c r="J130" s="27">
        <v>7500</v>
      </c>
      <c r="K130" s="28">
        <f t="shared" si="16"/>
        <v>8707500</v>
      </c>
      <c r="L130" s="27">
        <v>12000</v>
      </c>
      <c r="M130" s="28">
        <f t="shared" si="17"/>
        <v>13932000</v>
      </c>
      <c r="N130" s="28">
        <f t="shared" si="18"/>
        <v>129500</v>
      </c>
      <c r="O130" s="29">
        <f t="shared" si="19"/>
        <v>150349500</v>
      </c>
      <c r="P130" t="s">
        <v>247</v>
      </c>
      <c r="Q130" t="s">
        <v>447</v>
      </c>
    </row>
    <row r="131" spans="1:17" ht="24" customHeight="1" x14ac:dyDescent="0.3">
      <c r="A131" s="26" t="s">
        <v>13</v>
      </c>
      <c r="B131" s="27" t="s">
        <v>100</v>
      </c>
      <c r="C131" s="27">
        <v>47</v>
      </c>
      <c r="D131" s="27" t="s">
        <v>448</v>
      </c>
      <c r="E131" s="27" t="s">
        <v>449</v>
      </c>
      <c r="F131" s="27">
        <v>475</v>
      </c>
      <c r="G131" s="27" t="s">
        <v>274</v>
      </c>
      <c r="H131" s="28">
        <v>659</v>
      </c>
      <c r="I131" s="28">
        <f t="shared" si="15"/>
        <v>313025</v>
      </c>
      <c r="J131" s="28">
        <v>6686</v>
      </c>
      <c r="K131" s="28">
        <f t="shared" si="16"/>
        <v>3175850</v>
      </c>
      <c r="L131" s="28">
        <v>522</v>
      </c>
      <c r="M131" s="28">
        <f t="shared" si="17"/>
        <v>247950</v>
      </c>
      <c r="N131" s="28">
        <f t="shared" si="18"/>
        <v>7867</v>
      </c>
      <c r="O131" s="29">
        <f t="shared" si="19"/>
        <v>3736825</v>
      </c>
      <c r="Q131" t="s">
        <v>450</v>
      </c>
    </row>
    <row r="132" spans="1:17" ht="24" customHeight="1" x14ac:dyDescent="0.3">
      <c r="A132" s="26" t="s">
        <v>13</v>
      </c>
      <c r="B132" s="27" t="s">
        <v>100</v>
      </c>
      <c r="C132" s="27">
        <v>48</v>
      </c>
      <c r="D132" s="27" t="s">
        <v>451</v>
      </c>
      <c r="E132" s="27" t="s">
        <v>452</v>
      </c>
      <c r="F132" s="27">
        <v>9</v>
      </c>
      <c r="G132" s="27" t="s">
        <v>274</v>
      </c>
      <c r="H132" s="28">
        <v>28000</v>
      </c>
      <c r="I132" s="28">
        <f t="shared" si="15"/>
        <v>252000</v>
      </c>
      <c r="J132" s="28">
        <v>12000</v>
      </c>
      <c r="K132" s="28">
        <f t="shared" si="16"/>
        <v>108000</v>
      </c>
      <c r="L132" s="28">
        <v>8000</v>
      </c>
      <c r="M132" s="28">
        <f t="shared" si="17"/>
        <v>72000</v>
      </c>
      <c r="N132" s="28">
        <f t="shared" si="18"/>
        <v>48000</v>
      </c>
      <c r="O132" s="29">
        <f t="shared" si="19"/>
        <v>432000</v>
      </c>
      <c r="P132" t="s">
        <v>247</v>
      </c>
      <c r="Q132" t="s">
        <v>453</v>
      </c>
    </row>
    <row r="133" spans="1:17" ht="24" customHeight="1" x14ac:dyDescent="0.3">
      <c r="A133" s="26" t="s">
        <v>13</v>
      </c>
      <c r="B133" s="27" t="s">
        <v>100</v>
      </c>
      <c r="C133" s="27">
        <v>49</v>
      </c>
      <c r="D133" s="27" t="s">
        <v>454</v>
      </c>
      <c r="E133" s="27" t="s">
        <v>455</v>
      </c>
      <c r="F133" s="27">
        <v>26</v>
      </c>
      <c r="G133" s="27" t="s">
        <v>274</v>
      </c>
      <c r="H133" s="28">
        <v>771</v>
      </c>
      <c r="I133" s="28">
        <f t="shared" si="15"/>
        <v>20046</v>
      </c>
      <c r="J133" s="28">
        <v>7823</v>
      </c>
      <c r="K133" s="28">
        <f t="shared" si="16"/>
        <v>203398</v>
      </c>
      <c r="L133" s="28">
        <v>610</v>
      </c>
      <c r="M133" s="28">
        <f t="shared" si="17"/>
        <v>15860</v>
      </c>
      <c r="N133" s="28">
        <f t="shared" si="18"/>
        <v>9204</v>
      </c>
      <c r="O133" s="29">
        <f t="shared" si="19"/>
        <v>239304</v>
      </c>
      <c r="Q133" t="s">
        <v>456</v>
      </c>
    </row>
    <row r="134" spans="1:17" ht="24" customHeight="1" x14ac:dyDescent="0.3">
      <c r="A134" s="26" t="s">
        <v>13</v>
      </c>
      <c r="B134" s="27" t="s">
        <v>100</v>
      </c>
      <c r="C134" s="27">
        <v>50</v>
      </c>
      <c r="D134" s="27" t="s">
        <v>457</v>
      </c>
      <c r="E134" s="27" t="s">
        <v>458</v>
      </c>
      <c r="F134" s="27">
        <v>220</v>
      </c>
      <c r="G134" s="27" t="s">
        <v>274</v>
      </c>
      <c r="H134" s="28">
        <v>659</v>
      </c>
      <c r="I134" s="28">
        <f t="shared" si="15"/>
        <v>144980</v>
      </c>
      <c r="J134" s="28">
        <v>6686</v>
      </c>
      <c r="K134" s="28">
        <f t="shared" si="16"/>
        <v>1470920</v>
      </c>
      <c r="L134" s="28">
        <v>522</v>
      </c>
      <c r="M134" s="28">
        <f t="shared" si="17"/>
        <v>114840</v>
      </c>
      <c r="N134" s="28">
        <f t="shared" si="18"/>
        <v>7867</v>
      </c>
      <c r="O134" s="29">
        <f t="shared" si="19"/>
        <v>1730740</v>
      </c>
      <c r="Q134" t="s">
        <v>450</v>
      </c>
    </row>
    <row r="135" spans="1:17" ht="24" customHeight="1" x14ac:dyDescent="0.3">
      <c r="A135" s="26" t="s">
        <v>13</v>
      </c>
      <c r="B135" s="27" t="s">
        <v>100</v>
      </c>
      <c r="C135" s="27">
        <v>51</v>
      </c>
      <c r="D135" s="27" t="s">
        <v>459</v>
      </c>
      <c r="E135" s="27" t="s">
        <v>460</v>
      </c>
      <c r="F135" s="27">
        <v>1126</v>
      </c>
      <c r="G135" s="27" t="s">
        <v>168</v>
      </c>
      <c r="H135" s="28">
        <v>25000</v>
      </c>
      <c r="I135" s="28">
        <f t="shared" si="15"/>
        <v>28150000</v>
      </c>
      <c r="J135" s="28">
        <v>10000</v>
      </c>
      <c r="K135" s="28">
        <f t="shared" si="16"/>
        <v>11260000</v>
      </c>
      <c r="L135" s="28">
        <v>7000</v>
      </c>
      <c r="M135" s="28">
        <f t="shared" si="17"/>
        <v>7882000</v>
      </c>
      <c r="N135" s="28">
        <f t="shared" si="18"/>
        <v>42000</v>
      </c>
      <c r="O135" s="29">
        <f t="shared" si="19"/>
        <v>47292000</v>
      </c>
      <c r="P135" t="s">
        <v>247</v>
      </c>
      <c r="Q135" t="s">
        <v>461</v>
      </c>
    </row>
    <row r="136" spans="1:17" ht="24" customHeight="1" x14ac:dyDescent="0.3">
      <c r="A136" s="26" t="s">
        <v>13</v>
      </c>
      <c r="B136" s="27" t="s">
        <v>100</v>
      </c>
      <c r="C136" s="27">
        <v>52</v>
      </c>
      <c r="D136" s="27" t="s">
        <v>462</v>
      </c>
      <c r="E136" s="27" t="s">
        <v>463</v>
      </c>
      <c r="F136" s="27">
        <v>190</v>
      </c>
      <c r="G136" s="27" t="s">
        <v>274</v>
      </c>
      <c r="H136" s="28">
        <v>121</v>
      </c>
      <c r="I136" s="28">
        <f t="shared" si="15"/>
        <v>22990</v>
      </c>
      <c r="J136" s="28">
        <v>883</v>
      </c>
      <c r="K136" s="28">
        <f t="shared" si="16"/>
        <v>167770</v>
      </c>
      <c r="L136" s="28">
        <v>86</v>
      </c>
      <c r="M136" s="28">
        <f t="shared" si="17"/>
        <v>16340</v>
      </c>
      <c r="N136" s="28">
        <f t="shared" si="18"/>
        <v>1090</v>
      </c>
      <c r="O136" s="29">
        <f t="shared" si="19"/>
        <v>207100</v>
      </c>
      <c r="Q136" t="s">
        <v>464</v>
      </c>
    </row>
    <row r="137" spans="1:17" ht="24" customHeight="1" x14ac:dyDescent="0.3">
      <c r="A137" s="26" t="s">
        <v>13</v>
      </c>
      <c r="B137" s="27" t="s">
        <v>100</v>
      </c>
      <c r="C137" s="27">
        <v>53</v>
      </c>
      <c r="D137" s="27" t="s">
        <v>465</v>
      </c>
      <c r="E137" s="27" t="s">
        <v>463</v>
      </c>
      <c r="F137" s="27">
        <v>11</v>
      </c>
      <c r="G137" s="27" t="s">
        <v>274</v>
      </c>
      <c r="H137" s="28">
        <v>121</v>
      </c>
      <c r="I137" s="28">
        <f t="shared" si="15"/>
        <v>1331</v>
      </c>
      <c r="J137" s="28">
        <v>883</v>
      </c>
      <c r="K137" s="28">
        <f t="shared" si="16"/>
        <v>9713</v>
      </c>
      <c r="L137" s="28">
        <v>86</v>
      </c>
      <c r="M137" s="28">
        <f t="shared" si="17"/>
        <v>946</v>
      </c>
      <c r="N137" s="28">
        <f t="shared" si="18"/>
        <v>1090</v>
      </c>
      <c r="O137" s="29">
        <f t="shared" si="19"/>
        <v>11990</v>
      </c>
      <c r="Q137" t="s">
        <v>464</v>
      </c>
    </row>
    <row r="138" spans="1:17" ht="24" customHeight="1" x14ac:dyDescent="0.3">
      <c r="A138" s="30" t="s">
        <v>13</v>
      </c>
      <c r="B138" s="31" t="s">
        <v>100</v>
      </c>
      <c r="C138" s="31"/>
      <c r="D138" s="31" t="s">
        <v>466</v>
      </c>
      <c r="E138" s="31"/>
      <c r="F138" s="31"/>
      <c r="G138" s="31"/>
      <c r="H138" s="31"/>
      <c r="I138" s="32">
        <f>SUM(I85:I137)</f>
        <v>384743220</v>
      </c>
      <c r="J138" s="31"/>
      <c r="K138" s="32">
        <f>SUM(K85:K137)</f>
        <v>218917710</v>
      </c>
      <c r="L138" s="31"/>
      <c r="M138" s="32">
        <f>SUM(M85:M137)</f>
        <v>77348207</v>
      </c>
      <c r="N138" s="31"/>
      <c r="O138" s="33">
        <f>SUM(O85:O137)</f>
        <v>681009137</v>
      </c>
      <c r="P138" s="10"/>
      <c r="Q138" s="10" t="s">
        <v>467</v>
      </c>
    </row>
    <row r="139" spans="1:17" ht="24" customHeight="1" x14ac:dyDescent="0.3">
      <c r="A139" s="26" t="s">
        <v>13</v>
      </c>
      <c r="B139" s="27" t="s">
        <v>101</v>
      </c>
      <c r="C139" s="27">
        <v>1</v>
      </c>
      <c r="D139" s="27" t="s">
        <v>254</v>
      </c>
      <c r="E139" s="27" t="s">
        <v>255</v>
      </c>
      <c r="F139" s="27">
        <v>507</v>
      </c>
      <c r="G139" s="27" t="s">
        <v>171</v>
      </c>
      <c r="H139" s="28">
        <v>3186</v>
      </c>
      <c r="I139" s="28">
        <f t="shared" ref="I139:I161" si="20">F139*H139</f>
        <v>1615302</v>
      </c>
      <c r="J139" s="28">
        <v>26699</v>
      </c>
      <c r="K139" s="28">
        <f t="shared" ref="K139:K161" si="21">F139*J139</f>
        <v>13536393</v>
      </c>
      <c r="L139" s="28">
        <v>3560</v>
      </c>
      <c r="M139" s="28">
        <f t="shared" ref="M139:M161" si="22">F139*L139</f>
        <v>1804920</v>
      </c>
      <c r="N139" s="28">
        <f t="shared" ref="N139:N161" si="23">H139+J139+L139</f>
        <v>33445</v>
      </c>
      <c r="O139" s="29">
        <f t="shared" ref="O139:O161" si="24">I139+K139+M139</f>
        <v>16956615</v>
      </c>
      <c r="Q139" t="s">
        <v>256</v>
      </c>
    </row>
    <row r="140" spans="1:17" ht="24" customHeight="1" x14ac:dyDescent="0.3">
      <c r="A140" s="26" t="s">
        <v>13</v>
      </c>
      <c r="B140" s="27" t="s">
        <v>101</v>
      </c>
      <c r="C140" s="27">
        <v>2</v>
      </c>
      <c r="D140" s="27" t="s">
        <v>257</v>
      </c>
      <c r="E140" s="27" t="s">
        <v>226</v>
      </c>
      <c r="F140" s="27">
        <v>71</v>
      </c>
      <c r="G140" s="27" t="s">
        <v>171</v>
      </c>
      <c r="H140" s="28">
        <v>0</v>
      </c>
      <c r="I140" s="28">
        <f t="shared" si="20"/>
        <v>0</v>
      </c>
      <c r="J140" s="28">
        <v>0</v>
      </c>
      <c r="K140" s="28">
        <f t="shared" si="21"/>
        <v>0</v>
      </c>
      <c r="L140" s="28">
        <v>0</v>
      </c>
      <c r="M140" s="28">
        <f t="shared" si="22"/>
        <v>0</v>
      </c>
      <c r="N140" s="28">
        <f t="shared" si="23"/>
        <v>0</v>
      </c>
      <c r="O140" s="29">
        <f t="shared" si="24"/>
        <v>0</v>
      </c>
      <c r="Q140" t="s">
        <v>256</v>
      </c>
    </row>
    <row r="141" spans="1:17" ht="24" customHeight="1" x14ac:dyDescent="0.3">
      <c r="A141" s="26" t="s">
        <v>13</v>
      </c>
      <c r="B141" s="27" t="s">
        <v>101</v>
      </c>
      <c r="C141" s="27">
        <v>3</v>
      </c>
      <c r="D141" s="27" t="s">
        <v>258</v>
      </c>
      <c r="E141" s="27" t="s">
        <v>259</v>
      </c>
      <c r="F141" s="27">
        <v>43.957999999999998</v>
      </c>
      <c r="G141" s="27" t="s">
        <v>260</v>
      </c>
      <c r="H141" s="28">
        <v>55508</v>
      </c>
      <c r="I141" s="28">
        <f t="shared" si="20"/>
        <v>2440020.6639999999</v>
      </c>
      <c r="J141" s="28">
        <v>638337</v>
      </c>
      <c r="K141" s="28">
        <f t="shared" si="21"/>
        <v>28060017.846000001</v>
      </c>
      <c r="L141" s="28">
        <v>0</v>
      </c>
      <c r="M141" s="28">
        <f t="shared" si="22"/>
        <v>0</v>
      </c>
      <c r="N141" s="28">
        <f t="shared" si="23"/>
        <v>693845</v>
      </c>
      <c r="O141" s="29">
        <f t="shared" si="24"/>
        <v>30500038.510000002</v>
      </c>
      <c r="Q141" t="s">
        <v>261</v>
      </c>
    </row>
    <row r="142" spans="1:17" ht="24" customHeight="1" x14ac:dyDescent="0.3">
      <c r="A142" s="26" t="s">
        <v>13</v>
      </c>
      <c r="B142" s="27" t="s">
        <v>101</v>
      </c>
      <c r="C142" s="27">
        <v>4</v>
      </c>
      <c r="D142" s="27" t="s">
        <v>468</v>
      </c>
      <c r="E142" s="27" t="s">
        <v>469</v>
      </c>
      <c r="F142" s="27">
        <v>845</v>
      </c>
      <c r="G142" s="27" t="s">
        <v>168</v>
      </c>
      <c r="H142" s="28">
        <v>609</v>
      </c>
      <c r="I142" s="28">
        <f t="shared" si="20"/>
        <v>514605</v>
      </c>
      <c r="J142" s="28">
        <v>19663</v>
      </c>
      <c r="K142" s="28">
        <f t="shared" si="21"/>
        <v>16615235</v>
      </c>
      <c r="L142" s="28">
        <v>0</v>
      </c>
      <c r="M142" s="28">
        <f t="shared" si="22"/>
        <v>0</v>
      </c>
      <c r="N142" s="28">
        <f t="shared" si="23"/>
        <v>20272</v>
      </c>
      <c r="O142" s="29">
        <f t="shared" si="24"/>
        <v>17129840</v>
      </c>
      <c r="Q142" t="s">
        <v>470</v>
      </c>
    </row>
    <row r="143" spans="1:17" ht="24" customHeight="1" x14ac:dyDescent="0.3">
      <c r="A143" s="26" t="s">
        <v>13</v>
      </c>
      <c r="B143" s="27" t="s">
        <v>101</v>
      </c>
      <c r="C143" s="27">
        <v>5</v>
      </c>
      <c r="D143" s="27" t="s">
        <v>264</v>
      </c>
      <c r="E143" s="27" t="s">
        <v>263</v>
      </c>
      <c r="F143" s="27">
        <v>1267</v>
      </c>
      <c r="G143" s="27" t="s">
        <v>168</v>
      </c>
      <c r="H143" s="28">
        <v>378</v>
      </c>
      <c r="I143" s="28">
        <f t="shared" si="20"/>
        <v>478926</v>
      </c>
      <c r="J143" s="28">
        <v>37806</v>
      </c>
      <c r="K143" s="28">
        <f t="shared" si="21"/>
        <v>47900202</v>
      </c>
      <c r="L143" s="28">
        <v>0</v>
      </c>
      <c r="M143" s="28">
        <f t="shared" si="22"/>
        <v>0</v>
      </c>
      <c r="N143" s="28">
        <f t="shared" si="23"/>
        <v>38184</v>
      </c>
      <c r="O143" s="29">
        <f t="shared" si="24"/>
        <v>48379128</v>
      </c>
      <c r="Q143" t="s">
        <v>263</v>
      </c>
    </row>
    <row r="144" spans="1:17" ht="24" customHeight="1" x14ac:dyDescent="0.3">
      <c r="A144" s="26" t="s">
        <v>13</v>
      </c>
      <c r="B144" s="27" t="s">
        <v>101</v>
      </c>
      <c r="C144" s="27">
        <v>6</v>
      </c>
      <c r="D144" s="27" t="s">
        <v>471</v>
      </c>
      <c r="E144" s="27" t="s">
        <v>229</v>
      </c>
      <c r="F144" s="27">
        <v>43</v>
      </c>
      <c r="G144" s="27" t="s">
        <v>168</v>
      </c>
      <c r="H144" s="28">
        <v>0</v>
      </c>
      <c r="I144" s="28">
        <f t="shared" si="20"/>
        <v>0</v>
      </c>
      <c r="J144" s="28">
        <v>0</v>
      </c>
      <c r="K144" s="28">
        <f t="shared" si="21"/>
        <v>0</v>
      </c>
      <c r="L144" s="28">
        <v>34535</v>
      </c>
      <c r="M144" s="28">
        <f t="shared" si="22"/>
        <v>1485005</v>
      </c>
      <c r="N144" s="28">
        <f t="shared" si="23"/>
        <v>34535</v>
      </c>
      <c r="O144" s="29">
        <f t="shared" si="24"/>
        <v>1485005</v>
      </c>
      <c r="Q144" t="s">
        <v>265</v>
      </c>
    </row>
    <row r="145" spans="1:17" ht="24" customHeight="1" x14ac:dyDescent="0.3">
      <c r="A145" s="26" t="s">
        <v>13</v>
      </c>
      <c r="B145" s="27" t="s">
        <v>101</v>
      </c>
      <c r="C145" s="27">
        <v>7</v>
      </c>
      <c r="D145" s="27" t="s">
        <v>472</v>
      </c>
      <c r="E145" s="27" t="s">
        <v>473</v>
      </c>
      <c r="F145" s="27">
        <v>688</v>
      </c>
      <c r="G145" s="27" t="s">
        <v>168</v>
      </c>
      <c r="H145" s="28">
        <v>9641</v>
      </c>
      <c r="I145" s="28">
        <f t="shared" si="20"/>
        <v>6633008</v>
      </c>
      <c r="J145" s="28">
        <v>17902</v>
      </c>
      <c r="K145" s="28">
        <f t="shared" si="21"/>
        <v>12316576</v>
      </c>
      <c r="L145" s="28">
        <v>0</v>
      </c>
      <c r="M145" s="28">
        <f t="shared" si="22"/>
        <v>0</v>
      </c>
      <c r="N145" s="28">
        <f t="shared" si="23"/>
        <v>27543</v>
      </c>
      <c r="O145" s="29">
        <f t="shared" si="24"/>
        <v>18949584</v>
      </c>
      <c r="Q145" t="s">
        <v>472</v>
      </c>
    </row>
    <row r="146" spans="1:17" ht="24" customHeight="1" x14ac:dyDescent="0.3">
      <c r="A146" s="26" t="s">
        <v>13</v>
      </c>
      <c r="B146" s="27" t="s">
        <v>101</v>
      </c>
      <c r="C146" s="27">
        <v>8</v>
      </c>
      <c r="D146" s="27" t="s">
        <v>474</v>
      </c>
      <c r="E146" s="27" t="s">
        <v>267</v>
      </c>
      <c r="F146" s="27">
        <v>5040</v>
      </c>
      <c r="G146" s="27" t="s">
        <v>168</v>
      </c>
      <c r="H146" s="28">
        <v>623</v>
      </c>
      <c r="I146" s="28">
        <f t="shared" si="20"/>
        <v>3139920</v>
      </c>
      <c r="J146" s="28">
        <v>9748</v>
      </c>
      <c r="K146" s="28">
        <f t="shared" si="21"/>
        <v>49129920</v>
      </c>
      <c r="L146" s="28">
        <v>0</v>
      </c>
      <c r="M146" s="28">
        <f t="shared" si="22"/>
        <v>0</v>
      </c>
      <c r="N146" s="28">
        <f t="shared" si="23"/>
        <v>10371</v>
      </c>
      <c r="O146" s="29">
        <f t="shared" si="24"/>
        <v>52269840</v>
      </c>
      <c r="Q146" t="s">
        <v>267</v>
      </c>
    </row>
    <row r="147" spans="1:17" ht="24" customHeight="1" x14ac:dyDescent="0.3">
      <c r="A147" s="26" t="s">
        <v>13</v>
      </c>
      <c r="B147" s="27" t="s">
        <v>101</v>
      </c>
      <c r="C147" s="27">
        <v>9</v>
      </c>
      <c r="D147" s="27" t="s">
        <v>475</v>
      </c>
      <c r="E147" s="27" t="s">
        <v>269</v>
      </c>
      <c r="F147" s="27">
        <v>4362</v>
      </c>
      <c r="G147" s="27" t="s">
        <v>168</v>
      </c>
      <c r="H147" s="28">
        <v>500</v>
      </c>
      <c r="I147" s="28">
        <f t="shared" si="20"/>
        <v>2181000</v>
      </c>
      <c r="J147" s="28">
        <v>1500</v>
      </c>
      <c r="K147" s="28">
        <f t="shared" si="21"/>
        <v>6543000</v>
      </c>
      <c r="L147" s="27"/>
      <c r="M147" s="28">
        <f t="shared" si="22"/>
        <v>0</v>
      </c>
      <c r="N147" s="28">
        <f t="shared" si="23"/>
        <v>2000</v>
      </c>
      <c r="O147" s="29">
        <f t="shared" si="24"/>
        <v>8724000</v>
      </c>
      <c r="P147" t="s">
        <v>247</v>
      </c>
      <c r="Q147" t="s">
        <v>269</v>
      </c>
    </row>
    <row r="148" spans="1:17" ht="24" customHeight="1" x14ac:dyDescent="0.3">
      <c r="A148" s="26" t="s">
        <v>13</v>
      </c>
      <c r="B148" s="27" t="s">
        <v>101</v>
      </c>
      <c r="C148" s="27">
        <v>10</v>
      </c>
      <c r="D148" s="27" t="s">
        <v>476</v>
      </c>
      <c r="E148" s="27" t="s">
        <v>477</v>
      </c>
      <c r="F148" s="27">
        <v>33</v>
      </c>
      <c r="G148" s="27" t="s">
        <v>199</v>
      </c>
      <c r="H148" s="28">
        <v>522</v>
      </c>
      <c r="I148" s="28">
        <f t="shared" si="20"/>
        <v>17226</v>
      </c>
      <c r="J148" s="28">
        <v>5273</v>
      </c>
      <c r="K148" s="28">
        <f t="shared" si="21"/>
        <v>174009</v>
      </c>
      <c r="L148" s="28">
        <v>0</v>
      </c>
      <c r="M148" s="28">
        <f t="shared" si="22"/>
        <v>0</v>
      </c>
      <c r="N148" s="28">
        <f t="shared" si="23"/>
        <v>5795</v>
      </c>
      <c r="O148" s="29">
        <f t="shared" si="24"/>
        <v>191235</v>
      </c>
      <c r="Q148" t="s">
        <v>234</v>
      </c>
    </row>
    <row r="149" spans="1:17" ht="24" customHeight="1" x14ac:dyDescent="0.3">
      <c r="A149" s="26" t="s">
        <v>13</v>
      </c>
      <c r="B149" s="27" t="s">
        <v>101</v>
      </c>
      <c r="C149" s="27">
        <v>11</v>
      </c>
      <c r="D149" s="27" t="s">
        <v>478</v>
      </c>
      <c r="E149" s="27" t="s">
        <v>479</v>
      </c>
      <c r="F149" s="27">
        <v>681</v>
      </c>
      <c r="G149" s="27" t="s">
        <v>168</v>
      </c>
      <c r="H149" s="28">
        <v>2290</v>
      </c>
      <c r="I149" s="28">
        <f t="shared" si="20"/>
        <v>1559490</v>
      </c>
      <c r="J149" s="28">
        <v>0</v>
      </c>
      <c r="K149" s="28">
        <f t="shared" si="21"/>
        <v>0</v>
      </c>
      <c r="L149" s="28">
        <v>0</v>
      </c>
      <c r="M149" s="28">
        <f t="shared" si="22"/>
        <v>0</v>
      </c>
      <c r="N149" s="28">
        <f t="shared" si="23"/>
        <v>2290</v>
      </c>
      <c r="O149" s="29">
        <f t="shared" si="24"/>
        <v>1559490</v>
      </c>
      <c r="Q149" t="s">
        <v>478</v>
      </c>
    </row>
    <row r="150" spans="1:17" ht="24" customHeight="1" x14ac:dyDescent="0.3">
      <c r="A150" s="26" t="s">
        <v>13</v>
      </c>
      <c r="B150" s="27" t="s">
        <v>101</v>
      </c>
      <c r="C150" s="27">
        <v>12</v>
      </c>
      <c r="D150" s="27" t="s">
        <v>480</v>
      </c>
      <c r="E150" s="27"/>
      <c r="F150" s="27">
        <v>681</v>
      </c>
      <c r="G150" s="27" t="s">
        <v>168</v>
      </c>
      <c r="H150" s="28">
        <v>34</v>
      </c>
      <c r="I150" s="28">
        <f t="shared" si="20"/>
        <v>23154</v>
      </c>
      <c r="J150" s="28">
        <v>358</v>
      </c>
      <c r="K150" s="28">
        <f t="shared" si="21"/>
        <v>243798</v>
      </c>
      <c r="L150" s="28">
        <v>24</v>
      </c>
      <c r="M150" s="28">
        <f t="shared" si="22"/>
        <v>16344</v>
      </c>
      <c r="N150" s="28">
        <f t="shared" si="23"/>
        <v>416</v>
      </c>
      <c r="O150" s="29">
        <f t="shared" si="24"/>
        <v>283296</v>
      </c>
      <c r="Q150" t="s">
        <v>480</v>
      </c>
    </row>
    <row r="151" spans="1:17" ht="24" customHeight="1" x14ac:dyDescent="0.3">
      <c r="A151" s="26" t="s">
        <v>13</v>
      </c>
      <c r="B151" s="27" t="s">
        <v>101</v>
      </c>
      <c r="C151" s="27">
        <v>13</v>
      </c>
      <c r="D151" s="27" t="s">
        <v>481</v>
      </c>
      <c r="E151" s="27" t="s">
        <v>271</v>
      </c>
      <c r="F151" s="27">
        <v>76</v>
      </c>
      <c r="G151" s="27" t="s">
        <v>168</v>
      </c>
      <c r="H151" s="28">
        <v>0</v>
      </c>
      <c r="I151" s="28">
        <f t="shared" si="20"/>
        <v>0</v>
      </c>
      <c r="J151" s="28">
        <v>67244</v>
      </c>
      <c r="K151" s="28">
        <f t="shared" si="21"/>
        <v>5110544</v>
      </c>
      <c r="L151" s="28">
        <v>0</v>
      </c>
      <c r="M151" s="28">
        <f t="shared" si="22"/>
        <v>0</v>
      </c>
      <c r="N151" s="28">
        <f t="shared" si="23"/>
        <v>67244</v>
      </c>
      <c r="O151" s="29">
        <f t="shared" si="24"/>
        <v>5110544</v>
      </c>
      <c r="Q151" t="s">
        <v>271</v>
      </c>
    </row>
    <row r="152" spans="1:17" ht="24" customHeight="1" x14ac:dyDescent="0.3">
      <c r="A152" s="26" t="s">
        <v>13</v>
      </c>
      <c r="B152" s="27" t="s">
        <v>101</v>
      </c>
      <c r="C152" s="27">
        <v>14</v>
      </c>
      <c r="D152" s="27" t="s">
        <v>482</v>
      </c>
      <c r="E152" s="27" t="s">
        <v>273</v>
      </c>
      <c r="F152" s="27">
        <v>1561</v>
      </c>
      <c r="G152" s="27" t="s">
        <v>274</v>
      </c>
      <c r="H152" s="28">
        <v>35000</v>
      </c>
      <c r="I152" s="28">
        <f t="shared" si="20"/>
        <v>54635000</v>
      </c>
      <c r="J152" s="28">
        <v>12000</v>
      </c>
      <c r="K152" s="28">
        <f t="shared" si="21"/>
        <v>18732000</v>
      </c>
      <c r="L152" s="27">
        <v>800</v>
      </c>
      <c r="M152" s="28">
        <f t="shared" si="22"/>
        <v>1248800</v>
      </c>
      <c r="N152" s="28">
        <f t="shared" si="23"/>
        <v>47800</v>
      </c>
      <c r="O152" s="29">
        <f t="shared" si="24"/>
        <v>74615800</v>
      </c>
      <c r="P152" t="s">
        <v>247</v>
      </c>
      <c r="Q152" t="s">
        <v>275</v>
      </c>
    </row>
    <row r="153" spans="1:17" ht="24" customHeight="1" x14ac:dyDescent="0.3">
      <c r="A153" s="26" t="s">
        <v>13</v>
      </c>
      <c r="B153" s="27" t="s">
        <v>101</v>
      </c>
      <c r="C153" s="27">
        <v>15</v>
      </c>
      <c r="D153" s="27" t="s">
        <v>276</v>
      </c>
      <c r="E153" s="27" t="s">
        <v>277</v>
      </c>
      <c r="F153" s="27">
        <v>635</v>
      </c>
      <c r="G153" s="27" t="s">
        <v>199</v>
      </c>
      <c r="H153" s="28">
        <v>51</v>
      </c>
      <c r="I153" s="28">
        <f t="shared" si="20"/>
        <v>32385</v>
      </c>
      <c r="J153" s="28">
        <v>5125</v>
      </c>
      <c r="K153" s="28">
        <f t="shared" si="21"/>
        <v>3254375</v>
      </c>
      <c r="L153" s="28">
        <v>0</v>
      </c>
      <c r="M153" s="28">
        <f t="shared" si="22"/>
        <v>0</v>
      </c>
      <c r="N153" s="28">
        <f t="shared" si="23"/>
        <v>5176</v>
      </c>
      <c r="O153" s="29">
        <f t="shared" si="24"/>
        <v>3286760</v>
      </c>
      <c r="Q153" t="s">
        <v>278</v>
      </c>
    </row>
    <row r="154" spans="1:17" ht="24" customHeight="1" x14ac:dyDescent="0.3">
      <c r="A154" s="26" t="s">
        <v>13</v>
      </c>
      <c r="B154" s="27" t="s">
        <v>101</v>
      </c>
      <c r="C154" s="27">
        <v>16</v>
      </c>
      <c r="D154" s="27" t="s">
        <v>279</v>
      </c>
      <c r="E154" s="27" t="s">
        <v>280</v>
      </c>
      <c r="F154" s="27">
        <v>153</v>
      </c>
      <c r="G154" s="27" t="s">
        <v>171</v>
      </c>
      <c r="H154" s="28">
        <v>1606</v>
      </c>
      <c r="I154" s="28">
        <f t="shared" si="20"/>
        <v>245718</v>
      </c>
      <c r="J154" s="28">
        <v>8751</v>
      </c>
      <c r="K154" s="28">
        <f t="shared" si="21"/>
        <v>1338903</v>
      </c>
      <c r="L154" s="28">
        <v>1798</v>
      </c>
      <c r="M154" s="28">
        <f t="shared" si="22"/>
        <v>275094</v>
      </c>
      <c r="N154" s="28">
        <f t="shared" si="23"/>
        <v>12155</v>
      </c>
      <c r="O154" s="29">
        <f t="shared" si="24"/>
        <v>1859715</v>
      </c>
      <c r="Q154" t="s">
        <v>279</v>
      </c>
    </row>
    <row r="155" spans="1:17" ht="24" customHeight="1" x14ac:dyDescent="0.3">
      <c r="A155" s="26" t="s">
        <v>13</v>
      </c>
      <c r="B155" s="27" t="s">
        <v>101</v>
      </c>
      <c r="C155" s="27">
        <v>17</v>
      </c>
      <c r="D155" s="27" t="s">
        <v>281</v>
      </c>
      <c r="E155" s="27" t="s">
        <v>282</v>
      </c>
      <c r="F155" s="27">
        <v>45.277000000000001</v>
      </c>
      <c r="G155" s="27" t="s">
        <v>283</v>
      </c>
      <c r="H155" s="27"/>
      <c r="I155" s="28">
        <f t="shared" si="20"/>
        <v>0</v>
      </c>
      <c r="J155" s="27"/>
      <c r="K155" s="28">
        <f t="shared" si="21"/>
        <v>0</v>
      </c>
      <c r="L155" s="27">
        <v>30000</v>
      </c>
      <c r="M155" s="28">
        <f t="shared" si="22"/>
        <v>1358310</v>
      </c>
      <c r="N155" s="28">
        <f t="shared" si="23"/>
        <v>30000</v>
      </c>
      <c r="O155" s="29">
        <f t="shared" si="24"/>
        <v>1358310</v>
      </c>
      <c r="P155" t="s">
        <v>247</v>
      </c>
      <c r="Q155" t="s">
        <v>284</v>
      </c>
    </row>
    <row r="156" spans="1:17" ht="24" customHeight="1" x14ac:dyDescent="0.3">
      <c r="A156" s="26" t="s">
        <v>13</v>
      </c>
      <c r="B156" s="27" t="s">
        <v>101</v>
      </c>
      <c r="C156" s="27">
        <v>18</v>
      </c>
      <c r="D156" s="27" t="s">
        <v>285</v>
      </c>
      <c r="E156" s="27" t="s">
        <v>286</v>
      </c>
      <c r="F156" s="27">
        <v>0.92300000000000004</v>
      </c>
      <c r="G156" s="27" t="s">
        <v>283</v>
      </c>
      <c r="H156" s="27">
        <v>-10000</v>
      </c>
      <c r="I156" s="28">
        <f t="shared" si="20"/>
        <v>-9230</v>
      </c>
      <c r="J156" s="27"/>
      <c r="K156" s="28">
        <f t="shared" si="21"/>
        <v>0</v>
      </c>
      <c r="L156" s="27"/>
      <c r="M156" s="28">
        <f t="shared" si="22"/>
        <v>0</v>
      </c>
      <c r="N156" s="28">
        <f t="shared" si="23"/>
        <v>-10000</v>
      </c>
      <c r="O156" s="29">
        <f t="shared" si="24"/>
        <v>-9230</v>
      </c>
      <c r="P156" t="s">
        <v>247</v>
      </c>
      <c r="Q156" t="s">
        <v>287</v>
      </c>
    </row>
    <row r="157" spans="1:17" ht="24" customHeight="1" x14ac:dyDescent="0.3">
      <c r="A157" s="26" t="s">
        <v>13</v>
      </c>
      <c r="B157" s="27" t="s">
        <v>101</v>
      </c>
      <c r="C157" s="27">
        <v>19</v>
      </c>
      <c r="D157" s="27" t="s">
        <v>301</v>
      </c>
      <c r="E157" s="27" t="s">
        <v>308</v>
      </c>
      <c r="F157" s="27">
        <v>512</v>
      </c>
      <c r="G157" s="27" t="s">
        <v>171</v>
      </c>
      <c r="H157" s="28">
        <v>1293</v>
      </c>
      <c r="I157" s="28">
        <f t="shared" si="20"/>
        <v>662016</v>
      </c>
      <c r="J157" s="28">
        <v>64674</v>
      </c>
      <c r="K157" s="28">
        <f t="shared" si="21"/>
        <v>33113088</v>
      </c>
      <c r="L157" s="28">
        <v>0</v>
      </c>
      <c r="M157" s="28">
        <f t="shared" si="22"/>
        <v>0</v>
      </c>
      <c r="N157" s="28">
        <f t="shared" si="23"/>
        <v>65967</v>
      </c>
      <c r="O157" s="29">
        <f t="shared" si="24"/>
        <v>33775104</v>
      </c>
      <c r="Q157" t="s">
        <v>306</v>
      </c>
    </row>
    <row r="158" spans="1:17" ht="24" customHeight="1" x14ac:dyDescent="0.3">
      <c r="A158" s="26" t="s">
        <v>13</v>
      </c>
      <c r="B158" s="27" t="s">
        <v>101</v>
      </c>
      <c r="C158" s="27">
        <v>20</v>
      </c>
      <c r="D158" s="27" t="s">
        <v>304</v>
      </c>
      <c r="E158" s="27" t="s">
        <v>483</v>
      </c>
      <c r="F158" s="27">
        <v>71</v>
      </c>
      <c r="G158" s="27" t="s">
        <v>171</v>
      </c>
      <c r="H158" s="28">
        <v>1293</v>
      </c>
      <c r="I158" s="28">
        <f t="shared" si="20"/>
        <v>91803</v>
      </c>
      <c r="J158" s="28">
        <v>64674</v>
      </c>
      <c r="K158" s="28">
        <f t="shared" si="21"/>
        <v>4591854</v>
      </c>
      <c r="L158" s="28">
        <v>0</v>
      </c>
      <c r="M158" s="28">
        <f t="shared" si="22"/>
        <v>0</v>
      </c>
      <c r="N158" s="28">
        <f t="shared" si="23"/>
        <v>65967</v>
      </c>
      <c r="O158" s="29">
        <f t="shared" si="24"/>
        <v>4683657</v>
      </c>
      <c r="Q158" t="s">
        <v>306</v>
      </c>
    </row>
    <row r="159" spans="1:17" ht="24" customHeight="1" x14ac:dyDescent="0.3">
      <c r="A159" s="26" t="s">
        <v>13</v>
      </c>
      <c r="B159" s="27" t="s">
        <v>101</v>
      </c>
      <c r="C159" s="27">
        <v>21</v>
      </c>
      <c r="D159" s="27" t="s">
        <v>484</v>
      </c>
      <c r="E159" s="27" t="s">
        <v>485</v>
      </c>
      <c r="F159" s="27">
        <v>160</v>
      </c>
      <c r="G159" s="27" t="s">
        <v>171</v>
      </c>
      <c r="H159" s="28">
        <v>0</v>
      </c>
      <c r="I159" s="28">
        <f t="shared" si="20"/>
        <v>0</v>
      </c>
      <c r="J159" s="28">
        <v>4036</v>
      </c>
      <c r="K159" s="28">
        <f t="shared" si="21"/>
        <v>645760</v>
      </c>
      <c r="L159" s="28">
        <v>947</v>
      </c>
      <c r="M159" s="28">
        <f t="shared" si="22"/>
        <v>151520</v>
      </c>
      <c r="N159" s="28">
        <f t="shared" si="23"/>
        <v>4983</v>
      </c>
      <c r="O159" s="29">
        <f t="shared" si="24"/>
        <v>797280</v>
      </c>
      <c r="Q159" t="s">
        <v>486</v>
      </c>
    </row>
    <row r="160" spans="1:17" ht="24" customHeight="1" x14ac:dyDescent="0.3">
      <c r="A160" s="26" t="s">
        <v>13</v>
      </c>
      <c r="B160" s="27" t="s">
        <v>101</v>
      </c>
      <c r="C160" s="27">
        <v>22</v>
      </c>
      <c r="D160" s="27" t="s">
        <v>325</v>
      </c>
      <c r="E160" s="27" t="s">
        <v>326</v>
      </c>
      <c r="F160" s="27">
        <v>43.046999999999997</v>
      </c>
      <c r="G160" s="27" t="s">
        <v>327</v>
      </c>
      <c r="H160" s="28">
        <v>952000</v>
      </c>
      <c r="I160" s="28">
        <f t="shared" si="20"/>
        <v>40980744</v>
      </c>
      <c r="J160" s="28">
        <v>0</v>
      </c>
      <c r="K160" s="28">
        <f t="shared" si="21"/>
        <v>0</v>
      </c>
      <c r="L160" s="28">
        <v>0</v>
      </c>
      <c r="M160" s="28">
        <f t="shared" si="22"/>
        <v>0</v>
      </c>
      <c r="N160" s="28">
        <f t="shared" si="23"/>
        <v>952000</v>
      </c>
      <c r="O160" s="29">
        <f t="shared" si="24"/>
        <v>40980744</v>
      </c>
      <c r="Q160" t="s">
        <v>328</v>
      </c>
    </row>
    <row r="161" spans="1:17" ht="24" customHeight="1" x14ac:dyDescent="0.3">
      <c r="A161" s="26" t="s">
        <v>13</v>
      </c>
      <c r="B161" s="27" t="s">
        <v>101</v>
      </c>
      <c r="C161" s="27">
        <v>23</v>
      </c>
      <c r="D161" s="27" t="s">
        <v>487</v>
      </c>
      <c r="E161" s="27" t="s">
        <v>488</v>
      </c>
      <c r="F161" s="27">
        <v>2.23</v>
      </c>
      <c r="G161" s="27" t="s">
        <v>327</v>
      </c>
      <c r="H161" s="28">
        <v>952000</v>
      </c>
      <c r="I161" s="28">
        <f t="shared" si="20"/>
        <v>2122960</v>
      </c>
      <c r="J161" s="28">
        <v>0</v>
      </c>
      <c r="K161" s="28">
        <f t="shared" si="21"/>
        <v>0</v>
      </c>
      <c r="L161" s="28">
        <v>0</v>
      </c>
      <c r="M161" s="28">
        <f t="shared" si="22"/>
        <v>0</v>
      </c>
      <c r="N161" s="28">
        <f t="shared" si="23"/>
        <v>952000</v>
      </c>
      <c r="O161" s="29">
        <f t="shared" si="24"/>
        <v>2122960</v>
      </c>
      <c r="Q161" t="s">
        <v>489</v>
      </c>
    </row>
    <row r="162" spans="1:17" ht="24" customHeight="1" x14ac:dyDescent="0.3">
      <c r="A162" s="30" t="s">
        <v>13</v>
      </c>
      <c r="B162" s="31" t="s">
        <v>101</v>
      </c>
      <c r="C162" s="31"/>
      <c r="D162" s="31" t="s">
        <v>490</v>
      </c>
      <c r="E162" s="31"/>
      <c r="F162" s="31"/>
      <c r="G162" s="31"/>
      <c r="H162" s="31"/>
      <c r="I162" s="32">
        <f>SUM(I139:I161)</f>
        <v>117364047.664</v>
      </c>
      <c r="J162" s="31"/>
      <c r="K162" s="32">
        <f>SUM(K139:K161)</f>
        <v>241305674.84600002</v>
      </c>
      <c r="L162" s="31"/>
      <c r="M162" s="32">
        <f>SUM(M139:M161)</f>
        <v>6339993</v>
      </c>
      <c r="N162" s="31"/>
      <c r="O162" s="33">
        <f>SUM(O139:O161)</f>
        <v>365009715.50999999</v>
      </c>
      <c r="P162" s="10"/>
      <c r="Q162" s="10" t="s">
        <v>491</v>
      </c>
    </row>
    <row r="163" spans="1:17" ht="24" customHeight="1" x14ac:dyDescent="0.3">
      <c r="A163" s="26" t="s">
        <v>13</v>
      </c>
      <c r="B163" s="27" t="s">
        <v>102</v>
      </c>
      <c r="C163" s="27">
        <v>1</v>
      </c>
      <c r="D163" s="27" t="s">
        <v>492</v>
      </c>
      <c r="E163" s="27" t="s">
        <v>493</v>
      </c>
      <c r="F163" s="27">
        <v>19</v>
      </c>
      <c r="G163" s="27" t="s">
        <v>171</v>
      </c>
      <c r="H163" s="28">
        <v>0</v>
      </c>
      <c r="I163" s="28">
        <f>F163*H163</f>
        <v>0</v>
      </c>
      <c r="J163" s="28">
        <v>33455</v>
      </c>
      <c r="K163" s="28">
        <f>F163*J163</f>
        <v>635645</v>
      </c>
      <c r="L163" s="28">
        <v>0</v>
      </c>
      <c r="M163" s="28">
        <f>F163*L163</f>
        <v>0</v>
      </c>
      <c r="N163" s="28">
        <f t="shared" ref="N163:O165" si="25">H163+J163+L163</f>
        <v>33455</v>
      </c>
      <c r="O163" s="29">
        <f t="shared" si="25"/>
        <v>635645</v>
      </c>
      <c r="Q163" t="s">
        <v>172</v>
      </c>
    </row>
    <row r="164" spans="1:17" ht="24" customHeight="1" x14ac:dyDescent="0.3">
      <c r="A164" s="26" t="s">
        <v>13</v>
      </c>
      <c r="B164" s="27" t="s">
        <v>102</v>
      </c>
      <c r="C164" s="27">
        <v>2</v>
      </c>
      <c r="D164" s="27" t="s">
        <v>217</v>
      </c>
      <c r="E164" s="27" t="s">
        <v>493</v>
      </c>
      <c r="F164" s="27">
        <v>14</v>
      </c>
      <c r="G164" s="27" t="s">
        <v>171</v>
      </c>
      <c r="H164" s="28">
        <v>608</v>
      </c>
      <c r="I164" s="28">
        <f>F164*H164</f>
        <v>8512</v>
      </c>
      <c r="J164" s="28">
        <v>9980</v>
      </c>
      <c r="K164" s="28">
        <f>F164*J164</f>
        <v>139720</v>
      </c>
      <c r="L164" s="28">
        <v>440</v>
      </c>
      <c r="M164" s="28">
        <f>F164*L164</f>
        <v>6160</v>
      </c>
      <c r="N164" s="28">
        <f t="shared" si="25"/>
        <v>11028</v>
      </c>
      <c r="O164" s="29">
        <f t="shared" si="25"/>
        <v>154392</v>
      </c>
      <c r="Q164" t="s">
        <v>217</v>
      </c>
    </row>
    <row r="165" spans="1:17" ht="24" customHeight="1" x14ac:dyDescent="0.3">
      <c r="A165" s="26" t="s">
        <v>13</v>
      </c>
      <c r="B165" s="27" t="s">
        <v>102</v>
      </c>
      <c r="C165" s="27">
        <v>3</v>
      </c>
      <c r="D165" s="27" t="s">
        <v>218</v>
      </c>
      <c r="E165" s="27" t="s">
        <v>494</v>
      </c>
      <c r="F165" s="27">
        <v>5</v>
      </c>
      <c r="G165" s="27" t="s">
        <v>171</v>
      </c>
      <c r="H165" s="28">
        <v>447</v>
      </c>
      <c r="I165" s="28">
        <f>F165*H165</f>
        <v>2235</v>
      </c>
      <c r="J165" s="28">
        <v>955</v>
      </c>
      <c r="K165" s="28">
        <f>F165*J165</f>
        <v>4775</v>
      </c>
      <c r="L165" s="28">
        <v>336</v>
      </c>
      <c r="M165" s="28">
        <f>F165*L165</f>
        <v>1680</v>
      </c>
      <c r="N165" s="28">
        <f t="shared" si="25"/>
        <v>1738</v>
      </c>
      <c r="O165" s="29">
        <f t="shared" si="25"/>
        <v>8690</v>
      </c>
      <c r="Q165" t="s">
        <v>172</v>
      </c>
    </row>
    <row r="166" spans="1:17" ht="24" customHeight="1" x14ac:dyDescent="0.3">
      <c r="A166" s="30" t="s">
        <v>13</v>
      </c>
      <c r="B166" s="31" t="s">
        <v>102</v>
      </c>
      <c r="C166" s="31"/>
      <c r="D166" s="31" t="s">
        <v>495</v>
      </c>
      <c r="E166" s="31"/>
      <c r="F166" s="31"/>
      <c r="G166" s="31"/>
      <c r="H166" s="31"/>
      <c r="I166" s="32">
        <f>SUM(I163:I165)</f>
        <v>10747</v>
      </c>
      <c r="J166" s="31"/>
      <c r="K166" s="32">
        <f>SUM(K163:K165)</f>
        <v>780140</v>
      </c>
      <c r="L166" s="31"/>
      <c r="M166" s="32">
        <f>SUM(M163:M165)</f>
        <v>7840</v>
      </c>
      <c r="N166" s="31"/>
      <c r="O166" s="33">
        <f>SUM(O163:O165)</f>
        <v>798727</v>
      </c>
      <c r="P166" s="10"/>
      <c r="Q166" s="10" t="s">
        <v>496</v>
      </c>
    </row>
    <row r="167" spans="1:17" ht="24" customHeight="1" x14ac:dyDescent="0.3">
      <c r="A167" s="26" t="s">
        <v>13</v>
      </c>
      <c r="B167" s="27" t="s">
        <v>103</v>
      </c>
      <c r="C167" s="27">
        <v>1</v>
      </c>
      <c r="D167" s="27" t="s">
        <v>497</v>
      </c>
      <c r="E167" s="27"/>
      <c r="F167" s="27">
        <v>1</v>
      </c>
      <c r="G167" s="27" t="s">
        <v>158</v>
      </c>
      <c r="H167" s="27"/>
      <c r="I167" s="28">
        <f>F167*H167</f>
        <v>0</v>
      </c>
      <c r="J167" s="27"/>
      <c r="K167" s="28">
        <f>F167*J167</f>
        <v>0</v>
      </c>
      <c r="L167" s="27">
        <v>2500000</v>
      </c>
      <c r="M167" s="28">
        <f>F167*L167</f>
        <v>2500000</v>
      </c>
      <c r="N167" s="28">
        <f t="shared" ref="N167:O169" si="26">H167+J167+L167</f>
        <v>2500000</v>
      </c>
      <c r="O167" s="29">
        <f t="shared" si="26"/>
        <v>2500000</v>
      </c>
      <c r="P167" t="s">
        <v>247</v>
      </c>
      <c r="Q167" t="s">
        <v>497</v>
      </c>
    </row>
    <row r="168" spans="1:17" ht="24" customHeight="1" x14ac:dyDescent="0.3">
      <c r="A168" s="26" t="s">
        <v>13</v>
      </c>
      <c r="B168" s="27" t="s">
        <v>103</v>
      </c>
      <c r="C168" s="27">
        <v>2</v>
      </c>
      <c r="D168" s="27" t="s">
        <v>498</v>
      </c>
      <c r="E168" s="27"/>
      <c r="F168" s="27">
        <v>1</v>
      </c>
      <c r="G168" s="27" t="s">
        <v>158</v>
      </c>
      <c r="H168" s="27"/>
      <c r="I168" s="28">
        <f>F168*H168</f>
        <v>0</v>
      </c>
      <c r="J168" s="27"/>
      <c r="K168" s="28">
        <f>F168*J168</f>
        <v>0</v>
      </c>
      <c r="L168" s="27">
        <v>2500000</v>
      </c>
      <c r="M168" s="28">
        <f>F168*L168</f>
        <v>2500000</v>
      </c>
      <c r="N168" s="28">
        <f t="shared" si="26"/>
        <v>2500000</v>
      </c>
      <c r="O168" s="29">
        <f t="shared" si="26"/>
        <v>2500000</v>
      </c>
      <c r="P168" t="s">
        <v>247</v>
      </c>
      <c r="Q168" t="s">
        <v>499</v>
      </c>
    </row>
    <row r="169" spans="1:17" ht="24" customHeight="1" x14ac:dyDescent="0.3">
      <c r="A169" s="26" t="s">
        <v>13</v>
      </c>
      <c r="B169" s="27" t="s">
        <v>103</v>
      </c>
      <c r="C169" s="27">
        <v>3</v>
      </c>
      <c r="D169" s="27" t="s">
        <v>500</v>
      </c>
      <c r="E169" s="27"/>
      <c r="F169" s="27">
        <v>1</v>
      </c>
      <c r="G169" s="27" t="s">
        <v>158</v>
      </c>
      <c r="H169" s="27"/>
      <c r="I169" s="28">
        <f>F169*H169</f>
        <v>0</v>
      </c>
      <c r="J169" s="27"/>
      <c r="K169" s="28">
        <f>F169*J169</f>
        <v>0</v>
      </c>
      <c r="L169" s="27">
        <v>2500000</v>
      </c>
      <c r="M169" s="28">
        <f>F169*L169</f>
        <v>2500000</v>
      </c>
      <c r="N169" s="28">
        <f t="shared" si="26"/>
        <v>2500000</v>
      </c>
      <c r="O169" s="29">
        <f t="shared" si="26"/>
        <v>2500000</v>
      </c>
      <c r="P169" t="s">
        <v>247</v>
      </c>
      <c r="Q169" t="s">
        <v>500</v>
      </c>
    </row>
    <row r="170" spans="1:17" ht="24" customHeight="1" x14ac:dyDescent="0.3">
      <c r="A170" s="30" t="s">
        <v>13</v>
      </c>
      <c r="B170" s="31" t="s">
        <v>103</v>
      </c>
      <c r="C170" s="31"/>
      <c r="D170" s="31" t="s">
        <v>501</v>
      </c>
      <c r="E170" s="31"/>
      <c r="F170" s="31"/>
      <c r="G170" s="31"/>
      <c r="H170" s="31"/>
      <c r="I170" s="32">
        <f>SUM(I167:I169)</f>
        <v>0</v>
      </c>
      <c r="J170" s="31"/>
      <c r="K170" s="32">
        <f>SUM(K167:K169)</f>
        <v>0</v>
      </c>
      <c r="L170" s="31"/>
      <c r="M170" s="32">
        <f>SUM(M167:M169)</f>
        <v>7500000</v>
      </c>
      <c r="N170" s="31"/>
      <c r="O170" s="33">
        <f>SUM(O167:O169)</f>
        <v>7500000</v>
      </c>
      <c r="P170" s="10"/>
      <c r="Q170" s="10" t="s">
        <v>496</v>
      </c>
    </row>
    <row r="171" spans="1:17" ht="24" customHeight="1" x14ac:dyDescent="0.3">
      <c r="A171" s="26" t="s">
        <v>13</v>
      </c>
      <c r="B171" s="27" t="s">
        <v>104</v>
      </c>
      <c r="C171" s="27">
        <v>1</v>
      </c>
      <c r="D171" s="27" t="s">
        <v>502</v>
      </c>
      <c r="E171" s="27"/>
      <c r="F171" s="27">
        <v>1</v>
      </c>
      <c r="G171" s="27" t="s">
        <v>503</v>
      </c>
      <c r="H171" s="27"/>
      <c r="I171" s="28">
        <f>F171*H171</f>
        <v>0</v>
      </c>
      <c r="J171" s="27"/>
      <c r="K171" s="28">
        <f>F171*J171</f>
        <v>0</v>
      </c>
      <c r="L171" s="27"/>
      <c r="M171" s="28">
        <f>F171*L171</f>
        <v>0</v>
      </c>
      <c r="N171" s="28">
        <f>H171+J171+L171</f>
        <v>0</v>
      </c>
      <c r="O171" s="29">
        <f>I171+K171+M171</f>
        <v>0</v>
      </c>
      <c r="P171" t="s">
        <v>159</v>
      </c>
      <c r="Q171" t="s">
        <v>502</v>
      </c>
    </row>
    <row r="172" spans="1:17" ht="24" customHeight="1" x14ac:dyDescent="0.3">
      <c r="A172" s="30" t="s">
        <v>13</v>
      </c>
      <c r="B172" s="31" t="s">
        <v>104</v>
      </c>
      <c r="C172" s="31"/>
      <c r="D172" s="31" t="s">
        <v>504</v>
      </c>
      <c r="E172" s="31"/>
      <c r="F172" s="31"/>
      <c r="G172" s="31"/>
      <c r="H172" s="31"/>
      <c r="I172" s="32">
        <f>SUM(I171:I171)</f>
        <v>0</v>
      </c>
      <c r="J172" s="31"/>
      <c r="K172" s="32">
        <f>SUM(K171:K171)</f>
        <v>0</v>
      </c>
      <c r="L172" s="31"/>
      <c r="M172" s="32">
        <f>SUM(M171:M171)</f>
        <v>0</v>
      </c>
      <c r="N172" s="31"/>
      <c r="O172" s="33">
        <f>SUM(O171:O171)</f>
        <v>0</v>
      </c>
      <c r="P172" s="10"/>
      <c r="Q172" s="10" t="s">
        <v>162</v>
      </c>
    </row>
    <row r="173" spans="1:17" ht="24" customHeight="1" x14ac:dyDescent="0.3">
      <c r="A173" s="35"/>
      <c r="B173" s="36"/>
      <c r="C173" s="36"/>
      <c r="D173" s="36" t="s">
        <v>505</v>
      </c>
      <c r="E173" s="36"/>
      <c r="F173" s="36"/>
      <c r="G173" s="36"/>
      <c r="H173" s="36"/>
      <c r="I173" s="37">
        <f>SUMIF(C18:C172,"&lt;&gt;",I18:I172)</f>
        <v>539443404.5</v>
      </c>
      <c r="J173" s="36"/>
      <c r="K173" s="37">
        <f>SUMIF(C18:C172,"&lt;&gt;",K18:K172)</f>
        <v>549243149.125</v>
      </c>
      <c r="L173" s="36"/>
      <c r="M173" s="37">
        <f>SUMIF(C18:C172,"&lt;&gt;",M18:M172)</f>
        <v>111494670</v>
      </c>
      <c r="N173" s="36"/>
      <c r="O173" s="38">
        <f>SUMIF(C18:C172,"&lt;&gt;",O18:O172)</f>
        <v>1200181223.625</v>
      </c>
      <c r="P173" s="3"/>
      <c r="Q173" s="3" t="s">
        <v>506</v>
      </c>
    </row>
  </sheetData>
  <mergeCells count="1">
    <mergeCell ref="A1:O1"/>
  </mergeCells>
  <phoneticPr fontId="3" type="noConversion"/>
  <pageMargins left="0.39370078740157483" right="0.39370078740157483" top="0.59055118110236227" bottom="0.39370078740157483" header="0.51181102362204722" footer="0.51181102362204722"/>
  <pageSetup paperSize="9" scale="43" orientation="landscape" r:id="rId1"/>
  <colBreaks count="1" manualBreakCount="1">
    <brk id="1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80"/>
  <sheetViews>
    <sheetView view="pageBreakPreview" zoomScale="60" zoomScaleNormal="100" workbookViewId="0">
      <pane ySplit="18" topLeftCell="A149" activePane="bottomLeft" state="frozen"/>
      <selection activeCell="B3" sqref="B3"/>
      <selection pane="bottomLeft" activeCell="E188" sqref="E188"/>
    </sheetView>
  </sheetViews>
  <sheetFormatPr defaultRowHeight="16.5" x14ac:dyDescent="0.3"/>
  <cols>
    <col min="1" max="1" width="25.75" bestFit="1" customWidth="1"/>
    <col min="2" max="3" width="23" bestFit="1" customWidth="1"/>
    <col min="4" max="4" width="49.125" bestFit="1" customWidth="1"/>
    <col min="5" max="5" width="40.125" bestFit="1" customWidth="1"/>
    <col min="6" max="6" width="8.625" bestFit="1" customWidth="1"/>
    <col min="7" max="7" width="11.875" bestFit="1" customWidth="1"/>
    <col min="8" max="11" width="13.125" bestFit="1" customWidth="1"/>
    <col min="12" max="12" width="9.875" bestFit="1" customWidth="1"/>
    <col min="13" max="13" width="11.875" bestFit="1" customWidth="1"/>
    <col min="14" max="14" width="10.5" bestFit="1" customWidth="1"/>
    <col min="15" max="15" width="13.125" bestFit="1" customWidth="1"/>
    <col min="16" max="16" width="8" bestFit="1" customWidth="1"/>
    <col min="17" max="17" width="30" bestFit="1" customWidth="1"/>
  </cols>
  <sheetData>
    <row r="1" spans="1:11" ht="24" customHeight="1" x14ac:dyDescent="0.35">
      <c r="A1" s="60" t="s">
        <v>507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1" ht="24" customHeight="1" x14ac:dyDescent="0.3"/>
    <row r="3" spans="1:11" ht="24" customHeight="1" x14ac:dyDescent="0.3">
      <c r="A3" s="1" t="s">
        <v>4</v>
      </c>
      <c r="B3" s="1" t="s">
        <v>5</v>
      </c>
      <c r="C3" s="1" t="s">
        <v>92</v>
      </c>
      <c r="D3" s="1" t="s">
        <v>93</v>
      </c>
      <c r="E3" s="1" t="s">
        <v>94</v>
      </c>
      <c r="F3" s="1" t="s">
        <v>95</v>
      </c>
      <c r="G3" s="1" t="s">
        <v>6</v>
      </c>
      <c r="H3" s="1" t="s">
        <v>7</v>
      </c>
      <c r="I3" s="1" t="s">
        <v>8</v>
      </c>
      <c r="J3" s="1" t="s">
        <v>28</v>
      </c>
      <c r="K3" s="1" t="s">
        <v>96</v>
      </c>
    </row>
    <row r="4" spans="1:11" ht="24" customHeight="1" x14ac:dyDescent="0.3">
      <c r="A4" t="s">
        <v>15</v>
      </c>
      <c r="B4" t="s">
        <v>16</v>
      </c>
      <c r="C4" t="s">
        <v>97</v>
      </c>
      <c r="D4">
        <v>0</v>
      </c>
      <c r="E4">
        <v>1</v>
      </c>
      <c r="F4" s="8">
        <v>0</v>
      </c>
      <c r="G4" s="2">
        <v>0</v>
      </c>
      <c r="H4" s="2">
        <v>0</v>
      </c>
      <c r="I4" s="2">
        <v>0</v>
      </c>
      <c r="J4" s="2">
        <v>0</v>
      </c>
      <c r="K4" s="9">
        <v>0</v>
      </c>
    </row>
    <row r="5" spans="1:11" ht="24" customHeight="1" x14ac:dyDescent="0.3">
      <c r="A5" t="s">
        <v>15</v>
      </c>
      <c r="B5" t="s">
        <v>16</v>
      </c>
      <c r="C5" t="s">
        <v>98</v>
      </c>
      <c r="D5">
        <v>19</v>
      </c>
      <c r="E5">
        <v>19</v>
      </c>
      <c r="F5" s="8">
        <v>1</v>
      </c>
      <c r="G5" s="2">
        <v>20465208</v>
      </c>
      <c r="H5" s="2">
        <v>65102573</v>
      </c>
      <c r="I5" s="2">
        <v>25173284</v>
      </c>
      <c r="J5" s="2">
        <v>110741065</v>
      </c>
      <c r="K5" s="9">
        <v>1.1074106500000001</v>
      </c>
    </row>
    <row r="6" spans="1:11" ht="24" customHeight="1" x14ac:dyDescent="0.3">
      <c r="A6" t="s">
        <v>15</v>
      </c>
      <c r="B6" t="s">
        <v>16</v>
      </c>
      <c r="C6" t="s">
        <v>99</v>
      </c>
      <c r="D6">
        <v>26</v>
      </c>
      <c r="E6">
        <v>28</v>
      </c>
      <c r="F6" s="8">
        <v>0.9285714285714286</v>
      </c>
      <c r="G6" s="2">
        <v>11851285</v>
      </c>
      <c r="H6" s="2">
        <v>79191767</v>
      </c>
      <c r="I6" s="2">
        <v>8862011</v>
      </c>
      <c r="J6" s="2">
        <v>99905063</v>
      </c>
      <c r="K6" s="9">
        <v>0.99905063000000005</v>
      </c>
    </row>
    <row r="7" spans="1:11" ht="24" customHeight="1" x14ac:dyDescent="0.3">
      <c r="A7" t="s">
        <v>15</v>
      </c>
      <c r="B7" t="s">
        <v>16</v>
      </c>
      <c r="C7" t="s">
        <v>107</v>
      </c>
      <c r="D7">
        <v>17</v>
      </c>
      <c r="E7">
        <v>19</v>
      </c>
      <c r="F7" s="8">
        <v>0.89473684210526316</v>
      </c>
      <c r="G7" s="2">
        <v>885328</v>
      </c>
      <c r="H7" s="2">
        <v>20516305</v>
      </c>
      <c r="I7" s="2">
        <v>467412</v>
      </c>
      <c r="J7" s="2">
        <v>21869045</v>
      </c>
      <c r="K7" s="9">
        <v>0.21869045000000001</v>
      </c>
    </row>
    <row r="8" spans="1:11" ht="24" customHeight="1" x14ac:dyDescent="0.3">
      <c r="A8" t="s">
        <v>15</v>
      </c>
      <c r="B8" t="s">
        <v>16</v>
      </c>
      <c r="C8" t="s">
        <v>108</v>
      </c>
      <c r="D8">
        <v>50</v>
      </c>
      <c r="E8">
        <v>56</v>
      </c>
      <c r="F8" s="8">
        <v>0.8928571428571429</v>
      </c>
      <c r="G8" s="2">
        <v>16880940</v>
      </c>
      <c r="H8" s="2">
        <v>108358542</v>
      </c>
      <c r="I8" s="2">
        <v>9375195</v>
      </c>
      <c r="J8" s="2">
        <v>134614677</v>
      </c>
      <c r="K8" s="9">
        <v>1.34614677</v>
      </c>
    </row>
    <row r="9" spans="1:11" ht="24" customHeight="1" x14ac:dyDescent="0.3">
      <c r="A9" t="s">
        <v>15</v>
      </c>
      <c r="B9" t="s">
        <v>16</v>
      </c>
      <c r="C9" t="s">
        <v>109</v>
      </c>
      <c r="D9">
        <v>20</v>
      </c>
      <c r="E9">
        <v>22</v>
      </c>
      <c r="F9" s="8">
        <v>0.90909090909090906</v>
      </c>
      <c r="G9" s="2">
        <v>34341715.640000001</v>
      </c>
      <c r="H9" s="2">
        <v>127794012.20999999</v>
      </c>
      <c r="I9" s="2">
        <v>2289132</v>
      </c>
      <c r="J9" s="2">
        <v>164424859.84999999</v>
      </c>
      <c r="K9" s="9">
        <v>1.6442485984999999</v>
      </c>
    </row>
    <row r="10" spans="1:11" ht="24" customHeight="1" x14ac:dyDescent="0.3">
      <c r="A10" t="s">
        <v>15</v>
      </c>
      <c r="B10" t="s">
        <v>16</v>
      </c>
      <c r="C10" t="s">
        <v>110</v>
      </c>
      <c r="D10">
        <v>3</v>
      </c>
      <c r="E10">
        <v>3</v>
      </c>
      <c r="F10" s="8">
        <v>1</v>
      </c>
      <c r="G10" s="2">
        <v>10747</v>
      </c>
      <c r="H10" s="2">
        <v>780140</v>
      </c>
      <c r="I10" s="2">
        <v>7840</v>
      </c>
      <c r="J10" s="2">
        <v>798727</v>
      </c>
      <c r="K10" s="9">
        <v>7.9872699999999994E-3</v>
      </c>
    </row>
    <row r="11" spans="1:11" ht="24" customHeight="1" x14ac:dyDescent="0.3">
      <c r="A11" t="s">
        <v>15</v>
      </c>
      <c r="B11" t="s">
        <v>16</v>
      </c>
      <c r="C11" t="s">
        <v>103</v>
      </c>
      <c r="D11">
        <v>0</v>
      </c>
      <c r="E11">
        <v>3</v>
      </c>
      <c r="F11" s="8">
        <v>0</v>
      </c>
      <c r="G11" s="2">
        <v>0</v>
      </c>
      <c r="H11" s="2">
        <v>0</v>
      </c>
      <c r="I11" s="2">
        <v>0</v>
      </c>
      <c r="J11" s="2">
        <v>0</v>
      </c>
      <c r="K11" s="9">
        <v>0</v>
      </c>
    </row>
    <row r="12" spans="1:11" ht="24" customHeight="1" x14ac:dyDescent="0.3">
      <c r="A12" t="s">
        <v>15</v>
      </c>
      <c r="B12" t="s">
        <v>16</v>
      </c>
      <c r="C12" t="s">
        <v>104</v>
      </c>
      <c r="D12">
        <v>0</v>
      </c>
      <c r="E12">
        <v>1</v>
      </c>
      <c r="F12" s="8">
        <v>0</v>
      </c>
      <c r="G12" s="2">
        <v>0</v>
      </c>
      <c r="H12" s="2">
        <v>0</v>
      </c>
      <c r="I12" s="2">
        <v>0</v>
      </c>
      <c r="J12" s="2">
        <v>0</v>
      </c>
      <c r="K12" s="9">
        <v>0</v>
      </c>
    </row>
    <row r="13" spans="1:11" ht="24" customHeight="1" x14ac:dyDescent="0.3">
      <c r="A13" s="10" t="s">
        <v>15</v>
      </c>
      <c r="B13" s="10" t="s">
        <v>16</v>
      </c>
      <c r="C13" s="10" t="s">
        <v>111</v>
      </c>
      <c r="D13" s="10">
        <v>135</v>
      </c>
      <c r="E13" s="10">
        <v>152</v>
      </c>
      <c r="F13" s="18">
        <v>0.88815789473684215</v>
      </c>
      <c r="G13" s="11">
        <v>84435223.640000001</v>
      </c>
      <c r="H13" s="11">
        <v>401743339.20999998</v>
      </c>
      <c r="I13" s="11">
        <v>46174874</v>
      </c>
      <c r="J13" s="11">
        <v>532353436.85000002</v>
      </c>
      <c r="K13" s="12">
        <v>5.3235343684999998</v>
      </c>
    </row>
    <row r="14" spans="1:11" ht="24" customHeight="1" x14ac:dyDescent="0.3">
      <c r="A14" s="3"/>
      <c r="B14" s="3" t="s">
        <v>14</v>
      </c>
      <c r="C14" s="3" t="s">
        <v>508</v>
      </c>
      <c r="D14" s="3">
        <v>135</v>
      </c>
      <c r="E14" s="3">
        <v>152</v>
      </c>
      <c r="F14" s="16">
        <v>0.88815789473684215</v>
      </c>
      <c r="G14" s="4">
        <v>84435223.640000001</v>
      </c>
      <c r="H14" s="4">
        <v>401743339.20999998</v>
      </c>
      <c r="I14" s="4">
        <v>46174874</v>
      </c>
      <c r="J14" s="4">
        <v>532353436.85000002</v>
      </c>
      <c r="K14" s="17">
        <v>5.3235343684999998</v>
      </c>
    </row>
    <row r="15" spans="1:11" ht="24" customHeight="1" x14ac:dyDescent="0.3"/>
    <row r="16" spans="1:11" ht="24" customHeight="1" x14ac:dyDescent="0.3">
      <c r="A16" t="s">
        <v>509</v>
      </c>
    </row>
    <row r="17" spans="1:17" ht="24" customHeight="1" x14ac:dyDescent="0.3"/>
    <row r="18" spans="1:17" ht="24" customHeight="1" x14ac:dyDescent="0.3">
      <c r="A18" s="1" t="s">
        <v>5</v>
      </c>
      <c r="B18" s="1" t="s">
        <v>92</v>
      </c>
      <c r="C18" s="1" t="s">
        <v>4</v>
      </c>
      <c r="D18" s="1" t="s">
        <v>144</v>
      </c>
      <c r="E18" s="1" t="s">
        <v>145</v>
      </c>
      <c r="F18" s="1" t="s">
        <v>146</v>
      </c>
      <c r="G18" s="1" t="s">
        <v>147</v>
      </c>
      <c r="H18" s="1" t="s">
        <v>148</v>
      </c>
      <c r="I18" s="1" t="s">
        <v>149</v>
      </c>
      <c r="J18" s="1" t="s">
        <v>150</v>
      </c>
      <c r="K18" s="1" t="s">
        <v>151</v>
      </c>
      <c r="L18" s="1" t="s">
        <v>152</v>
      </c>
      <c r="M18" s="1" t="s">
        <v>153</v>
      </c>
      <c r="N18" s="1" t="s">
        <v>154</v>
      </c>
      <c r="O18" s="1" t="s">
        <v>155</v>
      </c>
      <c r="P18" s="1" t="s">
        <v>156</v>
      </c>
      <c r="Q18" s="1" t="s">
        <v>10</v>
      </c>
    </row>
    <row r="19" spans="1:17" ht="24" customHeight="1" x14ac:dyDescent="0.3">
      <c r="A19" t="s">
        <v>16</v>
      </c>
      <c r="B19" t="s">
        <v>97</v>
      </c>
      <c r="C19">
        <v>1</v>
      </c>
      <c r="D19" t="s">
        <v>157</v>
      </c>
      <c r="F19">
        <v>1</v>
      </c>
      <c r="G19" t="s">
        <v>158</v>
      </c>
      <c r="I19" s="2">
        <f>F19*H19</f>
        <v>0</v>
      </c>
      <c r="K19" s="2">
        <f>F19*J19</f>
        <v>0</v>
      </c>
      <c r="M19" s="2">
        <f>F19*L19</f>
        <v>0</v>
      </c>
      <c r="N19" s="2">
        <f>H19+J19+L19</f>
        <v>0</v>
      </c>
      <c r="O19" s="2">
        <f>I19+K19+M19</f>
        <v>0</v>
      </c>
      <c r="P19" t="s">
        <v>159</v>
      </c>
      <c r="Q19" t="s">
        <v>160</v>
      </c>
    </row>
    <row r="20" spans="1:17" ht="24" customHeight="1" x14ac:dyDescent="0.3">
      <c r="A20" s="10" t="s">
        <v>16</v>
      </c>
      <c r="B20" s="10" t="s">
        <v>97</v>
      </c>
      <c r="C20" s="10"/>
      <c r="D20" s="10" t="s">
        <v>161</v>
      </c>
      <c r="E20" s="10"/>
      <c r="F20" s="10"/>
      <c r="G20" s="10"/>
      <c r="H20" s="10"/>
      <c r="I20" s="11">
        <f>SUM(I19:I19)</f>
        <v>0</v>
      </c>
      <c r="J20" s="10"/>
      <c r="K20" s="11">
        <f>SUM(K19:K19)</f>
        <v>0</v>
      </c>
      <c r="L20" s="10"/>
      <c r="M20" s="11">
        <f>SUM(M19:M19)</f>
        <v>0</v>
      </c>
      <c r="N20" s="10"/>
      <c r="O20" s="11">
        <f>SUM(O19:O19)</f>
        <v>0</v>
      </c>
      <c r="P20" s="10"/>
      <c r="Q20" s="10" t="s">
        <v>162</v>
      </c>
    </row>
    <row r="21" spans="1:17" ht="24" customHeight="1" x14ac:dyDescent="0.3">
      <c r="A21" t="s">
        <v>16</v>
      </c>
      <c r="B21" t="s">
        <v>98</v>
      </c>
      <c r="C21">
        <v>1</v>
      </c>
      <c r="D21" t="s">
        <v>163</v>
      </c>
      <c r="E21" t="s">
        <v>164</v>
      </c>
      <c r="F21">
        <v>1418</v>
      </c>
      <c r="G21" t="s">
        <v>165</v>
      </c>
      <c r="H21" s="2">
        <v>193</v>
      </c>
      <c r="I21" s="2">
        <f t="shared" ref="I21:I39" si="0">F21*H21</f>
        <v>273674</v>
      </c>
      <c r="J21" s="2">
        <v>445</v>
      </c>
      <c r="K21" s="2">
        <f t="shared" ref="K21:K39" si="1">F21*J21</f>
        <v>631010</v>
      </c>
      <c r="L21" s="2">
        <v>216</v>
      </c>
      <c r="M21" s="2">
        <f t="shared" ref="M21:M39" si="2">F21*L21</f>
        <v>306288</v>
      </c>
      <c r="N21" s="2">
        <f t="shared" ref="N21:N39" si="3">H21+J21+L21</f>
        <v>854</v>
      </c>
      <c r="O21" s="2">
        <f t="shared" ref="O21:O39" si="4">I21+K21+M21</f>
        <v>1210972</v>
      </c>
      <c r="Q21" t="s">
        <v>163</v>
      </c>
    </row>
    <row r="22" spans="1:17" ht="24" customHeight="1" x14ac:dyDescent="0.3">
      <c r="A22" t="s">
        <v>16</v>
      </c>
      <c r="B22" t="s">
        <v>98</v>
      </c>
      <c r="C22">
        <v>2</v>
      </c>
      <c r="D22" t="s">
        <v>166</v>
      </c>
      <c r="E22" t="s">
        <v>167</v>
      </c>
      <c r="F22">
        <v>1640</v>
      </c>
      <c r="G22" t="s">
        <v>168</v>
      </c>
      <c r="H22" s="2">
        <v>0</v>
      </c>
      <c r="I22" s="2">
        <f t="shared" si="0"/>
        <v>0</v>
      </c>
      <c r="J22" s="2">
        <v>4699</v>
      </c>
      <c r="K22" s="2">
        <f t="shared" si="1"/>
        <v>7706360</v>
      </c>
      <c r="L22" s="2">
        <v>0</v>
      </c>
      <c r="M22" s="2">
        <f t="shared" si="2"/>
        <v>0</v>
      </c>
      <c r="N22" s="2">
        <f t="shared" si="3"/>
        <v>4699</v>
      </c>
      <c r="O22" s="2">
        <f t="shared" si="4"/>
        <v>7706360</v>
      </c>
      <c r="Q22" t="s">
        <v>167</v>
      </c>
    </row>
    <row r="23" spans="1:17" ht="24" customHeight="1" x14ac:dyDescent="0.3">
      <c r="A23" t="s">
        <v>16</v>
      </c>
      <c r="B23" t="s">
        <v>98</v>
      </c>
      <c r="C23">
        <v>3</v>
      </c>
      <c r="D23" t="s">
        <v>169</v>
      </c>
      <c r="E23" t="s">
        <v>170</v>
      </c>
      <c r="F23">
        <v>725</v>
      </c>
      <c r="G23" t="s">
        <v>171</v>
      </c>
      <c r="H23" s="2">
        <v>912</v>
      </c>
      <c r="I23" s="2">
        <f t="shared" si="0"/>
        <v>661200</v>
      </c>
      <c r="J23" s="2">
        <v>1951</v>
      </c>
      <c r="K23" s="2">
        <f t="shared" si="1"/>
        <v>1414475</v>
      </c>
      <c r="L23" s="2">
        <v>685</v>
      </c>
      <c r="M23" s="2">
        <f t="shared" si="2"/>
        <v>496625</v>
      </c>
      <c r="N23" s="2">
        <f t="shared" si="3"/>
        <v>3548</v>
      </c>
      <c r="O23" s="2">
        <f t="shared" si="4"/>
        <v>2572300</v>
      </c>
      <c r="Q23" t="s">
        <v>172</v>
      </c>
    </row>
    <row r="24" spans="1:17" ht="24" customHeight="1" x14ac:dyDescent="0.3">
      <c r="A24" t="s">
        <v>16</v>
      </c>
      <c r="B24" t="s">
        <v>98</v>
      </c>
      <c r="C24">
        <v>4</v>
      </c>
      <c r="D24" t="s">
        <v>173</v>
      </c>
      <c r="E24" t="s">
        <v>174</v>
      </c>
      <c r="F24">
        <v>142</v>
      </c>
      <c r="G24" t="s">
        <v>171</v>
      </c>
      <c r="H24" s="2">
        <v>447</v>
      </c>
      <c r="I24" s="2">
        <f t="shared" si="0"/>
        <v>63474</v>
      </c>
      <c r="J24" s="2">
        <v>955</v>
      </c>
      <c r="K24" s="2">
        <f t="shared" si="1"/>
        <v>135610</v>
      </c>
      <c r="L24" s="2">
        <v>336</v>
      </c>
      <c r="M24" s="2">
        <f t="shared" si="2"/>
        <v>47712</v>
      </c>
      <c r="N24" s="2">
        <f t="shared" si="3"/>
        <v>1738</v>
      </c>
      <c r="O24" s="2">
        <f t="shared" si="4"/>
        <v>246796</v>
      </c>
      <c r="Q24" t="s">
        <v>172</v>
      </c>
    </row>
    <row r="25" spans="1:17" ht="24" customHeight="1" x14ac:dyDescent="0.3">
      <c r="A25" t="s">
        <v>16</v>
      </c>
      <c r="B25" t="s">
        <v>98</v>
      </c>
      <c r="C25">
        <v>5</v>
      </c>
      <c r="D25" t="s">
        <v>175</v>
      </c>
      <c r="E25" t="s">
        <v>176</v>
      </c>
      <c r="F25">
        <v>1710</v>
      </c>
      <c r="G25" t="s">
        <v>171</v>
      </c>
      <c r="H25" s="2">
        <v>887</v>
      </c>
      <c r="I25" s="2">
        <f t="shared" si="0"/>
        <v>1516770</v>
      </c>
      <c r="J25" s="2">
        <v>2394</v>
      </c>
      <c r="K25" s="2">
        <f t="shared" si="1"/>
        <v>4093740</v>
      </c>
      <c r="L25" s="2">
        <v>1107</v>
      </c>
      <c r="M25" s="2">
        <f t="shared" si="2"/>
        <v>1892970</v>
      </c>
      <c r="N25" s="2">
        <f t="shared" si="3"/>
        <v>4388</v>
      </c>
      <c r="O25" s="2">
        <f t="shared" si="4"/>
        <v>7503480</v>
      </c>
      <c r="Q25" t="s">
        <v>175</v>
      </c>
    </row>
    <row r="26" spans="1:17" ht="24" customHeight="1" x14ac:dyDescent="0.3">
      <c r="A26" t="s">
        <v>16</v>
      </c>
      <c r="B26" t="s">
        <v>98</v>
      </c>
      <c r="C26">
        <v>6</v>
      </c>
      <c r="D26" t="s">
        <v>175</v>
      </c>
      <c r="E26" t="s">
        <v>177</v>
      </c>
      <c r="F26">
        <v>25732</v>
      </c>
      <c r="G26" t="s">
        <v>171</v>
      </c>
      <c r="H26" s="2">
        <v>594</v>
      </c>
      <c r="I26" s="2">
        <f t="shared" si="0"/>
        <v>15284808</v>
      </c>
      <c r="J26" s="2">
        <v>1602</v>
      </c>
      <c r="K26" s="2">
        <f t="shared" si="1"/>
        <v>41222664</v>
      </c>
      <c r="L26" s="2">
        <v>741</v>
      </c>
      <c r="M26" s="2">
        <f t="shared" si="2"/>
        <v>19067412</v>
      </c>
      <c r="N26" s="2">
        <f t="shared" si="3"/>
        <v>2937</v>
      </c>
      <c r="O26" s="2">
        <f t="shared" si="4"/>
        <v>75574884</v>
      </c>
      <c r="Q26" t="s">
        <v>175</v>
      </c>
    </row>
    <row r="27" spans="1:17" ht="24" customHeight="1" x14ac:dyDescent="0.3">
      <c r="A27" t="s">
        <v>16</v>
      </c>
      <c r="B27" t="s">
        <v>98</v>
      </c>
      <c r="C27">
        <v>7</v>
      </c>
      <c r="D27" t="s">
        <v>175</v>
      </c>
      <c r="E27" t="s">
        <v>177</v>
      </c>
      <c r="F27">
        <v>34</v>
      </c>
      <c r="G27" t="s">
        <v>171</v>
      </c>
      <c r="H27" s="2">
        <v>594</v>
      </c>
      <c r="I27" s="2">
        <f t="shared" si="0"/>
        <v>20196</v>
      </c>
      <c r="J27" s="2">
        <v>1602</v>
      </c>
      <c r="K27" s="2">
        <f t="shared" si="1"/>
        <v>54468</v>
      </c>
      <c r="L27" s="2">
        <v>741</v>
      </c>
      <c r="M27" s="2">
        <f t="shared" si="2"/>
        <v>25194</v>
      </c>
      <c r="N27" s="2">
        <f t="shared" si="3"/>
        <v>2937</v>
      </c>
      <c r="O27" s="2">
        <f t="shared" si="4"/>
        <v>99858</v>
      </c>
      <c r="Q27" t="s">
        <v>175</v>
      </c>
    </row>
    <row r="28" spans="1:17" ht="24" customHeight="1" x14ac:dyDescent="0.3">
      <c r="A28" t="s">
        <v>16</v>
      </c>
      <c r="B28" t="s">
        <v>98</v>
      </c>
      <c r="C28">
        <v>8</v>
      </c>
      <c r="D28" t="s">
        <v>178</v>
      </c>
      <c r="F28">
        <v>774</v>
      </c>
      <c r="G28" t="s">
        <v>179</v>
      </c>
      <c r="H28" s="2">
        <v>438</v>
      </c>
      <c r="I28" s="2">
        <f t="shared" si="0"/>
        <v>339012</v>
      </c>
      <c r="J28" s="2">
        <v>728</v>
      </c>
      <c r="K28" s="2">
        <f t="shared" si="1"/>
        <v>563472</v>
      </c>
      <c r="L28" s="2">
        <v>427</v>
      </c>
      <c r="M28" s="2">
        <f t="shared" si="2"/>
        <v>330498</v>
      </c>
      <c r="N28" s="2">
        <f t="shared" si="3"/>
        <v>1593</v>
      </c>
      <c r="O28" s="2">
        <f t="shared" si="4"/>
        <v>1232982</v>
      </c>
      <c r="Q28" t="s">
        <v>178</v>
      </c>
    </row>
    <row r="29" spans="1:17" ht="24" customHeight="1" x14ac:dyDescent="0.3">
      <c r="A29" t="s">
        <v>16</v>
      </c>
      <c r="B29" t="s">
        <v>98</v>
      </c>
      <c r="C29">
        <v>9</v>
      </c>
      <c r="D29" t="s">
        <v>180</v>
      </c>
      <c r="F29">
        <v>1266</v>
      </c>
      <c r="G29" t="s">
        <v>171</v>
      </c>
      <c r="H29" s="2">
        <v>678</v>
      </c>
      <c r="I29" s="2">
        <f t="shared" si="0"/>
        <v>858348</v>
      </c>
      <c r="J29" s="2">
        <v>1818</v>
      </c>
      <c r="K29" s="2">
        <f t="shared" si="1"/>
        <v>2301588</v>
      </c>
      <c r="L29" s="2">
        <v>909</v>
      </c>
      <c r="M29" s="2">
        <f t="shared" si="2"/>
        <v>1150794</v>
      </c>
      <c r="N29" s="2">
        <f t="shared" si="3"/>
        <v>3405</v>
      </c>
      <c r="O29" s="2">
        <f t="shared" si="4"/>
        <v>4310730</v>
      </c>
      <c r="Q29" t="s">
        <v>181</v>
      </c>
    </row>
    <row r="30" spans="1:17" ht="24" customHeight="1" x14ac:dyDescent="0.3">
      <c r="A30" t="s">
        <v>16</v>
      </c>
      <c r="B30" t="s">
        <v>98</v>
      </c>
      <c r="C30">
        <v>10</v>
      </c>
      <c r="D30" t="s">
        <v>182</v>
      </c>
      <c r="E30" t="s">
        <v>510</v>
      </c>
      <c r="F30">
        <v>185</v>
      </c>
      <c r="G30" t="s">
        <v>171</v>
      </c>
      <c r="H30" s="2">
        <v>906</v>
      </c>
      <c r="I30" s="2">
        <f t="shared" si="0"/>
        <v>167610</v>
      </c>
      <c r="J30" s="2">
        <v>1736</v>
      </c>
      <c r="K30" s="2">
        <f t="shared" si="1"/>
        <v>321160</v>
      </c>
      <c r="L30" s="2">
        <v>515</v>
      </c>
      <c r="M30" s="2">
        <f t="shared" si="2"/>
        <v>95275</v>
      </c>
      <c r="N30" s="2">
        <f t="shared" si="3"/>
        <v>3157</v>
      </c>
      <c r="O30" s="2">
        <f t="shared" si="4"/>
        <v>584045</v>
      </c>
      <c r="Q30" t="s">
        <v>172</v>
      </c>
    </row>
    <row r="31" spans="1:17" ht="24" customHeight="1" x14ac:dyDescent="0.3">
      <c r="A31" t="s">
        <v>16</v>
      </c>
      <c r="B31" t="s">
        <v>98</v>
      </c>
      <c r="C31">
        <v>11</v>
      </c>
      <c r="D31" t="s">
        <v>184</v>
      </c>
      <c r="E31" t="s">
        <v>511</v>
      </c>
      <c r="F31">
        <v>136</v>
      </c>
      <c r="G31" t="s">
        <v>171</v>
      </c>
      <c r="H31" s="2">
        <v>873</v>
      </c>
      <c r="I31" s="2">
        <f t="shared" si="0"/>
        <v>118728</v>
      </c>
      <c r="J31" s="2">
        <v>1719</v>
      </c>
      <c r="K31" s="2">
        <f t="shared" si="1"/>
        <v>233784</v>
      </c>
      <c r="L31" s="2">
        <v>653</v>
      </c>
      <c r="M31" s="2">
        <f t="shared" si="2"/>
        <v>88808</v>
      </c>
      <c r="N31" s="2">
        <f t="shared" si="3"/>
        <v>3245</v>
      </c>
      <c r="O31" s="2">
        <f t="shared" si="4"/>
        <v>441320</v>
      </c>
      <c r="Q31" t="s">
        <v>172</v>
      </c>
    </row>
    <row r="32" spans="1:17" ht="24" customHeight="1" x14ac:dyDescent="0.3">
      <c r="A32" t="s">
        <v>16</v>
      </c>
      <c r="B32" t="s">
        <v>98</v>
      </c>
      <c r="C32">
        <v>12</v>
      </c>
      <c r="D32" t="s">
        <v>186</v>
      </c>
      <c r="E32" t="s">
        <v>187</v>
      </c>
      <c r="F32">
        <v>36</v>
      </c>
      <c r="G32" t="s">
        <v>188</v>
      </c>
      <c r="H32" s="2">
        <v>0</v>
      </c>
      <c r="I32" s="2">
        <f t="shared" si="0"/>
        <v>0</v>
      </c>
      <c r="J32" s="2">
        <v>68074</v>
      </c>
      <c r="K32" s="2">
        <f t="shared" si="1"/>
        <v>2450664</v>
      </c>
      <c r="L32" s="2">
        <v>0</v>
      </c>
      <c r="M32" s="2">
        <f t="shared" si="2"/>
        <v>0</v>
      </c>
      <c r="N32" s="2">
        <f t="shared" si="3"/>
        <v>68074</v>
      </c>
      <c r="O32" s="2">
        <f t="shared" si="4"/>
        <v>2450664</v>
      </c>
      <c r="Q32" t="s">
        <v>189</v>
      </c>
    </row>
    <row r="33" spans="1:17" ht="24" customHeight="1" x14ac:dyDescent="0.3">
      <c r="A33" t="s">
        <v>16</v>
      </c>
      <c r="B33" t="s">
        <v>98</v>
      </c>
      <c r="C33">
        <v>13</v>
      </c>
      <c r="D33" t="s">
        <v>190</v>
      </c>
      <c r="E33" t="s">
        <v>191</v>
      </c>
      <c r="F33">
        <v>6</v>
      </c>
      <c r="G33" t="s">
        <v>188</v>
      </c>
      <c r="H33" s="2">
        <v>0</v>
      </c>
      <c r="I33" s="2">
        <f t="shared" si="0"/>
        <v>0</v>
      </c>
      <c r="J33" s="2">
        <v>90391</v>
      </c>
      <c r="K33" s="2">
        <f t="shared" si="1"/>
        <v>542346</v>
      </c>
      <c r="L33" s="2">
        <v>0</v>
      </c>
      <c r="M33" s="2">
        <f t="shared" si="2"/>
        <v>0</v>
      </c>
      <c r="N33" s="2">
        <f t="shared" si="3"/>
        <v>90391</v>
      </c>
      <c r="O33" s="2">
        <f t="shared" si="4"/>
        <v>542346</v>
      </c>
      <c r="Q33" t="s">
        <v>192</v>
      </c>
    </row>
    <row r="34" spans="1:17" ht="24" customHeight="1" x14ac:dyDescent="0.3">
      <c r="A34" t="s">
        <v>16</v>
      </c>
      <c r="B34" t="s">
        <v>98</v>
      </c>
      <c r="C34">
        <v>14</v>
      </c>
      <c r="D34" t="s">
        <v>193</v>
      </c>
      <c r="E34" t="s">
        <v>194</v>
      </c>
      <c r="F34">
        <v>20</v>
      </c>
      <c r="G34" t="s">
        <v>171</v>
      </c>
      <c r="H34" s="2">
        <v>18511</v>
      </c>
      <c r="I34" s="2">
        <f t="shared" si="0"/>
        <v>370220</v>
      </c>
      <c r="J34" s="2">
        <v>70869</v>
      </c>
      <c r="K34" s="2">
        <f t="shared" si="1"/>
        <v>1417380</v>
      </c>
      <c r="L34" s="2">
        <v>33531</v>
      </c>
      <c r="M34" s="2">
        <f t="shared" si="2"/>
        <v>670620</v>
      </c>
      <c r="N34" s="2">
        <f t="shared" si="3"/>
        <v>122911</v>
      </c>
      <c r="O34" s="2">
        <f t="shared" si="4"/>
        <v>2458220</v>
      </c>
      <c r="Q34" t="s">
        <v>195</v>
      </c>
    </row>
    <row r="35" spans="1:17" ht="24" customHeight="1" x14ac:dyDescent="0.3">
      <c r="A35" t="s">
        <v>16</v>
      </c>
      <c r="B35" t="s">
        <v>98</v>
      </c>
      <c r="C35">
        <v>15</v>
      </c>
      <c r="D35" t="s">
        <v>196</v>
      </c>
      <c r="E35" t="s">
        <v>194</v>
      </c>
      <c r="F35">
        <v>10</v>
      </c>
      <c r="G35" t="s">
        <v>171</v>
      </c>
      <c r="H35" s="2">
        <v>5125</v>
      </c>
      <c r="I35" s="2">
        <f t="shared" si="0"/>
        <v>51250</v>
      </c>
      <c r="J35" s="2">
        <v>19126</v>
      </c>
      <c r="K35" s="2">
        <f t="shared" si="1"/>
        <v>191260</v>
      </c>
      <c r="L35" s="2">
        <v>8630</v>
      </c>
      <c r="M35" s="2">
        <f t="shared" si="2"/>
        <v>86300</v>
      </c>
      <c r="N35" s="2">
        <f t="shared" si="3"/>
        <v>32881</v>
      </c>
      <c r="O35" s="2">
        <f t="shared" si="4"/>
        <v>328810</v>
      </c>
      <c r="Q35" t="s">
        <v>197</v>
      </c>
    </row>
    <row r="36" spans="1:17" ht="24" customHeight="1" x14ac:dyDescent="0.3">
      <c r="A36" t="s">
        <v>16</v>
      </c>
      <c r="B36" t="s">
        <v>98</v>
      </c>
      <c r="C36">
        <v>16</v>
      </c>
      <c r="D36" t="s">
        <v>198</v>
      </c>
      <c r="F36">
        <v>30</v>
      </c>
      <c r="G36" t="s">
        <v>199</v>
      </c>
      <c r="H36" s="2">
        <v>1266</v>
      </c>
      <c r="I36" s="2">
        <f t="shared" si="0"/>
        <v>37980</v>
      </c>
      <c r="J36" s="2">
        <v>1229</v>
      </c>
      <c r="K36" s="2">
        <f t="shared" si="1"/>
        <v>36870</v>
      </c>
      <c r="L36" s="2">
        <v>122</v>
      </c>
      <c r="M36" s="2">
        <f t="shared" si="2"/>
        <v>3660</v>
      </c>
      <c r="N36" s="2">
        <f t="shared" si="3"/>
        <v>2617</v>
      </c>
      <c r="O36" s="2">
        <f t="shared" si="4"/>
        <v>78510</v>
      </c>
      <c r="Q36" t="s">
        <v>198</v>
      </c>
    </row>
    <row r="37" spans="1:17" ht="24" customHeight="1" x14ac:dyDescent="0.3">
      <c r="A37" t="s">
        <v>16</v>
      </c>
      <c r="B37" t="s">
        <v>98</v>
      </c>
      <c r="C37">
        <v>17</v>
      </c>
      <c r="D37" t="s">
        <v>512</v>
      </c>
      <c r="E37" t="s">
        <v>202</v>
      </c>
      <c r="F37">
        <v>162</v>
      </c>
      <c r="G37" t="s">
        <v>179</v>
      </c>
      <c r="H37" s="2">
        <v>2730</v>
      </c>
      <c r="I37" s="2">
        <f t="shared" si="0"/>
        <v>442260</v>
      </c>
      <c r="J37" s="2">
        <v>7242</v>
      </c>
      <c r="K37" s="2">
        <f t="shared" si="1"/>
        <v>1173204</v>
      </c>
      <c r="L37" s="2">
        <v>3955</v>
      </c>
      <c r="M37" s="2">
        <f t="shared" si="2"/>
        <v>640710</v>
      </c>
      <c r="N37" s="2">
        <f t="shared" si="3"/>
        <v>13927</v>
      </c>
      <c r="O37" s="2">
        <f t="shared" si="4"/>
        <v>2256174</v>
      </c>
      <c r="Q37" t="s">
        <v>512</v>
      </c>
    </row>
    <row r="38" spans="1:17" ht="24" customHeight="1" x14ac:dyDescent="0.3">
      <c r="A38" t="s">
        <v>16</v>
      </c>
      <c r="B38" t="s">
        <v>98</v>
      </c>
      <c r="C38">
        <v>18</v>
      </c>
      <c r="D38" t="s">
        <v>513</v>
      </c>
      <c r="E38" t="s">
        <v>202</v>
      </c>
      <c r="F38">
        <v>22</v>
      </c>
      <c r="G38" t="s">
        <v>179</v>
      </c>
      <c r="H38" s="2">
        <v>6259</v>
      </c>
      <c r="I38" s="2">
        <f t="shared" si="0"/>
        <v>137698</v>
      </c>
      <c r="J38" s="2">
        <v>18737</v>
      </c>
      <c r="K38" s="2">
        <f t="shared" si="1"/>
        <v>412214</v>
      </c>
      <c r="L38" s="2">
        <v>9072</v>
      </c>
      <c r="M38" s="2">
        <f t="shared" si="2"/>
        <v>199584</v>
      </c>
      <c r="N38" s="2">
        <f t="shared" si="3"/>
        <v>34068</v>
      </c>
      <c r="O38" s="2">
        <f t="shared" si="4"/>
        <v>749496</v>
      </c>
      <c r="Q38" t="s">
        <v>513</v>
      </c>
    </row>
    <row r="39" spans="1:17" ht="24" customHeight="1" x14ac:dyDescent="0.3">
      <c r="A39" t="s">
        <v>16</v>
      </c>
      <c r="B39" t="s">
        <v>98</v>
      </c>
      <c r="C39">
        <v>19</v>
      </c>
      <c r="D39" t="s">
        <v>207</v>
      </c>
      <c r="E39" t="s">
        <v>208</v>
      </c>
      <c r="F39">
        <v>214</v>
      </c>
      <c r="G39" t="s">
        <v>171</v>
      </c>
      <c r="H39" s="2">
        <v>570</v>
      </c>
      <c r="I39" s="2">
        <f t="shared" si="0"/>
        <v>121980</v>
      </c>
      <c r="J39" s="2">
        <v>936</v>
      </c>
      <c r="K39" s="2">
        <f t="shared" si="1"/>
        <v>200304</v>
      </c>
      <c r="L39" s="2">
        <v>331</v>
      </c>
      <c r="M39" s="2">
        <f t="shared" si="2"/>
        <v>70834</v>
      </c>
      <c r="N39" s="2">
        <f t="shared" si="3"/>
        <v>1837</v>
      </c>
      <c r="O39" s="2">
        <f t="shared" si="4"/>
        <v>393118</v>
      </c>
      <c r="Q39" t="s">
        <v>209</v>
      </c>
    </row>
    <row r="40" spans="1:17" ht="24" customHeight="1" x14ac:dyDescent="0.3">
      <c r="A40" s="10" t="s">
        <v>16</v>
      </c>
      <c r="B40" s="10" t="s">
        <v>98</v>
      </c>
      <c r="C40" s="10"/>
      <c r="D40" s="10" t="s">
        <v>210</v>
      </c>
      <c r="E40" s="10"/>
      <c r="F40" s="10"/>
      <c r="G40" s="10"/>
      <c r="H40" s="10"/>
      <c r="I40" s="11">
        <f>SUM(I21:I39)</f>
        <v>20465208</v>
      </c>
      <c r="J40" s="10"/>
      <c r="K40" s="11">
        <f>SUM(K21:K39)</f>
        <v>65102573</v>
      </c>
      <c r="L40" s="10"/>
      <c r="M40" s="11">
        <f>SUM(M21:M39)</f>
        <v>25173284</v>
      </c>
      <c r="N40" s="10"/>
      <c r="O40" s="11">
        <f>SUM(O21:O39)</f>
        <v>110741065</v>
      </c>
      <c r="P40" s="10"/>
      <c r="Q40" s="10" t="s">
        <v>514</v>
      </c>
    </row>
    <row r="41" spans="1:17" ht="24" customHeight="1" x14ac:dyDescent="0.3">
      <c r="A41" t="s">
        <v>16</v>
      </c>
      <c r="B41" t="s">
        <v>99</v>
      </c>
      <c r="C41">
        <v>1</v>
      </c>
      <c r="D41" t="s">
        <v>212</v>
      </c>
      <c r="E41" t="s">
        <v>213</v>
      </c>
      <c r="F41">
        <v>2694</v>
      </c>
      <c r="G41" t="s">
        <v>171</v>
      </c>
      <c r="H41" s="2">
        <v>301</v>
      </c>
      <c r="I41" s="2">
        <f t="shared" ref="I41:I68" si="5">F41*H41</f>
        <v>810894</v>
      </c>
      <c r="J41" s="2">
        <v>4367</v>
      </c>
      <c r="K41" s="2">
        <f t="shared" ref="K41:K68" si="6">F41*J41</f>
        <v>11764698</v>
      </c>
      <c r="L41" s="2">
        <v>417</v>
      </c>
      <c r="M41" s="2">
        <f t="shared" ref="M41:M68" si="7">F41*L41</f>
        <v>1123398</v>
      </c>
      <c r="N41" s="2">
        <f t="shared" ref="N41:N68" si="8">H41+J41+L41</f>
        <v>5085</v>
      </c>
      <c r="O41" s="2">
        <f t="shared" ref="O41:O68" si="9">I41+K41+M41</f>
        <v>13698990</v>
      </c>
      <c r="Q41" t="s">
        <v>214</v>
      </c>
    </row>
    <row r="42" spans="1:17" ht="24" customHeight="1" x14ac:dyDescent="0.3">
      <c r="A42" t="s">
        <v>16</v>
      </c>
      <c r="B42" t="s">
        <v>99</v>
      </c>
      <c r="C42">
        <v>2</v>
      </c>
      <c r="D42" t="s">
        <v>215</v>
      </c>
      <c r="E42" t="s">
        <v>216</v>
      </c>
      <c r="F42">
        <v>2103</v>
      </c>
      <c r="G42" t="s">
        <v>171</v>
      </c>
      <c r="H42" s="2">
        <v>1652</v>
      </c>
      <c r="I42" s="2">
        <f t="shared" si="5"/>
        <v>3474156</v>
      </c>
      <c r="J42" s="2">
        <v>3924</v>
      </c>
      <c r="K42" s="2">
        <f t="shared" si="6"/>
        <v>8252172</v>
      </c>
      <c r="L42" s="2">
        <v>1432</v>
      </c>
      <c r="M42" s="2">
        <f t="shared" si="7"/>
        <v>3011496</v>
      </c>
      <c r="N42" s="2">
        <f t="shared" si="8"/>
        <v>7008</v>
      </c>
      <c r="O42" s="2">
        <f t="shared" si="9"/>
        <v>14737824</v>
      </c>
      <c r="Q42" t="s">
        <v>217</v>
      </c>
    </row>
    <row r="43" spans="1:17" ht="24" customHeight="1" x14ac:dyDescent="0.3">
      <c r="A43" t="s">
        <v>16</v>
      </c>
      <c r="B43" t="s">
        <v>99</v>
      </c>
      <c r="C43">
        <v>3</v>
      </c>
      <c r="D43" t="s">
        <v>218</v>
      </c>
      <c r="E43" t="s">
        <v>219</v>
      </c>
      <c r="F43">
        <v>591</v>
      </c>
      <c r="G43" t="s">
        <v>171</v>
      </c>
      <c r="H43" s="2">
        <v>447</v>
      </c>
      <c r="I43" s="2">
        <f t="shared" si="5"/>
        <v>264177</v>
      </c>
      <c r="J43" s="2">
        <v>955</v>
      </c>
      <c r="K43" s="2">
        <f t="shared" si="6"/>
        <v>564405</v>
      </c>
      <c r="L43" s="2">
        <v>336</v>
      </c>
      <c r="M43" s="2">
        <f t="shared" si="7"/>
        <v>198576</v>
      </c>
      <c r="N43" s="2">
        <f t="shared" si="8"/>
        <v>1738</v>
      </c>
      <c r="O43" s="2">
        <f t="shared" si="9"/>
        <v>1027158</v>
      </c>
      <c r="Q43" t="s">
        <v>219</v>
      </c>
    </row>
    <row r="44" spans="1:17" ht="24" customHeight="1" x14ac:dyDescent="0.3">
      <c r="A44" t="s">
        <v>16</v>
      </c>
      <c r="B44" t="s">
        <v>99</v>
      </c>
      <c r="C44">
        <v>4</v>
      </c>
      <c r="D44" t="s">
        <v>220</v>
      </c>
      <c r="E44" t="s">
        <v>221</v>
      </c>
      <c r="F44">
        <v>107</v>
      </c>
      <c r="G44" t="s">
        <v>199</v>
      </c>
      <c r="H44" s="2">
        <v>2339</v>
      </c>
      <c r="I44" s="2">
        <f t="shared" si="5"/>
        <v>250273</v>
      </c>
      <c r="J44" s="2">
        <v>19375</v>
      </c>
      <c r="K44" s="2">
        <f t="shared" si="6"/>
        <v>2073125</v>
      </c>
      <c r="L44" s="2">
        <v>2505</v>
      </c>
      <c r="M44" s="2">
        <f t="shared" si="7"/>
        <v>268035</v>
      </c>
      <c r="N44" s="2">
        <f t="shared" si="8"/>
        <v>24219</v>
      </c>
      <c r="O44" s="2">
        <f t="shared" si="9"/>
        <v>2591433</v>
      </c>
      <c r="Q44" t="s">
        <v>222</v>
      </c>
    </row>
    <row r="45" spans="1:17" ht="24" customHeight="1" x14ac:dyDescent="0.3">
      <c r="A45" t="s">
        <v>16</v>
      </c>
      <c r="B45" t="s">
        <v>99</v>
      </c>
      <c r="C45">
        <v>5</v>
      </c>
      <c r="D45" t="s">
        <v>223</v>
      </c>
      <c r="E45" t="s">
        <v>224</v>
      </c>
      <c r="F45">
        <v>275</v>
      </c>
      <c r="G45" t="s">
        <v>199</v>
      </c>
      <c r="H45" s="2">
        <v>2339</v>
      </c>
      <c r="I45" s="2">
        <f t="shared" si="5"/>
        <v>643225</v>
      </c>
      <c r="J45" s="2">
        <v>19375</v>
      </c>
      <c r="K45" s="2">
        <f t="shared" si="6"/>
        <v>5328125</v>
      </c>
      <c r="L45" s="2">
        <v>2505</v>
      </c>
      <c r="M45" s="2">
        <f t="shared" si="7"/>
        <v>688875</v>
      </c>
      <c r="N45" s="2">
        <f t="shared" si="8"/>
        <v>24219</v>
      </c>
      <c r="O45" s="2">
        <f t="shared" si="9"/>
        <v>6660225</v>
      </c>
      <c r="Q45" t="s">
        <v>222</v>
      </c>
    </row>
    <row r="46" spans="1:17" ht="24" customHeight="1" x14ac:dyDescent="0.3">
      <c r="A46" t="s">
        <v>16</v>
      </c>
      <c r="B46" t="s">
        <v>99</v>
      </c>
      <c r="C46">
        <v>6</v>
      </c>
      <c r="D46" t="s">
        <v>225</v>
      </c>
      <c r="E46" t="s">
        <v>226</v>
      </c>
      <c r="F46">
        <v>134</v>
      </c>
      <c r="G46" t="s">
        <v>171</v>
      </c>
      <c r="H46" s="2">
        <v>5963</v>
      </c>
      <c r="I46" s="2">
        <f t="shared" si="5"/>
        <v>799042</v>
      </c>
      <c r="J46" s="2">
        <v>50648</v>
      </c>
      <c r="K46" s="2">
        <f t="shared" si="6"/>
        <v>6786832</v>
      </c>
      <c r="L46" s="2">
        <v>6730</v>
      </c>
      <c r="M46" s="2">
        <f t="shared" si="7"/>
        <v>901820</v>
      </c>
      <c r="N46" s="2">
        <f t="shared" si="8"/>
        <v>63341</v>
      </c>
      <c r="O46" s="2">
        <f t="shared" si="9"/>
        <v>8487694</v>
      </c>
      <c r="Q46" t="s">
        <v>227</v>
      </c>
    </row>
    <row r="47" spans="1:17" ht="24" customHeight="1" x14ac:dyDescent="0.3">
      <c r="A47" t="s">
        <v>16</v>
      </c>
      <c r="B47" t="s">
        <v>99</v>
      </c>
      <c r="C47">
        <v>7</v>
      </c>
      <c r="D47" t="s">
        <v>228</v>
      </c>
      <c r="E47" t="s">
        <v>229</v>
      </c>
      <c r="F47">
        <v>508</v>
      </c>
      <c r="G47" t="s">
        <v>168</v>
      </c>
      <c r="H47" s="2">
        <v>378</v>
      </c>
      <c r="I47" s="2">
        <f t="shared" si="5"/>
        <v>192024</v>
      </c>
      <c r="J47" s="2">
        <v>37806</v>
      </c>
      <c r="K47" s="2">
        <f t="shared" si="6"/>
        <v>19205448</v>
      </c>
      <c r="L47" s="2">
        <v>0</v>
      </c>
      <c r="M47" s="2">
        <f t="shared" si="7"/>
        <v>0</v>
      </c>
      <c r="N47" s="2">
        <f t="shared" si="8"/>
        <v>38184</v>
      </c>
      <c r="O47" s="2">
        <f t="shared" si="9"/>
        <v>19397472</v>
      </c>
      <c r="Q47" t="s">
        <v>230</v>
      </c>
    </row>
    <row r="48" spans="1:17" ht="24" customHeight="1" x14ac:dyDescent="0.3">
      <c r="A48" t="s">
        <v>16</v>
      </c>
      <c r="B48" t="s">
        <v>99</v>
      </c>
      <c r="C48">
        <v>8</v>
      </c>
      <c r="D48" t="s">
        <v>231</v>
      </c>
      <c r="E48" t="s">
        <v>232</v>
      </c>
      <c r="F48">
        <v>28</v>
      </c>
      <c r="G48" t="s">
        <v>233</v>
      </c>
      <c r="H48" s="2">
        <v>2463</v>
      </c>
      <c r="I48" s="2">
        <f t="shared" si="5"/>
        <v>68964</v>
      </c>
      <c r="J48" s="2">
        <v>120645</v>
      </c>
      <c r="K48" s="2">
        <f t="shared" si="6"/>
        <v>3378060</v>
      </c>
      <c r="L48" s="2">
        <v>0</v>
      </c>
      <c r="M48" s="2">
        <f t="shared" si="7"/>
        <v>0</v>
      </c>
      <c r="N48" s="2">
        <f t="shared" si="8"/>
        <v>123108</v>
      </c>
      <c r="O48" s="2">
        <f t="shared" si="9"/>
        <v>3447024</v>
      </c>
      <c r="Q48" t="s">
        <v>234</v>
      </c>
    </row>
    <row r="49" spans="1:17" ht="24" customHeight="1" x14ac:dyDescent="0.3">
      <c r="A49" t="s">
        <v>16</v>
      </c>
      <c r="B49" t="s">
        <v>99</v>
      </c>
      <c r="C49">
        <v>9</v>
      </c>
      <c r="D49" t="s">
        <v>235</v>
      </c>
      <c r="E49" t="s">
        <v>236</v>
      </c>
      <c r="F49">
        <v>28</v>
      </c>
      <c r="G49" t="s">
        <v>233</v>
      </c>
      <c r="H49" s="2">
        <v>0</v>
      </c>
      <c r="I49" s="2">
        <f t="shared" si="5"/>
        <v>0</v>
      </c>
      <c r="J49" s="2">
        <v>13039</v>
      </c>
      <c r="K49" s="2">
        <f t="shared" si="6"/>
        <v>365092</v>
      </c>
      <c r="L49" s="2">
        <v>782</v>
      </c>
      <c r="M49" s="2">
        <f t="shared" si="7"/>
        <v>21896</v>
      </c>
      <c r="N49" s="2">
        <f t="shared" si="8"/>
        <v>13821</v>
      </c>
      <c r="O49" s="2">
        <f t="shared" si="9"/>
        <v>386988</v>
      </c>
      <c r="Q49" t="s">
        <v>235</v>
      </c>
    </row>
    <row r="50" spans="1:17" ht="24" customHeight="1" x14ac:dyDescent="0.3">
      <c r="A50" t="s">
        <v>16</v>
      </c>
      <c r="B50" t="s">
        <v>99</v>
      </c>
      <c r="C50">
        <v>10</v>
      </c>
      <c r="D50" t="s">
        <v>237</v>
      </c>
      <c r="E50" t="s">
        <v>238</v>
      </c>
      <c r="F50">
        <v>5</v>
      </c>
      <c r="G50" t="s">
        <v>233</v>
      </c>
      <c r="H50" s="2">
        <v>0</v>
      </c>
      <c r="I50" s="2">
        <f t="shared" si="5"/>
        <v>0</v>
      </c>
      <c r="J50" s="2">
        <v>13039</v>
      </c>
      <c r="K50" s="2">
        <f t="shared" si="6"/>
        <v>65195</v>
      </c>
      <c r="L50" s="2">
        <v>782</v>
      </c>
      <c r="M50" s="2">
        <f t="shared" si="7"/>
        <v>3910</v>
      </c>
      <c r="N50" s="2">
        <f t="shared" si="8"/>
        <v>13821</v>
      </c>
      <c r="O50" s="2">
        <f t="shared" si="9"/>
        <v>69105</v>
      </c>
      <c r="Q50" t="s">
        <v>237</v>
      </c>
    </row>
    <row r="51" spans="1:17" ht="24" customHeight="1" x14ac:dyDescent="0.3">
      <c r="A51" t="s">
        <v>16</v>
      </c>
      <c r="B51" t="s">
        <v>99</v>
      </c>
      <c r="C51">
        <v>11</v>
      </c>
      <c r="D51" t="s">
        <v>239</v>
      </c>
      <c r="E51" t="s">
        <v>240</v>
      </c>
      <c r="F51">
        <v>275</v>
      </c>
      <c r="G51" t="s">
        <v>199</v>
      </c>
      <c r="H51" s="2">
        <v>100</v>
      </c>
      <c r="I51" s="2">
        <f t="shared" si="5"/>
        <v>27500</v>
      </c>
      <c r="J51" s="2">
        <v>200</v>
      </c>
      <c r="K51" s="2">
        <f t="shared" si="6"/>
        <v>55000</v>
      </c>
      <c r="L51" s="2">
        <v>0</v>
      </c>
      <c r="M51" s="2">
        <f t="shared" si="7"/>
        <v>0</v>
      </c>
      <c r="N51" s="2">
        <f t="shared" si="8"/>
        <v>300</v>
      </c>
      <c r="O51" s="2">
        <f t="shared" si="9"/>
        <v>82500</v>
      </c>
      <c r="Q51" t="s">
        <v>241</v>
      </c>
    </row>
    <row r="52" spans="1:17" ht="24" customHeight="1" x14ac:dyDescent="0.3">
      <c r="A52" t="s">
        <v>16</v>
      </c>
      <c r="B52" t="s">
        <v>99</v>
      </c>
      <c r="C52">
        <v>12</v>
      </c>
      <c r="D52" t="s">
        <v>242</v>
      </c>
      <c r="E52" t="s">
        <v>243</v>
      </c>
      <c r="F52">
        <v>5</v>
      </c>
      <c r="G52" t="s">
        <v>233</v>
      </c>
      <c r="H52" s="2">
        <v>0</v>
      </c>
      <c r="I52" s="2">
        <f t="shared" si="5"/>
        <v>0</v>
      </c>
      <c r="J52" s="2">
        <v>81796</v>
      </c>
      <c r="K52" s="2">
        <f t="shared" si="6"/>
        <v>408980</v>
      </c>
      <c r="L52" s="2">
        <v>0</v>
      </c>
      <c r="M52" s="2">
        <f t="shared" si="7"/>
        <v>0</v>
      </c>
      <c r="N52" s="2">
        <f t="shared" si="8"/>
        <v>81796</v>
      </c>
      <c r="O52" s="2">
        <f t="shared" si="9"/>
        <v>408980</v>
      </c>
      <c r="Q52" t="s">
        <v>244</v>
      </c>
    </row>
    <row r="53" spans="1:17" ht="24" customHeight="1" x14ac:dyDescent="0.3">
      <c r="A53" t="s">
        <v>16</v>
      </c>
      <c r="B53" t="s">
        <v>99</v>
      </c>
      <c r="C53">
        <v>13</v>
      </c>
      <c r="D53" t="s">
        <v>245</v>
      </c>
      <c r="E53" t="s">
        <v>246</v>
      </c>
      <c r="F53">
        <v>1.1579999999999999</v>
      </c>
      <c r="G53" t="s">
        <v>171</v>
      </c>
      <c r="H53">
        <v>500</v>
      </c>
      <c r="I53" s="2">
        <f t="shared" si="5"/>
        <v>579</v>
      </c>
      <c r="J53">
        <v>1000</v>
      </c>
      <c r="K53" s="2">
        <f t="shared" si="6"/>
        <v>1158</v>
      </c>
      <c r="M53" s="2">
        <f t="shared" si="7"/>
        <v>0</v>
      </c>
      <c r="N53" s="2">
        <f t="shared" si="8"/>
        <v>1500</v>
      </c>
      <c r="O53" s="2">
        <f t="shared" si="9"/>
        <v>1737</v>
      </c>
      <c r="P53" t="s">
        <v>247</v>
      </c>
      <c r="Q53" t="s">
        <v>248</v>
      </c>
    </row>
    <row r="54" spans="1:17" ht="24" customHeight="1" x14ac:dyDescent="0.3">
      <c r="A54" t="s">
        <v>16</v>
      </c>
      <c r="B54" t="s">
        <v>99</v>
      </c>
      <c r="C54">
        <v>14</v>
      </c>
      <c r="D54" t="s">
        <v>249</v>
      </c>
      <c r="E54" s="24" t="s">
        <v>250</v>
      </c>
      <c r="F54">
        <v>28</v>
      </c>
      <c r="G54" t="s">
        <v>233</v>
      </c>
      <c r="H54" s="2">
        <v>150000</v>
      </c>
      <c r="I54" s="2">
        <f t="shared" si="5"/>
        <v>4200000</v>
      </c>
      <c r="J54" s="2">
        <v>50000</v>
      </c>
      <c r="K54" s="2">
        <f t="shared" si="6"/>
        <v>1400000</v>
      </c>
      <c r="L54" s="2">
        <v>0</v>
      </c>
      <c r="M54" s="2">
        <f t="shared" si="7"/>
        <v>0</v>
      </c>
      <c r="N54" s="2">
        <f t="shared" si="8"/>
        <v>200000</v>
      </c>
      <c r="O54" s="2">
        <f t="shared" si="9"/>
        <v>5600000</v>
      </c>
      <c r="Q54" t="s">
        <v>251</v>
      </c>
    </row>
    <row r="55" spans="1:17" ht="24" customHeight="1" x14ac:dyDescent="0.3">
      <c r="A55" t="s">
        <v>16</v>
      </c>
      <c r="B55" t="s">
        <v>99</v>
      </c>
      <c r="C55">
        <v>15</v>
      </c>
      <c r="D55" t="s">
        <v>515</v>
      </c>
      <c r="E55" t="s">
        <v>516</v>
      </c>
      <c r="F55">
        <v>72</v>
      </c>
      <c r="G55" t="s">
        <v>199</v>
      </c>
      <c r="H55" s="2">
        <v>229</v>
      </c>
      <c r="I55" s="2">
        <f t="shared" si="5"/>
        <v>16488</v>
      </c>
      <c r="J55" s="2">
        <v>11486</v>
      </c>
      <c r="K55" s="2">
        <f t="shared" si="6"/>
        <v>826992</v>
      </c>
      <c r="L55" s="2">
        <v>0</v>
      </c>
      <c r="M55" s="2">
        <f t="shared" si="7"/>
        <v>0</v>
      </c>
      <c r="N55" s="2">
        <f t="shared" si="8"/>
        <v>11715</v>
      </c>
      <c r="O55" s="2">
        <f t="shared" si="9"/>
        <v>843480</v>
      </c>
      <c r="Q55" t="s">
        <v>515</v>
      </c>
    </row>
    <row r="56" spans="1:17" ht="24" customHeight="1" x14ac:dyDescent="0.3">
      <c r="A56" t="s">
        <v>16</v>
      </c>
      <c r="B56" t="s">
        <v>99</v>
      </c>
      <c r="C56">
        <v>16</v>
      </c>
      <c r="D56" t="s">
        <v>517</v>
      </c>
      <c r="E56" t="s">
        <v>226</v>
      </c>
      <c r="F56">
        <v>18</v>
      </c>
      <c r="G56" t="s">
        <v>171</v>
      </c>
      <c r="H56" s="2">
        <v>0</v>
      </c>
      <c r="I56" s="2">
        <f t="shared" si="5"/>
        <v>0</v>
      </c>
      <c r="J56" s="2">
        <v>0</v>
      </c>
      <c r="K56" s="2">
        <f t="shared" si="6"/>
        <v>0</v>
      </c>
      <c r="L56" s="2">
        <v>0</v>
      </c>
      <c r="M56" s="2">
        <f t="shared" si="7"/>
        <v>0</v>
      </c>
      <c r="N56" s="2">
        <f t="shared" si="8"/>
        <v>0</v>
      </c>
      <c r="O56" s="2">
        <f t="shared" si="9"/>
        <v>0</v>
      </c>
      <c r="Q56" t="s">
        <v>256</v>
      </c>
    </row>
    <row r="57" spans="1:17" ht="24" customHeight="1" x14ac:dyDescent="0.3">
      <c r="A57" t="s">
        <v>16</v>
      </c>
      <c r="B57" t="s">
        <v>99</v>
      </c>
      <c r="C57">
        <v>17</v>
      </c>
      <c r="D57" t="s">
        <v>518</v>
      </c>
      <c r="E57" t="s">
        <v>229</v>
      </c>
      <c r="F57">
        <v>30</v>
      </c>
      <c r="G57" t="s">
        <v>168</v>
      </c>
      <c r="H57" s="2">
        <v>0</v>
      </c>
      <c r="I57" s="2">
        <f t="shared" si="5"/>
        <v>0</v>
      </c>
      <c r="J57" s="2">
        <v>0</v>
      </c>
      <c r="K57" s="2">
        <f t="shared" si="6"/>
        <v>0</v>
      </c>
      <c r="L57" s="2">
        <v>34535</v>
      </c>
      <c r="M57" s="2">
        <f t="shared" si="7"/>
        <v>1036050</v>
      </c>
      <c r="N57" s="2">
        <f t="shared" si="8"/>
        <v>34535</v>
      </c>
      <c r="O57" s="2">
        <f t="shared" si="9"/>
        <v>1036050</v>
      </c>
      <c r="Q57" t="s">
        <v>265</v>
      </c>
    </row>
    <row r="58" spans="1:17" ht="24" customHeight="1" x14ac:dyDescent="0.3">
      <c r="A58" t="s">
        <v>16</v>
      </c>
      <c r="B58" t="s">
        <v>99</v>
      </c>
      <c r="C58">
        <v>18</v>
      </c>
      <c r="D58" t="s">
        <v>288</v>
      </c>
      <c r="E58" t="s">
        <v>289</v>
      </c>
      <c r="F58">
        <v>17</v>
      </c>
      <c r="G58" t="s">
        <v>290</v>
      </c>
      <c r="H58">
        <v>5500</v>
      </c>
      <c r="I58" s="2">
        <f t="shared" si="5"/>
        <v>93500</v>
      </c>
      <c r="K58" s="2">
        <f t="shared" si="6"/>
        <v>0</v>
      </c>
      <c r="M58" s="2">
        <f t="shared" si="7"/>
        <v>0</v>
      </c>
      <c r="N58" s="2">
        <f t="shared" si="8"/>
        <v>5500</v>
      </c>
      <c r="O58" s="2">
        <f t="shared" si="9"/>
        <v>93500</v>
      </c>
      <c r="P58" t="s">
        <v>247</v>
      </c>
      <c r="Q58" t="s">
        <v>291</v>
      </c>
    </row>
    <row r="59" spans="1:17" ht="24" customHeight="1" x14ac:dyDescent="0.3">
      <c r="A59" t="s">
        <v>16</v>
      </c>
      <c r="B59" t="s">
        <v>99</v>
      </c>
      <c r="C59">
        <v>19</v>
      </c>
      <c r="D59" t="s">
        <v>292</v>
      </c>
      <c r="E59" t="s">
        <v>293</v>
      </c>
      <c r="F59">
        <v>17</v>
      </c>
      <c r="G59" t="s">
        <v>290</v>
      </c>
      <c r="I59" s="2">
        <f t="shared" si="5"/>
        <v>0</v>
      </c>
      <c r="K59" s="2">
        <f t="shared" si="6"/>
        <v>0</v>
      </c>
      <c r="L59">
        <v>200</v>
      </c>
      <c r="M59" s="2">
        <f t="shared" si="7"/>
        <v>3400</v>
      </c>
      <c r="N59" s="2">
        <f t="shared" si="8"/>
        <v>200</v>
      </c>
      <c r="O59" s="2">
        <f t="shared" si="9"/>
        <v>3400</v>
      </c>
      <c r="P59" t="s">
        <v>247</v>
      </c>
      <c r="Q59" t="s">
        <v>294</v>
      </c>
    </row>
    <row r="60" spans="1:17" ht="24" customHeight="1" x14ac:dyDescent="0.3">
      <c r="A60" t="s">
        <v>16</v>
      </c>
      <c r="B60" t="s">
        <v>99</v>
      </c>
      <c r="C60">
        <v>20</v>
      </c>
      <c r="D60" t="s">
        <v>295</v>
      </c>
      <c r="E60" t="s">
        <v>296</v>
      </c>
      <c r="F60">
        <v>18</v>
      </c>
      <c r="G60" t="s">
        <v>171</v>
      </c>
      <c r="H60" s="2">
        <v>806</v>
      </c>
      <c r="I60" s="2">
        <f t="shared" si="5"/>
        <v>14508</v>
      </c>
      <c r="J60" s="2">
        <v>1354</v>
      </c>
      <c r="K60" s="2">
        <f t="shared" si="6"/>
        <v>24372</v>
      </c>
      <c r="L60" s="2">
        <v>678</v>
      </c>
      <c r="M60" s="2">
        <f t="shared" si="7"/>
        <v>12204</v>
      </c>
      <c r="N60" s="2">
        <f t="shared" si="8"/>
        <v>2838</v>
      </c>
      <c r="O60" s="2">
        <f t="shared" si="9"/>
        <v>51084</v>
      </c>
      <c r="Q60" t="s">
        <v>297</v>
      </c>
    </row>
    <row r="61" spans="1:17" ht="24" customHeight="1" x14ac:dyDescent="0.3">
      <c r="A61" t="s">
        <v>16</v>
      </c>
      <c r="B61" t="s">
        <v>99</v>
      </c>
      <c r="C61">
        <v>21</v>
      </c>
      <c r="D61" t="s">
        <v>298</v>
      </c>
      <c r="E61" t="s">
        <v>299</v>
      </c>
      <c r="F61">
        <v>3</v>
      </c>
      <c r="G61" t="s">
        <v>171</v>
      </c>
      <c r="H61" s="2">
        <v>0</v>
      </c>
      <c r="I61" s="2">
        <f t="shared" si="5"/>
        <v>0</v>
      </c>
      <c r="J61" s="2">
        <v>4036</v>
      </c>
      <c r="K61" s="2">
        <f t="shared" si="6"/>
        <v>12108</v>
      </c>
      <c r="L61" s="2">
        <v>947</v>
      </c>
      <c r="M61" s="2">
        <f t="shared" si="7"/>
        <v>2841</v>
      </c>
      <c r="N61" s="2">
        <f t="shared" si="8"/>
        <v>4983</v>
      </c>
      <c r="O61" s="2">
        <f t="shared" si="9"/>
        <v>14949</v>
      </c>
      <c r="Q61" t="s">
        <v>300</v>
      </c>
    </row>
    <row r="62" spans="1:17" ht="24" customHeight="1" x14ac:dyDescent="0.3">
      <c r="A62" t="s">
        <v>16</v>
      </c>
      <c r="B62" t="s">
        <v>99</v>
      </c>
      <c r="C62">
        <v>22</v>
      </c>
      <c r="D62" t="s">
        <v>301</v>
      </c>
      <c r="E62" t="s">
        <v>302</v>
      </c>
      <c r="F62">
        <v>134</v>
      </c>
      <c r="G62" t="s">
        <v>171</v>
      </c>
      <c r="H62" s="2">
        <v>1293</v>
      </c>
      <c r="I62" s="2">
        <f t="shared" si="5"/>
        <v>173262</v>
      </c>
      <c r="J62" s="2">
        <v>64674</v>
      </c>
      <c r="K62" s="2">
        <f t="shared" si="6"/>
        <v>8666316</v>
      </c>
      <c r="L62" s="2">
        <v>0</v>
      </c>
      <c r="M62" s="2">
        <f t="shared" si="7"/>
        <v>0</v>
      </c>
      <c r="N62" s="2">
        <f t="shared" si="8"/>
        <v>65967</v>
      </c>
      <c r="O62" s="2">
        <f t="shared" si="9"/>
        <v>8839578</v>
      </c>
      <c r="Q62" t="s">
        <v>303</v>
      </c>
    </row>
    <row r="63" spans="1:17" ht="24" customHeight="1" x14ac:dyDescent="0.3">
      <c r="A63" t="s">
        <v>16</v>
      </c>
      <c r="B63" t="s">
        <v>99</v>
      </c>
      <c r="C63">
        <v>23</v>
      </c>
      <c r="D63" t="s">
        <v>304</v>
      </c>
      <c r="E63" t="s">
        <v>305</v>
      </c>
      <c r="F63">
        <v>18</v>
      </c>
      <c r="G63" t="s">
        <v>171</v>
      </c>
      <c r="H63" s="2">
        <v>1293</v>
      </c>
      <c r="I63" s="2">
        <f t="shared" si="5"/>
        <v>23274</v>
      </c>
      <c r="J63" s="2">
        <v>64674</v>
      </c>
      <c r="K63" s="2">
        <f t="shared" si="6"/>
        <v>1164132</v>
      </c>
      <c r="L63" s="2">
        <v>0</v>
      </c>
      <c r="M63" s="2">
        <f t="shared" si="7"/>
        <v>0</v>
      </c>
      <c r="N63" s="2">
        <f t="shared" si="8"/>
        <v>65967</v>
      </c>
      <c r="O63" s="2">
        <f t="shared" si="9"/>
        <v>1187406</v>
      </c>
      <c r="Q63" t="s">
        <v>306</v>
      </c>
    </row>
    <row r="64" spans="1:17" ht="24" customHeight="1" x14ac:dyDescent="0.3">
      <c r="A64" t="s">
        <v>16</v>
      </c>
      <c r="B64" t="s">
        <v>99</v>
      </c>
      <c r="C64">
        <v>24</v>
      </c>
      <c r="D64" t="s">
        <v>309</v>
      </c>
      <c r="E64" t="s">
        <v>310</v>
      </c>
      <c r="F64">
        <v>107</v>
      </c>
      <c r="G64" t="s">
        <v>311</v>
      </c>
      <c r="H64" s="2">
        <v>2339</v>
      </c>
      <c r="I64" s="2">
        <f t="shared" si="5"/>
        <v>250273</v>
      </c>
      <c r="J64" s="2">
        <v>19375</v>
      </c>
      <c r="K64" s="2">
        <f t="shared" si="6"/>
        <v>2073125</v>
      </c>
      <c r="L64" s="2">
        <v>2505</v>
      </c>
      <c r="M64" s="2">
        <f t="shared" si="7"/>
        <v>268035</v>
      </c>
      <c r="N64" s="2">
        <f t="shared" si="8"/>
        <v>24219</v>
      </c>
      <c r="O64" s="2">
        <f t="shared" si="9"/>
        <v>2591433</v>
      </c>
      <c r="Q64" t="s">
        <v>222</v>
      </c>
    </row>
    <row r="65" spans="1:17" ht="24" customHeight="1" x14ac:dyDescent="0.3">
      <c r="A65" t="s">
        <v>16</v>
      </c>
      <c r="B65" t="s">
        <v>99</v>
      </c>
      <c r="C65">
        <v>25</v>
      </c>
      <c r="D65" t="s">
        <v>312</v>
      </c>
      <c r="E65" t="s">
        <v>313</v>
      </c>
      <c r="F65">
        <v>275</v>
      </c>
      <c r="G65" t="s">
        <v>311</v>
      </c>
      <c r="H65" s="2">
        <v>2339</v>
      </c>
      <c r="I65" s="2">
        <f t="shared" si="5"/>
        <v>643225</v>
      </c>
      <c r="J65" s="2">
        <v>19375</v>
      </c>
      <c r="K65" s="2">
        <f t="shared" si="6"/>
        <v>5328125</v>
      </c>
      <c r="L65" s="2">
        <v>2505</v>
      </c>
      <c r="M65" s="2">
        <f t="shared" si="7"/>
        <v>688875</v>
      </c>
      <c r="N65" s="2">
        <f t="shared" si="8"/>
        <v>24219</v>
      </c>
      <c r="O65" s="2">
        <f t="shared" si="9"/>
        <v>6660225</v>
      </c>
      <c r="Q65" t="s">
        <v>222</v>
      </c>
    </row>
    <row r="66" spans="1:17" ht="24" customHeight="1" x14ac:dyDescent="0.3">
      <c r="A66" t="s">
        <v>16</v>
      </c>
      <c r="B66" t="s">
        <v>99</v>
      </c>
      <c r="C66">
        <v>26</v>
      </c>
      <c r="D66" t="s">
        <v>314</v>
      </c>
      <c r="E66" t="s">
        <v>315</v>
      </c>
      <c r="F66">
        <v>43</v>
      </c>
      <c r="G66" t="s">
        <v>316</v>
      </c>
      <c r="H66" s="2">
        <v>0</v>
      </c>
      <c r="I66" s="2">
        <f t="shared" si="5"/>
        <v>0</v>
      </c>
      <c r="J66" s="2">
        <v>0</v>
      </c>
      <c r="K66" s="2">
        <f t="shared" si="6"/>
        <v>0</v>
      </c>
      <c r="L66" s="2">
        <v>2000</v>
      </c>
      <c r="M66" s="2">
        <f t="shared" si="7"/>
        <v>86000</v>
      </c>
      <c r="N66" s="2">
        <f t="shared" si="8"/>
        <v>2000</v>
      </c>
      <c r="O66" s="2">
        <f t="shared" si="9"/>
        <v>86000</v>
      </c>
      <c r="Q66" t="s">
        <v>317</v>
      </c>
    </row>
    <row r="67" spans="1:17" ht="24" customHeight="1" x14ac:dyDescent="0.3">
      <c r="A67" t="s">
        <v>16</v>
      </c>
      <c r="B67" t="s">
        <v>99</v>
      </c>
      <c r="C67">
        <v>27</v>
      </c>
      <c r="D67" t="s">
        <v>318</v>
      </c>
      <c r="E67" t="s">
        <v>319</v>
      </c>
      <c r="F67">
        <v>110</v>
      </c>
      <c r="G67" t="s">
        <v>316</v>
      </c>
      <c r="H67" s="2">
        <v>0</v>
      </c>
      <c r="I67" s="2">
        <f t="shared" si="5"/>
        <v>0</v>
      </c>
      <c r="J67" s="2">
        <v>0</v>
      </c>
      <c r="K67" s="2">
        <f t="shared" si="6"/>
        <v>0</v>
      </c>
      <c r="L67" s="2">
        <v>5000</v>
      </c>
      <c r="M67" s="2">
        <f t="shared" si="7"/>
        <v>550000</v>
      </c>
      <c r="N67" s="2">
        <f t="shared" si="8"/>
        <v>5000</v>
      </c>
      <c r="O67" s="2">
        <f t="shared" si="9"/>
        <v>550000</v>
      </c>
      <c r="Q67" t="s">
        <v>320</v>
      </c>
    </row>
    <row r="68" spans="1:17" ht="24" customHeight="1" x14ac:dyDescent="0.3">
      <c r="A68" t="s">
        <v>16</v>
      </c>
      <c r="B68" t="s">
        <v>99</v>
      </c>
      <c r="C68">
        <v>28</v>
      </c>
      <c r="D68" t="s">
        <v>321</v>
      </c>
      <c r="E68" t="s">
        <v>322</v>
      </c>
      <c r="F68">
        <v>5</v>
      </c>
      <c r="G68" t="s">
        <v>323</v>
      </c>
      <c r="H68" s="2">
        <v>0</v>
      </c>
      <c r="I68" s="2">
        <f t="shared" si="5"/>
        <v>0</v>
      </c>
      <c r="J68" s="2">
        <v>289893</v>
      </c>
      <c r="K68" s="2">
        <f t="shared" si="6"/>
        <v>1449465</v>
      </c>
      <c r="L68" s="2">
        <v>0</v>
      </c>
      <c r="M68" s="2">
        <f t="shared" si="7"/>
        <v>0</v>
      </c>
      <c r="N68" s="2">
        <f t="shared" si="8"/>
        <v>289893</v>
      </c>
      <c r="O68" s="2">
        <f t="shared" si="9"/>
        <v>1449465</v>
      </c>
      <c r="Q68" t="s">
        <v>324</v>
      </c>
    </row>
    <row r="69" spans="1:17" ht="24" customHeight="1" x14ac:dyDescent="0.3">
      <c r="A69" s="10" t="s">
        <v>16</v>
      </c>
      <c r="B69" s="10" t="s">
        <v>99</v>
      </c>
      <c r="C69" s="10"/>
      <c r="D69" s="10" t="s">
        <v>332</v>
      </c>
      <c r="E69" s="10"/>
      <c r="F69" s="10"/>
      <c r="G69" s="10"/>
      <c r="H69" s="10"/>
      <c r="I69" s="11">
        <f>SUM(I41:I68)</f>
        <v>11945364</v>
      </c>
      <c r="J69" s="10"/>
      <c r="K69" s="11">
        <f>SUM(K41:K68)</f>
        <v>79192925</v>
      </c>
      <c r="L69" s="10"/>
      <c r="M69" s="11">
        <f>SUM(M41:M68)</f>
        <v>8865411</v>
      </c>
      <c r="N69" s="10"/>
      <c r="O69" s="11">
        <f>SUM(O41:O68)</f>
        <v>100003700</v>
      </c>
      <c r="P69" s="10"/>
      <c r="Q69" s="10" t="s">
        <v>519</v>
      </c>
    </row>
    <row r="70" spans="1:17" ht="24" customHeight="1" x14ac:dyDescent="0.3">
      <c r="A70" t="s">
        <v>16</v>
      </c>
      <c r="B70" t="s">
        <v>107</v>
      </c>
      <c r="C70">
        <v>1</v>
      </c>
      <c r="D70" t="s">
        <v>212</v>
      </c>
      <c r="E70" t="s">
        <v>520</v>
      </c>
      <c r="F70">
        <v>328</v>
      </c>
      <c r="G70" t="s">
        <v>171</v>
      </c>
      <c r="H70" s="2">
        <v>0</v>
      </c>
      <c r="I70" s="2">
        <f t="shared" ref="I70:I88" si="10">F70*H70</f>
        <v>0</v>
      </c>
      <c r="J70" s="2">
        <v>33455</v>
      </c>
      <c r="K70" s="2">
        <f t="shared" ref="K70:K88" si="11">F70*J70</f>
        <v>10973240</v>
      </c>
      <c r="L70" s="2">
        <v>0</v>
      </c>
      <c r="M70" s="2">
        <f t="shared" ref="M70:M88" si="12">F70*L70</f>
        <v>0</v>
      </c>
      <c r="N70" s="2">
        <f t="shared" ref="N70:N88" si="13">H70+J70+L70</f>
        <v>33455</v>
      </c>
      <c r="O70" s="2">
        <f t="shared" ref="O70:O88" si="14">I70+K70+M70</f>
        <v>10973240</v>
      </c>
      <c r="Q70" t="s">
        <v>214</v>
      </c>
    </row>
    <row r="71" spans="1:17" ht="24" customHeight="1" x14ac:dyDescent="0.3">
      <c r="A71" t="s">
        <v>16</v>
      </c>
      <c r="B71" t="s">
        <v>107</v>
      </c>
      <c r="C71">
        <v>2</v>
      </c>
      <c r="D71" t="s">
        <v>521</v>
      </c>
      <c r="E71" t="s">
        <v>522</v>
      </c>
      <c r="F71">
        <v>320</v>
      </c>
      <c r="G71" t="s">
        <v>171</v>
      </c>
      <c r="H71" s="2">
        <v>608</v>
      </c>
      <c r="I71" s="2">
        <f t="shared" si="10"/>
        <v>194560</v>
      </c>
      <c r="J71" s="2">
        <v>9980</v>
      </c>
      <c r="K71" s="2">
        <f t="shared" si="11"/>
        <v>3193600</v>
      </c>
      <c r="L71" s="2">
        <v>440</v>
      </c>
      <c r="M71" s="2">
        <f t="shared" si="12"/>
        <v>140800</v>
      </c>
      <c r="N71" s="2">
        <f t="shared" si="13"/>
        <v>11028</v>
      </c>
      <c r="O71" s="2">
        <f t="shared" si="14"/>
        <v>3528960</v>
      </c>
      <c r="Q71" t="s">
        <v>523</v>
      </c>
    </row>
    <row r="72" spans="1:17" ht="24" customHeight="1" x14ac:dyDescent="0.3">
      <c r="A72" t="s">
        <v>16</v>
      </c>
      <c r="B72" t="s">
        <v>107</v>
      </c>
      <c r="C72">
        <v>3</v>
      </c>
      <c r="D72" t="s">
        <v>218</v>
      </c>
      <c r="E72" t="s">
        <v>494</v>
      </c>
      <c r="F72">
        <v>8</v>
      </c>
      <c r="G72" t="s">
        <v>171</v>
      </c>
      <c r="H72" s="2">
        <v>447</v>
      </c>
      <c r="I72" s="2">
        <f t="shared" si="10"/>
        <v>3576</v>
      </c>
      <c r="J72" s="2">
        <v>955</v>
      </c>
      <c r="K72" s="2">
        <f t="shared" si="11"/>
        <v>7640</v>
      </c>
      <c r="L72" s="2">
        <v>336</v>
      </c>
      <c r="M72" s="2">
        <f t="shared" si="12"/>
        <v>2688</v>
      </c>
      <c r="N72" s="2">
        <f t="shared" si="13"/>
        <v>1738</v>
      </c>
      <c r="O72" s="2">
        <f t="shared" si="14"/>
        <v>13904</v>
      </c>
      <c r="Q72" t="s">
        <v>172</v>
      </c>
    </row>
    <row r="73" spans="1:17" ht="24" customHeight="1" x14ac:dyDescent="0.3">
      <c r="A73" t="s">
        <v>16</v>
      </c>
      <c r="B73" t="s">
        <v>107</v>
      </c>
      <c r="C73">
        <v>4</v>
      </c>
      <c r="D73" t="s">
        <v>524</v>
      </c>
      <c r="E73" t="s">
        <v>525</v>
      </c>
      <c r="F73">
        <v>312</v>
      </c>
      <c r="G73" t="s">
        <v>199</v>
      </c>
      <c r="H73" s="2">
        <v>179</v>
      </c>
      <c r="I73" s="2">
        <f t="shared" si="10"/>
        <v>55848</v>
      </c>
      <c r="J73" s="2">
        <v>8770</v>
      </c>
      <c r="K73" s="2">
        <f t="shared" si="11"/>
        <v>2736240</v>
      </c>
      <c r="L73" s="2">
        <v>0</v>
      </c>
      <c r="M73" s="2">
        <f t="shared" si="12"/>
        <v>0</v>
      </c>
      <c r="N73" s="2">
        <f t="shared" si="13"/>
        <v>8949</v>
      </c>
      <c r="O73" s="2">
        <f t="shared" si="14"/>
        <v>2792088</v>
      </c>
      <c r="Q73" t="s">
        <v>526</v>
      </c>
    </row>
    <row r="74" spans="1:17" ht="24" customHeight="1" x14ac:dyDescent="0.3">
      <c r="A74" t="s">
        <v>16</v>
      </c>
      <c r="B74" t="s">
        <v>107</v>
      </c>
      <c r="C74">
        <v>5</v>
      </c>
      <c r="D74" t="s">
        <v>527</v>
      </c>
      <c r="E74" t="s">
        <v>528</v>
      </c>
      <c r="F74">
        <v>6</v>
      </c>
      <c r="G74" t="s">
        <v>233</v>
      </c>
      <c r="H74" s="2">
        <v>239</v>
      </c>
      <c r="I74" s="2">
        <f t="shared" si="10"/>
        <v>1434</v>
      </c>
      <c r="J74" s="2">
        <v>11694</v>
      </c>
      <c r="K74" s="2">
        <f t="shared" si="11"/>
        <v>70164</v>
      </c>
      <c r="L74" s="2">
        <v>0</v>
      </c>
      <c r="M74" s="2">
        <f t="shared" si="12"/>
        <v>0</v>
      </c>
      <c r="N74" s="2">
        <f t="shared" si="13"/>
        <v>11933</v>
      </c>
      <c r="O74" s="2">
        <f t="shared" si="14"/>
        <v>71598</v>
      </c>
      <c r="Q74" t="s">
        <v>528</v>
      </c>
    </row>
    <row r="75" spans="1:17" ht="24" customHeight="1" x14ac:dyDescent="0.3">
      <c r="A75" t="s">
        <v>16</v>
      </c>
      <c r="B75" t="s">
        <v>107</v>
      </c>
      <c r="C75">
        <v>6</v>
      </c>
      <c r="D75" t="s">
        <v>529</v>
      </c>
      <c r="E75" t="s">
        <v>528</v>
      </c>
      <c r="F75">
        <v>6</v>
      </c>
      <c r="G75" t="s">
        <v>233</v>
      </c>
      <c r="H75" s="2">
        <v>311</v>
      </c>
      <c r="I75" s="2">
        <f t="shared" si="10"/>
        <v>1866</v>
      </c>
      <c r="J75" s="2">
        <v>15201</v>
      </c>
      <c r="K75" s="2">
        <f t="shared" si="11"/>
        <v>91206</v>
      </c>
      <c r="L75" s="2">
        <v>0</v>
      </c>
      <c r="M75" s="2">
        <f t="shared" si="12"/>
        <v>0</v>
      </c>
      <c r="N75" s="2">
        <f t="shared" si="13"/>
        <v>15512</v>
      </c>
      <c r="O75" s="2">
        <f t="shared" si="14"/>
        <v>93072</v>
      </c>
      <c r="Q75" t="s">
        <v>530</v>
      </c>
    </row>
    <row r="76" spans="1:17" ht="24" customHeight="1" x14ac:dyDescent="0.3">
      <c r="A76" t="s">
        <v>16</v>
      </c>
      <c r="B76" t="s">
        <v>107</v>
      </c>
      <c r="C76">
        <v>7</v>
      </c>
      <c r="D76" t="s">
        <v>531</v>
      </c>
      <c r="E76" t="s">
        <v>528</v>
      </c>
      <c r="F76">
        <v>1</v>
      </c>
      <c r="G76" t="s">
        <v>233</v>
      </c>
      <c r="H76" s="2">
        <v>331</v>
      </c>
      <c r="I76" s="2">
        <f t="shared" si="10"/>
        <v>331</v>
      </c>
      <c r="J76" s="2">
        <v>16570</v>
      </c>
      <c r="K76" s="2">
        <f t="shared" si="11"/>
        <v>16570</v>
      </c>
      <c r="L76" s="2">
        <v>0</v>
      </c>
      <c r="M76" s="2">
        <f t="shared" si="12"/>
        <v>0</v>
      </c>
      <c r="N76" s="2">
        <f t="shared" si="13"/>
        <v>16901</v>
      </c>
      <c r="O76" s="2">
        <f t="shared" si="14"/>
        <v>16901</v>
      </c>
      <c r="Q76" t="s">
        <v>531</v>
      </c>
    </row>
    <row r="77" spans="1:17" ht="24" customHeight="1" x14ac:dyDescent="0.3">
      <c r="A77" t="s">
        <v>16</v>
      </c>
      <c r="B77" t="s">
        <v>107</v>
      </c>
      <c r="C77">
        <v>8</v>
      </c>
      <c r="D77" t="s">
        <v>532</v>
      </c>
      <c r="E77" t="s">
        <v>528</v>
      </c>
      <c r="F77">
        <v>6</v>
      </c>
      <c r="G77" t="s">
        <v>233</v>
      </c>
      <c r="H77" s="2">
        <v>1818</v>
      </c>
      <c r="I77" s="2">
        <f t="shared" si="10"/>
        <v>10908</v>
      </c>
      <c r="J77" s="2">
        <v>34539</v>
      </c>
      <c r="K77" s="2">
        <f t="shared" si="11"/>
        <v>207234</v>
      </c>
      <c r="L77" s="2">
        <v>0</v>
      </c>
      <c r="M77" s="2">
        <f t="shared" si="12"/>
        <v>0</v>
      </c>
      <c r="N77" s="2">
        <f t="shared" si="13"/>
        <v>36357</v>
      </c>
      <c r="O77" s="2">
        <f t="shared" si="14"/>
        <v>218142</v>
      </c>
      <c r="Q77" t="s">
        <v>532</v>
      </c>
    </row>
    <row r="78" spans="1:17" ht="24" customHeight="1" x14ac:dyDescent="0.3">
      <c r="A78" t="s">
        <v>16</v>
      </c>
      <c r="B78" t="s">
        <v>107</v>
      </c>
      <c r="C78">
        <v>9</v>
      </c>
      <c r="D78" t="s">
        <v>533</v>
      </c>
      <c r="E78" t="s">
        <v>534</v>
      </c>
      <c r="F78">
        <v>2</v>
      </c>
      <c r="G78" t="s">
        <v>233</v>
      </c>
      <c r="H78" s="2">
        <v>0</v>
      </c>
      <c r="I78" s="2">
        <f t="shared" si="10"/>
        <v>0</v>
      </c>
      <c r="J78" s="2">
        <v>31637</v>
      </c>
      <c r="K78" s="2">
        <f t="shared" si="11"/>
        <v>63274</v>
      </c>
      <c r="L78" s="2">
        <v>0</v>
      </c>
      <c r="M78" s="2">
        <f t="shared" si="12"/>
        <v>0</v>
      </c>
      <c r="N78" s="2">
        <f t="shared" si="13"/>
        <v>31637</v>
      </c>
      <c r="O78" s="2">
        <f t="shared" si="14"/>
        <v>63274</v>
      </c>
      <c r="Q78" t="s">
        <v>535</v>
      </c>
    </row>
    <row r="79" spans="1:17" ht="24" customHeight="1" x14ac:dyDescent="0.3">
      <c r="A79" t="s">
        <v>16</v>
      </c>
      <c r="B79" t="s">
        <v>107</v>
      </c>
      <c r="C79">
        <v>10</v>
      </c>
      <c r="D79" t="s">
        <v>536</v>
      </c>
      <c r="E79" t="s">
        <v>537</v>
      </c>
      <c r="F79">
        <v>1</v>
      </c>
      <c r="G79" t="s">
        <v>233</v>
      </c>
      <c r="H79">
        <v>45000</v>
      </c>
      <c r="I79" s="2">
        <f t="shared" si="10"/>
        <v>45000</v>
      </c>
      <c r="J79">
        <v>45000</v>
      </c>
      <c r="K79" s="2">
        <f t="shared" si="11"/>
        <v>45000</v>
      </c>
      <c r="L79">
        <v>15000</v>
      </c>
      <c r="M79" s="2">
        <f t="shared" si="12"/>
        <v>15000</v>
      </c>
      <c r="N79" s="2">
        <f t="shared" si="13"/>
        <v>105000</v>
      </c>
      <c r="O79" s="2">
        <f t="shared" si="14"/>
        <v>105000</v>
      </c>
      <c r="P79" t="s">
        <v>247</v>
      </c>
      <c r="Q79" t="s">
        <v>538</v>
      </c>
    </row>
    <row r="80" spans="1:17" ht="24" customHeight="1" x14ac:dyDescent="0.3">
      <c r="A80" t="s">
        <v>16</v>
      </c>
      <c r="B80" t="s">
        <v>107</v>
      </c>
      <c r="C80">
        <v>11</v>
      </c>
      <c r="D80" t="s">
        <v>539</v>
      </c>
      <c r="E80" t="s">
        <v>540</v>
      </c>
      <c r="F80">
        <v>2</v>
      </c>
      <c r="G80" t="s">
        <v>233</v>
      </c>
      <c r="H80" s="2">
        <v>13953</v>
      </c>
      <c r="I80" s="2">
        <f t="shared" si="10"/>
        <v>27906</v>
      </c>
      <c r="J80" s="2">
        <v>609212</v>
      </c>
      <c r="K80" s="2">
        <f t="shared" si="11"/>
        <v>1218424</v>
      </c>
      <c r="L80" s="2">
        <v>9169</v>
      </c>
      <c r="M80" s="2">
        <f t="shared" si="12"/>
        <v>18338</v>
      </c>
      <c r="N80" s="2">
        <f t="shared" si="13"/>
        <v>632334</v>
      </c>
      <c r="O80" s="2">
        <f t="shared" si="14"/>
        <v>1264668</v>
      </c>
      <c r="Q80" t="s">
        <v>541</v>
      </c>
    </row>
    <row r="81" spans="1:17" ht="24" customHeight="1" x14ac:dyDescent="0.3">
      <c r="A81" t="s">
        <v>16</v>
      </c>
      <c r="B81" t="s">
        <v>107</v>
      </c>
      <c r="C81">
        <v>12</v>
      </c>
      <c r="D81" t="s">
        <v>542</v>
      </c>
      <c r="E81" t="s">
        <v>528</v>
      </c>
      <c r="F81">
        <v>2</v>
      </c>
      <c r="G81" t="s">
        <v>233</v>
      </c>
      <c r="H81" s="2">
        <v>1002</v>
      </c>
      <c r="I81" s="2">
        <f t="shared" si="10"/>
        <v>2004</v>
      </c>
      <c r="J81" s="2">
        <v>50118</v>
      </c>
      <c r="K81" s="2">
        <f t="shared" si="11"/>
        <v>100236</v>
      </c>
      <c r="L81" s="2">
        <v>0</v>
      </c>
      <c r="M81" s="2">
        <f t="shared" si="12"/>
        <v>0</v>
      </c>
      <c r="N81" s="2">
        <f t="shared" si="13"/>
        <v>51120</v>
      </c>
      <c r="O81" s="2">
        <f t="shared" si="14"/>
        <v>102240</v>
      </c>
      <c r="Q81" t="s">
        <v>528</v>
      </c>
    </row>
    <row r="82" spans="1:17" ht="24" customHeight="1" x14ac:dyDescent="0.3">
      <c r="A82" t="s">
        <v>16</v>
      </c>
      <c r="B82" t="s">
        <v>107</v>
      </c>
      <c r="C82">
        <v>13</v>
      </c>
      <c r="D82" t="s">
        <v>239</v>
      </c>
      <c r="E82" t="s">
        <v>240</v>
      </c>
      <c r="F82">
        <v>311</v>
      </c>
      <c r="G82" t="s">
        <v>199</v>
      </c>
      <c r="H82" s="2">
        <v>100</v>
      </c>
      <c r="I82" s="2">
        <f t="shared" si="10"/>
        <v>31100</v>
      </c>
      <c r="J82" s="2">
        <v>200</v>
      </c>
      <c r="K82" s="2">
        <f t="shared" si="11"/>
        <v>62200</v>
      </c>
      <c r="L82" s="2">
        <v>0</v>
      </c>
      <c r="M82" s="2">
        <f t="shared" si="12"/>
        <v>0</v>
      </c>
      <c r="N82" s="2">
        <f t="shared" si="13"/>
        <v>300</v>
      </c>
      <c r="O82" s="2">
        <f t="shared" si="14"/>
        <v>93300</v>
      </c>
      <c r="Q82" t="s">
        <v>241</v>
      </c>
    </row>
    <row r="83" spans="1:17" ht="24" customHeight="1" x14ac:dyDescent="0.3">
      <c r="A83" t="s">
        <v>16</v>
      </c>
      <c r="B83" t="s">
        <v>107</v>
      </c>
      <c r="C83">
        <v>14</v>
      </c>
      <c r="D83" t="s">
        <v>301</v>
      </c>
      <c r="E83" t="s">
        <v>305</v>
      </c>
      <c r="F83">
        <v>1</v>
      </c>
      <c r="G83" t="s">
        <v>171</v>
      </c>
      <c r="H83" s="2">
        <v>1293</v>
      </c>
      <c r="I83" s="2">
        <f t="shared" si="10"/>
        <v>1293</v>
      </c>
      <c r="J83" s="2">
        <v>64674</v>
      </c>
      <c r="K83" s="2">
        <f t="shared" si="11"/>
        <v>64674</v>
      </c>
      <c r="L83" s="2">
        <v>0</v>
      </c>
      <c r="M83" s="2">
        <f t="shared" si="12"/>
        <v>0</v>
      </c>
      <c r="N83" s="2">
        <f t="shared" si="13"/>
        <v>65967</v>
      </c>
      <c r="O83" s="2">
        <f t="shared" si="14"/>
        <v>65967</v>
      </c>
      <c r="Q83" t="s">
        <v>306</v>
      </c>
    </row>
    <row r="84" spans="1:17" ht="24" customHeight="1" x14ac:dyDescent="0.3">
      <c r="A84" t="s">
        <v>16</v>
      </c>
      <c r="B84" t="s">
        <v>107</v>
      </c>
      <c r="C84">
        <v>15</v>
      </c>
      <c r="D84" t="s">
        <v>543</v>
      </c>
      <c r="E84" t="s">
        <v>544</v>
      </c>
      <c r="F84">
        <v>54</v>
      </c>
      <c r="G84" t="s">
        <v>316</v>
      </c>
      <c r="H84" s="2">
        <v>5970</v>
      </c>
      <c r="I84" s="2">
        <f t="shared" si="10"/>
        <v>322380</v>
      </c>
      <c r="J84" s="2">
        <v>24709</v>
      </c>
      <c r="K84" s="2">
        <f t="shared" si="11"/>
        <v>1334286</v>
      </c>
      <c r="L84" s="2">
        <v>5659</v>
      </c>
      <c r="M84" s="2">
        <f t="shared" si="12"/>
        <v>305586</v>
      </c>
      <c r="N84" s="2">
        <f t="shared" si="13"/>
        <v>36338</v>
      </c>
      <c r="O84" s="2">
        <f t="shared" si="14"/>
        <v>1962252</v>
      </c>
      <c r="P84" t="s">
        <v>247</v>
      </c>
      <c r="Q84" t="s">
        <v>545</v>
      </c>
    </row>
    <row r="85" spans="1:17" ht="24" customHeight="1" x14ac:dyDescent="0.3">
      <c r="A85" t="s">
        <v>16</v>
      </c>
      <c r="B85" t="s">
        <v>107</v>
      </c>
      <c r="C85">
        <v>16</v>
      </c>
      <c r="D85" t="s">
        <v>546</v>
      </c>
      <c r="E85" t="s">
        <v>547</v>
      </c>
      <c r="F85">
        <v>141</v>
      </c>
      <c r="G85" t="s">
        <v>548</v>
      </c>
      <c r="H85" s="2">
        <v>1600</v>
      </c>
      <c r="I85" s="2">
        <f t="shared" si="10"/>
        <v>225600</v>
      </c>
      <c r="J85" s="2">
        <v>0</v>
      </c>
      <c r="K85" s="2">
        <f t="shared" si="11"/>
        <v>0</v>
      </c>
      <c r="L85" s="2">
        <v>0</v>
      </c>
      <c r="M85" s="2">
        <f t="shared" si="12"/>
        <v>0</v>
      </c>
      <c r="N85" s="2">
        <f t="shared" si="13"/>
        <v>1600</v>
      </c>
      <c r="O85" s="2">
        <f t="shared" si="14"/>
        <v>225600</v>
      </c>
      <c r="Q85" t="s">
        <v>549</v>
      </c>
    </row>
    <row r="86" spans="1:17" ht="24" customHeight="1" x14ac:dyDescent="0.3">
      <c r="A86" t="s">
        <v>16</v>
      </c>
      <c r="B86" t="s">
        <v>107</v>
      </c>
      <c r="C86">
        <v>17</v>
      </c>
      <c r="D86" t="s">
        <v>550</v>
      </c>
      <c r="E86" t="s">
        <v>551</v>
      </c>
      <c r="F86">
        <v>7</v>
      </c>
      <c r="G86" t="s">
        <v>260</v>
      </c>
      <c r="I86" s="2">
        <f t="shared" si="10"/>
        <v>0</v>
      </c>
      <c r="K86" s="2">
        <f t="shared" si="11"/>
        <v>0</v>
      </c>
      <c r="L86">
        <v>30000</v>
      </c>
      <c r="M86" s="2">
        <f t="shared" si="12"/>
        <v>210000</v>
      </c>
      <c r="N86" s="2">
        <f t="shared" si="13"/>
        <v>30000</v>
      </c>
      <c r="O86" s="2">
        <f t="shared" si="14"/>
        <v>210000</v>
      </c>
      <c r="P86" t="s">
        <v>247</v>
      </c>
      <c r="Q86" t="s">
        <v>552</v>
      </c>
    </row>
    <row r="87" spans="1:17" ht="24" customHeight="1" x14ac:dyDescent="0.3">
      <c r="A87" t="s">
        <v>16</v>
      </c>
      <c r="B87" t="s">
        <v>107</v>
      </c>
      <c r="C87">
        <v>18</v>
      </c>
      <c r="D87" t="s">
        <v>553</v>
      </c>
      <c r="E87" t="s">
        <v>534</v>
      </c>
      <c r="F87">
        <v>2</v>
      </c>
      <c r="G87" t="s">
        <v>274</v>
      </c>
      <c r="H87" s="2">
        <v>3261</v>
      </c>
      <c r="I87" s="2">
        <f t="shared" si="10"/>
        <v>6522</v>
      </c>
      <c r="J87" s="2">
        <v>43712</v>
      </c>
      <c r="K87" s="2">
        <f t="shared" si="11"/>
        <v>87424</v>
      </c>
      <c r="M87" s="2">
        <f t="shared" si="12"/>
        <v>0</v>
      </c>
      <c r="N87" s="2">
        <f t="shared" si="13"/>
        <v>46973</v>
      </c>
      <c r="O87" s="2">
        <f t="shared" si="14"/>
        <v>93946</v>
      </c>
      <c r="P87" t="s">
        <v>247</v>
      </c>
      <c r="Q87" t="s">
        <v>534</v>
      </c>
    </row>
    <row r="88" spans="1:17" ht="24" customHeight="1" x14ac:dyDescent="0.3">
      <c r="A88" t="s">
        <v>16</v>
      </c>
      <c r="B88" t="s">
        <v>107</v>
      </c>
      <c r="C88">
        <v>19</v>
      </c>
      <c r="D88" t="s">
        <v>321</v>
      </c>
      <c r="E88" t="s">
        <v>554</v>
      </c>
      <c r="F88">
        <v>1</v>
      </c>
      <c r="G88" t="s">
        <v>323</v>
      </c>
      <c r="H88" s="2">
        <v>0</v>
      </c>
      <c r="I88" s="2">
        <f t="shared" si="10"/>
        <v>0</v>
      </c>
      <c r="J88" s="2">
        <v>289893</v>
      </c>
      <c r="K88" s="2">
        <f t="shared" si="11"/>
        <v>289893</v>
      </c>
      <c r="L88" s="2">
        <v>0</v>
      </c>
      <c r="M88" s="2">
        <f t="shared" si="12"/>
        <v>0</v>
      </c>
      <c r="N88" s="2">
        <f t="shared" si="13"/>
        <v>289893</v>
      </c>
      <c r="O88" s="2">
        <f t="shared" si="14"/>
        <v>289893</v>
      </c>
      <c r="Q88" t="s">
        <v>324</v>
      </c>
    </row>
    <row r="89" spans="1:17" ht="24" customHeight="1" x14ac:dyDescent="0.3">
      <c r="A89" s="10" t="s">
        <v>16</v>
      </c>
      <c r="B89" s="10" t="s">
        <v>107</v>
      </c>
      <c r="C89" s="10"/>
      <c r="D89" s="10" t="s">
        <v>555</v>
      </c>
      <c r="E89" s="10"/>
      <c r="F89" s="10"/>
      <c r="G89" s="10"/>
      <c r="H89" s="10"/>
      <c r="I89" s="11">
        <f>SUM(I70:I88)</f>
        <v>930328</v>
      </c>
      <c r="J89" s="10"/>
      <c r="K89" s="11">
        <f>SUM(K70:K88)</f>
        <v>20561305</v>
      </c>
      <c r="L89" s="10"/>
      <c r="M89" s="11">
        <f>SUM(M70:M88)</f>
        <v>692412</v>
      </c>
      <c r="N89" s="10"/>
      <c r="O89" s="11">
        <f>SUM(O70:O88)</f>
        <v>22184045</v>
      </c>
      <c r="P89" s="10"/>
      <c r="Q89" s="10" t="s">
        <v>514</v>
      </c>
    </row>
    <row r="90" spans="1:17" ht="24" customHeight="1" x14ac:dyDescent="0.3">
      <c r="A90" t="s">
        <v>16</v>
      </c>
      <c r="B90" t="s">
        <v>108</v>
      </c>
      <c r="C90">
        <v>1</v>
      </c>
      <c r="D90" t="s">
        <v>334</v>
      </c>
      <c r="E90" t="s">
        <v>335</v>
      </c>
      <c r="F90">
        <v>2180</v>
      </c>
      <c r="G90" t="s">
        <v>168</v>
      </c>
      <c r="H90" s="2">
        <v>177</v>
      </c>
      <c r="I90" s="2">
        <f t="shared" ref="I90:I121" si="15">F90*H90</f>
        <v>385860</v>
      </c>
      <c r="J90" s="2">
        <v>1249</v>
      </c>
      <c r="K90" s="2">
        <f t="shared" ref="K90:K121" si="16">F90*J90</f>
        <v>2722820</v>
      </c>
      <c r="L90" s="2">
        <v>311</v>
      </c>
      <c r="M90" s="2">
        <f t="shared" ref="M90:M121" si="17">F90*L90</f>
        <v>677980</v>
      </c>
      <c r="N90" s="2">
        <f t="shared" ref="N90:N121" si="18">H90+J90+L90</f>
        <v>1737</v>
      </c>
      <c r="O90" s="2">
        <f t="shared" ref="O90:O121" si="19">I90+K90+M90</f>
        <v>3786660</v>
      </c>
      <c r="Q90" t="s">
        <v>336</v>
      </c>
    </row>
    <row r="91" spans="1:17" ht="24" customHeight="1" x14ac:dyDescent="0.3">
      <c r="A91" t="s">
        <v>16</v>
      </c>
      <c r="B91" t="s">
        <v>108</v>
      </c>
      <c r="C91">
        <v>2</v>
      </c>
      <c r="D91" t="s">
        <v>337</v>
      </c>
      <c r="E91" t="s">
        <v>335</v>
      </c>
      <c r="F91">
        <v>2180</v>
      </c>
      <c r="G91" t="s">
        <v>168</v>
      </c>
      <c r="H91" s="2">
        <v>177</v>
      </c>
      <c r="I91" s="2">
        <f t="shared" si="15"/>
        <v>385860</v>
      </c>
      <c r="J91" s="2">
        <v>1249</v>
      </c>
      <c r="K91" s="2">
        <f t="shared" si="16"/>
        <v>2722820</v>
      </c>
      <c r="L91" s="2">
        <v>311</v>
      </c>
      <c r="M91" s="2">
        <f t="shared" si="17"/>
        <v>677980</v>
      </c>
      <c r="N91" s="2">
        <f t="shared" si="18"/>
        <v>1737</v>
      </c>
      <c r="O91" s="2">
        <f t="shared" si="19"/>
        <v>3786660</v>
      </c>
      <c r="Q91" t="s">
        <v>336</v>
      </c>
    </row>
    <row r="92" spans="1:17" ht="24" customHeight="1" x14ac:dyDescent="0.3">
      <c r="A92" t="s">
        <v>16</v>
      </c>
      <c r="B92" t="s">
        <v>108</v>
      </c>
      <c r="C92">
        <v>3</v>
      </c>
      <c r="D92" t="s">
        <v>338</v>
      </c>
      <c r="E92" t="s">
        <v>339</v>
      </c>
      <c r="F92">
        <v>2180</v>
      </c>
      <c r="G92" t="s">
        <v>168</v>
      </c>
      <c r="H92" s="2">
        <v>0</v>
      </c>
      <c r="I92" s="2">
        <f t="shared" si="15"/>
        <v>0</v>
      </c>
      <c r="J92" s="2">
        <v>0</v>
      </c>
      <c r="K92" s="2">
        <f t="shared" si="16"/>
        <v>0</v>
      </c>
      <c r="L92" s="2">
        <v>0</v>
      </c>
      <c r="M92" s="2">
        <f t="shared" si="17"/>
        <v>0</v>
      </c>
      <c r="N92" s="2">
        <f t="shared" si="18"/>
        <v>0</v>
      </c>
      <c r="O92" s="2">
        <f t="shared" si="19"/>
        <v>0</v>
      </c>
      <c r="Q92" t="s">
        <v>336</v>
      </c>
    </row>
    <row r="93" spans="1:17" ht="24" customHeight="1" x14ac:dyDescent="0.3">
      <c r="A93" t="s">
        <v>16</v>
      </c>
      <c r="B93" t="s">
        <v>108</v>
      </c>
      <c r="C93">
        <v>4</v>
      </c>
      <c r="D93" t="s">
        <v>340</v>
      </c>
      <c r="E93" t="s">
        <v>341</v>
      </c>
      <c r="F93">
        <v>2180</v>
      </c>
      <c r="G93" t="s">
        <v>168</v>
      </c>
      <c r="H93" s="2">
        <v>11</v>
      </c>
      <c r="I93" s="2">
        <f t="shared" si="15"/>
        <v>23980</v>
      </c>
      <c r="J93" s="2">
        <v>36</v>
      </c>
      <c r="K93" s="2">
        <f t="shared" si="16"/>
        <v>78480</v>
      </c>
      <c r="L93" s="2">
        <v>1</v>
      </c>
      <c r="M93" s="2">
        <f t="shared" si="17"/>
        <v>2180</v>
      </c>
      <c r="N93" s="2">
        <f t="shared" si="18"/>
        <v>48</v>
      </c>
      <c r="O93" s="2">
        <f t="shared" si="19"/>
        <v>104640</v>
      </c>
      <c r="Q93" t="s">
        <v>342</v>
      </c>
    </row>
    <row r="94" spans="1:17" ht="24" customHeight="1" x14ac:dyDescent="0.3">
      <c r="A94" t="s">
        <v>16</v>
      </c>
      <c r="B94" t="s">
        <v>108</v>
      </c>
      <c r="C94">
        <v>5</v>
      </c>
      <c r="D94" t="s">
        <v>343</v>
      </c>
      <c r="E94" t="s">
        <v>344</v>
      </c>
      <c r="F94">
        <v>2180</v>
      </c>
      <c r="G94" t="s">
        <v>168</v>
      </c>
      <c r="H94" s="2">
        <v>11</v>
      </c>
      <c r="I94" s="2">
        <f t="shared" si="15"/>
        <v>23980</v>
      </c>
      <c r="J94" s="2">
        <v>36</v>
      </c>
      <c r="K94" s="2">
        <f t="shared" si="16"/>
        <v>78480</v>
      </c>
      <c r="L94" s="2">
        <v>1</v>
      </c>
      <c r="M94" s="2">
        <f t="shared" si="17"/>
        <v>2180</v>
      </c>
      <c r="N94" s="2">
        <f t="shared" si="18"/>
        <v>48</v>
      </c>
      <c r="O94" s="2">
        <f t="shared" si="19"/>
        <v>104640</v>
      </c>
      <c r="Q94" t="s">
        <v>345</v>
      </c>
    </row>
    <row r="95" spans="1:17" ht="24" customHeight="1" x14ac:dyDescent="0.3">
      <c r="A95" t="s">
        <v>16</v>
      </c>
      <c r="B95" t="s">
        <v>108</v>
      </c>
      <c r="C95">
        <v>6</v>
      </c>
      <c r="D95" t="s">
        <v>346</v>
      </c>
      <c r="E95" t="s">
        <v>347</v>
      </c>
      <c r="F95">
        <v>4360</v>
      </c>
      <c r="G95" t="s">
        <v>168</v>
      </c>
      <c r="H95" s="2">
        <v>11</v>
      </c>
      <c r="I95" s="2">
        <f t="shared" si="15"/>
        <v>47960</v>
      </c>
      <c r="J95" s="2">
        <v>36</v>
      </c>
      <c r="K95" s="2">
        <f t="shared" si="16"/>
        <v>156960</v>
      </c>
      <c r="L95" s="2">
        <v>1</v>
      </c>
      <c r="M95" s="2">
        <f t="shared" si="17"/>
        <v>4360</v>
      </c>
      <c r="N95" s="2">
        <f t="shared" si="18"/>
        <v>48</v>
      </c>
      <c r="O95" s="2">
        <f t="shared" si="19"/>
        <v>209280</v>
      </c>
      <c r="Q95" t="s">
        <v>348</v>
      </c>
    </row>
    <row r="96" spans="1:17" ht="24" customHeight="1" x14ac:dyDescent="0.3">
      <c r="A96" t="s">
        <v>16</v>
      </c>
      <c r="B96" t="s">
        <v>108</v>
      </c>
      <c r="C96">
        <v>7</v>
      </c>
      <c r="D96" t="s">
        <v>349</v>
      </c>
      <c r="E96" t="s">
        <v>350</v>
      </c>
      <c r="F96">
        <v>678</v>
      </c>
      <c r="G96" t="s">
        <v>171</v>
      </c>
      <c r="H96" s="2">
        <v>2216</v>
      </c>
      <c r="I96" s="2">
        <f t="shared" si="15"/>
        <v>1502448</v>
      </c>
      <c r="J96" s="2">
        <v>7533</v>
      </c>
      <c r="K96" s="2">
        <f t="shared" si="16"/>
        <v>5107374</v>
      </c>
      <c r="L96" s="2">
        <v>2292</v>
      </c>
      <c r="M96" s="2">
        <f t="shared" si="17"/>
        <v>1553976</v>
      </c>
      <c r="N96" s="2">
        <f t="shared" si="18"/>
        <v>12041</v>
      </c>
      <c r="O96" s="2">
        <f t="shared" si="19"/>
        <v>8163798</v>
      </c>
      <c r="Q96" t="s">
        <v>351</v>
      </c>
    </row>
    <row r="97" spans="1:17" ht="24" customHeight="1" x14ac:dyDescent="0.3">
      <c r="A97" t="s">
        <v>16</v>
      </c>
      <c r="B97" t="s">
        <v>108</v>
      </c>
      <c r="C97">
        <v>8</v>
      </c>
      <c r="D97" t="s">
        <v>352</v>
      </c>
      <c r="E97" t="s">
        <v>353</v>
      </c>
      <c r="F97">
        <v>840</v>
      </c>
      <c r="G97" t="s">
        <v>168</v>
      </c>
      <c r="H97" s="2">
        <v>596</v>
      </c>
      <c r="I97" s="2">
        <f t="shared" si="15"/>
        <v>500640</v>
      </c>
      <c r="J97" s="2">
        <v>7175</v>
      </c>
      <c r="K97" s="2">
        <f t="shared" si="16"/>
        <v>6027000</v>
      </c>
      <c r="L97" s="2">
        <v>641</v>
      </c>
      <c r="M97" s="2">
        <f t="shared" si="17"/>
        <v>538440</v>
      </c>
      <c r="N97" s="2">
        <f t="shared" si="18"/>
        <v>8412</v>
      </c>
      <c r="O97" s="2">
        <f t="shared" si="19"/>
        <v>7066080</v>
      </c>
      <c r="Q97" t="s">
        <v>354</v>
      </c>
    </row>
    <row r="98" spans="1:17" ht="24" customHeight="1" x14ac:dyDescent="0.3">
      <c r="A98" t="s">
        <v>16</v>
      </c>
      <c r="B98" t="s">
        <v>108</v>
      </c>
      <c r="C98">
        <v>9</v>
      </c>
      <c r="D98" t="s">
        <v>355</v>
      </c>
      <c r="E98" t="s">
        <v>356</v>
      </c>
      <c r="F98">
        <v>84</v>
      </c>
      <c r="G98" t="s">
        <v>171</v>
      </c>
      <c r="H98" s="2">
        <v>1320</v>
      </c>
      <c r="I98" s="2">
        <f t="shared" si="15"/>
        <v>110880</v>
      </c>
      <c r="J98" s="2">
        <v>11220</v>
      </c>
      <c r="K98" s="2">
        <f t="shared" si="16"/>
        <v>942480</v>
      </c>
      <c r="L98" s="2">
        <v>1521</v>
      </c>
      <c r="M98" s="2">
        <f t="shared" si="17"/>
        <v>127764</v>
      </c>
      <c r="N98" s="2">
        <f t="shared" si="18"/>
        <v>14061</v>
      </c>
      <c r="O98" s="2">
        <f t="shared" si="19"/>
        <v>1181124</v>
      </c>
      <c r="Q98" t="s">
        <v>356</v>
      </c>
    </row>
    <row r="99" spans="1:17" ht="24" customHeight="1" x14ac:dyDescent="0.3">
      <c r="A99" t="s">
        <v>16</v>
      </c>
      <c r="B99" t="s">
        <v>108</v>
      </c>
      <c r="C99">
        <v>10</v>
      </c>
      <c r="D99" t="s">
        <v>357</v>
      </c>
      <c r="E99" t="s">
        <v>358</v>
      </c>
      <c r="F99">
        <v>184</v>
      </c>
      <c r="G99" t="s">
        <v>168</v>
      </c>
      <c r="H99" s="2">
        <v>445</v>
      </c>
      <c r="I99" s="2">
        <f t="shared" si="15"/>
        <v>81880</v>
      </c>
      <c r="J99" s="2">
        <v>1402</v>
      </c>
      <c r="K99" s="2">
        <f t="shared" si="16"/>
        <v>257968</v>
      </c>
      <c r="L99" s="2">
        <v>783</v>
      </c>
      <c r="M99" s="2">
        <f t="shared" si="17"/>
        <v>144072</v>
      </c>
      <c r="N99" s="2">
        <f t="shared" si="18"/>
        <v>2630</v>
      </c>
      <c r="O99" s="2">
        <f t="shared" si="19"/>
        <v>483920</v>
      </c>
      <c r="Q99" t="s">
        <v>359</v>
      </c>
    </row>
    <row r="100" spans="1:17" ht="24" customHeight="1" x14ac:dyDescent="0.3">
      <c r="A100" t="s">
        <v>16</v>
      </c>
      <c r="B100" t="s">
        <v>108</v>
      </c>
      <c r="C100">
        <v>11</v>
      </c>
      <c r="D100" t="s">
        <v>360</v>
      </c>
      <c r="E100" t="s">
        <v>358</v>
      </c>
      <c r="F100">
        <v>11</v>
      </c>
      <c r="G100" t="s">
        <v>168</v>
      </c>
      <c r="H100" s="2">
        <v>445</v>
      </c>
      <c r="I100" s="2">
        <f t="shared" si="15"/>
        <v>4895</v>
      </c>
      <c r="J100" s="2">
        <v>1402</v>
      </c>
      <c r="K100" s="2">
        <f t="shared" si="16"/>
        <v>15422</v>
      </c>
      <c r="L100" s="2">
        <v>783</v>
      </c>
      <c r="M100" s="2">
        <f t="shared" si="17"/>
        <v>8613</v>
      </c>
      <c r="N100" s="2">
        <f t="shared" si="18"/>
        <v>2630</v>
      </c>
      <c r="O100" s="2">
        <f t="shared" si="19"/>
        <v>28930</v>
      </c>
      <c r="Q100" t="s">
        <v>359</v>
      </c>
    </row>
    <row r="101" spans="1:17" ht="24" customHeight="1" x14ac:dyDescent="0.3">
      <c r="A101" t="s">
        <v>16</v>
      </c>
      <c r="B101" t="s">
        <v>108</v>
      </c>
      <c r="C101">
        <v>12</v>
      </c>
      <c r="D101" t="s">
        <v>361</v>
      </c>
      <c r="E101" t="s">
        <v>362</v>
      </c>
      <c r="F101">
        <v>20</v>
      </c>
      <c r="G101" t="s">
        <v>171</v>
      </c>
      <c r="H101" s="2">
        <v>1320</v>
      </c>
      <c r="I101" s="2">
        <f t="shared" si="15"/>
        <v>26400</v>
      </c>
      <c r="J101" s="2">
        <v>11220</v>
      </c>
      <c r="K101" s="2">
        <f t="shared" si="16"/>
        <v>224400</v>
      </c>
      <c r="L101" s="2">
        <v>1521</v>
      </c>
      <c r="M101" s="2">
        <f t="shared" si="17"/>
        <v>30420</v>
      </c>
      <c r="N101" s="2">
        <f t="shared" si="18"/>
        <v>14061</v>
      </c>
      <c r="O101" s="2">
        <f t="shared" si="19"/>
        <v>281220</v>
      </c>
      <c r="Q101" t="s">
        <v>363</v>
      </c>
    </row>
    <row r="102" spans="1:17" ht="24" customHeight="1" x14ac:dyDescent="0.3">
      <c r="A102" t="s">
        <v>16</v>
      </c>
      <c r="B102" t="s">
        <v>108</v>
      </c>
      <c r="C102">
        <v>13</v>
      </c>
      <c r="D102" t="s">
        <v>364</v>
      </c>
      <c r="E102" t="s">
        <v>365</v>
      </c>
      <c r="F102">
        <v>420</v>
      </c>
      <c r="G102" t="s">
        <v>168</v>
      </c>
      <c r="H102" s="2">
        <v>5499</v>
      </c>
      <c r="I102" s="2">
        <f t="shared" si="15"/>
        <v>2309580</v>
      </c>
      <c r="J102" s="2">
        <v>71313</v>
      </c>
      <c r="K102" s="2">
        <f t="shared" si="16"/>
        <v>29951460</v>
      </c>
      <c r="L102" s="2">
        <v>3096</v>
      </c>
      <c r="M102" s="2">
        <f t="shared" si="17"/>
        <v>1300320</v>
      </c>
      <c r="N102" s="2">
        <f t="shared" si="18"/>
        <v>79908</v>
      </c>
      <c r="O102" s="2">
        <f t="shared" si="19"/>
        <v>33561360</v>
      </c>
      <c r="Q102" t="s">
        <v>365</v>
      </c>
    </row>
    <row r="103" spans="1:17" ht="24" customHeight="1" x14ac:dyDescent="0.3">
      <c r="A103" t="s">
        <v>16</v>
      </c>
      <c r="B103" t="s">
        <v>108</v>
      </c>
      <c r="C103">
        <v>14</v>
      </c>
      <c r="D103" t="s">
        <v>334</v>
      </c>
      <c r="E103" t="s">
        <v>556</v>
      </c>
      <c r="F103">
        <v>76</v>
      </c>
      <c r="G103" t="s">
        <v>168</v>
      </c>
      <c r="H103" s="2">
        <v>177</v>
      </c>
      <c r="I103" s="2">
        <f t="shared" si="15"/>
        <v>13452</v>
      </c>
      <c r="J103" s="2">
        <v>1249</v>
      </c>
      <c r="K103" s="2">
        <f t="shared" si="16"/>
        <v>94924</v>
      </c>
      <c r="L103" s="2">
        <v>311</v>
      </c>
      <c r="M103" s="2">
        <f t="shared" si="17"/>
        <v>23636</v>
      </c>
      <c r="N103" s="2">
        <f t="shared" si="18"/>
        <v>1737</v>
      </c>
      <c r="O103" s="2">
        <f t="shared" si="19"/>
        <v>132012</v>
      </c>
      <c r="Q103" t="s">
        <v>336</v>
      </c>
    </row>
    <row r="104" spans="1:17" ht="24" customHeight="1" x14ac:dyDescent="0.3">
      <c r="A104" t="s">
        <v>16</v>
      </c>
      <c r="B104" t="s">
        <v>108</v>
      </c>
      <c r="C104">
        <v>15</v>
      </c>
      <c r="D104" t="s">
        <v>557</v>
      </c>
      <c r="E104" t="s">
        <v>344</v>
      </c>
      <c r="F104">
        <v>152</v>
      </c>
      <c r="G104" t="s">
        <v>168</v>
      </c>
      <c r="H104" s="2">
        <v>11</v>
      </c>
      <c r="I104" s="2">
        <f t="shared" si="15"/>
        <v>1672</v>
      </c>
      <c r="J104" s="2">
        <v>36</v>
      </c>
      <c r="K104" s="2">
        <f t="shared" si="16"/>
        <v>5472</v>
      </c>
      <c r="L104" s="2">
        <v>1</v>
      </c>
      <c r="M104" s="2">
        <f t="shared" si="17"/>
        <v>152</v>
      </c>
      <c r="N104" s="2">
        <f t="shared" si="18"/>
        <v>48</v>
      </c>
      <c r="O104" s="2">
        <f t="shared" si="19"/>
        <v>7296</v>
      </c>
      <c r="Q104" t="s">
        <v>558</v>
      </c>
    </row>
    <row r="105" spans="1:17" ht="24" customHeight="1" x14ac:dyDescent="0.3">
      <c r="A105" t="s">
        <v>16</v>
      </c>
      <c r="B105" t="s">
        <v>108</v>
      </c>
      <c r="C105">
        <v>16</v>
      </c>
      <c r="D105" t="s">
        <v>559</v>
      </c>
      <c r="E105" t="s">
        <v>388</v>
      </c>
      <c r="F105">
        <v>38</v>
      </c>
      <c r="G105" t="s">
        <v>168</v>
      </c>
      <c r="H105" s="2">
        <v>21956</v>
      </c>
      <c r="I105" s="2">
        <f t="shared" si="15"/>
        <v>834328</v>
      </c>
      <c r="J105" s="2">
        <v>5987</v>
      </c>
      <c r="K105" s="2">
        <f t="shared" si="16"/>
        <v>227506</v>
      </c>
      <c r="L105" s="2">
        <v>724</v>
      </c>
      <c r="M105" s="2">
        <f t="shared" si="17"/>
        <v>27512</v>
      </c>
      <c r="N105" s="2">
        <f t="shared" si="18"/>
        <v>28667</v>
      </c>
      <c r="O105" s="2">
        <f t="shared" si="19"/>
        <v>1089346</v>
      </c>
      <c r="Q105" t="s">
        <v>398</v>
      </c>
    </row>
    <row r="106" spans="1:17" ht="24" customHeight="1" x14ac:dyDescent="0.3">
      <c r="A106" t="s">
        <v>16</v>
      </c>
      <c r="B106" t="s">
        <v>108</v>
      </c>
      <c r="C106">
        <v>17</v>
      </c>
      <c r="D106" t="s">
        <v>560</v>
      </c>
      <c r="E106" t="s">
        <v>393</v>
      </c>
      <c r="F106">
        <v>38</v>
      </c>
      <c r="G106" t="s">
        <v>168</v>
      </c>
      <c r="H106" s="2">
        <v>21956</v>
      </c>
      <c r="I106" s="2">
        <f t="shared" si="15"/>
        <v>834328</v>
      </c>
      <c r="J106" s="2">
        <v>5987</v>
      </c>
      <c r="K106" s="2">
        <f t="shared" si="16"/>
        <v>227506</v>
      </c>
      <c r="L106" s="2">
        <v>724</v>
      </c>
      <c r="M106" s="2">
        <f t="shared" si="17"/>
        <v>27512</v>
      </c>
      <c r="N106" s="2">
        <f t="shared" si="18"/>
        <v>28667</v>
      </c>
      <c r="O106" s="2">
        <f t="shared" si="19"/>
        <v>1089346</v>
      </c>
      <c r="Q106" t="s">
        <v>398</v>
      </c>
    </row>
    <row r="107" spans="1:17" ht="24" customHeight="1" x14ac:dyDescent="0.3">
      <c r="A107" t="s">
        <v>16</v>
      </c>
      <c r="B107" t="s">
        <v>108</v>
      </c>
      <c r="C107">
        <v>18</v>
      </c>
      <c r="D107" t="s">
        <v>561</v>
      </c>
      <c r="E107" t="s">
        <v>402</v>
      </c>
      <c r="F107">
        <v>76</v>
      </c>
      <c r="G107" t="s">
        <v>168</v>
      </c>
      <c r="H107" s="2">
        <v>3499</v>
      </c>
      <c r="I107" s="2">
        <f t="shared" si="15"/>
        <v>265924</v>
      </c>
      <c r="J107" s="2">
        <v>39163</v>
      </c>
      <c r="K107" s="2">
        <f t="shared" si="16"/>
        <v>2976388</v>
      </c>
      <c r="L107" s="2">
        <v>2355</v>
      </c>
      <c r="M107" s="2">
        <f t="shared" si="17"/>
        <v>178980</v>
      </c>
      <c r="N107" s="2">
        <f t="shared" si="18"/>
        <v>45017</v>
      </c>
      <c r="O107" s="2">
        <f t="shared" si="19"/>
        <v>3421292</v>
      </c>
      <c r="Q107" t="s">
        <v>562</v>
      </c>
    </row>
    <row r="108" spans="1:17" ht="24" customHeight="1" x14ac:dyDescent="0.3">
      <c r="A108" t="s">
        <v>16</v>
      </c>
      <c r="B108" t="s">
        <v>108</v>
      </c>
      <c r="C108">
        <v>19</v>
      </c>
      <c r="D108" t="s">
        <v>366</v>
      </c>
      <c r="E108" t="s">
        <v>367</v>
      </c>
      <c r="F108">
        <v>623</v>
      </c>
      <c r="G108" t="s">
        <v>199</v>
      </c>
      <c r="H108" s="2">
        <v>659</v>
      </c>
      <c r="I108" s="2">
        <f t="shared" si="15"/>
        <v>410557</v>
      </c>
      <c r="J108" s="2">
        <v>6686</v>
      </c>
      <c r="K108" s="2">
        <f t="shared" si="16"/>
        <v>4165378</v>
      </c>
      <c r="L108" s="2">
        <v>522</v>
      </c>
      <c r="M108" s="2">
        <f t="shared" si="17"/>
        <v>325206</v>
      </c>
      <c r="N108" s="2">
        <f t="shared" si="18"/>
        <v>7867</v>
      </c>
      <c r="O108" s="2">
        <f t="shared" si="19"/>
        <v>4901141</v>
      </c>
      <c r="Q108" t="s">
        <v>368</v>
      </c>
    </row>
    <row r="109" spans="1:17" ht="24" customHeight="1" x14ac:dyDescent="0.3">
      <c r="A109" t="s">
        <v>16</v>
      </c>
      <c r="B109" t="s">
        <v>108</v>
      </c>
      <c r="C109">
        <v>20</v>
      </c>
      <c r="D109" t="s">
        <v>369</v>
      </c>
      <c r="E109" t="s">
        <v>370</v>
      </c>
      <c r="F109">
        <v>11</v>
      </c>
      <c r="G109" t="s">
        <v>199</v>
      </c>
      <c r="H109" s="2">
        <v>771</v>
      </c>
      <c r="I109" s="2">
        <f t="shared" si="15"/>
        <v>8481</v>
      </c>
      <c r="J109" s="2">
        <v>7823</v>
      </c>
      <c r="K109" s="2">
        <f t="shared" si="16"/>
        <v>86053</v>
      </c>
      <c r="L109" s="2">
        <v>610</v>
      </c>
      <c r="M109" s="2">
        <f t="shared" si="17"/>
        <v>6710</v>
      </c>
      <c r="N109" s="2">
        <f t="shared" si="18"/>
        <v>9204</v>
      </c>
      <c r="O109" s="2">
        <f t="shared" si="19"/>
        <v>101244</v>
      </c>
      <c r="Q109" t="s">
        <v>371</v>
      </c>
    </row>
    <row r="110" spans="1:17" ht="24" customHeight="1" x14ac:dyDescent="0.3">
      <c r="A110" t="s">
        <v>16</v>
      </c>
      <c r="B110" t="s">
        <v>108</v>
      </c>
      <c r="C110">
        <v>21</v>
      </c>
      <c r="D110" t="s">
        <v>372</v>
      </c>
      <c r="E110" t="s">
        <v>373</v>
      </c>
      <c r="F110">
        <v>26</v>
      </c>
      <c r="G110" t="s">
        <v>199</v>
      </c>
      <c r="H110" s="2">
        <v>771</v>
      </c>
      <c r="I110" s="2">
        <f t="shared" si="15"/>
        <v>20046</v>
      </c>
      <c r="J110" s="2">
        <v>7823</v>
      </c>
      <c r="K110" s="2">
        <f t="shared" si="16"/>
        <v>203398</v>
      </c>
      <c r="L110" s="2">
        <v>610</v>
      </c>
      <c r="M110" s="2">
        <f t="shared" si="17"/>
        <v>15860</v>
      </c>
      <c r="N110" s="2">
        <f t="shared" si="18"/>
        <v>9204</v>
      </c>
      <c r="O110" s="2">
        <f t="shared" si="19"/>
        <v>239304</v>
      </c>
      <c r="Q110" t="s">
        <v>371</v>
      </c>
    </row>
    <row r="111" spans="1:17" ht="24" customHeight="1" x14ac:dyDescent="0.3">
      <c r="A111" t="s">
        <v>16</v>
      </c>
      <c r="B111" t="s">
        <v>108</v>
      </c>
      <c r="C111">
        <v>22</v>
      </c>
      <c r="D111" t="s">
        <v>374</v>
      </c>
      <c r="E111" t="s">
        <v>375</v>
      </c>
      <c r="F111">
        <v>385</v>
      </c>
      <c r="G111" t="s">
        <v>199</v>
      </c>
      <c r="H111" s="2">
        <v>659</v>
      </c>
      <c r="I111" s="2">
        <f t="shared" si="15"/>
        <v>253715</v>
      </c>
      <c r="J111" s="2">
        <v>6686</v>
      </c>
      <c r="K111" s="2">
        <f t="shared" si="16"/>
        <v>2574110</v>
      </c>
      <c r="L111" s="2">
        <v>522</v>
      </c>
      <c r="M111" s="2">
        <f t="shared" si="17"/>
        <v>200970</v>
      </c>
      <c r="N111" s="2">
        <f t="shared" si="18"/>
        <v>7867</v>
      </c>
      <c r="O111" s="2">
        <f t="shared" si="19"/>
        <v>3028795</v>
      </c>
      <c r="Q111" t="s">
        <v>368</v>
      </c>
    </row>
    <row r="112" spans="1:17" ht="24" customHeight="1" x14ac:dyDescent="0.3">
      <c r="A112" t="s">
        <v>16</v>
      </c>
      <c r="B112" t="s">
        <v>108</v>
      </c>
      <c r="C112">
        <v>23</v>
      </c>
      <c r="D112" t="s">
        <v>376</v>
      </c>
      <c r="F112">
        <v>552</v>
      </c>
      <c r="G112" t="s">
        <v>165</v>
      </c>
      <c r="H112" s="2">
        <v>445</v>
      </c>
      <c r="I112" s="2">
        <f t="shared" si="15"/>
        <v>245640</v>
      </c>
      <c r="J112" s="2">
        <v>1402</v>
      </c>
      <c r="K112" s="2">
        <f t="shared" si="16"/>
        <v>773904</v>
      </c>
      <c r="L112" s="2">
        <v>783</v>
      </c>
      <c r="M112" s="2">
        <f t="shared" si="17"/>
        <v>432216</v>
      </c>
      <c r="N112" s="2">
        <f t="shared" si="18"/>
        <v>2630</v>
      </c>
      <c r="O112" s="2">
        <f t="shared" si="19"/>
        <v>1451760</v>
      </c>
      <c r="Q112" t="s">
        <v>377</v>
      </c>
    </row>
    <row r="113" spans="1:17" ht="24" customHeight="1" x14ac:dyDescent="0.3">
      <c r="A113" t="s">
        <v>16</v>
      </c>
      <c r="B113" t="s">
        <v>108</v>
      </c>
      <c r="C113">
        <v>24</v>
      </c>
      <c r="D113" t="s">
        <v>563</v>
      </c>
      <c r="E113" t="s">
        <v>379</v>
      </c>
      <c r="F113">
        <v>4</v>
      </c>
      <c r="G113" t="s">
        <v>188</v>
      </c>
      <c r="H113" s="2">
        <v>10164</v>
      </c>
      <c r="I113" s="2">
        <f t="shared" si="15"/>
        <v>40656</v>
      </c>
      <c r="J113" s="2">
        <v>386451</v>
      </c>
      <c r="K113" s="2">
        <f t="shared" si="16"/>
        <v>1545804</v>
      </c>
      <c r="L113" s="2">
        <v>10071</v>
      </c>
      <c r="M113" s="2">
        <f t="shared" si="17"/>
        <v>40284</v>
      </c>
      <c r="N113" s="2">
        <f t="shared" si="18"/>
        <v>406686</v>
      </c>
      <c r="O113" s="2">
        <f t="shared" si="19"/>
        <v>1626744</v>
      </c>
      <c r="Q113" t="s">
        <v>380</v>
      </c>
    </row>
    <row r="114" spans="1:17" ht="24" customHeight="1" x14ac:dyDescent="0.3">
      <c r="A114" t="s">
        <v>16</v>
      </c>
      <c r="B114" t="s">
        <v>108</v>
      </c>
      <c r="C114">
        <v>25</v>
      </c>
      <c r="D114" t="s">
        <v>381</v>
      </c>
      <c r="E114" t="s">
        <v>382</v>
      </c>
      <c r="F114">
        <v>2</v>
      </c>
      <c r="G114" t="s">
        <v>188</v>
      </c>
      <c r="H114" s="2">
        <v>10164</v>
      </c>
      <c r="I114" s="2">
        <f t="shared" si="15"/>
        <v>20328</v>
      </c>
      <c r="J114" s="2">
        <v>386451</v>
      </c>
      <c r="K114" s="2">
        <f t="shared" si="16"/>
        <v>772902</v>
      </c>
      <c r="L114" s="2">
        <v>10071</v>
      </c>
      <c r="M114" s="2">
        <f t="shared" si="17"/>
        <v>20142</v>
      </c>
      <c r="N114" s="2">
        <f t="shared" si="18"/>
        <v>406686</v>
      </c>
      <c r="O114" s="2">
        <f t="shared" si="19"/>
        <v>813372</v>
      </c>
      <c r="Q114" t="s">
        <v>383</v>
      </c>
    </row>
    <row r="115" spans="1:17" ht="24" customHeight="1" x14ac:dyDescent="0.3">
      <c r="A115" t="s">
        <v>16</v>
      </c>
      <c r="B115" t="s">
        <v>108</v>
      </c>
      <c r="C115">
        <v>26</v>
      </c>
      <c r="D115" t="s">
        <v>384</v>
      </c>
      <c r="E115" t="s">
        <v>385</v>
      </c>
      <c r="F115">
        <v>2</v>
      </c>
      <c r="G115" t="s">
        <v>188</v>
      </c>
      <c r="H115" s="2">
        <v>95000</v>
      </c>
      <c r="I115" s="2">
        <f t="shared" si="15"/>
        <v>190000</v>
      </c>
      <c r="J115" s="2">
        <v>386451</v>
      </c>
      <c r="K115" s="2">
        <f t="shared" si="16"/>
        <v>772902</v>
      </c>
      <c r="L115" s="2">
        <v>10071</v>
      </c>
      <c r="M115" s="2">
        <f t="shared" si="17"/>
        <v>20142</v>
      </c>
      <c r="N115" s="2">
        <f t="shared" si="18"/>
        <v>491522</v>
      </c>
      <c r="O115" s="2">
        <f t="shared" si="19"/>
        <v>983044</v>
      </c>
      <c r="P115" t="s">
        <v>247</v>
      </c>
      <c r="Q115" t="s">
        <v>386</v>
      </c>
    </row>
    <row r="116" spans="1:17" ht="24" customHeight="1" x14ac:dyDescent="0.3">
      <c r="A116" t="s">
        <v>16</v>
      </c>
      <c r="B116" t="s">
        <v>108</v>
      </c>
      <c r="C116">
        <v>27</v>
      </c>
      <c r="D116" t="s">
        <v>387</v>
      </c>
      <c r="E116" t="s">
        <v>393</v>
      </c>
      <c r="F116">
        <v>149</v>
      </c>
      <c r="G116" t="s">
        <v>168</v>
      </c>
      <c r="H116" s="2">
        <v>4840</v>
      </c>
      <c r="I116" s="2">
        <f t="shared" si="15"/>
        <v>721160</v>
      </c>
      <c r="J116" s="2">
        <v>3492</v>
      </c>
      <c r="K116" s="2">
        <f t="shared" si="16"/>
        <v>520308</v>
      </c>
      <c r="L116" s="2">
        <v>247</v>
      </c>
      <c r="M116" s="2">
        <f t="shared" si="17"/>
        <v>36803</v>
      </c>
      <c r="N116" s="2">
        <f t="shared" si="18"/>
        <v>8579</v>
      </c>
      <c r="O116" s="2">
        <f t="shared" si="19"/>
        <v>1278271</v>
      </c>
      <c r="Q116" t="s">
        <v>389</v>
      </c>
    </row>
    <row r="117" spans="1:17" ht="24" customHeight="1" x14ac:dyDescent="0.3">
      <c r="A117" t="s">
        <v>16</v>
      </c>
      <c r="B117" t="s">
        <v>108</v>
      </c>
      <c r="C117">
        <v>28</v>
      </c>
      <c r="D117" t="s">
        <v>390</v>
      </c>
      <c r="E117" t="s">
        <v>395</v>
      </c>
      <c r="F117">
        <v>2</v>
      </c>
      <c r="G117" t="s">
        <v>168</v>
      </c>
      <c r="H117" s="2">
        <v>4840</v>
      </c>
      <c r="I117" s="2">
        <f t="shared" si="15"/>
        <v>9680</v>
      </c>
      <c r="J117" s="2">
        <v>3492</v>
      </c>
      <c r="K117" s="2">
        <f t="shared" si="16"/>
        <v>6984</v>
      </c>
      <c r="L117" s="2">
        <v>247</v>
      </c>
      <c r="M117" s="2">
        <f t="shared" si="17"/>
        <v>494</v>
      </c>
      <c r="N117" s="2">
        <f t="shared" si="18"/>
        <v>8579</v>
      </c>
      <c r="O117" s="2">
        <f t="shared" si="19"/>
        <v>17158</v>
      </c>
      <c r="Q117" t="s">
        <v>389</v>
      </c>
    </row>
    <row r="118" spans="1:17" ht="24" customHeight="1" x14ac:dyDescent="0.3">
      <c r="A118" t="s">
        <v>16</v>
      </c>
      <c r="B118" t="s">
        <v>108</v>
      </c>
      <c r="C118">
        <v>29</v>
      </c>
      <c r="D118" t="s">
        <v>564</v>
      </c>
      <c r="E118" t="s">
        <v>397</v>
      </c>
      <c r="F118">
        <v>59</v>
      </c>
      <c r="G118" t="s">
        <v>168</v>
      </c>
      <c r="H118" s="2">
        <v>21956</v>
      </c>
      <c r="I118" s="2">
        <f t="shared" si="15"/>
        <v>1295404</v>
      </c>
      <c r="J118" s="2">
        <v>5987</v>
      </c>
      <c r="K118" s="2">
        <f t="shared" si="16"/>
        <v>353233</v>
      </c>
      <c r="L118" s="2">
        <v>724</v>
      </c>
      <c r="M118" s="2">
        <f t="shared" si="17"/>
        <v>42716</v>
      </c>
      <c r="N118" s="2">
        <f t="shared" si="18"/>
        <v>28667</v>
      </c>
      <c r="O118" s="2">
        <f t="shared" si="19"/>
        <v>1691353</v>
      </c>
      <c r="Q118" t="s">
        <v>398</v>
      </c>
    </row>
    <row r="119" spans="1:17" ht="24" customHeight="1" x14ac:dyDescent="0.3">
      <c r="A119" t="s">
        <v>16</v>
      </c>
      <c r="B119" t="s">
        <v>108</v>
      </c>
      <c r="C119">
        <v>30</v>
      </c>
      <c r="D119" t="s">
        <v>565</v>
      </c>
      <c r="E119" t="s">
        <v>400</v>
      </c>
      <c r="F119">
        <v>7</v>
      </c>
      <c r="G119" t="s">
        <v>168</v>
      </c>
      <c r="H119" s="2">
        <v>21956</v>
      </c>
      <c r="I119" s="2">
        <f t="shared" si="15"/>
        <v>153692</v>
      </c>
      <c r="J119" s="2">
        <v>5987</v>
      </c>
      <c r="K119" s="2">
        <f t="shared" si="16"/>
        <v>41909</v>
      </c>
      <c r="L119" s="2">
        <v>724</v>
      </c>
      <c r="M119" s="2">
        <f t="shared" si="17"/>
        <v>5068</v>
      </c>
      <c r="N119" s="2">
        <f t="shared" si="18"/>
        <v>28667</v>
      </c>
      <c r="O119" s="2">
        <f t="shared" si="19"/>
        <v>200669</v>
      </c>
      <c r="Q119" t="s">
        <v>398</v>
      </c>
    </row>
    <row r="120" spans="1:17" ht="24" customHeight="1" x14ac:dyDescent="0.3">
      <c r="A120" t="s">
        <v>16</v>
      </c>
      <c r="B120" t="s">
        <v>108</v>
      </c>
      <c r="C120">
        <v>31</v>
      </c>
      <c r="D120" t="s">
        <v>566</v>
      </c>
      <c r="E120" t="s">
        <v>402</v>
      </c>
      <c r="F120">
        <v>149</v>
      </c>
      <c r="G120" t="s">
        <v>168</v>
      </c>
      <c r="H120" s="2">
        <v>3499</v>
      </c>
      <c r="I120" s="2">
        <f t="shared" si="15"/>
        <v>521351</v>
      </c>
      <c r="J120" s="2">
        <v>39163</v>
      </c>
      <c r="K120" s="2">
        <f t="shared" si="16"/>
        <v>5835287</v>
      </c>
      <c r="L120" s="2">
        <v>2355</v>
      </c>
      <c r="M120" s="2">
        <f t="shared" si="17"/>
        <v>350895</v>
      </c>
      <c r="N120" s="2">
        <f t="shared" si="18"/>
        <v>45017</v>
      </c>
      <c r="O120" s="2">
        <f t="shared" si="19"/>
        <v>6707533</v>
      </c>
      <c r="Q120" t="s">
        <v>567</v>
      </c>
    </row>
    <row r="121" spans="1:17" ht="24" customHeight="1" x14ac:dyDescent="0.3">
      <c r="A121" t="s">
        <v>16</v>
      </c>
      <c r="B121" t="s">
        <v>108</v>
      </c>
      <c r="C121">
        <v>32</v>
      </c>
      <c r="D121" t="s">
        <v>568</v>
      </c>
      <c r="E121" t="s">
        <v>405</v>
      </c>
      <c r="F121">
        <v>2</v>
      </c>
      <c r="G121" t="s">
        <v>168</v>
      </c>
      <c r="H121" s="2">
        <v>3499</v>
      </c>
      <c r="I121" s="2">
        <f t="shared" si="15"/>
        <v>6998</v>
      </c>
      <c r="J121" s="2">
        <v>39163</v>
      </c>
      <c r="K121" s="2">
        <f t="shared" si="16"/>
        <v>78326</v>
      </c>
      <c r="L121" s="2">
        <v>2355</v>
      </c>
      <c r="M121" s="2">
        <f t="shared" si="17"/>
        <v>4710</v>
      </c>
      <c r="N121" s="2">
        <f t="shared" si="18"/>
        <v>45017</v>
      </c>
      <c r="O121" s="2">
        <f t="shared" si="19"/>
        <v>90034</v>
      </c>
      <c r="Q121" t="s">
        <v>569</v>
      </c>
    </row>
    <row r="122" spans="1:17" ht="24" customHeight="1" x14ac:dyDescent="0.3">
      <c r="A122" t="s">
        <v>16</v>
      </c>
      <c r="B122" t="s">
        <v>108</v>
      </c>
      <c r="C122">
        <v>33</v>
      </c>
      <c r="D122" t="s">
        <v>401</v>
      </c>
      <c r="E122" t="s">
        <v>397</v>
      </c>
      <c r="F122">
        <v>59</v>
      </c>
      <c r="G122" t="s">
        <v>168</v>
      </c>
      <c r="H122" s="2">
        <v>4840</v>
      </c>
      <c r="I122" s="2">
        <f t="shared" ref="I122:I153" si="20">F122*H122</f>
        <v>285560</v>
      </c>
      <c r="J122" s="2">
        <v>3492</v>
      </c>
      <c r="K122" s="2">
        <f t="shared" ref="K122:K153" si="21">F122*J122</f>
        <v>206028</v>
      </c>
      <c r="L122" s="2">
        <v>247</v>
      </c>
      <c r="M122" s="2">
        <f t="shared" ref="M122:M153" si="22">F122*L122</f>
        <v>14573</v>
      </c>
      <c r="N122" s="2">
        <f t="shared" ref="N122:N145" si="23">H122+J122+L122</f>
        <v>8579</v>
      </c>
      <c r="O122" s="2">
        <f t="shared" ref="O122:O145" si="24">I122+K122+M122</f>
        <v>506161</v>
      </c>
      <c r="Q122" t="s">
        <v>408</v>
      </c>
    </row>
    <row r="123" spans="1:17" ht="24" customHeight="1" x14ac:dyDescent="0.3">
      <c r="A123" t="s">
        <v>16</v>
      </c>
      <c r="B123" t="s">
        <v>108</v>
      </c>
      <c r="C123">
        <v>34</v>
      </c>
      <c r="D123" t="s">
        <v>404</v>
      </c>
      <c r="E123" t="s">
        <v>400</v>
      </c>
      <c r="F123">
        <v>7</v>
      </c>
      <c r="G123" t="s">
        <v>168</v>
      </c>
      <c r="H123" s="2">
        <v>5079</v>
      </c>
      <c r="I123" s="2">
        <f t="shared" si="20"/>
        <v>35553</v>
      </c>
      <c r="J123" s="2">
        <v>7373</v>
      </c>
      <c r="K123" s="2">
        <f t="shared" si="21"/>
        <v>51611</v>
      </c>
      <c r="L123" s="2">
        <v>523</v>
      </c>
      <c r="M123" s="2">
        <f t="shared" si="22"/>
        <v>3661</v>
      </c>
      <c r="N123" s="2">
        <f t="shared" si="23"/>
        <v>12975</v>
      </c>
      <c r="O123" s="2">
        <f t="shared" si="24"/>
        <v>90825</v>
      </c>
      <c r="Q123" t="s">
        <v>400</v>
      </c>
    </row>
    <row r="124" spans="1:17" ht="24" customHeight="1" x14ac:dyDescent="0.3">
      <c r="A124" t="s">
        <v>16</v>
      </c>
      <c r="B124" t="s">
        <v>108</v>
      </c>
      <c r="C124">
        <v>35</v>
      </c>
      <c r="D124" t="s">
        <v>410</v>
      </c>
      <c r="E124" t="s">
        <v>411</v>
      </c>
      <c r="F124">
        <v>36</v>
      </c>
      <c r="G124" t="s">
        <v>188</v>
      </c>
      <c r="H124" s="2">
        <v>265</v>
      </c>
      <c r="I124" s="2">
        <f t="shared" si="20"/>
        <v>9540</v>
      </c>
      <c r="J124" s="2">
        <v>5316</v>
      </c>
      <c r="K124" s="2">
        <f t="shared" si="21"/>
        <v>191376</v>
      </c>
      <c r="L124" s="2">
        <v>0</v>
      </c>
      <c r="M124" s="2">
        <f t="shared" si="22"/>
        <v>0</v>
      </c>
      <c r="N124" s="2">
        <f t="shared" si="23"/>
        <v>5581</v>
      </c>
      <c r="O124" s="2">
        <f t="shared" si="24"/>
        <v>200916</v>
      </c>
      <c r="Q124" t="s">
        <v>410</v>
      </c>
    </row>
    <row r="125" spans="1:17" ht="24" customHeight="1" x14ac:dyDescent="0.3">
      <c r="A125" t="s">
        <v>16</v>
      </c>
      <c r="B125" t="s">
        <v>108</v>
      </c>
      <c r="C125">
        <v>36</v>
      </c>
      <c r="D125" t="s">
        <v>570</v>
      </c>
      <c r="E125" t="s">
        <v>571</v>
      </c>
      <c r="F125">
        <v>1</v>
      </c>
      <c r="G125" t="s">
        <v>188</v>
      </c>
      <c r="H125" s="2">
        <v>16010</v>
      </c>
      <c r="I125" s="2">
        <f t="shared" si="20"/>
        <v>16010</v>
      </c>
      <c r="J125" s="2">
        <v>0</v>
      </c>
      <c r="K125" s="2">
        <f t="shared" si="21"/>
        <v>0</v>
      </c>
      <c r="L125" s="2">
        <v>0</v>
      </c>
      <c r="M125" s="2">
        <f t="shared" si="22"/>
        <v>0</v>
      </c>
      <c r="N125" s="2">
        <f t="shared" si="23"/>
        <v>16010</v>
      </c>
      <c r="O125" s="2">
        <f t="shared" si="24"/>
        <v>16010</v>
      </c>
      <c r="Q125" t="s">
        <v>572</v>
      </c>
    </row>
    <row r="126" spans="1:17" ht="24" customHeight="1" x14ac:dyDescent="0.3">
      <c r="A126" t="s">
        <v>16</v>
      </c>
      <c r="B126" t="s">
        <v>108</v>
      </c>
      <c r="C126">
        <v>37</v>
      </c>
      <c r="D126" t="s">
        <v>573</v>
      </c>
      <c r="E126" t="s">
        <v>413</v>
      </c>
      <c r="F126">
        <v>20</v>
      </c>
      <c r="G126" t="s">
        <v>233</v>
      </c>
      <c r="H126" s="2">
        <v>140000</v>
      </c>
      <c r="I126" s="2">
        <f t="shared" si="20"/>
        <v>2800000</v>
      </c>
      <c r="J126" s="2">
        <v>48071</v>
      </c>
      <c r="K126" s="2">
        <f t="shared" si="21"/>
        <v>961420</v>
      </c>
      <c r="M126" s="2">
        <f t="shared" si="22"/>
        <v>0</v>
      </c>
      <c r="N126" s="2">
        <f t="shared" si="23"/>
        <v>188071</v>
      </c>
      <c r="O126" s="2">
        <f t="shared" si="24"/>
        <v>3761420</v>
      </c>
      <c r="P126" t="s">
        <v>247</v>
      </c>
      <c r="Q126" t="s">
        <v>573</v>
      </c>
    </row>
    <row r="127" spans="1:17" ht="24" customHeight="1" x14ac:dyDescent="0.3">
      <c r="A127" t="s">
        <v>16</v>
      </c>
      <c r="B127" t="s">
        <v>108</v>
      </c>
      <c r="C127">
        <v>38</v>
      </c>
      <c r="D127" t="s">
        <v>574</v>
      </c>
      <c r="E127" t="s">
        <v>293</v>
      </c>
      <c r="F127">
        <v>21</v>
      </c>
      <c r="G127" t="s">
        <v>290</v>
      </c>
      <c r="I127" s="2">
        <f t="shared" si="20"/>
        <v>0</v>
      </c>
      <c r="K127" s="2">
        <f t="shared" si="21"/>
        <v>0</v>
      </c>
      <c r="L127">
        <v>200</v>
      </c>
      <c r="M127" s="2">
        <f t="shared" si="22"/>
        <v>4200</v>
      </c>
      <c r="N127" s="2">
        <f t="shared" si="23"/>
        <v>200</v>
      </c>
      <c r="O127" s="2">
        <f t="shared" si="24"/>
        <v>4200</v>
      </c>
      <c r="P127" t="s">
        <v>247</v>
      </c>
      <c r="Q127" t="s">
        <v>575</v>
      </c>
    </row>
    <row r="128" spans="1:17" ht="24" customHeight="1" x14ac:dyDescent="0.3">
      <c r="A128" t="s">
        <v>16</v>
      </c>
      <c r="B128" t="s">
        <v>108</v>
      </c>
      <c r="C128">
        <v>39</v>
      </c>
      <c r="D128" t="s">
        <v>416</v>
      </c>
      <c r="E128" t="s">
        <v>417</v>
      </c>
      <c r="F128">
        <v>63</v>
      </c>
      <c r="G128" t="s">
        <v>418</v>
      </c>
      <c r="H128">
        <v>140000</v>
      </c>
      <c r="I128" s="2">
        <f t="shared" si="20"/>
        <v>8820000</v>
      </c>
      <c r="J128">
        <v>12000</v>
      </c>
      <c r="K128" s="2">
        <f t="shared" si="21"/>
        <v>756000</v>
      </c>
      <c r="L128">
        <v>80000</v>
      </c>
      <c r="M128" s="2">
        <f t="shared" si="22"/>
        <v>5040000</v>
      </c>
      <c r="N128" s="2">
        <f t="shared" si="23"/>
        <v>232000</v>
      </c>
      <c r="O128" s="2">
        <f t="shared" si="24"/>
        <v>14616000</v>
      </c>
      <c r="P128" t="s">
        <v>247</v>
      </c>
      <c r="Q128" t="s">
        <v>419</v>
      </c>
    </row>
    <row r="129" spans="1:17" ht="24" customHeight="1" x14ac:dyDescent="0.3">
      <c r="A129" t="s">
        <v>16</v>
      </c>
      <c r="B129" t="s">
        <v>108</v>
      </c>
      <c r="C129">
        <v>40</v>
      </c>
      <c r="D129" t="s">
        <v>423</v>
      </c>
      <c r="E129" t="s">
        <v>302</v>
      </c>
      <c r="F129">
        <v>66</v>
      </c>
      <c r="G129" t="s">
        <v>171</v>
      </c>
      <c r="H129" s="2">
        <v>1293</v>
      </c>
      <c r="I129" s="2">
        <f t="shared" si="20"/>
        <v>85338</v>
      </c>
      <c r="J129" s="2">
        <v>64674</v>
      </c>
      <c r="K129" s="2">
        <f t="shared" si="21"/>
        <v>4268484</v>
      </c>
      <c r="L129" s="2">
        <v>0</v>
      </c>
      <c r="M129" s="2">
        <f t="shared" si="22"/>
        <v>0</v>
      </c>
      <c r="N129" s="2">
        <f t="shared" si="23"/>
        <v>65967</v>
      </c>
      <c r="O129" s="2">
        <f t="shared" si="24"/>
        <v>4353822</v>
      </c>
      <c r="Q129" t="s">
        <v>303</v>
      </c>
    </row>
    <row r="130" spans="1:17" ht="24" customHeight="1" x14ac:dyDescent="0.3">
      <c r="A130" t="s">
        <v>16</v>
      </c>
      <c r="B130" t="s">
        <v>108</v>
      </c>
      <c r="C130">
        <v>41</v>
      </c>
      <c r="D130" t="s">
        <v>424</v>
      </c>
      <c r="E130" t="s">
        <v>425</v>
      </c>
      <c r="F130">
        <v>46</v>
      </c>
      <c r="G130" t="s">
        <v>171</v>
      </c>
      <c r="H130" s="2">
        <v>1293</v>
      </c>
      <c r="I130" s="2">
        <f t="shared" si="20"/>
        <v>59478</v>
      </c>
      <c r="J130" s="2">
        <v>64674</v>
      </c>
      <c r="K130" s="2">
        <f t="shared" si="21"/>
        <v>2975004</v>
      </c>
      <c r="L130" s="2">
        <v>0</v>
      </c>
      <c r="M130" s="2">
        <f t="shared" si="22"/>
        <v>0</v>
      </c>
      <c r="N130" s="2">
        <f t="shared" si="23"/>
        <v>65967</v>
      </c>
      <c r="O130" s="2">
        <f t="shared" si="24"/>
        <v>3034482</v>
      </c>
      <c r="Q130" t="s">
        <v>303</v>
      </c>
    </row>
    <row r="131" spans="1:17" ht="24" customHeight="1" x14ac:dyDescent="0.3">
      <c r="A131" t="s">
        <v>16</v>
      </c>
      <c r="B131" t="s">
        <v>108</v>
      </c>
      <c r="C131">
        <v>42</v>
      </c>
      <c r="D131" t="s">
        <v>426</v>
      </c>
      <c r="E131" t="s">
        <v>289</v>
      </c>
      <c r="F131">
        <v>5</v>
      </c>
      <c r="G131" t="s">
        <v>290</v>
      </c>
      <c r="H131">
        <v>5500</v>
      </c>
      <c r="I131" s="2">
        <f t="shared" si="20"/>
        <v>27500</v>
      </c>
      <c r="K131" s="2">
        <f t="shared" si="21"/>
        <v>0</v>
      </c>
      <c r="M131" s="2">
        <f t="shared" si="22"/>
        <v>0</v>
      </c>
      <c r="N131" s="2">
        <f t="shared" si="23"/>
        <v>5500</v>
      </c>
      <c r="O131" s="2">
        <f t="shared" si="24"/>
        <v>27500</v>
      </c>
      <c r="P131" t="s">
        <v>247</v>
      </c>
      <c r="Q131" t="s">
        <v>427</v>
      </c>
    </row>
    <row r="132" spans="1:17" ht="24" customHeight="1" x14ac:dyDescent="0.3">
      <c r="A132" t="s">
        <v>16</v>
      </c>
      <c r="B132" t="s">
        <v>108</v>
      </c>
      <c r="C132">
        <v>43</v>
      </c>
      <c r="D132" t="s">
        <v>428</v>
      </c>
      <c r="E132" t="s">
        <v>296</v>
      </c>
      <c r="F132">
        <v>42</v>
      </c>
      <c r="G132" t="s">
        <v>171</v>
      </c>
      <c r="H132">
        <v>45000</v>
      </c>
      <c r="I132" s="2">
        <f t="shared" si="20"/>
        <v>1890000</v>
      </c>
      <c r="J132" s="2">
        <v>110273</v>
      </c>
      <c r="K132" s="2">
        <f t="shared" si="21"/>
        <v>4631466</v>
      </c>
      <c r="M132" s="2">
        <f t="shared" si="22"/>
        <v>0</v>
      </c>
      <c r="N132" s="2">
        <f t="shared" si="23"/>
        <v>155273</v>
      </c>
      <c r="O132" s="2">
        <f t="shared" si="24"/>
        <v>6521466</v>
      </c>
      <c r="P132" t="s">
        <v>247</v>
      </c>
      <c r="Q132" t="s">
        <v>428</v>
      </c>
    </row>
    <row r="133" spans="1:17" ht="24" customHeight="1" x14ac:dyDescent="0.3">
      <c r="A133" t="s">
        <v>16</v>
      </c>
      <c r="B133" t="s">
        <v>108</v>
      </c>
      <c r="C133">
        <v>44</v>
      </c>
      <c r="D133" t="s">
        <v>429</v>
      </c>
      <c r="E133" t="s">
        <v>430</v>
      </c>
      <c r="F133">
        <v>1004</v>
      </c>
      <c r="G133" t="s">
        <v>171</v>
      </c>
      <c r="H133" s="2">
        <v>1320</v>
      </c>
      <c r="I133" s="2">
        <f t="shared" si="20"/>
        <v>1325280</v>
      </c>
      <c r="J133" s="2">
        <v>11220</v>
      </c>
      <c r="K133" s="2">
        <f t="shared" si="21"/>
        <v>11264880</v>
      </c>
      <c r="L133" s="2">
        <v>1521</v>
      </c>
      <c r="M133" s="2">
        <f t="shared" si="22"/>
        <v>1527084</v>
      </c>
      <c r="N133" s="2">
        <f t="shared" si="23"/>
        <v>14061</v>
      </c>
      <c r="O133" s="2">
        <f t="shared" si="24"/>
        <v>14117244</v>
      </c>
      <c r="Q133" t="s">
        <v>431</v>
      </c>
    </row>
    <row r="134" spans="1:17" ht="24" customHeight="1" x14ac:dyDescent="0.3">
      <c r="A134" t="s">
        <v>16</v>
      </c>
      <c r="B134" t="s">
        <v>108</v>
      </c>
      <c r="C134">
        <v>45</v>
      </c>
      <c r="D134" t="s">
        <v>432</v>
      </c>
      <c r="E134" t="s">
        <v>433</v>
      </c>
      <c r="F134">
        <v>9</v>
      </c>
      <c r="G134" t="s">
        <v>434</v>
      </c>
      <c r="H134" s="2">
        <v>154620</v>
      </c>
      <c r="I134" s="2">
        <f t="shared" si="20"/>
        <v>1391580</v>
      </c>
      <c r="J134" s="2">
        <v>0</v>
      </c>
      <c r="K134" s="2">
        <f t="shared" si="21"/>
        <v>0</v>
      </c>
      <c r="L134" s="2">
        <v>0</v>
      </c>
      <c r="M134" s="2">
        <f t="shared" si="22"/>
        <v>0</v>
      </c>
      <c r="N134" s="2">
        <f t="shared" si="23"/>
        <v>154620</v>
      </c>
      <c r="O134" s="2">
        <f t="shared" si="24"/>
        <v>1391580</v>
      </c>
      <c r="Q134" t="s">
        <v>435</v>
      </c>
    </row>
    <row r="135" spans="1:17" ht="24" customHeight="1" x14ac:dyDescent="0.3">
      <c r="A135" t="s">
        <v>16</v>
      </c>
      <c r="B135" t="s">
        <v>108</v>
      </c>
      <c r="C135">
        <v>46</v>
      </c>
      <c r="D135" t="s">
        <v>436</v>
      </c>
      <c r="E135" t="s">
        <v>437</v>
      </c>
      <c r="F135">
        <v>8</v>
      </c>
      <c r="G135" t="s">
        <v>434</v>
      </c>
      <c r="H135" s="2">
        <v>154620</v>
      </c>
      <c r="I135" s="2">
        <f t="shared" si="20"/>
        <v>1236960</v>
      </c>
      <c r="J135" s="2">
        <v>0</v>
      </c>
      <c r="K135" s="2">
        <f t="shared" si="21"/>
        <v>0</v>
      </c>
      <c r="L135" s="2">
        <v>0</v>
      </c>
      <c r="M135" s="2">
        <f t="shared" si="22"/>
        <v>0</v>
      </c>
      <c r="N135" s="2">
        <f t="shared" si="23"/>
        <v>154620</v>
      </c>
      <c r="O135" s="2">
        <f t="shared" si="24"/>
        <v>1236960</v>
      </c>
      <c r="Q135" t="s">
        <v>438</v>
      </c>
    </row>
    <row r="136" spans="1:17" ht="24" customHeight="1" x14ac:dyDescent="0.3">
      <c r="A136" t="s">
        <v>16</v>
      </c>
      <c r="B136" t="s">
        <v>108</v>
      </c>
      <c r="C136">
        <v>47</v>
      </c>
      <c r="D136" t="s">
        <v>439</v>
      </c>
      <c r="E136" t="s">
        <v>440</v>
      </c>
      <c r="F136">
        <v>339</v>
      </c>
      <c r="G136" t="s">
        <v>283</v>
      </c>
      <c r="H136">
        <v>120000</v>
      </c>
      <c r="I136" s="2">
        <f t="shared" si="20"/>
        <v>40680000</v>
      </c>
      <c r="J136">
        <v>7500</v>
      </c>
      <c r="K136" s="2">
        <f t="shared" si="21"/>
        <v>2542500</v>
      </c>
      <c r="L136">
        <v>12000</v>
      </c>
      <c r="M136" s="2">
        <f t="shared" si="22"/>
        <v>4068000</v>
      </c>
      <c r="N136" s="2">
        <f t="shared" si="23"/>
        <v>139500</v>
      </c>
      <c r="O136" s="2">
        <f t="shared" si="24"/>
        <v>47290500</v>
      </c>
      <c r="P136" t="s">
        <v>247</v>
      </c>
      <c r="Q136" t="s">
        <v>441</v>
      </c>
    </row>
    <row r="137" spans="1:17" ht="24" customHeight="1" x14ac:dyDescent="0.3">
      <c r="A137" t="s">
        <v>16</v>
      </c>
      <c r="B137" t="s">
        <v>108</v>
      </c>
      <c r="C137">
        <v>48</v>
      </c>
      <c r="D137" t="s">
        <v>442</v>
      </c>
      <c r="E137" t="s">
        <v>443</v>
      </c>
      <c r="F137">
        <v>339</v>
      </c>
      <c r="G137" t="s">
        <v>283</v>
      </c>
      <c r="H137">
        <v>110000</v>
      </c>
      <c r="I137" s="2">
        <f t="shared" si="20"/>
        <v>37290000</v>
      </c>
      <c r="J137">
        <v>7500</v>
      </c>
      <c r="K137" s="2">
        <f t="shared" si="21"/>
        <v>2542500</v>
      </c>
      <c r="L137">
        <v>12000</v>
      </c>
      <c r="M137" s="2">
        <f t="shared" si="22"/>
        <v>4068000</v>
      </c>
      <c r="N137" s="2">
        <f t="shared" si="23"/>
        <v>129500</v>
      </c>
      <c r="O137" s="2">
        <f t="shared" si="24"/>
        <v>43900500</v>
      </c>
      <c r="P137" t="s">
        <v>247</v>
      </c>
      <c r="Q137" t="s">
        <v>444</v>
      </c>
    </row>
    <row r="138" spans="1:17" ht="24" customHeight="1" x14ac:dyDescent="0.3">
      <c r="A138" t="s">
        <v>16</v>
      </c>
      <c r="B138" t="s">
        <v>108</v>
      </c>
      <c r="C138">
        <v>49</v>
      </c>
      <c r="D138" t="s">
        <v>445</v>
      </c>
      <c r="E138" t="s">
        <v>446</v>
      </c>
      <c r="F138">
        <v>774</v>
      </c>
      <c r="G138" t="s">
        <v>283</v>
      </c>
      <c r="H138">
        <v>110000</v>
      </c>
      <c r="I138" s="2">
        <f t="shared" si="20"/>
        <v>85140000</v>
      </c>
      <c r="J138">
        <v>7500</v>
      </c>
      <c r="K138" s="2">
        <f t="shared" si="21"/>
        <v>5805000</v>
      </c>
      <c r="L138">
        <v>12000</v>
      </c>
      <c r="M138" s="2">
        <f t="shared" si="22"/>
        <v>9288000</v>
      </c>
      <c r="N138" s="2">
        <f t="shared" si="23"/>
        <v>129500</v>
      </c>
      <c r="O138" s="2">
        <f t="shared" si="24"/>
        <v>100233000</v>
      </c>
      <c r="P138" t="s">
        <v>247</v>
      </c>
      <c r="Q138" t="s">
        <v>447</v>
      </c>
    </row>
    <row r="139" spans="1:17" ht="24" customHeight="1" x14ac:dyDescent="0.3">
      <c r="A139" t="s">
        <v>16</v>
      </c>
      <c r="B139" t="s">
        <v>108</v>
      </c>
      <c r="C139">
        <v>50</v>
      </c>
      <c r="D139" t="s">
        <v>448</v>
      </c>
      <c r="E139" t="s">
        <v>449</v>
      </c>
      <c r="F139">
        <v>642</v>
      </c>
      <c r="G139" t="s">
        <v>274</v>
      </c>
      <c r="H139" s="2">
        <v>659</v>
      </c>
      <c r="I139" s="2">
        <f t="shared" si="20"/>
        <v>423078</v>
      </c>
      <c r="J139" s="2">
        <v>6686</v>
      </c>
      <c r="K139" s="2">
        <f t="shared" si="21"/>
        <v>4292412</v>
      </c>
      <c r="L139" s="2">
        <v>522</v>
      </c>
      <c r="M139" s="2">
        <f t="shared" si="22"/>
        <v>335124</v>
      </c>
      <c r="N139" s="2">
        <f t="shared" si="23"/>
        <v>7867</v>
      </c>
      <c r="O139" s="2">
        <f t="shared" si="24"/>
        <v>5050614</v>
      </c>
      <c r="Q139" t="s">
        <v>450</v>
      </c>
    </row>
    <row r="140" spans="1:17" ht="24" customHeight="1" x14ac:dyDescent="0.3">
      <c r="A140" t="s">
        <v>16</v>
      </c>
      <c r="B140" t="s">
        <v>108</v>
      </c>
      <c r="C140">
        <v>51</v>
      </c>
      <c r="D140" t="s">
        <v>451</v>
      </c>
      <c r="E140" t="s">
        <v>452</v>
      </c>
      <c r="F140">
        <v>11</v>
      </c>
      <c r="G140" t="s">
        <v>274</v>
      </c>
      <c r="H140" s="2">
        <v>28000</v>
      </c>
      <c r="I140" s="2">
        <f t="shared" si="20"/>
        <v>308000</v>
      </c>
      <c r="J140" s="2">
        <v>12000</v>
      </c>
      <c r="K140" s="2">
        <f t="shared" si="21"/>
        <v>132000</v>
      </c>
      <c r="L140" s="2">
        <v>8000</v>
      </c>
      <c r="M140" s="2">
        <f t="shared" si="22"/>
        <v>88000</v>
      </c>
      <c r="N140" s="2">
        <f t="shared" si="23"/>
        <v>48000</v>
      </c>
      <c r="O140" s="2">
        <f t="shared" si="24"/>
        <v>528000</v>
      </c>
      <c r="P140" t="s">
        <v>247</v>
      </c>
      <c r="Q140" t="s">
        <v>453</v>
      </c>
    </row>
    <row r="141" spans="1:17" ht="24" customHeight="1" x14ac:dyDescent="0.3">
      <c r="A141" t="s">
        <v>16</v>
      </c>
      <c r="B141" t="s">
        <v>108</v>
      </c>
      <c r="C141">
        <v>52</v>
      </c>
      <c r="D141" t="s">
        <v>454</v>
      </c>
      <c r="E141" t="s">
        <v>455</v>
      </c>
      <c r="F141">
        <v>30</v>
      </c>
      <c r="G141" t="s">
        <v>274</v>
      </c>
      <c r="H141" s="2">
        <v>771</v>
      </c>
      <c r="I141" s="2">
        <f t="shared" si="20"/>
        <v>23130</v>
      </c>
      <c r="J141" s="2">
        <v>7823</v>
      </c>
      <c r="K141" s="2">
        <f t="shared" si="21"/>
        <v>234690</v>
      </c>
      <c r="L141" s="2">
        <v>610</v>
      </c>
      <c r="M141" s="2">
        <f t="shared" si="22"/>
        <v>18300</v>
      </c>
      <c r="N141" s="2">
        <f t="shared" si="23"/>
        <v>9204</v>
      </c>
      <c r="O141" s="2">
        <f t="shared" si="24"/>
        <v>276120</v>
      </c>
      <c r="Q141" t="s">
        <v>456</v>
      </c>
    </row>
    <row r="142" spans="1:17" ht="24" customHeight="1" x14ac:dyDescent="0.3">
      <c r="A142" t="s">
        <v>16</v>
      </c>
      <c r="B142" t="s">
        <v>108</v>
      </c>
      <c r="C142">
        <v>53</v>
      </c>
      <c r="D142" t="s">
        <v>457</v>
      </c>
      <c r="E142" t="s">
        <v>458</v>
      </c>
      <c r="F142">
        <v>397</v>
      </c>
      <c r="G142" t="s">
        <v>274</v>
      </c>
      <c r="H142" s="2">
        <v>659</v>
      </c>
      <c r="I142" s="2">
        <f t="shared" si="20"/>
        <v>261623</v>
      </c>
      <c r="J142" s="2">
        <v>6686</v>
      </c>
      <c r="K142" s="2">
        <f t="shared" si="21"/>
        <v>2654342</v>
      </c>
      <c r="L142" s="2">
        <v>522</v>
      </c>
      <c r="M142" s="2">
        <f t="shared" si="22"/>
        <v>207234</v>
      </c>
      <c r="N142" s="2">
        <f t="shared" si="23"/>
        <v>7867</v>
      </c>
      <c r="O142" s="2">
        <f t="shared" si="24"/>
        <v>3123199</v>
      </c>
      <c r="Q142" t="s">
        <v>450</v>
      </c>
    </row>
    <row r="143" spans="1:17" ht="24" customHeight="1" x14ac:dyDescent="0.3">
      <c r="A143" t="s">
        <v>16</v>
      </c>
      <c r="B143" t="s">
        <v>108</v>
      </c>
      <c r="C143">
        <v>54</v>
      </c>
      <c r="D143" t="s">
        <v>459</v>
      </c>
      <c r="E143" t="s">
        <v>460</v>
      </c>
      <c r="F143">
        <v>865</v>
      </c>
      <c r="G143" t="s">
        <v>168</v>
      </c>
      <c r="H143" s="2">
        <v>25000</v>
      </c>
      <c r="I143" s="2">
        <f t="shared" si="20"/>
        <v>21625000</v>
      </c>
      <c r="J143" s="2">
        <v>12000</v>
      </c>
      <c r="K143" s="2">
        <f t="shared" si="21"/>
        <v>10380000</v>
      </c>
      <c r="L143" s="2">
        <v>7000</v>
      </c>
      <c r="M143" s="2">
        <f t="shared" si="22"/>
        <v>6055000</v>
      </c>
      <c r="N143" s="2">
        <f t="shared" si="23"/>
        <v>44000</v>
      </c>
      <c r="O143" s="2">
        <f t="shared" si="24"/>
        <v>38060000</v>
      </c>
      <c r="P143" t="s">
        <v>247</v>
      </c>
      <c r="Q143" t="s">
        <v>461</v>
      </c>
    </row>
    <row r="144" spans="1:17" ht="24" customHeight="1" x14ac:dyDescent="0.3">
      <c r="A144" t="s">
        <v>16</v>
      </c>
      <c r="B144" t="s">
        <v>108</v>
      </c>
      <c r="C144">
        <v>55</v>
      </c>
      <c r="D144" t="s">
        <v>462</v>
      </c>
      <c r="E144" t="s">
        <v>463</v>
      </c>
      <c r="F144">
        <v>190</v>
      </c>
      <c r="G144" t="s">
        <v>274</v>
      </c>
      <c r="H144" s="2">
        <v>121</v>
      </c>
      <c r="I144" s="2">
        <f t="shared" si="20"/>
        <v>22990</v>
      </c>
      <c r="J144" s="2">
        <v>883</v>
      </c>
      <c r="K144" s="2">
        <f t="shared" si="21"/>
        <v>167770</v>
      </c>
      <c r="L144" s="2">
        <v>86</v>
      </c>
      <c r="M144" s="2">
        <f t="shared" si="22"/>
        <v>16340</v>
      </c>
      <c r="N144" s="2">
        <f t="shared" si="23"/>
        <v>1090</v>
      </c>
      <c r="O144" s="2">
        <f t="shared" si="24"/>
        <v>207100</v>
      </c>
      <c r="Q144" t="s">
        <v>464</v>
      </c>
    </row>
    <row r="145" spans="1:17" ht="24" customHeight="1" x14ac:dyDescent="0.3">
      <c r="A145" t="s">
        <v>16</v>
      </c>
      <c r="B145" t="s">
        <v>108</v>
      </c>
      <c r="C145">
        <v>56</v>
      </c>
      <c r="D145" t="s">
        <v>465</v>
      </c>
      <c r="E145" t="s">
        <v>463</v>
      </c>
      <c r="F145">
        <v>11</v>
      </c>
      <c r="G145" t="s">
        <v>274</v>
      </c>
      <c r="H145" s="2">
        <v>121</v>
      </c>
      <c r="I145" s="2">
        <f t="shared" si="20"/>
        <v>1331</v>
      </c>
      <c r="J145" s="2">
        <v>883</v>
      </c>
      <c r="K145" s="2">
        <f t="shared" si="21"/>
        <v>9713</v>
      </c>
      <c r="L145" s="2">
        <v>86</v>
      </c>
      <c r="M145" s="2">
        <f t="shared" si="22"/>
        <v>946</v>
      </c>
      <c r="N145" s="2">
        <f t="shared" si="23"/>
        <v>1090</v>
      </c>
      <c r="O145" s="2">
        <f t="shared" si="24"/>
        <v>11990</v>
      </c>
      <c r="Q145" t="s">
        <v>464</v>
      </c>
    </row>
    <row r="146" spans="1:17" ht="24" customHeight="1" x14ac:dyDescent="0.3">
      <c r="A146" s="10" t="s">
        <v>16</v>
      </c>
      <c r="B146" s="10" t="s">
        <v>108</v>
      </c>
      <c r="C146" s="10"/>
      <c r="D146" s="10" t="s">
        <v>576</v>
      </c>
      <c r="E146" s="10"/>
      <c r="F146" s="10"/>
      <c r="G146" s="10"/>
      <c r="H146" s="10"/>
      <c r="I146" s="11">
        <f>SUM(I90:I145)</f>
        <v>215009726</v>
      </c>
      <c r="J146" s="10"/>
      <c r="K146" s="11">
        <f>SUM(K90:K145)</f>
        <v>123615154</v>
      </c>
      <c r="L146" s="10"/>
      <c r="M146" s="11">
        <f>SUM(M90:M145)</f>
        <v>37562755</v>
      </c>
      <c r="N146" s="10"/>
      <c r="O146" s="11">
        <f>SUM(O90:O145)</f>
        <v>376187635</v>
      </c>
      <c r="P146" s="10"/>
      <c r="Q146" s="10" t="s">
        <v>577</v>
      </c>
    </row>
    <row r="147" spans="1:17" ht="24" customHeight="1" x14ac:dyDescent="0.3">
      <c r="A147" t="s">
        <v>16</v>
      </c>
      <c r="B147" t="s">
        <v>109</v>
      </c>
      <c r="C147">
        <v>1</v>
      </c>
      <c r="D147" t="s">
        <v>254</v>
      </c>
      <c r="E147" t="s">
        <v>255</v>
      </c>
      <c r="F147">
        <v>247</v>
      </c>
      <c r="G147" t="s">
        <v>171</v>
      </c>
      <c r="H147" s="2">
        <v>3186</v>
      </c>
      <c r="I147" s="2">
        <f t="shared" ref="I147:I168" si="25">F147*H147</f>
        <v>786942</v>
      </c>
      <c r="J147" s="2">
        <v>26699</v>
      </c>
      <c r="K147" s="2">
        <f t="shared" ref="K147:K168" si="26">F147*J147</f>
        <v>6594653</v>
      </c>
      <c r="L147" s="2">
        <v>3560</v>
      </c>
      <c r="M147" s="2">
        <f t="shared" ref="M147:M168" si="27">F147*L147</f>
        <v>879320</v>
      </c>
      <c r="N147" s="2">
        <f t="shared" ref="N147:N168" si="28">H147+J147+L147</f>
        <v>33445</v>
      </c>
      <c r="O147" s="2">
        <f t="shared" ref="O147:O168" si="29">I147+K147+M147</f>
        <v>8260915</v>
      </c>
      <c r="Q147" t="s">
        <v>256</v>
      </c>
    </row>
    <row r="148" spans="1:17" ht="24" customHeight="1" x14ac:dyDescent="0.3">
      <c r="A148" t="s">
        <v>16</v>
      </c>
      <c r="B148" t="s">
        <v>109</v>
      </c>
      <c r="C148">
        <v>2</v>
      </c>
      <c r="D148" t="s">
        <v>257</v>
      </c>
      <c r="E148" t="s">
        <v>226</v>
      </c>
      <c r="F148">
        <v>36</v>
      </c>
      <c r="G148" t="s">
        <v>171</v>
      </c>
      <c r="H148" s="2">
        <v>0</v>
      </c>
      <c r="I148" s="2">
        <f t="shared" si="25"/>
        <v>0</v>
      </c>
      <c r="J148" s="2">
        <v>0</v>
      </c>
      <c r="K148" s="2">
        <f t="shared" si="26"/>
        <v>0</v>
      </c>
      <c r="L148" s="2">
        <v>0</v>
      </c>
      <c r="M148" s="2">
        <f t="shared" si="27"/>
        <v>0</v>
      </c>
      <c r="N148" s="2">
        <f t="shared" si="28"/>
        <v>0</v>
      </c>
      <c r="O148" s="2">
        <f t="shared" si="29"/>
        <v>0</v>
      </c>
      <c r="Q148" t="s">
        <v>256</v>
      </c>
    </row>
    <row r="149" spans="1:17" ht="24" customHeight="1" x14ac:dyDescent="0.3">
      <c r="A149" t="s">
        <v>16</v>
      </c>
      <c r="B149" t="s">
        <v>109</v>
      </c>
      <c r="C149">
        <v>3</v>
      </c>
      <c r="D149" t="s">
        <v>258</v>
      </c>
      <c r="E149" t="s">
        <v>259</v>
      </c>
      <c r="F149">
        <v>22.33</v>
      </c>
      <c r="G149" t="s">
        <v>260</v>
      </c>
      <c r="H149" s="2">
        <v>55508</v>
      </c>
      <c r="I149" s="2">
        <f t="shared" si="25"/>
        <v>1239493.6399999999</v>
      </c>
      <c r="J149" s="2">
        <v>638337</v>
      </c>
      <c r="K149" s="2">
        <f t="shared" si="26"/>
        <v>14254065.209999999</v>
      </c>
      <c r="L149" s="2">
        <v>0</v>
      </c>
      <c r="M149" s="2">
        <f t="shared" si="27"/>
        <v>0</v>
      </c>
      <c r="N149" s="2">
        <f t="shared" si="28"/>
        <v>693845</v>
      </c>
      <c r="O149" s="2">
        <f t="shared" si="29"/>
        <v>15493558.85</v>
      </c>
      <c r="Q149" t="s">
        <v>261</v>
      </c>
    </row>
    <row r="150" spans="1:17" ht="24" customHeight="1" x14ac:dyDescent="0.3">
      <c r="A150" t="s">
        <v>16</v>
      </c>
      <c r="B150" t="s">
        <v>109</v>
      </c>
      <c r="C150">
        <v>4</v>
      </c>
      <c r="D150" t="s">
        <v>468</v>
      </c>
      <c r="E150" t="s">
        <v>469</v>
      </c>
      <c r="F150">
        <v>370</v>
      </c>
      <c r="G150" t="s">
        <v>168</v>
      </c>
      <c r="H150" s="2">
        <v>609</v>
      </c>
      <c r="I150" s="2">
        <f t="shared" si="25"/>
        <v>225330</v>
      </c>
      <c r="J150" s="2">
        <v>19663</v>
      </c>
      <c r="K150" s="2">
        <f t="shared" si="26"/>
        <v>7275310</v>
      </c>
      <c r="L150" s="2">
        <v>0</v>
      </c>
      <c r="M150" s="2">
        <f t="shared" si="27"/>
        <v>0</v>
      </c>
      <c r="N150" s="2">
        <f t="shared" si="28"/>
        <v>20272</v>
      </c>
      <c r="O150" s="2">
        <f t="shared" si="29"/>
        <v>7500640</v>
      </c>
      <c r="Q150" t="s">
        <v>470</v>
      </c>
    </row>
    <row r="151" spans="1:17" ht="24" customHeight="1" x14ac:dyDescent="0.3">
      <c r="A151" t="s">
        <v>16</v>
      </c>
      <c r="B151" t="s">
        <v>109</v>
      </c>
      <c r="C151">
        <v>5</v>
      </c>
      <c r="D151" t="s">
        <v>264</v>
      </c>
      <c r="E151" t="s">
        <v>263</v>
      </c>
      <c r="F151">
        <v>727</v>
      </c>
      <c r="G151" t="s">
        <v>168</v>
      </c>
      <c r="H151" s="2">
        <v>378</v>
      </c>
      <c r="I151" s="2">
        <f t="shared" si="25"/>
        <v>274806</v>
      </c>
      <c r="J151" s="2">
        <v>37806</v>
      </c>
      <c r="K151" s="2">
        <f t="shared" si="26"/>
        <v>27484962</v>
      </c>
      <c r="L151" s="2">
        <v>0</v>
      </c>
      <c r="M151" s="2">
        <f t="shared" si="27"/>
        <v>0</v>
      </c>
      <c r="N151" s="2">
        <f t="shared" si="28"/>
        <v>38184</v>
      </c>
      <c r="O151" s="2">
        <f t="shared" si="29"/>
        <v>27759768</v>
      </c>
      <c r="Q151" t="s">
        <v>263</v>
      </c>
    </row>
    <row r="152" spans="1:17" ht="24" customHeight="1" x14ac:dyDescent="0.3">
      <c r="A152" t="s">
        <v>16</v>
      </c>
      <c r="B152" t="s">
        <v>109</v>
      </c>
      <c r="C152">
        <v>6</v>
      </c>
      <c r="D152" t="s">
        <v>471</v>
      </c>
      <c r="E152" t="s">
        <v>229</v>
      </c>
      <c r="F152">
        <v>35</v>
      </c>
      <c r="G152" t="s">
        <v>168</v>
      </c>
      <c r="H152" s="2">
        <v>0</v>
      </c>
      <c r="I152" s="2">
        <f t="shared" si="25"/>
        <v>0</v>
      </c>
      <c r="J152" s="2">
        <v>0</v>
      </c>
      <c r="K152" s="2">
        <f t="shared" si="26"/>
        <v>0</v>
      </c>
      <c r="L152" s="2">
        <v>34535</v>
      </c>
      <c r="M152" s="2">
        <f t="shared" si="27"/>
        <v>1208725</v>
      </c>
      <c r="N152" s="2">
        <f t="shared" si="28"/>
        <v>34535</v>
      </c>
      <c r="O152" s="2">
        <f t="shared" si="29"/>
        <v>1208725</v>
      </c>
      <c r="Q152" t="s">
        <v>265</v>
      </c>
    </row>
    <row r="153" spans="1:17" ht="24" customHeight="1" x14ac:dyDescent="0.3">
      <c r="A153" t="s">
        <v>16</v>
      </c>
      <c r="B153" t="s">
        <v>109</v>
      </c>
      <c r="C153">
        <v>7</v>
      </c>
      <c r="D153" t="s">
        <v>472</v>
      </c>
      <c r="E153" t="s">
        <v>473</v>
      </c>
      <c r="F153">
        <v>281</v>
      </c>
      <c r="G153" t="s">
        <v>168</v>
      </c>
      <c r="H153" s="2">
        <v>9641</v>
      </c>
      <c r="I153" s="2">
        <f t="shared" si="25"/>
        <v>2709121</v>
      </c>
      <c r="J153" s="2">
        <v>17902</v>
      </c>
      <c r="K153" s="2">
        <f t="shared" si="26"/>
        <v>5030462</v>
      </c>
      <c r="L153" s="2">
        <v>0</v>
      </c>
      <c r="M153" s="2">
        <f t="shared" si="27"/>
        <v>0</v>
      </c>
      <c r="N153" s="2">
        <f t="shared" si="28"/>
        <v>27543</v>
      </c>
      <c r="O153" s="2">
        <f t="shared" si="29"/>
        <v>7739583</v>
      </c>
      <c r="Q153" t="s">
        <v>472</v>
      </c>
    </row>
    <row r="154" spans="1:17" ht="24" customHeight="1" x14ac:dyDescent="0.3">
      <c r="A154" t="s">
        <v>16</v>
      </c>
      <c r="B154" t="s">
        <v>109</v>
      </c>
      <c r="C154">
        <v>8</v>
      </c>
      <c r="D154" t="s">
        <v>474</v>
      </c>
      <c r="E154" t="s">
        <v>267</v>
      </c>
      <c r="F154">
        <v>2802</v>
      </c>
      <c r="G154" t="s">
        <v>168</v>
      </c>
      <c r="H154" s="2">
        <v>623</v>
      </c>
      <c r="I154" s="2">
        <f t="shared" si="25"/>
        <v>1745646</v>
      </c>
      <c r="J154" s="2">
        <v>9748</v>
      </c>
      <c r="K154" s="2">
        <f t="shared" si="26"/>
        <v>27313896</v>
      </c>
      <c r="L154" s="2">
        <v>0</v>
      </c>
      <c r="M154" s="2">
        <f t="shared" si="27"/>
        <v>0</v>
      </c>
      <c r="N154" s="2">
        <f t="shared" si="28"/>
        <v>10371</v>
      </c>
      <c r="O154" s="2">
        <f t="shared" si="29"/>
        <v>29059542</v>
      </c>
      <c r="Q154" t="s">
        <v>267</v>
      </c>
    </row>
    <row r="155" spans="1:17" ht="24" customHeight="1" x14ac:dyDescent="0.3">
      <c r="A155" t="s">
        <v>16</v>
      </c>
      <c r="B155" t="s">
        <v>109</v>
      </c>
      <c r="C155">
        <v>9</v>
      </c>
      <c r="D155" t="s">
        <v>475</v>
      </c>
      <c r="E155" t="s">
        <v>269</v>
      </c>
      <c r="F155">
        <v>2000</v>
      </c>
      <c r="G155" t="s">
        <v>168</v>
      </c>
      <c r="H155" s="2">
        <v>500</v>
      </c>
      <c r="I155" s="2">
        <f t="shared" si="25"/>
        <v>1000000</v>
      </c>
      <c r="J155" s="2">
        <v>1000</v>
      </c>
      <c r="K155" s="2">
        <f t="shared" si="26"/>
        <v>2000000</v>
      </c>
      <c r="M155" s="2">
        <f t="shared" si="27"/>
        <v>0</v>
      </c>
      <c r="N155" s="2">
        <f t="shared" si="28"/>
        <v>1500</v>
      </c>
      <c r="O155" s="2">
        <f t="shared" si="29"/>
        <v>3000000</v>
      </c>
      <c r="P155" t="s">
        <v>247</v>
      </c>
      <c r="Q155" t="s">
        <v>269</v>
      </c>
    </row>
    <row r="156" spans="1:17" ht="24" customHeight="1" x14ac:dyDescent="0.3">
      <c r="A156" t="s">
        <v>16</v>
      </c>
      <c r="B156" t="s">
        <v>109</v>
      </c>
      <c r="C156">
        <v>10</v>
      </c>
      <c r="D156" t="s">
        <v>476</v>
      </c>
      <c r="E156" t="s">
        <v>477</v>
      </c>
      <c r="F156">
        <v>23</v>
      </c>
      <c r="G156" t="s">
        <v>199</v>
      </c>
      <c r="H156" s="2">
        <v>522</v>
      </c>
      <c r="I156" s="2">
        <f t="shared" si="25"/>
        <v>12006</v>
      </c>
      <c r="J156" s="2">
        <v>5273</v>
      </c>
      <c r="K156" s="2">
        <f t="shared" si="26"/>
        <v>121279</v>
      </c>
      <c r="L156" s="2">
        <v>0</v>
      </c>
      <c r="M156" s="2">
        <f t="shared" si="27"/>
        <v>0</v>
      </c>
      <c r="N156" s="2">
        <f t="shared" si="28"/>
        <v>5795</v>
      </c>
      <c r="O156" s="2">
        <f t="shared" si="29"/>
        <v>133285</v>
      </c>
      <c r="Q156" t="s">
        <v>234</v>
      </c>
    </row>
    <row r="157" spans="1:17" ht="24" customHeight="1" x14ac:dyDescent="0.3">
      <c r="A157" t="s">
        <v>16</v>
      </c>
      <c r="B157" t="s">
        <v>109</v>
      </c>
      <c r="C157">
        <v>11</v>
      </c>
      <c r="D157" t="s">
        <v>478</v>
      </c>
      <c r="E157" t="s">
        <v>479</v>
      </c>
      <c r="F157">
        <v>254</v>
      </c>
      <c r="G157" t="s">
        <v>168</v>
      </c>
      <c r="H157" s="2">
        <v>2290</v>
      </c>
      <c r="I157" s="2">
        <f t="shared" si="25"/>
        <v>581660</v>
      </c>
      <c r="J157" s="2">
        <v>0</v>
      </c>
      <c r="K157" s="2">
        <f t="shared" si="26"/>
        <v>0</v>
      </c>
      <c r="L157" s="2">
        <v>0</v>
      </c>
      <c r="M157" s="2">
        <f t="shared" si="27"/>
        <v>0</v>
      </c>
      <c r="N157" s="2">
        <f t="shared" si="28"/>
        <v>2290</v>
      </c>
      <c r="O157" s="2">
        <f t="shared" si="29"/>
        <v>581660</v>
      </c>
      <c r="Q157" t="s">
        <v>478</v>
      </c>
    </row>
    <row r="158" spans="1:17" ht="24" customHeight="1" x14ac:dyDescent="0.3">
      <c r="A158" t="s">
        <v>16</v>
      </c>
      <c r="B158" t="s">
        <v>109</v>
      </c>
      <c r="C158">
        <v>12</v>
      </c>
      <c r="D158" t="s">
        <v>480</v>
      </c>
      <c r="F158">
        <v>254</v>
      </c>
      <c r="G158" t="s">
        <v>168</v>
      </c>
      <c r="H158" s="2">
        <v>34</v>
      </c>
      <c r="I158" s="2">
        <f t="shared" si="25"/>
        <v>8636</v>
      </c>
      <c r="J158" s="2">
        <v>358</v>
      </c>
      <c r="K158" s="2">
        <f t="shared" si="26"/>
        <v>90932</v>
      </c>
      <c r="L158" s="2">
        <v>24</v>
      </c>
      <c r="M158" s="2">
        <f t="shared" si="27"/>
        <v>6096</v>
      </c>
      <c r="N158" s="2">
        <f t="shared" si="28"/>
        <v>416</v>
      </c>
      <c r="O158" s="2">
        <f t="shared" si="29"/>
        <v>105664</v>
      </c>
      <c r="Q158" t="s">
        <v>480</v>
      </c>
    </row>
    <row r="159" spans="1:17" ht="24" customHeight="1" x14ac:dyDescent="0.3">
      <c r="A159" t="s">
        <v>16</v>
      </c>
      <c r="B159" t="s">
        <v>109</v>
      </c>
      <c r="C159">
        <v>13</v>
      </c>
      <c r="D159" t="s">
        <v>481</v>
      </c>
      <c r="E159" t="s">
        <v>271</v>
      </c>
      <c r="F159">
        <v>39</v>
      </c>
      <c r="G159" t="s">
        <v>168</v>
      </c>
      <c r="H159" s="2">
        <v>0</v>
      </c>
      <c r="I159" s="2">
        <f t="shared" si="25"/>
        <v>0</v>
      </c>
      <c r="J159" s="2">
        <v>67244</v>
      </c>
      <c r="K159" s="2">
        <f t="shared" si="26"/>
        <v>2622516</v>
      </c>
      <c r="L159" s="2">
        <v>0</v>
      </c>
      <c r="M159" s="2">
        <f t="shared" si="27"/>
        <v>0</v>
      </c>
      <c r="N159" s="2">
        <f t="shared" si="28"/>
        <v>67244</v>
      </c>
      <c r="O159" s="2">
        <f t="shared" si="29"/>
        <v>2622516</v>
      </c>
      <c r="Q159" t="s">
        <v>271</v>
      </c>
    </row>
    <row r="160" spans="1:17" ht="24" customHeight="1" x14ac:dyDescent="0.3">
      <c r="A160" t="s">
        <v>16</v>
      </c>
      <c r="B160" t="s">
        <v>109</v>
      </c>
      <c r="C160">
        <v>14</v>
      </c>
      <c r="D160" t="s">
        <v>482</v>
      </c>
      <c r="E160" t="s">
        <v>273</v>
      </c>
      <c r="F160">
        <v>795</v>
      </c>
      <c r="G160" t="s">
        <v>274</v>
      </c>
      <c r="H160" s="2">
        <v>35000</v>
      </c>
      <c r="I160" s="2">
        <f t="shared" si="25"/>
        <v>27825000</v>
      </c>
      <c r="J160" s="2">
        <v>12000</v>
      </c>
      <c r="K160" s="2">
        <f t="shared" si="26"/>
        <v>9540000</v>
      </c>
      <c r="L160">
        <v>800</v>
      </c>
      <c r="M160" s="2">
        <f t="shared" si="27"/>
        <v>636000</v>
      </c>
      <c r="N160" s="2">
        <f t="shared" si="28"/>
        <v>47800</v>
      </c>
      <c r="O160" s="2">
        <f t="shared" si="29"/>
        <v>38001000</v>
      </c>
      <c r="P160" t="s">
        <v>247</v>
      </c>
      <c r="Q160" t="s">
        <v>275</v>
      </c>
    </row>
    <row r="161" spans="1:17" ht="24" customHeight="1" x14ac:dyDescent="0.3">
      <c r="A161" t="s">
        <v>16</v>
      </c>
      <c r="B161" t="s">
        <v>109</v>
      </c>
      <c r="C161">
        <v>15</v>
      </c>
      <c r="D161" t="s">
        <v>276</v>
      </c>
      <c r="E161" t="s">
        <v>277</v>
      </c>
      <c r="F161">
        <v>322</v>
      </c>
      <c r="G161" t="s">
        <v>199</v>
      </c>
      <c r="H161" s="2">
        <v>51</v>
      </c>
      <c r="I161" s="2">
        <f t="shared" si="25"/>
        <v>16422</v>
      </c>
      <c r="J161" s="2">
        <v>5125</v>
      </c>
      <c r="K161" s="2">
        <f t="shared" si="26"/>
        <v>1650250</v>
      </c>
      <c r="L161" s="2">
        <v>0</v>
      </c>
      <c r="M161" s="2">
        <f t="shared" si="27"/>
        <v>0</v>
      </c>
      <c r="N161" s="2">
        <f t="shared" si="28"/>
        <v>5176</v>
      </c>
      <c r="O161" s="2">
        <f t="shared" si="29"/>
        <v>1666672</v>
      </c>
      <c r="Q161" t="s">
        <v>278</v>
      </c>
    </row>
    <row r="162" spans="1:17" ht="24" customHeight="1" x14ac:dyDescent="0.3">
      <c r="A162" t="s">
        <v>16</v>
      </c>
      <c r="B162" t="s">
        <v>109</v>
      </c>
      <c r="C162">
        <v>16</v>
      </c>
      <c r="D162" t="s">
        <v>279</v>
      </c>
      <c r="E162" t="s">
        <v>280</v>
      </c>
      <c r="F162">
        <v>70</v>
      </c>
      <c r="G162" t="s">
        <v>171</v>
      </c>
      <c r="H162" s="2">
        <v>1606</v>
      </c>
      <c r="I162" s="2">
        <f t="shared" si="25"/>
        <v>112420</v>
      </c>
      <c r="J162" s="2">
        <v>8751</v>
      </c>
      <c r="K162" s="2">
        <f t="shared" si="26"/>
        <v>612570</v>
      </c>
      <c r="L162" s="2">
        <v>1798</v>
      </c>
      <c r="M162" s="2">
        <f t="shared" si="27"/>
        <v>125860</v>
      </c>
      <c r="N162" s="2">
        <f t="shared" si="28"/>
        <v>12155</v>
      </c>
      <c r="O162" s="2">
        <f t="shared" si="29"/>
        <v>850850</v>
      </c>
      <c r="Q162" t="s">
        <v>279</v>
      </c>
    </row>
    <row r="163" spans="1:17" ht="24" customHeight="1" x14ac:dyDescent="0.3">
      <c r="A163" t="s">
        <v>16</v>
      </c>
      <c r="B163" t="s">
        <v>109</v>
      </c>
      <c r="C163">
        <v>17</v>
      </c>
      <c r="D163" t="s">
        <v>281</v>
      </c>
      <c r="E163" t="s">
        <v>282</v>
      </c>
      <c r="F163">
        <v>23</v>
      </c>
      <c r="G163" t="s">
        <v>283</v>
      </c>
      <c r="I163" s="2">
        <f t="shared" si="25"/>
        <v>0</v>
      </c>
      <c r="K163" s="2">
        <f t="shared" si="26"/>
        <v>0</v>
      </c>
      <c r="L163">
        <v>30000</v>
      </c>
      <c r="M163" s="2">
        <f t="shared" si="27"/>
        <v>690000</v>
      </c>
      <c r="N163" s="2">
        <f t="shared" si="28"/>
        <v>30000</v>
      </c>
      <c r="O163" s="2">
        <f t="shared" si="29"/>
        <v>690000</v>
      </c>
      <c r="P163" t="s">
        <v>247</v>
      </c>
      <c r="Q163" t="s">
        <v>284</v>
      </c>
    </row>
    <row r="164" spans="1:17" ht="24" customHeight="1" x14ac:dyDescent="0.3">
      <c r="A164" t="s">
        <v>16</v>
      </c>
      <c r="B164" t="s">
        <v>109</v>
      </c>
      <c r="C164">
        <v>18</v>
      </c>
      <c r="D164" t="s">
        <v>285</v>
      </c>
      <c r="E164" t="s">
        <v>286</v>
      </c>
      <c r="F164">
        <v>0.46899999999999997</v>
      </c>
      <c r="G164" t="s">
        <v>283</v>
      </c>
      <c r="H164">
        <v>-10000</v>
      </c>
      <c r="I164" s="2">
        <f t="shared" si="25"/>
        <v>-4690</v>
      </c>
      <c r="K164" s="2">
        <f t="shared" si="26"/>
        <v>0</v>
      </c>
      <c r="M164" s="2">
        <f t="shared" si="27"/>
        <v>0</v>
      </c>
      <c r="N164" s="2">
        <f t="shared" si="28"/>
        <v>-10000</v>
      </c>
      <c r="O164" s="2">
        <f t="shared" si="29"/>
        <v>-4690</v>
      </c>
      <c r="P164" t="s">
        <v>247</v>
      </c>
      <c r="Q164" t="s">
        <v>287</v>
      </c>
    </row>
    <row r="165" spans="1:17" ht="24" customHeight="1" x14ac:dyDescent="0.3">
      <c r="A165" t="s">
        <v>16</v>
      </c>
      <c r="B165" t="s">
        <v>109</v>
      </c>
      <c r="C165">
        <v>19</v>
      </c>
      <c r="D165" t="s">
        <v>301</v>
      </c>
      <c r="E165" t="s">
        <v>308</v>
      </c>
      <c r="F165">
        <v>250</v>
      </c>
      <c r="G165" t="s">
        <v>171</v>
      </c>
      <c r="H165" s="2">
        <v>1293</v>
      </c>
      <c r="I165" s="2">
        <f t="shared" si="25"/>
        <v>323250</v>
      </c>
      <c r="J165" s="2">
        <v>64674</v>
      </c>
      <c r="K165" s="2">
        <f t="shared" si="26"/>
        <v>16168500</v>
      </c>
      <c r="L165" s="2">
        <v>0</v>
      </c>
      <c r="M165" s="2">
        <f t="shared" si="27"/>
        <v>0</v>
      </c>
      <c r="N165" s="2">
        <f t="shared" si="28"/>
        <v>65967</v>
      </c>
      <c r="O165" s="2">
        <f t="shared" si="29"/>
        <v>16491750</v>
      </c>
      <c r="Q165" t="s">
        <v>306</v>
      </c>
    </row>
    <row r="166" spans="1:17" ht="24" customHeight="1" x14ac:dyDescent="0.3">
      <c r="A166" t="s">
        <v>16</v>
      </c>
      <c r="B166" t="s">
        <v>109</v>
      </c>
      <c r="C166">
        <v>20</v>
      </c>
      <c r="D166" t="s">
        <v>304</v>
      </c>
      <c r="E166" t="s">
        <v>483</v>
      </c>
      <c r="F166">
        <v>36</v>
      </c>
      <c r="G166" t="s">
        <v>171</v>
      </c>
      <c r="H166" s="2">
        <v>1293</v>
      </c>
      <c r="I166" s="2">
        <f t="shared" si="25"/>
        <v>46548</v>
      </c>
      <c r="J166" s="2">
        <v>64674</v>
      </c>
      <c r="K166" s="2">
        <f t="shared" si="26"/>
        <v>2328264</v>
      </c>
      <c r="L166" s="2">
        <v>0</v>
      </c>
      <c r="M166" s="2">
        <f t="shared" si="27"/>
        <v>0</v>
      </c>
      <c r="N166" s="2">
        <f t="shared" si="28"/>
        <v>65967</v>
      </c>
      <c r="O166" s="2">
        <f t="shared" si="29"/>
        <v>2374812</v>
      </c>
      <c r="Q166" t="s">
        <v>306</v>
      </c>
    </row>
    <row r="167" spans="1:17" ht="24" customHeight="1" x14ac:dyDescent="0.3">
      <c r="A167" t="s">
        <v>16</v>
      </c>
      <c r="B167" t="s">
        <v>109</v>
      </c>
      <c r="C167">
        <v>21</v>
      </c>
      <c r="D167" t="s">
        <v>484</v>
      </c>
      <c r="E167" t="s">
        <v>485</v>
      </c>
      <c r="F167">
        <v>73</v>
      </c>
      <c r="G167" t="s">
        <v>171</v>
      </c>
      <c r="H167" s="2">
        <v>0</v>
      </c>
      <c r="I167" s="2">
        <f t="shared" si="25"/>
        <v>0</v>
      </c>
      <c r="J167" s="2">
        <v>4036</v>
      </c>
      <c r="K167" s="2">
        <f t="shared" si="26"/>
        <v>294628</v>
      </c>
      <c r="L167" s="2">
        <v>947</v>
      </c>
      <c r="M167" s="2">
        <f t="shared" si="27"/>
        <v>69131</v>
      </c>
      <c r="N167" s="2">
        <f t="shared" si="28"/>
        <v>4983</v>
      </c>
      <c r="O167" s="2">
        <f t="shared" si="29"/>
        <v>363759</v>
      </c>
      <c r="Q167" t="s">
        <v>486</v>
      </c>
    </row>
    <row r="168" spans="1:17" ht="24" customHeight="1" x14ac:dyDescent="0.3">
      <c r="A168" t="s">
        <v>16</v>
      </c>
      <c r="B168" t="s">
        <v>109</v>
      </c>
      <c r="C168">
        <v>22</v>
      </c>
      <c r="D168" t="s">
        <v>325</v>
      </c>
      <c r="E168" t="s">
        <v>326</v>
      </c>
      <c r="F168">
        <v>23</v>
      </c>
      <c r="G168" t="s">
        <v>327</v>
      </c>
      <c r="H168" s="2">
        <v>952000</v>
      </c>
      <c r="I168" s="2">
        <f t="shared" si="25"/>
        <v>21896000</v>
      </c>
      <c r="J168" s="2">
        <v>0</v>
      </c>
      <c r="K168" s="2">
        <f t="shared" si="26"/>
        <v>0</v>
      </c>
      <c r="L168" s="2">
        <v>0</v>
      </c>
      <c r="M168" s="2">
        <f t="shared" si="27"/>
        <v>0</v>
      </c>
      <c r="N168" s="2">
        <f t="shared" si="28"/>
        <v>952000</v>
      </c>
      <c r="O168" s="2">
        <f t="shared" si="29"/>
        <v>21896000</v>
      </c>
      <c r="Q168" t="s">
        <v>328</v>
      </c>
    </row>
    <row r="169" spans="1:17" ht="24" customHeight="1" x14ac:dyDescent="0.3">
      <c r="A169" s="10" t="s">
        <v>16</v>
      </c>
      <c r="B169" s="10" t="s">
        <v>109</v>
      </c>
      <c r="C169" s="10"/>
      <c r="D169" s="10" t="s">
        <v>578</v>
      </c>
      <c r="E169" s="10"/>
      <c r="F169" s="10"/>
      <c r="G169" s="10"/>
      <c r="H169" s="10"/>
      <c r="I169" s="11">
        <f>SUM(I147:I168)</f>
        <v>58798590.640000001</v>
      </c>
      <c r="J169" s="10"/>
      <c r="K169" s="11">
        <f>SUM(K147:K168)</f>
        <v>123382287.21000001</v>
      </c>
      <c r="L169" s="10"/>
      <c r="M169" s="11">
        <f>SUM(M147:M168)</f>
        <v>3615132</v>
      </c>
      <c r="N169" s="10"/>
      <c r="O169" s="11">
        <f>SUM(O147:O168)</f>
        <v>185796009.84999999</v>
      </c>
      <c r="P169" s="10"/>
      <c r="Q169" s="10" t="s">
        <v>579</v>
      </c>
    </row>
    <row r="170" spans="1:17" ht="24" customHeight="1" x14ac:dyDescent="0.3">
      <c r="A170" t="s">
        <v>16</v>
      </c>
      <c r="B170" t="s">
        <v>110</v>
      </c>
      <c r="C170">
        <v>1</v>
      </c>
      <c r="D170" t="s">
        <v>492</v>
      </c>
      <c r="E170" t="s">
        <v>493</v>
      </c>
      <c r="F170">
        <v>19</v>
      </c>
      <c r="G170" t="s">
        <v>171</v>
      </c>
      <c r="H170" s="2">
        <v>0</v>
      </c>
      <c r="I170" s="2">
        <f>F170*H170</f>
        <v>0</v>
      </c>
      <c r="J170" s="2">
        <v>33455</v>
      </c>
      <c r="K170" s="2">
        <f>F170*J170</f>
        <v>635645</v>
      </c>
      <c r="L170" s="2">
        <v>0</v>
      </c>
      <c r="M170" s="2">
        <f>F170*L170</f>
        <v>0</v>
      </c>
      <c r="N170" s="2">
        <f t="shared" ref="N170:O172" si="30">H170+J170+L170</f>
        <v>33455</v>
      </c>
      <c r="O170" s="2">
        <f t="shared" si="30"/>
        <v>635645</v>
      </c>
      <c r="Q170" t="s">
        <v>172</v>
      </c>
    </row>
    <row r="171" spans="1:17" ht="24" customHeight="1" x14ac:dyDescent="0.3">
      <c r="A171" t="s">
        <v>16</v>
      </c>
      <c r="B171" t="s">
        <v>110</v>
      </c>
      <c r="C171">
        <v>2</v>
      </c>
      <c r="D171" t="s">
        <v>217</v>
      </c>
      <c r="E171" t="s">
        <v>493</v>
      </c>
      <c r="F171">
        <v>14</v>
      </c>
      <c r="G171" t="s">
        <v>171</v>
      </c>
      <c r="H171" s="2">
        <v>608</v>
      </c>
      <c r="I171" s="2">
        <f>F171*H171</f>
        <v>8512</v>
      </c>
      <c r="J171" s="2">
        <v>9980</v>
      </c>
      <c r="K171" s="2">
        <f>F171*J171</f>
        <v>139720</v>
      </c>
      <c r="L171" s="2">
        <v>440</v>
      </c>
      <c r="M171" s="2">
        <f>F171*L171</f>
        <v>6160</v>
      </c>
      <c r="N171" s="2">
        <f t="shared" si="30"/>
        <v>11028</v>
      </c>
      <c r="O171" s="2">
        <f t="shared" si="30"/>
        <v>154392</v>
      </c>
      <c r="Q171" t="s">
        <v>217</v>
      </c>
    </row>
    <row r="172" spans="1:17" ht="24" customHeight="1" x14ac:dyDescent="0.3">
      <c r="A172" t="s">
        <v>16</v>
      </c>
      <c r="B172" t="s">
        <v>110</v>
      </c>
      <c r="C172">
        <v>3</v>
      </c>
      <c r="D172" t="s">
        <v>218</v>
      </c>
      <c r="E172" t="s">
        <v>494</v>
      </c>
      <c r="F172">
        <v>5</v>
      </c>
      <c r="G172" t="s">
        <v>171</v>
      </c>
      <c r="H172" s="2">
        <v>447</v>
      </c>
      <c r="I172" s="2">
        <f>F172*H172</f>
        <v>2235</v>
      </c>
      <c r="J172" s="2">
        <v>955</v>
      </c>
      <c r="K172" s="2">
        <f>F172*J172</f>
        <v>4775</v>
      </c>
      <c r="L172" s="2">
        <v>336</v>
      </c>
      <c r="M172" s="2">
        <f>F172*L172</f>
        <v>1680</v>
      </c>
      <c r="N172" s="2">
        <f t="shared" si="30"/>
        <v>1738</v>
      </c>
      <c r="O172" s="2">
        <f t="shared" si="30"/>
        <v>8690</v>
      </c>
      <c r="Q172" t="s">
        <v>172</v>
      </c>
    </row>
    <row r="173" spans="1:17" ht="24" customHeight="1" x14ac:dyDescent="0.3">
      <c r="A173" s="10" t="s">
        <v>16</v>
      </c>
      <c r="B173" s="10" t="s">
        <v>110</v>
      </c>
      <c r="C173" s="10"/>
      <c r="D173" s="10" t="s">
        <v>580</v>
      </c>
      <c r="E173" s="10"/>
      <c r="F173" s="10"/>
      <c r="G173" s="10"/>
      <c r="H173" s="10"/>
      <c r="I173" s="11">
        <f>SUM(I170:I172)</f>
        <v>10747</v>
      </c>
      <c r="J173" s="10"/>
      <c r="K173" s="11">
        <f>SUM(K170:K172)</f>
        <v>780140</v>
      </c>
      <c r="L173" s="10"/>
      <c r="M173" s="11">
        <f>SUM(M170:M172)</f>
        <v>7840</v>
      </c>
      <c r="N173" s="10"/>
      <c r="O173" s="11">
        <f>SUM(O170:O172)</f>
        <v>798727</v>
      </c>
      <c r="P173" s="10"/>
      <c r="Q173" s="10" t="s">
        <v>496</v>
      </c>
    </row>
    <row r="174" spans="1:17" ht="24" customHeight="1" x14ac:dyDescent="0.3">
      <c r="A174" t="s">
        <v>16</v>
      </c>
      <c r="B174" t="s">
        <v>103</v>
      </c>
      <c r="C174">
        <v>1</v>
      </c>
      <c r="D174" t="s">
        <v>497</v>
      </c>
      <c r="F174">
        <v>1</v>
      </c>
      <c r="G174" t="s">
        <v>158</v>
      </c>
      <c r="I174" s="2">
        <f>F174*H174</f>
        <v>0</v>
      </c>
      <c r="K174" s="2">
        <f>F174*J174</f>
        <v>0</v>
      </c>
      <c r="L174">
        <v>2500000</v>
      </c>
      <c r="M174" s="2">
        <f>F174*L174</f>
        <v>2500000</v>
      </c>
      <c r="N174" s="2">
        <f t="shared" ref="N174:O176" si="31">H174+J174+L174</f>
        <v>2500000</v>
      </c>
      <c r="O174" s="2">
        <f t="shared" si="31"/>
        <v>2500000</v>
      </c>
      <c r="P174" t="s">
        <v>247</v>
      </c>
      <c r="Q174" t="s">
        <v>497</v>
      </c>
    </row>
    <row r="175" spans="1:17" ht="24" customHeight="1" x14ac:dyDescent="0.3">
      <c r="A175" t="s">
        <v>16</v>
      </c>
      <c r="B175" t="s">
        <v>103</v>
      </c>
      <c r="C175">
        <v>2</v>
      </c>
      <c r="D175" t="s">
        <v>498</v>
      </c>
      <c r="F175">
        <v>1</v>
      </c>
      <c r="G175" t="s">
        <v>158</v>
      </c>
      <c r="I175" s="2">
        <f>F175*H175</f>
        <v>0</v>
      </c>
      <c r="K175" s="2">
        <f>F175*J175</f>
        <v>0</v>
      </c>
      <c r="L175">
        <v>2500000</v>
      </c>
      <c r="M175" s="2">
        <f>F175*L175</f>
        <v>2500000</v>
      </c>
      <c r="N175" s="2">
        <f t="shared" si="31"/>
        <v>2500000</v>
      </c>
      <c r="O175" s="2">
        <f t="shared" si="31"/>
        <v>2500000</v>
      </c>
      <c r="P175" t="s">
        <v>247</v>
      </c>
      <c r="Q175" t="s">
        <v>499</v>
      </c>
    </row>
    <row r="176" spans="1:17" ht="24" customHeight="1" x14ac:dyDescent="0.3">
      <c r="A176" t="s">
        <v>16</v>
      </c>
      <c r="B176" t="s">
        <v>103</v>
      </c>
      <c r="C176">
        <v>3</v>
      </c>
      <c r="D176" t="s">
        <v>500</v>
      </c>
      <c r="F176">
        <v>1</v>
      </c>
      <c r="G176" t="s">
        <v>158</v>
      </c>
      <c r="I176" s="2">
        <f>F176*H176</f>
        <v>0</v>
      </c>
      <c r="K176" s="2">
        <f>F176*J176</f>
        <v>0</v>
      </c>
      <c r="L176">
        <v>2500000</v>
      </c>
      <c r="M176" s="2">
        <f>F176*L176</f>
        <v>2500000</v>
      </c>
      <c r="N176" s="2">
        <f t="shared" si="31"/>
        <v>2500000</v>
      </c>
      <c r="O176" s="2">
        <f t="shared" si="31"/>
        <v>2500000</v>
      </c>
      <c r="P176" t="s">
        <v>247</v>
      </c>
      <c r="Q176" t="s">
        <v>500</v>
      </c>
    </row>
    <row r="177" spans="1:17" ht="24" customHeight="1" x14ac:dyDescent="0.3">
      <c r="A177" s="10" t="s">
        <v>16</v>
      </c>
      <c r="B177" s="10" t="s">
        <v>103</v>
      </c>
      <c r="C177" s="10"/>
      <c r="D177" s="10" t="s">
        <v>501</v>
      </c>
      <c r="E177" s="10"/>
      <c r="F177" s="10"/>
      <c r="G177" s="10"/>
      <c r="H177" s="10"/>
      <c r="I177" s="11">
        <f>SUM(I174:I176)</f>
        <v>0</v>
      </c>
      <c r="J177" s="10"/>
      <c r="K177" s="11">
        <f>SUM(K174:K176)</f>
        <v>0</v>
      </c>
      <c r="L177" s="10"/>
      <c r="M177" s="11">
        <f>SUM(M174:M176)</f>
        <v>7500000</v>
      </c>
      <c r="N177" s="10"/>
      <c r="O177" s="11">
        <f>SUM(O174:O176)</f>
        <v>7500000</v>
      </c>
      <c r="P177" s="10"/>
      <c r="Q177" s="10" t="s">
        <v>496</v>
      </c>
    </row>
    <row r="178" spans="1:17" ht="24" customHeight="1" x14ac:dyDescent="0.3">
      <c r="A178" t="s">
        <v>16</v>
      </c>
      <c r="B178" t="s">
        <v>104</v>
      </c>
      <c r="C178">
        <v>1</v>
      </c>
      <c r="D178" t="s">
        <v>502</v>
      </c>
      <c r="F178">
        <v>1</v>
      </c>
      <c r="G178" t="s">
        <v>503</v>
      </c>
      <c r="I178" s="2">
        <f>F178*H178</f>
        <v>0</v>
      </c>
      <c r="K178" s="2">
        <f>F178*J178</f>
        <v>0</v>
      </c>
      <c r="M178" s="2">
        <f>F178*L178</f>
        <v>0</v>
      </c>
      <c r="N178" s="2">
        <f>H178+J178+L178</f>
        <v>0</v>
      </c>
      <c r="O178" s="2">
        <f>I178+K178+M178</f>
        <v>0</v>
      </c>
      <c r="P178" t="s">
        <v>159</v>
      </c>
      <c r="Q178" t="s">
        <v>502</v>
      </c>
    </row>
    <row r="179" spans="1:17" ht="24" customHeight="1" x14ac:dyDescent="0.3">
      <c r="A179" s="10" t="s">
        <v>16</v>
      </c>
      <c r="B179" s="10" t="s">
        <v>104</v>
      </c>
      <c r="C179" s="10"/>
      <c r="D179" s="10" t="s">
        <v>504</v>
      </c>
      <c r="E179" s="10"/>
      <c r="F179" s="10"/>
      <c r="G179" s="10"/>
      <c r="H179" s="10"/>
      <c r="I179" s="11">
        <f>SUM(I178:I178)</f>
        <v>0</v>
      </c>
      <c r="J179" s="10"/>
      <c r="K179" s="11">
        <f>SUM(K178:K178)</f>
        <v>0</v>
      </c>
      <c r="L179" s="10"/>
      <c r="M179" s="11">
        <f>SUM(M178:M178)</f>
        <v>0</v>
      </c>
      <c r="N179" s="10"/>
      <c r="O179" s="11">
        <f>SUM(O178:O178)</f>
        <v>0</v>
      </c>
      <c r="P179" s="10"/>
      <c r="Q179" s="10" t="s">
        <v>162</v>
      </c>
    </row>
    <row r="180" spans="1:17" ht="24" customHeight="1" x14ac:dyDescent="0.3">
      <c r="A180" s="3"/>
      <c r="B180" s="3"/>
      <c r="C180" s="3"/>
      <c r="D180" s="3" t="s">
        <v>581</v>
      </c>
      <c r="E180" s="3"/>
      <c r="F180" s="3"/>
      <c r="G180" s="3"/>
      <c r="H180" s="3"/>
      <c r="I180" s="4">
        <f>SUMIF(C19:C179,"&lt;&gt;",I19:I179)</f>
        <v>307159963.63999999</v>
      </c>
      <c r="J180" s="3"/>
      <c r="K180" s="4">
        <f>SUMIF(C19:C179,"&lt;&gt;",K19:K179)</f>
        <v>412634384.20999998</v>
      </c>
      <c r="L180" s="3"/>
      <c r="M180" s="4">
        <f>SUMIF(C19:C179,"&lt;&gt;",M19:M179)</f>
        <v>83416834</v>
      </c>
      <c r="N180" s="3"/>
      <c r="O180" s="4">
        <f>SUMIF(C19:C179,"&lt;&gt;",O19:O179)</f>
        <v>803211181.85000002</v>
      </c>
      <c r="P180" s="3"/>
      <c r="Q180" s="3" t="s">
        <v>506</v>
      </c>
    </row>
  </sheetData>
  <mergeCells count="1">
    <mergeCell ref="A1:K1"/>
  </mergeCells>
  <phoneticPr fontId="3" type="noConversion"/>
  <pageMargins left="0.39370078740157483" right="0.39370078740157483" top="0.59055118110236227" bottom="0.39370078740157483" header="0.51181102362204722" footer="0.51181102362204722"/>
  <pageSetup paperSize="9" scale="48" orientation="landscape" r:id="rId1"/>
  <colBreaks count="1" manualBreakCount="1">
    <brk id="1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06"/>
  <sheetViews>
    <sheetView view="pageBreakPreview" zoomScale="60" zoomScaleNormal="100" workbookViewId="0">
      <pane ySplit="21" topLeftCell="A601" activePane="bottomLeft" state="frozen"/>
      <selection activeCell="F132" sqref="F132"/>
      <selection pane="bottomLeft" activeCell="D485" sqref="D485"/>
    </sheetView>
  </sheetViews>
  <sheetFormatPr defaultRowHeight="16.5" x14ac:dyDescent="0.3"/>
  <cols>
    <col min="1" max="1" width="27.25" bestFit="1" customWidth="1"/>
    <col min="2" max="2" width="14.75" bestFit="1" customWidth="1"/>
    <col min="3" max="3" width="19.25" bestFit="1" customWidth="1"/>
    <col min="4" max="4" width="59.25" bestFit="1" customWidth="1"/>
    <col min="5" max="5" width="44.125" bestFit="1" customWidth="1"/>
    <col min="6" max="6" width="9.75" bestFit="1" customWidth="1"/>
    <col min="7" max="7" width="14.875" bestFit="1" customWidth="1"/>
    <col min="8" max="8" width="16.625" style="19" bestFit="1" customWidth="1"/>
    <col min="9" max="11" width="16.625" bestFit="1" customWidth="1"/>
    <col min="12" max="12" width="12.375" bestFit="1" customWidth="1"/>
    <col min="13" max="13" width="14.875" bestFit="1" customWidth="1"/>
    <col min="14" max="14" width="13.625" bestFit="1" customWidth="1"/>
    <col min="15" max="15" width="16.625" bestFit="1" customWidth="1"/>
    <col min="16" max="16" width="8" bestFit="1" customWidth="1"/>
    <col min="17" max="17" width="30" bestFit="1" customWidth="1"/>
  </cols>
  <sheetData>
    <row r="1" spans="1:11" ht="24" customHeight="1" x14ac:dyDescent="0.35">
      <c r="A1" s="60" t="s">
        <v>582</v>
      </c>
      <c r="B1" s="59"/>
      <c r="C1" s="59"/>
      <c r="D1" s="59"/>
      <c r="E1" s="59"/>
      <c r="F1" s="59"/>
      <c r="G1" s="59"/>
      <c r="H1" s="61"/>
      <c r="I1" s="59"/>
      <c r="J1" s="59"/>
      <c r="K1" s="59"/>
    </row>
    <row r="2" spans="1:11" ht="24" customHeight="1" x14ac:dyDescent="0.3"/>
    <row r="3" spans="1:11" ht="24" customHeight="1" x14ac:dyDescent="0.3">
      <c r="A3" s="1" t="s">
        <v>4</v>
      </c>
      <c r="B3" s="1" t="s">
        <v>5</v>
      </c>
      <c r="C3" s="1" t="s">
        <v>92</v>
      </c>
      <c r="D3" s="1" t="s">
        <v>93</v>
      </c>
      <c r="E3" s="1" t="s">
        <v>94</v>
      </c>
      <c r="F3" s="1" t="s">
        <v>95</v>
      </c>
      <c r="G3" s="20" t="s">
        <v>6</v>
      </c>
      <c r="H3" s="20" t="s">
        <v>7</v>
      </c>
      <c r="I3" s="20" t="s">
        <v>8</v>
      </c>
      <c r="J3" s="20" t="s">
        <v>28</v>
      </c>
      <c r="K3" s="1" t="s">
        <v>96</v>
      </c>
    </row>
    <row r="4" spans="1:11" ht="24" customHeight="1" x14ac:dyDescent="0.3">
      <c r="A4" t="s">
        <v>18</v>
      </c>
      <c r="B4" t="s">
        <v>19</v>
      </c>
      <c r="C4" t="s">
        <v>98</v>
      </c>
      <c r="D4">
        <v>41</v>
      </c>
      <c r="E4">
        <v>45</v>
      </c>
      <c r="F4" s="8">
        <v>0.91111111111111109</v>
      </c>
      <c r="G4" s="19">
        <v>193864804.08000001</v>
      </c>
      <c r="H4" s="19">
        <v>375830828.63999999</v>
      </c>
      <c r="I4" s="19">
        <v>248626066</v>
      </c>
      <c r="J4" s="19">
        <v>818321698.72000003</v>
      </c>
      <c r="K4" s="9">
        <v>8.1832169871999998</v>
      </c>
    </row>
    <row r="5" spans="1:11" ht="24" customHeight="1" x14ac:dyDescent="0.3">
      <c r="A5" t="s">
        <v>18</v>
      </c>
      <c r="B5" t="s">
        <v>19</v>
      </c>
      <c r="C5" t="s">
        <v>99</v>
      </c>
      <c r="D5">
        <v>81</v>
      </c>
      <c r="E5">
        <v>99</v>
      </c>
      <c r="F5" s="8">
        <v>0.81818181818181823</v>
      </c>
      <c r="G5" s="19">
        <v>45773359.869999997</v>
      </c>
      <c r="H5" s="19">
        <v>412651288.27999997</v>
      </c>
      <c r="I5" s="19">
        <v>30187164.210000001</v>
      </c>
      <c r="J5" s="19">
        <v>488611812.36000001</v>
      </c>
      <c r="K5" s="9">
        <v>4.8861181236000002</v>
      </c>
    </row>
    <row r="6" spans="1:11" ht="24" customHeight="1" x14ac:dyDescent="0.3">
      <c r="A6" t="s">
        <v>18</v>
      </c>
      <c r="B6" t="s">
        <v>19</v>
      </c>
      <c r="C6" t="s">
        <v>113</v>
      </c>
      <c r="D6">
        <v>36</v>
      </c>
      <c r="E6">
        <v>44</v>
      </c>
      <c r="F6" s="8">
        <v>0.81818181818181823</v>
      </c>
      <c r="G6" s="19">
        <v>8139274.2000000002</v>
      </c>
      <c r="H6" s="19">
        <v>91589701.700000003</v>
      </c>
      <c r="I6" s="19">
        <v>6281483</v>
      </c>
      <c r="J6" s="19">
        <v>106010458.90000001</v>
      </c>
      <c r="K6" s="9">
        <v>1.060104589</v>
      </c>
    </row>
    <row r="7" spans="1:11" ht="24" customHeight="1" x14ac:dyDescent="0.3">
      <c r="A7" t="s">
        <v>18</v>
      </c>
      <c r="B7" t="s">
        <v>19</v>
      </c>
      <c r="C7" t="s">
        <v>114</v>
      </c>
      <c r="D7">
        <v>62</v>
      </c>
      <c r="E7">
        <v>86</v>
      </c>
      <c r="F7" s="8">
        <v>0.72093023255813948</v>
      </c>
      <c r="G7" s="19">
        <v>11736539</v>
      </c>
      <c r="H7" s="19">
        <v>84912162</v>
      </c>
      <c r="I7" s="19">
        <v>4722073</v>
      </c>
      <c r="J7" s="19">
        <v>101370774</v>
      </c>
      <c r="K7" s="9">
        <v>1.0137077400000001</v>
      </c>
    </row>
    <row r="8" spans="1:11" ht="24" customHeight="1" x14ac:dyDescent="0.3">
      <c r="A8" t="s">
        <v>18</v>
      </c>
      <c r="B8" t="s">
        <v>19</v>
      </c>
      <c r="C8" t="s">
        <v>115</v>
      </c>
      <c r="D8">
        <v>68</v>
      </c>
      <c r="E8">
        <v>76</v>
      </c>
      <c r="F8" s="8">
        <v>0.89473684210526316</v>
      </c>
      <c r="G8" s="19">
        <v>55159585</v>
      </c>
      <c r="H8" s="19">
        <v>294369653</v>
      </c>
      <c r="I8" s="19">
        <v>23035558</v>
      </c>
      <c r="J8" s="19">
        <v>372564796</v>
      </c>
      <c r="K8" s="9">
        <v>3.7256479599999999</v>
      </c>
    </row>
    <row r="9" spans="1:11" ht="24" customHeight="1" x14ac:dyDescent="0.3">
      <c r="A9" t="s">
        <v>18</v>
      </c>
      <c r="B9" t="s">
        <v>19</v>
      </c>
      <c r="C9" t="s">
        <v>116</v>
      </c>
      <c r="D9">
        <v>39</v>
      </c>
      <c r="E9">
        <v>43</v>
      </c>
      <c r="F9" s="8">
        <v>0.90697674418604646</v>
      </c>
      <c r="G9" s="19">
        <v>27584724.298999999</v>
      </c>
      <c r="H9" s="19">
        <v>215414584.34200001</v>
      </c>
      <c r="I9" s="19">
        <v>17151782</v>
      </c>
      <c r="J9" s="19">
        <v>260151090.641</v>
      </c>
      <c r="K9" s="9">
        <v>2.6015109064100002</v>
      </c>
    </row>
    <row r="10" spans="1:11" ht="24" customHeight="1" x14ac:dyDescent="0.3">
      <c r="A10" t="s">
        <v>18</v>
      </c>
      <c r="B10" t="s">
        <v>19</v>
      </c>
      <c r="C10" t="s">
        <v>117</v>
      </c>
      <c r="D10">
        <v>27</v>
      </c>
      <c r="E10">
        <v>36</v>
      </c>
      <c r="F10" s="8">
        <v>0.75</v>
      </c>
      <c r="G10" s="19">
        <v>15032685</v>
      </c>
      <c r="H10" s="19">
        <v>173478672</v>
      </c>
      <c r="I10" s="19">
        <v>7842946</v>
      </c>
      <c r="J10" s="19">
        <v>196354303</v>
      </c>
      <c r="K10" s="9">
        <v>1.9635430300000001</v>
      </c>
    </row>
    <row r="11" spans="1:11" ht="24" customHeight="1" x14ac:dyDescent="0.3">
      <c r="A11" t="s">
        <v>18</v>
      </c>
      <c r="B11" t="s">
        <v>19</v>
      </c>
      <c r="C11" t="s">
        <v>118</v>
      </c>
      <c r="D11">
        <v>43</v>
      </c>
      <c r="E11">
        <v>53</v>
      </c>
      <c r="F11" s="8">
        <v>0.81132075471698117</v>
      </c>
      <c r="G11" s="19">
        <v>14684152.867000001</v>
      </c>
      <c r="H11" s="19">
        <v>65843674.285999998</v>
      </c>
      <c r="I11" s="19">
        <v>1789336</v>
      </c>
      <c r="J11" s="19">
        <v>82317163.152999997</v>
      </c>
      <c r="K11" s="9">
        <v>0.82317163152999995</v>
      </c>
    </row>
    <row r="12" spans="1:11" ht="24" customHeight="1" x14ac:dyDescent="0.3">
      <c r="A12" t="s">
        <v>18</v>
      </c>
      <c r="B12" t="s">
        <v>19</v>
      </c>
      <c r="C12" t="s">
        <v>119</v>
      </c>
      <c r="D12">
        <v>7</v>
      </c>
      <c r="E12">
        <v>9</v>
      </c>
      <c r="F12" s="8">
        <v>0.77777777777777779</v>
      </c>
      <c r="G12" s="19">
        <v>9249700</v>
      </c>
      <c r="H12" s="19">
        <v>27138515</v>
      </c>
      <c r="I12" s="19">
        <v>7941772</v>
      </c>
      <c r="J12" s="19">
        <v>44329987</v>
      </c>
      <c r="K12" s="9">
        <v>0.44329986999999998</v>
      </c>
    </row>
    <row r="13" spans="1:11" ht="24" customHeight="1" x14ac:dyDescent="0.3">
      <c r="A13" t="s">
        <v>18</v>
      </c>
      <c r="B13" t="s">
        <v>19</v>
      </c>
      <c r="C13" t="s">
        <v>104</v>
      </c>
      <c r="D13">
        <v>0</v>
      </c>
      <c r="E13">
        <v>2</v>
      </c>
      <c r="F13" s="8">
        <v>0</v>
      </c>
      <c r="G13" s="19">
        <v>0</v>
      </c>
      <c r="H13" s="19">
        <v>0</v>
      </c>
      <c r="I13" s="19">
        <v>0</v>
      </c>
      <c r="J13" s="19">
        <v>0</v>
      </c>
      <c r="K13" s="9">
        <v>0</v>
      </c>
    </row>
    <row r="14" spans="1:11" ht="24" customHeight="1" x14ac:dyDescent="0.3">
      <c r="A14" s="10" t="s">
        <v>18</v>
      </c>
      <c r="B14" s="10" t="s">
        <v>19</v>
      </c>
      <c r="C14" s="10" t="s">
        <v>120</v>
      </c>
      <c r="D14" s="10">
        <v>404</v>
      </c>
      <c r="E14" s="10">
        <v>493</v>
      </c>
      <c r="F14" s="18">
        <v>0.81947261663286008</v>
      </c>
      <c r="G14" s="21">
        <v>381224824.31599998</v>
      </c>
      <c r="H14" s="21">
        <v>1741229079.2479999</v>
      </c>
      <c r="I14" s="21">
        <v>347578180.20999998</v>
      </c>
      <c r="J14" s="21">
        <v>2470032083.7740002</v>
      </c>
      <c r="K14" s="12">
        <v>24.700320837740001</v>
      </c>
    </row>
    <row r="15" spans="1:11" ht="24" customHeight="1" x14ac:dyDescent="0.3">
      <c r="A15" t="s">
        <v>18</v>
      </c>
      <c r="B15" t="s">
        <v>20</v>
      </c>
      <c r="C15" t="s">
        <v>121</v>
      </c>
      <c r="D15">
        <v>80</v>
      </c>
      <c r="E15">
        <v>80</v>
      </c>
      <c r="F15" s="8">
        <v>1</v>
      </c>
      <c r="G15" s="19">
        <v>600710000</v>
      </c>
      <c r="H15" s="19">
        <v>386951000</v>
      </c>
      <c r="I15" s="19">
        <v>30172000</v>
      </c>
      <c r="J15" s="19">
        <v>1017833000</v>
      </c>
      <c r="K15" s="9">
        <v>10.178330000000001</v>
      </c>
    </row>
    <row r="16" spans="1:11" ht="24" customHeight="1" x14ac:dyDescent="0.3">
      <c r="A16" s="10" t="s">
        <v>18</v>
      </c>
      <c r="B16" s="10" t="s">
        <v>20</v>
      </c>
      <c r="C16" s="10" t="s">
        <v>122</v>
      </c>
      <c r="D16" s="10">
        <v>80</v>
      </c>
      <c r="E16" s="10">
        <v>80</v>
      </c>
      <c r="F16" s="18">
        <v>1</v>
      </c>
      <c r="G16" s="21">
        <v>600710000</v>
      </c>
      <c r="H16" s="21">
        <v>386951000</v>
      </c>
      <c r="I16" s="21">
        <v>30172000</v>
      </c>
      <c r="J16" s="21">
        <v>1017833000</v>
      </c>
      <c r="K16" s="12">
        <v>10.178330000000001</v>
      </c>
    </row>
    <row r="17" spans="1:17" ht="24" customHeight="1" x14ac:dyDescent="0.3">
      <c r="A17" s="3"/>
      <c r="B17" s="3" t="s">
        <v>17</v>
      </c>
      <c r="C17" s="3" t="s">
        <v>583</v>
      </c>
      <c r="D17" s="3">
        <v>484</v>
      </c>
      <c r="E17" s="3">
        <v>573</v>
      </c>
      <c r="F17" s="16">
        <v>0.84467713787085519</v>
      </c>
      <c r="G17" s="22">
        <v>981934824.31599998</v>
      </c>
      <c r="H17" s="22">
        <v>2128180079.2479999</v>
      </c>
      <c r="I17" s="22">
        <v>377750180.20999998</v>
      </c>
      <c r="J17" s="22">
        <v>3487865083.7740002</v>
      </c>
      <c r="K17" s="17">
        <v>34.878650837739997</v>
      </c>
    </row>
    <row r="18" spans="1:17" ht="24" customHeight="1" x14ac:dyDescent="0.3"/>
    <row r="19" spans="1:17" ht="24" customHeight="1" x14ac:dyDescent="0.3">
      <c r="A19" t="s">
        <v>584</v>
      </c>
    </row>
    <row r="20" spans="1:17" ht="24" customHeight="1" x14ac:dyDescent="0.3"/>
    <row r="21" spans="1:17" ht="24" customHeight="1" x14ac:dyDescent="0.3">
      <c r="A21" s="1" t="s">
        <v>5</v>
      </c>
      <c r="B21" s="1" t="s">
        <v>92</v>
      </c>
      <c r="C21" s="1" t="s">
        <v>4</v>
      </c>
      <c r="D21" s="1" t="s">
        <v>144</v>
      </c>
      <c r="E21" s="1" t="s">
        <v>145</v>
      </c>
      <c r="F21" s="1" t="s">
        <v>146</v>
      </c>
      <c r="G21" s="1" t="s">
        <v>147</v>
      </c>
      <c r="H21" s="20" t="s">
        <v>148</v>
      </c>
      <c r="I21" s="20" t="s">
        <v>149</v>
      </c>
      <c r="J21" s="20" t="s">
        <v>150</v>
      </c>
      <c r="K21" s="20" t="s">
        <v>151</v>
      </c>
      <c r="L21" s="20" t="s">
        <v>152</v>
      </c>
      <c r="M21" s="20" t="s">
        <v>153</v>
      </c>
      <c r="N21" s="20" t="s">
        <v>154</v>
      </c>
      <c r="O21" s="20" t="s">
        <v>155</v>
      </c>
      <c r="P21" s="1" t="s">
        <v>156</v>
      </c>
      <c r="Q21" s="1" t="s">
        <v>10</v>
      </c>
    </row>
    <row r="22" spans="1:17" ht="24" customHeight="1" x14ac:dyDescent="0.3">
      <c r="A22" t="s">
        <v>19</v>
      </c>
      <c r="B22" t="s">
        <v>98</v>
      </c>
      <c r="C22">
        <v>1</v>
      </c>
      <c r="D22" t="s">
        <v>585</v>
      </c>
      <c r="F22">
        <v>22891</v>
      </c>
      <c r="G22" t="s">
        <v>168</v>
      </c>
      <c r="H22" s="19">
        <v>116</v>
      </c>
      <c r="I22" s="19">
        <f t="shared" ref="I22:I66" si="0">F22*H22</f>
        <v>2655356</v>
      </c>
      <c r="J22" s="19">
        <v>619</v>
      </c>
      <c r="K22" s="19">
        <f t="shared" ref="K22:K66" si="1">F22*J22</f>
        <v>14169529</v>
      </c>
      <c r="L22" s="19">
        <v>59</v>
      </c>
      <c r="M22" s="19">
        <f t="shared" ref="M22:M66" si="2">F22*L22</f>
        <v>1350569</v>
      </c>
      <c r="N22" s="19">
        <f t="shared" ref="N22:N66" si="3">H22+J22+L22</f>
        <v>794</v>
      </c>
      <c r="O22" s="19">
        <f t="shared" ref="O22:O66" si="4">I22+K22+M22</f>
        <v>18175454</v>
      </c>
      <c r="P22" t="s">
        <v>247</v>
      </c>
      <c r="Q22" t="s">
        <v>586</v>
      </c>
    </row>
    <row r="23" spans="1:17" ht="24" customHeight="1" x14ac:dyDescent="0.3">
      <c r="A23" t="s">
        <v>19</v>
      </c>
      <c r="B23" t="s">
        <v>98</v>
      </c>
      <c r="C23">
        <v>2</v>
      </c>
      <c r="D23" t="s">
        <v>587</v>
      </c>
      <c r="F23">
        <v>22891</v>
      </c>
      <c r="G23" t="s">
        <v>168</v>
      </c>
      <c r="H23" s="19">
        <v>450</v>
      </c>
      <c r="I23" s="19">
        <f t="shared" si="0"/>
        <v>10300950</v>
      </c>
      <c r="J23" s="19">
        <v>1800</v>
      </c>
      <c r="K23" s="19">
        <f t="shared" si="1"/>
        <v>41203800</v>
      </c>
      <c r="L23" s="19">
        <v>650</v>
      </c>
      <c r="M23" s="19">
        <f t="shared" si="2"/>
        <v>14879150</v>
      </c>
      <c r="N23" s="19">
        <f t="shared" si="3"/>
        <v>2900</v>
      </c>
      <c r="O23" s="19">
        <f t="shared" si="4"/>
        <v>66383900</v>
      </c>
      <c r="P23" t="s">
        <v>247</v>
      </c>
      <c r="Q23" t="s">
        <v>588</v>
      </c>
    </row>
    <row r="24" spans="1:17" ht="24" customHeight="1" x14ac:dyDescent="0.3">
      <c r="A24" t="s">
        <v>19</v>
      </c>
      <c r="B24" t="s">
        <v>98</v>
      </c>
      <c r="C24">
        <v>3</v>
      </c>
      <c r="D24" t="s">
        <v>589</v>
      </c>
      <c r="E24" t="s">
        <v>590</v>
      </c>
      <c r="F24">
        <v>1917</v>
      </c>
      <c r="G24" t="s">
        <v>171</v>
      </c>
      <c r="H24" s="19">
        <v>0</v>
      </c>
      <c r="I24" s="19">
        <f t="shared" si="0"/>
        <v>0</v>
      </c>
      <c r="J24" s="19">
        <v>0</v>
      </c>
      <c r="K24" s="19">
        <f t="shared" si="1"/>
        <v>0</v>
      </c>
      <c r="L24" s="19">
        <v>8000</v>
      </c>
      <c r="M24" s="19">
        <f t="shared" si="2"/>
        <v>15336000</v>
      </c>
      <c r="N24" s="19">
        <f t="shared" si="3"/>
        <v>8000</v>
      </c>
      <c r="O24" s="19">
        <f t="shared" si="4"/>
        <v>15336000</v>
      </c>
      <c r="Q24" t="s">
        <v>591</v>
      </c>
    </row>
    <row r="25" spans="1:17" ht="24" customHeight="1" x14ac:dyDescent="0.3">
      <c r="A25" t="s">
        <v>19</v>
      </c>
      <c r="B25" t="s">
        <v>98</v>
      </c>
      <c r="C25">
        <v>4</v>
      </c>
      <c r="D25" t="s">
        <v>592</v>
      </c>
      <c r="E25" t="s">
        <v>593</v>
      </c>
      <c r="F25">
        <v>1906</v>
      </c>
      <c r="G25" t="s">
        <v>171</v>
      </c>
      <c r="H25" s="19">
        <v>0</v>
      </c>
      <c r="I25" s="19">
        <f t="shared" si="0"/>
        <v>0</v>
      </c>
      <c r="J25" s="19">
        <v>0</v>
      </c>
      <c r="K25" s="19">
        <f t="shared" si="1"/>
        <v>0</v>
      </c>
      <c r="L25" s="19">
        <v>41000</v>
      </c>
      <c r="M25" s="19">
        <f t="shared" si="2"/>
        <v>78146000</v>
      </c>
      <c r="N25" s="19">
        <f t="shared" si="3"/>
        <v>41000</v>
      </c>
      <c r="O25" s="19">
        <f t="shared" si="4"/>
        <v>78146000</v>
      </c>
      <c r="Q25" t="s">
        <v>591</v>
      </c>
    </row>
    <row r="26" spans="1:17" ht="24" customHeight="1" x14ac:dyDescent="0.3">
      <c r="A26" t="s">
        <v>19</v>
      </c>
      <c r="B26" t="s">
        <v>98</v>
      </c>
      <c r="C26">
        <v>5</v>
      </c>
      <c r="D26" t="s">
        <v>594</v>
      </c>
      <c r="E26" t="s">
        <v>595</v>
      </c>
      <c r="F26">
        <v>11</v>
      </c>
      <c r="G26" t="s">
        <v>171</v>
      </c>
      <c r="H26" s="19">
        <v>0</v>
      </c>
      <c r="I26" s="19">
        <f t="shared" si="0"/>
        <v>0</v>
      </c>
      <c r="J26" s="19">
        <v>0</v>
      </c>
      <c r="K26" s="19">
        <f t="shared" si="1"/>
        <v>0</v>
      </c>
      <c r="L26" s="19">
        <v>46000</v>
      </c>
      <c r="M26" s="19">
        <f t="shared" si="2"/>
        <v>506000</v>
      </c>
      <c r="N26" s="19">
        <f t="shared" si="3"/>
        <v>46000</v>
      </c>
      <c r="O26" s="19">
        <f t="shared" si="4"/>
        <v>506000</v>
      </c>
      <c r="Q26" t="s">
        <v>591</v>
      </c>
    </row>
    <row r="27" spans="1:17" ht="24" customHeight="1" x14ac:dyDescent="0.3">
      <c r="A27" t="s">
        <v>19</v>
      </c>
      <c r="B27" t="s">
        <v>98</v>
      </c>
      <c r="C27">
        <v>6</v>
      </c>
      <c r="D27" t="s">
        <v>596</v>
      </c>
      <c r="F27">
        <v>1082</v>
      </c>
      <c r="G27" t="s">
        <v>168</v>
      </c>
      <c r="H27" s="19">
        <v>1200</v>
      </c>
      <c r="I27" s="19">
        <f t="shared" si="0"/>
        <v>1298400</v>
      </c>
      <c r="J27" s="19">
        <v>800</v>
      </c>
      <c r="K27" s="19">
        <f t="shared" si="1"/>
        <v>865600</v>
      </c>
      <c r="L27" s="19">
        <v>350</v>
      </c>
      <c r="M27" s="19">
        <f t="shared" si="2"/>
        <v>378700</v>
      </c>
      <c r="N27" s="19">
        <f t="shared" si="3"/>
        <v>2350</v>
      </c>
      <c r="O27" s="19">
        <f t="shared" si="4"/>
        <v>2542700</v>
      </c>
      <c r="P27" t="s">
        <v>247</v>
      </c>
      <c r="Q27" t="s">
        <v>597</v>
      </c>
    </row>
    <row r="28" spans="1:17" ht="24" customHeight="1" x14ac:dyDescent="0.3">
      <c r="A28" t="s">
        <v>19</v>
      </c>
      <c r="B28" t="s">
        <v>98</v>
      </c>
      <c r="C28">
        <v>7</v>
      </c>
      <c r="D28" t="s">
        <v>598</v>
      </c>
      <c r="E28" t="s">
        <v>213</v>
      </c>
      <c r="F28">
        <v>67</v>
      </c>
      <c r="G28" t="s">
        <v>171</v>
      </c>
      <c r="H28" s="19">
        <v>447</v>
      </c>
      <c r="I28" s="19">
        <f t="shared" si="0"/>
        <v>29949</v>
      </c>
      <c r="J28" s="19">
        <v>955</v>
      </c>
      <c r="K28" s="19">
        <f t="shared" si="1"/>
        <v>63985</v>
      </c>
      <c r="L28" s="19">
        <v>336</v>
      </c>
      <c r="M28" s="19">
        <f t="shared" si="2"/>
        <v>22512</v>
      </c>
      <c r="N28" s="19">
        <f t="shared" si="3"/>
        <v>1738</v>
      </c>
      <c r="O28" s="19">
        <f t="shared" si="4"/>
        <v>116446</v>
      </c>
      <c r="Q28" t="s">
        <v>172</v>
      </c>
    </row>
    <row r="29" spans="1:17" ht="24" customHeight="1" x14ac:dyDescent="0.3">
      <c r="A29" t="s">
        <v>19</v>
      </c>
      <c r="B29" t="s">
        <v>98</v>
      </c>
      <c r="C29">
        <v>8</v>
      </c>
      <c r="D29" t="s">
        <v>599</v>
      </c>
      <c r="E29" t="s">
        <v>600</v>
      </c>
      <c r="F29">
        <v>67</v>
      </c>
      <c r="G29" t="s">
        <v>171</v>
      </c>
      <c r="H29" s="19">
        <v>547</v>
      </c>
      <c r="I29" s="19">
        <f t="shared" si="0"/>
        <v>36649</v>
      </c>
      <c r="J29" s="19">
        <v>8585</v>
      </c>
      <c r="K29" s="19">
        <f t="shared" si="1"/>
        <v>575195</v>
      </c>
      <c r="L29" s="19">
        <v>492</v>
      </c>
      <c r="M29" s="19">
        <f t="shared" si="2"/>
        <v>32964</v>
      </c>
      <c r="N29" s="19">
        <f t="shared" si="3"/>
        <v>9624</v>
      </c>
      <c r="O29" s="19">
        <f t="shared" si="4"/>
        <v>644808</v>
      </c>
      <c r="Q29" t="s">
        <v>601</v>
      </c>
    </row>
    <row r="30" spans="1:17" ht="24" customHeight="1" x14ac:dyDescent="0.3">
      <c r="A30" t="s">
        <v>19</v>
      </c>
      <c r="B30" t="s">
        <v>98</v>
      </c>
      <c r="C30">
        <v>9</v>
      </c>
      <c r="D30" t="s">
        <v>602</v>
      </c>
      <c r="E30" t="s">
        <v>167</v>
      </c>
      <c r="F30">
        <v>1246</v>
      </c>
      <c r="G30" t="s">
        <v>168</v>
      </c>
      <c r="H30" s="19">
        <v>0</v>
      </c>
      <c r="I30" s="19">
        <f t="shared" si="0"/>
        <v>0</v>
      </c>
      <c r="J30" s="19">
        <v>4699</v>
      </c>
      <c r="K30" s="19">
        <f t="shared" si="1"/>
        <v>5854954</v>
      </c>
      <c r="L30" s="19">
        <v>0</v>
      </c>
      <c r="M30" s="19">
        <f t="shared" si="2"/>
        <v>0</v>
      </c>
      <c r="N30" s="19">
        <f t="shared" si="3"/>
        <v>4699</v>
      </c>
      <c r="O30" s="19">
        <f t="shared" si="4"/>
        <v>5854954</v>
      </c>
      <c r="Q30" t="s">
        <v>167</v>
      </c>
    </row>
    <row r="31" spans="1:17" ht="24" customHeight="1" x14ac:dyDescent="0.3">
      <c r="A31" t="s">
        <v>19</v>
      </c>
      <c r="B31" t="s">
        <v>98</v>
      </c>
      <c r="C31">
        <v>10</v>
      </c>
      <c r="D31" t="s">
        <v>603</v>
      </c>
      <c r="E31" t="s">
        <v>604</v>
      </c>
      <c r="F31">
        <v>1172</v>
      </c>
      <c r="G31" t="s">
        <v>168</v>
      </c>
      <c r="H31" s="19">
        <v>0</v>
      </c>
      <c r="I31" s="19">
        <f t="shared" si="0"/>
        <v>0</v>
      </c>
      <c r="J31" s="19">
        <v>5538</v>
      </c>
      <c r="K31" s="19">
        <f t="shared" si="1"/>
        <v>6490536</v>
      </c>
      <c r="L31" s="19">
        <v>0</v>
      </c>
      <c r="M31" s="19">
        <f t="shared" si="2"/>
        <v>0</v>
      </c>
      <c r="N31" s="19">
        <f t="shared" si="3"/>
        <v>5538</v>
      </c>
      <c r="O31" s="19">
        <f t="shared" si="4"/>
        <v>6490536</v>
      </c>
      <c r="Q31" t="s">
        <v>604</v>
      </c>
    </row>
    <row r="32" spans="1:17" ht="24" customHeight="1" x14ac:dyDescent="0.3">
      <c r="A32" t="s">
        <v>19</v>
      </c>
      <c r="B32" t="s">
        <v>98</v>
      </c>
      <c r="C32">
        <v>11</v>
      </c>
      <c r="D32" t="s">
        <v>605</v>
      </c>
      <c r="E32" t="s">
        <v>606</v>
      </c>
      <c r="F32">
        <v>10527</v>
      </c>
      <c r="G32" t="s">
        <v>171</v>
      </c>
      <c r="H32" s="19">
        <v>570</v>
      </c>
      <c r="I32" s="19">
        <f t="shared" si="0"/>
        <v>6000390</v>
      </c>
      <c r="J32" s="19">
        <v>843</v>
      </c>
      <c r="K32" s="19">
        <f t="shared" si="1"/>
        <v>8874261</v>
      </c>
      <c r="L32" s="19">
        <v>513</v>
      </c>
      <c r="M32" s="19">
        <f t="shared" si="2"/>
        <v>5400351</v>
      </c>
      <c r="N32" s="19">
        <f t="shared" si="3"/>
        <v>1926</v>
      </c>
      <c r="O32" s="19">
        <f t="shared" si="4"/>
        <v>20275002</v>
      </c>
      <c r="Q32" t="s">
        <v>607</v>
      </c>
    </row>
    <row r="33" spans="1:17" ht="24" customHeight="1" x14ac:dyDescent="0.3">
      <c r="A33" t="s">
        <v>19</v>
      </c>
      <c r="B33" t="s">
        <v>98</v>
      </c>
      <c r="C33">
        <v>12</v>
      </c>
      <c r="D33" t="s">
        <v>608</v>
      </c>
      <c r="E33" t="s">
        <v>170</v>
      </c>
      <c r="F33">
        <v>72445</v>
      </c>
      <c r="G33" t="s">
        <v>171</v>
      </c>
      <c r="H33" s="19">
        <v>991</v>
      </c>
      <c r="I33" s="19">
        <f t="shared" si="0"/>
        <v>71792995</v>
      </c>
      <c r="J33" s="19">
        <v>893</v>
      </c>
      <c r="K33" s="19">
        <f t="shared" si="1"/>
        <v>64693385</v>
      </c>
      <c r="L33" s="19">
        <v>732</v>
      </c>
      <c r="M33" s="19">
        <f t="shared" si="2"/>
        <v>53029740</v>
      </c>
      <c r="N33" s="19">
        <f t="shared" si="3"/>
        <v>2616</v>
      </c>
      <c r="O33" s="19">
        <f t="shared" si="4"/>
        <v>189516120</v>
      </c>
      <c r="Q33" t="s">
        <v>607</v>
      </c>
    </row>
    <row r="34" spans="1:17" ht="24" customHeight="1" x14ac:dyDescent="0.3">
      <c r="A34" t="s">
        <v>19</v>
      </c>
      <c r="B34" t="s">
        <v>98</v>
      </c>
      <c r="C34">
        <v>13</v>
      </c>
      <c r="D34" t="s">
        <v>609</v>
      </c>
      <c r="E34" t="s">
        <v>610</v>
      </c>
      <c r="F34">
        <v>5167</v>
      </c>
      <c r="G34" t="s">
        <v>171</v>
      </c>
      <c r="H34" s="19">
        <v>991</v>
      </c>
      <c r="I34" s="19">
        <f t="shared" si="0"/>
        <v>5120497</v>
      </c>
      <c r="J34" s="19">
        <v>893</v>
      </c>
      <c r="K34" s="19">
        <f t="shared" si="1"/>
        <v>4614131</v>
      </c>
      <c r="L34" s="19">
        <v>732</v>
      </c>
      <c r="M34" s="19">
        <f t="shared" si="2"/>
        <v>3782244</v>
      </c>
      <c r="N34" s="19">
        <f t="shared" si="3"/>
        <v>2616</v>
      </c>
      <c r="O34" s="19">
        <f t="shared" si="4"/>
        <v>13516872</v>
      </c>
      <c r="Q34" t="s">
        <v>607</v>
      </c>
    </row>
    <row r="35" spans="1:17" ht="24" customHeight="1" x14ac:dyDescent="0.3">
      <c r="A35" t="s">
        <v>19</v>
      </c>
      <c r="B35" t="s">
        <v>98</v>
      </c>
      <c r="C35">
        <v>14</v>
      </c>
      <c r="D35" t="s">
        <v>611</v>
      </c>
      <c r="E35" t="s">
        <v>612</v>
      </c>
      <c r="F35">
        <v>921</v>
      </c>
      <c r="G35" t="s">
        <v>171</v>
      </c>
      <c r="H35" s="19">
        <v>3359</v>
      </c>
      <c r="I35" s="19">
        <f t="shared" si="0"/>
        <v>3093639</v>
      </c>
      <c r="J35" s="19">
        <v>5469</v>
      </c>
      <c r="K35" s="19">
        <f t="shared" si="1"/>
        <v>5036949</v>
      </c>
      <c r="L35" s="19">
        <v>1896</v>
      </c>
      <c r="M35" s="19">
        <f t="shared" si="2"/>
        <v>1746216</v>
      </c>
      <c r="N35" s="19">
        <f t="shared" si="3"/>
        <v>10724</v>
      </c>
      <c r="O35" s="19">
        <f t="shared" si="4"/>
        <v>9876804</v>
      </c>
      <c r="Q35" t="s">
        <v>607</v>
      </c>
    </row>
    <row r="36" spans="1:17" ht="24" customHeight="1" x14ac:dyDescent="0.3">
      <c r="A36" t="s">
        <v>19</v>
      </c>
      <c r="B36" t="s">
        <v>98</v>
      </c>
      <c r="C36">
        <v>15</v>
      </c>
      <c r="D36" t="s">
        <v>611</v>
      </c>
      <c r="E36" t="s">
        <v>613</v>
      </c>
      <c r="F36">
        <v>27</v>
      </c>
      <c r="G36" t="s">
        <v>171</v>
      </c>
      <c r="H36" s="19">
        <v>5916</v>
      </c>
      <c r="I36" s="19">
        <f t="shared" si="0"/>
        <v>159732</v>
      </c>
      <c r="J36" s="19">
        <v>19069</v>
      </c>
      <c r="K36" s="19">
        <f t="shared" si="1"/>
        <v>514863</v>
      </c>
      <c r="L36" s="19">
        <v>9487</v>
      </c>
      <c r="M36" s="19">
        <f t="shared" si="2"/>
        <v>256149</v>
      </c>
      <c r="N36" s="19">
        <f t="shared" si="3"/>
        <v>34472</v>
      </c>
      <c r="O36" s="19">
        <f t="shared" si="4"/>
        <v>930744</v>
      </c>
      <c r="Q36" t="s">
        <v>607</v>
      </c>
    </row>
    <row r="37" spans="1:17" ht="24" customHeight="1" x14ac:dyDescent="0.3">
      <c r="A37" t="s">
        <v>19</v>
      </c>
      <c r="B37" t="s">
        <v>98</v>
      </c>
      <c r="C37">
        <v>16</v>
      </c>
      <c r="D37" t="s">
        <v>614</v>
      </c>
      <c r="E37" t="s">
        <v>615</v>
      </c>
      <c r="F37">
        <v>142</v>
      </c>
      <c r="G37" t="s">
        <v>171</v>
      </c>
      <c r="H37" s="19">
        <v>850</v>
      </c>
      <c r="I37" s="19">
        <f t="shared" si="0"/>
        <v>120700</v>
      </c>
      <c r="J37" s="19">
        <v>957</v>
      </c>
      <c r="K37" s="19">
        <f t="shared" si="1"/>
        <v>135894</v>
      </c>
      <c r="L37" s="19">
        <v>473</v>
      </c>
      <c r="M37" s="19">
        <f t="shared" si="2"/>
        <v>67166</v>
      </c>
      <c r="N37" s="19">
        <f t="shared" si="3"/>
        <v>2280</v>
      </c>
      <c r="O37" s="19">
        <f t="shared" si="4"/>
        <v>323760</v>
      </c>
      <c r="Q37" t="s">
        <v>616</v>
      </c>
    </row>
    <row r="38" spans="1:17" ht="24" customHeight="1" x14ac:dyDescent="0.3">
      <c r="A38" t="s">
        <v>19</v>
      </c>
      <c r="B38" t="s">
        <v>98</v>
      </c>
      <c r="C38">
        <v>17</v>
      </c>
      <c r="D38" t="s">
        <v>617</v>
      </c>
      <c r="E38" t="s">
        <v>174</v>
      </c>
      <c r="F38">
        <v>1325</v>
      </c>
      <c r="G38" t="s">
        <v>171</v>
      </c>
      <c r="H38" s="19">
        <v>447</v>
      </c>
      <c r="I38" s="19">
        <f t="shared" si="0"/>
        <v>592275</v>
      </c>
      <c r="J38" s="19">
        <v>955</v>
      </c>
      <c r="K38" s="19">
        <f t="shared" si="1"/>
        <v>1265375</v>
      </c>
      <c r="L38" s="19">
        <v>336</v>
      </c>
      <c r="M38" s="19">
        <f t="shared" si="2"/>
        <v>445200</v>
      </c>
      <c r="N38" s="19">
        <f t="shared" si="3"/>
        <v>1738</v>
      </c>
      <c r="O38" s="19">
        <f t="shared" si="4"/>
        <v>2302850</v>
      </c>
      <c r="Q38" t="s">
        <v>172</v>
      </c>
    </row>
    <row r="39" spans="1:17" ht="24" customHeight="1" x14ac:dyDescent="0.3">
      <c r="A39" t="s">
        <v>19</v>
      </c>
      <c r="B39" t="s">
        <v>98</v>
      </c>
      <c r="C39">
        <v>18</v>
      </c>
      <c r="D39" t="s">
        <v>618</v>
      </c>
      <c r="E39" t="s">
        <v>619</v>
      </c>
      <c r="F39">
        <v>6499</v>
      </c>
      <c r="G39" t="s">
        <v>171</v>
      </c>
      <c r="H39" s="19">
        <v>582</v>
      </c>
      <c r="I39" s="19">
        <f t="shared" si="0"/>
        <v>3782418</v>
      </c>
      <c r="J39" s="19">
        <v>1162</v>
      </c>
      <c r="K39" s="19">
        <f t="shared" si="1"/>
        <v>7551838</v>
      </c>
      <c r="L39" s="19">
        <v>501</v>
      </c>
      <c r="M39" s="19">
        <f t="shared" si="2"/>
        <v>3255999</v>
      </c>
      <c r="N39" s="19">
        <f t="shared" si="3"/>
        <v>2245</v>
      </c>
      <c r="O39" s="19">
        <f t="shared" si="4"/>
        <v>14590255</v>
      </c>
      <c r="Q39" t="s">
        <v>620</v>
      </c>
    </row>
    <row r="40" spans="1:17" ht="24" customHeight="1" x14ac:dyDescent="0.3">
      <c r="A40" t="s">
        <v>19</v>
      </c>
      <c r="B40" t="s">
        <v>98</v>
      </c>
      <c r="C40">
        <v>19</v>
      </c>
      <c r="D40" t="s">
        <v>621</v>
      </c>
      <c r="E40" t="s">
        <v>619</v>
      </c>
      <c r="F40">
        <v>26</v>
      </c>
      <c r="G40" t="s">
        <v>171</v>
      </c>
      <c r="H40" s="19">
        <v>582</v>
      </c>
      <c r="I40" s="19">
        <f t="shared" si="0"/>
        <v>15132</v>
      </c>
      <c r="J40" s="19">
        <v>1162</v>
      </c>
      <c r="K40" s="19">
        <f t="shared" si="1"/>
        <v>30212</v>
      </c>
      <c r="L40" s="19">
        <v>501</v>
      </c>
      <c r="M40" s="19">
        <f t="shared" si="2"/>
        <v>13026</v>
      </c>
      <c r="N40" s="19">
        <f t="shared" si="3"/>
        <v>2245</v>
      </c>
      <c r="O40" s="19">
        <f t="shared" si="4"/>
        <v>58370</v>
      </c>
      <c r="Q40" t="s">
        <v>620</v>
      </c>
    </row>
    <row r="41" spans="1:17" ht="24" customHeight="1" x14ac:dyDescent="0.3">
      <c r="A41" t="s">
        <v>19</v>
      </c>
      <c r="B41" t="s">
        <v>98</v>
      </c>
      <c r="C41">
        <v>20</v>
      </c>
      <c r="D41" t="s">
        <v>622</v>
      </c>
      <c r="E41" t="s">
        <v>176</v>
      </c>
      <c r="F41">
        <v>1916</v>
      </c>
      <c r="G41" t="s">
        <v>171</v>
      </c>
      <c r="H41" s="19">
        <v>887</v>
      </c>
      <c r="I41" s="19">
        <f t="shared" si="0"/>
        <v>1699492</v>
      </c>
      <c r="J41" s="19">
        <v>2394</v>
      </c>
      <c r="K41" s="19">
        <f t="shared" si="1"/>
        <v>4586904</v>
      </c>
      <c r="L41" s="19">
        <v>1107</v>
      </c>
      <c r="M41" s="19">
        <f t="shared" si="2"/>
        <v>2121012</v>
      </c>
      <c r="N41" s="19">
        <f t="shared" si="3"/>
        <v>4388</v>
      </c>
      <c r="O41" s="19">
        <f t="shared" si="4"/>
        <v>8407408</v>
      </c>
      <c r="Q41" t="s">
        <v>620</v>
      </c>
    </row>
    <row r="42" spans="1:17" ht="24" customHeight="1" x14ac:dyDescent="0.3">
      <c r="A42" t="s">
        <v>19</v>
      </c>
      <c r="B42" t="s">
        <v>98</v>
      </c>
      <c r="C42">
        <v>21</v>
      </c>
      <c r="D42" t="s">
        <v>622</v>
      </c>
      <c r="E42" t="s">
        <v>177</v>
      </c>
      <c r="F42">
        <v>16923</v>
      </c>
      <c r="G42" t="s">
        <v>171</v>
      </c>
      <c r="H42" s="19">
        <v>594</v>
      </c>
      <c r="I42" s="19">
        <f t="shared" si="0"/>
        <v>10052262</v>
      </c>
      <c r="J42" s="19">
        <v>1602</v>
      </c>
      <c r="K42" s="19">
        <f t="shared" si="1"/>
        <v>27110646</v>
      </c>
      <c r="L42" s="19">
        <v>741</v>
      </c>
      <c r="M42" s="19">
        <f t="shared" si="2"/>
        <v>12539943</v>
      </c>
      <c r="N42" s="19">
        <f t="shared" si="3"/>
        <v>2937</v>
      </c>
      <c r="O42" s="19">
        <f t="shared" si="4"/>
        <v>49702851</v>
      </c>
      <c r="Q42" t="s">
        <v>620</v>
      </c>
    </row>
    <row r="43" spans="1:17" ht="24" customHeight="1" x14ac:dyDescent="0.3">
      <c r="A43" t="s">
        <v>19</v>
      </c>
      <c r="B43" t="s">
        <v>98</v>
      </c>
      <c r="C43">
        <v>22</v>
      </c>
      <c r="D43" t="s">
        <v>622</v>
      </c>
      <c r="E43" t="s">
        <v>177</v>
      </c>
      <c r="F43">
        <v>1174</v>
      </c>
      <c r="G43" t="s">
        <v>171</v>
      </c>
      <c r="H43" s="19">
        <v>594</v>
      </c>
      <c r="I43" s="19">
        <f t="shared" si="0"/>
        <v>697356</v>
      </c>
      <c r="J43" s="19">
        <v>1602</v>
      </c>
      <c r="K43" s="19">
        <f t="shared" si="1"/>
        <v>1880748</v>
      </c>
      <c r="L43" s="19">
        <v>741</v>
      </c>
      <c r="M43" s="19">
        <f t="shared" si="2"/>
        <v>869934</v>
      </c>
      <c r="N43" s="19">
        <f t="shared" si="3"/>
        <v>2937</v>
      </c>
      <c r="O43" s="19">
        <f t="shared" si="4"/>
        <v>3448038</v>
      </c>
      <c r="Q43" t="s">
        <v>620</v>
      </c>
    </row>
    <row r="44" spans="1:17" ht="24" customHeight="1" x14ac:dyDescent="0.3">
      <c r="A44" t="s">
        <v>19</v>
      </c>
      <c r="B44" t="s">
        <v>98</v>
      </c>
      <c r="C44">
        <v>23</v>
      </c>
      <c r="D44" t="s">
        <v>623</v>
      </c>
      <c r="F44">
        <v>5363</v>
      </c>
      <c r="G44" t="s">
        <v>171</v>
      </c>
      <c r="H44" s="19">
        <v>912</v>
      </c>
      <c r="I44" s="19">
        <f t="shared" si="0"/>
        <v>4891056</v>
      </c>
      <c r="J44" s="19">
        <v>1951</v>
      </c>
      <c r="K44" s="19">
        <f t="shared" si="1"/>
        <v>10463213</v>
      </c>
      <c r="L44" s="19">
        <v>685</v>
      </c>
      <c r="M44" s="19">
        <f t="shared" si="2"/>
        <v>3673655</v>
      </c>
      <c r="N44" s="19">
        <f t="shared" si="3"/>
        <v>3548</v>
      </c>
      <c r="O44" s="19">
        <f t="shared" si="4"/>
        <v>19027924</v>
      </c>
      <c r="P44" t="s">
        <v>247</v>
      </c>
      <c r="Q44" t="s">
        <v>172</v>
      </c>
    </row>
    <row r="45" spans="1:17" ht="24" customHeight="1" x14ac:dyDescent="0.3">
      <c r="A45" t="s">
        <v>19</v>
      </c>
      <c r="B45" t="s">
        <v>98</v>
      </c>
      <c r="C45">
        <v>24</v>
      </c>
      <c r="D45" t="s">
        <v>624</v>
      </c>
      <c r="E45" t="s">
        <v>625</v>
      </c>
      <c r="F45">
        <v>10527</v>
      </c>
      <c r="G45" t="s">
        <v>171</v>
      </c>
      <c r="H45" s="19">
        <v>906</v>
      </c>
      <c r="I45" s="19">
        <f t="shared" si="0"/>
        <v>9537462</v>
      </c>
      <c r="J45" s="19">
        <v>1736</v>
      </c>
      <c r="K45" s="19">
        <f t="shared" si="1"/>
        <v>18274872</v>
      </c>
      <c r="L45" s="19">
        <v>515</v>
      </c>
      <c r="M45" s="19">
        <f t="shared" si="2"/>
        <v>5421405</v>
      </c>
      <c r="N45" s="19">
        <f t="shared" si="3"/>
        <v>3157</v>
      </c>
      <c r="O45" s="19">
        <f t="shared" si="4"/>
        <v>33233739</v>
      </c>
      <c r="Q45" t="s">
        <v>172</v>
      </c>
    </row>
    <row r="46" spans="1:17" ht="24" customHeight="1" x14ac:dyDescent="0.3">
      <c r="A46" t="s">
        <v>19</v>
      </c>
      <c r="B46" t="s">
        <v>98</v>
      </c>
      <c r="C46">
        <v>25</v>
      </c>
      <c r="D46" t="s">
        <v>626</v>
      </c>
      <c r="E46" t="s">
        <v>627</v>
      </c>
      <c r="F46">
        <v>26</v>
      </c>
      <c r="G46" t="s">
        <v>171</v>
      </c>
      <c r="H46" s="19">
        <v>906</v>
      </c>
      <c r="I46" s="19">
        <f t="shared" si="0"/>
        <v>23556</v>
      </c>
      <c r="J46" s="19">
        <v>1736</v>
      </c>
      <c r="K46" s="19">
        <f t="shared" si="1"/>
        <v>45136</v>
      </c>
      <c r="L46" s="19">
        <v>515</v>
      </c>
      <c r="M46" s="19">
        <f t="shared" si="2"/>
        <v>13390</v>
      </c>
      <c r="N46" s="19">
        <f t="shared" si="3"/>
        <v>3157</v>
      </c>
      <c r="O46" s="19">
        <f t="shared" si="4"/>
        <v>82082</v>
      </c>
      <c r="Q46" t="s">
        <v>628</v>
      </c>
    </row>
    <row r="47" spans="1:17" ht="24" customHeight="1" x14ac:dyDescent="0.3">
      <c r="A47" t="s">
        <v>19</v>
      </c>
      <c r="B47" t="s">
        <v>98</v>
      </c>
      <c r="C47">
        <v>26</v>
      </c>
      <c r="D47" t="s">
        <v>629</v>
      </c>
      <c r="E47" t="s">
        <v>630</v>
      </c>
      <c r="F47">
        <v>11327</v>
      </c>
      <c r="G47" t="s">
        <v>171</v>
      </c>
      <c r="H47" s="19">
        <v>873</v>
      </c>
      <c r="I47" s="19">
        <f t="shared" si="0"/>
        <v>9888471</v>
      </c>
      <c r="J47" s="19">
        <v>1719</v>
      </c>
      <c r="K47" s="19">
        <f t="shared" si="1"/>
        <v>19471113</v>
      </c>
      <c r="L47" s="19">
        <v>653</v>
      </c>
      <c r="M47" s="19">
        <f t="shared" si="2"/>
        <v>7396531</v>
      </c>
      <c r="N47" s="19">
        <f t="shared" si="3"/>
        <v>3245</v>
      </c>
      <c r="O47" s="19">
        <f t="shared" si="4"/>
        <v>36756115</v>
      </c>
      <c r="Q47" t="s">
        <v>172</v>
      </c>
    </row>
    <row r="48" spans="1:17" ht="24" customHeight="1" x14ac:dyDescent="0.3">
      <c r="A48" t="s">
        <v>19</v>
      </c>
      <c r="B48" t="s">
        <v>98</v>
      </c>
      <c r="C48">
        <v>27</v>
      </c>
      <c r="D48" t="s">
        <v>631</v>
      </c>
      <c r="E48" t="s">
        <v>632</v>
      </c>
      <c r="F48">
        <v>1134</v>
      </c>
      <c r="G48" t="s">
        <v>171</v>
      </c>
      <c r="H48" s="19">
        <v>873</v>
      </c>
      <c r="I48" s="19">
        <f t="shared" si="0"/>
        <v>989982</v>
      </c>
      <c r="J48" s="19">
        <v>1719</v>
      </c>
      <c r="K48" s="19">
        <f t="shared" si="1"/>
        <v>1949346</v>
      </c>
      <c r="L48" s="19">
        <v>653</v>
      </c>
      <c r="M48" s="19">
        <f t="shared" si="2"/>
        <v>740502</v>
      </c>
      <c r="N48" s="19">
        <f t="shared" si="3"/>
        <v>3245</v>
      </c>
      <c r="O48" s="19">
        <f t="shared" si="4"/>
        <v>3679830</v>
      </c>
      <c r="Q48" t="s">
        <v>172</v>
      </c>
    </row>
    <row r="49" spans="1:17" ht="24" customHeight="1" x14ac:dyDescent="0.3">
      <c r="A49" t="s">
        <v>19</v>
      </c>
      <c r="B49" t="s">
        <v>98</v>
      </c>
      <c r="C49">
        <v>28</v>
      </c>
      <c r="D49" t="s">
        <v>633</v>
      </c>
      <c r="E49" t="s">
        <v>634</v>
      </c>
      <c r="F49">
        <v>25804</v>
      </c>
      <c r="G49" t="s">
        <v>171</v>
      </c>
      <c r="H49" s="19">
        <v>873</v>
      </c>
      <c r="I49" s="19">
        <f t="shared" si="0"/>
        <v>22526892</v>
      </c>
      <c r="J49" s="19">
        <v>1719</v>
      </c>
      <c r="K49" s="19">
        <f t="shared" si="1"/>
        <v>44357076</v>
      </c>
      <c r="L49" s="19">
        <v>653</v>
      </c>
      <c r="M49" s="19">
        <f t="shared" si="2"/>
        <v>16850012</v>
      </c>
      <c r="N49" s="19">
        <f t="shared" si="3"/>
        <v>3245</v>
      </c>
      <c r="O49" s="19">
        <f t="shared" si="4"/>
        <v>83733980</v>
      </c>
      <c r="Q49" t="s">
        <v>172</v>
      </c>
    </row>
    <row r="50" spans="1:17" ht="24" customHeight="1" x14ac:dyDescent="0.3">
      <c r="A50" t="s">
        <v>19</v>
      </c>
      <c r="B50" t="s">
        <v>98</v>
      </c>
      <c r="C50">
        <v>29</v>
      </c>
      <c r="D50" t="s">
        <v>635</v>
      </c>
      <c r="E50" t="s">
        <v>636</v>
      </c>
      <c r="F50">
        <v>29499</v>
      </c>
      <c r="G50" t="s">
        <v>171</v>
      </c>
      <c r="H50" s="19">
        <v>873</v>
      </c>
      <c r="I50" s="19">
        <f t="shared" si="0"/>
        <v>25752627</v>
      </c>
      <c r="J50" s="19">
        <v>1719</v>
      </c>
      <c r="K50" s="19">
        <f t="shared" si="1"/>
        <v>50708781</v>
      </c>
      <c r="L50" s="19">
        <v>653</v>
      </c>
      <c r="M50" s="19">
        <f t="shared" si="2"/>
        <v>19262847</v>
      </c>
      <c r="N50" s="19">
        <f t="shared" si="3"/>
        <v>3245</v>
      </c>
      <c r="O50" s="19">
        <f t="shared" si="4"/>
        <v>95724255</v>
      </c>
      <c r="Q50" t="s">
        <v>172</v>
      </c>
    </row>
    <row r="51" spans="1:17" ht="24" customHeight="1" x14ac:dyDescent="0.3">
      <c r="A51" t="s">
        <v>19</v>
      </c>
      <c r="B51" t="s">
        <v>98</v>
      </c>
      <c r="C51">
        <v>30</v>
      </c>
      <c r="D51" t="s">
        <v>637</v>
      </c>
      <c r="E51" t="s">
        <v>638</v>
      </c>
      <c r="F51">
        <v>5142</v>
      </c>
      <c r="G51" t="s">
        <v>171</v>
      </c>
      <c r="H51" s="19">
        <v>906</v>
      </c>
      <c r="I51" s="19">
        <f t="shared" si="0"/>
        <v>4658652</v>
      </c>
      <c r="J51" s="19">
        <v>1736</v>
      </c>
      <c r="K51" s="19">
        <f t="shared" si="1"/>
        <v>8926512</v>
      </c>
      <c r="L51" s="19">
        <v>515</v>
      </c>
      <c r="M51" s="19">
        <f t="shared" si="2"/>
        <v>2648130</v>
      </c>
      <c r="N51" s="19">
        <f t="shared" si="3"/>
        <v>3157</v>
      </c>
      <c r="O51" s="19">
        <f t="shared" si="4"/>
        <v>16233294</v>
      </c>
      <c r="Q51" t="s">
        <v>628</v>
      </c>
    </row>
    <row r="52" spans="1:17" ht="24" customHeight="1" x14ac:dyDescent="0.3">
      <c r="A52" t="s">
        <v>19</v>
      </c>
      <c r="B52" t="s">
        <v>98</v>
      </c>
      <c r="C52">
        <v>31</v>
      </c>
      <c r="D52" t="s">
        <v>639</v>
      </c>
      <c r="E52" t="s">
        <v>640</v>
      </c>
      <c r="F52">
        <v>921</v>
      </c>
      <c r="G52" t="s">
        <v>171</v>
      </c>
      <c r="H52" s="19">
        <v>873</v>
      </c>
      <c r="I52" s="19">
        <f t="shared" si="0"/>
        <v>804033</v>
      </c>
      <c r="J52" s="19">
        <v>1719</v>
      </c>
      <c r="K52" s="19">
        <f t="shared" si="1"/>
        <v>1583199</v>
      </c>
      <c r="L52" s="19">
        <v>653</v>
      </c>
      <c r="M52" s="19">
        <f t="shared" si="2"/>
        <v>601413</v>
      </c>
      <c r="N52" s="19">
        <f t="shared" si="3"/>
        <v>3245</v>
      </c>
      <c r="O52" s="19">
        <f t="shared" si="4"/>
        <v>2988645</v>
      </c>
      <c r="Q52" t="s">
        <v>628</v>
      </c>
    </row>
    <row r="53" spans="1:17" ht="24" customHeight="1" x14ac:dyDescent="0.3">
      <c r="A53" t="s">
        <v>19</v>
      </c>
      <c r="B53" t="s">
        <v>98</v>
      </c>
      <c r="C53">
        <v>32</v>
      </c>
      <c r="D53" t="s">
        <v>641</v>
      </c>
      <c r="E53" t="s">
        <v>642</v>
      </c>
      <c r="F53">
        <v>27</v>
      </c>
      <c r="G53" t="s">
        <v>171</v>
      </c>
      <c r="H53" s="19">
        <v>873</v>
      </c>
      <c r="I53" s="19">
        <f t="shared" si="0"/>
        <v>23571</v>
      </c>
      <c r="J53" s="19">
        <v>1719</v>
      </c>
      <c r="K53" s="19">
        <f t="shared" si="1"/>
        <v>46413</v>
      </c>
      <c r="L53" s="19">
        <v>653</v>
      </c>
      <c r="M53" s="19">
        <f t="shared" si="2"/>
        <v>17631</v>
      </c>
      <c r="N53" s="19">
        <f t="shared" si="3"/>
        <v>3245</v>
      </c>
      <c r="O53" s="19">
        <f t="shared" si="4"/>
        <v>87615</v>
      </c>
      <c r="Q53" t="s">
        <v>628</v>
      </c>
    </row>
    <row r="54" spans="1:17" ht="24" customHeight="1" x14ac:dyDescent="0.3">
      <c r="A54" t="s">
        <v>19</v>
      </c>
      <c r="B54" t="s">
        <v>98</v>
      </c>
      <c r="C54">
        <v>33</v>
      </c>
      <c r="D54" t="s">
        <v>643</v>
      </c>
      <c r="E54" s="24" t="s">
        <v>644</v>
      </c>
      <c r="F54">
        <v>4653</v>
      </c>
      <c r="G54" t="s">
        <v>171</v>
      </c>
      <c r="H54" s="19">
        <v>873</v>
      </c>
      <c r="I54" s="19">
        <f t="shared" si="0"/>
        <v>4062069</v>
      </c>
      <c r="J54" s="19">
        <v>1719</v>
      </c>
      <c r="K54" s="19">
        <f t="shared" si="1"/>
        <v>7998507</v>
      </c>
      <c r="L54" s="19">
        <v>653</v>
      </c>
      <c r="M54" s="19">
        <f t="shared" si="2"/>
        <v>3038409</v>
      </c>
      <c r="N54" s="19">
        <f t="shared" si="3"/>
        <v>3245</v>
      </c>
      <c r="O54" s="19">
        <f t="shared" si="4"/>
        <v>15098985</v>
      </c>
      <c r="Q54" t="s">
        <v>172</v>
      </c>
    </row>
    <row r="55" spans="1:17" ht="24" customHeight="1" x14ac:dyDescent="0.3">
      <c r="A55" t="s">
        <v>19</v>
      </c>
      <c r="B55" t="s">
        <v>98</v>
      </c>
      <c r="C55">
        <v>34</v>
      </c>
      <c r="D55" t="s">
        <v>645</v>
      </c>
      <c r="E55" t="s">
        <v>187</v>
      </c>
      <c r="F55">
        <v>10</v>
      </c>
      <c r="G55" t="s">
        <v>188</v>
      </c>
      <c r="H55" s="19">
        <v>1500</v>
      </c>
      <c r="I55" s="19">
        <f t="shared" si="0"/>
        <v>15000</v>
      </c>
      <c r="J55" s="19">
        <v>68074</v>
      </c>
      <c r="K55" s="19">
        <f t="shared" si="1"/>
        <v>680740</v>
      </c>
      <c r="L55" s="19"/>
      <c r="M55" s="19">
        <f t="shared" si="2"/>
        <v>0</v>
      </c>
      <c r="N55" s="19">
        <f t="shared" si="3"/>
        <v>69574</v>
      </c>
      <c r="O55" s="19">
        <f t="shared" si="4"/>
        <v>695740</v>
      </c>
      <c r="P55" t="s">
        <v>247</v>
      </c>
      <c r="Q55" t="s">
        <v>187</v>
      </c>
    </row>
    <row r="56" spans="1:17" ht="24" customHeight="1" x14ac:dyDescent="0.3">
      <c r="A56" t="s">
        <v>19</v>
      </c>
      <c r="B56" t="s">
        <v>98</v>
      </c>
      <c r="C56">
        <v>35</v>
      </c>
      <c r="D56" t="s">
        <v>646</v>
      </c>
      <c r="E56" t="s">
        <v>191</v>
      </c>
      <c r="F56">
        <v>26</v>
      </c>
      <c r="G56" t="s">
        <v>188</v>
      </c>
      <c r="H56" s="19">
        <v>1500</v>
      </c>
      <c r="I56" s="19">
        <f t="shared" si="0"/>
        <v>39000</v>
      </c>
      <c r="J56" s="19">
        <v>90391</v>
      </c>
      <c r="K56" s="19">
        <f t="shared" si="1"/>
        <v>2350166</v>
      </c>
      <c r="L56" s="19"/>
      <c r="M56" s="19">
        <f t="shared" si="2"/>
        <v>0</v>
      </c>
      <c r="N56" s="19">
        <f t="shared" si="3"/>
        <v>91891</v>
      </c>
      <c r="O56" s="19">
        <f t="shared" si="4"/>
        <v>2389166</v>
      </c>
      <c r="P56" t="s">
        <v>247</v>
      </c>
      <c r="Q56" t="s">
        <v>191</v>
      </c>
    </row>
    <row r="57" spans="1:17" ht="24" customHeight="1" x14ac:dyDescent="0.3">
      <c r="A57" t="s">
        <v>19</v>
      </c>
      <c r="B57" t="s">
        <v>98</v>
      </c>
      <c r="C57">
        <v>36</v>
      </c>
      <c r="D57" t="s">
        <v>647</v>
      </c>
      <c r="F57">
        <v>18</v>
      </c>
      <c r="G57" t="s">
        <v>648</v>
      </c>
      <c r="I57" s="19">
        <f t="shared" si="0"/>
        <v>0</v>
      </c>
      <c r="J57" s="19"/>
      <c r="K57" s="19">
        <f t="shared" si="1"/>
        <v>0</v>
      </c>
      <c r="L57" s="19"/>
      <c r="M57" s="19">
        <f t="shared" si="2"/>
        <v>0</v>
      </c>
      <c r="N57" s="19">
        <f t="shared" si="3"/>
        <v>0</v>
      </c>
      <c r="O57" s="19">
        <f t="shared" si="4"/>
        <v>0</v>
      </c>
      <c r="P57" t="s">
        <v>159</v>
      </c>
      <c r="Q57" t="s">
        <v>649</v>
      </c>
    </row>
    <row r="58" spans="1:17" ht="24" customHeight="1" x14ac:dyDescent="0.3">
      <c r="A58" t="s">
        <v>19</v>
      </c>
      <c r="B58" t="s">
        <v>98</v>
      </c>
      <c r="C58">
        <v>37</v>
      </c>
      <c r="D58" t="s">
        <v>650</v>
      </c>
      <c r="F58">
        <v>9</v>
      </c>
      <c r="G58" t="s">
        <v>648</v>
      </c>
      <c r="I58" s="19">
        <f t="shared" si="0"/>
        <v>0</v>
      </c>
      <c r="J58" s="19"/>
      <c r="K58" s="19">
        <f t="shared" si="1"/>
        <v>0</v>
      </c>
      <c r="L58" s="19"/>
      <c r="M58" s="19">
        <f t="shared" si="2"/>
        <v>0</v>
      </c>
      <c r="N58" s="19">
        <f t="shared" si="3"/>
        <v>0</v>
      </c>
      <c r="O58" s="19">
        <f t="shared" si="4"/>
        <v>0</v>
      </c>
      <c r="P58" t="s">
        <v>159</v>
      </c>
      <c r="Q58" t="s">
        <v>651</v>
      </c>
    </row>
    <row r="59" spans="1:17" ht="24" customHeight="1" x14ac:dyDescent="0.3">
      <c r="A59" t="s">
        <v>19</v>
      </c>
      <c r="B59" t="s">
        <v>98</v>
      </c>
      <c r="C59">
        <v>38</v>
      </c>
      <c r="D59" t="s">
        <v>652</v>
      </c>
      <c r="E59" t="s">
        <v>653</v>
      </c>
      <c r="F59">
        <v>386</v>
      </c>
      <c r="G59" t="s">
        <v>654</v>
      </c>
      <c r="H59" s="19">
        <v>0</v>
      </c>
      <c r="I59" s="19">
        <f t="shared" si="0"/>
        <v>0</v>
      </c>
      <c r="J59" s="19">
        <v>18396</v>
      </c>
      <c r="K59" s="19">
        <f t="shared" si="1"/>
        <v>7100856</v>
      </c>
      <c r="L59" s="19">
        <v>0</v>
      </c>
      <c r="M59" s="19">
        <f t="shared" si="2"/>
        <v>0</v>
      </c>
      <c r="N59" s="19">
        <f t="shared" si="3"/>
        <v>18396</v>
      </c>
      <c r="O59" s="19">
        <f t="shared" si="4"/>
        <v>7100856</v>
      </c>
      <c r="Q59" t="s">
        <v>655</v>
      </c>
    </row>
    <row r="60" spans="1:17" ht="24" customHeight="1" x14ac:dyDescent="0.3">
      <c r="A60" t="s">
        <v>19</v>
      </c>
      <c r="B60" t="s">
        <v>98</v>
      </c>
      <c r="C60">
        <v>39</v>
      </c>
      <c r="D60" t="s">
        <v>656</v>
      </c>
      <c r="E60" t="s">
        <v>657</v>
      </c>
      <c r="F60">
        <v>64</v>
      </c>
      <c r="G60" t="s">
        <v>658</v>
      </c>
      <c r="H60" s="19">
        <v>22</v>
      </c>
      <c r="I60" s="19">
        <f t="shared" si="0"/>
        <v>1408</v>
      </c>
      <c r="J60" s="19">
        <v>376</v>
      </c>
      <c r="K60" s="19">
        <f t="shared" si="1"/>
        <v>24064</v>
      </c>
      <c r="L60" s="19">
        <v>0</v>
      </c>
      <c r="M60" s="19">
        <f t="shared" si="2"/>
        <v>0</v>
      </c>
      <c r="N60" s="19">
        <f t="shared" si="3"/>
        <v>398</v>
      </c>
      <c r="O60" s="19">
        <f t="shared" si="4"/>
        <v>25472</v>
      </c>
      <c r="Q60" t="s">
        <v>659</v>
      </c>
    </row>
    <row r="61" spans="1:17" ht="24" customHeight="1" x14ac:dyDescent="0.3">
      <c r="A61" t="s">
        <v>19</v>
      </c>
      <c r="B61" t="s">
        <v>98</v>
      </c>
      <c r="C61">
        <v>40</v>
      </c>
      <c r="D61" t="s">
        <v>660</v>
      </c>
      <c r="E61" t="s">
        <v>661</v>
      </c>
      <c r="F61">
        <v>381</v>
      </c>
      <c r="G61" t="s">
        <v>654</v>
      </c>
      <c r="H61" s="19">
        <v>1781</v>
      </c>
      <c r="I61" s="19">
        <f t="shared" si="0"/>
        <v>678561</v>
      </c>
      <c r="J61" s="19">
        <v>67725</v>
      </c>
      <c r="K61" s="19">
        <f t="shared" si="1"/>
        <v>25803225</v>
      </c>
      <c r="L61" s="19">
        <v>6053</v>
      </c>
      <c r="M61" s="19">
        <f t="shared" si="2"/>
        <v>2306193</v>
      </c>
      <c r="N61" s="19">
        <f t="shared" si="3"/>
        <v>75559</v>
      </c>
      <c r="O61" s="19">
        <f t="shared" si="4"/>
        <v>28787979</v>
      </c>
      <c r="Q61" t="s">
        <v>662</v>
      </c>
    </row>
    <row r="62" spans="1:17" ht="24" customHeight="1" x14ac:dyDescent="0.3">
      <c r="A62" t="s">
        <v>19</v>
      </c>
      <c r="B62" t="s">
        <v>98</v>
      </c>
      <c r="C62">
        <v>41</v>
      </c>
      <c r="D62" t="s">
        <v>663</v>
      </c>
      <c r="E62" t="s">
        <v>664</v>
      </c>
      <c r="F62">
        <v>5</v>
      </c>
      <c r="G62" t="s">
        <v>654</v>
      </c>
      <c r="I62" s="19">
        <f t="shared" si="0"/>
        <v>0</v>
      </c>
      <c r="J62" s="19">
        <v>18396</v>
      </c>
      <c r="K62" s="19">
        <f t="shared" si="1"/>
        <v>91980</v>
      </c>
      <c r="L62" s="19"/>
      <c r="M62" s="19">
        <f t="shared" si="2"/>
        <v>0</v>
      </c>
      <c r="N62" s="19">
        <f t="shared" si="3"/>
        <v>18396</v>
      </c>
      <c r="O62" s="19">
        <f t="shared" si="4"/>
        <v>91980</v>
      </c>
      <c r="P62" t="s">
        <v>247</v>
      </c>
      <c r="Q62" t="s">
        <v>662</v>
      </c>
    </row>
    <row r="63" spans="1:17" ht="24" customHeight="1" x14ac:dyDescent="0.3">
      <c r="A63" t="s">
        <v>19</v>
      </c>
      <c r="B63" t="s">
        <v>98</v>
      </c>
      <c r="C63">
        <v>42</v>
      </c>
      <c r="D63" t="s">
        <v>665</v>
      </c>
      <c r="E63" t="s">
        <v>666</v>
      </c>
      <c r="F63">
        <v>386</v>
      </c>
      <c r="G63" t="s">
        <v>233</v>
      </c>
      <c r="I63" s="19">
        <f t="shared" si="0"/>
        <v>0</v>
      </c>
      <c r="J63" s="19"/>
      <c r="K63" s="19">
        <f t="shared" si="1"/>
        <v>0</v>
      </c>
      <c r="L63" s="19"/>
      <c r="M63" s="19">
        <f t="shared" si="2"/>
        <v>0</v>
      </c>
      <c r="N63" s="19">
        <f t="shared" si="3"/>
        <v>0</v>
      </c>
      <c r="O63" s="19">
        <f t="shared" si="4"/>
        <v>0</v>
      </c>
      <c r="P63" t="s">
        <v>159</v>
      </c>
      <c r="Q63" t="s">
        <v>667</v>
      </c>
    </row>
    <row r="64" spans="1:17" ht="24" customHeight="1" x14ac:dyDescent="0.3">
      <c r="A64" t="s">
        <v>19</v>
      </c>
      <c r="B64" t="s">
        <v>98</v>
      </c>
      <c r="C64">
        <v>43</v>
      </c>
      <c r="D64" t="s">
        <v>668</v>
      </c>
      <c r="E64" t="s">
        <v>194</v>
      </c>
      <c r="F64">
        <v>149</v>
      </c>
      <c r="G64" t="s">
        <v>171</v>
      </c>
      <c r="H64" s="19">
        <v>18511</v>
      </c>
      <c r="I64" s="19">
        <f t="shared" si="0"/>
        <v>2758139</v>
      </c>
      <c r="J64" s="19">
        <v>70869</v>
      </c>
      <c r="K64" s="19">
        <f t="shared" si="1"/>
        <v>10559481</v>
      </c>
      <c r="L64" s="19">
        <v>33531</v>
      </c>
      <c r="M64" s="19">
        <f t="shared" si="2"/>
        <v>4996119</v>
      </c>
      <c r="N64" s="19">
        <f t="shared" si="3"/>
        <v>122911</v>
      </c>
      <c r="O64" s="19">
        <f t="shared" si="4"/>
        <v>18313739</v>
      </c>
      <c r="Q64" t="s">
        <v>195</v>
      </c>
    </row>
    <row r="65" spans="1:17" ht="24" customHeight="1" x14ac:dyDescent="0.3">
      <c r="A65" t="s">
        <v>19</v>
      </c>
      <c r="B65" t="s">
        <v>98</v>
      </c>
      <c r="C65">
        <v>44</v>
      </c>
      <c r="D65" t="s">
        <v>669</v>
      </c>
      <c r="E65" t="s">
        <v>194</v>
      </c>
      <c r="F65">
        <v>132</v>
      </c>
      <c r="G65" t="s">
        <v>171</v>
      </c>
      <c r="H65" s="19">
        <v>5125</v>
      </c>
      <c r="I65" s="19">
        <f t="shared" si="0"/>
        <v>676500</v>
      </c>
      <c r="J65" s="19">
        <v>19126</v>
      </c>
      <c r="K65" s="19">
        <f t="shared" si="1"/>
        <v>2524632</v>
      </c>
      <c r="L65" s="19">
        <v>8630</v>
      </c>
      <c r="M65" s="19">
        <f t="shared" si="2"/>
        <v>1139160</v>
      </c>
      <c r="N65" s="19">
        <f t="shared" si="3"/>
        <v>32881</v>
      </c>
      <c r="O65" s="19">
        <f t="shared" si="4"/>
        <v>4340292</v>
      </c>
      <c r="Q65" t="s">
        <v>197</v>
      </c>
    </row>
    <row r="66" spans="1:17" ht="24" customHeight="1" x14ac:dyDescent="0.3">
      <c r="A66" t="s">
        <v>19</v>
      </c>
      <c r="B66" t="s">
        <v>98</v>
      </c>
      <c r="C66">
        <v>45</v>
      </c>
      <c r="D66" t="s">
        <v>670</v>
      </c>
      <c r="E66" t="s">
        <v>208</v>
      </c>
      <c r="F66">
        <v>281</v>
      </c>
      <c r="G66" t="s">
        <v>171</v>
      </c>
      <c r="H66" s="19">
        <v>125000</v>
      </c>
      <c r="I66" s="19">
        <f t="shared" si="0"/>
        <v>35125000</v>
      </c>
      <c r="J66" s="19">
        <v>1845</v>
      </c>
      <c r="K66" s="19">
        <f t="shared" si="1"/>
        <v>518445</v>
      </c>
      <c r="L66" s="19">
        <v>3000</v>
      </c>
      <c r="M66" s="19">
        <f t="shared" si="2"/>
        <v>843000</v>
      </c>
      <c r="N66" s="19">
        <f t="shared" si="3"/>
        <v>129845</v>
      </c>
      <c r="O66" s="19">
        <f t="shared" si="4"/>
        <v>36486445</v>
      </c>
      <c r="P66" t="s">
        <v>247</v>
      </c>
      <c r="Q66" t="s">
        <v>671</v>
      </c>
    </row>
    <row r="67" spans="1:17" ht="24" customHeight="1" x14ac:dyDescent="0.3">
      <c r="A67" s="10" t="s">
        <v>19</v>
      </c>
      <c r="B67" s="10" t="s">
        <v>98</v>
      </c>
      <c r="C67" s="10"/>
      <c r="D67" s="10" t="s">
        <v>210</v>
      </c>
      <c r="E67" s="10"/>
      <c r="F67" s="10"/>
      <c r="G67" s="10"/>
      <c r="H67" s="21"/>
      <c r="I67" s="21">
        <f>SUM(I22:I66)</f>
        <v>239900171</v>
      </c>
      <c r="J67" s="21"/>
      <c r="K67" s="21">
        <f>SUM(K22:K66)</f>
        <v>408996562</v>
      </c>
      <c r="L67" s="21"/>
      <c r="M67" s="21">
        <f>SUM(M22:M66)</f>
        <v>263127272</v>
      </c>
      <c r="N67" s="21"/>
      <c r="O67" s="21">
        <f>SUM(O22:O66)</f>
        <v>912024005</v>
      </c>
      <c r="P67" s="10"/>
      <c r="Q67" s="10" t="s">
        <v>672</v>
      </c>
    </row>
    <row r="68" spans="1:17" ht="24" customHeight="1" x14ac:dyDescent="0.3">
      <c r="A68" t="s">
        <v>19</v>
      </c>
      <c r="B68" t="s">
        <v>99</v>
      </c>
      <c r="C68">
        <v>1</v>
      </c>
      <c r="D68" t="s">
        <v>673</v>
      </c>
      <c r="E68" t="s">
        <v>213</v>
      </c>
      <c r="F68">
        <v>13157</v>
      </c>
      <c r="G68" t="s">
        <v>171</v>
      </c>
      <c r="H68" s="19">
        <v>301</v>
      </c>
      <c r="I68" s="19">
        <f t="shared" ref="I68:I99" si="5">F68*H68</f>
        <v>3960257</v>
      </c>
      <c r="J68" s="19">
        <v>4367</v>
      </c>
      <c r="K68" s="19">
        <f t="shared" ref="K68:K99" si="6">F68*J68</f>
        <v>57456619</v>
      </c>
      <c r="L68" s="19">
        <v>417</v>
      </c>
      <c r="M68" s="19">
        <f t="shared" ref="M68:M99" si="7">F68*L68</f>
        <v>5486469</v>
      </c>
      <c r="N68" s="19">
        <f t="shared" ref="N68:N99" si="8">H68+J68+L68</f>
        <v>5085</v>
      </c>
      <c r="O68" s="19">
        <f t="shared" ref="O68:O99" si="9">I68+K68+M68</f>
        <v>66903345</v>
      </c>
      <c r="Q68" t="s">
        <v>214</v>
      </c>
    </row>
    <row r="69" spans="1:17" ht="24" customHeight="1" x14ac:dyDescent="0.3">
      <c r="A69" t="s">
        <v>19</v>
      </c>
      <c r="B69" t="s">
        <v>99</v>
      </c>
      <c r="C69">
        <v>2</v>
      </c>
      <c r="D69" t="s">
        <v>674</v>
      </c>
      <c r="E69" t="s">
        <v>520</v>
      </c>
      <c r="F69">
        <v>1448</v>
      </c>
      <c r="G69" t="s">
        <v>171</v>
      </c>
      <c r="H69" s="19">
        <v>0</v>
      </c>
      <c r="I69" s="19">
        <f t="shared" si="5"/>
        <v>0</v>
      </c>
      <c r="J69" s="19">
        <v>33455</v>
      </c>
      <c r="K69" s="19">
        <f t="shared" si="6"/>
        <v>48442840</v>
      </c>
      <c r="L69" s="19">
        <v>0</v>
      </c>
      <c r="M69" s="19">
        <f t="shared" si="7"/>
        <v>0</v>
      </c>
      <c r="N69" s="19">
        <f t="shared" si="8"/>
        <v>33455</v>
      </c>
      <c r="O69" s="19">
        <f t="shared" si="9"/>
        <v>48442840</v>
      </c>
      <c r="Q69" t="s">
        <v>172</v>
      </c>
    </row>
    <row r="70" spans="1:17" ht="24" customHeight="1" x14ac:dyDescent="0.3">
      <c r="A70" t="s">
        <v>19</v>
      </c>
      <c r="B70" t="s">
        <v>99</v>
      </c>
      <c r="C70">
        <v>3</v>
      </c>
      <c r="D70" t="s">
        <v>675</v>
      </c>
      <c r="E70" t="s">
        <v>493</v>
      </c>
      <c r="F70">
        <v>202</v>
      </c>
      <c r="G70" t="s">
        <v>171</v>
      </c>
      <c r="H70" s="19">
        <v>608</v>
      </c>
      <c r="I70" s="19">
        <f t="shared" si="5"/>
        <v>122816</v>
      </c>
      <c r="J70" s="19">
        <v>9980</v>
      </c>
      <c r="K70" s="19">
        <f t="shared" si="6"/>
        <v>2015960</v>
      </c>
      <c r="L70" s="19">
        <v>440</v>
      </c>
      <c r="M70" s="19">
        <f t="shared" si="7"/>
        <v>88880</v>
      </c>
      <c r="N70" s="19">
        <f t="shared" si="8"/>
        <v>11028</v>
      </c>
      <c r="O70" s="19">
        <f t="shared" si="9"/>
        <v>2227656</v>
      </c>
      <c r="Q70" t="s">
        <v>676</v>
      </c>
    </row>
    <row r="71" spans="1:17" ht="24" customHeight="1" x14ac:dyDescent="0.3">
      <c r="A71" t="s">
        <v>19</v>
      </c>
      <c r="B71" t="s">
        <v>99</v>
      </c>
      <c r="C71">
        <v>4</v>
      </c>
      <c r="D71" t="s">
        <v>677</v>
      </c>
      <c r="E71" t="s">
        <v>522</v>
      </c>
      <c r="F71">
        <v>6892</v>
      </c>
      <c r="G71" t="s">
        <v>171</v>
      </c>
      <c r="H71" s="19">
        <v>608</v>
      </c>
      <c r="I71" s="19">
        <f t="shared" si="5"/>
        <v>4190336</v>
      </c>
      <c r="J71" s="19">
        <v>9980</v>
      </c>
      <c r="K71" s="19">
        <f t="shared" si="6"/>
        <v>68782160</v>
      </c>
      <c r="L71" s="19">
        <v>440</v>
      </c>
      <c r="M71" s="19">
        <f t="shared" si="7"/>
        <v>3032480</v>
      </c>
      <c r="N71" s="19">
        <f t="shared" si="8"/>
        <v>11028</v>
      </c>
      <c r="O71" s="19">
        <f t="shared" si="9"/>
        <v>76004976</v>
      </c>
      <c r="Q71" t="s">
        <v>676</v>
      </c>
    </row>
    <row r="72" spans="1:17" ht="24" customHeight="1" x14ac:dyDescent="0.3">
      <c r="A72" t="s">
        <v>19</v>
      </c>
      <c r="B72" t="s">
        <v>99</v>
      </c>
      <c r="C72">
        <v>5</v>
      </c>
      <c r="D72" t="s">
        <v>678</v>
      </c>
      <c r="E72" t="s">
        <v>216</v>
      </c>
      <c r="F72">
        <v>6048</v>
      </c>
      <c r="G72" t="s">
        <v>171</v>
      </c>
      <c r="H72" s="19">
        <v>1652</v>
      </c>
      <c r="I72" s="19">
        <f t="shared" si="5"/>
        <v>9991296</v>
      </c>
      <c r="J72" s="19">
        <v>3924</v>
      </c>
      <c r="K72" s="19">
        <f t="shared" si="6"/>
        <v>23732352</v>
      </c>
      <c r="L72" s="19">
        <v>1432</v>
      </c>
      <c r="M72" s="19">
        <f t="shared" si="7"/>
        <v>8660736</v>
      </c>
      <c r="N72" s="19">
        <f t="shared" si="8"/>
        <v>7008</v>
      </c>
      <c r="O72" s="19">
        <f t="shared" si="9"/>
        <v>42384384</v>
      </c>
      <c r="Q72" t="s">
        <v>676</v>
      </c>
    </row>
    <row r="73" spans="1:17" ht="24" customHeight="1" x14ac:dyDescent="0.3">
      <c r="A73" t="s">
        <v>19</v>
      </c>
      <c r="B73" t="s">
        <v>99</v>
      </c>
      <c r="C73">
        <v>6</v>
      </c>
      <c r="D73" t="s">
        <v>679</v>
      </c>
      <c r="E73" t="s">
        <v>219</v>
      </c>
      <c r="F73">
        <v>1462</v>
      </c>
      <c r="G73" t="s">
        <v>171</v>
      </c>
      <c r="H73" s="19">
        <v>447</v>
      </c>
      <c r="I73" s="19">
        <f t="shared" si="5"/>
        <v>653514</v>
      </c>
      <c r="J73" s="19">
        <v>955</v>
      </c>
      <c r="K73" s="19">
        <f t="shared" si="6"/>
        <v>1396210</v>
      </c>
      <c r="L73" s="19">
        <v>336</v>
      </c>
      <c r="M73" s="19">
        <f t="shared" si="7"/>
        <v>491232</v>
      </c>
      <c r="N73" s="19">
        <f t="shared" si="8"/>
        <v>1738</v>
      </c>
      <c r="O73" s="19">
        <f t="shared" si="9"/>
        <v>2540956</v>
      </c>
      <c r="Q73" t="s">
        <v>219</v>
      </c>
    </row>
    <row r="74" spans="1:17" ht="24" customHeight="1" x14ac:dyDescent="0.3">
      <c r="A74" t="s">
        <v>19</v>
      </c>
      <c r="B74" t="s">
        <v>99</v>
      </c>
      <c r="C74">
        <v>7</v>
      </c>
      <c r="D74" t="s">
        <v>680</v>
      </c>
      <c r="E74" t="s">
        <v>221</v>
      </c>
      <c r="F74">
        <v>276</v>
      </c>
      <c r="G74" t="s">
        <v>199</v>
      </c>
      <c r="H74" s="19">
        <v>2339</v>
      </c>
      <c r="I74" s="19">
        <f t="shared" si="5"/>
        <v>645564</v>
      </c>
      <c r="J74" s="19">
        <v>19375</v>
      </c>
      <c r="K74" s="19">
        <f t="shared" si="6"/>
        <v>5347500</v>
      </c>
      <c r="L74" s="19">
        <v>2505</v>
      </c>
      <c r="M74" s="19">
        <f t="shared" si="7"/>
        <v>691380</v>
      </c>
      <c r="N74" s="19">
        <f t="shared" si="8"/>
        <v>24219</v>
      </c>
      <c r="O74" s="19">
        <f t="shared" si="9"/>
        <v>6684444</v>
      </c>
      <c r="Q74" t="s">
        <v>222</v>
      </c>
    </row>
    <row r="75" spans="1:17" ht="24" customHeight="1" x14ac:dyDescent="0.3">
      <c r="A75" t="s">
        <v>19</v>
      </c>
      <c r="B75" t="s">
        <v>99</v>
      </c>
      <c r="C75">
        <v>8</v>
      </c>
      <c r="D75" t="s">
        <v>681</v>
      </c>
      <c r="E75" t="s">
        <v>682</v>
      </c>
      <c r="F75">
        <v>552</v>
      </c>
      <c r="G75" t="s">
        <v>199</v>
      </c>
      <c r="H75" s="19">
        <v>2339</v>
      </c>
      <c r="I75" s="19">
        <f t="shared" si="5"/>
        <v>1291128</v>
      </c>
      <c r="J75" s="19">
        <v>19375</v>
      </c>
      <c r="K75" s="19">
        <f t="shared" si="6"/>
        <v>10695000</v>
      </c>
      <c r="L75" s="19">
        <v>2505</v>
      </c>
      <c r="M75" s="19">
        <f t="shared" si="7"/>
        <v>1382760</v>
      </c>
      <c r="N75" s="19">
        <f t="shared" si="8"/>
        <v>24219</v>
      </c>
      <c r="O75" s="19">
        <f t="shared" si="9"/>
        <v>13368888</v>
      </c>
      <c r="Q75" t="s">
        <v>222</v>
      </c>
    </row>
    <row r="76" spans="1:17" ht="24" customHeight="1" x14ac:dyDescent="0.3">
      <c r="A76" t="s">
        <v>19</v>
      </c>
      <c r="B76" t="s">
        <v>99</v>
      </c>
      <c r="C76">
        <v>9</v>
      </c>
      <c r="D76" t="s">
        <v>683</v>
      </c>
      <c r="E76" t="s">
        <v>224</v>
      </c>
      <c r="F76">
        <v>96</v>
      </c>
      <c r="G76" t="s">
        <v>199</v>
      </c>
      <c r="H76" s="19">
        <v>2339</v>
      </c>
      <c r="I76" s="19">
        <f t="shared" si="5"/>
        <v>224544</v>
      </c>
      <c r="J76" s="19">
        <v>19375</v>
      </c>
      <c r="K76" s="19">
        <f t="shared" si="6"/>
        <v>1860000</v>
      </c>
      <c r="L76" s="19">
        <v>2505</v>
      </c>
      <c r="M76" s="19">
        <f t="shared" si="7"/>
        <v>240480</v>
      </c>
      <c r="N76" s="19">
        <f t="shared" si="8"/>
        <v>24219</v>
      </c>
      <c r="O76" s="19">
        <f t="shared" si="9"/>
        <v>2325024</v>
      </c>
      <c r="Q76" t="s">
        <v>222</v>
      </c>
    </row>
    <row r="77" spans="1:17" ht="24" customHeight="1" x14ac:dyDescent="0.3">
      <c r="A77" t="s">
        <v>19</v>
      </c>
      <c r="B77" t="s">
        <v>99</v>
      </c>
      <c r="C77">
        <v>10</v>
      </c>
      <c r="D77" t="s">
        <v>684</v>
      </c>
      <c r="E77" t="s">
        <v>685</v>
      </c>
      <c r="F77">
        <v>263</v>
      </c>
      <c r="G77" t="s">
        <v>199</v>
      </c>
      <c r="H77" s="19">
        <v>2339</v>
      </c>
      <c r="I77" s="19">
        <f t="shared" si="5"/>
        <v>615157</v>
      </c>
      <c r="J77" s="19">
        <v>19375</v>
      </c>
      <c r="K77" s="19">
        <f t="shared" si="6"/>
        <v>5095625</v>
      </c>
      <c r="L77" s="19">
        <v>2505</v>
      </c>
      <c r="M77" s="19">
        <f t="shared" si="7"/>
        <v>658815</v>
      </c>
      <c r="N77" s="19">
        <f t="shared" si="8"/>
        <v>24219</v>
      </c>
      <c r="O77" s="19">
        <f t="shared" si="9"/>
        <v>6369597</v>
      </c>
      <c r="Q77" t="s">
        <v>222</v>
      </c>
    </row>
    <row r="78" spans="1:17" ht="24" customHeight="1" x14ac:dyDescent="0.3">
      <c r="A78" t="s">
        <v>19</v>
      </c>
      <c r="B78" t="s">
        <v>99</v>
      </c>
      <c r="C78">
        <v>11</v>
      </c>
      <c r="D78" t="s">
        <v>686</v>
      </c>
      <c r="E78" t="s">
        <v>687</v>
      </c>
      <c r="F78">
        <v>17</v>
      </c>
      <c r="G78" t="s">
        <v>199</v>
      </c>
      <c r="H78" s="19">
        <v>2339</v>
      </c>
      <c r="I78" s="19">
        <f t="shared" si="5"/>
        <v>39763</v>
      </c>
      <c r="J78" s="19">
        <v>19375</v>
      </c>
      <c r="K78" s="19">
        <f t="shared" si="6"/>
        <v>329375</v>
      </c>
      <c r="L78" s="19">
        <v>2505</v>
      </c>
      <c r="M78" s="19">
        <f t="shared" si="7"/>
        <v>42585</v>
      </c>
      <c r="N78" s="19">
        <f t="shared" si="8"/>
        <v>24219</v>
      </c>
      <c r="O78" s="19">
        <f t="shared" si="9"/>
        <v>411723</v>
      </c>
      <c r="Q78" t="s">
        <v>222</v>
      </c>
    </row>
    <row r="79" spans="1:17" ht="24" customHeight="1" x14ac:dyDescent="0.3">
      <c r="A79" t="s">
        <v>19</v>
      </c>
      <c r="B79" t="s">
        <v>99</v>
      </c>
      <c r="C79">
        <v>12</v>
      </c>
      <c r="D79" t="s">
        <v>688</v>
      </c>
      <c r="E79" t="s">
        <v>689</v>
      </c>
      <c r="F79">
        <v>83</v>
      </c>
      <c r="G79" t="s">
        <v>199</v>
      </c>
      <c r="H79" s="19">
        <v>2339</v>
      </c>
      <c r="I79" s="19">
        <f t="shared" si="5"/>
        <v>194137</v>
      </c>
      <c r="J79" s="19">
        <v>19375</v>
      </c>
      <c r="K79" s="19">
        <f t="shared" si="6"/>
        <v>1608125</v>
      </c>
      <c r="L79" s="19">
        <v>2505</v>
      </c>
      <c r="M79" s="19">
        <f t="shared" si="7"/>
        <v>207915</v>
      </c>
      <c r="N79" s="19">
        <f t="shared" si="8"/>
        <v>24219</v>
      </c>
      <c r="O79" s="19">
        <f t="shared" si="9"/>
        <v>2010177</v>
      </c>
      <c r="Q79" t="s">
        <v>222</v>
      </c>
    </row>
    <row r="80" spans="1:17" ht="24" customHeight="1" x14ac:dyDescent="0.3">
      <c r="A80" t="s">
        <v>19</v>
      </c>
      <c r="B80" t="s">
        <v>99</v>
      </c>
      <c r="C80">
        <v>13</v>
      </c>
      <c r="D80" t="s">
        <v>690</v>
      </c>
      <c r="E80" t="s">
        <v>691</v>
      </c>
      <c r="F80">
        <v>16</v>
      </c>
      <c r="G80" t="s">
        <v>199</v>
      </c>
      <c r="H80" s="19">
        <v>2339</v>
      </c>
      <c r="I80" s="19">
        <f t="shared" si="5"/>
        <v>37424</v>
      </c>
      <c r="J80" s="19">
        <v>19375</v>
      </c>
      <c r="K80" s="19">
        <f t="shared" si="6"/>
        <v>310000</v>
      </c>
      <c r="L80" s="19">
        <v>2505</v>
      </c>
      <c r="M80" s="19">
        <f t="shared" si="7"/>
        <v>40080</v>
      </c>
      <c r="N80" s="19">
        <f t="shared" si="8"/>
        <v>24219</v>
      </c>
      <c r="O80" s="19">
        <f t="shared" si="9"/>
        <v>387504</v>
      </c>
      <c r="Q80" t="s">
        <v>222</v>
      </c>
    </row>
    <row r="81" spans="1:17" ht="24" customHeight="1" x14ac:dyDescent="0.3">
      <c r="A81" t="s">
        <v>19</v>
      </c>
      <c r="B81" t="s">
        <v>99</v>
      </c>
      <c r="C81">
        <v>14</v>
      </c>
      <c r="D81" t="s">
        <v>692</v>
      </c>
      <c r="E81" t="s">
        <v>226</v>
      </c>
      <c r="F81">
        <v>272</v>
      </c>
      <c r="G81" t="s">
        <v>171</v>
      </c>
      <c r="H81" s="19">
        <v>5963</v>
      </c>
      <c r="I81" s="19">
        <f t="shared" si="5"/>
        <v>1621936</v>
      </c>
      <c r="J81" s="19">
        <v>50648</v>
      </c>
      <c r="K81" s="19">
        <f t="shared" si="6"/>
        <v>13776256</v>
      </c>
      <c r="L81" s="19">
        <v>6730</v>
      </c>
      <c r="M81" s="19">
        <f t="shared" si="7"/>
        <v>1830560</v>
      </c>
      <c r="N81" s="19">
        <f t="shared" si="8"/>
        <v>63341</v>
      </c>
      <c r="O81" s="19">
        <f t="shared" si="9"/>
        <v>17228752</v>
      </c>
      <c r="Q81" t="s">
        <v>693</v>
      </c>
    </row>
    <row r="82" spans="1:17" ht="24" customHeight="1" x14ac:dyDescent="0.3">
      <c r="A82" t="s">
        <v>19</v>
      </c>
      <c r="B82" t="s">
        <v>99</v>
      </c>
      <c r="C82">
        <v>15</v>
      </c>
      <c r="D82" t="s">
        <v>694</v>
      </c>
      <c r="E82" t="s">
        <v>229</v>
      </c>
      <c r="F82">
        <v>725</v>
      </c>
      <c r="G82" t="s">
        <v>168</v>
      </c>
      <c r="H82" s="19">
        <v>378</v>
      </c>
      <c r="I82" s="19">
        <f t="shared" si="5"/>
        <v>274050</v>
      </c>
      <c r="J82" s="19">
        <v>37806</v>
      </c>
      <c r="K82" s="19">
        <f t="shared" si="6"/>
        <v>27409350</v>
      </c>
      <c r="L82" s="19">
        <v>0</v>
      </c>
      <c r="M82" s="19">
        <f t="shared" si="7"/>
        <v>0</v>
      </c>
      <c r="N82" s="19">
        <f t="shared" si="8"/>
        <v>38184</v>
      </c>
      <c r="O82" s="19">
        <f t="shared" si="9"/>
        <v>27683400</v>
      </c>
      <c r="Q82" t="s">
        <v>695</v>
      </c>
    </row>
    <row r="83" spans="1:17" ht="24" customHeight="1" x14ac:dyDescent="0.3">
      <c r="A83" t="s">
        <v>19</v>
      </c>
      <c r="B83" t="s">
        <v>99</v>
      </c>
      <c r="C83">
        <v>16</v>
      </c>
      <c r="D83" t="s">
        <v>696</v>
      </c>
      <c r="E83" t="s">
        <v>697</v>
      </c>
      <c r="F83">
        <v>25</v>
      </c>
      <c r="G83" t="s">
        <v>233</v>
      </c>
      <c r="H83" s="19">
        <v>2924</v>
      </c>
      <c r="I83" s="19">
        <f t="shared" si="5"/>
        <v>73100</v>
      </c>
      <c r="J83" s="19">
        <v>97474</v>
      </c>
      <c r="K83" s="19">
        <f t="shared" si="6"/>
        <v>2436850</v>
      </c>
      <c r="L83" s="19">
        <v>0</v>
      </c>
      <c r="M83" s="19">
        <f t="shared" si="7"/>
        <v>0</v>
      </c>
      <c r="N83" s="19">
        <f t="shared" si="8"/>
        <v>100398</v>
      </c>
      <c r="O83" s="19">
        <f t="shared" si="9"/>
        <v>2509950</v>
      </c>
      <c r="Q83" t="s">
        <v>234</v>
      </c>
    </row>
    <row r="84" spans="1:17" ht="24" customHeight="1" x14ac:dyDescent="0.3">
      <c r="A84" t="s">
        <v>19</v>
      </c>
      <c r="B84" t="s">
        <v>99</v>
      </c>
      <c r="C84">
        <v>17</v>
      </c>
      <c r="D84" t="s">
        <v>698</v>
      </c>
      <c r="E84" t="s">
        <v>232</v>
      </c>
      <c r="F84">
        <v>9</v>
      </c>
      <c r="G84" t="s">
        <v>233</v>
      </c>
      <c r="H84" s="19">
        <v>2463</v>
      </c>
      <c r="I84" s="19">
        <f t="shared" si="5"/>
        <v>22167</v>
      </c>
      <c r="J84" s="19">
        <v>120645</v>
      </c>
      <c r="K84" s="19">
        <f t="shared" si="6"/>
        <v>1085805</v>
      </c>
      <c r="L84" s="19">
        <v>0</v>
      </c>
      <c r="M84" s="19">
        <f t="shared" si="7"/>
        <v>0</v>
      </c>
      <c r="N84" s="19">
        <f t="shared" si="8"/>
        <v>123108</v>
      </c>
      <c r="O84" s="19">
        <f t="shared" si="9"/>
        <v>1107972</v>
      </c>
      <c r="Q84" t="s">
        <v>234</v>
      </c>
    </row>
    <row r="85" spans="1:17" ht="24" customHeight="1" x14ac:dyDescent="0.3">
      <c r="A85" t="s">
        <v>19</v>
      </c>
      <c r="B85" t="s">
        <v>99</v>
      </c>
      <c r="C85">
        <v>18</v>
      </c>
      <c r="D85" t="s">
        <v>699</v>
      </c>
      <c r="E85" t="s">
        <v>700</v>
      </c>
      <c r="F85">
        <v>18</v>
      </c>
      <c r="G85" t="s">
        <v>233</v>
      </c>
      <c r="H85" s="19">
        <v>3895</v>
      </c>
      <c r="I85" s="19">
        <f t="shared" si="5"/>
        <v>70110</v>
      </c>
      <c r="J85" s="19">
        <v>190815</v>
      </c>
      <c r="K85" s="19">
        <f t="shared" si="6"/>
        <v>3434670</v>
      </c>
      <c r="L85" s="19">
        <v>0</v>
      </c>
      <c r="M85" s="19">
        <f t="shared" si="7"/>
        <v>0</v>
      </c>
      <c r="N85" s="19">
        <f t="shared" si="8"/>
        <v>194710</v>
      </c>
      <c r="O85" s="19">
        <f t="shared" si="9"/>
        <v>3504780</v>
      </c>
      <c r="Q85" t="s">
        <v>234</v>
      </c>
    </row>
    <row r="86" spans="1:17" ht="24" customHeight="1" x14ac:dyDescent="0.3">
      <c r="A86" t="s">
        <v>19</v>
      </c>
      <c r="B86" t="s">
        <v>99</v>
      </c>
      <c r="C86">
        <v>19</v>
      </c>
      <c r="D86" t="s">
        <v>701</v>
      </c>
      <c r="E86" t="s">
        <v>702</v>
      </c>
      <c r="F86">
        <v>2</v>
      </c>
      <c r="G86" t="s">
        <v>233</v>
      </c>
      <c r="H86" s="19">
        <v>6488</v>
      </c>
      <c r="I86" s="19">
        <f t="shared" si="5"/>
        <v>12976</v>
      </c>
      <c r="J86" s="19">
        <v>317907</v>
      </c>
      <c r="K86" s="19">
        <f t="shared" si="6"/>
        <v>635814</v>
      </c>
      <c r="L86" s="19">
        <v>0</v>
      </c>
      <c r="M86" s="19">
        <f t="shared" si="7"/>
        <v>0</v>
      </c>
      <c r="N86" s="19">
        <f t="shared" si="8"/>
        <v>324395</v>
      </c>
      <c r="O86" s="19">
        <f t="shared" si="9"/>
        <v>648790</v>
      </c>
      <c r="Q86" t="s">
        <v>234</v>
      </c>
    </row>
    <row r="87" spans="1:17" ht="24" customHeight="1" x14ac:dyDescent="0.3">
      <c r="A87" t="s">
        <v>19</v>
      </c>
      <c r="B87" t="s">
        <v>99</v>
      </c>
      <c r="C87">
        <v>20</v>
      </c>
      <c r="D87" t="s">
        <v>703</v>
      </c>
      <c r="E87" t="s">
        <v>236</v>
      </c>
      <c r="F87">
        <v>86</v>
      </c>
      <c r="G87" t="s">
        <v>233</v>
      </c>
      <c r="H87" s="19">
        <v>0</v>
      </c>
      <c r="I87" s="19">
        <f t="shared" si="5"/>
        <v>0</v>
      </c>
      <c r="J87" s="19">
        <v>13039</v>
      </c>
      <c r="K87" s="19">
        <f t="shared" si="6"/>
        <v>1121354</v>
      </c>
      <c r="L87" s="19">
        <v>782</v>
      </c>
      <c r="M87" s="19">
        <f t="shared" si="7"/>
        <v>67252</v>
      </c>
      <c r="N87" s="19">
        <f t="shared" si="8"/>
        <v>13821</v>
      </c>
      <c r="O87" s="19">
        <f t="shared" si="9"/>
        <v>1188606</v>
      </c>
      <c r="Q87" t="s">
        <v>704</v>
      </c>
    </row>
    <row r="88" spans="1:17" ht="24" customHeight="1" x14ac:dyDescent="0.3">
      <c r="A88" t="s">
        <v>19</v>
      </c>
      <c r="B88" t="s">
        <v>99</v>
      </c>
      <c r="C88">
        <v>21</v>
      </c>
      <c r="D88" t="s">
        <v>705</v>
      </c>
      <c r="E88" t="s">
        <v>706</v>
      </c>
      <c r="F88">
        <v>32</v>
      </c>
      <c r="G88" t="s">
        <v>233</v>
      </c>
      <c r="H88" s="19">
        <v>0</v>
      </c>
      <c r="I88" s="19">
        <f t="shared" si="5"/>
        <v>0</v>
      </c>
      <c r="J88" s="19">
        <v>13039</v>
      </c>
      <c r="K88" s="19">
        <f t="shared" si="6"/>
        <v>417248</v>
      </c>
      <c r="L88" s="19">
        <v>782</v>
      </c>
      <c r="M88" s="19">
        <f t="shared" si="7"/>
        <v>25024</v>
      </c>
      <c r="N88" s="19">
        <f t="shared" si="8"/>
        <v>13821</v>
      </c>
      <c r="O88" s="19">
        <f t="shared" si="9"/>
        <v>442272</v>
      </c>
      <c r="Q88" t="s">
        <v>704</v>
      </c>
    </row>
    <row r="89" spans="1:17" ht="24" customHeight="1" x14ac:dyDescent="0.3">
      <c r="A89" t="s">
        <v>19</v>
      </c>
      <c r="B89" t="s">
        <v>99</v>
      </c>
      <c r="C89">
        <v>22</v>
      </c>
      <c r="D89" t="s">
        <v>707</v>
      </c>
      <c r="E89" t="s">
        <v>238</v>
      </c>
      <c r="F89">
        <v>4</v>
      </c>
      <c r="G89" t="s">
        <v>233</v>
      </c>
      <c r="H89" s="19">
        <v>0</v>
      </c>
      <c r="I89" s="19">
        <f t="shared" si="5"/>
        <v>0</v>
      </c>
      <c r="J89" s="19">
        <v>13039</v>
      </c>
      <c r="K89" s="19">
        <f t="shared" si="6"/>
        <v>52156</v>
      </c>
      <c r="L89" s="19">
        <v>782</v>
      </c>
      <c r="M89" s="19">
        <f t="shared" si="7"/>
        <v>3128</v>
      </c>
      <c r="N89" s="19">
        <f t="shared" si="8"/>
        <v>13821</v>
      </c>
      <c r="O89" s="19">
        <f t="shared" si="9"/>
        <v>55284</v>
      </c>
      <c r="Q89" t="s">
        <v>704</v>
      </c>
    </row>
    <row r="90" spans="1:17" ht="24" customHeight="1" x14ac:dyDescent="0.3">
      <c r="A90" t="s">
        <v>19</v>
      </c>
      <c r="B90" t="s">
        <v>99</v>
      </c>
      <c r="C90">
        <v>23</v>
      </c>
      <c r="D90" t="s">
        <v>708</v>
      </c>
      <c r="E90" t="s">
        <v>709</v>
      </c>
      <c r="F90">
        <v>11</v>
      </c>
      <c r="G90" t="s">
        <v>233</v>
      </c>
      <c r="H90" s="19">
        <v>0</v>
      </c>
      <c r="I90" s="19">
        <f t="shared" si="5"/>
        <v>0</v>
      </c>
      <c r="J90" s="19">
        <v>13039</v>
      </c>
      <c r="K90" s="19">
        <f t="shared" si="6"/>
        <v>143429</v>
      </c>
      <c r="L90" s="19">
        <v>782</v>
      </c>
      <c r="M90" s="19">
        <f t="shared" si="7"/>
        <v>8602</v>
      </c>
      <c r="N90" s="19">
        <f t="shared" si="8"/>
        <v>13821</v>
      </c>
      <c r="O90" s="19">
        <f t="shared" si="9"/>
        <v>152031</v>
      </c>
      <c r="Q90" t="s">
        <v>704</v>
      </c>
    </row>
    <row r="91" spans="1:17" ht="24" customHeight="1" x14ac:dyDescent="0.3">
      <c r="A91" t="s">
        <v>19</v>
      </c>
      <c r="B91" t="s">
        <v>99</v>
      </c>
      <c r="C91">
        <v>24</v>
      </c>
      <c r="D91" t="s">
        <v>710</v>
      </c>
      <c r="E91" t="s">
        <v>711</v>
      </c>
      <c r="F91">
        <v>1</v>
      </c>
      <c r="G91" t="s">
        <v>233</v>
      </c>
      <c r="H91" s="19">
        <v>0</v>
      </c>
      <c r="I91" s="19">
        <f t="shared" si="5"/>
        <v>0</v>
      </c>
      <c r="J91" s="19">
        <v>13039</v>
      </c>
      <c r="K91" s="19">
        <f t="shared" si="6"/>
        <v>13039</v>
      </c>
      <c r="L91" s="19">
        <v>782</v>
      </c>
      <c r="M91" s="19">
        <f t="shared" si="7"/>
        <v>782</v>
      </c>
      <c r="N91" s="19">
        <f t="shared" si="8"/>
        <v>13821</v>
      </c>
      <c r="O91" s="19">
        <f t="shared" si="9"/>
        <v>13821</v>
      </c>
      <c r="Q91" t="s">
        <v>704</v>
      </c>
    </row>
    <row r="92" spans="1:17" ht="24" customHeight="1" x14ac:dyDescent="0.3">
      <c r="A92" t="s">
        <v>19</v>
      </c>
      <c r="B92" t="s">
        <v>99</v>
      </c>
      <c r="C92">
        <v>25</v>
      </c>
      <c r="D92" t="s">
        <v>712</v>
      </c>
      <c r="E92" t="s">
        <v>713</v>
      </c>
      <c r="F92">
        <v>3</v>
      </c>
      <c r="G92" t="s">
        <v>233</v>
      </c>
      <c r="H92" s="19">
        <v>0</v>
      </c>
      <c r="I92" s="19">
        <f t="shared" si="5"/>
        <v>0</v>
      </c>
      <c r="J92" s="19">
        <v>13039</v>
      </c>
      <c r="K92" s="19">
        <f t="shared" si="6"/>
        <v>39117</v>
      </c>
      <c r="L92" s="19">
        <v>782</v>
      </c>
      <c r="M92" s="19">
        <f t="shared" si="7"/>
        <v>2346</v>
      </c>
      <c r="N92" s="19">
        <f t="shared" si="8"/>
        <v>13821</v>
      </c>
      <c r="O92" s="19">
        <f t="shared" si="9"/>
        <v>41463</v>
      </c>
      <c r="Q92" t="s">
        <v>704</v>
      </c>
    </row>
    <row r="93" spans="1:17" ht="24" customHeight="1" x14ac:dyDescent="0.3">
      <c r="A93" t="s">
        <v>19</v>
      </c>
      <c r="B93" t="s">
        <v>99</v>
      </c>
      <c r="C93">
        <v>26</v>
      </c>
      <c r="D93" t="s">
        <v>714</v>
      </c>
      <c r="E93" t="s">
        <v>715</v>
      </c>
      <c r="F93">
        <v>3</v>
      </c>
      <c r="G93" t="s">
        <v>233</v>
      </c>
      <c r="H93" s="19">
        <v>0</v>
      </c>
      <c r="I93" s="19">
        <f t="shared" si="5"/>
        <v>0</v>
      </c>
      <c r="J93" s="19">
        <v>13039</v>
      </c>
      <c r="K93" s="19">
        <f t="shared" si="6"/>
        <v>39117</v>
      </c>
      <c r="L93" s="19">
        <v>782</v>
      </c>
      <c r="M93" s="19">
        <f t="shared" si="7"/>
        <v>2346</v>
      </c>
      <c r="N93" s="19">
        <f t="shared" si="8"/>
        <v>13821</v>
      </c>
      <c r="O93" s="19">
        <f t="shared" si="9"/>
        <v>41463</v>
      </c>
      <c r="Q93" t="s">
        <v>704</v>
      </c>
    </row>
    <row r="94" spans="1:17" ht="24" customHeight="1" x14ac:dyDescent="0.3">
      <c r="A94" t="s">
        <v>19</v>
      </c>
      <c r="B94" t="s">
        <v>99</v>
      </c>
      <c r="C94">
        <v>27</v>
      </c>
      <c r="D94" t="s">
        <v>716</v>
      </c>
      <c r="E94" t="s">
        <v>717</v>
      </c>
      <c r="F94">
        <v>928</v>
      </c>
      <c r="G94" t="s">
        <v>199</v>
      </c>
      <c r="H94" s="19">
        <v>82</v>
      </c>
      <c r="I94" s="19">
        <f t="shared" si="5"/>
        <v>76096</v>
      </c>
      <c r="J94" s="19">
        <v>1966</v>
      </c>
      <c r="K94" s="19">
        <f t="shared" si="6"/>
        <v>1824448</v>
      </c>
      <c r="L94" s="19">
        <v>303</v>
      </c>
      <c r="M94" s="19">
        <f t="shared" si="7"/>
        <v>281184</v>
      </c>
      <c r="N94" s="19">
        <f t="shared" si="8"/>
        <v>2351</v>
      </c>
      <c r="O94" s="19">
        <f t="shared" si="9"/>
        <v>2181728</v>
      </c>
      <c r="Q94" t="s">
        <v>718</v>
      </c>
    </row>
    <row r="95" spans="1:17" ht="24" customHeight="1" x14ac:dyDescent="0.3">
      <c r="A95" t="s">
        <v>19</v>
      </c>
      <c r="B95" t="s">
        <v>99</v>
      </c>
      <c r="C95">
        <v>28</v>
      </c>
      <c r="D95" t="s">
        <v>719</v>
      </c>
      <c r="E95" t="s">
        <v>240</v>
      </c>
      <c r="F95">
        <v>1539</v>
      </c>
      <c r="G95" t="s">
        <v>199</v>
      </c>
      <c r="H95" s="19">
        <v>150</v>
      </c>
      <c r="I95" s="19">
        <f t="shared" si="5"/>
        <v>230850</v>
      </c>
      <c r="J95" s="19">
        <v>450</v>
      </c>
      <c r="K95" s="19">
        <f t="shared" si="6"/>
        <v>692550</v>
      </c>
      <c r="L95" s="19"/>
      <c r="M95" s="19">
        <f t="shared" si="7"/>
        <v>0</v>
      </c>
      <c r="N95" s="19">
        <f t="shared" si="8"/>
        <v>600</v>
      </c>
      <c r="O95" s="19">
        <f t="shared" si="9"/>
        <v>923400</v>
      </c>
      <c r="P95" t="s">
        <v>247</v>
      </c>
      <c r="Q95" t="s">
        <v>720</v>
      </c>
    </row>
    <row r="96" spans="1:17" ht="24" customHeight="1" x14ac:dyDescent="0.3">
      <c r="A96" t="s">
        <v>19</v>
      </c>
      <c r="B96" t="s">
        <v>99</v>
      </c>
      <c r="C96">
        <v>29</v>
      </c>
      <c r="D96" t="s">
        <v>721</v>
      </c>
      <c r="E96" t="s">
        <v>722</v>
      </c>
      <c r="F96">
        <v>26</v>
      </c>
      <c r="G96" t="s">
        <v>171</v>
      </c>
      <c r="H96" s="19">
        <v>70905</v>
      </c>
      <c r="I96" s="19">
        <f t="shared" si="5"/>
        <v>1843530</v>
      </c>
      <c r="J96" s="19">
        <v>182223</v>
      </c>
      <c r="K96" s="19">
        <f t="shared" si="6"/>
        <v>4737798</v>
      </c>
      <c r="L96" s="19">
        <v>85735</v>
      </c>
      <c r="M96" s="19">
        <f t="shared" si="7"/>
        <v>2229110</v>
      </c>
      <c r="N96" s="19">
        <f t="shared" si="8"/>
        <v>338863</v>
      </c>
      <c r="O96" s="19">
        <f t="shared" si="9"/>
        <v>8810438</v>
      </c>
      <c r="P96" t="s">
        <v>247</v>
      </c>
      <c r="Q96" t="s">
        <v>722</v>
      </c>
    </row>
    <row r="97" spans="1:17" ht="24" customHeight="1" x14ac:dyDescent="0.3">
      <c r="A97" t="s">
        <v>19</v>
      </c>
      <c r="B97" t="s">
        <v>99</v>
      </c>
      <c r="C97">
        <v>30</v>
      </c>
      <c r="D97" t="s">
        <v>723</v>
      </c>
      <c r="E97" t="s">
        <v>724</v>
      </c>
      <c r="F97">
        <v>8</v>
      </c>
      <c r="G97" t="s">
        <v>233</v>
      </c>
      <c r="H97" s="19">
        <v>0</v>
      </c>
      <c r="I97" s="19">
        <f t="shared" si="5"/>
        <v>0</v>
      </c>
      <c r="J97" s="19">
        <v>71377</v>
      </c>
      <c r="K97" s="19">
        <f t="shared" si="6"/>
        <v>571016</v>
      </c>
      <c r="L97" s="19">
        <v>0</v>
      </c>
      <c r="M97" s="19">
        <f t="shared" si="7"/>
        <v>0</v>
      </c>
      <c r="N97" s="19">
        <f t="shared" si="8"/>
        <v>71377</v>
      </c>
      <c r="O97" s="19">
        <f t="shared" si="9"/>
        <v>571016</v>
      </c>
      <c r="Q97" t="s">
        <v>725</v>
      </c>
    </row>
    <row r="98" spans="1:17" ht="24" customHeight="1" x14ac:dyDescent="0.3">
      <c r="A98" t="s">
        <v>19</v>
      </c>
      <c r="B98" t="s">
        <v>99</v>
      </c>
      <c r="C98">
        <v>31</v>
      </c>
      <c r="D98" t="s">
        <v>726</v>
      </c>
      <c r="E98" t="s">
        <v>727</v>
      </c>
      <c r="F98">
        <v>1</v>
      </c>
      <c r="G98" t="s">
        <v>233</v>
      </c>
      <c r="H98" s="19">
        <v>0</v>
      </c>
      <c r="I98" s="19">
        <f t="shared" si="5"/>
        <v>0</v>
      </c>
      <c r="J98" s="19">
        <v>71377</v>
      </c>
      <c r="K98" s="19">
        <f t="shared" si="6"/>
        <v>71377</v>
      </c>
      <c r="L98" s="19">
        <v>0</v>
      </c>
      <c r="M98" s="19">
        <f t="shared" si="7"/>
        <v>0</v>
      </c>
      <c r="N98" s="19">
        <f t="shared" si="8"/>
        <v>71377</v>
      </c>
      <c r="O98" s="19">
        <f t="shared" si="9"/>
        <v>71377</v>
      </c>
      <c r="Q98" t="s">
        <v>725</v>
      </c>
    </row>
    <row r="99" spans="1:17" ht="24" customHeight="1" x14ac:dyDescent="0.3">
      <c r="A99" t="s">
        <v>19</v>
      </c>
      <c r="B99" t="s">
        <v>99</v>
      </c>
      <c r="C99">
        <v>32</v>
      </c>
      <c r="D99" t="s">
        <v>728</v>
      </c>
      <c r="E99" t="s">
        <v>729</v>
      </c>
      <c r="F99">
        <v>10</v>
      </c>
      <c r="G99" t="s">
        <v>233</v>
      </c>
      <c r="H99" s="19">
        <v>0</v>
      </c>
      <c r="I99" s="19">
        <f t="shared" si="5"/>
        <v>0</v>
      </c>
      <c r="J99" s="19">
        <v>81796</v>
      </c>
      <c r="K99" s="19">
        <f t="shared" si="6"/>
        <v>817960</v>
      </c>
      <c r="L99" s="19">
        <v>0</v>
      </c>
      <c r="M99" s="19">
        <f t="shared" si="7"/>
        <v>0</v>
      </c>
      <c r="N99" s="19">
        <f t="shared" si="8"/>
        <v>81796</v>
      </c>
      <c r="O99" s="19">
        <f t="shared" si="9"/>
        <v>817960</v>
      </c>
      <c r="Q99" t="s">
        <v>244</v>
      </c>
    </row>
    <row r="100" spans="1:17" ht="24" customHeight="1" x14ac:dyDescent="0.3">
      <c r="A100" t="s">
        <v>19</v>
      </c>
      <c r="B100" t="s">
        <v>99</v>
      </c>
      <c r="C100">
        <v>33</v>
      </c>
      <c r="D100" t="s">
        <v>730</v>
      </c>
      <c r="E100" t="s">
        <v>731</v>
      </c>
      <c r="F100">
        <v>12</v>
      </c>
      <c r="G100" t="s">
        <v>233</v>
      </c>
      <c r="H100" s="19">
        <v>380000</v>
      </c>
      <c r="I100" s="19">
        <f t="shared" ref="I100:I131" si="10">F100*H100</f>
        <v>4560000</v>
      </c>
      <c r="J100" s="19">
        <v>71377</v>
      </c>
      <c r="K100" s="19">
        <f t="shared" ref="K100:K131" si="11">F100*J100</f>
        <v>856524</v>
      </c>
      <c r="L100" s="19">
        <v>45000</v>
      </c>
      <c r="M100" s="19">
        <f t="shared" ref="M100:M131" si="12">F100*L100</f>
        <v>540000</v>
      </c>
      <c r="N100" s="19">
        <f t="shared" ref="N100:N131" si="13">H100+J100+L100</f>
        <v>496377</v>
      </c>
      <c r="O100" s="19">
        <f t="shared" ref="O100:O131" si="14">I100+K100+M100</f>
        <v>5956524</v>
      </c>
      <c r="P100" t="s">
        <v>247</v>
      </c>
      <c r="Q100" t="s">
        <v>732</v>
      </c>
    </row>
    <row r="101" spans="1:17" ht="24" customHeight="1" x14ac:dyDescent="0.3">
      <c r="A101" t="s">
        <v>19</v>
      </c>
      <c r="B101" t="s">
        <v>99</v>
      </c>
      <c r="C101">
        <v>34</v>
      </c>
      <c r="D101" t="s">
        <v>733</v>
      </c>
      <c r="E101" t="s">
        <v>734</v>
      </c>
      <c r="F101">
        <v>1</v>
      </c>
      <c r="G101" t="s">
        <v>233</v>
      </c>
      <c r="H101" s="19">
        <v>9108</v>
      </c>
      <c r="I101" s="19">
        <f t="shared" si="10"/>
        <v>9108</v>
      </c>
      <c r="J101" s="19">
        <v>169869</v>
      </c>
      <c r="K101" s="19">
        <f t="shared" si="11"/>
        <v>169869</v>
      </c>
      <c r="L101" s="19">
        <v>6522</v>
      </c>
      <c r="M101" s="19">
        <f t="shared" si="12"/>
        <v>6522</v>
      </c>
      <c r="N101" s="19">
        <f t="shared" si="13"/>
        <v>185499</v>
      </c>
      <c r="O101" s="19">
        <f t="shared" si="14"/>
        <v>185499</v>
      </c>
      <c r="Q101" t="s">
        <v>735</v>
      </c>
    </row>
    <row r="102" spans="1:17" ht="24" customHeight="1" x14ac:dyDescent="0.3">
      <c r="A102" t="s">
        <v>19</v>
      </c>
      <c r="B102" t="s">
        <v>99</v>
      </c>
      <c r="C102">
        <v>35</v>
      </c>
      <c r="D102" t="s">
        <v>736</v>
      </c>
      <c r="E102" t="s">
        <v>737</v>
      </c>
      <c r="F102">
        <v>2</v>
      </c>
      <c r="G102" t="s">
        <v>233</v>
      </c>
      <c r="H102" s="19">
        <v>420000</v>
      </c>
      <c r="I102" s="19">
        <f t="shared" si="10"/>
        <v>840000</v>
      </c>
      <c r="J102" s="19">
        <v>71377</v>
      </c>
      <c r="K102" s="19">
        <f t="shared" si="11"/>
        <v>142754</v>
      </c>
      <c r="L102" s="19">
        <v>45000</v>
      </c>
      <c r="M102" s="19">
        <f t="shared" si="12"/>
        <v>90000</v>
      </c>
      <c r="N102" s="19">
        <f t="shared" si="13"/>
        <v>536377</v>
      </c>
      <c r="O102" s="19">
        <f t="shared" si="14"/>
        <v>1072754</v>
      </c>
      <c r="P102" t="s">
        <v>247</v>
      </c>
      <c r="Q102" t="s">
        <v>738</v>
      </c>
    </row>
    <row r="103" spans="1:17" ht="24" customHeight="1" x14ac:dyDescent="0.3">
      <c r="A103" t="s">
        <v>19</v>
      </c>
      <c r="B103" t="s">
        <v>99</v>
      </c>
      <c r="C103">
        <v>36</v>
      </c>
      <c r="D103" t="s">
        <v>739</v>
      </c>
      <c r="E103" t="s">
        <v>740</v>
      </c>
      <c r="F103">
        <v>1</v>
      </c>
      <c r="G103" t="s">
        <v>233</v>
      </c>
      <c r="H103" s="19">
        <v>9108</v>
      </c>
      <c r="I103" s="19">
        <f t="shared" si="10"/>
        <v>9108</v>
      </c>
      <c r="J103" s="19">
        <v>169869</v>
      </c>
      <c r="K103" s="19">
        <f t="shared" si="11"/>
        <v>169869</v>
      </c>
      <c r="L103" s="19">
        <v>6522</v>
      </c>
      <c r="M103" s="19">
        <f t="shared" si="12"/>
        <v>6522</v>
      </c>
      <c r="N103" s="19">
        <f t="shared" si="13"/>
        <v>185499</v>
      </c>
      <c r="O103" s="19">
        <f t="shared" si="14"/>
        <v>185499</v>
      </c>
      <c r="Q103" t="s">
        <v>735</v>
      </c>
    </row>
    <row r="104" spans="1:17" ht="24" customHeight="1" x14ac:dyDescent="0.3">
      <c r="A104" t="s">
        <v>19</v>
      </c>
      <c r="B104" t="s">
        <v>99</v>
      </c>
      <c r="C104">
        <v>37</v>
      </c>
      <c r="D104" t="s">
        <v>741</v>
      </c>
      <c r="E104" t="s">
        <v>742</v>
      </c>
      <c r="F104">
        <v>1</v>
      </c>
      <c r="G104" t="s">
        <v>233</v>
      </c>
      <c r="H104" s="19">
        <v>560000</v>
      </c>
      <c r="I104" s="19">
        <f t="shared" si="10"/>
        <v>560000</v>
      </c>
      <c r="J104" s="19">
        <v>71377</v>
      </c>
      <c r="K104" s="19">
        <f t="shared" si="11"/>
        <v>71377</v>
      </c>
      <c r="L104" s="19">
        <v>45000</v>
      </c>
      <c r="M104" s="19">
        <f t="shared" si="12"/>
        <v>45000</v>
      </c>
      <c r="N104" s="19">
        <f t="shared" si="13"/>
        <v>676377</v>
      </c>
      <c r="O104" s="19">
        <f t="shared" si="14"/>
        <v>676377</v>
      </c>
      <c r="P104" t="s">
        <v>247</v>
      </c>
      <c r="Q104" t="s">
        <v>743</v>
      </c>
    </row>
    <row r="105" spans="1:17" ht="24" customHeight="1" x14ac:dyDescent="0.3">
      <c r="A105" t="s">
        <v>19</v>
      </c>
      <c r="B105" t="s">
        <v>99</v>
      </c>
      <c r="C105">
        <v>38</v>
      </c>
      <c r="D105" t="s">
        <v>744</v>
      </c>
      <c r="E105" t="s">
        <v>745</v>
      </c>
      <c r="F105">
        <v>1</v>
      </c>
      <c r="G105" t="s">
        <v>233</v>
      </c>
      <c r="H105" s="19">
        <v>77683</v>
      </c>
      <c r="I105" s="19">
        <f t="shared" si="10"/>
        <v>77683</v>
      </c>
      <c r="J105" s="19">
        <v>878956</v>
      </c>
      <c r="K105" s="19">
        <f t="shared" si="11"/>
        <v>878956</v>
      </c>
      <c r="L105" s="19">
        <v>50096</v>
      </c>
      <c r="M105" s="19">
        <f t="shared" si="12"/>
        <v>50096</v>
      </c>
      <c r="N105" s="19">
        <f t="shared" si="13"/>
        <v>1006735</v>
      </c>
      <c r="O105" s="19">
        <f t="shared" si="14"/>
        <v>1006735</v>
      </c>
      <c r="P105" t="s">
        <v>247</v>
      </c>
      <c r="Q105" t="s">
        <v>746</v>
      </c>
    </row>
    <row r="106" spans="1:17" ht="24" customHeight="1" x14ac:dyDescent="0.3">
      <c r="A106" t="s">
        <v>19</v>
      </c>
      <c r="B106" t="s">
        <v>99</v>
      </c>
      <c r="C106">
        <v>39</v>
      </c>
      <c r="D106" t="s">
        <v>747</v>
      </c>
      <c r="E106" t="s">
        <v>246</v>
      </c>
      <c r="F106">
        <v>1.5629999999999999</v>
      </c>
      <c r="G106" t="s">
        <v>171</v>
      </c>
      <c r="H106" s="19">
        <v>500</v>
      </c>
      <c r="I106" s="19">
        <f t="shared" si="10"/>
        <v>781.5</v>
      </c>
      <c r="J106" s="19">
        <v>1000</v>
      </c>
      <c r="K106" s="19">
        <f t="shared" si="11"/>
        <v>1563</v>
      </c>
      <c r="L106" s="19"/>
      <c r="M106" s="19">
        <f t="shared" si="12"/>
        <v>0</v>
      </c>
      <c r="N106" s="19">
        <f t="shared" si="13"/>
        <v>1500</v>
      </c>
      <c r="O106" s="19">
        <f t="shared" si="14"/>
        <v>2344.5</v>
      </c>
      <c r="P106" t="s">
        <v>247</v>
      </c>
      <c r="Q106" t="s">
        <v>248</v>
      </c>
    </row>
    <row r="107" spans="1:17" ht="24" customHeight="1" x14ac:dyDescent="0.3">
      <c r="A107" t="s">
        <v>19</v>
      </c>
      <c r="B107" t="s">
        <v>99</v>
      </c>
      <c r="C107">
        <v>40</v>
      </c>
      <c r="D107" t="s">
        <v>748</v>
      </c>
      <c r="E107" t="s">
        <v>749</v>
      </c>
      <c r="F107">
        <v>206</v>
      </c>
      <c r="G107" t="s">
        <v>199</v>
      </c>
      <c r="H107" s="19">
        <v>3500</v>
      </c>
      <c r="I107" s="19">
        <f t="shared" si="10"/>
        <v>721000</v>
      </c>
      <c r="J107" s="19">
        <v>2500</v>
      </c>
      <c r="K107" s="19">
        <f t="shared" si="11"/>
        <v>515000</v>
      </c>
      <c r="L107" s="19"/>
      <c r="M107" s="19">
        <f t="shared" si="12"/>
        <v>0</v>
      </c>
      <c r="N107" s="19">
        <f t="shared" si="13"/>
        <v>6000</v>
      </c>
      <c r="O107" s="19">
        <f t="shared" si="14"/>
        <v>1236000</v>
      </c>
      <c r="P107" t="s">
        <v>247</v>
      </c>
      <c r="Q107" t="s">
        <v>750</v>
      </c>
    </row>
    <row r="108" spans="1:17" ht="24" customHeight="1" x14ac:dyDescent="0.3">
      <c r="A108" t="s">
        <v>19</v>
      </c>
      <c r="B108" t="s">
        <v>99</v>
      </c>
      <c r="C108">
        <v>41</v>
      </c>
      <c r="D108" t="s">
        <v>751</v>
      </c>
      <c r="E108" t="s">
        <v>250</v>
      </c>
      <c r="F108">
        <v>86</v>
      </c>
      <c r="G108" t="s">
        <v>233</v>
      </c>
      <c r="H108" s="19">
        <v>360000</v>
      </c>
      <c r="I108" s="19">
        <f t="shared" si="10"/>
        <v>30960000</v>
      </c>
      <c r="J108" s="19">
        <v>75000</v>
      </c>
      <c r="K108" s="19">
        <f t="shared" si="11"/>
        <v>6450000</v>
      </c>
      <c r="L108" s="19">
        <v>45000</v>
      </c>
      <c r="M108" s="19">
        <f t="shared" si="12"/>
        <v>3870000</v>
      </c>
      <c r="N108" s="19">
        <f t="shared" si="13"/>
        <v>480000</v>
      </c>
      <c r="O108" s="19">
        <f t="shared" si="14"/>
        <v>41280000</v>
      </c>
      <c r="P108" t="s">
        <v>247</v>
      </c>
      <c r="Q108" t="s">
        <v>752</v>
      </c>
    </row>
    <row r="109" spans="1:17" ht="24" customHeight="1" x14ac:dyDescent="0.3">
      <c r="A109" t="s">
        <v>19</v>
      </c>
      <c r="B109" t="s">
        <v>99</v>
      </c>
      <c r="C109">
        <v>42</v>
      </c>
      <c r="D109" t="s">
        <v>753</v>
      </c>
      <c r="E109" t="s">
        <v>516</v>
      </c>
      <c r="F109">
        <v>4</v>
      </c>
      <c r="G109" t="s">
        <v>199</v>
      </c>
      <c r="H109" s="19">
        <v>229</v>
      </c>
      <c r="I109" s="19">
        <f t="shared" si="10"/>
        <v>916</v>
      </c>
      <c r="J109" s="19">
        <v>11486</v>
      </c>
      <c r="K109" s="19">
        <f t="shared" si="11"/>
        <v>45944</v>
      </c>
      <c r="L109" s="19">
        <v>0</v>
      </c>
      <c r="M109" s="19">
        <f t="shared" si="12"/>
        <v>0</v>
      </c>
      <c r="N109" s="19">
        <f t="shared" si="13"/>
        <v>11715</v>
      </c>
      <c r="O109" s="19">
        <f t="shared" si="14"/>
        <v>46860</v>
      </c>
      <c r="Q109" t="s">
        <v>754</v>
      </c>
    </row>
    <row r="110" spans="1:17" ht="24" customHeight="1" x14ac:dyDescent="0.3">
      <c r="A110" t="s">
        <v>19</v>
      </c>
      <c r="B110" t="s">
        <v>99</v>
      </c>
      <c r="C110">
        <v>43</v>
      </c>
      <c r="D110" t="s">
        <v>755</v>
      </c>
      <c r="E110" t="s">
        <v>756</v>
      </c>
      <c r="F110">
        <v>36</v>
      </c>
      <c r="G110" t="s">
        <v>199</v>
      </c>
      <c r="H110" s="19">
        <v>229</v>
      </c>
      <c r="I110" s="19">
        <f t="shared" si="10"/>
        <v>8244</v>
      </c>
      <c r="J110" s="19">
        <v>11486</v>
      </c>
      <c r="K110" s="19">
        <f t="shared" si="11"/>
        <v>413496</v>
      </c>
      <c r="L110" s="19">
        <v>0</v>
      </c>
      <c r="M110" s="19">
        <f t="shared" si="12"/>
        <v>0</v>
      </c>
      <c r="N110" s="19">
        <f t="shared" si="13"/>
        <v>11715</v>
      </c>
      <c r="O110" s="19">
        <f t="shared" si="14"/>
        <v>421740</v>
      </c>
      <c r="Q110" t="s">
        <v>754</v>
      </c>
    </row>
    <row r="111" spans="1:17" ht="24" customHeight="1" x14ac:dyDescent="0.3">
      <c r="A111" t="s">
        <v>19</v>
      </c>
      <c r="B111" t="s">
        <v>99</v>
      </c>
      <c r="C111">
        <v>44</v>
      </c>
      <c r="D111" t="s">
        <v>757</v>
      </c>
      <c r="E111" t="s">
        <v>758</v>
      </c>
      <c r="F111">
        <v>2</v>
      </c>
      <c r="G111" t="s">
        <v>199</v>
      </c>
      <c r="H111" s="19">
        <v>229</v>
      </c>
      <c r="I111" s="19">
        <f t="shared" si="10"/>
        <v>458</v>
      </c>
      <c r="J111" s="19">
        <v>11486</v>
      </c>
      <c r="K111" s="19">
        <f t="shared" si="11"/>
        <v>22972</v>
      </c>
      <c r="L111" s="19">
        <v>0</v>
      </c>
      <c r="M111" s="19">
        <f t="shared" si="12"/>
        <v>0</v>
      </c>
      <c r="N111" s="19">
        <f t="shared" si="13"/>
        <v>11715</v>
      </c>
      <c r="O111" s="19">
        <f t="shared" si="14"/>
        <v>23430</v>
      </c>
      <c r="Q111" t="s">
        <v>754</v>
      </c>
    </row>
    <row r="112" spans="1:17" ht="24" customHeight="1" x14ac:dyDescent="0.3">
      <c r="A112" t="s">
        <v>19</v>
      </c>
      <c r="B112" t="s">
        <v>99</v>
      </c>
      <c r="C112">
        <v>45</v>
      </c>
      <c r="D112" t="s">
        <v>759</v>
      </c>
      <c r="E112" t="s">
        <v>760</v>
      </c>
      <c r="F112">
        <v>2</v>
      </c>
      <c r="G112" t="s">
        <v>199</v>
      </c>
      <c r="H112" s="19">
        <v>229</v>
      </c>
      <c r="I112" s="19">
        <f t="shared" si="10"/>
        <v>458</v>
      </c>
      <c r="J112" s="19">
        <v>11486</v>
      </c>
      <c r="K112" s="19">
        <f t="shared" si="11"/>
        <v>22972</v>
      </c>
      <c r="L112" s="19">
        <v>0</v>
      </c>
      <c r="M112" s="19">
        <f t="shared" si="12"/>
        <v>0</v>
      </c>
      <c r="N112" s="19">
        <f t="shared" si="13"/>
        <v>11715</v>
      </c>
      <c r="O112" s="19">
        <f t="shared" si="14"/>
        <v>23430</v>
      </c>
      <c r="Q112" t="s">
        <v>754</v>
      </c>
    </row>
    <row r="113" spans="1:17" ht="24" customHeight="1" x14ac:dyDescent="0.3">
      <c r="A113" t="s">
        <v>19</v>
      </c>
      <c r="B113" t="s">
        <v>99</v>
      </c>
      <c r="C113">
        <v>46</v>
      </c>
      <c r="D113" t="s">
        <v>761</v>
      </c>
      <c r="E113" t="s">
        <v>226</v>
      </c>
      <c r="F113">
        <v>11</v>
      </c>
      <c r="G113" t="s">
        <v>171</v>
      </c>
      <c r="H113" s="19">
        <v>5963</v>
      </c>
      <c r="I113" s="19">
        <f t="shared" si="10"/>
        <v>65593</v>
      </c>
      <c r="J113" s="19">
        <v>50648</v>
      </c>
      <c r="K113" s="19">
        <f t="shared" si="11"/>
        <v>557128</v>
      </c>
      <c r="L113" s="19">
        <v>6730</v>
      </c>
      <c r="M113" s="19">
        <f t="shared" si="12"/>
        <v>74030</v>
      </c>
      <c r="N113" s="19">
        <f t="shared" si="13"/>
        <v>63341</v>
      </c>
      <c r="O113" s="19">
        <f t="shared" si="14"/>
        <v>696751</v>
      </c>
      <c r="Q113" t="s">
        <v>693</v>
      </c>
    </row>
    <row r="114" spans="1:17" ht="24" customHeight="1" x14ac:dyDescent="0.3">
      <c r="A114" t="s">
        <v>19</v>
      </c>
      <c r="B114" t="s">
        <v>99</v>
      </c>
      <c r="C114">
        <v>47</v>
      </c>
      <c r="D114" t="s">
        <v>762</v>
      </c>
      <c r="E114" t="s">
        <v>229</v>
      </c>
      <c r="F114">
        <v>9</v>
      </c>
      <c r="G114" t="s">
        <v>168</v>
      </c>
      <c r="H114" s="19">
        <v>378</v>
      </c>
      <c r="I114" s="19">
        <f t="shared" si="10"/>
        <v>3402</v>
      </c>
      <c r="J114" s="19">
        <v>37806</v>
      </c>
      <c r="K114" s="19">
        <f t="shared" si="11"/>
        <v>340254</v>
      </c>
      <c r="L114" s="19">
        <v>0</v>
      </c>
      <c r="M114" s="19">
        <f t="shared" si="12"/>
        <v>0</v>
      </c>
      <c r="N114" s="19">
        <f t="shared" si="13"/>
        <v>38184</v>
      </c>
      <c r="O114" s="19">
        <f t="shared" si="14"/>
        <v>343656</v>
      </c>
      <c r="Q114" t="s">
        <v>695</v>
      </c>
    </row>
    <row r="115" spans="1:17" ht="24" customHeight="1" x14ac:dyDescent="0.3">
      <c r="A115" t="s">
        <v>19</v>
      </c>
      <c r="B115" t="s">
        <v>99</v>
      </c>
      <c r="C115">
        <v>48</v>
      </c>
      <c r="D115" t="s">
        <v>761</v>
      </c>
      <c r="E115" t="s">
        <v>226</v>
      </c>
      <c r="F115">
        <v>1</v>
      </c>
      <c r="G115" t="s">
        <v>171</v>
      </c>
      <c r="H115" s="19">
        <v>5963</v>
      </c>
      <c r="I115" s="19">
        <f t="shared" si="10"/>
        <v>5963</v>
      </c>
      <c r="J115" s="19">
        <v>50648</v>
      </c>
      <c r="K115" s="19">
        <f t="shared" si="11"/>
        <v>50648</v>
      </c>
      <c r="L115" s="19">
        <v>6730</v>
      </c>
      <c r="M115" s="19">
        <f t="shared" si="12"/>
        <v>6730</v>
      </c>
      <c r="N115" s="19">
        <f t="shared" si="13"/>
        <v>63341</v>
      </c>
      <c r="O115" s="19">
        <f t="shared" si="14"/>
        <v>63341</v>
      </c>
      <c r="Q115" t="s">
        <v>693</v>
      </c>
    </row>
    <row r="116" spans="1:17" ht="24" customHeight="1" x14ac:dyDescent="0.3">
      <c r="A116" t="s">
        <v>19</v>
      </c>
      <c r="B116" t="s">
        <v>99</v>
      </c>
      <c r="C116">
        <v>49</v>
      </c>
      <c r="D116" t="s">
        <v>762</v>
      </c>
      <c r="E116" t="s">
        <v>229</v>
      </c>
      <c r="F116">
        <v>4</v>
      </c>
      <c r="G116" t="s">
        <v>168</v>
      </c>
      <c r="H116" s="19">
        <v>378</v>
      </c>
      <c r="I116" s="19">
        <f t="shared" si="10"/>
        <v>1512</v>
      </c>
      <c r="J116" s="19">
        <v>37806</v>
      </c>
      <c r="K116" s="19">
        <f t="shared" si="11"/>
        <v>151224</v>
      </c>
      <c r="L116" s="19">
        <v>0</v>
      </c>
      <c r="M116" s="19">
        <f t="shared" si="12"/>
        <v>0</v>
      </c>
      <c r="N116" s="19">
        <f t="shared" si="13"/>
        <v>38184</v>
      </c>
      <c r="O116" s="19">
        <f t="shared" si="14"/>
        <v>152736</v>
      </c>
      <c r="Q116" t="s">
        <v>695</v>
      </c>
    </row>
    <row r="117" spans="1:17" ht="24" customHeight="1" x14ac:dyDescent="0.3">
      <c r="A117" t="s">
        <v>19</v>
      </c>
      <c r="B117" t="s">
        <v>99</v>
      </c>
      <c r="C117">
        <v>50</v>
      </c>
      <c r="D117" t="s">
        <v>763</v>
      </c>
      <c r="E117" t="s">
        <v>764</v>
      </c>
      <c r="F117">
        <v>16</v>
      </c>
      <c r="G117" t="s">
        <v>233</v>
      </c>
      <c r="H117" s="19">
        <v>13953</v>
      </c>
      <c r="I117" s="19">
        <f t="shared" si="10"/>
        <v>223248</v>
      </c>
      <c r="J117" s="19">
        <v>609212</v>
      </c>
      <c r="K117" s="19">
        <f t="shared" si="11"/>
        <v>9747392</v>
      </c>
      <c r="L117" s="19">
        <v>9169</v>
      </c>
      <c r="M117" s="19">
        <f t="shared" si="12"/>
        <v>146704</v>
      </c>
      <c r="N117" s="19">
        <f t="shared" si="13"/>
        <v>632334</v>
      </c>
      <c r="O117" s="19">
        <f t="shared" si="14"/>
        <v>10117344</v>
      </c>
      <c r="Q117" t="s">
        <v>765</v>
      </c>
    </row>
    <row r="118" spans="1:17" ht="24" customHeight="1" x14ac:dyDescent="0.3">
      <c r="A118" t="s">
        <v>19</v>
      </c>
      <c r="B118" t="s">
        <v>99</v>
      </c>
      <c r="C118">
        <v>51</v>
      </c>
      <c r="D118" t="s">
        <v>766</v>
      </c>
      <c r="E118" t="s">
        <v>767</v>
      </c>
      <c r="F118">
        <v>116</v>
      </c>
      <c r="G118" t="s">
        <v>199</v>
      </c>
      <c r="H118" s="19">
        <v>7407</v>
      </c>
      <c r="I118" s="19">
        <f t="shared" si="10"/>
        <v>859212</v>
      </c>
      <c r="J118" s="19">
        <v>34565</v>
      </c>
      <c r="K118" s="19">
        <f t="shared" si="11"/>
        <v>4009540</v>
      </c>
      <c r="L118" s="19">
        <v>702</v>
      </c>
      <c r="M118" s="19">
        <f t="shared" si="12"/>
        <v>81432</v>
      </c>
      <c r="N118" s="19">
        <f t="shared" si="13"/>
        <v>42674</v>
      </c>
      <c r="O118" s="19">
        <f t="shared" si="14"/>
        <v>4950184</v>
      </c>
      <c r="Q118" t="s">
        <v>768</v>
      </c>
    </row>
    <row r="119" spans="1:17" ht="24" customHeight="1" x14ac:dyDescent="0.3">
      <c r="A119" t="s">
        <v>19</v>
      </c>
      <c r="B119" t="s">
        <v>99</v>
      </c>
      <c r="C119">
        <v>52</v>
      </c>
      <c r="D119" t="s">
        <v>769</v>
      </c>
      <c r="E119" t="s">
        <v>770</v>
      </c>
      <c r="F119">
        <v>5</v>
      </c>
      <c r="G119" t="s">
        <v>233</v>
      </c>
      <c r="H119" s="19">
        <v>110000</v>
      </c>
      <c r="I119" s="19">
        <f t="shared" si="10"/>
        <v>550000</v>
      </c>
      <c r="J119" s="19">
        <v>25000</v>
      </c>
      <c r="K119" s="19">
        <f t="shared" si="11"/>
        <v>125000</v>
      </c>
      <c r="L119" s="19">
        <v>45000</v>
      </c>
      <c r="M119" s="19">
        <f t="shared" si="12"/>
        <v>225000</v>
      </c>
      <c r="N119" s="19">
        <f t="shared" si="13"/>
        <v>180000</v>
      </c>
      <c r="O119" s="19">
        <f t="shared" si="14"/>
        <v>900000</v>
      </c>
      <c r="P119" t="s">
        <v>247</v>
      </c>
      <c r="Q119" t="s">
        <v>768</v>
      </c>
    </row>
    <row r="120" spans="1:17" ht="24" customHeight="1" x14ac:dyDescent="0.3">
      <c r="A120" t="s">
        <v>19</v>
      </c>
      <c r="B120" t="s">
        <v>99</v>
      </c>
      <c r="C120">
        <v>53</v>
      </c>
      <c r="D120" t="s">
        <v>771</v>
      </c>
      <c r="E120" t="s">
        <v>772</v>
      </c>
      <c r="F120">
        <v>202</v>
      </c>
      <c r="G120" t="s">
        <v>199</v>
      </c>
      <c r="H120" s="19">
        <v>3545</v>
      </c>
      <c r="I120" s="19">
        <f t="shared" si="10"/>
        <v>716090</v>
      </c>
      <c r="J120" s="19">
        <v>102513</v>
      </c>
      <c r="K120" s="19">
        <f t="shared" si="11"/>
        <v>20707626</v>
      </c>
      <c r="L120" s="19">
        <v>4644</v>
      </c>
      <c r="M120" s="19">
        <f t="shared" si="12"/>
        <v>938088</v>
      </c>
      <c r="N120" s="19">
        <f t="shared" si="13"/>
        <v>110702</v>
      </c>
      <c r="O120" s="19">
        <f t="shared" si="14"/>
        <v>22361804</v>
      </c>
      <c r="Q120" t="s">
        <v>773</v>
      </c>
    </row>
    <row r="121" spans="1:17" ht="24" customHeight="1" x14ac:dyDescent="0.3">
      <c r="A121" t="s">
        <v>19</v>
      </c>
      <c r="B121" t="s">
        <v>99</v>
      </c>
      <c r="C121">
        <v>54</v>
      </c>
      <c r="D121" t="s">
        <v>774</v>
      </c>
      <c r="E121" t="s">
        <v>775</v>
      </c>
      <c r="F121">
        <v>11</v>
      </c>
      <c r="G121" t="s">
        <v>233</v>
      </c>
      <c r="H121" s="19">
        <v>150000</v>
      </c>
      <c r="I121" s="19">
        <f t="shared" si="10"/>
        <v>1650000</v>
      </c>
      <c r="J121" s="19">
        <v>45000</v>
      </c>
      <c r="K121" s="19">
        <f t="shared" si="11"/>
        <v>495000</v>
      </c>
      <c r="L121" s="19">
        <v>55000</v>
      </c>
      <c r="M121" s="19">
        <f t="shared" si="12"/>
        <v>605000</v>
      </c>
      <c r="N121" s="19">
        <f t="shared" si="13"/>
        <v>250000</v>
      </c>
      <c r="O121" s="19">
        <f t="shared" si="14"/>
        <v>2750000</v>
      </c>
      <c r="P121" t="s">
        <v>247</v>
      </c>
      <c r="Q121" t="s">
        <v>776</v>
      </c>
    </row>
    <row r="122" spans="1:17" ht="24" customHeight="1" x14ac:dyDescent="0.3">
      <c r="A122" t="s">
        <v>19</v>
      </c>
      <c r="B122" t="s">
        <v>99</v>
      </c>
      <c r="C122">
        <v>55</v>
      </c>
      <c r="D122" t="s">
        <v>777</v>
      </c>
      <c r="E122" t="s">
        <v>255</v>
      </c>
      <c r="F122">
        <v>0.11</v>
      </c>
      <c r="G122" t="s">
        <v>171</v>
      </c>
      <c r="H122" s="19">
        <v>3186</v>
      </c>
      <c r="I122" s="19">
        <f t="shared" si="10"/>
        <v>350.46</v>
      </c>
      <c r="J122" s="19">
        <v>26699</v>
      </c>
      <c r="K122" s="19">
        <f t="shared" si="11"/>
        <v>2936.89</v>
      </c>
      <c r="L122" s="19">
        <v>3560</v>
      </c>
      <c r="M122" s="19">
        <f t="shared" si="12"/>
        <v>391.6</v>
      </c>
      <c r="N122" s="19">
        <f t="shared" si="13"/>
        <v>33445</v>
      </c>
      <c r="O122" s="19">
        <f t="shared" si="14"/>
        <v>3678.95</v>
      </c>
      <c r="Q122" t="s">
        <v>256</v>
      </c>
    </row>
    <row r="123" spans="1:17" ht="24" customHeight="1" x14ac:dyDescent="0.3">
      <c r="A123" t="s">
        <v>19</v>
      </c>
      <c r="B123" t="s">
        <v>99</v>
      </c>
      <c r="C123">
        <v>56</v>
      </c>
      <c r="D123" t="s">
        <v>778</v>
      </c>
      <c r="E123" t="s">
        <v>226</v>
      </c>
      <c r="F123">
        <v>5</v>
      </c>
      <c r="G123" t="s">
        <v>171</v>
      </c>
      <c r="H123" s="19">
        <v>0</v>
      </c>
      <c r="I123" s="19">
        <f t="shared" si="10"/>
        <v>0</v>
      </c>
      <c r="J123" s="19">
        <v>0</v>
      </c>
      <c r="K123" s="19">
        <f t="shared" si="11"/>
        <v>0</v>
      </c>
      <c r="L123" s="19">
        <v>0</v>
      </c>
      <c r="M123" s="19">
        <f t="shared" si="12"/>
        <v>0</v>
      </c>
      <c r="N123" s="19">
        <f t="shared" si="13"/>
        <v>0</v>
      </c>
      <c r="O123" s="19">
        <f t="shared" si="14"/>
        <v>0</v>
      </c>
      <c r="Q123" t="s">
        <v>256</v>
      </c>
    </row>
    <row r="124" spans="1:17" ht="24" customHeight="1" x14ac:dyDescent="0.3">
      <c r="A124" t="s">
        <v>19</v>
      </c>
      <c r="B124" t="s">
        <v>99</v>
      </c>
      <c r="C124">
        <v>57</v>
      </c>
      <c r="D124" t="s">
        <v>779</v>
      </c>
      <c r="E124" t="s">
        <v>229</v>
      </c>
      <c r="F124">
        <v>3</v>
      </c>
      <c r="G124" t="s">
        <v>168</v>
      </c>
      <c r="H124" s="19">
        <v>378</v>
      </c>
      <c r="I124" s="19">
        <f t="shared" si="10"/>
        <v>1134</v>
      </c>
      <c r="J124" s="19">
        <v>37806</v>
      </c>
      <c r="K124" s="19">
        <f t="shared" si="11"/>
        <v>113418</v>
      </c>
      <c r="L124" s="19">
        <v>0</v>
      </c>
      <c r="M124" s="19">
        <f t="shared" si="12"/>
        <v>0</v>
      </c>
      <c r="N124" s="19">
        <f t="shared" si="13"/>
        <v>38184</v>
      </c>
      <c r="O124" s="19">
        <f t="shared" si="14"/>
        <v>114552</v>
      </c>
      <c r="Q124" t="s">
        <v>695</v>
      </c>
    </row>
    <row r="125" spans="1:17" ht="24" customHeight="1" x14ac:dyDescent="0.3">
      <c r="A125" t="s">
        <v>19</v>
      </c>
      <c r="B125" t="s">
        <v>99</v>
      </c>
      <c r="C125">
        <v>58</v>
      </c>
      <c r="D125" t="s">
        <v>780</v>
      </c>
      <c r="E125" t="s">
        <v>781</v>
      </c>
      <c r="F125">
        <v>12</v>
      </c>
      <c r="G125" t="s">
        <v>171</v>
      </c>
      <c r="H125" s="19">
        <v>511</v>
      </c>
      <c r="I125" s="19">
        <f t="shared" si="10"/>
        <v>6132</v>
      </c>
      <c r="J125" s="19">
        <v>10233</v>
      </c>
      <c r="K125" s="19">
        <f t="shared" si="11"/>
        <v>122796</v>
      </c>
      <c r="L125" s="19">
        <v>0</v>
      </c>
      <c r="M125" s="19">
        <f t="shared" si="12"/>
        <v>0</v>
      </c>
      <c r="N125" s="19">
        <f t="shared" si="13"/>
        <v>10744</v>
      </c>
      <c r="O125" s="19">
        <f t="shared" si="14"/>
        <v>128928</v>
      </c>
      <c r="Q125" t="s">
        <v>782</v>
      </c>
    </row>
    <row r="126" spans="1:17" ht="24" customHeight="1" x14ac:dyDescent="0.3">
      <c r="A126" t="s">
        <v>19</v>
      </c>
      <c r="B126" t="s">
        <v>99</v>
      </c>
      <c r="C126">
        <v>59</v>
      </c>
      <c r="D126" t="s">
        <v>783</v>
      </c>
      <c r="E126" t="s">
        <v>784</v>
      </c>
      <c r="F126">
        <v>16</v>
      </c>
      <c r="G126" t="s">
        <v>171</v>
      </c>
      <c r="H126" s="19">
        <v>45000</v>
      </c>
      <c r="I126" s="19">
        <f t="shared" si="10"/>
        <v>720000</v>
      </c>
      <c r="J126" s="19">
        <v>1500</v>
      </c>
      <c r="K126" s="19">
        <f t="shared" si="11"/>
        <v>24000</v>
      </c>
      <c r="L126" s="19">
        <v>3500</v>
      </c>
      <c r="M126" s="19">
        <f t="shared" si="12"/>
        <v>56000</v>
      </c>
      <c r="N126" s="19">
        <f t="shared" si="13"/>
        <v>50000</v>
      </c>
      <c r="O126" s="19">
        <f t="shared" si="14"/>
        <v>800000</v>
      </c>
      <c r="P126" t="s">
        <v>247</v>
      </c>
      <c r="Q126" t="s">
        <v>785</v>
      </c>
    </row>
    <row r="127" spans="1:17" ht="24" customHeight="1" x14ac:dyDescent="0.3">
      <c r="A127" t="s">
        <v>19</v>
      </c>
      <c r="B127" t="s">
        <v>99</v>
      </c>
      <c r="C127">
        <v>60</v>
      </c>
      <c r="D127" t="s">
        <v>786</v>
      </c>
      <c r="E127" t="s">
        <v>194</v>
      </c>
      <c r="F127">
        <v>0.31</v>
      </c>
      <c r="G127" t="s">
        <v>171</v>
      </c>
      <c r="H127" s="19">
        <v>18511</v>
      </c>
      <c r="I127" s="19">
        <f t="shared" si="10"/>
        <v>5738.41</v>
      </c>
      <c r="J127" s="19">
        <v>70869</v>
      </c>
      <c r="K127" s="19">
        <f t="shared" si="11"/>
        <v>21969.39</v>
      </c>
      <c r="L127" s="19">
        <v>33531</v>
      </c>
      <c r="M127" s="19">
        <f t="shared" si="12"/>
        <v>10394.61</v>
      </c>
      <c r="N127" s="19">
        <f t="shared" si="13"/>
        <v>122911</v>
      </c>
      <c r="O127" s="19">
        <f t="shared" si="14"/>
        <v>38102.410000000003</v>
      </c>
      <c r="Q127" t="s">
        <v>195</v>
      </c>
    </row>
    <row r="128" spans="1:17" ht="24" customHeight="1" x14ac:dyDescent="0.3">
      <c r="A128" t="s">
        <v>19</v>
      </c>
      <c r="B128" t="s">
        <v>99</v>
      </c>
      <c r="C128">
        <v>61</v>
      </c>
      <c r="D128" t="s">
        <v>787</v>
      </c>
      <c r="E128" t="s">
        <v>788</v>
      </c>
      <c r="F128">
        <v>0.186</v>
      </c>
      <c r="G128" t="s">
        <v>171</v>
      </c>
      <c r="H128" s="19">
        <v>500</v>
      </c>
      <c r="I128" s="19">
        <f t="shared" si="10"/>
        <v>93</v>
      </c>
      <c r="J128" s="19">
        <v>1000</v>
      </c>
      <c r="K128" s="19">
        <f t="shared" si="11"/>
        <v>186</v>
      </c>
      <c r="L128" s="19"/>
      <c r="M128" s="19">
        <f t="shared" si="12"/>
        <v>0</v>
      </c>
      <c r="N128" s="19">
        <f t="shared" si="13"/>
        <v>1500</v>
      </c>
      <c r="O128" s="19">
        <f t="shared" si="14"/>
        <v>279</v>
      </c>
      <c r="P128" t="s">
        <v>247</v>
      </c>
      <c r="Q128" t="s">
        <v>789</v>
      </c>
    </row>
    <row r="129" spans="1:17" ht="24" customHeight="1" x14ac:dyDescent="0.3">
      <c r="A129" t="s">
        <v>19</v>
      </c>
      <c r="B129" t="s">
        <v>99</v>
      </c>
      <c r="C129">
        <v>62</v>
      </c>
      <c r="D129" t="s">
        <v>790</v>
      </c>
      <c r="E129" t="s">
        <v>791</v>
      </c>
      <c r="F129">
        <v>5</v>
      </c>
      <c r="G129" t="s">
        <v>188</v>
      </c>
      <c r="H129" s="19">
        <v>13614</v>
      </c>
      <c r="I129" s="19">
        <f t="shared" si="10"/>
        <v>68070</v>
      </c>
      <c r="J129" s="19">
        <v>667061</v>
      </c>
      <c r="K129" s="19">
        <f t="shared" si="11"/>
        <v>3335305</v>
      </c>
      <c r="L129" s="19">
        <v>0</v>
      </c>
      <c r="M129" s="19">
        <f t="shared" si="12"/>
        <v>0</v>
      </c>
      <c r="N129" s="19">
        <f t="shared" si="13"/>
        <v>680675</v>
      </c>
      <c r="O129" s="19">
        <f t="shared" si="14"/>
        <v>3403375</v>
      </c>
      <c r="Q129" t="s">
        <v>792</v>
      </c>
    </row>
    <row r="130" spans="1:17" ht="24" customHeight="1" x14ac:dyDescent="0.3">
      <c r="A130" t="s">
        <v>19</v>
      </c>
      <c r="B130" t="s">
        <v>99</v>
      </c>
      <c r="C130">
        <v>63</v>
      </c>
      <c r="D130" t="s">
        <v>793</v>
      </c>
      <c r="E130" t="s">
        <v>794</v>
      </c>
      <c r="F130">
        <v>7</v>
      </c>
      <c r="G130" t="s">
        <v>199</v>
      </c>
      <c r="H130" s="19">
        <v>528</v>
      </c>
      <c r="I130" s="19">
        <f t="shared" si="10"/>
        <v>3696</v>
      </c>
      <c r="J130" s="19">
        <v>10016</v>
      </c>
      <c r="K130" s="19">
        <f t="shared" si="11"/>
        <v>70112</v>
      </c>
      <c r="L130" s="19">
        <v>0</v>
      </c>
      <c r="M130" s="19">
        <f t="shared" si="12"/>
        <v>0</v>
      </c>
      <c r="N130" s="19">
        <f t="shared" si="13"/>
        <v>10544</v>
      </c>
      <c r="O130" s="19">
        <f t="shared" si="14"/>
        <v>73808</v>
      </c>
      <c r="Q130" t="s">
        <v>794</v>
      </c>
    </row>
    <row r="131" spans="1:17" ht="24" customHeight="1" x14ac:dyDescent="0.3">
      <c r="A131" t="s">
        <v>19</v>
      </c>
      <c r="B131" t="s">
        <v>99</v>
      </c>
      <c r="C131">
        <v>64</v>
      </c>
      <c r="D131" t="s">
        <v>795</v>
      </c>
      <c r="E131" t="s">
        <v>794</v>
      </c>
      <c r="F131">
        <v>1</v>
      </c>
      <c r="G131" t="s">
        <v>233</v>
      </c>
      <c r="H131" s="19">
        <v>500</v>
      </c>
      <c r="I131" s="19">
        <f t="shared" si="10"/>
        <v>500</v>
      </c>
      <c r="J131" s="19">
        <v>2500</v>
      </c>
      <c r="K131" s="19">
        <f t="shared" si="11"/>
        <v>2500</v>
      </c>
      <c r="L131" s="19"/>
      <c r="M131" s="19">
        <f t="shared" si="12"/>
        <v>0</v>
      </c>
      <c r="N131" s="19">
        <f t="shared" si="13"/>
        <v>3000</v>
      </c>
      <c r="O131" s="19">
        <f t="shared" si="14"/>
        <v>3000</v>
      </c>
      <c r="P131" t="s">
        <v>247</v>
      </c>
      <c r="Q131" t="s">
        <v>796</v>
      </c>
    </row>
    <row r="132" spans="1:17" ht="24" customHeight="1" x14ac:dyDescent="0.3">
      <c r="A132" t="s">
        <v>19</v>
      </c>
      <c r="B132" t="s">
        <v>99</v>
      </c>
      <c r="C132">
        <v>65</v>
      </c>
      <c r="D132" t="s">
        <v>797</v>
      </c>
      <c r="E132" t="s">
        <v>798</v>
      </c>
      <c r="F132">
        <v>12</v>
      </c>
      <c r="G132" t="s">
        <v>199</v>
      </c>
      <c r="H132" s="19">
        <v>2270</v>
      </c>
      <c r="I132" s="19">
        <f t="shared" ref="I132:I163" si="15">F132*H132</f>
        <v>27240</v>
      </c>
      <c r="J132" s="19">
        <v>0</v>
      </c>
      <c r="K132" s="19">
        <f t="shared" ref="K132:K163" si="16">F132*J132</f>
        <v>0</v>
      </c>
      <c r="L132" s="19">
        <v>0</v>
      </c>
      <c r="M132" s="19">
        <f t="shared" ref="M132:M163" si="17">F132*L132</f>
        <v>0</v>
      </c>
      <c r="N132" s="19">
        <f t="shared" ref="N132:N166" si="18">H132+J132+L132</f>
        <v>2270</v>
      </c>
      <c r="O132" s="19">
        <f t="shared" ref="O132:O166" si="19">I132+K132+M132</f>
        <v>27240</v>
      </c>
      <c r="Q132" t="s">
        <v>799</v>
      </c>
    </row>
    <row r="133" spans="1:17" ht="24" customHeight="1" x14ac:dyDescent="0.3">
      <c r="A133" t="s">
        <v>19</v>
      </c>
      <c r="B133" t="s">
        <v>99</v>
      </c>
      <c r="C133">
        <v>66</v>
      </c>
      <c r="D133" t="s">
        <v>800</v>
      </c>
      <c r="E133" t="s">
        <v>798</v>
      </c>
      <c r="F133">
        <v>4</v>
      </c>
      <c r="G133" t="s">
        <v>233</v>
      </c>
      <c r="H133" s="19">
        <v>750</v>
      </c>
      <c r="I133" s="19">
        <f t="shared" si="15"/>
        <v>3000</v>
      </c>
      <c r="J133" s="19">
        <v>4550</v>
      </c>
      <c r="K133" s="19">
        <f t="shared" si="16"/>
        <v>18200</v>
      </c>
      <c r="L133" s="19"/>
      <c r="M133" s="19">
        <f t="shared" si="17"/>
        <v>0</v>
      </c>
      <c r="N133" s="19">
        <f t="shared" si="18"/>
        <v>5300</v>
      </c>
      <c r="O133" s="19">
        <f t="shared" si="19"/>
        <v>21200</v>
      </c>
      <c r="P133" t="s">
        <v>247</v>
      </c>
      <c r="Q133" t="s">
        <v>801</v>
      </c>
    </row>
    <row r="134" spans="1:17" ht="24" customHeight="1" x14ac:dyDescent="0.3">
      <c r="A134" t="s">
        <v>19</v>
      </c>
      <c r="B134" t="s">
        <v>99</v>
      </c>
      <c r="C134">
        <v>67</v>
      </c>
      <c r="D134" t="s">
        <v>802</v>
      </c>
      <c r="E134" t="s">
        <v>803</v>
      </c>
      <c r="F134">
        <v>7</v>
      </c>
      <c r="G134" t="s">
        <v>199</v>
      </c>
      <c r="H134" s="19">
        <v>1606</v>
      </c>
      <c r="I134" s="19">
        <f t="shared" si="15"/>
        <v>11242</v>
      </c>
      <c r="J134" s="19">
        <v>6471</v>
      </c>
      <c r="K134" s="19">
        <f t="shared" si="16"/>
        <v>45297</v>
      </c>
      <c r="L134" s="19">
        <v>1168</v>
      </c>
      <c r="M134" s="19">
        <f t="shared" si="17"/>
        <v>8176</v>
      </c>
      <c r="N134" s="19">
        <f t="shared" si="18"/>
        <v>9245</v>
      </c>
      <c r="O134" s="19">
        <f t="shared" si="19"/>
        <v>64715</v>
      </c>
      <c r="Q134" t="s">
        <v>803</v>
      </c>
    </row>
    <row r="135" spans="1:17" ht="24" customHeight="1" x14ac:dyDescent="0.3">
      <c r="A135" t="s">
        <v>19</v>
      </c>
      <c r="B135" t="s">
        <v>99</v>
      </c>
      <c r="C135">
        <v>68</v>
      </c>
      <c r="D135" t="s">
        <v>804</v>
      </c>
      <c r="E135" t="s">
        <v>803</v>
      </c>
      <c r="F135">
        <v>2</v>
      </c>
      <c r="G135" t="s">
        <v>274</v>
      </c>
      <c r="H135" s="19">
        <v>25882</v>
      </c>
      <c r="I135" s="19">
        <f t="shared" si="15"/>
        <v>51764</v>
      </c>
      <c r="J135" s="19">
        <v>1294149</v>
      </c>
      <c r="K135" s="19">
        <f t="shared" si="16"/>
        <v>2588298</v>
      </c>
      <c r="L135" s="19">
        <v>0</v>
      </c>
      <c r="M135" s="19">
        <f t="shared" si="17"/>
        <v>0</v>
      </c>
      <c r="N135" s="19">
        <f t="shared" si="18"/>
        <v>1320031</v>
      </c>
      <c r="O135" s="19">
        <f t="shared" si="19"/>
        <v>2640062</v>
      </c>
      <c r="Q135" t="s">
        <v>803</v>
      </c>
    </row>
    <row r="136" spans="1:17" ht="24" customHeight="1" x14ac:dyDescent="0.3">
      <c r="A136" t="s">
        <v>19</v>
      </c>
      <c r="B136" t="s">
        <v>99</v>
      </c>
      <c r="C136">
        <v>69</v>
      </c>
      <c r="D136" t="s">
        <v>805</v>
      </c>
      <c r="E136" t="s">
        <v>806</v>
      </c>
      <c r="F136">
        <v>2</v>
      </c>
      <c r="G136" t="s">
        <v>316</v>
      </c>
      <c r="H136" s="19">
        <v>50000</v>
      </c>
      <c r="I136" s="19">
        <f t="shared" si="15"/>
        <v>100000</v>
      </c>
      <c r="J136" s="19"/>
      <c r="K136" s="19">
        <f t="shared" si="16"/>
        <v>0</v>
      </c>
      <c r="L136" s="19"/>
      <c r="M136" s="19">
        <f t="shared" si="17"/>
        <v>0</v>
      </c>
      <c r="N136" s="19">
        <f t="shared" si="18"/>
        <v>50000</v>
      </c>
      <c r="O136" s="19">
        <f t="shared" si="19"/>
        <v>100000</v>
      </c>
      <c r="P136" t="s">
        <v>247</v>
      </c>
      <c r="Q136" t="s">
        <v>807</v>
      </c>
    </row>
    <row r="137" spans="1:17" ht="24" customHeight="1" x14ac:dyDescent="0.3">
      <c r="A137" t="s">
        <v>19</v>
      </c>
      <c r="B137" t="s">
        <v>99</v>
      </c>
      <c r="C137">
        <v>70</v>
      </c>
      <c r="D137" t="s">
        <v>808</v>
      </c>
      <c r="E137" t="s">
        <v>809</v>
      </c>
      <c r="F137">
        <v>1</v>
      </c>
      <c r="G137" t="s">
        <v>810</v>
      </c>
      <c r="H137" s="19">
        <v>35000</v>
      </c>
      <c r="I137" s="19">
        <f t="shared" si="15"/>
        <v>35000</v>
      </c>
      <c r="J137" s="19"/>
      <c r="K137" s="19">
        <f t="shared" si="16"/>
        <v>0</v>
      </c>
      <c r="L137" s="19"/>
      <c r="M137" s="19">
        <f t="shared" si="17"/>
        <v>0</v>
      </c>
      <c r="N137" s="19">
        <f t="shared" si="18"/>
        <v>35000</v>
      </c>
      <c r="O137" s="19">
        <f t="shared" si="19"/>
        <v>35000</v>
      </c>
      <c r="P137" t="s">
        <v>247</v>
      </c>
      <c r="Q137" t="s">
        <v>811</v>
      </c>
    </row>
    <row r="138" spans="1:17" ht="24" customHeight="1" x14ac:dyDescent="0.3">
      <c r="A138" t="s">
        <v>19</v>
      </c>
      <c r="B138" t="s">
        <v>99</v>
      </c>
      <c r="C138">
        <v>71</v>
      </c>
      <c r="D138" t="s">
        <v>812</v>
      </c>
      <c r="E138" t="s">
        <v>289</v>
      </c>
      <c r="F138">
        <v>48</v>
      </c>
      <c r="G138" t="s">
        <v>290</v>
      </c>
      <c r="H138" s="19">
        <v>5500</v>
      </c>
      <c r="I138" s="19">
        <f t="shared" si="15"/>
        <v>264000</v>
      </c>
      <c r="J138" s="19"/>
      <c r="K138" s="19">
        <f t="shared" si="16"/>
        <v>0</v>
      </c>
      <c r="L138" s="19"/>
      <c r="M138" s="19">
        <f t="shared" si="17"/>
        <v>0</v>
      </c>
      <c r="N138" s="19">
        <f t="shared" si="18"/>
        <v>5500</v>
      </c>
      <c r="O138" s="19">
        <f t="shared" si="19"/>
        <v>264000</v>
      </c>
      <c r="P138" t="s">
        <v>247</v>
      </c>
      <c r="Q138" t="s">
        <v>813</v>
      </c>
    </row>
    <row r="139" spans="1:17" ht="24" customHeight="1" x14ac:dyDescent="0.3">
      <c r="A139" t="s">
        <v>19</v>
      </c>
      <c r="B139" t="s">
        <v>99</v>
      </c>
      <c r="C139">
        <v>72</v>
      </c>
      <c r="D139" t="s">
        <v>814</v>
      </c>
      <c r="E139" t="s">
        <v>815</v>
      </c>
      <c r="F139">
        <v>69</v>
      </c>
      <c r="G139" t="s">
        <v>290</v>
      </c>
      <c r="H139" s="19">
        <v>5500</v>
      </c>
      <c r="I139" s="19">
        <f t="shared" si="15"/>
        <v>379500</v>
      </c>
      <c r="J139" s="19"/>
      <c r="K139" s="19">
        <f t="shared" si="16"/>
        <v>0</v>
      </c>
      <c r="L139" s="19"/>
      <c r="M139" s="19">
        <f t="shared" si="17"/>
        <v>0</v>
      </c>
      <c r="N139" s="19">
        <f t="shared" si="18"/>
        <v>5500</v>
      </c>
      <c r="O139" s="19">
        <f t="shared" si="19"/>
        <v>379500</v>
      </c>
      <c r="P139" t="s">
        <v>247</v>
      </c>
      <c r="Q139" t="s">
        <v>816</v>
      </c>
    </row>
    <row r="140" spans="1:17" ht="24" customHeight="1" x14ac:dyDescent="0.3">
      <c r="A140" t="s">
        <v>19</v>
      </c>
      <c r="B140" t="s">
        <v>99</v>
      </c>
      <c r="C140">
        <v>73</v>
      </c>
      <c r="D140" t="s">
        <v>817</v>
      </c>
      <c r="E140" t="s">
        <v>293</v>
      </c>
      <c r="F140">
        <v>117</v>
      </c>
      <c r="G140" t="s">
        <v>290</v>
      </c>
      <c r="I140" s="19">
        <f t="shared" si="15"/>
        <v>0</v>
      </c>
      <c r="J140" s="19"/>
      <c r="K140" s="19">
        <f t="shared" si="16"/>
        <v>0</v>
      </c>
      <c r="L140" s="19">
        <v>200</v>
      </c>
      <c r="M140" s="19">
        <f t="shared" si="17"/>
        <v>23400</v>
      </c>
      <c r="N140" s="19">
        <f t="shared" si="18"/>
        <v>200</v>
      </c>
      <c r="O140" s="19">
        <f t="shared" si="19"/>
        <v>23400</v>
      </c>
      <c r="P140" t="s">
        <v>247</v>
      </c>
      <c r="Q140" t="s">
        <v>818</v>
      </c>
    </row>
    <row r="141" spans="1:17" ht="24" customHeight="1" x14ac:dyDescent="0.3">
      <c r="A141" t="s">
        <v>19</v>
      </c>
      <c r="B141" t="s">
        <v>99</v>
      </c>
      <c r="C141">
        <v>74</v>
      </c>
      <c r="D141" t="s">
        <v>819</v>
      </c>
      <c r="E141" t="s">
        <v>296</v>
      </c>
      <c r="F141">
        <v>20</v>
      </c>
      <c r="G141" t="s">
        <v>171</v>
      </c>
      <c r="H141" s="19">
        <v>45000</v>
      </c>
      <c r="I141" s="19">
        <f t="shared" si="15"/>
        <v>900000</v>
      </c>
      <c r="J141" s="19">
        <v>0</v>
      </c>
      <c r="K141" s="19">
        <f t="shared" si="16"/>
        <v>0</v>
      </c>
      <c r="L141" s="19"/>
      <c r="M141" s="19">
        <f t="shared" si="17"/>
        <v>0</v>
      </c>
      <c r="N141" s="19">
        <f t="shared" si="18"/>
        <v>45000</v>
      </c>
      <c r="O141" s="19">
        <f t="shared" si="19"/>
        <v>900000</v>
      </c>
      <c r="P141" t="s">
        <v>247</v>
      </c>
      <c r="Q141" t="s">
        <v>820</v>
      </c>
    </row>
    <row r="142" spans="1:17" ht="24" customHeight="1" x14ac:dyDescent="0.3">
      <c r="A142" t="s">
        <v>19</v>
      </c>
      <c r="B142" t="s">
        <v>99</v>
      </c>
      <c r="C142">
        <v>75</v>
      </c>
      <c r="D142" t="s">
        <v>821</v>
      </c>
      <c r="E142" t="s">
        <v>822</v>
      </c>
      <c r="F142">
        <v>2</v>
      </c>
      <c r="G142" t="s">
        <v>171</v>
      </c>
      <c r="H142" s="19">
        <v>40000</v>
      </c>
      <c r="I142" s="19">
        <f t="shared" si="15"/>
        <v>80000</v>
      </c>
      <c r="J142" s="19">
        <v>0</v>
      </c>
      <c r="K142" s="19">
        <f t="shared" si="16"/>
        <v>0</v>
      </c>
      <c r="L142" s="19">
        <v>0</v>
      </c>
      <c r="M142" s="19">
        <f t="shared" si="17"/>
        <v>0</v>
      </c>
      <c r="N142" s="19">
        <f t="shared" si="18"/>
        <v>40000</v>
      </c>
      <c r="O142" s="19">
        <f t="shared" si="19"/>
        <v>80000</v>
      </c>
      <c r="P142" t="s">
        <v>247</v>
      </c>
      <c r="Q142" t="s">
        <v>823</v>
      </c>
    </row>
    <row r="143" spans="1:17" ht="24" customHeight="1" x14ac:dyDescent="0.3">
      <c r="A143" t="s">
        <v>19</v>
      </c>
      <c r="B143" t="s">
        <v>99</v>
      </c>
      <c r="C143">
        <v>76</v>
      </c>
      <c r="D143" t="s">
        <v>824</v>
      </c>
      <c r="E143" t="s">
        <v>299</v>
      </c>
      <c r="F143">
        <v>20</v>
      </c>
      <c r="G143" t="s">
        <v>171</v>
      </c>
      <c r="H143" s="19">
        <v>40000</v>
      </c>
      <c r="I143" s="19">
        <f t="shared" si="15"/>
        <v>800000</v>
      </c>
      <c r="J143" s="19"/>
      <c r="K143" s="19">
        <f t="shared" si="16"/>
        <v>0</v>
      </c>
      <c r="L143" s="19"/>
      <c r="M143" s="19">
        <f t="shared" si="17"/>
        <v>0</v>
      </c>
      <c r="N143" s="19">
        <f t="shared" si="18"/>
        <v>40000</v>
      </c>
      <c r="O143" s="19">
        <f t="shared" si="19"/>
        <v>800000</v>
      </c>
      <c r="P143" t="s">
        <v>247</v>
      </c>
      <c r="Q143" t="s">
        <v>825</v>
      </c>
    </row>
    <row r="144" spans="1:17" ht="24" customHeight="1" x14ac:dyDescent="0.3">
      <c r="A144" t="s">
        <v>19</v>
      </c>
      <c r="B144" t="s">
        <v>99</v>
      </c>
      <c r="C144">
        <v>77</v>
      </c>
      <c r="D144" t="s">
        <v>826</v>
      </c>
      <c r="E144" t="s">
        <v>827</v>
      </c>
      <c r="F144">
        <v>1.56</v>
      </c>
      <c r="G144" t="s">
        <v>283</v>
      </c>
      <c r="H144" s="19">
        <v>952000</v>
      </c>
      <c r="I144" s="19">
        <f t="shared" si="15"/>
        <v>1485120</v>
      </c>
      <c r="J144" s="19">
        <v>0</v>
      </c>
      <c r="K144" s="19">
        <f t="shared" si="16"/>
        <v>0</v>
      </c>
      <c r="L144" s="19">
        <v>0</v>
      </c>
      <c r="M144" s="19">
        <f t="shared" si="17"/>
        <v>0</v>
      </c>
      <c r="N144" s="19">
        <f t="shared" si="18"/>
        <v>952000</v>
      </c>
      <c r="O144" s="19">
        <f t="shared" si="19"/>
        <v>1485120</v>
      </c>
      <c r="Q144" t="s">
        <v>828</v>
      </c>
    </row>
    <row r="145" spans="1:17" ht="24" customHeight="1" x14ac:dyDescent="0.3">
      <c r="A145" t="s">
        <v>19</v>
      </c>
      <c r="B145" t="s">
        <v>99</v>
      </c>
      <c r="C145">
        <v>78</v>
      </c>
      <c r="D145" t="s">
        <v>829</v>
      </c>
      <c r="E145" t="s">
        <v>830</v>
      </c>
      <c r="F145">
        <v>8.9239999999999995</v>
      </c>
      <c r="G145" t="s">
        <v>283</v>
      </c>
      <c r="H145" s="19">
        <v>952000</v>
      </c>
      <c r="I145" s="19">
        <f t="shared" si="15"/>
        <v>8495648</v>
      </c>
      <c r="J145" s="19">
        <v>0</v>
      </c>
      <c r="K145" s="19">
        <f t="shared" si="16"/>
        <v>0</v>
      </c>
      <c r="L145" s="19">
        <v>0</v>
      </c>
      <c r="M145" s="19">
        <f t="shared" si="17"/>
        <v>0</v>
      </c>
      <c r="N145" s="19">
        <f t="shared" si="18"/>
        <v>952000</v>
      </c>
      <c r="O145" s="19">
        <f t="shared" si="19"/>
        <v>8495648</v>
      </c>
      <c r="Q145" t="s">
        <v>828</v>
      </c>
    </row>
    <row r="146" spans="1:17" ht="24" customHeight="1" x14ac:dyDescent="0.3">
      <c r="A146" t="s">
        <v>19</v>
      </c>
      <c r="B146" t="s">
        <v>99</v>
      </c>
      <c r="C146">
        <v>79</v>
      </c>
      <c r="D146" t="s">
        <v>831</v>
      </c>
      <c r="E146" t="s">
        <v>832</v>
      </c>
      <c r="F146">
        <v>3.1429999999999998</v>
      </c>
      <c r="G146" t="s">
        <v>283</v>
      </c>
      <c r="H146" s="19">
        <v>952000</v>
      </c>
      <c r="I146" s="19">
        <f t="shared" si="15"/>
        <v>2992136</v>
      </c>
      <c r="J146" s="19">
        <v>0</v>
      </c>
      <c r="K146" s="19">
        <f t="shared" si="16"/>
        <v>0</v>
      </c>
      <c r="L146" s="19">
        <v>0</v>
      </c>
      <c r="M146" s="19">
        <f t="shared" si="17"/>
        <v>0</v>
      </c>
      <c r="N146" s="19">
        <f t="shared" si="18"/>
        <v>952000</v>
      </c>
      <c r="O146" s="19">
        <f t="shared" si="19"/>
        <v>2992136</v>
      </c>
      <c r="Q146" t="s">
        <v>828</v>
      </c>
    </row>
    <row r="147" spans="1:17" ht="24" customHeight="1" x14ac:dyDescent="0.3">
      <c r="A147" t="s">
        <v>19</v>
      </c>
      <c r="B147" t="s">
        <v>99</v>
      </c>
      <c r="C147">
        <v>80</v>
      </c>
      <c r="D147" t="s">
        <v>833</v>
      </c>
      <c r="E147" t="s">
        <v>834</v>
      </c>
      <c r="F147">
        <v>0.28799999999999998</v>
      </c>
      <c r="G147" t="s">
        <v>283</v>
      </c>
      <c r="H147" s="19">
        <v>952000</v>
      </c>
      <c r="I147" s="19">
        <f t="shared" si="15"/>
        <v>274176</v>
      </c>
      <c r="J147" s="19">
        <v>0</v>
      </c>
      <c r="K147" s="19">
        <f t="shared" si="16"/>
        <v>0</v>
      </c>
      <c r="L147" s="19">
        <v>0</v>
      </c>
      <c r="M147" s="19">
        <f t="shared" si="17"/>
        <v>0</v>
      </c>
      <c r="N147" s="19">
        <f t="shared" si="18"/>
        <v>952000</v>
      </c>
      <c r="O147" s="19">
        <f t="shared" si="19"/>
        <v>274176</v>
      </c>
      <c r="Q147" t="s">
        <v>828</v>
      </c>
    </row>
    <row r="148" spans="1:17" ht="24" customHeight="1" x14ac:dyDescent="0.3">
      <c r="A148" t="s">
        <v>19</v>
      </c>
      <c r="B148" t="s">
        <v>99</v>
      </c>
      <c r="C148">
        <v>81</v>
      </c>
      <c r="D148" t="s">
        <v>835</v>
      </c>
      <c r="E148" t="s">
        <v>282</v>
      </c>
      <c r="F148">
        <v>13.916</v>
      </c>
      <c r="G148" t="s">
        <v>283</v>
      </c>
      <c r="I148" s="19">
        <f t="shared" si="15"/>
        <v>0</v>
      </c>
      <c r="J148" s="19"/>
      <c r="K148" s="19">
        <f t="shared" si="16"/>
        <v>0</v>
      </c>
      <c r="L148" s="19">
        <v>30000</v>
      </c>
      <c r="M148" s="19">
        <f t="shared" si="17"/>
        <v>417480</v>
      </c>
      <c r="N148" s="19">
        <f t="shared" si="18"/>
        <v>30000</v>
      </c>
      <c r="O148" s="19">
        <f t="shared" si="19"/>
        <v>417480</v>
      </c>
      <c r="P148" t="s">
        <v>247</v>
      </c>
      <c r="Q148" t="s">
        <v>836</v>
      </c>
    </row>
    <row r="149" spans="1:17" ht="24" customHeight="1" x14ac:dyDescent="0.3">
      <c r="A149" t="s">
        <v>19</v>
      </c>
      <c r="B149" t="s">
        <v>99</v>
      </c>
      <c r="C149">
        <v>82</v>
      </c>
      <c r="D149" t="s">
        <v>837</v>
      </c>
      <c r="E149" t="s">
        <v>286</v>
      </c>
      <c r="F149">
        <v>0.28399999999999997</v>
      </c>
      <c r="G149" t="s">
        <v>283</v>
      </c>
      <c r="H149" s="19">
        <v>-10000</v>
      </c>
      <c r="I149" s="19">
        <f t="shared" si="15"/>
        <v>-2839.9999999999995</v>
      </c>
      <c r="J149" s="19"/>
      <c r="K149" s="19">
        <f t="shared" si="16"/>
        <v>0</v>
      </c>
      <c r="L149" s="19"/>
      <c r="M149" s="19">
        <f t="shared" si="17"/>
        <v>0</v>
      </c>
      <c r="N149" s="19">
        <f t="shared" si="18"/>
        <v>-10000</v>
      </c>
      <c r="O149" s="19">
        <f t="shared" si="19"/>
        <v>-2839.9999999999995</v>
      </c>
      <c r="P149" t="s">
        <v>247</v>
      </c>
      <c r="Q149" t="s">
        <v>838</v>
      </c>
    </row>
    <row r="150" spans="1:17" ht="24" customHeight="1" x14ac:dyDescent="0.3">
      <c r="A150" t="s">
        <v>19</v>
      </c>
      <c r="B150" t="s">
        <v>99</v>
      </c>
      <c r="C150">
        <v>83</v>
      </c>
      <c r="D150" t="s">
        <v>839</v>
      </c>
      <c r="E150" t="s">
        <v>302</v>
      </c>
      <c r="F150">
        <v>362</v>
      </c>
      <c r="G150" t="s">
        <v>171</v>
      </c>
      <c r="H150" s="19">
        <v>108000</v>
      </c>
      <c r="I150" s="19">
        <f t="shared" si="15"/>
        <v>39096000</v>
      </c>
      <c r="J150" s="19">
        <v>0</v>
      </c>
      <c r="K150" s="19">
        <f t="shared" si="16"/>
        <v>0</v>
      </c>
      <c r="L150" s="19"/>
      <c r="M150" s="19">
        <f t="shared" si="17"/>
        <v>0</v>
      </c>
      <c r="N150" s="19">
        <f t="shared" si="18"/>
        <v>108000</v>
      </c>
      <c r="O150" s="19">
        <f t="shared" si="19"/>
        <v>39096000</v>
      </c>
      <c r="P150" t="s">
        <v>247</v>
      </c>
      <c r="Q150" t="s">
        <v>840</v>
      </c>
    </row>
    <row r="151" spans="1:17" ht="24" customHeight="1" x14ac:dyDescent="0.3">
      <c r="A151" t="s">
        <v>19</v>
      </c>
      <c r="B151" t="s">
        <v>99</v>
      </c>
      <c r="C151">
        <v>84</v>
      </c>
      <c r="D151" t="s">
        <v>841</v>
      </c>
      <c r="E151" t="s">
        <v>305</v>
      </c>
      <c r="F151">
        <v>306</v>
      </c>
      <c r="G151" t="s">
        <v>171</v>
      </c>
      <c r="H151" s="19">
        <v>99000</v>
      </c>
      <c r="I151" s="19">
        <f t="shared" si="15"/>
        <v>30294000</v>
      </c>
      <c r="J151" s="19">
        <v>0</v>
      </c>
      <c r="K151" s="19">
        <f t="shared" si="16"/>
        <v>0</v>
      </c>
      <c r="L151" s="19"/>
      <c r="M151" s="19">
        <f t="shared" si="17"/>
        <v>0</v>
      </c>
      <c r="N151" s="19">
        <f t="shared" si="18"/>
        <v>99000</v>
      </c>
      <c r="O151" s="19">
        <f t="shared" si="19"/>
        <v>30294000</v>
      </c>
      <c r="P151" t="s">
        <v>247</v>
      </c>
      <c r="Q151" t="s">
        <v>840</v>
      </c>
    </row>
    <row r="152" spans="1:17" ht="24" customHeight="1" x14ac:dyDescent="0.3">
      <c r="A152" t="s">
        <v>19</v>
      </c>
      <c r="B152" t="s">
        <v>99</v>
      </c>
      <c r="C152">
        <v>85</v>
      </c>
      <c r="D152" t="s">
        <v>842</v>
      </c>
      <c r="E152" t="s">
        <v>310</v>
      </c>
      <c r="F152">
        <v>284</v>
      </c>
      <c r="G152" t="s">
        <v>311</v>
      </c>
      <c r="H152" s="19">
        <v>2339</v>
      </c>
      <c r="I152" s="19">
        <f t="shared" si="15"/>
        <v>664276</v>
      </c>
      <c r="J152" s="19">
        <v>19375</v>
      </c>
      <c r="K152" s="19">
        <f t="shared" si="16"/>
        <v>5502500</v>
      </c>
      <c r="L152" s="19">
        <v>2505</v>
      </c>
      <c r="M152" s="19">
        <f t="shared" si="17"/>
        <v>711420</v>
      </c>
      <c r="N152" s="19">
        <f t="shared" si="18"/>
        <v>24219</v>
      </c>
      <c r="O152" s="19">
        <f t="shared" si="19"/>
        <v>6878196</v>
      </c>
      <c r="Q152" t="s">
        <v>843</v>
      </c>
    </row>
    <row r="153" spans="1:17" ht="24" customHeight="1" x14ac:dyDescent="0.3">
      <c r="A153" t="s">
        <v>19</v>
      </c>
      <c r="B153" t="s">
        <v>99</v>
      </c>
      <c r="C153">
        <v>86</v>
      </c>
      <c r="D153" t="s">
        <v>844</v>
      </c>
      <c r="E153" t="s">
        <v>845</v>
      </c>
      <c r="F153">
        <v>569</v>
      </c>
      <c r="G153" t="s">
        <v>311</v>
      </c>
      <c r="H153" s="19">
        <v>2339</v>
      </c>
      <c r="I153" s="19">
        <f t="shared" si="15"/>
        <v>1330891</v>
      </c>
      <c r="J153" s="19">
        <v>19375</v>
      </c>
      <c r="K153" s="19">
        <f t="shared" si="16"/>
        <v>11024375</v>
      </c>
      <c r="L153" s="19">
        <v>2505</v>
      </c>
      <c r="M153" s="19">
        <f t="shared" si="17"/>
        <v>1425345</v>
      </c>
      <c r="N153" s="19">
        <f t="shared" si="18"/>
        <v>24219</v>
      </c>
      <c r="O153" s="19">
        <f t="shared" si="19"/>
        <v>13780611</v>
      </c>
      <c r="Q153" t="s">
        <v>843</v>
      </c>
    </row>
    <row r="154" spans="1:17" ht="24" customHeight="1" x14ac:dyDescent="0.3">
      <c r="A154" t="s">
        <v>19</v>
      </c>
      <c r="B154" t="s">
        <v>99</v>
      </c>
      <c r="C154">
        <v>87</v>
      </c>
      <c r="D154" t="s">
        <v>846</v>
      </c>
      <c r="E154" t="s">
        <v>313</v>
      </c>
      <c r="F154">
        <v>99</v>
      </c>
      <c r="G154" t="s">
        <v>311</v>
      </c>
      <c r="H154" s="19">
        <v>2339</v>
      </c>
      <c r="I154" s="19">
        <f t="shared" si="15"/>
        <v>231561</v>
      </c>
      <c r="J154" s="19">
        <v>19375</v>
      </c>
      <c r="K154" s="19">
        <f t="shared" si="16"/>
        <v>1918125</v>
      </c>
      <c r="L154" s="19">
        <v>2505</v>
      </c>
      <c r="M154" s="19">
        <f t="shared" si="17"/>
        <v>247995</v>
      </c>
      <c r="N154" s="19">
        <f t="shared" si="18"/>
        <v>24219</v>
      </c>
      <c r="O154" s="19">
        <f t="shared" si="19"/>
        <v>2397681</v>
      </c>
      <c r="Q154" t="s">
        <v>843</v>
      </c>
    </row>
    <row r="155" spans="1:17" ht="24" customHeight="1" x14ac:dyDescent="0.3">
      <c r="A155" t="s">
        <v>19</v>
      </c>
      <c r="B155" t="s">
        <v>99</v>
      </c>
      <c r="C155">
        <v>88</v>
      </c>
      <c r="D155" t="s">
        <v>847</v>
      </c>
      <c r="E155" t="s">
        <v>848</v>
      </c>
      <c r="F155">
        <v>270</v>
      </c>
      <c r="G155" t="s">
        <v>311</v>
      </c>
      <c r="H155" s="19">
        <v>2339</v>
      </c>
      <c r="I155" s="19">
        <f t="shared" si="15"/>
        <v>631530</v>
      </c>
      <c r="J155" s="19">
        <v>19375</v>
      </c>
      <c r="K155" s="19">
        <f t="shared" si="16"/>
        <v>5231250</v>
      </c>
      <c r="L155" s="19">
        <v>2505</v>
      </c>
      <c r="M155" s="19">
        <f t="shared" si="17"/>
        <v>676350</v>
      </c>
      <c r="N155" s="19">
        <f t="shared" si="18"/>
        <v>24219</v>
      </c>
      <c r="O155" s="19">
        <f t="shared" si="19"/>
        <v>6539130</v>
      </c>
      <c r="Q155" t="s">
        <v>843</v>
      </c>
    </row>
    <row r="156" spans="1:17" ht="24" customHeight="1" x14ac:dyDescent="0.3">
      <c r="A156" t="s">
        <v>19</v>
      </c>
      <c r="B156" t="s">
        <v>99</v>
      </c>
      <c r="C156">
        <v>89</v>
      </c>
      <c r="D156" t="s">
        <v>849</v>
      </c>
      <c r="E156" t="s">
        <v>850</v>
      </c>
      <c r="F156">
        <v>17</v>
      </c>
      <c r="G156" t="s">
        <v>311</v>
      </c>
      <c r="H156" s="19">
        <v>2339</v>
      </c>
      <c r="I156" s="19">
        <f t="shared" si="15"/>
        <v>39763</v>
      </c>
      <c r="J156" s="19">
        <v>19375</v>
      </c>
      <c r="K156" s="19">
        <f t="shared" si="16"/>
        <v>329375</v>
      </c>
      <c r="L156" s="19">
        <v>2505</v>
      </c>
      <c r="M156" s="19">
        <f t="shared" si="17"/>
        <v>42585</v>
      </c>
      <c r="N156" s="19">
        <f t="shared" si="18"/>
        <v>24219</v>
      </c>
      <c r="O156" s="19">
        <f t="shared" si="19"/>
        <v>411723</v>
      </c>
      <c r="Q156" t="s">
        <v>843</v>
      </c>
    </row>
    <row r="157" spans="1:17" ht="24" customHeight="1" x14ac:dyDescent="0.3">
      <c r="A157" t="s">
        <v>19</v>
      </c>
      <c r="B157" t="s">
        <v>99</v>
      </c>
      <c r="C157">
        <v>90</v>
      </c>
      <c r="D157" t="s">
        <v>851</v>
      </c>
      <c r="E157" t="s">
        <v>852</v>
      </c>
      <c r="F157">
        <v>85</v>
      </c>
      <c r="G157" t="s">
        <v>311</v>
      </c>
      <c r="H157" s="19">
        <v>2339</v>
      </c>
      <c r="I157" s="19">
        <f t="shared" si="15"/>
        <v>198815</v>
      </c>
      <c r="J157" s="19">
        <v>19375</v>
      </c>
      <c r="K157" s="19">
        <f t="shared" si="16"/>
        <v>1646875</v>
      </c>
      <c r="L157" s="19">
        <v>2505</v>
      </c>
      <c r="M157" s="19">
        <f t="shared" si="17"/>
        <v>212925</v>
      </c>
      <c r="N157" s="19">
        <f t="shared" si="18"/>
        <v>24219</v>
      </c>
      <c r="O157" s="19">
        <f t="shared" si="19"/>
        <v>2058615</v>
      </c>
      <c r="Q157" t="s">
        <v>843</v>
      </c>
    </row>
    <row r="158" spans="1:17" ht="24" customHeight="1" x14ac:dyDescent="0.3">
      <c r="A158" t="s">
        <v>19</v>
      </c>
      <c r="B158" t="s">
        <v>99</v>
      </c>
      <c r="C158">
        <v>91</v>
      </c>
      <c r="D158" t="s">
        <v>853</v>
      </c>
      <c r="E158" t="s">
        <v>854</v>
      </c>
      <c r="F158">
        <v>16</v>
      </c>
      <c r="G158" t="s">
        <v>311</v>
      </c>
      <c r="H158" s="19">
        <v>2339</v>
      </c>
      <c r="I158" s="19">
        <f t="shared" si="15"/>
        <v>37424</v>
      </c>
      <c r="J158" s="19">
        <v>19375</v>
      </c>
      <c r="K158" s="19">
        <f t="shared" si="16"/>
        <v>310000</v>
      </c>
      <c r="L158" s="19">
        <v>2505</v>
      </c>
      <c r="M158" s="19">
        <f t="shared" si="17"/>
        <v>40080</v>
      </c>
      <c r="N158" s="19">
        <f t="shared" si="18"/>
        <v>24219</v>
      </c>
      <c r="O158" s="19">
        <f t="shared" si="19"/>
        <v>387504</v>
      </c>
      <c r="Q158" t="s">
        <v>843</v>
      </c>
    </row>
    <row r="159" spans="1:17" ht="24" customHeight="1" x14ac:dyDescent="0.3">
      <c r="A159" t="s">
        <v>19</v>
      </c>
      <c r="B159" t="s">
        <v>99</v>
      </c>
      <c r="C159">
        <v>92</v>
      </c>
      <c r="D159" t="s">
        <v>855</v>
      </c>
      <c r="E159" t="s">
        <v>315</v>
      </c>
      <c r="F159">
        <v>114</v>
      </c>
      <c r="G159" t="s">
        <v>316</v>
      </c>
      <c r="I159" s="19">
        <f t="shared" si="15"/>
        <v>0</v>
      </c>
      <c r="J159" s="19"/>
      <c r="K159" s="19">
        <f t="shared" si="16"/>
        <v>0</v>
      </c>
      <c r="L159" s="19">
        <v>1800</v>
      </c>
      <c r="M159" s="19">
        <f t="shared" si="17"/>
        <v>205200</v>
      </c>
      <c r="N159" s="19">
        <f t="shared" si="18"/>
        <v>1800</v>
      </c>
      <c r="O159" s="19">
        <f t="shared" si="19"/>
        <v>205200</v>
      </c>
      <c r="P159" t="s">
        <v>247</v>
      </c>
      <c r="Q159" t="s">
        <v>856</v>
      </c>
    </row>
    <row r="160" spans="1:17" ht="24" customHeight="1" x14ac:dyDescent="0.3">
      <c r="A160" t="s">
        <v>19</v>
      </c>
      <c r="B160" t="s">
        <v>99</v>
      </c>
      <c r="C160">
        <v>93</v>
      </c>
      <c r="D160" t="s">
        <v>857</v>
      </c>
      <c r="E160" t="s">
        <v>858</v>
      </c>
      <c r="F160">
        <v>228</v>
      </c>
      <c r="G160" t="s">
        <v>316</v>
      </c>
      <c r="I160" s="19">
        <f t="shared" si="15"/>
        <v>0</v>
      </c>
      <c r="J160" s="19"/>
      <c r="K160" s="19">
        <f t="shared" si="16"/>
        <v>0</v>
      </c>
      <c r="L160" s="19">
        <v>2200</v>
      </c>
      <c r="M160" s="19">
        <f t="shared" si="17"/>
        <v>501600</v>
      </c>
      <c r="N160" s="19">
        <f t="shared" si="18"/>
        <v>2200</v>
      </c>
      <c r="O160" s="19">
        <f t="shared" si="19"/>
        <v>501600</v>
      </c>
      <c r="P160" t="s">
        <v>247</v>
      </c>
      <c r="Q160" t="s">
        <v>859</v>
      </c>
    </row>
    <row r="161" spans="1:17" ht="24" customHeight="1" x14ac:dyDescent="0.3">
      <c r="A161" t="s">
        <v>19</v>
      </c>
      <c r="B161" t="s">
        <v>99</v>
      </c>
      <c r="C161">
        <v>94</v>
      </c>
      <c r="D161" t="s">
        <v>860</v>
      </c>
      <c r="E161" t="s">
        <v>319</v>
      </c>
      <c r="F161">
        <v>40</v>
      </c>
      <c r="G161" t="s">
        <v>316</v>
      </c>
      <c r="I161" s="19">
        <f t="shared" si="15"/>
        <v>0</v>
      </c>
      <c r="J161" s="19"/>
      <c r="K161" s="19">
        <f t="shared" si="16"/>
        <v>0</v>
      </c>
      <c r="L161" s="19">
        <v>2600</v>
      </c>
      <c r="M161" s="19">
        <f t="shared" si="17"/>
        <v>104000</v>
      </c>
      <c r="N161" s="19">
        <f t="shared" si="18"/>
        <v>2600</v>
      </c>
      <c r="O161" s="19">
        <f t="shared" si="19"/>
        <v>104000</v>
      </c>
      <c r="P161" t="s">
        <v>247</v>
      </c>
      <c r="Q161" t="s">
        <v>861</v>
      </c>
    </row>
    <row r="162" spans="1:17" ht="24" customHeight="1" x14ac:dyDescent="0.3">
      <c r="A162" t="s">
        <v>19</v>
      </c>
      <c r="B162" t="s">
        <v>99</v>
      </c>
      <c r="C162">
        <v>95</v>
      </c>
      <c r="D162" t="s">
        <v>862</v>
      </c>
      <c r="E162" t="s">
        <v>863</v>
      </c>
      <c r="F162">
        <v>109</v>
      </c>
      <c r="G162" t="s">
        <v>316</v>
      </c>
      <c r="I162" s="19">
        <f t="shared" si="15"/>
        <v>0</v>
      </c>
      <c r="J162" s="19"/>
      <c r="K162" s="19">
        <f t="shared" si="16"/>
        <v>0</v>
      </c>
      <c r="L162" s="19">
        <v>3000</v>
      </c>
      <c r="M162" s="19">
        <f t="shared" si="17"/>
        <v>327000</v>
      </c>
      <c r="N162" s="19">
        <f t="shared" si="18"/>
        <v>3000</v>
      </c>
      <c r="O162" s="19">
        <f t="shared" si="19"/>
        <v>327000</v>
      </c>
      <c r="P162" t="s">
        <v>247</v>
      </c>
      <c r="Q162" t="s">
        <v>864</v>
      </c>
    </row>
    <row r="163" spans="1:17" ht="24" customHeight="1" x14ac:dyDescent="0.3">
      <c r="A163" t="s">
        <v>19</v>
      </c>
      <c r="B163" t="s">
        <v>99</v>
      </c>
      <c r="C163">
        <v>96</v>
      </c>
      <c r="D163" t="s">
        <v>865</v>
      </c>
      <c r="E163" t="s">
        <v>866</v>
      </c>
      <c r="F163">
        <v>7</v>
      </c>
      <c r="G163" t="s">
        <v>316</v>
      </c>
      <c r="I163" s="19">
        <f t="shared" si="15"/>
        <v>0</v>
      </c>
      <c r="J163" s="19"/>
      <c r="K163" s="19">
        <f t="shared" si="16"/>
        <v>0</v>
      </c>
      <c r="L163" s="19">
        <v>3400</v>
      </c>
      <c r="M163" s="19">
        <f t="shared" si="17"/>
        <v>23800</v>
      </c>
      <c r="N163" s="19">
        <f t="shared" si="18"/>
        <v>3400</v>
      </c>
      <c r="O163" s="19">
        <f t="shared" si="19"/>
        <v>23800</v>
      </c>
      <c r="P163" t="s">
        <v>247</v>
      </c>
      <c r="Q163" t="s">
        <v>867</v>
      </c>
    </row>
    <row r="164" spans="1:17" ht="24" customHeight="1" x14ac:dyDescent="0.3">
      <c r="A164" t="s">
        <v>19</v>
      </c>
      <c r="B164" t="s">
        <v>99</v>
      </c>
      <c r="C164">
        <v>97</v>
      </c>
      <c r="D164" t="s">
        <v>868</v>
      </c>
      <c r="E164" t="s">
        <v>869</v>
      </c>
      <c r="F164">
        <v>35</v>
      </c>
      <c r="G164" t="s">
        <v>316</v>
      </c>
      <c r="I164" s="19">
        <f t="shared" ref="I164:I195" si="20">F164*H164</f>
        <v>0</v>
      </c>
      <c r="J164" s="19"/>
      <c r="K164" s="19">
        <f t="shared" ref="K164:K195" si="21">F164*J164</f>
        <v>0</v>
      </c>
      <c r="L164" s="19">
        <v>3800</v>
      </c>
      <c r="M164" s="19">
        <f t="shared" ref="M164:M195" si="22">F164*L164</f>
        <v>133000</v>
      </c>
      <c r="N164" s="19">
        <f t="shared" si="18"/>
        <v>3800</v>
      </c>
      <c r="O164" s="19">
        <f t="shared" si="19"/>
        <v>133000</v>
      </c>
      <c r="P164" t="s">
        <v>247</v>
      </c>
      <c r="Q164" t="s">
        <v>870</v>
      </c>
    </row>
    <row r="165" spans="1:17" ht="24" customHeight="1" x14ac:dyDescent="0.3">
      <c r="A165" t="s">
        <v>19</v>
      </c>
      <c r="B165" t="s">
        <v>99</v>
      </c>
      <c r="C165">
        <v>98</v>
      </c>
      <c r="D165" t="s">
        <v>871</v>
      </c>
      <c r="E165" t="s">
        <v>872</v>
      </c>
      <c r="F165">
        <v>7</v>
      </c>
      <c r="G165" t="s">
        <v>316</v>
      </c>
      <c r="I165" s="19">
        <f t="shared" si="20"/>
        <v>0</v>
      </c>
      <c r="J165" s="19"/>
      <c r="K165" s="19">
        <f t="shared" si="21"/>
        <v>0</v>
      </c>
      <c r="L165" s="19">
        <v>4200</v>
      </c>
      <c r="M165" s="19">
        <f t="shared" si="22"/>
        <v>29400</v>
      </c>
      <c r="N165" s="19">
        <f t="shared" si="18"/>
        <v>4200</v>
      </c>
      <c r="O165" s="19">
        <f t="shared" si="19"/>
        <v>29400</v>
      </c>
      <c r="P165" t="s">
        <v>247</v>
      </c>
      <c r="Q165" t="s">
        <v>873</v>
      </c>
    </row>
    <row r="166" spans="1:17" ht="24" customHeight="1" x14ac:dyDescent="0.3">
      <c r="A166" t="s">
        <v>19</v>
      </c>
      <c r="B166" t="s">
        <v>99</v>
      </c>
      <c r="C166">
        <v>99</v>
      </c>
      <c r="D166" t="s">
        <v>874</v>
      </c>
      <c r="E166" t="s">
        <v>322</v>
      </c>
      <c r="F166">
        <v>37</v>
      </c>
      <c r="G166" t="s">
        <v>323</v>
      </c>
      <c r="H166" s="19">
        <v>0</v>
      </c>
      <c r="I166" s="19">
        <f t="shared" si="20"/>
        <v>0</v>
      </c>
      <c r="J166" s="19">
        <v>289893</v>
      </c>
      <c r="K166" s="19">
        <f t="shared" si="21"/>
        <v>10726041</v>
      </c>
      <c r="L166" s="19">
        <v>0</v>
      </c>
      <c r="M166" s="19">
        <f t="shared" si="22"/>
        <v>0</v>
      </c>
      <c r="N166" s="19">
        <f t="shared" si="18"/>
        <v>289893</v>
      </c>
      <c r="O166" s="19">
        <f t="shared" si="19"/>
        <v>10726041</v>
      </c>
      <c r="Q166" t="s">
        <v>324</v>
      </c>
    </row>
    <row r="167" spans="1:17" ht="24" customHeight="1" x14ac:dyDescent="0.3">
      <c r="A167" s="10" t="s">
        <v>19</v>
      </c>
      <c r="B167" s="10" t="s">
        <v>99</v>
      </c>
      <c r="C167" s="10"/>
      <c r="D167" s="10" t="s">
        <v>332</v>
      </c>
      <c r="E167" s="10"/>
      <c r="F167" s="10"/>
      <c r="G167" s="10"/>
      <c r="H167" s="21"/>
      <c r="I167" s="21">
        <f>SUM(I68:I166)</f>
        <v>157239487.37</v>
      </c>
      <c r="J167" s="21"/>
      <c r="K167" s="21">
        <f>SUM(K68:K166)</f>
        <v>375369787.27999997</v>
      </c>
      <c r="L167" s="21"/>
      <c r="M167" s="21">
        <f>SUM(M68:M166)</f>
        <v>37355812.210000001</v>
      </c>
      <c r="N167" s="21"/>
      <c r="O167" s="21">
        <f>SUM(O68:O166)</f>
        <v>569965086.86000001</v>
      </c>
      <c r="P167" s="10"/>
      <c r="Q167" s="10" t="s">
        <v>875</v>
      </c>
    </row>
    <row r="168" spans="1:17" ht="24" customHeight="1" x14ac:dyDescent="0.3">
      <c r="A168" t="s">
        <v>19</v>
      </c>
      <c r="B168" t="s">
        <v>113</v>
      </c>
      <c r="C168">
        <v>1</v>
      </c>
      <c r="D168" t="s">
        <v>673</v>
      </c>
      <c r="E168" t="s">
        <v>213</v>
      </c>
      <c r="F168">
        <v>3339</v>
      </c>
      <c r="G168" t="s">
        <v>171</v>
      </c>
      <c r="H168" s="19">
        <v>301</v>
      </c>
      <c r="I168" s="19">
        <f t="shared" ref="I168:I211" si="23">F168*H168</f>
        <v>1005039</v>
      </c>
      <c r="J168" s="19">
        <v>4367</v>
      </c>
      <c r="K168" s="19">
        <f t="shared" ref="K168:K211" si="24">F168*J168</f>
        <v>14581413</v>
      </c>
      <c r="L168" s="19">
        <v>417</v>
      </c>
      <c r="M168" s="19">
        <f t="shared" ref="M168:M211" si="25">F168*L168</f>
        <v>1392363</v>
      </c>
      <c r="N168" s="19">
        <f t="shared" ref="N168:N211" si="26">H168+J168+L168</f>
        <v>5085</v>
      </c>
      <c r="O168" s="19">
        <f t="shared" ref="O168:O211" si="27">I168+K168+M168</f>
        <v>16978815</v>
      </c>
      <c r="Q168" t="s">
        <v>214</v>
      </c>
    </row>
    <row r="169" spans="1:17" ht="24" customHeight="1" x14ac:dyDescent="0.3">
      <c r="A169" t="s">
        <v>19</v>
      </c>
      <c r="B169" t="s">
        <v>113</v>
      </c>
      <c r="C169">
        <v>2</v>
      </c>
      <c r="D169" t="s">
        <v>674</v>
      </c>
      <c r="E169" t="s">
        <v>876</v>
      </c>
      <c r="F169">
        <v>108</v>
      </c>
      <c r="G169" t="s">
        <v>171</v>
      </c>
      <c r="H169" s="19">
        <v>0</v>
      </c>
      <c r="I169" s="19">
        <f t="shared" si="23"/>
        <v>0</v>
      </c>
      <c r="J169" s="19">
        <v>33455</v>
      </c>
      <c r="K169" s="19">
        <f t="shared" si="24"/>
        <v>3613140</v>
      </c>
      <c r="L169" s="19">
        <v>0</v>
      </c>
      <c r="M169" s="19">
        <f t="shared" si="25"/>
        <v>0</v>
      </c>
      <c r="N169" s="19">
        <f t="shared" si="26"/>
        <v>33455</v>
      </c>
      <c r="O169" s="19">
        <f t="shared" si="27"/>
        <v>3613140</v>
      </c>
      <c r="Q169" t="s">
        <v>172</v>
      </c>
    </row>
    <row r="170" spans="1:17" ht="24" customHeight="1" x14ac:dyDescent="0.3">
      <c r="A170" t="s">
        <v>19</v>
      </c>
      <c r="B170" t="s">
        <v>113</v>
      </c>
      <c r="C170">
        <v>3</v>
      </c>
      <c r="D170" t="s">
        <v>877</v>
      </c>
      <c r="E170" t="s">
        <v>216</v>
      </c>
      <c r="F170">
        <v>3111</v>
      </c>
      <c r="G170" t="s">
        <v>171</v>
      </c>
      <c r="H170" s="19">
        <v>1652</v>
      </c>
      <c r="I170" s="19">
        <f t="shared" si="23"/>
        <v>5139372</v>
      </c>
      <c r="J170" s="19">
        <v>3924</v>
      </c>
      <c r="K170" s="19">
        <f t="shared" si="24"/>
        <v>12207564</v>
      </c>
      <c r="L170" s="19">
        <v>1432</v>
      </c>
      <c r="M170" s="19">
        <f t="shared" si="25"/>
        <v>4454952</v>
      </c>
      <c r="N170" s="19">
        <f t="shared" si="26"/>
        <v>7008</v>
      </c>
      <c r="O170" s="19">
        <f t="shared" si="27"/>
        <v>21801888</v>
      </c>
      <c r="Q170" t="s">
        <v>878</v>
      </c>
    </row>
    <row r="171" spans="1:17" ht="24" customHeight="1" x14ac:dyDescent="0.3">
      <c r="A171" t="s">
        <v>19</v>
      </c>
      <c r="B171" t="s">
        <v>113</v>
      </c>
      <c r="C171">
        <v>4</v>
      </c>
      <c r="D171" t="s">
        <v>677</v>
      </c>
      <c r="E171" t="s">
        <v>522</v>
      </c>
      <c r="F171">
        <v>127</v>
      </c>
      <c r="G171" t="s">
        <v>171</v>
      </c>
      <c r="H171" s="19">
        <v>608</v>
      </c>
      <c r="I171" s="19">
        <f t="shared" si="23"/>
        <v>77216</v>
      </c>
      <c r="J171" s="19">
        <v>9980</v>
      </c>
      <c r="K171" s="19">
        <f t="shared" si="24"/>
        <v>1267460</v>
      </c>
      <c r="L171" s="19">
        <v>440</v>
      </c>
      <c r="M171" s="19">
        <f t="shared" si="25"/>
        <v>55880</v>
      </c>
      <c r="N171" s="19">
        <f t="shared" si="26"/>
        <v>11028</v>
      </c>
      <c r="O171" s="19">
        <f t="shared" si="27"/>
        <v>1400556</v>
      </c>
      <c r="Q171" t="s">
        <v>676</v>
      </c>
    </row>
    <row r="172" spans="1:17" ht="24" customHeight="1" x14ac:dyDescent="0.3">
      <c r="A172" t="s">
        <v>19</v>
      </c>
      <c r="B172" t="s">
        <v>113</v>
      </c>
      <c r="C172">
        <v>5</v>
      </c>
      <c r="D172" t="s">
        <v>679</v>
      </c>
      <c r="E172" t="s">
        <v>494</v>
      </c>
      <c r="F172">
        <v>209</v>
      </c>
      <c r="G172" t="s">
        <v>171</v>
      </c>
      <c r="H172" s="19">
        <v>447</v>
      </c>
      <c r="I172" s="19">
        <f t="shared" si="23"/>
        <v>93423</v>
      </c>
      <c r="J172" s="19">
        <v>955</v>
      </c>
      <c r="K172" s="19">
        <f t="shared" si="24"/>
        <v>199595</v>
      </c>
      <c r="L172" s="19">
        <v>336</v>
      </c>
      <c r="M172" s="19">
        <f t="shared" si="25"/>
        <v>70224</v>
      </c>
      <c r="N172" s="19">
        <f t="shared" si="26"/>
        <v>1738</v>
      </c>
      <c r="O172" s="19">
        <f t="shared" si="27"/>
        <v>363242</v>
      </c>
      <c r="Q172" t="s">
        <v>172</v>
      </c>
    </row>
    <row r="173" spans="1:17" ht="24" customHeight="1" x14ac:dyDescent="0.3">
      <c r="A173" t="s">
        <v>19</v>
      </c>
      <c r="B173" t="s">
        <v>113</v>
      </c>
      <c r="C173">
        <v>6</v>
      </c>
      <c r="D173" t="s">
        <v>879</v>
      </c>
      <c r="E173" t="s">
        <v>880</v>
      </c>
      <c r="F173">
        <v>88</v>
      </c>
      <c r="G173" t="s">
        <v>199</v>
      </c>
      <c r="H173" s="19">
        <v>230</v>
      </c>
      <c r="I173" s="19">
        <f t="shared" si="23"/>
        <v>20240</v>
      </c>
      <c r="J173" s="19">
        <v>4360</v>
      </c>
      <c r="K173" s="19">
        <f t="shared" si="24"/>
        <v>383680</v>
      </c>
      <c r="L173" s="19">
        <v>0</v>
      </c>
      <c r="M173" s="19">
        <f t="shared" si="25"/>
        <v>0</v>
      </c>
      <c r="N173" s="19">
        <f t="shared" si="26"/>
        <v>4590</v>
      </c>
      <c r="O173" s="19">
        <f t="shared" si="27"/>
        <v>403920</v>
      </c>
      <c r="Q173" t="s">
        <v>881</v>
      </c>
    </row>
    <row r="174" spans="1:17" ht="24" customHeight="1" x14ac:dyDescent="0.3">
      <c r="A174" t="s">
        <v>19</v>
      </c>
      <c r="B174" t="s">
        <v>113</v>
      </c>
      <c r="C174">
        <v>7</v>
      </c>
      <c r="D174" t="s">
        <v>882</v>
      </c>
      <c r="E174" t="s">
        <v>883</v>
      </c>
      <c r="F174">
        <v>430</v>
      </c>
      <c r="G174" t="s">
        <v>199</v>
      </c>
      <c r="H174" s="19">
        <v>528</v>
      </c>
      <c r="I174" s="19">
        <f t="shared" si="23"/>
        <v>227040</v>
      </c>
      <c r="J174" s="19">
        <v>10016</v>
      </c>
      <c r="K174" s="19">
        <f t="shared" si="24"/>
        <v>4306880</v>
      </c>
      <c r="L174" s="19">
        <v>0</v>
      </c>
      <c r="M174" s="19">
        <f t="shared" si="25"/>
        <v>0</v>
      </c>
      <c r="N174" s="19">
        <f t="shared" si="26"/>
        <v>10544</v>
      </c>
      <c r="O174" s="19">
        <f t="shared" si="27"/>
        <v>4533920</v>
      </c>
      <c r="Q174" t="s">
        <v>794</v>
      </c>
    </row>
    <row r="175" spans="1:17" ht="24" customHeight="1" x14ac:dyDescent="0.3">
      <c r="A175" t="s">
        <v>19</v>
      </c>
      <c r="B175" t="s">
        <v>113</v>
      </c>
      <c r="C175">
        <v>8</v>
      </c>
      <c r="D175" t="s">
        <v>884</v>
      </c>
      <c r="E175" t="s">
        <v>881</v>
      </c>
      <c r="F175">
        <v>8</v>
      </c>
      <c r="G175" t="s">
        <v>233</v>
      </c>
      <c r="I175" s="19">
        <f t="shared" si="23"/>
        <v>0</v>
      </c>
      <c r="J175" s="19">
        <v>53686</v>
      </c>
      <c r="K175" s="19">
        <f t="shared" si="24"/>
        <v>429488</v>
      </c>
      <c r="L175" s="19"/>
      <c r="M175" s="19">
        <f t="shared" si="25"/>
        <v>0</v>
      </c>
      <c r="N175" s="19">
        <f t="shared" si="26"/>
        <v>53686</v>
      </c>
      <c r="O175" s="19">
        <f t="shared" si="27"/>
        <v>429488</v>
      </c>
      <c r="P175" t="s">
        <v>247</v>
      </c>
      <c r="Q175" t="s">
        <v>796</v>
      </c>
    </row>
    <row r="176" spans="1:17" ht="24" customHeight="1" x14ac:dyDescent="0.3">
      <c r="A176" t="s">
        <v>19</v>
      </c>
      <c r="B176" t="s">
        <v>113</v>
      </c>
      <c r="C176">
        <v>9</v>
      </c>
      <c r="D176" t="s">
        <v>885</v>
      </c>
      <c r="E176" t="s">
        <v>794</v>
      </c>
      <c r="F176">
        <v>11</v>
      </c>
      <c r="G176" t="s">
        <v>233</v>
      </c>
      <c r="I176" s="19">
        <f t="shared" si="23"/>
        <v>0</v>
      </c>
      <c r="J176" s="19">
        <v>76695</v>
      </c>
      <c r="K176" s="19">
        <f t="shared" si="24"/>
        <v>843645</v>
      </c>
      <c r="L176" s="19"/>
      <c r="M176" s="19">
        <f t="shared" si="25"/>
        <v>0</v>
      </c>
      <c r="N176" s="19">
        <f t="shared" si="26"/>
        <v>76695</v>
      </c>
      <c r="O176" s="19">
        <f t="shared" si="27"/>
        <v>843645</v>
      </c>
      <c r="P176" t="s">
        <v>247</v>
      </c>
      <c r="Q176" t="s">
        <v>796</v>
      </c>
    </row>
    <row r="177" spans="1:17" ht="24" customHeight="1" x14ac:dyDescent="0.3">
      <c r="A177" t="s">
        <v>19</v>
      </c>
      <c r="B177" t="s">
        <v>113</v>
      </c>
      <c r="C177">
        <v>10</v>
      </c>
      <c r="D177" t="s">
        <v>886</v>
      </c>
      <c r="E177" t="s">
        <v>887</v>
      </c>
      <c r="F177">
        <v>179</v>
      </c>
      <c r="G177" t="s">
        <v>171</v>
      </c>
      <c r="H177" s="19">
        <v>0</v>
      </c>
      <c r="I177" s="19">
        <f t="shared" si="23"/>
        <v>0</v>
      </c>
      <c r="J177" s="19">
        <v>33455</v>
      </c>
      <c r="K177" s="19">
        <f t="shared" si="24"/>
        <v>5988445</v>
      </c>
      <c r="L177" s="19">
        <v>0</v>
      </c>
      <c r="M177" s="19">
        <f t="shared" si="25"/>
        <v>0</v>
      </c>
      <c r="N177" s="19">
        <f t="shared" si="26"/>
        <v>33455</v>
      </c>
      <c r="O177" s="19">
        <f t="shared" si="27"/>
        <v>5988445</v>
      </c>
      <c r="Q177" t="s">
        <v>655</v>
      </c>
    </row>
    <row r="178" spans="1:17" ht="24" customHeight="1" x14ac:dyDescent="0.3">
      <c r="A178" t="s">
        <v>19</v>
      </c>
      <c r="B178" t="s">
        <v>113</v>
      </c>
      <c r="C178">
        <v>11</v>
      </c>
      <c r="D178" t="s">
        <v>888</v>
      </c>
      <c r="E178" t="s">
        <v>889</v>
      </c>
      <c r="F178">
        <v>15</v>
      </c>
      <c r="G178" t="s">
        <v>233</v>
      </c>
      <c r="H178" s="19">
        <v>0</v>
      </c>
      <c r="I178" s="19">
        <f t="shared" si="23"/>
        <v>0</v>
      </c>
      <c r="J178" s="19">
        <v>71377</v>
      </c>
      <c r="K178" s="19">
        <f t="shared" si="24"/>
        <v>1070655</v>
      </c>
      <c r="L178" s="19">
        <v>0</v>
      </c>
      <c r="M178" s="19">
        <f t="shared" si="25"/>
        <v>0</v>
      </c>
      <c r="N178" s="19">
        <f t="shared" si="26"/>
        <v>71377</v>
      </c>
      <c r="O178" s="19">
        <f t="shared" si="27"/>
        <v>1070655</v>
      </c>
      <c r="Q178" t="s">
        <v>890</v>
      </c>
    </row>
    <row r="179" spans="1:17" ht="24" customHeight="1" x14ac:dyDescent="0.3">
      <c r="A179" t="s">
        <v>19</v>
      </c>
      <c r="B179" t="s">
        <v>113</v>
      </c>
      <c r="C179">
        <v>12</v>
      </c>
      <c r="D179" t="s">
        <v>891</v>
      </c>
      <c r="E179" t="s">
        <v>881</v>
      </c>
      <c r="F179">
        <v>8</v>
      </c>
      <c r="G179" t="s">
        <v>274</v>
      </c>
      <c r="H179" s="19">
        <v>399</v>
      </c>
      <c r="I179" s="19">
        <f t="shared" si="23"/>
        <v>3192</v>
      </c>
      <c r="J179" s="19">
        <v>19539</v>
      </c>
      <c r="K179" s="19">
        <f t="shared" si="24"/>
        <v>156312</v>
      </c>
      <c r="L179" s="19">
        <v>0</v>
      </c>
      <c r="M179" s="19">
        <f t="shared" si="25"/>
        <v>0</v>
      </c>
      <c r="N179" s="19">
        <f t="shared" si="26"/>
        <v>19938</v>
      </c>
      <c r="O179" s="19">
        <f t="shared" si="27"/>
        <v>159504</v>
      </c>
      <c r="Q179" t="s">
        <v>881</v>
      </c>
    </row>
    <row r="180" spans="1:17" ht="24" customHeight="1" x14ac:dyDescent="0.3">
      <c r="A180" t="s">
        <v>19</v>
      </c>
      <c r="B180" t="s">
        <v>113</v>
      </c>
      <c r="C180">
        <v>13</v>
      </c>
      <c r="D180" t="s">
        <v>892</v>
      </c>
      <c r="E180" t="s">
        <v>794</v>
      </c>
      <c r="F180">
        <v>28</v>
      </c>
      <c r="G180" t="s">
        <v>274</v>
      </c>
      <c r="H180" s="19">
        <v>662</v>
      </c>
      <c r="I180" s="19">
        <f t="shared" si="23"/>
        <v>18536</v>
      </c>
      <c r="J180" s="19">
        <v>32423</v>
      </c>
      <c r="K180" s="19">
        <f t="shared" si="24"/>
        <v>907844</v>
      </c>
      <c r="L180" s="19">
        <v>0</v>
      </c>
      <c r="M180" s="19">
        <f t="shared" si="25"/>
        <v>0</v>
      </c>
      <c r="N180" s="19">
        <f t="shared" si="26"/>
        <v>33085</v>
      </c>
      <c r="O180" s="19">
        <f t="shared" si="27"/>
        <v>926380</v>
      </c>
      <c r="Q180" t="s">
        <v>794</v>
      </c>
    </row>
    <row r="181" spans="1:17" ht="24" customHeight="1" x14ac:dyDescent="0.3">
      <c r="A181" t="s">
        <v>19</v>
      </c>
      <c r="B181" t="s">
        <v>113</v>
      </c>
      <c r="C181">
        <v>14</v>
      </c>
      <c r="D181" t="s">
        <v>893</v>
      </c>
      <c r="E181" t="s">
        <v>894</v>
      </c>
      <c r="F181">
        <v>8</v>
      </c>
      <c r="G181" t="s">
        <v>233</v>
      </c>
      <c r="H181" s="19">
        <v>2000</v>
      </c>
      <c r="I181" s="19">
        <f t="shared" si="23"/>
        <v>16000</v>
      </c>
      <c r="J181" s="19">
        <v>37989</v>
      </c>
      <c r="K181" s="19">
        <f t="shared" si="24"/>
        <v>303912</v>
      </c>
      <c r="L181" s="19">
        <v>0</v>
      </c>
      <c r="M181" s="19">
        <f t="shared" si="25"/>
        <v>0</v>
      </c>
      <c r="N181" s="19">
        <f t="shared" si="26"/>
        <v>39989</v>
      </c>
      <c r="O181" s="19">
        <f t="shared" si="27"/>
        <v>319912</v>
      </c>
      <c r="Q181" t="s">
        <v>895</v>
      </c>
    </row>
    <row r="182" spans="1:17" ht="24" customHeight="1" x14ac:dyDescent="0.3">
      <c r="A182" t="s">
        <v>19</v>
      </c>
      <c r="B182" t="s">
        <v>113</v>
      </c>
      <c r="C182">
        <v>15</v>
      </c>
      <c r="D182" t="s">
        <v>896</v>
      </c>
      <c r="E182" t="s">
        <v>897</v>
      </c>
      <c r="F182">
        <v>28</v>
      </c>
      <c r="G182" t="s">
        <v>233</v>
      </c>
      <c r="H182" s="19">
        <v>7658</v>
      </c>
      <c r="I182" s="19">
        <f t="shared" si="23"/>
        <v>214424</v>
      </c>
      <c r="J182" s="19">
        <v>39940</v>
      </c>
      <c r="K182" s="19">
        <f t="shared" si="24"/>
        <v>1118320</v>
      </c>
      <c r="L182" s="19">
        <v>2960</v>
      </c>
      <c r="M182" s="19">
        <f t="shared" si="25"/>
        <v>82880</v>
      </c>
      <c r="N182" s="19">
        <f t="shared" si="26"/>
        <v>50558</v>
      </c>
      <c r="O182" s="19">
        <f t="shared" si="27"/>
        <v>1415624</v>
      </c>
      <c r="Q182" t="s">
        <v>898</v>
      </c>
    </row>
    <row r="183" spans="1:17" ht="24" customHeight="1" x14ac:dyDescent="0.3">
      <c r="A183" t="s">
        <v>19</v>
      </c>
      <c r="B183" t="s">
        <v>113</v>
      </c>
      <c r="C183">
        <v>16</v>
      </c>
      <c r="D183" t="s">
        <v>761</v>
      </c>
      <c r="E183" t="s">
        <v>226</v>
      </c>
      <c r="F183">
        <v>11</v>
      </c>
      <c r="G183" t="s">
        <v>171</v>
      </c>
      <c r="H183" s="19">
        <v>5963</v>
      </c>
      <c r="I183" s="19">
        <f t="shared" si="23"/>
        <v>65593</v>
      </c>
      <c r="J183" s="19">
        <v>50648</v>
      </c>
      <c r="K183" s="19">
        <f t="shared" si="24"/>
        <v>557128</v>
      </c>
      <c r="L183" s="19">
        <v>6730</v>
      </c>
      <c r="M183" s="19">
        <f t="shared" si="25"/>
        <v>74030</v>
      </c>
      <c r="N183" s="19">
        <f t="shared" si="26"/>
        <v>63341</v>
      </c>
      <c r="O183" s="19">
        <f t="shared" si="27"/>
        <v>696751</v>
      </c>
      <c r="Q183" t="s">
        <v>693</v>
      </c>
    </row>
    <row r="184" spans="1:17" ht="24" customHeight="1" x14ac:dyDescent="0.3">
      <c r="A184" t="s">
        <v>19</v>
      </c>
      <c r="B184" t="s">
        <v>113</v>
      </c>
      <c r="C184">
        <v>17</v>
      </c>
      <c r="D184" t="s">
        <v>762</v>
      </c>
      <c r="E184" t="s">
        <v>263</v>
      </c>
      <c r="F184">
        <v>29</v>
      </c>
      <c r="G184" t="s">
        <v>168</v>
      </c>
      <c r="H184" s="19">
        <v>378</v>
      </c>
      <c r="I184" s="19">
        <f t="shared" si="23"/>
        <v>10962</v>
      </c>
      <c r="J184" s="19">
        <v>37806</v>
      </c>
      <c r="K184" s="19">
        <f t="shared" si="24"/>
        <v>1096374</v>
      </c>
      <c r="L184" s="19">
        <v>0</v>
      </c>
      <c r="M184" s="19">
        <f t="shared" si="25"/>
        <v>0</v>
      </c>
      <c r="N184" s="19">
        <f t="shared" si="26"/>
        <v>38184</v>
      </c>
      <c r="O184" s="19">
        <f t="shared" si="27"/>
        <v>1107336</v>
      </c>
      <c r="Q184" t="s">
        <v>695</v>
      </c>
    </row>
    <row r="185" spans="1:17" ht="24" customHeight="1" x14ac:dyDescent="0.3">
      <c r="A185" t="s">
        <v>19</v>
      </c>
      <c r="B185" t="s">
        <v>113</v>
      </c>
      <c r="C185">
        <v>18</v>
      </c>
      <c r="D185" t="s">
        <v>899</v>
      </c>
      <c r="E185" t="s">
        <v>900</v>
      </c>
      <c r="F185">
        <v>7.3</v>
      </c>
      <c r="G185" t="s">
        <v>199</v>
      </c>
      <c r="H185" s="19">
        <v>298</v>
      </c>
      <c r="I185" s="19">
        <f t="shared" si="23"/>
        <v>2175.4</v>
      </c>
      <c r="J185" s="19">
        <v>5657</v>
      </c>
      <c r="K185" s="19">
        <f t="shared" si="24"/>
        <v>41296.1</v>
      </c>
      <c r="L185" s="19">
        <v>0</v>
      </c>
      <c r="M185" s="19">
        <f t="shared" si="25"/>
        <v>0</v>
      </c>
      <c r="N185" s="19">
        <f t="shared" si="26"/>
        <v>5955</v>
      </c>
      <c r="O185" s="19">
        <f t="shared" si="27"/>
        <v>43471.5</v>
      </c>
      <c r="Q185" t="s">
        <v>901</v>
      </c>
    </row>
    <row r="186" spans="1:17" ht="24" customHeight="1" x14ac:dyDescent="0.3">
      <c r="A186" t="s">
        <v>19</v>
      </c>
      <c r="B186" t="s">
        <v>113</v>
      </c>
      <c r="C186">
        <v>19</v>
      </c>
      <c r="D186" t="s">
        <v>902</v>
      </c>
      <c r="E186" t="s">
        <v>883</v>
      </c>
      <c r="F186">
        <v>2.1</v>
      </c>
      <c r="G186" t="s">
        <v>199</v>
      </c>
      <c r="H186" s="19">
        <v>528</v>
      </c>
      <c r="I186" s="19">
        <f t="shared" si="23"/>
        <v>1108.8</v>
      </c>
      <c r="J186" s="19">
        <v>10016</v>
      </c>
      <c r="K186" s="19">
        <f t="shared" si="24"/>
        <v>21033.600000000002</v>
      </c>
      <c r="L186" s="19">
        <v>0</v>
      </c>
      <c r="M186" s="19">
        <f t="shared" si="25"/>
        <v>0</v>
      </c>
      <c r="N186" s="19">
        <f t="shared" si="26"/>
        <v>10544</v>
      </c>
      <c r="O186" s="19">
        <f t="shared" si="27"/>
        <v>22142.400000000001</v>
      </c>
      <c r="Q186" t="s">
        <v>794</v>
      </c>
    </row>
    <row r="187" spans="1:17" ht="24" customHeight="1" x14ac:dyDescent="0.3">
      <c r="A187" t="s">
        <v>19</v>
      </c>
      <c r="B187" t="s">
        <v>113</v>
      </c>
      <c r="C187">
        <v>20</v>
      </c>
      <c r="D187" t="s">
        <v>903</v>
      </c>
      <c r="E187" t="s">
        <v>901</v>
      </c>
      <c r="F187">
        <v>14</v>
      </c>
      <c r="G187" t="s">
        <v>233</v>
      </c>
      <c r="I187" s="19">
        <f t="shared" si="23"/>
        <v>0</v>
      </c>
      <c r="J187" s="19">
        <v>46451</v>
      </c>
      <c r="K187" s="19">
        <f t="shared" si="24"/>
        <v>650314</v>
      </c>
      <c r="L187" s="19"/>
      <c r="M187" s="19">
        <f t="shared" si="25"/>
        <v>0</v>
      </c>
      <c r="N187" s="19">
        <f t="shared" si="26"/>
        <v>46451</v>
      </c>
      <c r="O187" s="19">
        <f t="shared" si="27"/>
        <v>650314</v>
      </c>
      <c r="P187" t="s">
        <v>247</v>
      </c>
      <c r="Q187" t="s">
        <v>796</v>
      </c>
    </row>
    <row r="188" spans="1:17" ht="24" customHeight="1" x14ac:dyDescent="0.3">
      <c r="A188" t="s">
        <v>19</v>
      </c>
      <c r="B188" t="s">
        <v>113</v>
      </c>
      <c r="C188">
        <v>21</v>
      </c>
      <c r="D188" t="s">
        <v>904</v>
      </c>
      <c r="E188" t="s">
        <v>794</v>
      </c>
      <c r="F188">
        <v>7</v>
      </c>
      <c r="G188" t="s">
        <v>233</v>
      </c>
      <c r="I188" s="19">
        <f t="shared" si="23"/>
        <v>0</v>
      </c>
      <c r="J188" s="19">
        <v>76695</v>
      </c>
      <c r="K188" s="19">
        <f t="shared" si="24"/>
        <v>536865</v>
      </c>
      <c r="L188" s="19"/>
      <c r="M188" s="19">
        <f t="shared" si="25"/>
        <v>0</v>
      </c>
      <c r="N188" s="19">
        <f t="shared" si="26"/>
        <v>76695</v>
      </c>
      <c r="O188" s="19">
        <f t="shared" si="27"/>
        <v>536865</v>
      </c>
      <c r="P188" t="s">
        <v>247</v>
      </c>
      <c r="Q188" t="s">
        <v>796</v>
      </c>
    </row>
    <row r="189" spans="1:17" ht="24" customHeight="1" x14ac:dyDescent="0.3">
      <c r="A189" t="s">
        <v>19</v>
      </c>
      <c r="B189" t="s">
        <v>113</v>
      </c>
      <c r="C189">
        <v>22</v>
      </c>
      <c r="D189" t="s">
        <v>905</v>
      </c>
      <c r="E189" t="s">
        <v>901</v>
      </c>
      <c r="F189">
        <v>21</v>
      </c>
      <c r="G189" t="s">
        <v>233</v>
      </c>
      <c r="I189" s="19">
        <f t="shared" si="23"/>
        <v>0</v>
      </c>
      <c r="J189" s="19">
        <v>46451</v>
      </c>
      <c r="K189" s="19">
        <f t="shared" si="24"/>
        <v>975471</v>
      </c>
      <c r="L189" s="19"/>
      <c r="M189" s="19">
        <f t="shared" si="25"/>
        <v>0</v>
      </c>
      <c r="N189" s="19">
        <f t="shared" si="26"/>
        <v>46451</v>
      </c>
      <c r="O189" s="19">
        <f t="shared" si="27"/>
        <v>975471</v>
      </c>
      <c r="P189" t="s">
        <v>247</v>
      </c>
      <c r="Q189" t="s">
        <v>906</v>
      </c>
    </row>
    <row r="190" spans="1:17" ht="24" customHeight="1" x14ac:dyDescent="0.3">
      <c r="A190" t="s">
        <v>19</v>
      </c>
      <c r="B190" t="s">
        <v>113</v>
      </c>
      <c r="C190">
        <v>23</v>
      </c>
      <c r="D190" t="s">
        <v>907</v>
      </c>
      <c r="E190" t="s">
        <v>794</v>
      </c>
      <c r="F190">
        <v>14</v>
      </c>
      <c r="G190" t="s">
        <v>233</v>
      </c>
      <c r="I190" s="19">
        <f t="shared" si="23"/>
        <v>0</v>
      </c>
      <c r="J190" s="19">
        <v>76695</v>
      </c>
      <c r="K190" s="19">
        <f t="shared" si="24"/>
        <v>1073730</v>
      </c>
      <c r="L190" s="19"/>
      <c r="M190" s="19">
        <f t="shared" si="25"/>
        <v>0</v>
      </c>
      <c r="N190" s="19">
        <f t="shared" si="26"/>
        <v>76695</v>
      </c>
      <c r="O190" s="19">
        <f t="shared" si="27"/>
        <v>1073730</v>
      </c>
      <c r="P190" t="s">
        <v>247</v>
      </c>
      <c r="Q190" t="s">
        <v>906</v>
      </c>
    </row>
    <row r="191" spans="1:17" ht="24" customHeight="1" x14ac:dyDescent="0.3">
      <c r="A191" t="s">
        <v>19</v>
      </c>
      <c r="B191" t="s">
        <v>113</v>
      </c>
      <c r="C191">
        <v>24</v>
      </c>
      <c r="D191" t="s">
        <v>908</v>
      </c>
      <c r="E191" t="s">
        <v>909</v>
      </c>
      <c r="F191">
        <v>7</v>
      </c>
      <c r="G191" t="s">
        <v>274</v>
      </c>
      <c r="H191" s="19">
        <v>519</v>
      </c>
      <c r="I191" s="19">
        <f t="shared" si="23"/>
        <v>3633</v>
      </c>
      <c r="J191" s="19">
        <v>25428</v>
      </c>
      <c r="K191" s="19">
        <f t="shared" si="24"/>
        <v>177996</v>
      </c>
      <c r="L191" s="19"/>
      <c r="M191" s="19">
        <f t="shared" si="25"/>
        <v>0</v>
      </c>
      <c r="N191" s="19">
        <f t="shared" si="26"/>
        <v>25947</v>
      </c>
      <c r="O191" s="19">
        <f t="shared" si="27"/>
        <v>181629</v>
      </c>
      <c r="P191" t="s">
        <v>247</v>
      </c>
      <c r="Q191" t="s">
        <v>910</v>
      </c>
    </row>
    <row r="192" spans="1:17" ht="24" customHeight="1" x14ac:dyDescent="0.3">
      <c r="A192" t="s">
        <v>19</v>
      </c>
      <c r="B192" t="s">
        <v>113</v>
      </c>
      <c r="C192">
        <v>25</v>
      </c>
      <c r="D192" t="s">
        <v>911</v>
      </c>
      <c r="E192" t="s">
        <v>912</v>
      </c>
      <c r="F192">
        <v>7</v>
      </c>
      <c r="G192" t="s">
        <v>274</v>
      </c>
      <c r="H192" s="19">
        <v>519</v>
      </c>
      <c r="I192" s="19">
        <f t="shared" si="23"/>
        <v>3633</v>
      </c>
      <c r="J192" s="19">
        <v>25428</v>
      </c>
      <c r="K192" s="19">
        <f t="shared" si="24"/>
        <v>177996</v>
      </c>
      <c r="L192" s="19">
        <v>0</v>
      </c>
      <c r="M192" s="19">
        <f t="shared" si="25"/>
        <v>0</v>
      </c>
      <c r="N192" s="19">
        <f t="shared" si="26"/>
        <v>25947</v>
      </c>
      <c r="O192" s="19">
        <f t="shared" si="27"/>
        <v>181629</v>
      </c>
      <c r="Q192" t="s">
        <v>912</v>
      </c>
    </row>
    <row r="193" spans="1:17" ht="24" customHeight="1" x14ac:dyDescent="0.3">
      <c r="A193" t="s">
        <v>19</v>
      </c>
      <c r="B193" t="s">
        <v>113</v>
      </c>
      <c r="C193">
        <v>26</v>
      </c>
      <c r="D193" t="s">
        <v>913</v>
      </c>
      <c r="E193" t="s">
        <v>717</v>
      </c>
      <c r="F193">
        <v>430</v>
      </c>
      <c r="G193" t="s">
        <v>199</v>
      </c>
      <c r="H193" s="19">
        <v>82</v>
      </c>
      <c r="I193" s="19">
        <f t="shared" si="23"/>
        <v>35260</v>
      </c>
      <c r="J193" s="19">
        <v>1966</v>
      </c>
      <c r="K193" s="19">
        <f t="shared" si="24"/>
        <v>845380</v>
      </c>
      <c r="L193" s="19">
        <v>303</v>
      </c>
      <c r="M193" s="19">
        <f t="shared" si="25"/>
        <v>130290</v>
      </c>
      <c r="N193" s="19">
        <f t="shared" si="26"/>
        <v>2351</v>
      </c>
      <c r="O193" s="19">
        <f t="shared" si="27"/>
        <v>1010930</v>
      </c>
      <c r="Q193" t="s">
        <v>718</v>
      </c>
    </row>
    <row r="194" spans="1:17" ht="24" customHeight="1" x14ac:dyDescent="0.3">
      <c r="A194" t="s">
        <v>19</v>
      </c>
      <c r="B194" t="s">
        <v>113</v>
      </c>
      <c r="C194">
        <v>27</v>
      </c>
      <c r="D194" t="s">
        <v>914</v>
      </c>
      <c r="E194" t="s">
        <v>240</v>
      </c>
      <c r="F194">
        <v>644</v>
      </c>
      <c r="G194" t="s">
        <v>199</v>
      </c>
      <c r="H194" s="19">
        <v>500</v>
      </c>
      <c r="I194" s="19">
        <f t="shared" si="23"/>
        <v>322000</v>
      </c>
      <c r="J194" s="19">
        <v>1000</v>
      </c>
      <c r="K194" s="19">
        <f t="shared" si="24"/>
        <v>644000</v>
      </c>
      <c r="L194" s="19"/>
      <c r="M194" s="19">
        <f t="shared" si="25"/>
        <v>0</v>
      </c>
      <c r="N194" s="19">
        <f t="shared" si="26"/>
        <v>1500</v>
      </c>
      <c r="O194" s="19">
        <f t="shared" si="27"/>
        <v>966000</v>
      </c>
      <c r="P194" t="s">
        <v>247</v>
      </c>
      <c r="Q194" t="s">
        <v>915</v>
      </c>
    </row>
    <row r="195" spans="1:17" ht="24" customHeight="1" x14ac:dyDescent="0.3">
      <c r="A195" t="s">
        <v>19</v>
      </c>
      <c r="B195" t="s">
        <v>113</v>
      </c>
      <c r="C195">
        <v>28</v>
      </c>
      <c r="D195" t="s">
        <v>916</v>
      </c>
      <c r="E195" t="s">
        <v>794</v>
      </c>
      <c r="F195">
        <v>9</v>
      </c>
      <c r="G195" t="s">
        <v>648</v>
      </c>
      <c r="H195" s="19">
        <v>150000</v>
      </c>
      <c r="I195" s="19">
        <f t="shared" si="23"/>
        <v>1350000</v>
      </c>
      <c r="J195" s="19">
        <v>300000</v>
      </c>
      <c r="K195" s="19">
        <f t="shared" si="24"/>
        <v>2700000</v>
      </c>
      <c r="L195" s="19"/>
      <c r="M195" s="19">
        <f t="shared" si="25"/>
        <v>0</v>
      </c>
      <c r="N195" s="19">
        <f t="shared" si="26"/>
        <v>450000</v>
      </c>
      <c r="O195" s="19">
        <f t="shared" si="27"/>
        <v>4050000</v>
      </c>
      <c r="P195" t="s">
        <v>247</v>
      </c>
      <c r="Q195" t="s">
        <v>917</v>
      </c>
    </row>
    <row r="196" spans="1:17" ht="24" customHeight="1" x14ac:dyDescent="0.3">
      <c r="A196" t="s">
        <v>19</v>
      </c>
      <c r="B196" t="s">
        <v>113</v>
      </c>
      <c r="C196">
        <v>29</v>
      </c>
      <c r="D196" t="s">
        <v>918</v>
      </c>
      <c r="E196" t="s">
        <v>919</v>
      </c>
      <c r="F196">
        <v>8</v>
      </c>
      <c r="G196" t="s">
        <v>233</v>
      </c>
      <c r="H196" s="19">
        <v>6303</v>
      </c>
      <c r="I196" s="19">
        <f t="shared" si="23"/>
        <v>50424</v>
      </c>
      <c r="J196" s="19">
        <v>210121</v>
      </c>
      <c r="K196" s="19">
        <f t="shared" si="24"/>
        <v>1680968</v>
      </c>
      <c r="L196" s="19"/>
      <c r="M196" s="19">
        <f t="shared" si="25"/>
        <v>0</v>
      </c>
      <c r="N196" s="19">
        <f t="shared" si="26"/>
        <v>216424</v>
      </c>
      <c r="O196" s="19">
        <f t="shared" si="27"/>
        <v>1731392</v>
      </c>
      <c r="P196" t="s">
        <v>247</v>
      </c>
      <c r="Q196" t="s">
        <v>920</v>
      </c>
    </row>
    <row r="197" spans="1:17" ht="24" customHeight="1" x14ac:dyDescent="0.3">
      <c r="A197" t="s">
        <v>19</v>
      </c>
      <c r="B197" t="s">
        <v>113</v>
      </c>
      <c r="C197">
        <v>30</v>
      </c>
      <c r="D197" t="s">
        <v>921</v>
      </c>
      <c r="E197" t="s">
        <v>922</v>
      </c>
      <c r="F197">
        <v>8</v>
      </c>
      <c r="G197" t="s">
        <v>233</v>
      </c>
      <c r="H197" s="19">
        <v>2600</v>
      </c>
      <c r="I197" s="19">
        <f t="shared" si="23"/>
        <v>20800</v>
      </c>
      <c r="J197" s="19">
        <v>39820</v>
      </c>
      <c r="K197" s="19">
        <f t="shared" si="24"/>
        <v>318560</v>
      </c>
      <c r="L197" s="19">
        <v>2608</v>
      </c>
      <c r="M197" s="19">
        <f t="shared" si="25"/>
        <v>20864</v>
      </c>
      <c r="N197" s="19">
        <f t="shared" si="26"/>
        <v>45028</v>
      </c>
      <c r="O197" s="19">
        <f t="shared" si="27"/>
        <v>360224</v>
      </c>
      <c r="P197" t="s">
        <v>247</v>
      </c>
      <c r="Q197" t="s">
        <v>923</v>
      </c>
    </row>
    <row r="198" spans="1:17" ht="24" customHeight="1" x14ac:dyDescent="0.3">
      <c r="A198" t="s">
        <v>19</v>
      </c>
      <c r="B198" t="s">
        <v>113</v>
      </c>
      <c r="C198">
        <v>31</v>
      </c>
      <c r="D198" t="s">
        <v>924</v>
      </c>
      <c r="E198" t="s">
        <v>925</v>
      </c>
      <c r="F198">
        <v>8</v>
      </c>
      <c r="G198" t="s">
        <v>274</v>
      </c>
      <c r="H198" s="19">
        <v>3261</v>
      </c>
      <c r="I198" s="19">
        <f t="shared" si="23"/>
        <v>26088</v>
      </c>
      <c r="J198" s="19">
        <v>43712</v>
      </c>
      <c r="K198" s="19">
        <f t="shared" si="24"/>
        <v>349696</v>
      </c>
      <c r="L198" s="19"/>
      <c r="M198" s="19">
        <f t="shared" si="25"/>
        <v>0</v>
      </c>
      <c r="N198" s="19">
        <f t="shared" si="26"/>
        <v>46973</v>
      </c>
      <c r="O198" s="19">
        <f t="shared" si="27"/>
        <v>375784</v>
      </c>
      <c r="P198" t="s">
        <v>247</v>
      </c>
      <c r="Q198" t="s">
        <v>926</v>
      </c>
    </row>
    <row r="199" spans="1:17" ht="24" customHeight="1" x14ac:dyDescent="0.3">
      <c r="A199" t="s">
        <v>19</v>
      </c>
      <c r="B199" t="s">
        <v>113</v>
      </c>
      <c r="C199">
        <v>32</v>
      </c>
      <c r="D199" t="s">
        <v>812</v>
      </c>
      <c r="E199" t="s">
        <v>289</v>
      </c>
      <c r="F199">
        <v>11</v>
      </c>
      <c r="G199" t="s">
        <v>290</v>
      </c>
      <c r="H199" s="19">
        <v>5500</v>
      </c>
      <c r="I199" s="19">
        <f t="shared" si="23"/>
        <v>60500</v>
      </c>
      <c r="J199" s="19"/>
      <c r="K199" s="19">
        <f t="shared" si="24"/>
        <v>0</v>
      </c>
      <c r="L199" s="19"/>
      <c r="M199" s="19">
        <f t="shared" si="25"/>
        <v>0</v>
      </c>
      <c r="N199" s="19">
        <f t="shared" si="26"/>
        <v>5500</v>
      </c>
      <c r="O199" s="19">
        <f t="shared" si="27"/>
        <v>60500</v>
      </c>
      <c r="P199" t="s">
        <v>247</v>
      </c>
      <c r="Q199" t="s">
        <v>813</v>
      </c>
    </row>
    <row r="200" spans="1:17" ht="24" customHeight="1" x14ac:dyDescent="0.3">
      <c r="A200" t="s">
        <v>19</v>
      </c>
      <c r="B200" t="s">
        <v>113</v>
      </c>
      <c r="C200">
        <v>33</v>
      </c>
      <c r="D200" t="s">
        <v>927</v>
      </c>
      <c r="E200" t="s">
        <v>293</v>
      </c>
      <c r="F200">
        <v>11</v>
      </c>
      <c r="G200" t="s">
        <v>290</v>
      </c>
      <c r="I200" s="19">
        <f t="shared" si="23"/>
        <v>0</v>
      </c>
      <c r="J200" s="19"/>
      <c r="K200" s="19">
        <f t="shared" si="24"/>
        <v>0</v>
      </c>
      <c r="L200" s="19">
        <v>200</v>
      </c>
      <c r="M200" s="19">
        <f t="shared" si="25"/>
        <v>2200</v>
      </c>
      <c r="N200" s="19">
        <f t="shared" si="26"/>
        <v>200</v>
      </c>
      <c r="O200" s="19">
        <f t="shared" si="27"/>
        <v>2200</v>
      </c>
      <c r="P200" t="s">
        <v>247</v>
      </c>
      <c r="Q200" t="s">
        <v>818</v>
      </c>
    </row>
    <row r="201" spans="1:17" ht="24" customHeight="1" x14ac:dyDescent="0.3">
      <c r="A201" t="s">
        <v>19</v>
      </c>
      <c r="B201" t="s">
        <v>113</v>
      </c>
      <c r="C201">
        <v>34</v>
      </c>
      <c r="D201" t="s">
        <v>819</v>
      </c>
      <c r="E201" t="s">
        <v>296</v>
      </c>
      <c r="F201">
        <v>187</v>
      </c>
      <c r="G201" t="s">
        <v>171</v>
      </c>
      <c r="H201" s="19">
        <v>45000</v>
      </c>
      <c r="I201" s="19">
        <f t="shared" si="23"/>
        <v>8415000</v>
      </c>
      <c r="J201" s="19">
        <v>0</v>
      </c>
      <c r="K201" s="19">
        <f t="shared" si="24"/>
        <v>0</v>
      </c>
      <c r="L201" s="19"/>
      <c r="M201" s="19">
        <f t="shared" si="25"/>
        <v>0</v>
      </c>
      <c r="N201" s="19">
        <f t="shared" si="26"/>
        <v>45000</v>
      </c>
      <c r="O201" s="19">
        <f t="shared" si="27"/>
        <v>8415000</v>
      </c>
      <c r="P201" t="s">
        <v>247</v>
      </c>
      <c r="Q201" t="s">
        <v>820</v>
      </c>
    </row>
    <row r="202" spans="1:17" ht="24" customHeight="1" x14ac:dyDescent="0.3">
      <c r="A202" t="s">
        <v>19</v>
      </c>
      <c r="B202" t="s">
        <v>113</v>
      </c>
      <c r="C202">
        <v>35</v>
      </c>
      <c r="D202" t="s">
        <v>826</v>
      </c>
      <c r="E202" t="s">
        <v>827</v>
      </c>
      <c r="F202">
        <v>0.51</v>
      </c>
      <c r="G202" t="s">
        <v>283</v>
      </c>
      <c r="H202" s="19">
        <v>952000</v>
      </c>
      <c r="I202" s="19">
        <f t="shared" si="23"/>
        <v>485520</v>
      </c>
      <c r="J202" s="19">
        <v>0</v>
      </c>
      <c r="K202" s="19">
        <f t="shared" si="24"/>
        <v>0</v>
      </c>
      <c r="L202" s="19">
        <v>0</v>
      </c>
      <c r="M202" s="19">
        <f t="shared" si="25"/>
        <v>0</v>
      </c>
      <c r="N202" s="19">
        <f t="shared" si="26"/>
        <v>952000</v>
      </c>
      <c r="O202" s="19">
        <f t="shared" si="27"/>
        <v>485520</v>
      </c>
      <c r="Q202" t="s">
        <v>828</v>
      </c>
    </row>
    <row r="203" spans="1:17" ht="24" customHeight="1" x14ac:dyDescent="0.3">
      <c r="A203" t="s">
        <v>19</v>
      </c>
      <c r="B203" t="s">
        <v>113</v>
      </c>
      <c r="C203">
        <v>36</v>
      </c>
      <c r="D203" t="s">
        <v>928</v>
      </c>
      <c r="E203" t="s">
        <v>929</v>
      </c>
      <c r="F203">
        <v>0.58699999999999997</v>
      </c>
      <c r="G203" t="s">
        <v>283</v>
      </c>
      <c r="H203" s="19">
        <v>952000</v>
      </c>
      <c r="I203" s="19">
        <f t="shared" si="23"/>
        <v>558824</v>
      </c>
      <c r="J203" s="19">
        <v>0</v>
      </c>
      <c r="K203" s="19">
        <f t="shared" si="24"/>
        <v>0</v>
      </c>
      <c r="L203" s="19">
        <v>0</v>
      </c>
      <c r="M203" s="19">
        <f t="shared" si="25"/>
        <v>0</v>
      </c>
      <c r="N203" s="19">
        <f t="shared" si="26"/>
        <v>952000</v>
      </c>
      <c r="O203" s="19">
        <f t="shared" si="27"/>
        <v>558824</v>
      </c>
      <c r="Q203" t="s">
        <v>828</v>
      </c>
    </row>
    <row r="204" spans="1:17" ht="24" customHeight="1" x14ac:dyDescent="0.3">
      <c r="A204" t="s">
        <v>19</v>
      </c>
      <c r="B204" t="s">
        <v>113</v>
      </c>
      <c r="C204">
        <v>37</v>
      </c>
      <c r="D204" t="s">
        <v>930</v>
      </c>
      <c r="E204" t="s">
        <v>282</v>
      </c>
      <c r="F204">
        <v>1.097</v>
      </c>
      <c r="G204" t="s">
        <v>283</v>
      </c>
      <c r="I204" s="19">
        <f t="shared" si="23"/>
        <v>0</v>
      </c>
      <c r="J204" s="19"/>
      <c r="K204" s="19">
        <f t="shared" si="24"/>
        <v>0</v>
      </c>
      <c r="L204" s="19">
        <v>30000</v>
      </c>
      <c r="M204" s="19">
        <f t="shared" si="25"/>
        <v>32910</v>
      </c>
      <c r="N204" s="19">
        <f t="shared" si="26"/>
        <v>30000</v>
      </c>
      <c r="O204" s="19">
        <f t="shared" si="27"/>
        <v>32910</v>
      </c>
      <c r="P204" t="s">
        <v>247</v>
      </c>
      <c r="Q204" t="s">
        <v>836</v>
      </c>
    </row>
    <row r="205" spans="1:17" ht="24" customHeight="1" x14ac:dyDescent="0.3">
      <c r="A205" t="s">
        <v>19</v>
      </c>
      <c r="B205" t="s">
        <v>113</v>
      </c>
      <c r="C205">
        <v>38</v>
      </c>
      <c r="D205" t="s">
        <v>931</v>
      </c>
      <c r="E205" t="s">
        <v>286</v>
      </c>
      <c r="F205">
        <v>3.2000000000000001E-2</v>
      </c>
      <c r="G205" t="s">
        <v>283</v>
      </c>
      <c r="H205" s="19">
        <v>-100000</v>
      </c>
      <c r="I205" s="19">
        <f t="shared" si="23"/>
        <v>-3200</v>
      </c>
      <c r="J205" s="19"/>
      <c r="K205" s="19">
        <f t="shared" si="24"/>
        <v>0</v>
      </c>
      <c r="L205" s="19"/>
      <c r="M205" s="19">
        <f t="shared" si="25"/>
        <v>0</v>
      </c>
      <c r="N205" s="19">
        <f t="shared" si="26"/>
        <v>-100000</v>
      </c>
      <c r="O205" s="19">
        <f t="shared" si="27"/>
        <v>-3200</v>
      </c>
      <c r="P205" t="s">
        <v>247</v>
      </c>
      <c r="Q205" t="s">
        <v>838</v>
      </c>
    </row>
    <row r="206" spans="1:17" ht="24" customHeight="1" x14ac:dyDescent="0.3">
      <c r="A206" t="s">
        <v>19</v>
      </c>
      <c r="B206" t="s">
        <v>113</v>
      </c>
      <c r="C206">
        <v>39</v>
      </c>
      <c r="D206" t="s">
        <v>839</v>
      </c>
      <c r="E206" t="s">
        <v>302</v>
      </c>
      <c r="F206">
        <v>32</v>
      </c>
      <c r="G206" t="s">
        <v>171</v>
      </c>
      <c r="H206" s="19">
        <v>108000</v>
      </c>
      <c r="I206" s="19">
        <f t="shared" si="23"/>
        <v>3456000</v>
      </c>
      <c r="J206" s="19">
        <v>64674</v>
      </c>
      <c r="K206" s="19">
        <f t="shared" si="24"/>
        <v>2069568</v>
      </c>
      <c r="L206" s="19"/>
      <c r="M206" s="19">
        <f t="shared" si="25"/>
        <v>0</v>
      </c>
      <c r="N206" s="19">
        <f t="shared" si="26"/>
        <v>172674</v>
      </c>
      <c r="O206" s="19">
        <f t="shared" si="27"/>
        <v>5525568</v>
      </c>
      <c r="P206" t="s">
        <v>247</v>
      </c>
      <c r="Q206" t="s">
        <v>840</v>
      </c>
    </row>
    <row r="207" spans="1:17" ht="24" customHeight="1" x14ac:dyDescent="0.3">
      <c r="A207" t="s">
        <v>19</v>
      </c>
      <c r="B207" t="s">
        <v>113</v>
      </c>
      <c r="C207">
        <v>40</v>
      </c>
      <c r="D207" t="s">
        <v>841</v>
      </c>
      <c r="E207" t="s">
        <v>305</v>
      </c>
      <c r="F207">
        <v>15</v>
      </c>
      <c r="G207" t="s">
        <v>171</v>
      </c>
      <c r="H207" s="19">
        <v>99000</v>
      </c>
      <c r="I207" s="19">
        <f t="shared" si="23"/>
        <v>1485000</v>
      </c>
      <c r="J207" s="19">
        <v>64674</v>
      </c>
      <c r="K207" s="19">
        <f t="shared" si="24"/>
        <v>970110</v>
      </c>
      <c r="L207" s="19"/>
      <c r="M207" s="19">
        <f t="shared" si="25"/>
        <v>0</v>
      </c>
      <c r="N207" s="19">
        <f t="shared" si="26"/>
        <v>163674</v>
      </c>
      <c r="O207" s="19">
        <f t="shared" si="27"/>
        <v>2455110</v>
      </c>
      <c r="P207" t="s">
        <v>247</v>
      </c>
      <c r="Q207" t="s">
        <v>840</v>
      </c>
    </row>
    <row r="208" spans="1:17" ht="24" customHeight="1" x14ac:dyDescent="0.3">
      <c r="A208" t="s">
        <v>19</v>
      </c>
      <c r="B208" t="s">
        <v>113</v>
      </c>
      <c r="C208">
        <v>41</v>
      </c>
      <c r="D208" t="s">
        <v>932</v>
      </c>
      <c r="E208" t="s">
        <v>933</v>
      </c>
      <c r="F208">
        <v>15</v>
      </c>
      <c r="G208" t="s">
        <v>316</v>
      </c>
      <c r="H208" s="19">
        <v>65000</v>
      </c>
      <c r="I208" s="19">
        <f t="shared" si="23"/>
        <v>975000</v>
      </c>
      <c r="J208" s="19"/>
      <c r="K208" s="19">
        <f t="shared" si="24"/>
        <v>0</v>
      </c>
      <c r="L208" s="19"/>
      <c r="M208" s="19">
        <f t="shared" si="25"/>
        <v>0</v>
      </c>
      <c r="N208" s="19">
        <f t="shared" si="26"/>
        <v>65000</v>
      </c>
      <c r="O208" s="19">
        <f t="shared" si="27"/>
        <v>975000</v>
      </c>
      <c r="P208" t="s">
        <v>247</v>
      </c>
      <c r="Q208" t="s">
        <v>934</v>
      </c>
    </row>
    <row r="209" spans="1:17" ht="24" customHeight="1" x14ac:dyDescent="0.3">
      <c r="A209" t="s">
        <v>19</v>
      </c>
      <c r="B209" t="s">
        <v>113</v>
      </c>
      <c r="C209">
        <v>42</v>
      </c>
      <c r="D209" t="s">
        <v>935</v>
      </c>
      <c r="E209" t="s">
        <v>936</v>
      </c>
      <c r="F209">
        <v>2</v>
      </c>
      <c r="G209" t="s">
        <v>316</v>
      </c>
      <c r="H209" s="19">
        <v>80000</v>
      </c>
      <c r="I209" s="19">
        <f t="shared" si="23"/>
        <v>160000</v>
      </c>
      <c r="J209" s="19"/>
      <c r="K209" s="19">
        <f t="shared" si="24"/>
        <v>0</v>
      </c>
      <c r="L209" s="19"/>
      <c r="M209" s="19">
        <f t="shared" si="25"/>
        <v>0</v>
      </c>
      <c r="N209" s="19">
        <f t="shared" si="26"/>
        <v>80000</v>
      </c>
      <c r="O209" s="19">
        <f t="shared" si="27"/>
        <v>160000</v>
      </c>
      <c r="P209" t="s">
        <v>247</v>
      </c>
      <c r="Q209" t="s">
        <v>937</v>
      </c>
    </row>
    <row r="210" spans="1:17" ht="24" customHeight="1" x14ac:dyDescent="0.3">
      <c r="A210" t="s">
        <v>19</v>
      </c>
      <c r="B210" t="s">
        <v>113</v>
      </c>
      <c r="C210">
        <v>43</v>
      </c>
      <c r="D210" t="s">
        <v>938</v>
      </c>
      <c r="E210" t="s">
        <v>806</v>
      </c>
      <c r="F210">
        <v>75</v>
      </c>
      <c r="G210" t="s">
        <v>316</v>
      </c>
      <c r="H210" s="19">
        <v>120000</v>
      </c>
      <c r="I210" s="19">
        <f t="shared" si="23"/>
        <v>9000000</v>
      </c>
      <c r="J210" s="19"/>
      <c r="K210" s="19">
        <f t="shared" si="24"/>
        <v>0</v>
      </c>
      <c r="L210" s="19"/>
      <c r="M210" s="19">
        <f t="shared" si="25"/>
        <v>0</v>
      </c>
      <c r="N210" s="19">
        <f t="shared" si="26"/>
        <v>120000</v>
      </c>
      <c r="O210" s="19">
        <f t="shared" si="27"/>
        <v>9000000</v>
      </c>
      <c r="P210" t="s">
        <v>247</v>
      </c>
      <c r="Q210" t="s">
        <v>807</v>
      </c>
    </row>
    <row r="211" spans="1:17" ht="24" customHeight="1" x14ac:dyDescent="0.3">
      <c r="A211" t="s">
        <v>19</v>
      </c>
      <c r="B211" t="s">
        <v>113</v>
      </c>
      <c r="C211">
        <v>44</v>
      </c>
      <c r="D211" t="s">
        <v>874</v>
      </c>
      <c r="E211" t="s">
        <v>322</v>
      </c>
      <c r="F211">
        <v>15</v>
      </c>
      <c r="G211" t="s">
        <v>323</v>
      </c>
      <c r="H211" s="19">
        <v>0</v>
      </c>
      <c r="I211" s="19">
        <f t="shared" si="23"/>
        <v>0</v>
      </c>
      <c r="J211" s="19">
        <v>289893</v>
      </c>
      <c r="K211" s="19">
        <f t="shared" si="24"/>
        <v>4348395</v>
      </c>
      <c r="L211" s="19">
        <v>0</v>
      </c>
      <c r="M211" s="19">
        <f t="shared" si="25"/>
        <v>0</v>
      </c>
      <c r="N211" s="19">
        <f t="shared" si="26"/>
        <v>289893</v>
      </c>
      <c r="O211" s="19">
        <f t="shared" si="27"/>
        <v>4348395</v>
      </c>
      <c r="Q211" t="s">
        <v>324</v>
      </c>
    </row>
    <row r="212" spans="1:17" ht="24" customHeight="1" x14ac:dyDescent="0.3">
      <c r="A212" s="10" t="s">
        <v>19</v>
      </c>
      <c r="B212" s="10" t="s">
        <v>113</v>
      </c>
      <c r="C212" s="10"/>
      <c r="D212" s="10" t="s">
        <v>939</v>
      </c>
      <c r="E212" s="10"/>
      <c r="F212" s="10"/>
      <c r="G212" s="10"/>
      <c r="H212" s="21"/>
      <c r="I212" s="21">
        <f>SUM(I168:I211)</f>
        <v>33298803.199999999</v>
      </c>
      <c r="J212" s="21"/>
      <c r="K212" s="21">
        <f>SUM(K168:K211)</f>
        <v>66613233.700000003</v>
      </c>
      <c r="L212" s="21"/>
      <c r="M212" s="21">
        <f>SUM(M168:M211)</f>
        <v>6316593</v>
      </c>
      <c r="N212" s="21"/>
      <c r="O212" s="21">
        <f>SUM(O168:O211)</f>
        <v>106228629.90000001</v>
      </c>
      <c r="P212" s="10"/>
      <c r="Q212" s="10" t="s">
        <v>940</v>
      </c>
    </row>
    <row r="213" spans="1:17" ht="24" customHeight="1" x14ac:dyDescent="0.3">
      <c r="A213" t="s">
        <v>19</v>
      </c>
      <c r="B213" t="s">
        <v>114</v>
      </c>
      <c r="C213">
        <v>1</v>
      </c>
      <c r="D213" t="s">
        <v>673</v>
      </c>
      <c r="E213" t="s">
        <v>520</v>
      </c>
      <c r="F213">
        <v>113</v>
      </c>
      <c r="G213" t="s">
        <v>171</v>
      </c>
      <c r="H213" s="19">
        <v>0</v>
      </c>
      <c r="I213" s="19">
        <f t="shared" ref="I213:I244" si="28">F213*H213</f>
        <v>0</v>
      </c>
      <c r="J213" s="19">
        <v>33455</v>
      </c>
      <c r="K213" s="19">
        <f t="shared" ref="K213:K244" si="29">F213*J213</f>
        <v>3780415</v>
      </c>
      <c r="L213" s="19">
        <v>0</v>
      </c>
      <c r="M213" s="19">
        <f t="shared" ref="M213:M244" si="30">F213*L213</f>
        <v>0</v>
      </c>
      <c r="N213" s="19">
        <f t="shared" ref="N213:N244" si="31">H213+J213+L213</f>
        <v>33455</v>
      </c>
      <c r="O213" s="19">
        <f t="shared" ref="O213:O244" si="32">I213+K213+M213</f>
        <v>3780415</v>
      </c>
      <c r="Q213" t="s">
        <v>214</v>
      </c>
    </row>
    <row r="214" spans="1:17" ht="24" customHeight="1" x14ac:dyDescent="0.3">
      <c r="A214" t="s">
        <v>19</v>
      </c>
      <c r="B214" t="s">
        <v>114</v>
      </c>
      <c r="C214">
        <v>2</v>
      </c>
      <c r="D214" t="s">
        <v>674</v>
      </c>
      <c r="E214" t="s">
        <v>213</v>
      </c>
      <c r="F214">
        <v>1901</v>
      </c>
      <c r="G214" t="s">
        <v>171</v>
      </c>
      <c r="H214" s="19">
        <v>447</v>
      </c>
      <c r="I214" s="19">
        <f t="shared" si="28"/>
        <v>849747</v>
      </c>
      <c r="J214" s="19">
        <v>955</v>
      </c>
      <c r="K214" s="19">
        <f t="shared" si="29"/>
        <v>1815455</v>
      </c>
      <c r="L214" s="19">
        <v>336</v>
      </c>
      <c r="M214" s="19">
        <f t="shared" si="30"/>
        <v>638736</v>
      </c>
      <c r="N214" s="19">
        <f t="shared" si="31"/>
        <v>1738</v>
      </c>
      <c r="O214" s="19">
        <f t="shared" si="32"/>
        <v>3303938</v>
      </c>
      <c r="Q214" t="s">
        <v>172</v>
      </c>
    </row>
    <row r="215" spans="1:17" ht="24" customHeight="1" x14ac:dyDescent="0.3">
      <c r="A215" t="s">
        <v>19</v>
      </c>
      <c r="B215" t="s">
        <v>114</v>
      </c>
      <c r="C215">
        <v>3</v>
      </c>
      <c r="D215" t="s">
        <v>877</v>
      </c>
      <c r="E215" t="s">
        <v>522</v>
      </c>
      <c r="F215">
        <v>106</v>
      </c>
      <c r="G215" t="s">
        <v>171</v>
      </c>
      <c r="H215" s="19">
        <v>608</v>
      </c>
      <c r="I215" s="19">
        <f t="shared" si="28"/>
        <v>64448</v>
      </c>
      <c r="J215" s="19">
        <v>9980</v>
      </c>
      <c r="K215" s="19">
        <f t="shared" si="29"/>
        <v>1057880</v>
      </c>
      <c r="L215" s="19">
        <v>440</v>
      </c>
      <c r="M215" s="19">
        <f t="shared" si="30"/>
        <v>46640</v>
      </c>
      <c r="N215" s="19">
        <f t="shared" si="31"/>
        <v>11028</v>
      </c>
      <c r="O215" s="19">
        <f t="shared" si="32"/>
        <v>1168968</v>
      </c>
      <c r="Q215" t="s">
        <v>878</v>
      </c>
    </row>
    <row r="216" spans="1:17" ht="24" customHeight="1" x14ac:dyDescent="0.3">
      <c r="A216" t="s">
        <v>19</v>
      </c>
      <c r="B216" t="s">
        <v>114</v>
      </c>
      <c r="C216">
        <v>4</v>
      </c>
      <c r="D216" t="s">
        <v>941</v>
      </c>
      <c r="E216" t="s">
        <v>216</v>
      </c>
      <c r="F216">
        <v>1828</v>
      </c>
      <c r="G216" t="s">
        <v>171</v>
      </c>
      <c r="H216" s="19">
        <v>1652</v>
      </c>
      <c r="I216" s="19">
        <f t="shared" si="28"/>
        <v>3019856</v>
      </c>
      <c r="J216" s="19">
        <v>3924</v>
      </c>
      <c r="K216" s="19">
        <f t="shared" si="29"/>
        <v>7173072</v>
      </c>
      <c r="L216" s="19">
        <v>1432</v>
      </c>
      <c r="M216" s="19">
        <f t="shared" si="30"/>
        <v>2617696</v>
      </c>
      <c r="N216" s="19">
        <f t="shared" si="31"/>
        <v>7008</v>
      </c>
      <c r="O216" s="19">
        <f t="shared" si="32"/>
        <v>12810624</v>
      </c>
      <c r="Q216" t="s">
        <v>878</v>
      </c>
    </row>
    <row r="217" spans="1:17" ht="24" customHeight="1" x14ac:dyDescent="0.3">
      <c r="A217" t="s">
        <v>19</v>
      </c>
      <c r="B217" t="s">
        <v>114</v>
      </c>
      <c r="C217">
        <v>5</v>
      </c>
      <c r="D217" t="s">
        <v>679</v>
      </c>
      <c r="E217" t="s">
        <v>494</v>
      </c>
      <c r="F217">
        <v>80</v>
      </c>
      <c r="G217" t="s">
        <v>171</v>
      </c>
      <c r="H217" s="19">
        <v>447</v>
      </c>
      <c r="I217" s="19">
        <f t="shared" si="28"/>
        <v>35760</v>
      </c>
      <c r="J217" s="19">
        <v>955</v>
      </c>
      <c r="K217" s="19">
        <f t="shared" si="29"/>
        <v>76400</v>
      </c>
      <c r="L217" s="19">
        <v>336</v>
      </c>
      <c r="M217" s="19">
        <f t="shared" si="30"/>
        <v>26880</v>
      </c>
      <c r="N217" s="19">
        <f t="shared" si="31"/>
        <v>1738</v>
      </c>
      <c r="O217" s="19">
        <f t="shared" si="32"/>
        <v>139040</v>
      </c>
      <c r="Q217" t="s">
        <v>172</v>
      </c>
    </row>
    <row r="218" spans="1:17" ht="24" customHeight="1" x14ac:dyDescent="0.3">
      <c r="A218" t="s">
        <v>19</v>
      </c>
      <c r="B218" t="s">
        <v>114</v>
      </c>
      <c r="C218">
        <v>6</v>
      </c>
      <c r="D218" t="s">
        <v>942</v>
      </c>
      <c r="E218" t="s">
        <v>525</v>
      </c>
      <c r="F218">
        <v>135</v>
      </c>
      <c r="G218" t="s">
        <v>199</v>
      </c>
      <c r="I218" s="19">
        <f t="shared" si="28"/>
        <v>0</v>
      </c>
      <c r="J218" s="19"/>
      <c r="K218" s="19">
        <f t="shared" si="29"/>
        <v>0</v>
      </c>
      <c r="L218" s="19"/>
      <c r="M218" s="19">
        <f t="shared" si="30"/>
        <v>0</v>
      </c>
      <c r="N218" s="19">
        <f t="shared" si="31"/>
        <v>0</v>
      </c>
      <c r="O218" s="19">
        <f t="shared" si="32"/>
        <v>0</v>
      </c>
      <c r="P218" t="s">
        <v>159</v>
      </c>
      <c r="Q218" t="s">
        <v>943</v>
      </c>
    </row>
    <row r="219" spans="1:17" ht="24" customHeight="1" x14ac:dyDescent="0.3">
      <c r="A219" t="s">
        <v>19</v>
      </c>
      <c r="B219" t="s">
        <v>114</v>
      </c>
      <c r="C219">
        <v>7</v>
      </c>
      <c r="D219" t="s">
        <v>944</v>
      </c>
      <c r="E219" t="s">
        <v>945</v>
      </c>
      <c r="F219">
        <v>784</v>
      </c>
      <c r="G219" t="s">
        <v>199</v>
      </c>
      <c r="I219" s="19">
        <f t="shared" si="28"/>
        <v>0</v>
      </c>
      <c r="J219" s="19"/>
      <c r="K219" s="19">
        <f t="shared" si="29"/>
        <v>0</v>
      </c>
      <c r="L219" s="19"/>
      <c r="M219" s="19">
        <f t="shared" si="30"/>
        <v>0</v>
      </c>
      <c r="N219" s="19">
        <f t="shared" si="31"/>
        <v>0</v>
      </c>
      <c r="O219" s="19">
        <f t="shared" si="32"/>
        <v>0</v>
      </c>
      <c r="P219" t="s">
        <v>159</v>
      </c>
      <c r="Q219" t="s">
        <v>946</v>
      </c>
    </row>
    <row r="220" spans="1:17" ht="24" customHeight="1" x14ac:dyDescent="0.3">
      <c r="A220" t="s">
        <v>19</v>
      </c>
      <c r="B220" t="s">
        <v>114</v>
      </c>
      <c r="C220">
        <v>8</v>
      </c>
      <c r="D220" t="s">
        <v>947</v>
      </c>
      <c r="E220" t="s">
        <v>528</v>
      </c>
      <c r="F220">
        <v>17</v>
      </c>
      <c r="G220" t="s">
        <v>233</v>
      </c>
      <c r="H220" s="19">
        <v>239</v>
      </c>
      <c r="I220" s="19">
        <f t="shared" si="28"/>
        <v>4063</v>
      </c>
      <c r="J220" s="19">
        <v>11694</v>
      </c>
      <c r="K220" s="19">
        <f t="shared" si="29"/>
        <v>198798</v>
      </c>
      <c r="L220" s="19">
        <v>0</v>
      </c>
      <c r="M220" s="19">
        <f t="shared" si="30"/>
        <v>0</v>
      </c>
      <c r="N220" s="19">
        <f t="shared" si="31"/>
        <v>11933</v>
      </c>
      <c r="O220" s="19">
        <f t="shared" si="32"/>
        <v>202861</v>
      </c>
      <c r="Q220" t="s">
        <v>528</v>
      </c>
    </row>
    <row r="221" spans="1:17" ht="24" customHeight="1" x14ac:dyDescent="0.3">
      <c r="A221" t="s">
        <v>19</v>
      </c>
      <c r="B221" t="s">
        <v>114</v>
      </c>
      <c r="C221">
        <v>9</v>
      </c>
      <c r="D221" t="s">
        <v>948</v>
      </c>
      <c r="E221" t="s">
        <v>881</v>
      </c>
      <c r="F221">
        <v>59</v>
      </c>
      <c r="G221" t="s">
        <v>233</v>
      </c>
      <c r="H221" s="19">
        <v>358</v>
      </c>
      <c r="I221" s="19">
        <f t="shared" si="28"/>
        <v>21122</v>
      </c>
      <c r="J221" s="19">
        <v>17540</v>
      </c>
      <c r="K221" s="19">
        <f t="shared" si="29"/>
        <v>1034860</v>
      </c>
      <c r="L221" s="19">
        <v>0</v>
      </c>
      <c r="M221" s="19">
        <f t="shared" si="30"/>
        <v>0</v>
      </c>
      <c r="N221" s="19">
        <f t="shared" si="31"/>
        <v>17898</v>
      </c>
      <c r="O221" s="19">
        <f t="shared" si="32"/>
        <v>1055982</v>
      </c>
      <c r="Q221" t="s">
        <v>881</v>
      </c>
    </row>
    <row r="222" spans="1:17" ht="24" customHeight="1" x14ac:dyDescent="0.3">
      <c r="A222" t="s">
        <v>19</v>
      </c>
      <c r="B222" t="s">
        <v>114</v>
      </c>
      <c r="C222">
        <v>10</v>
      </c>
      <c r="D222" t="s">
        <v>949</v>
      </c>
      <c r="E222" t="s">
        <v>528</v>
      </c>
      <c r="F222">
        <v>33</v>
      </c>
      <c r="G222" t="s">
        <v>233</v>
      </c>
      <c r="H222" s="19">
        <v>311</v>
      </c>
      <c r="I222" s="19">
        <f t="shared" si="28"/>
        <v>10263</v>
      </c>
      <c r="J222" s="19">
        <v>15201</v>
      </c>
      <c r="K222" s="19">
        <f t="shared" si="29"/>
        <v>501633</v>
      </c>
      <c r="L222" s="19">
        <v>0</v>
      </c>
      <c r="M222" s="19">
        <f t="shared" si="30"/>
        <v>0</v>
      </c>
      <c r="N222" s="19">
        <f t="shared" si="31"/>
        <v>15512</v>
      </c>
      <c r="O222" s="19">
        <f t="shared" si="32"/>
        <v>511896</v>
      </c>
      <c r="Q222" t="s">
        <v>530</v>
      </c>
    </row>
    <row r="223" spans="1:17" ht="24" customHeight="1" x14ac:dyDescent="0.3">
      <c r="A223" t="s">
        <v>19</v>
      </c>
      <c r="B223" t="s">
        <v>114</v>
      </c>
      <c r="C223">
        <v>11</v>
      </c>
      <c r="D223" t="s">
        <v>950</v>
      </c>
      <c r="E223" t="s">
        <v>881</v>
      </c>
      <c r="F223">
        <v>76</v>
      </c>
      <c r="G223" t="s">
        <v>233</v>
      </c>
      <c r="H223" s="19">
        <v>466</v>
      </c>
      <c r="I223" s="19">
        <f t="shared" si="28"/>
        <v>35416</v>
      </c>
      <c r="J223" s="19">
        <v>22801</v>
      </c>
      <c r="K223" s="19">
        <f t="shared" si="29"/>
        <v>1732876</v>
      </c>
      <c r="L223" s="19">
        <v>0</v>
      </c>
      <c r="M223" s="19">
        <f t="shared" si="30"/>
        <v>0</v>
      </c>
      <c r="N223" s="19">
        <f t="shared" si="31"/>
        <v>23267</v>
      </c>
      <c r="O223" s="19">
        <f t="shared" si="32"/>
        <v>1768292</v>
      </c>
      <c r="Q223" t="s">
        <v>530</v>
      </c>
    </row>
    <row r="224" spans="1:17" ht="24" customHeight="1" x14ac:dyDescent="0.3">
      <c r="A224" t="s">
        <v>19</v>
      </c>
      <c r="B224" t="s">
        <v>114</v>
      </c>
      <c r="C224">
        <v>12</v>
      </c>
      <c r="D224" t="s">
        <v>951</v>
      </c>
      <c r="E224" t="s">
        <v>528</v>
      </c>
      <c r="F224">
        <v>12</v>
      </c>
      <c r="G224" t="s">
        <v>233</v>
      </c>
      <c r="H224" s="19">
        <v>331</v>
      </c>
      <c r="I224" s="19">
        <f t="shared" si="28"/>
        <v>3972</v>
      </c>
      <c r="J224" s="19">
        <v>16570</v>
      </c>
      <c r="K224" s="19">
        <f t="shared" si="29"/>
        <v>198840</v>
      </c>
      <c r="L224" s="19">
        <v>0</v>
      </c>
      <c r="M224" s="19">
        <f t="shared" si="30"/>
        <v>0</v>
      </c>
      <c r="N224" s="19">
        <f t="shared" si="31"/>
        <v>16901</v>
      </c>
      <c r="O224" s="19">
        <f t="shared" si="32"/>
        <v>202812</v>
      </c>
      <c r="Q224" t="s">
        <v>952</v>
      </c>
    </row>
    <row r="225" spans="1:17" ht="24" customHeight="1" x14ac:dyDescent="0.3">
      <c r="A225" t="s">
        <v>19</v>
      </c>
      <c r="B225" t="s">
        <v>114</v>
      </c>
      <c r="C225">
        <v>13</v>
      </c>
      <c r="D225" t="s">
        <v>953</v>
      </c>
      <c r="E225" t="s">
        <v>881</v>
      </c>
      <c r="F225">
        <v>33</v>
      </c>
      <c r="G225" t="s">
        <v>233</v>
      </c>
      <c r="H225" s="19">
        <v>2000</v>
      </c>
      <c r="I225" s="19">
        <f t="shared" si="28"/>
        <v>66000</v>
      </c>
      <c r="J225" s="19">
        <v>37989</v>
      </c>
      <c r="K225" s="19">
        <f t="shared" si="29"/>
        <v>1253637</v>
      </c>
      <c r="L225" s="19">
        <v>0</v>
      </c>
      <c r="M225" s="19">
        <f t="shared" si="30"/>
        <v>0</v>
      </c>
      <c r="N225" s="19">
        <f t="shared" si="31"/>
        <v>39989</v>
      </c>
      <c r="O225" s="19">
        <f t="shared" si="32"/>
        <v>1319637</v>
      </c>
      <c r="Q225" t="s">
        <v>881</v>
      </c>
    </row>
    <row r="226" spans="1:17" ht="24" customHeight="1" x14ac:dyDescent="0.3">
      <c r="A226" t="s">
        <v>19</v>
      </c>
      <c r="B226" t="s">
        <v>114</v>
      </c>
      <c r="C226">
        <v>14</v>
      </c>
      <c r="D226" t="s">
        <v>954</v>
      </c>
      <c r="E226" t="s">
        <v>528</v>
      </c>
      <c r="F226">
        <v>57</v>
      </c>
      <c r="G226" t="s">
        <v>233</v>
      </c>
      <c r="H226" s="19">
        <v>1818</v>
      </c>
      <c r="I226" s="19">
        <f t="shared" si="28"/>
        <v>103626</v>
      </c>
      <c r="J226" s="19">
        <v>34539</v>
      </c>
      <c r="K226" s="19">
        <f t="shared" si="29"/>
        <v>1968723</v>
      </c>
      <c r="L226" s="19">
        <v>0</v>
      </c>
      <c r="M226" s="19">
        <f t="shared" si="30"/>
        <v>0</v>
      </c>
      <c r="N226" s="19">
        <f t="shared" si="31"/>
        <v>36357</v>
      </c>
      <c r="O226" s="19">
        <f t="shared" si="32"/>
        <v>2072349</v>
      </c>
      <c r="Q226" t="s">
        <v>955</v>
      </c>
    </row>
    <row r="227" spans="1:17" ht="24" customHeight="1" x14ac:dyDescent="0.3">
      <c r="A227" t="s">
        <v>19</v>
      </c>
      <c r="B227" t="s">
        <v>114</v>
      </c>
      <c r="C227">
        <v>15</v>
      </c>
      <c r="D227" t="s">
        <v>956</v>
      </c>
      <c r="E227" t="s">
        <v>881</v>
      </c>
      <c r="F227">
        <v>18</v>
      </c>
      <c r="G227" t="s">
        <v>233</v>
      </c>
      <c r="H227" s="19">
        <v>2000</v>
      </c>
      <c r="I227" s="19">
        <f t="shared" si="28"/>
        <v>36000</v>
      </c>
      <c r="J227" s="19">
        <v>37989</v>
      </c>
      <c r="K227" s="19">
        <f t="shared" si="29"/>
        <v>683802</v>
      </c>
      <c r="L227" s="19">
        <v>0</v>
      </c>
      <c r="M227" s="19">
        <f t="shared" si="30"/>
        <v>0</v>
      </c>
      <c r="N227" s="19">
        <f t="shared" si="31"/>
        <v>39989</v>
      </c>
      <c r="O227" s="19">
        <f t="shared" si="32"/>
        <v>719802</v>
      </c>
      <c r="Q227" t="s">
        <v>955</v>
      </c>
    </row>
    <row r="228" spans="1:17" ht="24" customHeight="1" x14ac:dyDescent="0.3">
      <c r="A228" t="s">
        <v>19</v>
      </c>
      <c r="B228" t="s">
        <v>114</v>
      </c>
      <c r="C228">
        <v>16</v>
      </c>
      <c r="D228" t="s">
        <v>957</v>
      </c>
      <c r="E228" t="s">
        <v>958</v>
      </c>
      <c r="F228">
        <v>32</v>
      </c>
      <c r="G228" t="s">
        <v>199</v>
      </c>
      <c r="H228" s="19">
        <v>3450</v>
      </c>
      <c r="I228" s="19">
        <f t="shared" si="28"/>
        <v>110400</v>
      </c>
      <c r="J228" s="19">
        <v>0</v>
      </c>
      <c r="K228" s="19">
        <f t="shared" si="29"/>
        <v>0</v>
      </c>
      <c r="L228" s="19">
        <v>0</v>
      </c>
      <c r="M228" s="19">
        <f t="shared" si="30"/>
        <v>0</v>
      </c>
      <c r="N228" s="19">
        <f t="shared" si="31"/>
        <v>3450</v>
      </c>
      <c r="O228" s="19">
        <f t="shared" si="32"/>
        <v>110400</v>
      </c>
      <c r="Q228" t="s">
        <v>799</v>
      </c>
    </row>
    <row r="229" spans="1:17" ht="24" customHeight="1" x14ac:dyDescent="0.3">
      <c r="A229" t="s">
        <v>19</v>
      </c>
      <c r="B229" t="s">
        <v>114</v>
      </c>
      <c r="C229">
        <v>17</v>
      </c>
      <c r="D229" t="s">
        <v>959</v>
      </c>
      <c r="E229" t="s">
        <v>798</v>
      </c>
      <c r="F229">
        <v>49</v>
      </c>
      <c r="G229" t="s">
        <v>199</v>
      </c>
      <c r="H229" s="19">
        <v>2270</v>
      </c>
      <c r="I229" s="19">
        <f t="shared" si="28"/>
        <v>111230</v>
      </c>
      <c r="J229" s="19">
        <v>0</v>
      </c>
      <c r="K229" s="19">
        <f t="shared" si="29"/>
        <v>0</v>
      </c>
      <c r="L229" s="19">
        <v>0</v>
      </c>
      <c r="M229" s="19">
        <f t="shared" si="30"/>
        <v>0</v>
      </c>
      <c r="N229" s="19">
        <f t="shared" si="31"/>
        <v>2270</v>
      </c>
      <c r="O229" s="19">
        <f t="shared" si="32"/>
        <v>111230</v>
      </c>
      <c r="Q229" t="s">
        <v>799</v>
      </c>
    </row>
    <row r="230" spans="1:17" ht="24" customHeight="1" x14ac:dyDescent="0.3">
      <c r="A230" t="s">
        <v>19</v>
      </c>
      <c r="B230" t="s">
        <v>114</v>
      </c>
      <c r="C230">
        <v>18</v>
      </c>
      <c r="D230" t="s">
        <v>960</v>
      </c>
      <c r="E230" t="s">
        <v>958</v>
      </c>
      <c r="F230">
        <v>6</v>
      </c>
      <c r="G230" t="s">
        <v>233</v>
      </c>
      <c r="I230" s="19">
        <f t="shared" si="28"/>
        <v>0</v>
      </c>
      <c r="J230" s="19"/>
      <c r="K230" s="19">
        <f t="shared" si="29"/>
        <v>0</v>
      </c>
      <c r="L230" s="19"/>
      <c r="M230" s="19">
        <f t="shared" si="30"/>
        <v>0</v>
      </c>
      <c r="N230" s="19">
        <f t="shared" si="31"/>
        <v>0</v>
      </c>
      <c r="O230" s="19">
        <f t="shared" si="32"/>
        <v>0</v>
      </c>
      <c r="P230" t="s">
        <v>159</v>
      </c>
      <c r="Q230" t="s">
        <v>961</v>
      </c>
    </row>
    <row r="231" spans="1:17" ht="24" customHeight="1" x14ac:dyDescent="0.3">
      <c r="A231" t="s">
        <v>19</v>
      </c>
      <c r="B231" t="s">
        <v>114</v>
      </c>
      <c r="C231">
        <v>19</v>
      </c>
      <c r="D231" t="s">
        <v>962</v>
      </c>
      <c r="E231" t="s">
        <v>798</v>
      </c>
      <c r="F231">
        <v>16</v>
      </c>
      <c r="G231" t="s">
        <v>233</v>
      </c>
      <c r="I231" s="19">
        <f t="shared" si="28"/>
        <v>0</v>
      </c>
      <c r="J231" s="19"/>
      <c r="K231" s="19">
        <f t="shared" si="29"/>
        <v>0</v>
      </c>
      <c r="L231" s="19"/>
      <c r="M231" s="19">
        <f t="shared" si="30"/>
        <v>0</v>
      </c>
      <c r="N231" s="19">
        <f t="shared" si="31"/>
        <v>0</v>
      </c>
      <c r="O231" s="19">
        <f t="shared" si="32"/>
        <v>0</v>
      </c>
      <c r="P231" t="s">
        <v>159</v>
      </c>
      <c r="Q231" t="s">
        <v>801</v>
      </c>
    </row>
    <row r="232" spans="1:17" ht="24" customHeight="1" x14ac:dyDescent="0.3">
      <c r="A232" t="s">
        <v>19</v>
      </c>
      <c r="B232" t="s">
        <v>114</v>
      </c>
      <c r="C232">
        <v>20</v>
      </c>
      <c r="D232" t="s">
        <v>963</v>
      </c>
      <c r="E232" t="s">
        <v>958</v>
      </c>
      <c r="F232">
        <v>12</v>
      </c>
      <c r="G232" t="s">
        <v>233</v>
      </c>
      <c r="I232" s="19">
        <f t="shared" si="28"/>
        <v>0</v>
      </c>
      <c r="J232" s="19"/>
      <c r="K232" s="19">
        <f t="shared" si="29"/>
        <v>0</v>
      </c>
      <c r="L232" s="19"/>
      <c r="M232" s="19">
        <f t="shared" si="30"/>
        <v>0</v>
      </c>
      <c r="N232" s="19">
        <f t="shared" si="31"/>
        <v>0</v>
      </c>
      <c r="O232" s="19">
        <f t="shared" si="32"/>
        <v>0</v>
      </c>
      <c r="P232" t="s">
        <v>159</v>
      </c>
      <c r="Q232" t="s">
        <v>964</v>
      </c>
    </row>
    <row r="233" spans="1:17" ht="24" customHeight="1" x14ac:dyDescent="0.3">
      <c r="A233" t="s">
        <v>19</v>
      </c>
      <c r="B233" t="s">
        <v>114</v>
      </c>
      <c r="C233">
        <v>21</v>
      </c>
      <c r="D233" t="s">
        <v>965</v>
      </c>
      <c r="E233" t="s">
        <v>798</v>
      </c>
      <c r="F233">
        <v>32</v>
      </c>
      <c r="G233" t="s">
        <v>233</v>
      </c>
      <c r="I233" s="19">
        <f t="shared" si="28"/>
        <v>0</v>
      </c>
      <c r="J233" s="19"/>
      <c r="K233" s="19">
        <f t="shared" si="29"/>
        <v>0</v>
      </c>
      <c r="L233" s="19"/>
      <c r="M233" s="19">
        <f t="shared" si="30"/>
        <v>0</v>
      </c>
      <c r="N233" s="19">
        <f t="shared" si="31"/>
        <v>0</v>
      </c>
      <c r="O233" s="19">
        <f t="shared" si="32"/>
        <v>0</v>
      </c>
      <c r="P233" t="s">
        <v>159</v>
      </c>
      <c r="Q233" t="s">
        <v>966</v>
      </c>
    </row>
    <row r="234" spans="1:17" ht="24" customHeight="1" x14ac:dyDescent="0.3">
      <c r="A234" t="s">
        <v>19</v>
      </c>
      <c r="B234" t="s">
        <v>114</v>
      </c>
      <c r="C234">
        <v>22</v>
      </c>
      <c r="D234" t="s">
        <v>967</v>
      </c>
      <c r="E234" t="s">
        <v>958</v>
      </c>
      <c r="F234">
        <v>3</v>
      </c>
      <c r="G234" t="s">
        <v>233</v>
      </c>
      <c r="I234" s="19">
        <f t="shared" si="28"/>
        <v>0</v>
      </c>
      <c r="J234" s="19"/>
      <c r="K234" s="19">
        <f t="shared" si="29"/>
        <v>0</v>
      </c>
      <c r="L234" s="19"/>
      <c r="M234" s="19">
        <f t="shared" si="30"/>
        <v>0</v>
      </c>
      <c r="N234" s="19">
        <f t="shared" si="31"/>
        <v>0</v>
      </c>
      <c r="O234" s="19">
        <f t="shared" si="32"/>
        <v>0</v>
      </c>
      <c r="P234" t="s">
        <v>159</v>
      </c>
      <c r="Q234" t="s">
        <v>968</v>
      </c>
    </row>
    <row r="235" spans="1:17" ht="24" customHeight="1" x14ac:dyDescent="0.3">
      <c r="A235" t="s">
        <v>19</v>
      </c>
      <c r="B235" t="s">
        <v>114</v>
      </c>
      <c r="C235">
        <v>23</v>
      </c>
      <c r="D235" t="s">
        <v>969</v>
      </c>
      <c r="E235" t="s">
        <v>798</v>
      </c>
      <c r="F235">
        <v>8</v>
      </c>
      <c r="G235" t="s">
        <v>233</v>
      </c>
      <c r="I235" s="19">
        <f t="shared" si="28"/>
        <v>0</v>
      </c>
      <c r="J235" s="19"/>
      <c r="K235" s="19">
        <f t="shared" si="29"/>
        <v>0</v>
      </c>
      <c r="L235" s="19"/>
      <c r="M235" s="19">
        <f t="shared" si="30"/>
        <v>0</v>
      </c>
      <c r="N235" s="19">
        <f t="shared" si="31"/>
        <v>0</v>
      </c>
      <c r="O235" s="19">
        <f t="shared" si="32"/>
        <v>0</v>
      </c>
      <c r="P235" t="s">
        <v>159</v>
      </c>
      <c r="Q235" t="s">
        <v>970</v>
      </c>
    </row>
    <row r="236" spans="1:17" ht="24" customHeight="1" x14ac:dyDescent="0.3">
      <c r="A236" t="s">
        <v>19</v>
      </c>
      <c r="B236" t="s">
        <v>114</v>
      </c>
      <c r="C236">
        <v>24</v>
      </c>
      <c r="D236" t="s">
        <v>971</v>
      </c>
      <c r="E236" t="s">
        <v>972</v>
      </c>
      <c r="F236">
        <v>2</v>
      </c>
      <c r="G236" t="s">
        <v>233</v>
      </c>
      <c r="H236" s="19">
        <v>18553</v>
      </c>
      <c r="I236" s="19">
        <f t="shared" si="28"/>
        <v>37106</v>
      </c>
      <c r="J236" s="19">
        <v>183243</v>
      </c>
      <c r="K236" s="19">
        <f t="shared" si="29"/>
        <v>366486</v>
      </c>
      <c r="L236" s="19">
        <v>12895</v>
      </c>
      <c r="M236" s="19">
        <f t="shared" si="30"/>
        <v>25790</v>
      </c>
      <c r="N236" s="19">
        <f t="shared" si="31"/>
        <v>214691</v>
      </c>
      <c r="O236" s="19">
        <f t="shared" si="32"/>
        <v>429382</v>
      </c>
      <c r="Q236" t="s">
        <v>973</v>
      </c>
    </row>
    <row r="237" spans="1:17" ht="24" customHeight="1" x14ac:dyDescent="0.3">
      <c r="A237" t="s">
        <v>19</v>
      </c>
      <c r="B237" t="s">
        <v>114</v>
      </c>
      <c r="C237">
        <v>25</v>
      </c>
      <c r="D237" t="s">
        <v>974</v>
      </c>
      <c r="E237" t="s">
        <v>975</v>
      </c>
      <c r="F237">
        <v>1</v>
      </c>
      <c r="G237" t="s">
        <v>233</v>
      </c>
      <c r="H237" s="19">
        <v>20742</v>
      </c>
      <c r="I237" s="19">
        <f t="shared" si="28"/>
        <v>20742</v>
      </c>
      <c r="J237" s="19">
        <v>210995</v>
      </c>
      <c r="K237" s="19">
        <f t="shared" si="29"/>
        <v>210995</v>
      </c>
      <c r="L237" s="19">
        <v>13451</v>
      </c>
      <c r="M237" s="19">
        <f t="shared" si="30"/>
        <v>13451</v>
      </c>
      <c r="N237" s="19">
        <f t="shared" si="31"/>
        <v>245188</v>
      </c>
      <c r="O237" s="19">
        <f t="shared" si="32"/>
        <v>245188</v>
      </c>
      <c r="Q237" t="s">
        <v>973</v>
      </c>
    </row>
    <row r="238" spans="1:17" ht="24" customHeight="1" x14ac:dyDescent="0.3">
      <c r="A238" t="s">
        <v>19</v>
      </c>
      <c r="B238" t="s">
        <v>114</v>
      </c>
      <c r="C238">
        <v>26</v>
      </c>
      <c r="D238" t="s">
        <v>976</v>
      </c>
      <c r="E238" t="s">
        <v>977</v>
      </c>
      <c r="F238">
        <v>8</v>
      </c>
      <c r="G238" t="s">
        <v>233</v>
      </c>
      <c r="H238" s="19">
        <v>20742</v>
      </c>
      <c r="I238" s="19">
        <f t="shared" si="28"/>
        <v>165936</v>
      </c>
      <c r="J238" s="19">
        <v>210995</v>
      </c>
      <c r="K238" s="19">
        <f t="shared" si="29"/>
        <v>1687960</v>
      </c>
      <c r="L238" s="19">
        <v>13451</v>
      </c>
      <c r="M238" s="19">
        <f t="shared" si="30"/>
        <v>107608</v>
      </c>
      <c r="N238" s="19">
        <f t="shared" si="31"/>
        <v>245188</v>
      </c>
      <c r="O238" s="19">
        <f t="shared" si="32"/>
        <v>1961504</v>
      </c>
      <c r="Q238" t="s">
        <v>973</v>
      </c>
    </row>
    <row r="239" spans="1:17" ht="24" customHeight="1" x14ac:dyDescent="0.3">
      <c r="A239" t="s">
        <v>19</v>
      </c>
      <c r="B239" t="s">
        <v>114</v>
      </c>
      <c r="C239">
        <v>27</v>
      </c>
      <c r="D239" t="s">
        <v>978</v>
      </c>
      <c r="E239" t="s">
        <v>979</v>
      </c>
      <c r="F239">
        <v>3</v>
      </c>
      <c r="G239" t="s">
        <v>233</v>
      </c>
      <c r="H239" s="19">
        <v>1105</v>
      </c>
      <c r="I239" s="19">
        <f t="shared" si="28"/>
        <v>3315</v>
      </c>
      <c r="J239" s="19">
        <v>16462</v>
      </c>
      <c r="K239" s="19">
        <f t="shared" si="29"/>
        <v>49386</v>
      </c>
      <c r="L239" s="19">
        <v>1653</v>
      </c>
      <c r="M239" s="19">
        <f t="shared" si="30"/>
        <v>4959</v>
      </c>
      <c r="N239" s="19">
        <f t="shared" si="31"/>
        <v>19220</v>
      </c>
      <c r="O239" s="19">
        <f t="shared" si="32"/>
        <v>57660</v>
      </c>
      <c r="P239" t="s">
        <v>247</v>
      </c>
      <c r="Q239" t="s">
        <v>980</v>
      </c>
    </row>
    <row r="240" spans="1:17" ht="24" customHeight="1" x14ac:dyDescent="0.3">
      <c r="A240" t="s">
        <v>19</v>
      </c>
      <c r="B240" t="s">
        <v>114</v>
      </c>
      <c r="C240">
        <v>28</v>
      </c>
      <c r="D240" t="s">
        <v>981</v>
      </c>
      <c r="E240" t="s">
        <v>982</v>
      </c>
      <c r="F240">
        <v>8</v>
      </c>
      <c r="G240" t="s">
        <v>233</v>
      </c>
      <c r="H240" s="19">
        <v>144</v>
      </c>
      <c r="I240" s="19">
        <f t="shared" si="28"/>
        <v>1152</v>
      </c>
      <c r="J240" s="19">
        <v>14444</v>
      </c>
      <c r="K240" s="19">
        <f t="shared" si="29"/>
        <v>115552</v>
      </c>
      <c r="L240" s="19"/>
      <c r="M240" s="19">
        <f t="shared" si="30"/>
        <v>0</v>
      </c>
      <c r="N240" s="19">
        <f t="shared" si="31"/>
        <v>14588</v>
      </c>
      <c r="O240" s="19">
        <f t="shared" si="32"/>
        <v>116704</v>
      </c>
      <c r="P240" t="s">
        <v>247</v>
      </c>
      <c r="Q240" t="s">
        <v>980</v>
      </c>
    </row>
    <row r="241" spans="1:17" ht="24" customHeight="1" x14ac:dyDescent="0.3">
      <c r="A241" t="s">
        <v>19</v>
      </c>
      <c r="B241" t="s">
        <v>114</v>
      </c>
      <c r="C241">
        <v>29</v>
      </c>
      <c r="D241" t="s">
        <v>983</v>
      </c>
      <c r="E241" t="s">
        <v>534</v>
      </c>
      <c r="F241">
        <v>11</v>
      </c>
      <c r="G241" t="s">
        <v>233</v>
      </c>
      <c r="H241" s="19">
        <v>0</v>
      </c>
      <c r="I241" s="19">
        <f t="shared" si="28"/>
        <v>0</v>
      </c>
      <c r="J241" s="19">
        <v>31637</v>
      </c>
      <c r="K241" s="19">
        <f t="shared" si="29"/>
        <v>348007</v>
      </c>
      <c r="L241" s="19">
        <v>0</v>
      </c>
      <c r="M241" s="19">
        <f t="shared" si="30"/>
        <v>0</v>
      </c>
      <c r="N241" s="19">
        <f t="shared" si="31"/>
        <v>31637</v>
      </c>
      <c r="O241" s="19">
        <f t="shared" si="32"/>
        <v>348007</v>
      </c>
      <c r="Q241" t="s">
        <v>535</v>
      </c>
    </row>
    <row r="242" spans="1:17" ht="24" customHeight="1" x14ac:dyDescent="0.3">
      <c r="A242" t="s">
        <v>19</v>
      </c>
      <c r="B242" t="s">
        <v>114</v>
      </c>
      <c r="C242">
        <v>30</v>
      </c>
      <c r="D242" t="s">
        <v>984</v>
      </c>
      <c r="E242" t="s">
        <v>926</v>
      </c>
      <c r="F242">
        <v>8</v>
      </c>
      <c r="G242" t="s">
        <v>233</v>
      </c>
      <c r="H242" s="19">
        <v>0</v>
      </c>
      <c r="I242" s="19">
        <f t="shared" si="28"/>
        <v>0</v>
      </c>
      <c r="J242" s="19">
        <v>53686</v>
      </c>
      <c r="K242" s="19">
        <f t="shared" si="29"/>
        <v>429488</v>
      </c>
      <c r="L242" s="19">
        <v>0</v>
      </c>
      <c r="M242" s="19">
        <f t="shared" si="30"/>
        <v>0</v>
      </c>
      <c r="N242" s="19">
        <f t="shared" si="31"/>
        <v>53686</v>
      </c>
      <c r="O242" s="19">
        <f t="shared" si="32"/>
        <v>429488</v>
      </c>
      <c r="Q242" t="s">
        <v>535</v>
      </c>
    </row>
    <row r="243" spans="1:17" ht="24" customHeight="1" x14ac:dyDescent="0.3">
      <c r="A243" t="s">
        <v>19</v>
      </c>
      <c r="B243" t="s">
        <v>114</v>
      </c>
      <c r="C243">
        <v>31</v>
      </c>
      <c r="D243" t="s">
        <v>985</v>
      </c>
      <c r="E243" t="s">
        <v>534</v>
      </c>
      <c r="F243">
        <v>1</v>
      </c>
      <c r="G243" t="s">
        <v>233</v>
      </c>
      <c r="H243" s="19">
        <v>0</v>
      </c>
      <c r="I243" s="19">
        <f t="shared" si="28"/>
        <v>0</v>
      </c>
      <c r="J243" s="19">
        <v>31637</v>
      </c>
      <c r="K243" s="19">
        <f t="shared" si="29"/>
        <v>31637</v>
      </c>
      <c r="L243" s="19">
        <v>0</v>
      </c>
      <c r="M243" s="19">
        <f t="shared" si="30"/>
        <v>0</v>
      </c>
      <c r="N243" s="19">
        <f t="shared" si="31"/>
        <v>31637</v>
      </c>
      <c r="O243" s="19">
        <f t="shared" si="32"/>
        <v>31637</v>
      </c>
      <c r="Q243" t="s">
        <v>535</v>
      </c>
    </row>
    <row r="244" spans="1:17" ht="24" customHeight="1" x14ac:dyDescent="0.3">
      <c r="A244" t="s">
        <v>19</v>
      </c>
      <c r="B244" t="s">
        <v>114</v>
      </c>
      <c r="C244">
        <v>32</v>
      </c>
      <c r="D244" t="s">
        <v>986</v>
      </c>
      <c r="E244" t="s">
        <v>987</v>
      </c>
      <c r="F244">
        <v>7</v>
      </c>
      <c r="G244" t="s">
        <v>233</v>
      </c>
      <c r="H244" s="19">
        <v>1818</v>
      </c>
      <c r="I244" s="19">
        <f t="shared" si="28"/>
        <v>12726</v>
      </c>
      <c r="J244" s="19">
        <v>34539</v>
      </c>
      <c r="K244" s="19">
        <f t="shared" si="29"/>
        <v>241773</v>
      </c>
      <c r="L244" s="19">
        <v>0</v>
      </c>
      <c r="M244" s="19">
        <f t="shared" si="30"/>
        <v>0</v>
      </c>
      <c r="N244" s="19">
        <f t="shared" si="31"/>
        <v>36357</v>
      </c>
      <c r="O244" s="19">
        <f t="shared" si="32"/>
        <v>254499</v>
      </c>
      <c r="Q244" t="s">
        <v>528</v>
      </c>
    </row>
    <row r="245" spans="1:17" ht="24" customHeight="1" x14ac:dyDescent="0.3">
      <c r="A245" t="s">
        <v>19</v>
      </c>
      <c r="B245" t="s">
        <v>114</v>
      </c>
      <c r="C245">
        <v>33</v>
      </c>
      <c r="D245" t="s">
        <v>988</v>
      </c>
      <c r="E245" t="s">
        <v>989</v>
      </c>
      <c r="F245">
        <v>7</v>
      </c>
      <c r="G245" t="s">
        <v>233</v>
      </c>
      <c r="H245" s="19">
        <v>75000</v>
      </c>
      <c r="I245" s="19">
        <f t="shared" ref="I245:I276" si="33">F245*H245</f>
        <v>525000</v>
      </c>
      <c r="J245" s="19">
        <v>25000</v>
      </c>
      <c r="K245" s="19">
        <f t="shared" ref="K245:K276" si="34">F245*J245</f>
        <v>175000</v>
      </c>
      <c r="L245" s="19">
        <v>25000</v>
      </c>
      <c r="M245" s="19">
        <f t="shared" ref="M245:M276" si="35">F245*L245</f>
        <v>175000</v>
      </c>
      <c r="N245" s="19">
        <f t="shared" ref="N245:N276" si="36">H245+J245+L245</f>
        <v>125000</v>
      </c>
      <c r="O245" s="19">
        <f t="shared" ref="O245:O276" si="37">I245+K245+M245</f>
        <v>875000</v>
      </c>
      <c r="P245" t="s">
        <v>247</v>
      </c>
      <c r="Q245" t="s">
        <v>990</v>
      </c>
    </row>
    <row r="246" spans="1:17" ht="24" customHeight="1" x14ac:dyDescent="0.3">
      <c r="A246" t="s">
        <v>19</v>
      </c>
      <c r="B246" t="s">
        <v>114</v>
      </c>
      <c r="C246">
        <v>34</v>
      </c>
      <c r="D246" t="s">
        <v>991</v>
      </c>
      <c r="E246" t="s">
        <v>992</v>
      </c>
      <c r="F246">
        <v>1</v>
      </c>
      <c r="G246" t="s">
        <v>168</v>
      </c>
      <c r="H246" s="19">
        <v>21956</v>
      </c>
      <c r="I246" s="19">
        <f t="shared" si="33"/>
        <v>21956</v>
      </c>
      <c r="J246" s="19">
        <v>5987</v>
      </c>
      <c r="K246" s="19">
        <f t="shared" si="34"/>
        <v>5987</v>
      </c>
      <c r="L246" s="19">
        <v>724</v>
      </c>
      <c r="M246" s="19">
        <f t="shared" si="35"/>
        <v>724</v>
      </c>
      <c r="N246" s="19">
        <f t="shared" si="36"/>
        <v>28667</v>
      </c>
      <c r="O246" s="19">
        <f t="shared" si="37"/>
        <v>28667</v>
      </c>
      <c r="Q246" t="s">
        <v>398</v>
      </c>
    </row>
    <row r="247" spans="1:17" ht="24" customHeight="1" x14ac:dyDescent="0.3">
      <c r="A247" t="s">
        <v>19</v>
      </c>
      <c r="B247" t="s">
        <v>114</v>
      </c>
      <c r="C247">
        <v>35</v>
      </c>
      <c r="D247" t="s">
        <v>993</v>
      </c>
      <c r="E247" t="s">
        <v>994</v>
      </c>
      <c r="F247">
        <v>23</v>
      </c>
      <c r="G247" t="s">
        <v>168</v>
      </c>
      <c r="H247" s="19">
        <v>21956</v>
      </c>
      <c r="I247" s="19">
        <f t="shared" si="33"/>
        <v>504988</v>
      </c>
      <c r="J247" s="19">
        <v>5987</v>
      </c>
      <c r="K247" s="19">
        <f t="shared" si="34"/>
        <v>137701</v>
      </c>
      <c r="L247" s="19">
        <v>724</v>
      </c>
      <c r="M247" s="19">
        <f t="shared" si="35"/>
        <v>16652</v>
      </c>
      <c r="N247" s="19">
        <f t="shared" si="36"/>
        <v>28667</v>
      </c>
      <c r="O247" s="19">
        <f t="shared" si="37"/>
        <v>659341</v>
      </c>
      <c r="Q247" t="s">
        <v>398</v>
      </c>
    </row>
    <row r="248" spans="1:17" ht="24" customHeight="1" x14ac:dyDescent="0.3">
      <c r="A248" t="s">
        <v>19</v>
      </c>
      <c r="B248" t="s">
        <v>114</v>
      </c>
      <c r="C248">
        <v>36</v>
      </c>
      <c r="D248" t="s">
        <v>995</v>
      </c>
      <c r="E248" t="s">
        <v>386</v>
      </c>
      <c r="F248">
        <v>7</v>
      </c>
      <c r="G248" t="s">
        <v>233</v>
      </c>
      <c r="H248" s="19">
        <v>5729</v>
      </c>
      <c r="I248" s="19">
        <f t="shared" si="33"/>
        <v>40103</v>
      </c>
      <c r="J248" s="19">
        <v>256796</v>
      </c>
      <c r="K248" s="19">
        <f t="shared" si="34"/>
        <v>1797572</v>
      </c>
      <c r="L248" s="19">
        <v>3547</v>
      </c>
      <c r="M248" s="19">
        <f t="shared" si="35"/>
        <v>24829</v>
      </c>
      <c r="N248" s="19">
        <f t="shared" si="36"/>
        <v>266072</v>
      </c>
      <c r="O248" s="19">
        <f t="shared" si="37"/>
        <v>1862504</v>
      </c>
      <c r="P248" t="s">
        <v>247</v>
      </c>
      <c r="Q248" t="s">
        <v>386</v>
      </c>
    </row>
    <row r="249" spans="1:17" ht="24" customHeight="1" x14ac:dyDescent="0.3">
      <c r="A249" t="s">
        <v>19</v>
      </c>
      <c r="B249" t="s">
        <v>114</v>
      </c>
      <c r="C249">
        <v>37</v>
      </c>
      <c r="D249" t="s">
        <v>996</v>
      </c>
      <c r="E249" t="s">
        <v>997</v>
      </c>
      <c r="F249">
        <v>1</v>
      </c>
      <c r="G249" t="s">
        <v>233</v>
      </c>
      <c r="H249" s="19">
        <v>2000</v>
      </c>
      <c r="I249" s="19">
        <f t="shared" si="33"/>
        <v>2000</v>
      </c>
      <c r="J249" s="19">
        <v>37989</v>
      </c>
      <c r="K249" s="19">
        <f t="shared" si="34"/>
        <v>37989</v>
      </c>
      <c r="L249" s="19">
        <v>0</v>
      </c>
      <c r="M249" s="19">
        <f t="shared" si="35"/>
        <v>0</v>
      </c>
      <c r="N249" s="19">
        <f t="shared" si="36"/>
        <v>39989</v>
      </c>
      <c r="O249" s="19">
        <f t="shared" si="37"/>
        <v>39989</v>
      </c>
      <c r="Q249" t="s">
        <v>881</v>
      </c>
    </row>
    <row r="250" spans="1:17" ht="24" customHeight="1" x14ac:dyDescent="0.3">
      <c r="A250" t="s">
        <v>19</v>
      </c>
      <c r="B250" t="s">
        <v>114</v>
      </c>
      <c r="C250">
        <v>38</v>
      </c>
      <c r="D250" t="s">
        <v>998</v>
      </c>
      <c r="E250" t="s">
        <v>537</v>
      </c>
      <c r="F250">
        <v>1</v>
      </c>
      <c r="G250" t="s">
        <v>233</v>
      </c>
      <c r="H250" s="19">
        <v>75000</v>
      </c>
      <c r="I250" s="19">
        <f t="shared" si="33"/>
        <v>75000</v>
      </c>
      <c r="J250" s="19">
        <v>45000</v>
      </c>
      <c r="K250" s="19">
        <f t="shared" si="34"/>
        <v>45000</v>
      </c>
      <c r="L250" s="19">
        <v>35000</v>
      </c>
      <c r="M250" s="19">
        <f t="shared" si="35"/>
        <v>35000</v>
      </c>
      <c r="N250" s="19">
        <f t="shared" si="36"/>
        <v>155000</v>
      </c>
      <c r="O250" s="19">
        <f t="shared" si="37"/>
        <v>155000</v>
      </c>
      <c r="P250" t="s">
        <v>247</v>
      </c>
      <c r="Q250" t="s">
        <v>999</v>
      </c>
    </row>
    <row r="251" spans="1:17" ht="24" customHeight="1" x14ac:dyDescent="0.3">
      <c r="A251" t="s">
        <v>19</v>
      </c>
      <c r="B251" t="s">
        <v>114</v>
      </c>
      <c r="C251">
        <v>39</v>
      </c>
      <c r="D251" t="s">
        <v>1000</v>
      </c>
      <c r="E251" t="s">
        <v>540</v>
      </c>
      <c r="F251">
        <v>1</v>
      </c>
      <c r="G251" t="s">
        <v>233</v>
      </c>
      <c r="H251" s="19">
        <v>13953</v>
      </c>
      <c r="I251" s="19">
        <f t="shared" si="33"/>
        <v>13953</v>
      </c>
      <c r="J251" s="19">
        <v>609212</v>
      </c>
      <c r="K251" s="19">
        <f t="shared" si="34"/>
        <v>609212</v>
      </c>
      <c r="L251" s="19">
        <v>9169</v>
      </c>
      <c r="M251" s="19">
        <f t="shared" si="35"/>
        <v>9169</v>
      </c>
      <c r="N251" s="19">
        <f t="shared" si="36"/>
        <v>632334</v>
      </c>
      <c r="O251" s="19">
        <f t="shared" si="37"/>
        <v>632334</v>
      </c>
      <c r="Q251" t="s">
        <v>541</v>
      </c>
    </row>
    <row r="252" spans="1:17" ht="24" customHeight="1" x14ac:dyDescent="0.3">
      <c r="A252" t="s">
        <v>19</v>
      </c>
      <c r="B252" t="s">
        <v>114</v>
      </c>
      <c r="C252">
        <v>40</v>
      </c>
      <c r="D252" t="s">
        <v>1001</v>
      </c>
      <c r="E252" t="s">
        <v>540</v>
      </c>
      <c r="F252">
        <v>3</v>
      </c>
      <c r="G252" t="s">
        <v>233</v>
      </c>
      <c r="H252" s="19">
        <v>13953</v>
      </c>
      <c r="I252" s="19">
        <f t="shared" si="33"/>
        <v>41859</v>
      </c>
      <c r="J252" s="19">
        <v>609212</v>
      </c>
      <c r="K252" s="19">
        <f t="shared" si="34"/>
        <v>1827636</v>
      </c>
      <c r="L252" s="19">
        <v>9169</v>
      </c>
      <c r="M252" s="19">
        <f t="shared" si="35"/>
        <v>27507</v>
      </c>
      <c r="N252" s="19">
        <f t="shared" si="36"/>
        <v>632334</v>
      </c>
      <c r="O252" s="19">
        <f t="shared" si="37"/>
        <v>1897002</v>
      </c>
      <c r="Q252" t="s">
        <v>541</v>
      </c>
    </row>
    <row r="253" spans="1:17" ht="24" customHeight="1" x14ac:dyDescent="0.3">
      <c r="A253" t="s">
        <v>19</v>
      </c>
      <c r="B253" t="s">
        <v>114</v>
      </c>
      <c r="C253">
        <v>41</v>
      </c>
      <c r="D253" t="s">
        <v>1002</v>
      </c>
      <c r="E253" t="s">
        <v>1003</v>
      </c>
      <c r="F253">
        <v>1</v>
      </c>
      <c r="G253" t="s">
        <v>233</v>
      </c>
      <c r="I253" s="19">
        <f t="shared" si="33"/>
        <v>0</v>
      </c>
      <c r="J253" s="19"/>
      <c r="K253" s="19">
        <f t="shared" si="34"/>
        <v>0</v>
      </c>
      <c r="L253" s="19"/>
      <c r="M253" s="19">
        <f t="shared" si="35"/>
        <v>0</v>
      </c>
      <c r="N253" s="19">
        <f t="shared" si="36"/>
        <v>0</v>
      </c>
      <c r="O253" s="19">
        <f t="shared" si="37"/>
        <v>0</v>
      </c>
      <c r="P253" t="s">
        <v>159</v>
      </c>
      <c r="Q253" t="s">
        <v>1004</v>
      </c>
    </row>
    <row r="254" spans="1:17" ht="24" customHeight="1" x14ac:dyDescent="0.3">
      <c r="A254" t="s">
        <v>19</v>
      </c>
      <c r="B254" t="s">
        <v>114</v>
      </c>
      <c r="C254">
        <v>42</v>
      </c>
      <c r="D254" t="s">
        <v>1005</v>
      </c>
      <c r="E254" t="s">
        <v>1003</v>
      </c>
      <c r="F254">
        <v>2</v>
      </c>
      <c r="G254" t="s">
        <v>233</v>
      </c>
      <c r="I254" s="19">
        <f t="shared" si="33"/>
        <v>0</v>
      </c>
      <c r="J254" s="19"/>
      <c r="K254" s="19">
        <f t="shared" si="34"/>
        <v>0</v>
      </c>
      <c r="L254" s="19"/>
      <c r="M254" s="19">
        <f t="shared" si="35"/>
        <v>0</v>
      </c>
      <c r="N254" s="19">
        <f t="shared" si="36"/>
        <v>0</v>
      </c>
      <c r="O254" s="19">
        <f t="shared" si="37"/>
        <v>0</v>
      </c>
      <c r="P254" t="s">
        <v>159</v>
      </c>
      <c r="Q254" t="s">
        <v>1006</v>
      </c>
    </row>
    <row r="255" spans="1:17" ht="24" customHeight="1" x14ac:dyDescent="0.3">
      <c r="A255" t="s">
        <v>19</v>
      </c>
      <c r="B255" t="s">
        <v>114</v>
      </c>
      <c r="C255">
        <v>43</v>
      </c>
      <c r="D255" t="s">
        <v>1007</v>
      </c>
      <c r="E255" t="s">
        <v>1008</v>
      </c>
      <c r="F255">
        <v>1</v>
      </c>
      <c r="G255" t="s">
        <v>233</v>
      </c>
      <c r="I255" s="19">
        <f t="shared" si="33"/>
        <v>0</v>
      </c>
      <c r="J255" s="19"/>
      <c r="K255" s="19">
        <f t="shared" si="34"/>
        <v>0</v>
      </c>
      <c r="L255" s="19"/>
      <c r="M255" s="19">
        <f t="shared" si="35"/>
        <v>0</v>
      </c>
      <c r="N255" s="19">
        <f t="shared" si="36"/>
        <v>0</v>
      </c>
      <c r="O255" s="19">
        <f t="shared" si="37"/>
        <v>0</v>
      </c>
      <c r="P255" t="s">
        <v>159</v>
      </c>
      <c r="Q255" t="s">
        <v>1009</v>
      </c>
    </row>
    <row r="256" spans="1:17" ht="24" customHeight="1" x14ac:dyDescent="0.3">
      <c r="A256" t="s">
        <v>19</v>
      </c>
      <c r="B256" t="s">
        <v>114</v>
      </c>
      <c r="C256">
        <v>44</v>
      </c>
      <c r="D256" t="s">
        <v>1010</v>
      </c>
      <c r="E256" t="s">
        <v>1011</v>
      </c>
      <c r="F256">
        <v>3</v>
      </c>
      <c r="G256" t="s">
        <v>233</v>
      </c>
      <c r="H256" s="19">
        <v>6303</v>
      </c>
      <c r="I256" s="19">
        <f t="shared" si="33"/>
        <v>18909</v>
      </c>
      <c r="J256" s="19">
        <v>210121</v>
      </c>
      <c r="K256" s="19">
        <f t="shared" si="34"/>
        <v>630363</v>
      </c>
      <c r="L256" s="19">
        <v>0</v>
      </c>
      <c r="M256" s="19">
        <f t="shared" si="35"/>
        <v>0</v>
      </c>
      <c r="N256" s="19">
        <f t="shared" si="36"/>
        <v>216424</v>
      </c>
      <c r="O256" s="19">
        <f t="shared" si="37"/>
        <v>649272</v>
      </c>
      <c r="Q256" t="s">
        <v>214</v>
      </c>
    </row>
    <row r="257" spans="1:17" ht="24" customHeight="1" x14ac:dyDescent="0.3">
      <c r="A257" t="s">
        <v>19</v>
      </c>
      <c r="B257" t="s">
        <v>114</v>
      </c>
      <c r="C257">
        <v>45</v>
      </c>
      <c r="D257" t="s">
        <v>1012</v>
      </c>
      <c r="E257" t="s">
        <v>1013</v>
      </c>
      <c r="F257">
        <v>8</v>
      </c>
      <c r="G257" t="s">
        <v>233</v>
      </c>
      <c r="H257" s="19">
        <v>704</v>
      </c>
      <c r="I257" s="19">
        <f t="shared" si="33"/>
        <v>5632</v>
      </c>
      <c r="J257" s="19">
        <v>35218</v>
      </c>
      <c r="K257" s="19">
        <f t="shared" si="34"/>
        <v>281744</v>
      </c>
      <c r="L257" s="19">
        <v>0</v>
      </c>
      <c r="M257" s="19">
        <f t="shared" si="35"/>
        <v>0</v>
      </c>
      <c r="N257" s="19">
        <f t="shared" si="36"/>
        <v>35922</v>
      </c>
      <c r="O257" s="19">
        <f t="shared" si="37"/>
        <v>287376</v>
      </c>
      <c r="Q257" t="s">
        <v>1013</v>
      </c>
    </row>
    <row r="258" spans="1:17" ht="24" customHeight="1" x14ac:dyDescent="0.3">
      <c r="A258" t="s">
        <v>19</v>
      </c>
      <c r="B258" t="s">
        <v>114</v>
      </c>
      <c r="C258">
        <v>46</v>
      </c>
      <c r="D258" t="s">
        <v>1014</v>
      </c>
      <c r="E258" t="s">
        <v>528</v>
      </c>
      <c r="F258">
        <v>7</v>
      </c>
      <c r="G258" t="s">
        <v>233</v>
      </c>
      <c r="H258" s="19">
        <v>1002</v>
      </c>
      <c r="I258" s="19">
        <f t="shared" si="33"/>
        <v>7014</v>
      </c>
      <c r="J258" s="19">
        <v>50118</v>
      </c>
      <c r="K258" s="19">
        <f t="shared" si="34"/>
        <v>350826</v>
      </c>
      <c r="L258" s="19">
        <v>0</v>
      </c>
      <c r="M258" s="19">
        <f t="shared" si="35"/>
        <v>0</v>
      </c>
      <c r="N258" s="19">
        <f t="shared" si="36"/>
        <v>51120</v>
      </c>
      <c r="O258" s="19">
        <f t="shared" si="37"/>
        <v>357840</v>
      </c>
      <c r="Q258" t="s">
        <v>528</v>
      </c>
    </row>
    <row r="259" spans="1:17" ht="24" customHeight="1" x14ac:dyDescent="0.3">
      <c r="A259" t="s">
        <v>19</v>
      </c>
      <c r="B259" t="s">
        <v>114</v>
      </c>
      <c r="C259">
        <v>47</v>
      </c>
      <c r="D259" t="s">
        <v>1015</v>
      </c>
      <c r="E259" t="s">
        <v>881</v>
      </c>
      <c r="F259">
        <v>2</v>
      </c>
      <c r="G259" t="s">
        <v>233</v>
      </c>
      <c r="H259" s="19">
        <v>2000</v>
      </c>
      <c r="I259" s="19">
        <f t="shared" si="33"/>
        <v>4000</v>
      </c>
      <c r="J259" s="19">
        <v>37989</v>
      </c>
      <c r="K259" s="19">
        <f t="shared" si="34"/>
        <v>75978</v>
      </c>
      <c r="L259" s="19">
        <v>0</v>
      </c>
      <c r="M259" s="19">
        <f t="shared" si="35"/>
        <v>0</v>
      </c>
      <c r="N259" s="19">
        <f t="shared" si="36"/>
        <v>39989</v>
      </c>
      <c r="O259" s="19">
        <f t="shared" si="37"/>
        <v>79978</v>
      </c>
      <c r="Q259" t="s">
        <v>881</v>
      </c>
    </row>
    <row r="260" spans="1:17" ht="24" customHeight="1" x14ac:dyDescent="0.3">
      <c r="A260" t="s">
        <v>19</v>
      </c>
      <c r="B260" t="s">
        <v>114</v>
      </c>
      <c r="C260">
        <v>48</v>
      </c>
      <c r="D260" t="s">
        <v>918</v>
      </c>
      <c r="E260" t="s">
        <v>919</v>
      </c>
      <c r="F260">
        <v>11</v>
      </c>
      <c r="G260" t="s">
        <v>233</v>
      </c>
      <c r="H260" s="19">
        <v>6303</v>
      </c>
      <c r="I260" s="19">
        <f t="shared" si="33"/>
        <v>69333</v>
      </c>
      <c r="J260" s="19">
        <v>210121</v>
      </c>
      <c r="K260" s="19">
        <f t="shared" si="34"/>
        <v>2311331</v>
      </c>
      <c r="L260" s="19"/>
      <c r="M260" s="19">
        <f t="shared" si="35"/>
        <v>0</v>
      </c>
      <c r="N260" s="19">
        <f t="shared" si="36"/>
        <v>216424</v>
      </c>
      <c r="O260" s="19">
        <f t="shared" si="37"/>
        <v>2380664</v>
      </c>
      <c r="P260" t="s">
        <v>247</v>
      </c>
      <c r="Q260" t="s">
        <v>920</v>
      </c>
    </row>
    <row r="261" spans="1:17" ht="24" customHeight="1" x14ac:dyDescent="0.3">
      <c r="A261" t="s">
        <v>19</v>
      </c>
      <c r="B261" t="s">
        <v>114</v>
      </c>
      <c r="C261">
        <v>49</v>
      </c>
      <c r="D261" t="s">
        <v>921</v>
      </c>
      <c r="E261" t="s">
        <v>922</v>
      </c>
      <c r="F261">
        <v>57</v>
      </c>
      <c r="G261" t="s">
        <v>233</v>
      </c>
      <c r="H261" s="19">
        <v>2600</v>
      </c>
      <c r="I261" s="19">
        <f t="shared" si="33"/>
        <v>148200</v>
      </c>
      <c r="J261" s="19">
        <v>39820</v>
      </c>
      <c r="K261" s="19">
        <f t="shared" si="34"/>
        <v>2269740</v>
      </c>
      <c r="L261" s="19">
        <v>2608</v>
      </c>
      <c r="M261" s="19">
        <f t="shared" si="35"/>
        <v>148656</v>
      </c>
      <c r="N261" s="19">
        <f t="shared" si="36"/>
        <v>45028</v>
      </c>
      <c r="O261" s="19">
        <f t="shared" si="37"/>
        <v>2566596</v>
      </c>
      <c r="P261" t="s">
        <v>247</v>
      </c>
      <c r="Q261" t="s">
        <v>923</v>
      </c>
    </row>
    <row r="262" spans="1:17" ht="24" customHeight="1" x14ac:dyDescent="0.3">
      <c r="A262" t="s">
        <v>19</v>
      </c>
      <c r="B262" t="s">
        <v>114</v>
      </c>
      <c r="C262">
        <v>50</v>
      </c>
      <c r="D262" t="s">
        <v>1016</v>
      </c>
      <c r="E262" t="s">
        <v>240</v>
      </c>
      <c r="F262">
        <v>1379</v>
      </c>
      <c r="G262" t="s">
        <v>199</v>
      </c>
      <c r="H262" s="19">
        <v>500</v>
      </c>
      <c r="I262" s="19">
        <f t="shared" si="33"/>
        <v>689500</v>
      </c>
      <c r="J262" s="19">
        <v>1000</v>
      </c>
      <c r="K262" s="19">
        <f t="shared" si="34"/>
        <v>1379000</v>
      </c>
      <c r="L262" s="19"/>
      <c r="M262" s="19">
        <f t="shared" si="35"/>
        <v>0</v>
      </c>
      <c r="N262" s="19">
        <f t="shared" si="36"/>
        <v>1500</v>
      </c>
      <c r="O262" s="19">
        <f t="shared" si="37"/>
        <v>2068500</v>
      </c>
      <c r="P262" t="s">
        <v>247</v>
      </c>
      <c r="Q262" t="s">
        <v>720</v>
      </c>
    </row>
    <row r="263" spans="1:17" ht="24" customHeight="1" x14ac:dyDescent="0.3">
      <c r="A263" t="s">
        <v>19</v>
      </c>
      <c r="B263" t="s">
        <v>114</v>
      </c>
      <c r="C263">
        <v>51</v>
      </c>
      <c r="D263" t="s">
        <v>1017</v>
      </c>
      <c r="F263">
        <v>919</v>
      </c>
      <c r="G263" t="s">
        <v>199</v>
      </c>
      <c r="I263" s="19">
        <f t="shared" si="33"/>
        <v>0</v>
      </c>
      <c r="J263" s="19"/>
      <c r="K263" s="19">
        <f t="shared" si="34"/>
        <v>0</v>
      </c>
      <c r="L263" s="19"/>
      <c r="M263" s="19">
        <f t="shared" si="35"/>
        <v>0</v>
      </c>
      <c r="N263" s="19">
        <f t="shared" si="36"/>
        <v>0</v>
      </c>
      <c r="O263" s="19">
        <f t="shared" si="37"/>
        <v>0</v>
      </c>
      <c r="P263" t="s">
        <v>159</v>
      </c>
      <c r="Q263" t="s">
        <v>1018</v>
      </c>
    </row>
    <row r="264" spans="1:17" ht="24" customHeight="1" x14ac:dyDescent="0.3">
      <c r="A264" t="s">
        <v>19</v>
      </c>
      <c r="B264" t="s">
        <v>114</v>
      </c>
      <c r="C264">
        <v>52</v>
      </c>
      <c r="D264" t="s">
        <v>1019</v>
      </c>
      <c r="E264" t="s">
        <v>1020</v>
      </c>
      <c r="F264">
        <v>150</v>
      </c>
      <c r="G264" t="s">
        <v>171</v>
      </c>
      <c r="I264" s="19">
        <f t="shared" si="33"/>
        <v>0</v>
      </c>
      <c r="J264" s="19"/>
      <c r="K264" s="19">
        <f t="shared" si="34"/>
        <v>0</v>
      </c>
      <c r="L264" s="19"/>
      <c r="M264" s="19">
        <f t="shared" si="35"/>
        <v>0</v>
      </c>
      <c r="N264" s="19">
        <f t="shared" si="36"/>
        <v>0</v>
      </c>
      <c r="O264" s="19">
        <f t="shared" si="37"/>
        <v>0</v>
      </c>
      <c r="P264" t="s">
        <v>159</v>
      </c>
      <c r="Q264" t="s">
        <v>1021</v>
      </c>
    </row>
    <row r="265" spans="1:17" ht="24" customHeight="1" x14ac:dyDescent="0.3">
      <c r="A265" t="s">
        <v>19</v>
      </c>
      <c r="B265" t="s">
        <v>114</v>
      </c>
      <c r="C265">
        <v>53</v>
      </c>
      <c r="D265" t="s">
        <v>1022</v>
      </c>
      <c r="E265" t="s">
        <v>528</v>
      </c>
      <c r="F265">
        <v>1</v>
      </c>
      <c r="G265" t="s">
        <v>648</v>
      </c>
      <c r="I265" s="19">
        <f t="shared" si="33"/>
        <v>0</v>
      </c>
      <c r="J265" s="19"/>
      <c r="K265" s="19">
        <f t="shared" si="34"/>
        <v>0</v>
      </c>
      <c r="L265" s="19"/>
      <c r="M265" s="19">
        <f t="shared" si="35"/>
        <v>0</v>
      </c>
      <c r="N265" s="19">
        <f t="shared" si="36"/>
        <v>0</v>
      </c>
      <c r="O265" s="19">
        <f t="shared" si="37"/>
        <v>0</v>
      </c>
      <c r="P265" t="s">
        <v>159</v>
      </c>
      <c r="Q265" t="s">
        <v>1023</v>
      </c>
    </row>
    <row r="266" spans="1:17" ht="24" customHeight="1" x14ac:dyDescent="0.3">
      <c r="A266" t="s">
        <v>19</v>
      </c>
      <c r="B266" t="s">
        <v>114</v>
      </c>
      <c r="C266">
        <v>54</v>
      </c>
      <c r="D266" t="s">
        <v>1024</v>
      </c>
      <c r="E266" t="s">
        <v>881</v>
      </c>
      <c r="F266">
        <v>4</v>
      </c>
      <c r="G266" t="s">
        <v>648</v>
      </c>
      <c r="I266" s="19">
        <f t="shared" si="33"/>
        <v>0</v>
      </c>
      <c r="J266" s="19"/>
      <c r="K266" s="19">
        <f t="shared" si="34"/>
        <v>0</v>
      </c>
      <c r="L266" s="19"/>
      <c r="M266" s="19">
        <f t="shared" si="35"/>
        <v>0</v>
      </c>
      <c r="N266" s="19">
        <f t="shared" si="36"/>
        <v>0</v>
      </c>
      <c r="O266" s="19">
        <f t="shared" si="37"/>
        <v>0</v>
      </c>
      <c r="P266" t="s">
        <v>159</v>
      </c>
      <c r="Q266" t="s">
        <v>1025</v>
      </c>
    </row>
    <row r="267" spans="1:17" ht="24" customHeight="1" x14ac:dyDescent="0.3">
      <c r="A267" t="s">
        <v>19</v>
      </c>
      <c r="B267" t="s">
        <v>114</v>
      </c>
      <c r="C267">
        <v>55</v>
      </c>
      <c r="D267" t="s">
        <v>839</v>
      </c>
      <c r="E267" t="s">
        <v>1026</v>
      </c>
      <c r="F267">
        <v>2</v>
      </c>
      <c r="G267" t="s">
        <v>171</v>
      </c>
      <c r="H267" s="19">
        <v>115000</v>
      </c>
      <c r="I267" s="19">
        <f t="shared" si="33"/>
        <v>230000</v>
      </c>
      <c r="J267" s="19">
        <v>0</v>
      </c>
      <c r="K267" s="19">
        <f t="shared" si="34"/>
        <v>0</v>
      </c>
      <c r="L267" s="19"/>
      <c r="M267" s="19">
        <f t="shared" si="35"/>
        <v>0</v>
      </c>
      <c r="N267" s="19">
        <f t="shared" si="36"/>
        <v>115000</v>
      </c>
      <c r="O267" s="19">
        <f t="shared" si="37"/>
        <v>230000</v>
      </c>
      <c r="P267" t="s">
        <v>247</v>
      </c>
      <c r="Q267" t="s">
        <v>840</v>
      </c>
    </row>
    <row r="268" spans="1:17" ht="24" customHeight="1" x14ac:dyDescent="0.3">
      <c r="A268" t="s">
        <v>19</v>
      </c>
      <c r="B268" t="s">
        <v>114</v>
      </c>
      <c r="C268">
        <v>56</v>
      </c>
      <c r="D268" t="s">
        <v>841</v>
      </c>
      <c r="E268" t="s">
        <v>302</v>
      </c>
      <c r="F268">
        <v>35</v>
      </c>
      <c r="G268" t="s">
        <v>171</v>
      </c>
      <c r="H268" s="19">
        <v>108000</v>
      </c>
      <c r="I268" s="19">
        <f t="shared" si="33"/>
        <v>3780000</v>
      </c>
      <c r="J268" s="19">
        <v>0</v>
      </c>
      <c r="K268" s="19">
        <f t="shared" si="34"/>
        <v>0</v>
      </c>
      <c r="L268" s="19"/>
      <c r="M268" s="19">
        <f t="shared" si="35"/>
        <v>0</v>
      </c>
      <c r="N268" s="19">
        <f t="shared" si="36"/>
        <v>108000</v>
      </c>
      <c r="O268" s="19">
        <f t="shared" si="37"/>
        <v>3780000</v>
      </c>
      <c r="P268" t="s">
        <v>247</v>
      </c>
      <c r="Q268" t="s">
        <v>840</v>
      </c>
    </row>
    <row r="269" spans="1:17" ht="24" customHeight="1" x14ac:dyDescent="0.3">
      <c r="A269" t="s">
        <v>19</v>
      </c>
      <c r="B269" t="s">
        <v>114</v>
      </c>
      <c r="C269">
        <v>57</v>
      </c>
      <c r="D269" t="s">
        <v>1027</v>
      </c>
      <c r="E269" t="s">
        <v>305</v>
      </c>
      <c r="F269">
        <v>6</v>
      </c>
      <c r="G269" t="s">
        <v>171</v>
      </c>
      <c r="H269" s="19">
        <v>99000</v>
      </c>
      <c r="I269" s="19">
        <f t="shared" si="33"/>
        <v>594000</v>
      </c>
      <c r="J269" s="19">
        <v>0</v>
      </c>
      <c r="K269" s="19">
        <f t="shared" si="34"/>
        <v>0</v>
      </c>
      <c r="L269" s="19"/>
      <c r="M269" s="19">
        <f t="shared" si="35"/>
        <v>0</v>
      </c>
      <c r="N269" s="19">
        <f t="shared" si="36"/>
        <v>99000</v>
      </c>
      <c r="O269" s="19">
        <f t="shared" si="37"/>
        <v>594000</v>
      </c>
      <c r="P269" t="s">
        <v>247</v>
      </c>
      <c r="Q269" t="s">
        <v>840</v>
      </c>
    </row>
    <row r="270" spans="1:17" ht="24" customHeight="1" x14ac:dyDescent="0.3">
      <c r="A270" t="s">
        <v>19</v>
      </c>
      <c r="B270" t="s">
        <v>114</v>
      </c>
      <c r="C270">
        <v>58</v>
      </c>
      <c r="D270" t="s">
        <v>826</v>
      </c>
      <c r="E270" t="s">
        <v>827</v>
      </c>
      <c r="F270">
        <v>1.64</v>
      </c>
      <c r="G270" t="s">
        <v>283</v>
      </c>
      <c r="H270" s="19">
        <v>952000</v>
      </c>
      <c r="I270" s="19">
        <f t="shared" si="33"/>
        <v>1561280</v>
      </c>
      <c r="J270" s="19">
        <v>0</v>
      </c>
      <c r="K270" s="19">
        <f t="shared" si="34"/>
        <v>0</v>
      </c>
      <c r="L270" s="19">
        <v>0</v>
      </c>
      <c r="M270" s="19">
        <f t="shared" si="35"/>
        <v>0</v>
      </c>
      <c r="N270" s="19">
        <f t="shared" si="36"/>
        <v>952000</v>
      </c>
      <c r="O270" s="19">
        <f t="shared" si="37"/>
        <v>1561280</v>
      </c>
      <c r="Q270" t="s">
        <v>828</v>
      </c>
    </row>
    <row r="271" spans="1:17" ht="24" customHeight="1" x14ac:dyDescent="0.3">
      <c r="A271" t="s">
        <v>19</v>
      </c>
      <c r="B271" t="s">
        <v>114</v>
      </c>
      <c r="C271">
        <v>59</v>
      </c>
      <c r="D271" t="s">
        <v>928</v>
      </c>
      <c r="E271" t="s">
        <v>929</v>
      </c>
      <c r="F271">
        <v>2.5299999999999998</v>
      </c>
      <c r="G271" t="s">
        <v>283</v>
      </c>
      <c r="H271" s="19">
        <v>952000</v>
      </c>
      <c r="I271" s="19">
        <f t="shared" si="33"/>
        <v>2408560</v>
      </c>
      <c r="J271" s="19">
        <v>0</v>
      </c>
      <c r="K271" s="19">
        <f t="shared" si="34"/>
        <v>0</v>
      </c>
      <c r="L271" s="19">
        <v>0</v>
      </c>
      <c r="M271" s="19">
        <f t="shared" si="35"/>
        <v>0</v>
      </c>
      <c r="N271" s="19">
        <f t="shared" si="36"/>
        <v>952000</v>
      </c>
      <c r="O271" s="19">
        <f t="shared" si="37"/>
        <v>2408560</v>
      </c>
      <c r="Q271" t="s">
        <v>828</v>
      </c>
    </row>
    <row r="272" spans="1:17" ht="24" customHeight="1" x14ac:dyDescent="0.3">
      <c r="A272" t="s">
        <v>19</v>
      </c>
      <c r="B272" t="s">
        <v>114</v>
      </c>
      <c r="C272">
        <v>60</v>
      </c>
      <c r="D272" t="s">
        <v>930</v>
      </c>
      <c r="E272" t="s">
        <v>282</v>
      </c>
      <c r="F272">
        <v>4.16</v>
      </c>
      <c r="G272" t="s">
        <v>283</v>
      </c>
      <c r="I272" s="19">
        <f t="shared" si="33"/>
        <v>0</v>
      </c>
      <c r="J272" s="19"/>
      <c r="K272" s="19">
        <f t="shared" si="34"/>
        <v>0</v>
      </c>
      <c r="L272" s="19">
        <v>30000</v>
      </c>
      <c r="M272" s="19">
        <f t="shared" si="35"/>
        <v>124800</v>
      </c>
      <c r="N272" s="19">
        <f t="shared" si="36"/>
        <v>30000</v>
      </c>
      <c r="O272" s="19">
        <f t="shared" si="37"/>
        <v>124800</v>
      </c>
      <c r="P272" t="s">
        <v>247</v>
      </c>
      <c r="Q272" t="s">
        <v>836</v>
      </c>
    </row>
    <row r="273" spans="1:17" ht="24" customHeight="1" x14ac:dyDescent="0.3">
      <c r="A273" t="s">
        <v>19</v>
      </c>
      <c r="B273" t="s">
        <v>114</v>
      </c>
      <c r="C273">
        <v>61</v>
      </c>
      <c r="D273" t="s">
        <v>931</v>
      </c>
      <c r="E273" t="s">
        <v>286</v>
      </c>
      <c r="F273">
        <v>0.08</v>
      </c>
      <c r="G273" t="s">
        <v>283</v>
      </c>
      <c r="H273" s="19">
        <v>-100000</v>
      </c>
      <c r="I273" s="19">
        <f t="shared" si="33"/>
        <v>-8000</v>
      </c>
      <c r="J273" s="19"/>
      <c r="K273" s="19">
        <f t="shared" si="34"/>
        <v>0</v>
      </c>
      <c r="L273" s="19"/>
      <c r="M273" s="19">
        <f t="shared" si="35"/>
        <v>0</v>
      </c>
      <c r="N273" s="19">
        <f t="shared" si="36"/>
        <v>-100000</v>
      </c>
      <c r="O273" s="19">
        <f t="shared" si="37"/>
        <v>-8000</v>
      </c>
      <c r="P273" t="s">
        <v>247</v>
      </c>
      <c r="Q273" t="s">
        <v>838</v>
      </c>
    </row>
    <row r="274" spans="1:17" ht="24" customHeight="1" x14ac:dyDescent="0.3">
      <c r="A274" t="s">
        <v>19</v>
      </c>
      <c r="B274" t="s">
        <v>114</v>
      </c>
      <c r="C274">
        <v>62</v>
      </c>
      <c r="D274" t="s">
        <v>812</v>
      </c>
      <c r="E274" t="s">
        <v>289</v>
      </c>
      <c r="F274">
        <v>73</v>
      </c>
      <c r="G274" t="s">
        <v>290</v>
      </c>
      <c r="H274" s="19">
        <v>5500</v>
      </c>
      <c r="I274" s="19">
        <f t="shared" si="33"/>
        <v>401500</v>
      </c>
      <c r="J274" s="19"/>
      <c r="K274" s="19">
        <f t="shared" si="34"/>
        <v>0</v>
      </c>
      <c r="L274" s="19"/>
      <c r="M274" s="19">
        <f t="shared" si="35"/>
        <v>0</v>
      </c>
      <c r="N274" s="19">
        <f t="shared" si="36"/>
        <v>5500</v>
      </c>
      <c r="O274" s="19">
        <f t="shared" si="37"/>
        <v>401500</v>
      </c>
      <c r="P274" t="s">
        <v>247</v>
      </c>
      <c r="Q274" t="s">
        <v>813</v>
      </c>
    </row>
    <row r="275" spans="1:17" ht="24" customHeight="1" x14ac:dyDescent="0.3">
      <c r="A275" t="s">
        <v>19</v>
      </c>
      <c r="B275" t="s">
        <v>114</v>
      </c>
      <c r="C275">
        <v>63</v>
      </c>
      <c r="D275" t="s">
        <v>927</v>
      </c>
      <c r="E275" t="s">
        <v>293</v>
      </c>
      <c r="F275">
        <v>73</v>
      </c>
      <c r="G275" t="s">
        <v>290</v>
      </c>
      <c r="I275" s="19">
        <f t="shared" si="33"/>
        <v>0</v>
      </c>
      <c r="J275" s="19"/>
      <c r="K275" s="19">
        <f t="shared" si="34"/>
        <v>0</v>
      </c>
      <c r="L275" s="19">
        <v>200</v>
      </c>
      <c r="M275" s="19">
        <f t="shared" si="35"/>
        <v>14600</v>
      </c>
      <c r="N275" s="19">
        <f t="shared" si="36"/>
        <v>200</v>
      </c>
      <c r="O275" s="19">
        <f t="shared" si="37"/>
        <v>14600</v>
      </c>
      <c r="P275" t="s">
        <v>247</v>
      </c>
      <c r="Q275" t="s">
        <v>818</v>
      </c>
    </row>
    <row r="276" spans="1:17" ht="24" customHeight="1" x14ac:dyDescent="0.3">
      <c r="A276" t="s">
        <v>19</v>
      </c>
      <c r="B276" t="s">
        <v>114</v>
      </c>
      <c r="C276">
        <v>64</v>
      </c>
      <c r="D276" t="s">
        <v>819</v>
      </c>
      <c r="E276" t="s">
        <v>296</v>
      </c>
      <c r="F276">
        <v>4</v>
      </c>
      <c r="G276" t="s">
        <v>171</v>
      </c>
      <c r="H276" s="19">
        <v>45000</v>
      </c>
      <c r="I276" s="19">
        <f t="shared" si="33"/>
        <v>180000</v>
      </c>
      <c r="J276" s="19">
        <v>0</v>
      </c>
      <c r="K276" s="19">
        <f t="shared" si="34"/>
        <v>0</v>
      </c>
      <c r="L276" s="19"/>
      <c r="M276" s="19">
        <f t="shared" si="35"/>
        <v>0</v>
      </c>
      <c r="N276" s="19">
        <f t="shared" si="36"/>
        <v>45000</v>
      </c>
      <c r="O276" s="19">
        <f t="shared" si="37"/>
        <v>180000</v>
      </c>
      <c r="P276" t="s">
        <v>247</v>
      </c>
      <c r="Q276" t="s">
        <v>820</v>
      </c>
    </row>
    <row r="277" spans="1:17" ht="24" customHeight="1" x14ac:dyDescent="0.3">
      <c r="A277" t="s">
        <v>19</v>
      </c>
      <c r="B277" t="s">
        <v>114</v>
      </c>
      <c r="C277">
        <v>65</v>
      </c>
      <c r="D277" t="s">
        <v>821</v>
      </c>
      <c r="E277" t="s">
        <v>822</v>
      </c>
      <c r="F277">
        <v>5</v>
      </c>
      <c r="G277" t="s">
        <v>171</v>
      </c>
      <c r="H277" s="19">
        <v>45000</v>
      </c>
      <c r="I277" s="19">
        <f t="shared" ref="I277:I308" si="38">F277*H277</f>
        <v>225000</v>
      </c>
      <c r="J277" s="19">
        <v>18064</v>
      </c>
      <c r="K277" s="19">
        <f t="shared" ref="K277:K308" si="39">F277*J277</f>
        <v>90320</v>
      </c>
      <c r="L277" s="19">
        <v>10496</v>
      </c>
      <c r="M277" s="19">
        <f t="shared" ref="M277:M308" si="40">F277*L277</f>
        <v>52480</v>
      </c>
      <c r="N277" s="19">
        <f t="shared" ref="N277:N298" si="41">H277+J277+L277</f>
        <v>73560</v>
      </c>
      <c r="O277" s="19">
        <f t="shared" ref="O277:O298" si="42">I277+K277+M277</f>
        <v>367800</v>
      </c>
      <c r="P277" t="s">
        <v>247</v>
      </c>
      <c r="Q277" t="s">
        <v>823</v>
      </c>
    </row>
    <row r="278" spans="1:17" ht="24" customHeight="1" x14ac:dyDescent="0.3">
      <c r="A278" t="s">
        <v>19</v>
      </c>
      <c r="B278" t="s">
        <v>114</v>
      </c>
      <c r="C278">
        <v>66</v>
      </c>
      <c r="D278" t="s">
        <v>1028</v>
      </c>
      <c r="E278" t="s">
        <v>430</v>
      </c>
      <c r="F278">
        <v>1</v>
      </c>
      <c r="G278" t="s">
        <v>171</v>
      </c>
      <c r="H278" s="19">
        <v>40000</v>
      </c>
      <c r="I278" s="19">
        <f t="shared" si="38"/>
        <v>40000</v>
      </c>
      <c r="J278" s="19">
        <v>4036</v>
      </c>
      <c r="K278" s="19">
        <f t="shared" si="39"/>
        <v>4036</v>
      </c>
      <c r="L278" s="19">
        <v>947</v>
      </c>
      <c r="M278" s="19">
        <f t="shared" si="40"/>
        <v>947</v>
      </c>
      <c r="N278" s="19">
        <f t="shared" si="41"/>
        <v>44983</v>
      </c>
      <c r="O278" s="19">
        <f t="shared" si="42"/>
        <v>44983</v>
      </c>
      <c r="P278" t="s">
        <v>247</v>
      </c>
      <c r="Q278" t="s">
        <v>1029</v>
      </c>
    </row>
    <row r="279" spans="1:17" ht="24" customHeight="1" x14ac:dyDescent="0.3">
      <c r="A279" t="s">
        <v>19</v>
      </c>
      <c r="B279" t="s">
        <v>114</v>
      </c>
      <c r="C279">
        <v>67</v>
      </c>
      <c r="D279" t="s">
        <v>1030</v>
      </c>
      <c r="E279" t="s">
        <v>1031</v>
      </c>
      <c r="F279">
        <v>5</v>
      </c>
      <c r="G279" t="s">
        <v>171</v>
      </c>
      <c r="H279" s="19">
        <v>40000</v>
      </c>
      <c r="I279" s="19">
        <f t="shared" si="38"/>
        <v>200000</v>
      </c>
      <c r="J279" s="19"/>
      <c r="K279" s="19">
        <f t="shared" si="39"/>
        <v>0</v>
      </c>
      <c r="L279" s="19"/>
      <c r="M279" s="19">
        <f t="shared" si="40"/>
        <v>0</v>
      </c>
      <c r="N279" s="19">
        <f t="shared" si="41"/>
        <v>40000</v>
      </c>
      <c r="O279" s="19">
        <f t="shared" si="42"/>
        <v>200000</v>
      </c>
      <c r="P279" t="s">
        <v>247</v>
      </c>
      <c r="Q279" t="s">
        <v>825</v>
      </c>
    </row>
    <row r="280" spans="1:17" ht="24" customHeight="1" x14ac:dyDescent="0.3">
      <c r="A280" t="s">
        <v>19</v>
      </c>
      <c r="B280" t="s">
        <v>114</v>
      </c>
      <c r="C280">
        <v>68</v>
      </c>
      <c r="D280" t="s">
        <v>1032</v>
      </c>
      <c r="E280" t="s">
        <v>299</v>
      </c>
      <c r="F280">
        <v>1</v>
      </c>
      <c r="G280" t="s">
        <v>171</v>
      </c>
      <c r="H280" s="19">
        <v>40000</v>
      </c>
      <c r="I280" s="19">
        <f t="shared" si="38"/>
        <v>40000</v>
      </c>
      <c r="J280" s="19"/>
      <c r="K280" s="19">
        <f t="shared" si="39"/>
        <v>0</v>
      </c>
      <c r="L280" s="19"/>
      <c r="M280" s="19">
        <f t="shared" si="40"/>
        <v>0</v>
      </c>
      <c r="N280" s="19">
        <f t="shared" si="41"/>
        <v>40000</v>
      </c>
      <c r="O280" s="19">
        <f t="shared" si="42"/>
        <v>40000</v>
      </c>
      <c r="P280" t="s">
        <v>247</v>
      </c>
      <c r="Q280" t="s">
        <v>825</v>
      </c>
    </row>
    <row r="281" spans="1:17" ht="24" customHeight="1" x14ac:dyDescent="0.3">
      <c r="A281" t="s">
        <v>19</v>
      </c>
      <c r="B281" t="s">
        <v>114</v>
      </c>
      <c r="C281">
        <v>69</v>
      </c>
      <c r="D281" t="s">
        <v>1033</v>
      </c>
      <c r="E281" t="s">
        <v>544</v>
      </c>
      <c r="F281">
        <v>24</v>
      </c>
      <c r="G281" t="s">
        <v>316</v>
      </c>
      <c r="H281" s="19">
        <v>5970</v>
      </c>
      <c r="I281" s="19">
        <f t="shared" si="38"/>
        <v>143280</v>
      </c>
      <c r="J281" s="19">
        <v>24709</v>
      </c>
      <c r="K281" s="19">
        <f t="shared" si="39"/>
        <v>593016</v>
      </c>
      <c r="L281" s="19">
        <v>5659</v>
      </c>
      <c r="M281" s="19">
        <f t="shared" si="40"/>
        <v>135816</v>
      </c>
      <c r="N281" s="19">
        <f t="shared" si="41"/>
        <v>36338</v>
      </c>
      <c r="O281" s="19">
        <f t="shared" si="42"/>
        <v>872112</v>
      </c>
      <c r="P281" t="s">
        <v>247</v>
      </c>
      <c r="Q281" t="s">
        <v>1034</v>
      </c>
    </row>
    <row r="282" spans="1:17" ht="24" customHeight="1" x14ac:dyDescent="0.3">
      <c r="A282" t="s">
        <v>19</v>
      </c>
      <c r="B282" t="s">
        <v>114</v>
      </c>
      <c r="C282">
        <v>70</v>
      </c>
      <c r="D282" t="s">
        <v>1035</v>
      </c>
      <c r="E282" t="s">
        <v>1036</v>
      </c>
      <c r="F282">
        <v>135</v>
      </c>
      <c r="G282" t="s">
        <v>316</v>
      </c>
      <c r="H282" s="19">
        <v>5970</v>
      </c>
      <c r="I282" s="19">
        <f t="shared" si="38"/>
        <v>805950</v>
      </c>
      <c r="J282" s="19">
        <v>24709</v>
      </c>
      <c r="K282" s="19">
        <f t="shared" si="39"/>
        <v>3335715</v>
      </c>
      <c r="L282" s="19">
        <v>5659</v>
      </c>
      <c r="M282" s="19">
        <f t="shared" si="40"/>
        <v>763965</v>
      </c>
      <c r="N282" s="19">
        <f t="shared" si="41"/>
        <v>36338</v>
      </c>
      <c r="O282" s="19">
        <f t="shared" si="42"/>
        <v>4905630</v>
      </c>
      <c r="P282" t="s">
        <v>247</v>
      </c>
      <c r="Q282" t="s">
        <v>1034</v>
      </c>
    </row>
    <row r="283" spans="1:17" ht="24" customHeight="1" x14ac:dyDescent="0.3">
      <c r="A283" t="s">
        <v>19</v>
      </c>
      <c r="B283" t="s">
        <v>114</v>
      </c>
      <c r="C283">
        <v>71</v>
      </c>
      <c r="D283" t="s">
        <v>1037</v>
      </c>
      <c r="E283" t="s">
        <v>547</v>
      </c>
      <c r="F283">
        <v>1977</v>
      </c>
      <c r="G283" t="s">
        <v>548</v>
      </c>
      <c r="I283" s="19">
        <f t="shared" si="38"/>
        <v>0</v>
      </c>
      <c r="J283" s="19"/>
      <c r="K283" s="19">
        <f t="shared" si="39"/>
        <v>0</v>
      </c>
      <c r="L283" s="19"/>
      <c r="M283" s="19">
        <f t="shared" si="40"/>
        <v>0</v>
      </c>
      <c r="N283" s="19">
        <f t="shared" si="41"/>
        <v>0</v>
      </c>
      <c r="O283" s="19">
        <f t="shared" si="42"/>
        <v>0</v>
      </c>
      <c r="P283" t="s">
        <v>159</v>
      </c>
      <c r="Q283" t="s">
        <v>1038</v>
      </c>
    </row>
    <row r="284" spans="1:17" ht="24" customHeight="1" x14ac:dyDescent="0.3">
      <c r="A284" t="s">
        <v>19</v>
      </c>
      <c r="B284" t="s">
        <v>114</v>
      </c>
      <c r="C284">
        <v>72</v>
      </c>
      <c r="D284" t="s">
        <v>1039</v>
      </c>
      <c r="E284" t="s">
        <v>551</v>
      </c>
      <c r="F284">
        <v>46</v>
      </c>
      <c r="G284" t="s">
        <v>260</v>
      </c>
      <c r="I284" s="19">
        <f t="shared" si="38"/>
        <v>0</v>
      </c>
      <c r="J284" s="19"/>
      <c r="K284" s="19">
        <f t="shared" si="39"/>
        <v>0</v>
      </c>
      <c r="L284" s="19"/>
      <c r="M284" s="19">
        <f t="shared" si="40"/>
        <v>0</v>
      </c>
      <c r="N284" s="19">
        <f t="shared" si="41"/>
        <v>0</v>
      </c>
      <c r="O284" s="19">
        <f t="shared" si="42"/>
        <v>0</v>
      </c>
      <c r="P284" t="s">
        <v>159</v>
      </c>
      <c r="Q284" t="s">
        <v>1040</v>
      </c>
    </row>
    <row r="285" spans="1:17" ht="24" customHeight="1" x14ac:dyDescent="0.3">
      <c r="A285" t="s">
        <v>19</v>
      </c>
      <c r="B285" t="s">
        <v>114</v>
      </c>
      <c r="C285">
        <v>73</v>
      </c>
      <c r="D285" t="s">
        <v>1041</v>
      </c>
      <c r="E285" t="s">
        <v>1042</v>
      </c>
      <c r="F285">
        <v>39</v>
      </c>
      <c r="G285" t="s">
        <v>199</v>
      </c>
      <c r="H285" s="19">
        <v>1010</v>
      </c>
      <c r="I285" s="19">
        <f t="shared" si="38"/>
        <v>39390</v>
      </c>
      <c r="J285" s="19">
        <v>10206</v>
      </c>
      <c r="K285" s="19">
        <f t="shared" si="39"/>
        <v>398034</v>
      </c>
      <c r="L285" s="19">
        <v>0</v>
      </c>
      <c r="M285" s="19">
        <f t="shared" si="40"/>
        <v>0</v>
      </c>
      <c r="N285" s="19">
        <f t="shared" si="41"/>
        <v>11216</v>
      </c>
      <c r="O285" s="19">
        <f t="shared" si="42"/>
        <v>437424</v>
      </c>
      <c r="Q285" t="s">
        <v>1042</v>
      </c>
    </row>
    <row r="286" spans="1:17" ht="24" customHeight="1" x14ac:dyDescent="0.3">
      <c r="A286" t="s">
        <v>19</v>
      </c>
      <c r="B286" t="s">
        <v>114</v>
      </c>
      <c r="C286">
        <v>74</v>
      </c>
      <c r="D286" t="s">
        <v>1043</v>
      </c>
      <c r="E286" t="s">
        <v>803</v>
      </c>
      <c r="F286">
        <v>51</v>
      </c>
      <c r="G286" t="s">
        <v>199</v>
      </c>
      <c r="H286" s="19">
        <v>1606</v>
      </c>
      <c r="I286" s="19">
        <f t="shared" si="38"/>
        <v>81906</v>
      </c>
      <c r="J286" s="19">
        <v>6471</v>
      </c>
      <c r="K286" s="19">
        <f t="shared" si="39"/>
        <v>330021</v>
      </c>
      <c r="L286" s="19">
        <v>1168</v>
      </c>
      <c r="M286" s="19">
        <f t="shared" si="40"/>
        <v>59568</v>
      </c>
      <c r="N286" s="19">
        <f t="shared" si="41"/>
        <v>9245</v>
      </c>
      <c r="O286" s="19">
        <f t="shared" si="42"/>
        <v>471495</v>
      </c>
      <c r="Q286" t="s">
        <v>803</v>
      </c>
    </row>
    <row r="287" spans="1:17" ht="24" customHeight="1" x14ac:dyDescent="0.3">
      <c r="A287" t="s">
        <v>19</v>
      </c>
      <c r="B287" t="s">
        <v>114</v>
      </c>
      <c r="C287">
        <v>75</v>
      </c>
      <c r="D287" t="s">
        <v>1044</v>
      </c>
      <c r="E287" t="s">
        <v>1045</v>
      </c>
      <c r="F287">
        <v>3</v>
      </c>
      <c r="G287" t="s">
        <v>274</v>
      </c>
      <c r="H287" s="19">
        <v>16010</v>
      </c>
      <c r="I287" s="19">
        <f t="shared" si="38"/>
        <v>48030</v>
      </c>
      <c r="J287" s="19">
        <v>0</v>
      </c>
      <c r="K287" s="19">
        <f t="shared" si="39"/>
        <v>0</v>
      </c>
      <c r="L287" s="19">
        <v>0</v>
      </c>
      <c r="M287" s="19">
        <f t="shared" si="40"/>
        <v>0</v>
      </c>
      <c r="N287" s="19">
        <f t="shared" si="41"/>
        <v>16010</v>
      </c>
      <c r="O287" s="19">
        <f t="shared" si="42"/>
        <v>48030</v>
      </c>
      <c r="Q287" t="s">
        <v>572</v>
      </c>
    </row>
    <row r="288" spans="1:17" ht="24" customHeight="1" x14ac:dyDescent="0.3">
      <c r="A288" t="s">
        <v>19</v>
      </c>
      <c r="B288" t="s">
        <v>114</v>
      </c>
      <c r="C288">
        <v>76</v>
      </c>
      <c r="D288" t="s">
        <v>1046</v>
      </c>
      <c r="E288" t="s">
        <v>1047</v>
      </c>
      <c r="F288">
        <v>8</v>
      </c>
      <c r="G288" t="s">
        <v>274</v>
      </c>
      <c r="H288" s="19">
        <v>16010</v>
      </c>
      <c r="I288" s="19">
        <f t="shared" si="38"/>
        <v>128080</v>
      </c>
      <c r="J288" s="19">
        <v>0</v>
      </c>
      <c r="K288" s="19">
        <f t="shared" si="39"/>
        <v>0</v>
      </c>
      <c r="L288" s="19">
        <v>0</v>
      </c>
      <c r="M288" s="19">
        <f t="shared" si="40"/>
        <v>0</v>
      </c>
      <c r="N288" s="19">
        <f t="shared" si="41"/>
        <v>16010</v>
      </c>
      <c r="O288" s="19">
        <f t="shared" si="42"/>
        <v>128080</v>
      </c>
      <c r="Q288" t="s">
        <v>572</v>
      </c>
    </row>
    <row r="289" spans="1:17" ht="24" customHeight="1" x14ac:dyDescent="0.3">
      <c r="A289" t="s">
        <v>19</v>
      </c>
      <c r="B289" t="s">
        <v>114</v>
      </c>
      <c r="C289">
        <v>77</v>
      </c>
      <c r="D289" t="s">
        <v>1048</v>
      </c>
      <c r="E289" t="s">
        <v>1042</v>
      </c>
      <c r="F289">
        <v>3</v>
      </c>
      <c r="G289" t="s">
        <v>274</v>
      </c>
      <c r="H289" s="19">
        <v>15850</v>
      </c>
      <c r="I289" s="19">
        <f t="shared" si="38"/>
        <v>47550</v>
      </c>
      <c r="J289" s="19">
        <v>792543</v>
      </c>
      <c r="K289" s="19">
        <f t="shared" si="39"/>
        <v>2377629</v>
      </c>
      <c r="L289" s="19">
        <v>0</v>
      </c>
      <c r="M289" s="19">
        <f t="shared" si="40"/>
        <v>0</v>
      </c>
      <c r="N289" s="19">
        <f t="shared" si="41"/>
        <v>808393</v>
      </c>
      <c r="O289" s="19">
        <f t="shared" si="42"/>
        <v>2425179</v>
      </c>
      <c r="Q289" t="s">
        <v>1042</v>
      </c>
    </row>
    <row r="290" spans="1:17" ht="24" customHeight="1" x14ac:dyDescent="0.3">
      <c r="A290" t="s">
        <v>19</v>
      </c>
      <c r="B290" t="s">
        <v>114</v>
      </c>
      <c r="C290">
        <v>78</v>
      </c>
      <c r="D290" t="s">
        <v>1049</v>
      </c>
      <c r="E290" t="s">
        <v>803</v>
      </c>
      <c r="F290">
        <v>8</v>
      </c>
      <c r="G290" t="s">
        <v>274</v>
      </c>
      <c r="H290" s="19">
        <v>25882</v>
      </c>
      <c r="I290" s="19">
        <f t="shared" si="38"/>
        <v>207056</v>
      </c>
      <c r="J290" s="19">
        <v>1294149</v>
      </c>
      <c r="K290" s="19">
        <f t="shared" si="39"/>
        <v>10353192</v>
      </c>
      <c r="L290" s="19">
        <v>0</v>
      </c>
      <c r="M290" s="19">
        <f t="shared" si="40"/>
        <v>0</v>
      </c>
      <c r="N290" s="19">
        <f t="shared" si="41"/>
        <v>1320031</v>
      </c>
      <c r="O290" s="19">
        <f t="shared" si="42"/>
        <v>10560248</v>
      </c>
      <c r="Q290" t="s">
        <v>803</v>
      </c>
    </row>
    <row r="291" spans="1:17" ht="24" customHeight="1" x14ac:dyDescent="0.3">
      <c r="A291" t="s">
        <v>19</v>
      </c>
      <c r="B291" t="s">
        <v>114</v>
      </c>
      <c r="C291">
        <v>79</v>
      </c>
      <c r="D291" t="s">
        <v>1050</v>
      </c>
      <c r="E291" t="s">
        <v>1042</v>
      </c>
      <c r="F291">
        <v>3</v>
      </c>
      <c r="G291" t="s">
        <v>274</v>
      </c>
      <c r="H291" s="19">
        <v>15850</v>
      </c>
      <c r="I291" s="19">
        <f t="shared" si="38"/>
        <v>47550</v>
      </c>
      <c r="J291" s="19">
        <v>792543</v>
      </c>
      <c r="K291" s="19">
        <f t="shared" si="39"/>
        <v>2377629</v>
      </c>
      <c r="L291" s="19">
        <v>0</v>
      </c>
      <c r="M291" s="19">
        <f t="shared" si="40"/>
        <v>0</v>
      </c>
      <c r="N291" s="19">
        <f t="shared" si="41"/>
        <v>808393</v>
      </c>
      <c r="O291" s="19">
        <f t="shared" si="42"/>
        <v>2425179</v>
      </c>
      <c r="Q291" t="s">
        <v>1042</v>
      </c>
    </row>
    <row r="292" spans="1:17" ht="24" customHeight="1" x14ac:dyDescent="0.3">
      <c r="A292" t="s">
        <v>19</v>
      </c>
      <c r="B292" t="s">
        <v>114</v>
      </c>
      <c r="C292">
        <v>80</v>
      </c>
      <c r="D292" t="s">
        <v>1051</v>
      </c>
      <c r="E292" t="s">
        <v>803</v>
      </c>
      <c r="F292">
        <v>8</v>
      </c>
      <c r="G292" t="s">
        <v>274</v>
      </c>
      <c r="H292" s="19">
        <v>25882</v>
      </c>
      <c r="I292" s="19">
        <f t="shared" si="38"/>
        <v>207056</v>
      </c>
      <c r="J292" s="19">
        <v>1294149</v>
      </c>
      <c r="K292" s="19">
        <f t="shared" si="39"/>
        <v>10353192</v>
      </c>
      <c r="L292" s="19">
        <v>0</v>
      </c>
      <c r="M292" s="19">
        <f t="shared" si="40"/>
        <v>0</v>
      </c>
      <c r="N292" s="19">
        <f t="shared" si="41"/>
        <v>1320031</v>
      </c>
      <c r="O292" s="19">
        <f t="shared" si="42"/>
        <v>10560248</v>
      </c>
      <c r="Q292" t="s">
        <v>803</v>
      </c>
    </row>
    <row r="293" spans="1:17" ht="24" customHeight="1" x14ac:dyDescent="0.3">
      <c r="A293" t="s">
        <v>19</v>
      </c>
      <c r="B293" t="s">
        <v>114</v>
      </c>
      <c r="C293">
        <v>81</v>
      </c>
      <c r="D293" t="s">
        <v>1052</v>
      </c>
      <c r="E293" t="s">
        <v>1042</v>
      </c>
      <c r="F293">
        <v>3</v>
      </c>
      <c r="G293" t="s">
        <v>274</v>
      </c>
      <c r="H293" s="19">
        <v>15850</v>
      </c>
      <c r="I293" s="19">
        <f t="shared" si="38"/>
        <v>47550</v>
      </c>
      <c r="J293" s="19">
        <v>792543</v>
      </c>
      <c r="K293" s="19">
        <f t="shared" si="39"/>
        <v>2377629</v>
      </c>
      <c r="L293" s="19">
        <v>0</v>
      </c>
      <c r="M293" s="19">
        <f t="shared" si="40"/>
        <v>0</v>
      </c>
      <c r="N293" s="19">
        <f t="shared" si="41"/>
        <v>808393</v>
      </c>
      <c r="O293" s="19">
        <f t="shared" si="42"/>
        <v>2425179</v>
      </c>
      <c r="Q293" t="s">
        <v>1042</v>
      </c>
    </row>
    <row r="294" spans="1:17" ht="24" customHeight="1" x14ac:dyDescent="0.3">
      <c r="A294" t="s">
        <v>19</v>
      </c>
      <c r="B294" t="s">
        <v>114</v>
      </c>
      <c r="C294">
        <v>82</v>
      </c>
      <c r="D294" t="s">
        <v>1053</v>
      </c>
      <c r="E294" t="s">
        <v>803</v>
      </c>
      <c r="F294">
        <v>8</v>
      </c>
      <c r="G294" t="s">
        <v>274</v>
      </c>
      <c r="H294" s="19">
        <v>25882</v>
      </c>
      <c r="I294" s="19">
        <f t="shared" si="38"/>
        <v>207056</v>
      </c>
      <c r="J294" s="19">
        <v>1294149</v>
      </c>
      <c r="K294" s="19">
        <f t="shared" si="39"/>
        <v>10353192</v>
      </c>
      <c r="L294" s="19">
        <v>0</v>
      </c>
      <c r="M294" s="19">
        <f t="shared" si="40"/>
        <v>0</v>
      </c>
      <c r="N294" s="19">
        <f t="shared" si="41"/>
        <v>1320031</v>
      </c>
      <c r="O294" s="19">
        <f t="shared" si="42"/>
        <v>10560248</v>
      </c>
      <c r="Q294" t="s">
        <v>803</v>
      </c>
    </row>
    <row r="295" spans="1:17" ht="24" customHeight="1" x14ac:dyDescent="0.3">
      <c r="A295" t="s">
        <v>19</v>
      </c>
      <c r="B295" t="s">
        <v>114</v>
      </c>
      <c r="C295">
        <v>83</v>
      </c>
      <c r="D295" t="s">
        <v>1054</v>
      </c>
      <c r="E295" t="s">
        <v>534</v>
      </c>
      <c r="F295">
        <v>11</v>
      </c>
      <c r="G295" t="s">
        <v>274</v>
      </c>
      <c r="H295" s="19">
        <v>3261</v>
      </c>
      <c r="I295" s="19">
        <f t="shared" si="38"/>
        <v>35871</v>
      </c>
      <c r="J295" s="19">
        <v>43712</v>
      </c>
      <c r="K295" s="19">
        <f t="shared" si="39"/>
        <v>480832</v>
      </c>
      <c r="L295" s="19"/>
      <c r="M295" s="19">
        <f t="shared" si="40"/>
        <v>0</v>
      </c>
      <c r="N295" s="19">
        <f t="shared" si="41"/>
        <v>46973</v>
      </c>
      <c r="O295" s="19">
        <f t="shared" si="42"/>
        <v>516703</v>
      </c>
      <c r="P295" t="s">
        <v>247</v>
      </c>
      <c r="Q295" t="s">
        <v>534</v>
      </c>
    </row>
    <row r="296" spans="1:17" ht="24" customHeight="1" x14ac:dyDescent="0.3">
      <c r="A296" t="s">
        <v>19</v>
      </c>
      <c r="B296" t="s">
        <v>114</v>
      </c>
      <c r="C296">
        <v>84</v>
      </c>
      <c r="D296" t="s">
        <v>1055</v>
      </c>
      <c r="E296" t="s">
        <v>926</v>
      </c>
      <c r="F296">
        <v>8</v>
      </c>
      <c r="G296" t="s">
        <v>274</v>
      </c>
      <c r="H296" s="19">
        <v>3261</v>
      </c>
      <c r="I296" s="19">
        <f t="shared" si="38"/>
        <v>26088</v>
      </c>
      <c r="J296" s="19">
        <v>43712</v>
      </c>
      <c r="K296" s="19">
        <f t="shared" si="39"/>
        <v>349696</v>
      </c>
      <c r="L296" s="19"/>
      <c r="M296" s="19">
        <f t="shared" si="40"/>
        <v>0</v>
      </c>
      <c r="N296" s="19">
        <f t="shared" si="41"/>
        <v>46973</v>
      </c>
      <c r="O296" s="19">
        <f t="shared" si="42"/>
        <v>375784</v>
      </c>
      <c r="P296" t="s">
        <v>247</v>
      </c>
      <c r="Q296" t="s">
        <v>926</v>
      </c>
    </row>
    <row r="297" spans="1:17" ht="24" customHeight="1" x14ac:dyDescent="0.3">
      <c r="A297" t="s">
        <v>19</v>
      </c>
      <c r="B297" t="s">
        <v>114</v>
      </c>
      <c r="C297">
        <v>85</v>
      </c>
      <c r="D297" t="s">
        <v>1056</v>
      </c>
      <c r="E297" t="s">
        <v>1057</v>
      </c>
      <c r="F297">
        <v>1</v>
      </c>
      <c r="G297" t="s">
        <v>274</v>
      </c>
      <c r="H297" s="19">
        <v>2490</v>
      </c>
      <c r="I297" s="19">
        <f t="shared" si="38"/>
        <v>2490</v>
      </c>
      <c r="J297" s="19">
        <v>0</v>
      </c>
      <c r="K297" s="19">
        <f t="shared" si="39"/>
        <v>0</v>
      </c>
      <c r="L297" s="19">
        <v>0</v>
      </c>
      <c r="M297" s="19">
        <f t="shared" si="40"/>
        <v>0</v>
      </c>
      <c r="N297" s="19">
        <f t="shared" si="41"/>
        <v>2490</v>
      </c>
      <c r="O297" s="19">
        <f t="shared" si="42"/>
        <v>2490</v>
      </c>
      <c r="Q297" t="s">
        <v>1057</v>
      </c>
    </row>
    <row r="298" spans="1:17" ht="24" customHeight="1" x14ac:dyDescent="0.3">
      <c r="A298" t="s">
        <v>19</v>
      </c>
      <c r="B298" t="s">
        <v>114</v>
      </c>
      <c r="C298">
        <v>86</v>
      </c>
      <c r="D298" t="s">
        <v>874</v>
      </c>
      <c r="E298" t="s">
        <v>554</v>
      </c>
      <c r="F298">
        <v>9</v>
      </c>
      <c r="G298" t="s">
        <v>323</v>
      </c>
      <c r="H298" s="19">
        <v>0</v>
      </c>
      <c r="I298" s="19">
        <f t="shared" si="38"/>
        <v>0</v>
      </c>
      <c r="J298" s="19">
        <v>289893</v>
      </c>
      <c r="K298" s="19">
        <f t="shared" si="39"/>
        <v>2609037</v>
      </c>
      <c r="L298" s="19">
        <v>0</v>
      </c>
      <c r="M298" s="19">
        <f t="shared" si="40"/>
        <v>0</v>
      </c>
      <c r="N298" s="19">
        <f t="shared" si="41"/>
        <v>289893</v>
      </c>
      <c r="O298" s="19">
        <f t="shared" si="42"/>
        <v>2609037</v>
      </c>
      <c r="Q298" t="s">
        <v>324</v>
      </c>
    </row>
    <row r="299" spans="1:17" ht="24" customHeight="1" x14ac:dyDescent="0.3">
      <c r="A299" s="10" t="s">
        <v>19</v>
      </c>
      <c r="B299" s="10" t="s">
        <v>114</v>
      </c>
      <c r="C299" s="10"/>
      <c r="D299" s="10" t="s">
        <v>1058</v>
      </c>
      <c r="E299" s="10"/>
      <c r="F299" s="10"/>
      <c r="G299" s="10"/>
      <c r="H299" s="21"/>
      <c r="I299" s="21">
        <f>SUM(I213:I298)</f>
        <v>18607570</v>
      </c>
      <c r="J299" s="21"/>
      <c r="K299" s="21">
        <f>SUM(K213:K298)</f>
        <v>83275924</v>
      </c>
      <c r="L299" s="21"/>
      <c r="M299" s="21">
        <f>SUM(M213:M298)</f>
        <v>5071473</v>
      </c>
      <c r="N299" s="21"/>
      <c r="O299" s="21">
        <f>SUM(O213:O298)</f>
        <v>106954967</v>
      </c>
      <c r="P299" s="10"/>
      <c r="Q299" s="10" t="s">
        <v>1059</v>
      </c>
    </row>
    <row r="300" spans="1:17" ht="24" customHeight="1" x14ac:dyDescent="0.3">
      <c r="A300" t="s">
        <v>19</v>
      </c>
      <c r="B300" t="s">
        <v>115</v>
      </c>
      <c r="C300">
        <v>1</v>
      </c>
      <c r="D300" t="s">
        <v>1060</v>
      </c>
      <c r="E300" t="s">
        <v>876</v>
      </c>
      <c r="F300">
        <v>66</v>
      </c>
      <c r="G300" t="s">
        <v>171</v>
      </c>
      <c r="H300" s="19">
        <v>0</v>
      </c>
      <c r="I300" s="19">
        <f t="shared" ref="I300:I331" si="43">F300*H300</f>
        <v>0</v>
      </c>
      <c r="J300" s="19">
        <v>33455</v>
      </c>
      <c r="K300" s="19">
        <f t="shared" ref="K300:K331" si="44">F300*J300</f>
        <v>2208030</v>
      </c>
      <c r="L300" s="19">
        <v>0</v>
      </c>
      <c r="M300" s="19">
        <f t="shared" ref="M300:M331" si="45">F300*L300</f>
        <v>0</v>
      </c>
      <c r="N300" s="19">
        <f t="shared" ref="N300:N331" si="46">H300+J300+L300</f>
        <v>33455</v>
      </c>
      <c r="O300" s="19">
        <f t="shared" ref="O300:O331" si="47">I300+K300+M300</f>
        <v>2208030</v>
      </c>
      <c r="Q300" t="s">
        <v>172</v>
      </c>
    </row>
    <row r="301" spans="1:17" ht="24" customHeight="1" x14ac:dyDescent="0.3">
      <c r="A301" t="s">
        <v>19</v>
      </c>
      <c r="B301" t="s">
        <v>115</v>
      </c>
      <c r="C301">
        <v>2</v>
      </c>
      <c r="D301" t="s">
        <v>675</v>
      </c>
      <c r="E301" t="s">
        <v>1061</v>
      </c>
      <c r="F301">
        <v>60</v>
      </c>
      <c r="G301" t="s">
        <v>171</v>
      </c>
      <c r="H301" s="19">
        <v>608</v>
      </c>
      <c r="I301" s="19">
        <f t="shared" si="43"/>
        <v>36480</v>
      </c>
      <c r="J301" s="19">
        <v>9980</v>
      </c>
      <c r="K301" s="19">
        <f t="shared" si="44"/>
        <v>598800</v>
      </c>
      <c r="L301" s="19">
        <v>440</v>
      </c>
      <c r="M301" s="19">
        <f t="shared" si="45"/>
        <v>26400</v>
      </c>
      <c r="N301" s="19">
        <f t="shared" si="46"/>
        <v>11028</v>
      </c>
      <c r="O301" s="19">
        <f t="shared" si="47"/>
        <v>661680</v>
      </c>
      <c r="Q301" t="s">
        <v>676</v>
      </c>
    </row>
    <row r="302" spans="1:17" ht="24" customHeight="1" x14ac:dyDescent="0.3">
      <c r="A302" t="s">
        <v>19</v>
      </c>
      <c r="B302" t="s">
        <v>115</v>
      </c>
      <c r="C302">
        <v>3</v>
      </c>
      <c r="D302" t="s">
        <v>679</v>
      </c>
      <c r="E302" t="s">
        <v>494</v>
      </c>
      <c r="F302">
        <v>7</v>
      </c>
      <c r="G302" t="s">
        <v>171</v>
      </c>
      <c r="H302" s="19">
        <v>447</v>
      </c>
      <c r="I302" s="19">
        <f t="shared" si="43"/>
        <v>3129</v>
      </c>
      <c r="J302" s="19">
        <v>955</v>
      </c>
      <c r="K302" s="19">
        <f t="shared" si="44"/>
        <v>6685</v>
      </c>
      <c r="L302" s="19">
        <v>336</v>
      </c>
      <c r="M302" s="19">
        <f t="shared" si="45"/>
        <v>2352</v>
      </c>
      <c r="N302" s="19">
        <f t="shared" si="46"/>
        <v>1738</v>
      </c>
      <c r="O302" s="19">
        <f t="shared" si="47"/>
        <v>12166</v>
      </c>
      <c r="Q302" t="s">
        <v>172</v>
      </c>
    </row>
    <row r="303" spans="1:17" ht="24" customHeight="1" x14ac:dyDescent="0.3">
      <c r="A303" t="s">
        <v>19</v>
      </c>
      <c r="B303" t="s">
        <v>115</v>
      </c>
      <c r="C303">
        <v>4</v>
      </c>
      <c r="D303" t="s">
        <v>1062</v>
      </c>
      <c r="E303" t="s">
        <v>335</v>
      </c>
      <c r="F303">
        <v>6959</v>
      </c>
      <c r="G303" t="s">
        <v>168</v>
      </c>
      <c r="H303" s="19">
        <v>177</v>
      </c>
      <c r="I303" s="19">
        <f t="shared" si="43"/>
        <v>1231743</v>
      </c>
      <c r="J303" s="19">
        <v>1249</v>
      </c>
      <c r="K303" s="19">
        <f t="shared" si="44"/>
        <v>8691791</v>
      </c>
      <c r="L303" s="19">
        <v>311</v>
      </c>
      <c r="M303" s="19">
        <f t="shared" si="45"/>
        <v>2164249</v>
      </c>
      <c r="N303" s="19">
        <f t="shared" si="46"/>
        <v>1737</v>
      </c>
      <c r="O303" s="19">
        <f t="shared" si="47"/>
        <v>12087783</v>
      </c>
      <c r="Q303" t="s">
        <v>336</v>
      </c>
    </row>
    <row r="304" spans="1:17" ht="24" customHeight="1" x14ac:dyDescent="0.3">
      <c r="A304" t="s">
        <v>19</v>
      </c>
      <c r="B304" t="s">
        <v>115</v>
      </c>
      <c r="C304">
        <v>5</v>
      </c>
      <c r="D304" t="s">
        <v>1063</v>
      </c>
      <c r="E304" t="s">
        <v>335</v>
      </c>
      <c r="F304">
        <v>4880</v>
      </c>
      <c r="G304" t="s">
        <v>168</v>
      </c>
      <c r="H304" s="19">
        <v>177</v>
      </c>
      <c r="I304" s="19">
        <f t="shared" si="43"/>
        <v>863760</v>
      </c>
      <c r="J304" s="19">
        <v>1249</v>
      </c>
      <c r="K304" s="19">
        <f t="shared" si="44"/>
        <v>6095120</v>
      </c>
      <c r="L304" s="19">
        <v>311</v>
      </c>
      <c r="M304" s="19">
        <f t="shared" si="45"/>
        <v>1517680</v>
      </c>
      <c r="N304" s="19">
        <f t="shared" si="46"/>
        <v>1737</v>
      </c>
      <c r="O304" s="19">
        <f t="shared" si="47"/>
        <v>8476560</v>
      </c>
      <c r="Q304" t="s">
        <v>336</v>
      </c>
    </row>
    <row r="305" spans="1:17" ht="24" customHeight="1" x14ac:dyDescent="0.3">
      <c r="A305" t="s">
        <v>19</v>
      </c>
      <c r="B305" t="s">
        <v>115</v>
      </c>
      <c r="C305">
        <v>6</v>
      </c>
      <c r="D305" t="s">
        <v>1064</v>
      </c>
      <c r="E305" t="s">
        <v>339</v>
      </c>
      <c r="F305">
        <v>6952</v>
      </c>
      <c r="G305" t="s">
        <v>168</v>
      </c>
      <c r="H305" s="19">
        <v>0</v>
      </c>
      <c r="I305" s="19">
        <f t="shared" si="43"/>
        <v>0</v>
      </c>
      <c r="J305" s="19">
        <v>0</v>
      </c>
      <c r="K305" s="19">
        <f t="shared" si="44"/>
        <v>0</v>
      </c>
      <c r="L305" s="19">
        <v>0</v>
      </c>
      <c r="M305" s="19">
        <f t="shared" si="45"/>
        <v>0</v>
      </c>
      <c r="N305" s="19">
        <f t="shared" si="46"/>
        <v>0</v>
      </c>
      <c r="O305" s="19">
        <f t="shared" si="47"/>
        <v>0</v>
      </c>
      <c r="Q305" t="s">
        <v>336</v>
      </c>
    </row>
    <row r="306" spans="1:17" ht="24" customHeight="1" x14ac:dyDescent="0.3">
      <c r="A306" t="s">
        <v>19</v>
      </c>
      <c r="B306" t="s">
        <v>115</v>
      </c>
      <c r="C306">
        <v>7</v>
      </c>
      <c r="D306" t="s">
        <v>1065</v>
      </c>
      <c r="E306" t="s">
        <v>341</v>
      </c>
      <c r="F306">
        <v>4880</v>
      </c>
      <c r="G306" t="s">
        <v>168</v>
      </c>
      <c r="H306" s="19">
        <v>11</v>
      </c>
      <c r="I306" s="19">
        <f t="shared" si="43"/>
        <v>53680</v>
      </c>
      <c r="J306" s="19">
        <v>36</v>
      </c>
      <c r="K306" s="19">
        <f t="shared" si="44"/>
        <v>175680</v>
      </c>
      <c r="L306" s="19">
        <v>1</v>
      </c>
      <c r="M306" s="19">
        <f t="shared" si="45"/>
        <v>4880</v>
      </c>
      <c r="N306" s="19">
        <f t="shared" si="46"/>
        <v>48</v>
      </c>
      <c r="O306" s="19">
        <f t="shared" si="47"/>
        <v>234240</v>
      </c>
      <c r="Q306" t="s">
        <v>1066</v>
      </c>
    </row>
    <row r="307" spans="1:17" ht="24" customHeight="1" x14ac:dyDescent="0.3">
      <c r="A307" t="s">
        <v>19</v>
      </c>
      <c r="B307" t="s">
        <v>115</v>
      </c>
      <c r="C307">
        <v>8</v>
      </c>
      <c r="D307" t="s">
        <v>1067</v>
      </c>
      <c r="E307" t="s">
        <v>344</v>
      </c>
      <c r="F307">
        <v>2079</v>
      </c>
      <c r="G307" t="s">
        <v>168</v>
      </c>
      <c r="H307" s="19">
        <v>11</v>
      </c>
      <c r="I307" s="19">
        <f t="shared" si="43"/>
        <v>22869</v>
      </c>
      <c r="J307" s="19">
        <v>36</v>
      </c>
      <c r="K307" s="19">
        <f t="shared" si="44"/>
        <v>74844</v>
      </c>
      <c r="L307" s="19">
        <v>1</v>
      </c>
      <c r="M307" s="19">
        <f t="shared" si="45"/>
        <v>2079</v>
      </c>
      <c r="N307" s="19">
        <f t="shared" si="46"/>
        <v>48</v>
      </c>
      <c r="O307" s="19">
        <f t="shared" si="47"/>
        <v>99792</v>
      </c>
      <c r="Q307" t="s">
        <v>1066</v>
      </c>
    </row>
    <row r="308" spans="1:17" ht="24" customHeight="1" x14ac:dyDescent="0.3">
      <c r="A308" t="s">
        <v>19</v>
      </c>
      <c r="B308" t="s">
        <v>115</v>
      </c>
      <c r="C308">
        <v>9</v>
      </c>
      <c r="D308" t="s">
        <v>1068</v>
      </c>
      <c r="E308" t="s">
        <v>347</v>
      </c>
      <c r="F308">
        <v>6945</v>
      </c>
      <c r="G308" t="s">
        <v>168</v>
      </c>
      <c r="H308" s="19">
        <v>11</v>
      </c>
      <c r="I308" s="19">
        <f t="shared" si="43"/>
        <v>76395</v>
      </c>
      <c r="J308" s="19">
        <v>36</v>
      </c>
      <c r="K308" s="19">
        <f t="shared" si="44"/>
        <v>250020</v>
      </c>
      <c r="L308" s="19">
        <v>1</v>
      </c>
      <c r="M308" s="19">
        <f t="shared" si="45"/>
        <v>6945</v>
      </c>
      <c r="N308" s="19">
        <f t="shared" si="46"/>
        <v>48</v>
      </c>
      <c r="O308" s="19">
        <f t="shared" si="47"/>
        <v>333360</v>
      </c>
      <c r="Q308" t="s">
        <v>1069</v>
      </c>
    </row>
    <row r="309" spans="1:17" ht="24" customHeight="1" x14ac:dyDescent="0.3">
      <c r="A309" t="s">
        <v>19</v>
      </c>
      <c r="B309" t="s">
        <v>115</v>
      </c>
      <c r="C309">
        <v>10</v>
      </c>
      <c r="D309" t="s">
        <v>1070</v>
      </c>
      <c r="E309" t="s">
        <v>350</v>
      </c>
      <c r="F309">
        <v>1625</v>
      </c>
      <c r="G309" t="s">
        <v>171</v>
      </c>
      <c r="H309" s="19">
        <v>2216</v>
      </c>
      <c r="I309" s="19">
        <f t="shared" si="43"/>
        <v>3601000</v>
      </c>
      <c r="J309" s="19">
        <v>7533</v>
      </c>
      <c r="K309" s="19">
        <f t="shared" si="44"/>
        <v>12241125</v>
      </c>
      <c r="L309" s="19">
        <v>2292</v>
      </c>
      <c r="M309" s="19">
        <f t="shared" si="45"/>
        <v>3724500</v>
      </c>
      <c r="N309" s="19">
        <f t="shared" si="46"/>
        <v>12041</v>
      </c>
      <c r="O309" s="19">
        <f t="shared" si="47"/>
        <v>19566625</v>
      </c>
      <c r="Q309" t="s">
        <v>351</v>
      </c>
    </row>
    <row r="310" spans="1:17" ht="24" customHeight="1" x14ac:dyDescent="0.3">
      <c r="A310" t="s">
        <v>19</v>
      </c>
      <c r="B310" t="s">
        <v>115</v>
      </c>
      <c r="C310">
        <v>11</v>
      </c>
      <c r="D310" t="s">
        <v>1071</v>
      </c>
      <c r="E310" t="s">
        <v>353</v>
      </c>
      <c r="F310">
        <v>2645</v>
      </c>
      <c r="G310" t="s">
        <v>168</v>
      </c>
      <c r="H310" s="19">
        <v>596</v>
      </c>
      <c r="I310" s="19">
        <f t="shared" si="43"/>
        <v>1576420</v>
      </c>
      <c r="J310" s="19">
        <v>7175</v>
      </c>
      <c r="K310" s="19">
        <f t="shared" si="44"/>
        <v>18977875</v>
      </c>
      <c r="L310" s="19">
        <v>641</v>
      </c>
      <c r="M310" s="19">
        <f t="shared" si="45"/>
        <v>1695445</v>
      </c>
      <c r="N310" s="19">
        <f t="shared" si="46"/>
        <v>8412</v>
      </c>
      <c r="O310" s="19">
        <f t="shared" si="47"/>
        <v>22249740</v>
      </c>
      <c r="Q310" t="s">
        <v>354</v>
      </c>
    </row>
    <row r="311" spans="1:17" ht="24" customHeight="1" x14ac:dyDescent="0.3">
      <c r="A311" t="s">
        <v>19</v>
      </c>
      <c r="B311" t="s">
        <v>115</v>
      </c>
      <c r="C311">
        <v>12</v>
      </c>
      <c r="D311" t="s">
        <v>1072</v>
      </c>
      <c r="E311" t="s">
        <v>356</v>
      </c>
      <c r="F311">
        <v>290</v>
      </c>
      <c r="G311" t="s">
        <v>171</v>
      </c>
      <c r="H311" s="19">
        <v>1320</v>
      </c>
      <c r="I311" s="19">
        <f t="shared" si="43"/>
        <v>382800</v>
      </c>
      <c r="J311" s="19">
        <v>11220</v>
      </c>
      <c r="K311" s="19">
        <f t="shared" si="44"/>
        <v>3253800</v>
      </c>
      <c r="L311" s="19">
        <v>1521</v>
      </c>
      <c r="M311" s="19">
        <f t="shared" si="45"/>
        <v>441090</v>
      </c>
      <c r="N311" s="19">
        <f t="shared" si="46"/>
        <v>14061</v>
      </c>
      <c r="O311" s="19">
        <f t="shared" si="47"/>
        <v>4077690</v>
      </c>
      <c r="Q311" t="s">
        <v>356</v>
      </c>
    </row>
    <row r="312" spans="1:17" ht="24" customHeight="1" x14ac:dyDescent="0.3">
      <c r="A312" t="s">
        <v>19</v>
      </c>
      <c r="B312" t="s">
        <v>115</v>
      </c>
      <c r="C312">
        <v>13</v>
      </c>
      <c r="D312" t="s">
        <v>1073</v>
      </c>
      <c r="E312" t="s">
        <v>358</v>
      </c>
      <c r="F312">
        <v>26</v>
      </c>
      <c r="G312" t="s">
        <v>168</v>
      </c>
      <c r="H312" s="19">
        <v>445</v>
      </c>
      <c r="I312" s="19">
        <f t="shared" si="43"/>
        <v>11570</v>
      </c>
      <c r="J312" s="19">
        <v>1402</v>
      </c>
      <c r="K312" s="19">
        <f t="shared" si="44"/>
        <v>36452</v>
      </c>
      <c r="L312" s="19">
        <v>783</v>
      </c>
      <c r="M312" s="19">
        <f t="shared" si="45"/>
        <v>20358</v>
      </c>
      <c r="N312" s="19">
        <f t="shared" si="46"/>
        <v>2630</v>
      </c>
      <c r="O312" s="19">
        <f t="shared" si="47"/>
        <v>68380</v>
      </c>
      <c r="Q312" t="s">
        <v>359</v>
      </c>
    </row>
    <row r="313" spans="1:17" ht="24" customHeight="1" x14ac:dyDescent="0.3">
      <c r="A313" t="s">
        <v>19</v>
      </c>
      <c r="B313" t="s">
        <v>115</v>
      </c>
      <c r="C313">
        <v>14</v>
      </c>
      <c r="D313" t="s">
        <v>1074</v>
      </c>
      <c r="E313" t="s">
        <v>358</v>
      </c>
      <c r="F313">
        <v>57</v>
      </c>
      <c r="G313" t="s">
        <v>168</v>
      </c>
      <c r="H313" s="19">
        <v>445</v>
      </c>
      <c r="I313" s="19">
        <f t="shared" si="43"/>
        <v>25365</v>
      </c>
      <c r="J313" s="19">
        <v>1402</v>
      </c>
      <c r="K313" s="19">
        <f t="shared" si="44"/>
        <v>79914</v>
      </c>
      <c r="L313" s="19">
        <v>783</v>
      </c>
      <c r="M313" s="19">
        <f t="shared" si="45"/>
        <v>44631</v>
      </c>
      <c r="N313" s="19">
        <f t="shared" si="46"/>
        <v>2630</v>
      </c>
      <c r="O313" s="19">
        <f t="shared" si="47"/>
        <v>149910</v>
      </c>
      <c r="Q313" t="s">
        <v>359</v>
      </c>
    </row>
    <row r="314" spans="1:17" ht="24" customHeight="1" x14ac:dyDescent="0.3">
      <c r="A314" t="s">
        <v>19</v>
      </c>
      <c r="B314" t="s">
        <v>115</v>
      </c>
      <c r="C314">
        <v>15</v>
      </c>
      <c r="D314" t="s">
        <v>1075</v>
      </c>
      <c r="E314" t="s">
        <v>362</v>
      </c>
      <c r="F314">
        <v>9</v>
      </c>
      <c r="G314" t="s">
        <v>171</v>
      </c>
      <c r="H314" s="19">
        <v>1320</v>
      </c>
      <c r="I314" s="19">
        <f t="shared" si="43"/>
        <v>11880</v>
      </c>
      <c r="J314" s="19">
        <v>11220</v>
      </c>
      <c r="K314" s="19">
        <f t="shared" si="44"/>
        <v>100980</v>
      </c>
      <c r="L314" s="19">
        <v>1521</v>
      </c>
      <c r="M314" s="19">
        <f t="shared" si="45"/>
        <v>13689</v>
      </c>
      <c r="N314" s="19">
        <f t="shared" si="46"/>
        <v>14061</v>
      </c>
      <c r="O314" s="19">
        <f t="shared" si="47"/>
        <v>126549</v>
      </c>
      <c r="Q314" t="s">
        <v>363</v>
      </c>
    </row>
    <row r="315" spans="1:17" ht="24" customHeight="1" x14ac:dyDescent="0.3">
      <c r="A315" t="s">
        <v>19</v>
      </c>
      <c r="B315" t="s">
        <v>115</v>
      </c>
      <c r="C315">
        <v>16</v>
      </c>
      <c r="D315" t="s">
        <v>1076</v>
      </c>
      <c r="E315" t="s">
        <v>365</v>
      </c>
      <c r="F315">
        <v>1612</v>
      </c>
      <c r="G315" t="s">
        <v>168</v>
      </c>
      <c r="H315" s="19">
        <v>5499</v>
      </c>
      <c r="I315" s="19">
        <f t="shared" si="43"/>
        <v>8864388</v>
      </c>
      <c r="J315" s="19">
        <v>71313</v>
      </c>
      <c r="K315" s="19">
        <f t="shared" si="44"/>
        <v>114956556</v>
      </c>
      <c r="L315" s="19">
        <v>3096</v>
      </c>
      <c r="M315" s="19">
        <f t="shared" si="45"/>
        <v>4990752</v>
      </c>
      <c r="N315" s="19">
        <f t="shared" si="46"/>
        <v>79908</v>
      </c>
      <c r="O315" s="19">
        <f t="shared" si="47"/>
        <v>128811696</v>
      </c>
      <c r="Q315" t="s">
        <v>365</v>
      </c>
    </row>
    <row r="316" spans="1:17" ht="24" customHeight="1" x14ac:dyDescent="0.3">
      <c r="A316" t="s">
        <v>19</v>
      </c>
      <c r="B316" t="s">
        <v>115</v>
      </c>
      <c r="C316">
        <v>17</v>
      </c>
      <c r="D316" t="s">
        <v>1062</v>
      </c>
      <c r="E316" t="s">
        <v>556</v>
      </c>
      <c r="F316">
        <v>79</v>
      </c>
      <c r="G316" t="s">
        <v>168</v>
      </c>
      <c r="H316" s="19">
        <v>177</v>
      </c>
      <c r="I316" s="19">
        <f t="shared" si="43"/>
        <v>13983</v>
      </c>
      <c r="J316" s="19">
        <v>1249</v>
      </c>
      <c r="K316" s="19">
        <f t="shared" si="44"/>
        <v>98671</v>
      </c>
      <c r="L316" s="19">
        <v>311</v>
      </c>
      <c r="M316" s="19">
        <f t="shared" si="45"/>
        <v>24569</v>
      </c>
      <c r="N316" s="19">
        <f t="shared" si="46"/>
        <v>1737</v>
      </c>
      <c r="O316" s="19">
        <f t="shared" si="47"/>
        <v>137223</v>
      </c>
      <c r="Q316" t="s">
        <v>336</v>
      </c>
    </row>
    <row r="317" spans="1:17" ht="24" customHeight="1" x14ac:dyDescent="0.3">
      <c r="A317" t="s">
        <v>19</v>
      </c>
      <c r="B317" t="s">
        <v>115</v>
      </c>
      <c r="C317">
        <v>18</v>
      </c>
      <c r="D317" t="s">
        <v>1077</v>
      </c>
      <c r="E317" t="s">
        <v>344</v>
      </c>
      <c r="F317">
        <v>256</v>
      </c>
      <c r="G317" t="s">
        <v>168</v>
      </c>
      <c r="H317" s="19">
        <v>11</v>
      </c>
      <c r="I317" s="19">
        <f t="shared" si="43"/>
        <v>2816</v>
      </c>
      <c r="J317" s="19">
        <v>36</v>
      </c>
      <c r="K317" s="19">
        <f t="shared" si="44"/>
        <v>9216</v>
      </c>
      <c r="L317" s="19">
        <v>1</v>
      </c>
      <c r="M317" s="19">
        <f t="shared" si="45"/>
        <v>256</v>
      </c>
      <c r="N317" s="19">
        <f t="shared" si="46"/>
        <v>48</v>
      </c>
      <c r="O317" s="19">
        <f t="shared" si="47"/>
        <v>12288</v>
      </c>
      <c r="Q317" t="s">
        <v>1066</v>
      </c>
    </row>
    <row r="318" spans="1:17" ht="24" customHeight="1" x14ac:dyDescent="0.3">
      <c r="A318" t="s">
        <v>19</v>
      </c>
      <c r="B318" t="s">
        <v>115</v>
      </c>
      <c r="C318">
        <v>19</v>
      </c>
      <c r="D318" t="s">
        <v>1078</v>
      </c>
      <c r="E318" t="s">
        <v>388</v>
      </c>
      <c r="F318">
        <v>64</v>
      </c>
      <c r="G318" t="s">
        <v>168</v>
      </c>
      <c r="H318" s="19">
        <v>21956</v>
      </c>
      <c r="I318" s="19">
        <f t="shared" si="43"/>
        <v>1405184</v>
      </c>
      <c r="J318" s="19">
        <v>5987</v>
      </c>
      <c r="K318" s="19">
        <f t="shared" si="44"/>
        <v>383168</v>
      </c>
      <c r="L318" s="19">
        <v>724</v>
      </c>
      <c r="M318" s="19">
        <f t="shared" si="45"/>
        <v>46336</v>
      </c>
      <c r="N318" s="19">
        <f t="shared" si="46"/>
        <v>28667</v>
      </c>
      <c r="O318" s="19">
        <f t="shared" si="47"/>
        <v>1834688</v>
      </c>
      <c r="Q318" t="s">
        <v>398</v>
      </c>
    </row>
    <row r="319" spans="1:17" ht="24" customHeight="1" x14ac:dyDescent="0.3">
      <c r="A319" t="s">
        <v>19</v>
      </c>
      <c r="B319" t="s">
        <v>115</v>
      </c>
      <c r="C319">
        <v>20</v>
      </c>
      <c r="D319" t="s">
        <v>1079</v>
      </c>
      <c r="E319" t="s">
        <v>393</v>
      </c>
      <c r="F319">
        <v>64</v>
      </c>
      <c r="G319" t="s">
        <v>168</v>
      </c>
      <c r="H319" s="19">
        <v>21956</v>
      </c>
      <c r="I319" s="19">
        <f t="shared" si="43"/>
        <v>1405184</v>
      </c>
      <c r="J319" s="19">
        <v>5987</v>
      </c>
      <c r="K319" s="19">
        <f t="shared" si="44"/>
        <v>383168</v>
      </c>
      <c r="L319" s="19">
        <v>724</v>
      </c>
      <c r="M319" s="19">
        <f t="shared" si="45"/>
        <v>46336</v>
      </c>
      <c r="N319" s="19">
        <f t="shared" si="46"/>
        <v>28667</v>
      </c>
      <c r="O319" s="19">
        <f t="shared" si="47"/>
        <v>1834688</v>
      </c>
      <c r="Q319" t="s">
        <v>398</v>
      </c>
    </row>
    <row r="320" spans="1:17" ht="24" customHeight="1" x14ac:dyDescent="0.3">
      <c r="A320" t="s">
        <v>19</v>
      </c>
      <c r="B320" t="s">
        <v>115</v>
      </c>
      <c r="C320">
        <v>21</v>
      </c>
      <c r="D320" t="s">
        <v>1080</v>
      </c>
      <c r="E320" t="s">
        <v>402</v>
      </c>
      <c r="F320">
        <v>128</v>
      </c>
      <c r="G320" t="s">
        <v>168</v>
      </c>
      <c r="H320" s="19">
        <v>4840</v>
      </c>
      <c r="I320" s="19">
        <f t="shared" si="43"/>
        <v>619520</v>
      </c>
      <c r="J320" s="19">
        <v>3492</v>
      </c>
      <c r="K320" s="19">
        <f t="shared" si="44"/>
        <v>446976</v>
      </c>
      <c r="L320" s="19">
        <v>247</v>
      </c>
      <c r="M320" s="19">
        <f t="shared" si="45"/>
        <v>31616</v>
      </c>
      <c r="N320" s="19">
        <f t="shared" si="46"/>
        <v>8579</v>
      </c>
      <c r="O320" s="19">
        <f t="shared" si="47"/>
        <v>1098112</v>
      </c>
      <c r="Q320" t="s">
        <v>1081</v>
      </c>
    </row>
    <row r="321" spans="1:17" ht="24" customHeight="1" x14ac:dyDescent="0.3">
      <c r="A321" t="s">
        <v>19</v>
      </c>
      <c r="B321" t="s">
        <v>115</v>
      </c>
      <c r="C321">
        <v>22</v>
      </c>
      <c r="D321" t="s">
        <v>1062</v>
      </c>
      <c r="E321" t="s">
        <v>335</v>
      </c>
      <c r="F321">
        <v>96</v>
      </c>
      <c r="G321" t="s">
        <v>168</v>
      </c>
      <c r="H321" s="19">
        <v>177</v>
      </c>
      <c r="I321" s="19">
        <f t="shared" si="43"/>
        <v>16992</v>
      </c>
      <c r="J321" s="19">
        <v>1249</v>
      </c>
      <c r="K321" s="19">
        <f t="shared" si="44"/>
        <v>119904</v>
      </c>
      <c r="L321" s="19">
        <v>311</v>
      </c>
      <c r="M321" s="19">
        <f t="shared" si="45"/>
        <v>29856</v>
      </c>
      <c r="N321" s="19">
        <f t="shared" si="46"/>
        <v>1737</v>
      </c>
      <c r="O321" s="19">
        <f t="shared" si="47"/>
        <v>166752</v>
      </c>
      <c r="Q321" t="s">
        <v>336</v>
      </c>
    </row>
    <row r="322" spans="1:17" ht="24" customHeight="1" x14ac:dyDescent="0.3">
      <c r="A322" t="s">
        <v>19</v>
      </c>
      <c r="B322" t="s">
        <v>115</v>
      </c>
      <c r="C322">
        <v>23</v>
      </c>
      <c r="D322" t="s">
        <v>1077</v>
      </c>
      <c r="E322" t="s">
        <v>344</v>
      </c>
      <c r="F322">
        <v>193</v>
      </c>
      <c r="G322" t="s">
        <v>168</v>
      </c>
      <c r="H322" s="19">
        <v>11</v>
      </c>
      <c r="I322" s="19">
        <f t="shared" si="43"/>
        <v>2123</v>
      </c>
      <c r="J322" s="19">
        <v>36</v>
      </c>
      <c r="K322" s="19">
        <f t="shared" si="44"/>
        <v>6948</v>
      </c>
      <c r="L322" s="19">
        <v>1</v>
      </c>
      <c r="M322" s="19">
        <f t="shared" si="45"/>
        <v>193</v>
      </c>
      <c r="N322" s="19">
        <f t="shared" si="46"/>
        <v>48</v>
      </c>
      <c r="O322" s="19">
        <f t="shared" si="47"/>
        <v>9264</v>
      </c>
      <c r="Q322" t="s">
        <v>1066</v>
      </c>
    </row>
    <row r="323" spans="1:17" ht="24" customHeight="1" x14ac:dyDescent="0.3">
      <c r="A323" t="s">
        <v>19</v>
      </c>
      <c r="B323" t="s">
        <v>115</v>
      </c>
      <c r="C323">
        <v>24</v>
      </c>
      <c r="D323" t="s">
        <v>1082</v>
      </c>
      <c r="E323" t="s">
        <v>365</v>
      </c>
      <c r="F323">
        <v>48</v>
      </c>
      <c r="G323" t="s">
        <v>168</v>
      </c>
      <c r="H323" s="19">
        <v>5499</v>
      </c>
      <c r="I323" s="19">
        <f t="shared" si="43"/>
        <v>263952</v>
      </c>
      <c r="J323" s="19">
        <v>71313</v>
      </c>
      <c r="K323" s="19">
        <f t="shared" si="44"/>
        <v>3423024</v>
      </c>
      <c r="L323" s="19">
        <v>3096</v>
      </c>
      <c r="M323" s="19">
        <f t="shared" si="45"/>
        <v>148608</v>
      </c>
      <c r="N323" s="19">
        <f t="shared" si="46"/>
        <v>79908</v>
      </c>
      <c r="O323" s="19">
        <f t="shared" si="47"/>
        <v>3835584</v>
      </c>
      <c r="Q323" t="s">
        <v>365</v>
      </c>
    </row>
    <row r="324" spans="1:17" ht="24" customHeight="1" x14ac:dyDescent="0.3">
      <c r="A324" t="s">
        <v>19</v>
      </c>
      <c r="B324" t="s">
        <v>115</v>
      </c>
      <c r="C324">
        <v>25</v>
      </c>
      <c r="D324" t="s">
        <v>1079</v>
      </c>
      <c r="E324" t="s">
        <v>397</v>
      </c>
      <c r="F324">
        <v>24</v>
      </c>
      <c r="G324" t="s">
        <v>168</v>
      </c>
      <c r="H324" s="19">
        <v>21956</v>
      </c>
      <c r="I324" s="19">
        <f t="shared" si="43"/>
        <v>526944</v>
      </c>
      <c r="J324" s="19">
        <v>5987</v>
      </c>
      <c r="K324" s="19">
        <f t="shared" si="44"/>
        <v>143688</v>
      </c>
      <c r="L324" s="19">
        <v>724</v>
      </c>
      <c r="M324" s="19">
        <f t="shared" si="45"/>
        <v>17376</v>
      </c>
      <c r="N324" s="19">
        <f t="shared" si="46"/>
        <v>28667</v>
      </c>
      <c r="O324" s="19">
        <f t="shared" si="47"/>
        <v>688008</v>
      </c>
      <c r="Q324" t="s">
        <v>398</v>
      </c>
    </row>
    <row r="325" spans="1:17" ht="24" customHeight="1" x14ac:dyDescent="0.3">
      <c r="A325" t="s">
        <v>19</v>
      </c>
      <c r="B325" t="s">
        <v>115</v>
      </c>
      <c r="C325">
        <v>26</v>
      </c>
      <c r="D325" t="s">
        <v>1083</v>
      </c>
      <c r="E325" t="s">
        <v>400</v>
      </c>
      <c r="F325">
        <v>2</v>
      </c>
      <c r="G325" t="s">
        <v>168</v>
      </c>
      <c r="H325" s="19">
        <v>21956</v>
      </c>
      <c r="I325" s="19">
        <f t="shared" si="43"/>
        <v>43912</v>
      </c>
      <c r="J325" s="19">
        <v>5987</v>
      </c>
      <c r="K325" s="19">
        <f t="shared" si="44"/>
        <v>11974</v>
      </c>
      <c r="L325" s="19">
        <v>724</v>
      </c>
      <c r="M325" s="19">
        <f t="shared" si="45"/>
        <v>1448</v>
      </c>
      <c r="N325" s="19">
        <f t="shared" si="46"/>
        <v>28667</v>
      </c>
      <c r="O325" s="19">
        <f t="shared" si="47"/>
        <v>57334</v>
      </c>
      <c r="Q325" t="s">
        <v>398</v>
      </c>
    </row>
    <row r="326" spans="1:17" ht="24" customHeight="1" x14ac:dyDescent="0.3">
      <c r="A326" t="s">
        <v>19</v>
      </c>
      <c r="B326" t="s">
        <v>115</v>
      </c>
      <c r="C326">
        <v>27</v>
      </c>
      <c r="D326" t="s">
        <v>1084</v>
      </c>
      <c r="E326" t="s">
        <v>397</v>
      </c>
      <c r="F326">
        <v>24</v>
      </c>
      <c r="G326" t="s">
        <v>168</v>
      </c>
      <c r="H326" s="19">
        <v>4840</v>
      </c>
      <c r="I326" s="19">
        <f t="shared" si="43"/>
        <v>116160</v>
      </c>
      <c r="J326" s="19">
        <v>3492</v>
      </c>
      <c r="K326" s="19">
        <f t="shared" si="44"/>
        <v>83808</v>
      </c>
      <c r="L326" s="19">
        <v>247</v>
      </c>
      <c r="M326" s="19">
        <f t="shared" si="45"/>
        <v>5928</v>
      </c>
      <c r="N326" s="19">
        <f t="shared" si="46"/>
        <v>8579</v>
      </c>
      <c r="O326" s="19">
        <f t="shared" si="47"/>
        <v>205896</v>
      </c>
      <c r="Q326" t="s">
        <v>1081</v>
      </c>
    </row>
    <row r="327" spans="1:17" ht="24" customHeight="1" x14ac:dyDescent="0.3">
      <c r="A327" t="s">
        <v>19</v>
      </c>
      <c r="B327" t="s">
        <v>115</v>
      </c>
      <c r="C327">
        <v>28</v>
      </c>
      <c r="D327" t="s">
        <v>1085</v>
      </c>
      <c r="E327" t="s">
        <v>400</v>
      </c>
      <c r="F327">
        <v>2</v>
      </c>
      <c r="G327" t="s">
        <v>168</v>
      </c>
      <c r="H327" s="19">
        <v>4840</v>
      </c>
      <c r="I327" s="19">
        <f t="shared" si="43"/>
        <v>9680</v>
      </c>
      <c r="J327" s="19">
        <v>3492</v>
      </c>
      <c r="K327" s="19">
        <f t="shared" si="44"/>
        <v>6984</v>
      </c>
      <c r="L327" s="19">
        <v>247</v>
      </c>
      <c r="M327" s="19">
        <f t="shared" si="45"/>
        <v>494</v>
      </c>
      <c r="N327" s="19">
        <f t="shared" si="46"/>
        <v>8579</v>
      </c>
      <c r="O327" s="19">
        <f t="shared" si="47"/>
        <v>17158</v>
      </c>
      <c r="Q327" t="s">
        <v>1081</v>
      </c>
    </row>
    <row r="328" spans="1:17" ht="24" customHeight="1" x14ac:dyDescent="0.3">
      <c r="A328" t="s">
        <v>19</v>
      </c>
      <c r="B328" t="s">
        <v>115</v>
      </c>
      <c r="C328">
        <v>29</v>
      </c>
      <c r="D328" t="s">
        <v>1086</v>
      </c>
      <c r="E328" t="s">
        <v>367</v>
      </c>
      <c r="F328">
        <v>1235</v>
      </c>
      <c r="G328" t="s">
        <v>199</v>
      </c>
      <c r="H328" s="19">
        <v>659</v>
      </c>
      <c r="I328" s="19">
        <f t="shared" si="43"/>
        <v>813865</v>
      </c>
      <c r="J328" s="19">
        <v>6686</v>
      </c>
      <c r="K328" s="19">
        <f t="shared" si="44"/>
        <v>8257210</v>
      </c>
      <c r="L328" s="19">
        <v>522</v>
      </c>
      <c r="M328" s="19">
        <f t="shared" si="45"/>
        <v>644670</v>
      </c>
      <c r="N328" s="19">
        <f t="shared" si="46"/>
        <v>7867</v>
      </c>
      <c r="O328" s="19">
        <f t="shared" si="47"/>
        <v>9715745</v>
      </c>
      <c r="Q328" t="s">
        <v>368</v>
      </c>
    </row>
    <row r="329" spans="1:17" ht="24" customHeight="1" x14ac:dyDescent="0.3">
      <c r="A329" t="s">
        <v>19</v>
      </c>
      <c r="B329" t="s">
        <v>115</v>
      </c>
      <c r="C329">
        <v>30</v>
      </c>
      <c r="D329" t="s">
        <v>1087</v>
      </c>
      <c r="E329" t="s">
        <v>1088</v>
      </c>
      <c r="F329">
        <v>114</v>
      </c>
      <c r="G329" t="s">
        <v>199</v>
      </c>
      <c r="H329" s="19">
        <v>771</v>
      </c>
      <c r="I329" s="19">
        <f t="shared" si="43"/>
        <v>87894</v>
      </c>
      <c r="J329" s="19">
        <v>7823</v>
      </c>
      <c r="K329" s="19">
        <f t="shared" si="44"/>
        <v>891822</v>
      </c>
      <c r="L329" s="19">
        <v>610</v>
      </c>
      <c r="M329" s="19">
        <f t="shared" si="45"/>
        <v>69540</v>
      </c>
      <c r="N329" s="19">
        <f t="shared" si="46"/>
        <v>9204</v>
      </c>
      <c r="O329" s="19">
        <f t="shared" si="47"/>
        <v>1049256</v>
      </c>
      <c r="Q329" t="s">
        <v>371</v>
      </c>
    </row>
    <row r="330" spans="1:17" ht="24" customHeight="1" x14ac:dyDescent="0.3">
      <c r="A330" t="s">
        <v>19</v>
      </c>
      <c r="B330" t="s">
        <v>115</v>
      </c>
      <c r="C330">
        <v>31</v>
      </c>
      <c r="D330" t="s">
        <v>1089</v>
      </c>
      <c r="E330" t="s">
        <v>370</v>
      </c>
      <c r="F330">
        <v>84</v>
      </c>
      <c r="G330" t="s">
        <v>199</v>
      </c>
      <c r="H330" s="19">
        <v>771</v>
      </c>
      <c r="I330" s="19">
        <f t="shared" si="43"/>
        <v>64764</v>
      </c>
      <c r="J330" s="19">
        <v>7823</v>
      </c>
      <c r="K330" s="19">
        <f t="shared" si="44"/>
        <v>657132</v>
      </c>
      <c r="L330" s="19">
        <v>610</v>
      </c>
      <c r="M330" s="19">
        <f t="shared" si="45"/>
        <v>51240</v>
      </c>
      <c r="N330" s="19">
        <f t="shared" si="46"/>
        <v>9204</v>
      </c>
      <c r="O330" s="19">
        <f t="shared" si="47"/>
        <v>773136</v>
      </c>
      <c r="Q330" t="s">
        <v>371</v>
      </c>
    </row>
    <row r="331" spans="1:17" ht="24" customHeight="1" x14ac:dyDescent="0.3">
      <c r="A331" t="s">
        <v>19</v>
      </c>
      <c r="B331" t="s">
        <v>115</v>
      </c>
      <c r="C331">
        <v>32</v>
      </c>
      <c r="D331" t="s">
        <v>1090</v>
      </c>
      <c r="E331" t="s">
        <v>373</v>
      </c>
      <c r="F331">
        <v>113</v>
      </c>
      <c r="G331" t="s">
        <v>199</v>
      </c>
      <c r="H331" s="19">
        <v>771</v>
      </c>
      <c r="I331" s="19">
        <f t="shared" si="43"/>
        <v>87123</v>
      </c>
      <c r="J331" s="19">
        <v>7823</v>
      </c>
      <c r="K331" s="19">
        <f t="shared" si="44"/>
        <v>883999</v>
      </c>
      <c r="L331" s="19">
        <v>610</v>
      </c>
      <c r="M331" s="19">
        <f t="shared" si="45"/>
        <v>68930</v>
      </c>
      <c r="N331" s="19">
        <f t="shared" si="46"/>
        <v>9204</v>
      </c>
      <c r="O331" s="19">
        <f t="shared" si="47"/>
        <v>1040052</v>
      </c>
      <c r="Q331" t="s">
        <v>371</v>
      </c>
    </row>
    <row r="332" spans="1:17" ht="24" customHeight="1" x14ac:dyDescent="0.3">
      <c r="A332" t="s">
        <v>19</v>
      </c>
      <c r="B332" t="s">
        <v>115</v>
      </c>
      <c r="C332">
        <v>33</v>
      </c>
      <c r="D332" t="s">
        <v>1091</v>
      </c>
      <c r="E332" t="s">
        <v>375</v>
      </c>
      <c r="F332">
        <v>1297</v>
      </c>
      <c r="G332" t="s">
        <v>199</v>
      </c>
      <c r="H332" s="19">
        <v>659</v>
      </c>
      <c r="I332" s="19">
        <f t="shared" ref="I332:I363" si="48">F332*H332</f>
        <v>854723</v>
      </c>
      <c r="J332" s="19">
        <v>6686</v>
      </c>
      <c r="K332" s="19">
        <f t="shared" ref="K332:K363" si="49">F332*J332</f>
        <v>8671742</v>
      </c>
      <c r="L332" s="19">
        <v>522</v>
      </c>
      <c r="M332" s="19">
        <f t="shared" ref="M332:M363" si="50">F332*L332</f>
        <v>677034</v>
      </c>
      <c r="N332" s="19">
        <f t="shared" ref="N332:N363" si="51">H332+J332+L332</f>
        <v>7867</v>
      </c>
      <c r="O332" s="19">
        <f t="shared" ref="O332:O363" si="52">I332+K332+M332</f>
        <v>10203499</v>
      </c>
      <c r="Q332" t="s">
        <v>368</v>
      </c>
    </row>
    <row r="333" spans="1:17" ht="24" customHeight="1" x14ac:dyDescent="0.3">
      <c r="A333" t="s">
        <v>19</v>
      </c>
      <c r="B333" t="s">
        <v>115</v>
      </c>
      <c r="C333">
        <v>34</v>
      </c>
      <c r="D333" t="s">
        <v>1092</v>
      </c>
      <c r="E333" t="s">
        <v>379</v>
      </c>
      <c r="F333">
        <v>6</v>
      </c>
      <c r="G333" t="s">
        <v>188</v>
      </c>
      <c r="H333" s="19">
        <v>10164</v>
      </c>
      <c r="I333" s="19">
        <f t="shared" si="48"/>
        <v>60984</v>
      </c>
      <c r="J333" s="19">
        <v>386451</v>
      </c>
      <c r="K333" s="19">
        <f t="shared" si="49"/>
        <v>2318706</v>
      </c>
      <c r="L333" s="19">
        <v>10071</v>
      </c>
      <c r="M333" s="19">
        <f t="shared" si="50"/>
        <v>60426</v>
      </c>
      <c r="N333" s="19">
        <f t="shared" si="51"/>
        <v>406686</v>
      </c>
      <c r="O333" s="19">
        <f t="shared" si="52"/>
        <v>2440116</v>
      </c>
      <c r="Q333" t="s">
        <v>380</v>
      </c>
    </row>
    <row r="334" spans="1:17" ht="24" customHeight="1" x14ac:dyDescent="0.3">
      <c r="A334" t="s">
        <v>19</v>
      </c>
      <c r="B334" t="s">
        <v>115</v>
      </c>
      <c r="C334">
        <v>35</v>
      </c>
      <c r="D334" t="s">
        <v>1093</v>
      </c>
      <c r="E334" t="s">
        <v>382</v>
      </c>
      <c r="F334">
        <v>6</v>
      </c>
      <c r="G334" t="s">
        <v>188</v>
      </c>
      <c r="H334" s="19">
        <v>10164</v>
      </c>
      <c r="I334" s="19">
        <f t="shared" si="48"/>
        <v>60984</v>
      </c>
      <c r="J334" s="19">
        <v>386451</v>
      </c>
      <c r="K334" s="19">
        <f t="shared" si="49"/>
        <v>2318706</v>
      </c>
      <c r="L334" s="19">
        <v>10071</v>
      </c>
      <c r="M334" s="19">
        <f t="shared" si="50"/>
        <v>60426</v>
      </c>
      <c r="N334" s="19">
        <f t="shared" si="51"/>
        <v>406686</v>
      </c>
      <c r="O334" s="19">
        <f t="shared" si="52"/>
        <v>2440116</v>
      </c>
      <c r="Q334" t="s">
        <v>383</v>
      </c>
    </row>
    <row r="335" spans="1:17" ht="24" customHeight="1" x14ac:dyDescent="0.3">
      <c r="A335" t="s">
        <v>19</v>
      </c>
      <c r="B335" t="s">
        <v>115</v>
      </c>
      <c r="C335">
        <v>36</v>
      </c>
      <c r="D335" t="s">
        <v>1094</v>
      </c>
      <c r="E335" t="s">
        <v>1095</v>
      </c>
      <c r="F335">
        <v>1</v>
      </c>
      <c r="G335" t="s">
        <v>188</v>
      </c>
      <c r="H335" s="19">
        <v>10164</v>
      </c>
      <c r="I335" s="19">
        <f t="shared" si="48"/>
        <v>10164</v>
      </c>
      <c r="J335" s="19">
        <v>386451</v>
      </c>
      <c r="K335" s="19">
        <f t="shared" si="49"/>
        <v>386451</v>
      </c>
      <c r="L335" s="19">
        <v>10071</v>
      </c>
      <c r="M335" s="19">
        <f t="shared" si="50"/>
        <v>10071</v>
      </c>
      <c r="N335" s="19">
        <f t="shared" si="51"/>
        <v>406686</v>
      </c>
      <c r="O335" s="19">
        <f t="shared" si="52"/>
        <v>406686</v>
      </c>
      <c r="P335" t="s">
        <v>247</v>
      </c>
      <c r="Q335" t="s">
        <v>1096</v>
      </c>
    </row>
    <row r="336" spans="1:17" ht="24" customHeight="1" x14ac:dyDescent="0.3">
      <c r="A336" t="s">
        <v>19</v>
      </c>
      <c r="B336" t="s">
        <v>115</v>
      </c>
      <c r="C336">
        <v>37</v>
      </c>
      <c r="D336" t="s">
        <v>1097</v>
      </c>
      <c r="E336" t="s">
        <v>1098</v>
      </c>
      <c r="F336">
        <v>2</v>
      </c>
      <c r="G336" t="s">
        <v>188</v>
      </c>
      <c r="H336" s="19">
        <v>16510</v>
      </c>
      <c r="I336" s="19">
        <f t="shared" si="48"/>
        <v>33020</v>
      </c>
      <c r="J336" s="19"/>
      <c r="K336" s="19">
        <f t="shared" si="49"/>
        <v>0</v>
      </c>
      <c r="L336" s="19"/>
      <c r="M336" s="19">
        <f t="shared" si="50"/>
        <v>0</v>
      </c>
      <c r="N336" s="19">
        <f t="shared" si="51"/>
        <v>16510</v>
      </c>
      <c r="O336" s="19">
        <f t="shared" si="52"/>
        <v>33020</v>
      </c>
      <c r="P336" t="s">
        <v>247</v>
      </c>
      <c r="Q336" t="s">
        <v>1099</v>
      </c>
    </row>
    <row r="337" spans="1:17" ht="24" customHeight="1" x14ac:dyDescent="0.3">
      <c r="A337" t="s">
        <v>19</v>
      </c>
      <c r="B337" t="s">
        <v>115</v>
      </c>
      <c r="C337">
        <v>38</v>
      </c>
      <c r="D337" t="s">
        <v>1100</v>
      </c>
      <c r="E337" t="s">
        <v>379</v>
      </c>
      <c r="F337">
        <v>1</v>
      </c>
      <c r="G337" t="s">
        <v>188</v>
      </c>
      <c r="H337" s="19">
        <v>10164</v>
      </c>
      <c r="I337" s="19">
        <f t="shared" si="48"/>
        <v>10164</v>
      </c>
      <c r="J337" s="19">
        <v>386451</v>
      </c>
      <c r="K337" s="19">
        <f t="shared" si="49"/>
        <v>386451</v>
      </c>
      <c r="L337" s="19">
        <v>10071</v>
      </c>
      <c r="M337" s="19">
        <f t="shared" si="50"/>
        <v>10071</v>
      </c>
      <c r="N337" s="19">
        <f t="shared" si="51"/>
        <v>406686</v>
      </c>
      <c r="O337" s="19">
        <f t="shared" si="52"/>
        <v>406686</v>
      </c>
      <c r="Q337" t="s">
        <v>380</v>
      </c>
    </row>
    <row r="338" spans="1:17" ht="24" customHeight="1" x14ac:dyDescent="0.3">
      <c r="A338" t="s">
        <v>19</v>
      </c>
      <c r="B338" t="s">
        <v>115</v>
      </c>
      <c r="C338">
        <v>39</v>
      </c>
      <c r="D338" t="s">
        <v>1101</v>
      </c>
      <c r="E338" t="s">
        <v>379</v>
      </c>
      <c r="F338">
        <v>1</v>
      </c>
      <c r="G338" t="s">
        <v>188</v>
      </c>
      <c r="H338" s="19">
        <v>10164</v>
      </c>
      <c r="I338" s="19">
        <f t="shared" si="48"/>
        <v>10164</v>
      </c>
      <c r="J338" s="19">
        <v>386451</v>
      </c>
      <c r="K338" s="19">
        <f t="shared" si="49"/>
        <v>386451</v>
      </c>
      <c r="L338" s="19">
        <v>10071</v>
      </c>
      <c r="M338" s="19">
        <f t="shared" si="50"/>
        <v>10071</v>
      </c>
      <c r="N338" s="19">
        <f t="shared" si="51"/>
        <v>406686</v>
      </c>
      <c r="O338" s="19">
        <f t="shared" si="52"/>
        <v>406686</v>
      </c>
      <c r="Q338" t="s">
        <v>380</v>
      </c>
    </row>
    <row r="339" spans="1:17" ht="24" customHeight="1" x14ac:dyDescent="0.3">
      <c r="A339" t="s">
        <v>19</v>
      </c>
      <c r="B339" t="s">
        <v>115</v>
      </c>
      <c r="C339">
        <v>40</v>
      </c>
      <c r="D339" t="s">
        <v>1102</v>
      </c>
      <c r="E339" t="s">
        <v>1103</v>
      </c>
      <c r="F339">
        <v>1</v>
      </c>
      <c r="G339" t="s">
        <v>188</v>
      </c>
      <c r="H339" s="19">
        <v>11023</v>
      </c>
      <c r="I339" s="19">
        <f t="shared" si="48"/>
        <v>11023</v>
      </c>
      <c r="J339" s="19">
        <v>423623</v>
      </c>
      <c r="K339" s="19">
        <f t="shared" si="49"/>
        <v>423623</v>
      </c>
      <c r="L339" s="19">
        <v>10917</v>
      </c>
      <c r="M339" s="19">
        <f t="shared" si="50"/>
        <v>10917</v>
      </c>
      <c r="N339" s="19">
        <f t="shared" si="51"/>
        <v>445563</v>
      </c>
      <c r="O339" s="19">
        <f t="shared" si="52"/>
        <v>445563</v>
      </c>
      <c r="P339" t="s">
        <v>247</v>
      </c>
      <c r="Q339" t="s">
        <v>1096</v>
      </c>
    </row>
    <row r="340" spans="1:17" ht="24" customHeight="1" x14ac:dyDescent="0.3">
      <c r="A340" t="s">
        <v>19</v>
      </c>
      <c r="B340" t="s">
        <v>115</v>
      </c>
      <c r="C340">
        <v>41</v>
      </c>
      <c r="D340" t="s">
        <v>1104</v>
      </c>
      <c r="E340" t="s">
        <v>1095</v>
      </c>
      <c r="F340">
        <v>1</v>
      </c>
      <c r="G340" t="s">
        <v>188</v>
      </c>
      <c r="H340" s="19">
        <v>10164</v>
      </c>
      <c r="I340" s="19">
        <f t="shared" si="48"/>
        <v>10164</v>
      </c>
      <c r="J340" s="19">
        <v>386451</v>
      </c>
      <c r="K340" s="19">
        <f t="shared" si="49"/>
        <v>386451</v>
      </c>
      <c r="L340" s="19">
        <v>10071</v>
      </c>
      <c r="M340" s="19">
        <f t="shared" si="50"/>
        <v>10071</v>
      </c>
      <c r="N340" s="19">
        <f t="shared" si="51"/>
        <v>406686</v>
      </c>
      <c r="O340" s="19">
        <f t="shared" si="52"/>
        <v>406686</v>
      </c>
      <c r="P340" t="s">
        <v>247</v>
      </c>
      <c r="Q340" t="s">
        <v>1096</v>
      </c>
    </row>
    <row r="341" spans="1:17" ht="24" customHeight="1" x14ac:dyDescent="0.3">
      <c r="A341" t="s">
        <v>19</v>
      </c>
      <c r="B341" t="s">
        <v>115</v>
      </c>
      <c r="C341">
        <v>42</v>
      </c>
      <c r="D341" t="s">
        <v>1105</v>
      </c>
      <c r="E341" t="s">
        <v>1106</v>
      </c>
      <c r="F341">
        <v>4</v>
      </c>
      <c r="G341" t="s">
        <v>188</v>
      </c>
      <c r="H341" s="19">
        <v>6569</v>
      </c>
      <c r="I341" s="19">
        <f t="shared" si="48"/>
        <v>26276</v>
      </c>
      <c r="J341" s="19">
        <v>167148</v>
      </c>
      <c r="K341" s="19">
        <f t="shared" si="49"/>
        <v>668592</v>
      </c>
      <c r="L341" s="19">
        <v>6876</v>
      </c>
      <c r="M341" s="19">
        <f t="shared" si="50"/>
        <v>27504</v>
      </c>
      <c r="N341" s="19">
        <f t="shared" si="51"/>
        <v>180593</v>
      </c>
      <c r="O341" s="19">
        <f t="shared" si="52"/>
        <v>722372</v>
      </c>
      <c r="Q341" t="s">
        <v>1107</v>
      </c>
    </row>
    <row r="342" spans="1:17" ht="24" customHeight="1" x14ac:dyDescent="0.3">
      <c r="A342" t="s">
        <v>19</v>
      </c>
      <c r="B342" t="s">
        <v>115</v>
      </c>
      <c r="C342">
        <v>43</v>
      </c>
      <c r="D342" t="s">
        <v>1108</v>
      </c>
      <c r="E342" t="s">
        <v>393</v>
      </c>
      <c r="F342">
        <v>111</v>
      </c>
      <c r="G342" t="s">
        <v>168</v>
      </c>
      <c r="H342" s="19">
        <v>4840</v>
      </c>
      <c r="I342" s="19">
        <f t="shared" si="48"/>
        <v>537240</v>
      </c>
      <c r="J342" s="19">
        <v>3492</v>
      </c>
      <c r="K342" s="19">
        <f t="shared" si="49"/>
        <v>387612</v>
      </c>
      <c r="L342" s="19">
        <v>247</v>
      </c>
      <c r="M342" s="19">
        <f t="shared" si="50"/>
        <v>27417</v>
      </c>
      <c r="N342" s="19">
        <f t="shared" si="51"/>
        <v>8579</v>
      </c>
      <c r="O342" s="19">
        <f t="shared" si="52"/>
        <v>952269</v>
      </c>
      <c r="Q342" t="s">
        <v>389</v>
      </c>
    </row>
    <row r="343" spans="1:17" ht="24" customHeight="1" x14ac:dyDescent="0.3">
      <c r="A343" t="s">
        <v>19</v>
      </c>
      <c r="B343" t="s">
        <v>115</v>
      </c>
      <c r="C343">
        <v>44</v>
      </c>
      <c r="D343" t="s">
        <v>1109</v>
      </c>
      <c r="E343" t="s">
        <v>388</v>
      </c>
      <c r="F343">
        <v>214</v>
      </c>
      <c r="G343" t="s">
        <v>168</v>
      </c>
      <c r="H343" s="19">
        <v>4840</v>
      </c>
      <c r="I343" s="19">
        <f t="shared" si="48"/>
        <v>1035760</v>
      </c>
      <c r="J343" s="19">
        <v>3492</v>
      </c>
      <c r="K343" s="19">
        <f t="shared" si="49"/>
        <v>747288</v>
      </c>
      <c r="L343" s="19">
        <v>247</v>
      </c>
      <c r="M343" s="19">
        <f t="shared" si="50"/>
        <v>52858</v>
      </c>
      <c r="N343" s="19">
        <f t="shared" si="51"/>
        <v>8579</v>
      </c>
      <c r="O343" s="19">
        <f t="shared" si="52"/>
        <v>1835906</v>
      </c>
      <c r="Q343" t="s">
        <v>389</v>
      </c>
    </row>
    <row r="344" spans="1:17" ht="24" customHeight="1" x14ac:dyDescent="0.3">
      <c r="A344" t="s">
        <v>19</v>
      </c>
      <c r="B344" t="s">
        <v>115</v>
      </c>
      <c r="C344">
        <v>45</v>
      </c>
      <c r="D344" t="s">
        <v>1110</v>
      </c>
      <c r="E344" t="s">
        <v>391</v>
      </c>
      <c r="F344">
        <v>1</v>
      </c>
      <c r="G344" t="s">
        <v>168</v>
      </c>
      <c r="H344" s="19">
        <v>4840</v>
      </c>
      <c r="I344" s="19">
        <f t="shared" si="48"/>
        <v>4840</v>
      </c>
      <c r="J344" s="19">
        <v>3492</v>
      </c>
      <c r="K344" s="19">
        <f t="shared" si="49"/>
        <v>3492</v>
      </c>
      <c r="L344" s="19">
        <v>247</v>
      </c>
      <c r="M344" s="19">
        <f t="shared" si="50"/>
        <v>247</v>
      </c>
      <c r="N344" s="19">
        <f t="shared" si="51"/>
        <v>8579</v>
      </c>
      <c r="O344" s="19">
        <f t="shared" si="52"/>
        <v>8579</v>
      </c>
      <c r="Q344" t="s">
        <v>389</v>
      </c>
    </row>
    <row r="345" spans="1:17" ht="24" customHeight="1" x14ac:dyDescent="0.3">
      <c r="A345" t="s">
        <v>19</v>
      </c>
      <c r="B345" t="s">
        <v>115</v>
      </c>
      <c r="C345">
        <v>46</v>
      </c>
      <c r="D345" t="s">
        <v>1111</v>
      </c>
      <c r="E345" t="s">
        <v>397</v>
      </c>
      <c r="F345">
        <v>211</v>
      </c>
      <c r="G345" t="s">
        <v>168</v>
      </c>
      <c r="H345" s="19">
        <v>21956</v>
      </c>
      <c r="I345" s="19">
        <f t="shared" si="48"/>
        <v>4632716</v>
      </c>
      <c r="J345" s="19">
        <v>5987</v>
      </c>
      <c r="K345" s="19">
        <f t="shared" si="49"/>
        <v>1263257</v>
      </c>
      <c r="L345" s="19">
        <v>724</v>
      </c>
      <c r="M345" s="19">
        <f t="shared" si="50"/>
        <v>152764</v>
      </c>
      <c r="N345" s="19">
        <f t="shared" si="51"/>
        <v>28667</v>
      </c>
      <c r="O345" s="19">
        <f t="shared" si="52"/>
        <v>6048737</v>
      </c>
      <c r="Q345" t="s">
        <v>398</v>
      </c>
    </row>
    <row r="346" spans="1:17" ht="24" customHeight="1" x14ac:dyDescent="0.3">
      <c r="A346" t="s">
        <v>19</v>
      </c>
      <c r="B346" t="s">
        <v>115</v>
      </c>
      <c r="C346">
        <v>47</v>
      </c>
      <c r="D346" t="s">
        <v>1112</v>
      </c>
      <c r="E346" t="s">
        <v>400</v>
      </c>
      <c r="F346">
        <v>26</v>
      </c>
      <c r="G346" t="s">
        <v>168</v>
      </c>
      <c r="H346" s="19">
        <v>21956</v>
      </c>
      <c r="I346" s="19">
        <f t="shared" si="48"/>
        <v>570856</v>
      </c>
      <c r="J346" s="19">
        <v>5987</v>
      </c>
      <c r="K346" s="19">
        <f t="shared" si="49"/>
        <v>155662</v>
      </c>
      <c r="L346" s="19">
        <v>724</v>
      </c>
      <c r="M346" s="19">
        <f t="shared" si="50"/>
        <v>18824</v>
      </c>
      <c r="N346" s="19">
        <f t="shared" si="51"/>
        <v>28667</v>
      </c>
      <c r="O346" s="19">
        <f t="shared" si="52"/>
        <v>745342</v>
      </c>
      <c r="Q346" t="s">
        <v>398</v>
      </c>
    </row>
    <row r="347" spans="1:17" ht="24" customHeight="1" x14ac:dyDescent="0.3">
      <c r="A347" t="s">
        <v>19</v>
      </c>
      <c r="B347" t="s">
        <v>115</v>
      </c>
      <c r="C347">
        <v>48</v>
      </c>
      <c r="D347" t="s">
        <v>1113</v>
      </c>
      <c r="E347" t="s">
        <v>402</v>
      </c>
      <c r="F347">
        <v>324</v>
      </c>
      <c r="G347" t="s">
        <v>168</v>
      </c>
      <c r="H347" s="19">
        <v>4840</v>
      </c>
      <c r="I347" s="19">
        <f t="shared" si="48"/>
        <v>1568160</v>
      </c>
      <c r="J347" s="19">
        <v>3492</v>
      </c>
      <c r="K347" s="19">
        <f t="shared" si="49"/>
        <v>1131408</v>
      </c>
      <c r="L347" s="19">
        <v>247</v>
      </c>
      <c r="M347" s="19">
        <f t="shared" si="50"/>
        <v>80028</v>
      </c>
      <c r="N347" s="19">
        <f t="shared" si="51"/>
        <v>8579</v>
      </c>
      <c r="O347" s="19">
        <f t="shared" si="52"/>
        <v>2779596</v>
      </c>
      <c r="Q347" t="s">
        <v>1081</v>
      </c>
    </row>
    <row r="348" spans="1:17" ht="24" customHeight="1" x14ac:dyDescent="0.3">
      <c r="A348" t="s">
        <v>19</v>
      </c>
      <c r="B348" t="s">
        <v>115</v>
      </c>
      <c r="C348">
        <v>49</v>
      </c>
      <c r="D348" t="s">
        <v>1114</v>
      </c>
      <c r="E348" t="s">
        <v>405</v>
      </c>
      <c r="F348">
        <v>1</v>
      </c>
      <c r="G348" t="s">
        <v>168</v>
      </c>
      <c r="H348" s="19">
        <v>4840</v>
      </c>
      <c r="I348" s="19">
        <f t="shared" si="48"/>
        <v>4840</v>
      </c>
      <c r="J348" s="19">
        <v>3492</v>
      </c>
      <c r="K348" s="19">
        <f t="shared" si="49"/>
        <v>3492</v>
      </c>
      <c r="L348" s="19">
        <v>247</v>
      </c>
      <c r="M348" s="19">
        <f t="shared" si="50"/>
        <v>247</v>
      </c>
      <c r="N348" s="19">
        <f t="shared" si="51"/>
        <v>8579</v>
      </c>
      <c r="O348" s="19">
        <f t="shared" si="52"/>
        <v>8579</v>
      </c>
      <c r="Q348" t="s">
        <v>1081</v>
      </c>
    </row>
    <row r="349" spans="1:17" ht="24" customHeight="1" x14ac:dyDescent="0.3">
      <c r="A349" t="s">
        <v>19</v>
      </c>
      <c r="B349" t="s">
        <v>115</v>
      </c>
      <c r="C349">
        <v>50</v>
      </c>
      <c r="D349" t="s">
        <v>1115</v>
      </c>
      <c r="E349" t="s">
        <v>397</v>
      </c>
      <c r="F349">
        <v>211</v>
      </c>
      <c r="G349" t="s">
        <v>168</v>
      </c>
      <c r="H349" s="19">
        <v>4840</v>
      </c>
      <c r="I349" s="19">
        <f t="shared" si="48"/>
        <v>1021240</v>
      </c>
      <c r="J349" s="19">
        <v>3492</v>
      </c>
      <c r="K349" s="19">
        <f t="shared" si="49"/>
        <v>736812</v>
      </c>
      <c r="L349" s="19">
        <v>247</v>
      </c>
      <c r="M349" s="19">
        <f t="shared" si="50"/>
        <v>52117</v>
      </c>
      <c r="N349" s="19">
        <f t="shared" si="51"/>
        <v>8579</v>
      </c>
      <c r="O349" s="19">
        <f t="shared" si="52"/>
        <v>1810169</v>
      </c>
      <c r="Q349" t="s">
        <v>1081</v>
      </c>
    </row>
    <row r="350" spans="1:17" ht="24" customHeight="1" x14ac:dyDescent="0.3">
      <c r="A350" t="s">
        <v>19</v>
      </c>
      <c r="B350" t="s">
        <v>115</v>
      </c>
      <c r="C350">
        <v>51</v>
      </c>
      <c r="D350" t="s">
        <v>1116</v>
      </c>
      <c r="E350" t="s">
        <v>400</v>
      </c>
      <c r="F350">
        <v>26</v>
      </c>
      <c r="G350" t="s">
        <v>168</v>
      </c>
      <c r="H350" s="19">
        <v>4840</v>
      </c>
      <c r="I350" s="19">
        <f t="shared" si="48"/>
        <v>125840</v>
      </c>
      <c r="J350" s="19">
        <v>3492</v>
      </c>
      <c r="K350" s="19">
        <f t="shared" si="49"/>
        <v>90792</v>
      </c>
      <c r="L350" s="19">
        <v>247</v>
      </c>
      <c r="M350" s="19">
        <f t="shared" si="50"/>
        <v>6422</v>
      </c>
      <c r="N350" s="19">
        <f t="shared" si="51"/>
        <v>8579</v>
      </c>
      <c r="O350" s="19">
        <f t="shared" si="52"/>
        <v>223054</v>
      </c>
      <c r="Q350" t="s">
        <v>1081</v>
      </c>
    </row>
    <row r="351" spans="1:17" ht="24" customHeight="1" x14ac:dyDescent="0.3">
      <c r="A351" t="s">
        <v>19</v>
      </c>
      <c r="B351" t="s">
        <v>115</v>
      </c>
      <c r="C351">
        <v>52</v>
      </c>
      <c r="D351" t="s">
        <v>1117</v>
      </c>
      <c r="E351" t="s">
        <v>411</v>
      </c>
      <c r="F351">
        <v>41</v>
      </c>
      <c r="G351" t="s">
        <v>188</v>
      </c>
      <c r="H351" s="19">
        <v>265</v>
      </c>
      <c r="I351" s="19">
        <f t="shared" si="48"/>
        <v>10865</v>
      </c>
      <c r="J351" s="19">
        <v>5316</v>
      </c>
      <c r="K351" s="19">
        <f t="shared" si="49"/>
        <v>217956</v>
      </c>
      <c r="L351" s="19">
        <v>0</v>
      </c>
      <c r="M351" s="19">
        <f t="shared" si="50"/>
        <v>0</v>
      </c>
      <c r="N351" s="19">
        <f t="shared" si="51"/>
        <v>5581</v>
      </c>
      <c r="O351" s="19">
        <f t="shared" si="52"/>
        <v>228821</v>
      </c>
      <c r="Q351" t="s">
        <v>1118</v>
      </c>
    </row>
    <row r="352" spans="1:17" ht="24" customHeight="1" x14ac:dyDescent="0.3">
      <c r="A352" t="s">
        <v>19</v>
      </c>
      <c r="B352" t="s">
        <v>115</v>
      </c>
      <c r="C352">
        <v>53</v>
      </c>
      <c r="D352" t="s">
        <v>1119</v>
      </c>
      <c r="E352" t="s">
        <v>571</v>
      </c>
      <c r="F352">
        <v>6</v>
      </c>
      <c r="G352" t="s">
        <v>188</v>
      </c>
      <c r="H352" s="19">
        <v>16010</v>
      </c>
      <c r="I352" s="19">
        <f t="shared" si="48"/>
        <v>96060</v>
      </c>
      <c r="J352" s="19">
        <v>0</v>
      </c>
      <c r="K352" s="19">
        <f t="shared" si="49"/>
        <v>0</v>
      </c>
      <c r="L352" s="19">
        <v>0</v>
      </c>
      <c r="M352" s="19">
        <f t="shared" si="50"/>
        <v>0</v>
      </c>
      <c r="N352" s="19">
        <f t="shared" si="51"/>
        <v>16010</v>
      </c>
      <c r="O352" s="19">
        <f t="shared" si="52"/>
        <v>96060</v>
      </c>
      <c r="Q352" t="s">
        <v>572</v>
      </c>
    </row>
    <row r="353" spans="1:17" ht="24" customHeight="1" x14ac:dyDescent="0.3">
      <c r="A353" t="s">
        <v>19</v>
      </c>
      <c r="B353" t="s">
        <v>115</v>
      </c>
      <c r="C353">
        <v>54</v>
      </c>
      <c r="D353" t="s">
        <v>1120</v>
      </c>
      <c r="E353" t="s">
        <v>413</v>
      </c>
      <c r="F353">
        <v>25</v>
      </c>
      <c r="G353" t="s">
        <v>233</v>
      </c>
      <c r="H353" s="19">
        <v>85000</v>
      </c>
      <c r="I353" s="19">
        <f t="shared" si="48"/>
        <v>2125000</v>
      </c>
      <c r="J353" s="19">
        <v>45000</v>
      </c>
      <c r="K353" s="19">
        <f t="shared" si="49"/>
        <v>1125000</v>
      </c>
      <c r="L353" s="19">
        <v>15000</v>
      </c>
      <c r="M353" s="19">
        <f t="shared" si="50"/>
        <v>375000</v>
      </c>
      <c r="N353" s="19">
        <f t="shared" si="51"/>
        <v>145000</v>
      </c>
      <c r="O353" s="19">
        <f t="shared" si="52"/>
        <v>3625000</v>
      </c>
      <c r="P353" t="s">
        <v>247</v>
      </c>
      <c r="Q353" t="s">
        <v>1121</v>
      </c>
    </row>
    <row r="354" spans="1:17" ht="24" customHeight="1" x14ac:dyDescent="0.3">
      <c r="A354" t="s">
        <v>19</v>
      </c>
      <c r="B354" t="s">
        <v>115</v>
      </c>
      <c r="C354">
        <v>55</v>
      </c>
      <c r="D354" t="s">
        <v>1122</v>
      </c>
      <c r="E354" t="s">
        <v>293</v>
      </c>
      <c r="F354">
        <v>10</v>
      </c>
      <c r="G354" t="s">
        <v>290</v>
      </c>
      <c r="I354" s="19">
        <f t="shared" si="48"/>
        <v>0</v>
      </c>
      <c r="J354" s="19"/>
      <c r="K354" s="19">
        <f t="shared" si="49"/>
        <v>0</v>
      </c>
      <c r="L354" s="19">
        <v>200</v>
      </c>
      <c r="M354" s="19">
        <f t="shared" si="50"/>
        <v>2000</v>
      </c>
      <c r="N354" s="19">
        <f t="shared" si="51"/>
        <v>200</v>
      </c>
      <c r="O354" s="19">
        <f t="shared" si="52"/>
        <v>2000</v>
      </c>
      <c r="P354" t="s">
        <v>247</v>
      </c>
      <c r="Q354" t="s">
        <v>818</v>
      </c>
    </row>
    <row r="355" spans="1:17" ht="24" customHeight="1" x14ac:dyDescent="0.3">
      <c r="A355" t="s">
        <v>19</v>
      </c>
      <c r="B355" t="s">
        <v>115</v>
      </c>
      <c r="C355">
        <v>56</v>
      </c>
      <c r="D355" t="s">
        <v>1123</v>
      </c>
      <c r="E355" t="s">
        <v>302</v>
      </c>
      <c r="F355">
        <v>188</v>
      </c>
      <c r="G355" t="s">
        <v>171</v>
      </c>
      <c r="H355" s="19">
        <v>108000</v>
      </c>
      <c r="I355" s="19">
        <f t="shared" si="48"/>
        <v>20304000</v>
      </c>
      <c r="J355" s="19">
        <v>64674</v>
      </c>
      <c r="K355" s="19">
        <f t="shared" si="49"/>
        <v>12158712</v>
      </c>
      <c r="L355" s="19"/>
      <c r="M355" s="19">
        <f t="shared" si="50"/>
        <v>0</v>
      </c>
      <c r="N355" s="19">
        <f t="shared" si="51"/>
        <v>172674</v>
      </c>
      <c r="O355" s="19">
        <f t="shared" si="52"/>
        <v>32462712</v>
      </c>
      <c r="P355" t="s">
        <v>247</v>
      </c>
      <c r="Q355" t="s">
        <v>840</v>
      </c>
    </row>
    <row r="356" spans="1:17" ht="24" customHeight="1" x14ac:dyDescent="0.3">
      <c r="A356" t="s">
        <v>19</v>
      </c>
      <c r="B356" t="s">
        <v>115</v>
      </c>
      <c r="C356">
        <v>57</v>
      </c>
      <c r="D356" t="s">
        <v>1124</v>
      </c>
      <c r="E356" t="s">
        <v>425</v>
      </c>
      <c r="F356">
        <v>42</v>
      </c>
      <c r="G356" t="s">
        <v>171</v>
      </c>
      <c r="H356" s="19">
        <v>99000</v>
      </c>
      <c r="I356" s="19">
        <f t="shared" si="48"/>
        <v>4158000</v>
      </c>
      <c r="J356" s="19">
        <v>64674</v>
      </c>
      <c r="K356" s="19">
        <f t="shared" si="49"/>
        <v>2716308</v>
      </c>
      <c r="L356" s="19"/>
      <c r="M356" s="19">
        <f t="shared" si="50"/>
        <v>0</v>
      </c>
      <c r="N356" s="19">
        <f t="shared" si="51"/>
        <v>163674</v>
      </c>
      <c r="O356" s="19">
        <f t="shared" si="52"/>
        <v>6874308</v>
      </c>
      <c r="P356" t="s">
        <v>247</v>
      </c>
      <c r="Q356" t="s">
        <v>840</v>
      </c>
    </row>
    <row r="357" spans="1:17" ht="24" customHeight="1" x14ac:dyDescent="0.3">
      <c r="A357" t="s">
        <v>19</v>
      </c>
      <c r="B357" t="s">
        <v>115</v>
      </c>
      <c r="C357">
        <v>58</v>
      </c>
      <c r="D357" t="s">
        <v>1125</v>
      </c>
      <c r="E357" t="s">
        <v>289</v>
      </c>
      <c r="F357">
        <v>10</v>
      </c>
      <c r="G357" t="s">
        <v>290</v>
      </c>
      <c r="H357" s="19">
        <v>5500</v>
      </c>
      <c r="I357" s="19">
        <f t="shared" si="48"/>
        <v>55000</v>
      </c>
      <c r="J357" s="19"/>
      <c r="K357" s="19">
        <f t="shared" si="49"/>
        <v>0</v>
      </c>
      <c r="L357" s="19"/>
      <c r="M357" s="19">
        <f t="shared" si="50"/>
        <v>0</v>
      </c>
      <c r="N357" s="19">
        <f t="shared" si="51"/>
        <v>5500</v>
      </c>
      <c r="O357" s="19">
        <f t="shared" si="52"/>
        <v>55000</v>
      </c>
      <c r="P357" t="s">
        <v>247</v>
      </c>
      <c r="Q357" t="s">
        <v>813</v>
      </c>
    </row>
    <row r="358" spans="1:17" ht="24" customHeight="1" x14ac:dyDescent="0.3">
      <c r="A358" t="s">
        <v>19</v>
      </c>
      <c r="B358" t="s">
        <v>115</v>
      </c>
      <c r="C358">
        <v>59</v>
      </c>
      <c r="D358" t="s">
        <v>1126</v>
      </c>
      <c r="E358" t="s">
        <v>296</v>
      </c>
      <c r="F358">
        <v>88</v>
      </c>
      <c r="G358" t="s">
        <v>171</v>
      </c>
      <c r="H358" s="19">
        <v>45000</v>
      </c>
      <c r="I358" s="19">
        <f t="shared" si="48"/>
        <v>3960000</v>
      </c>
      <c r="J358" s="19">
        <v>113564</v>
      </c>
      <c r="K358" s="19">
        <f t="shared" si="49"/>
        <v>9993632</v>
      </c>
      <c r="L358" s="19"/>
      <c r="M358" s="19">
        <f t="shared" si="50"/>
        <v>0</v>
      </c>
      <c r="N358" s="19">
        <f t="shared" si="51"/>
        <v>158564</v>
      </c>
      <c r="O358" s="19">
        <f t="shared" si="52"/>
        <v>13953632</v>
      </c>
      <c r="P358" t="s">
        <v>247</v>
      </c>
      <c r="Q358" t="s">
        <v>820</v>
      </c>
    </row>
    <row r="359" spans="1:17" ht="24" customHeight="1" x14ac:dyDescent="0.3">
      <c r="A359" t="s">
        <v>19</v>
      </c>
      <c r="B359" t="s">
        <v>115</v>
      </c>
      <c r="C359">
        <v>60</v>
      </c>
      <c r="D359" t="s">
        <v>1127</v>
      </c>
      <c r="E359" t="s">
        <v>430</v>
      </c>
      <c r="F359">
        <v>311</v>
      </c>
      <c r="G359" t="s">
        <v>171</v>
      </c>
      <c r="H359" s="19">
        <v>1320</v>
      </c>
      <c r="I359" s="19">
        <f t="shared" si="48"/>
        <v>410520</v>
      </c>
      <c r="J359" s="19">
        <v>11220</v>
      </c>
      <c r="K359" s="19">
        <f t="shared" si="49"/>
        <v>3489420</v>
      </c>
      <c r="L359" s="19">
        <v>1521</v>
      </c>
      <c r="M359" s="19">
        <f t="shared" si="50"/>
        <v>473031</v>
      </c>
      <c r="N359" s="19">
        <f t="shared" si="51"/>
        <v>14061</v>
      </c>
      <c r="O359" s="19">
        <f t="shared" si="52"/>
        <v>4372971</v>
      </c>
      <c r="Q359" t="s">
        <v>431</v>
      </c>
    </row>
    <row r="360" spans="1:17" ht="24" customHeight="1" x14ac:dyDescent="0.3">
      <c r="A360" t="s">
        <v>19</v>
      </c>
      <c r="B360" t="s">
        <v>115</v>
      </c>
      <c r="C360">
        <v>61</v>
      </c>
      <c r="D360" t="s">
        <v>1128</v>
      </c>
      <c r="E360" t="s">
        <v>485</v>
      </c>
      <c r="F360">
        <v>1014</v>
      </c>
      <c r="G360" t="s">
        <v>171</v>
      </c>
      <c r="H360" s="19">
        <v>1320</v>
      </c>
      <c r="I360" s="19">
        <f t="shared" si="48"/>
        <v>1338480</v>
      </c>
      <c r="J360" s="19">
        <v>11220</v>
      </c>
      <c r="K360" s="19">
        <f t="shared" si="49"/>
        <v>11377080</v>
      </c>
      <c r="L360" s="19">
        <v>1521</v>
      </c>
      <c r="M360" s="19">
        <f t="shared" si="50"/>
        <v>1542294</v>
      </c>
      <c r="N360" s="19">
        <f t="shared" si="51"/>
        <v>14061</v>
      </c>
      <c r="O360" s="19">
        <f t="shared" si="52"/>
        <v>14257854</v>
      </c>
      <c r="Q360" t="s">
        <v>431</v>
      </c>
    </row>
    <row r="361" spans="1:17" ht="24" customHeight="1" x14ac:dyDescent="0.3">
      <c r="A361" t="s">
        <v>19</v>
      </c>
      <c r="B361" t="s">
        <v>115</v>
      </c>
      <c r="C361">
        <v>62</v>
      </c>
      <c r="D361" t="s">
        <v>1129</v>
      </c>
      <c r="E361" t="s">
        <v>485</v>
      </c>
      <c r="F361">
        <v>676</v>
      </c>
      <c r="G361" t="s">
        <v>171</v>
      </c>
      <c r="H361" s="19">
        <v>1320</v>
      </c>
      <c r="I361" s="19">
        <f t="shared" si="48"/>
        <v>892320</v>
      </c>
      <c r="J361" s="19">
        <v>11220</v>
      </c>
      <c r="K361" s="19">
        <f t="shared" si="49"/>
        <v>7584720</v>
      </c>
      <c r="L361" s="19">
        <v>1521</v>
      </c>
      <c r="M361" s="19">
        <f t="shared" si="50"/>
        <v>1028196</v>
      </c>
      <c r="N361" s="19">
        <f t="shared" si="51"/>
        <v>14061</v>
      </c>
      <c r="O361" s="19">
        <f t="shared" si="52"/>
        <v>9505236</v>
      </c>
      <c r="Q361" t="s">
        <v>431</v>
      </c>
    </row>
    <row r="362" spans="1:17" ht="24" customHeight="1" x14ac:dyDescent="0.3">
      <c r="A362" t="s">
        <v>19</v>
      </c>
      <c r="B362" t="s">
        <v>115</v>
      </c>
      <c r="C362">
        <v>63</v>
      </c>
      <c r="D362" t="s">
        <v>1130</v>
      </c>
      <c r="E362" t="s">
        <v>433</v>
      </c>
      <c r="F362">
        <v>54</v>
      </c>
      <c r="G362" t="s">
        <v>434</v>
      </c>
      <c r="H362" s="19">
        <v>154620</v>
      </c>
      <c r="I362" s="19">
        <f t="shared" si="48"/>
        <v>8349480</v>
      </c>
      <c r="J362" s="19">
        <v>0</v>
      </c>
      <c r="K362" s="19">
        <f t="shared" si="49"/>
        <v>0</v>
      </c>
      <c r="L362" s="19">
        <v>0</v>
      </c>
      <c r="M362" s="19">
        <f t="shared" si="50"/>
        <v>0</v>
      </c>
      <c r="N362" s="19">
        <f t="shared" si="51"/>
        <v>154620</v>
      </c>
      <c r="O362" s="19">
        <f t="shared" si="52"/>
        <v>8349480</v>
      </c>
      <c r="Q362" t="s">
        <v>1131</v>
      </c>
    </row>
    <row r="363" spans="1:17" ht="24" customHeight="1" x14ac:dyDescent="0.3">
      <c r="A363" t="s">
        <v>19</v>
      </c>
      <c r="B363" t="s">
        <v>115</v>
      </c>
      <c r="C363">
        <v>64</v>
      </c>
      <c r="D363" t="s">
        <v>1132</v>
      </c>
      <c r="E363" t="s">
        <v>437</v>
      </c>
      <c r="F363">
        <v>46</v>
      </c>
      <c r="G363" t="s">
        <v>434</v>
      </c>
      <c r="H363" s="19">
        <v>154620</v>
      </c>
      <c r="I363" s="19">
        <f t="shared" si="48"/>
        <v>7112520</v>
      </c>
      <c r="J363" s="19">
        <v>0</v>
      </c>
      <c r="K363" s="19">
        <f t="shared" si="49"/>
        <v>0</v>
      </c>
      <c r="L363" s="19">
        <v>0</v>
      </c>
      <c r="M363" s="19">
        <f t="shared" si="50"/>
        <v>0</v>
      </c>
      <c r="N363" s="19">
        <f t="shared" si="51"/>
        <v>154620</v>
      </c>
      <c r="O363" s="19">
        <f t="shared" si="52"/>
        <v>7112520</v>
      </c>
      <c r="Q363" t="s">
        <v>1131</v>
      </c>
    </row>
    <row r="364" spans="1:17" ht="24" customHeight="1" x14ac:dyDescent="0.3">
      <c r="A364" t="s">
        <v>19</v>
      </c>
      <c r="B364" t="s">
        <v>115</v>
      </c>
      <c r="C364">
        <v>65</v>
      </c>
      <c r="D364" t="s">
        <v>1133</v>
      </c>
      <c r="E364" t="s">
        <v>440</v>
      </c>
      <c r="F364">
        <v>880</v>
      </c>
      <c r="G364" t="s">
        <v>283</v>
      </c>
      <c r="H364" s="19">
        <v>120000</v>
      </c>
      <c r="I364" s="19">
        <f t="shared" ref="I364:I395" si="53">F364*H364</f>
        <v>105600000</v>
      </c>
      <c r="J364" s="19">
        <v>7500</v>
      </c>
      <c r="K364" s="19">
        <f t="shared" ref="K364:K395" si="54">F364*J364</f>
        <v>6600000</v>
      </c>
      <c r="L364" s="19">
        <v>12000</v>
      </c>
      <c r="M364" s="19">
        <f t="shared" ref="M364:M395" si="55">F364*L364</f>
        <v>10560000</v>
      </c>
      <c r="N364" s="19">
        <f t="shared" ref="N364:N375" si="56">H364+J364+L364</f>
        <v>139500</v>
      </c>
      <c r="O364" s="19">
        <f t="shared" ref="O364:O375" si="57">I364+K364+M364</f>
        <v>122760000</v>
      </c>
      <c r="P364" t="s">
        <v>247</v>
      </c>
      <c r="Q364" t="s">
        <v>1134</v>
      </c>
    </row>
    <row r="365" spans="1:17" ht="24" customHeight="1" x14ac:dyDescent="0.3">
      <c r="A365" t="s">
        <v>19</v>
      </c>
      <c r="B365" t="s">
        <v>115</v>
      </c>
      <c r="C365">
        <v>66</v>
      </c>
      <c r="D365" t="s">
        <v>1135</v>
      </c>
      <c r="E365" t="s">
        <v>443</v>
      </c>
      <c r="F365">
        <v>702</v>
      </c>
      <c r="G365" t="s">
        <v>283</v>
      </c>
      <c r="H365" s="19">
        <v>110000</v>
      </c>
      <c r="I365" s="19">
        <f t="shared" si="53"/>
        <v>77220000</v>
      </c>
      <c r="J365" s="19">
        <v>7500</v>
      </c>
      <c r="K365" s="19">
        <f t="shared" si="54"/>
        <v>5265000</v>
      </c>
      <c r="L365" s="19">
        <v>12000</v>
      </c>
      <c r="M365" s="19">
        <f t="shared" si="55"/>
        <v>8424000</v>
      </c>
      <c r="N365" s="19">
        <f t="shared" si="56"/>
        <v>129500</v>
      </c>
      <c r="O365" s="19">
        <f t="shared" si="57"/>
        <v>90909000</v>
      </c>
      <c r="P365" t="s">
        <v>247</v>
      </c>
      <c r="Q365" t="s">
        <v>1136</v>
      </c>
    </row>
    <row r="366" spans="1:17" ht="24" customHeight="1" x14ac:dyDescent="0.3">
      <c r="A366" t="s">
        <v>19</v>
      </c>
      <c r="B366" t="s">
        <v>115</v>
      </c>
      <c r="C366">
        <v>67</v>
      </c>
      <c r="D366" t="s">
        <v>1137</v>
      </c>
      <c r="E366" t="s">
        <v>446</v>
      </c>
      <c r="F366">
        <v>669</v>
      </c>
      <c r="G366" t="s">
        <v>283</v>
      </c>
      <c r="H366" s="19">
        <v>110000</v>
      </c>
      <c r="I366" s="19">
        <f t="shared" si="53"/>
        <v>73590000</v>
      </c>
      <c r="J366" s="19">
        <v>7500</v>
      </c>
      <c r="K366" s="19">
        <f t="shared" si="54"/>
        <v>5017500</v>
      </c>
      <c r="L366" s="19">
        <v>12000</v>
      </c>
      <c r="M366" s="19">
        <f t="shared" si="55"/>
        <v>8028000</v>
      </c>
      <c r="N366" s="19">
        <f t="shared" si="56"/>
        <v>129500</v>
      </c>
      <c r="O366" s="19">
        <f t="shared" si="57"/>
        <v>86635500</v>
      </c>
      <c r="P366" t="s">
        <v>247</v>
      </c>
      <c r="Q366" t="s">
        <v>1138</v>
      </c>
    </row>
    <row r="367" spans="1:17" ht="24" customHeight="1" x14ac:dyDescent="0.3">
      <c r="A367" t="s">
        <v>19</v>
      </c>
      <c r="B367" t="s">
        <v>115</v>
      </c>
      <c r="C367">
        <v>68</v>
      </c>
      <c r="D367" t="s">
        <v>1139</v>
      </c>
      <c r="E367" t="s">
        <v>1140</v>
      </c>
      <c r="F367">
        <v>1501</v>
      </c>
      <c r="G367" t="s">
        <v>283</v>
      </c>
      <c r="H367" s="19">
        <v>90000</v>
      </c>
      <c r="I367" s="19">
        <f t="shared" si="53"/>
        <v>135090000</v>
      </c>
      <c r="J367" s="19">
        <v>7500</v>
      </c>
      <c r="K367" s="19">
        <f t="shared" si="54"/>
        <v>11257500</v>
      </c>
      <c r="L367" s="19">
        <v>12000</v>
      </c>
      <c r="M367" s="19">
        <f t="shared" si="55"/>
        <v>18012000</v>
      </c>
      <c r="N367" s="19">
        <f t="shared" si="56"/>
        <v>109500</v>
      </c>
      <c r="O367" s="19">
        <f t="shared" si="57"/>
        <v>164359500</v>
      </c>
      <c r="P367" t="s">
        <v>247</v>
      </c>
      <c r="Q367" t="s">
        <v>1141</v>
      </c>
    </row>
    <row r="368" spans="1:17" ht="24" customHeight="1" x14ac:dyDescent="0.3">
      <c r="A368" t="s">
        <v>19</v>
      </c>
      <c r="B368" t="s">
        <v>115</v>
      </c>
      <c r="C368">
        <v>69</v>
      </c>
      <c r="D368" t="s">
        <v>1142</v>
      </c>
      <c r="E368" t="s">
        <v>449</v>
      </c>
      <c r="F368">
        <v>1272</v>
      </c>
      <c r="G368" t="s">
        <v>274</v>
      </c>
      <c r="H368" s="19">
        <v>659</v>
      </c>
      <c r="I368" s="19">
        <f t="shared" si="53"/>
        <v>838248</v>
      </c>
      <c r="J368" s="19">
        <v>6686</v>
      </c>
      <c r="K368" s="19">
        <f t="shared" si="54"/>
        <v>8504592</v>
      </c>
      <c r="L368" s="19">
        <v>522</v>
      </c>
      <c r="M368" s="19">
        <f t="shared" si="55"/>
        <v>663984</v>
      </c>
      <c r="N368" s="19">
        <f t="shared" si="56"/>
        <v>7867</v>
      </c>
      <c r="O368" s="19">
        <f t="shared" si="57"/>
        <v>10006824</v>
      </c>
      <c r="Q368" t="s">
        <v>450</v>
      </c>
    </row>
    <row r="369" spans="1:17" ht="24" customHeight="1" x14ac:dyDescent="0.3">
      <c r="A369" t="s">
        <v>19</v>
      </c>
      <c r="B369" t="s">
        <v>115</v>
      </c>
      <c r="C369">
        <v>70</v>
      </c>
      <c r="D369" t="s">
        <v>1143</v>
      </c>
      <c r="E369" t="s">
        <v>1144</v>
      </c>
      <c r="F369">
        <v>117</v>
      </c>
      <c r="G369" t="s">
        <v>274</v>
      </c>
      <c r="H369" s="19">
        <v>771</v>
      </c>
      <c r="I369" s="19">
        <f t="shared" si="53"/>
        <v>90207</v>
      </c>
      <c r="J369" s="19">
        <v>7823</v>
      </c>
      <c r="K369" s="19">
        <f t="shared" si="54"/>
        <v>915291</v>
      </c>
      <c r="L369" s="19">
        <v>610</v>
      </c>
      <c r="M369" s="19">
        <f t="shared" si="55"/>
        <v>71370</v>
      </c>
      <c r="N369" s="19">
        <f t="shared" si="56"/>
        <v>9204</v>
      </c>
      <c r="O369" s="19">
        <f t="shared" si="57"/>
        <v>1076868</v>
      </c>
      <c r="Q369" t="s">
        <v>456</v>
      </c>
    </row>
    <row r="370" spans="1:17" ht="24" customHeight="1" x14ac:dyDescent="0.3">
      <c r="A370" t="s">
        <v>19</v>
      </c>
      <c r="B370" t="s">
        <v>115</v>
      </c>
      <c r="C370">
        <v>71</v>
      </c>
      <c r="D370" t="s">
        <v>1145</v>
      </c>
      <c r="E370" t="s">
        <v>452</v>
      </c>
      <c r="F370">
        <v>87</v>
      </c>
      <c r="G370" t="s">
        <v>274</v>
      </c>
      <c r="H370" s="19">
        <v>28000</v>
      </c>
      <c r="I370" s="19">
        <f t="shared" si="53"/>
        <v>2436000</v>
      </c>
      <c r="J370" s="19">
        <v>12000</v>
      </c>
      <c r="K370" s="19">
        <f t="shared" si="54"/>
        <v>1044000</v>
      </c>
      <c r="L370" s="19">
        <v>8000</v>
      </c>
      <c r="M370" s="19">
        <f t="shared" si="55"/>
        <v>696000</v>
      </c>
      <c r="N370" s="19">
        <f t="shared" si="56"/>
        <v>48000</v>
      </c>
      <c r="O370" s="19">
        <f t="shared" si="57"/>
        <v>4176000</v>
      </c>
      <c r="P370" t="s">
        <v>247</v>
      </c>
      <c r="Q370" t="s">
        <v>1146</v>
      </c>
    </row>
    <row r="371" spans="1:17" ht="24" customHeight="1" x14ac:dyDescent="0.3">
      <c r="A371" t="s">
        <v>19</v>
      </c>
      <c r="B371" t="s">
        <v>115</v>
      </c>
      <c r="C371">
        <v>72</v>
      </c>
      <c r="D371" t="s">
        <v>1147</v>
      </c>
      <c r="E371" t="s">
        <v>455</v>
      </c>
      <c r="F371">
        <v>116</v>
      </c>
      <c r="G371" t="s">
        <v>274</v>
      </c>
      <c r="H371" s="19">
        <v>771</v>
      </c>
      <c r="I371" s="19">
        <f t="shared" si="53"/>
        <v>89436</v>
      </c>
      <c r="J371" s="19">
        <v>7823</v>
      </c>
      <c r="K371" s="19">
        <f t="shared" si="54"/>
        <v>907468</v>
      </c>
      <c r="L371" s="19">
        <v>610</v>
      </c>
      <c r="M371" s="19">
        <f t="shared" si="55"/>
        <v>70760</v>
      </c>
      <c r="N371" s="19">
        <f t="shared" si="56"/>
        <v>9204</v>
      </c>
      <c r="O371" s="19">
        <f t="shared" si="57"/>
        <v>1067664</v>
      </c>
      <c r="Q371" t="s">
        <v>456</v>
      </c>
    </row>
    <row r="372" spans="1:17" ht="24" customHeight="1" x14ac:dyDescent="0.3">
      <c r="A372" t="s">
        <v>19</v>
      </c>
      <c r="B372" t="s">
        <v>115</v>
      </c>
      <c r="C372">
        <v>73</v>
      </c>
      <c r="D372" t="s">
        <v>1148</v>
      </c>
      <c r="E372" t="s">
        <v>458</v>
      </c>
      <c r="F372">
        <v>1336</v>
      </c>
      <c r="G372" t="s">
        <v>274</v>
      </c>
      <c r="H372" s="19">
        <v>659</v>
      </c>
      <c r="I372" s="19">
        <f t="shared" si="53"/>
        <v>880424</v>
      </c>
      <c r="J372" s="19">
        <v>6686</v>
      </c>
      <c r="K372" s="19">
        <f t="shared" si="54"/>
        <v>8932496</v>
      </c>
      <c r="L372" s="19">
        <v>522</v>
      </c>
      <c r="M372" s="19">
        <f t="shared" si="55"/>
        <v>697392</v>
      </c>
      <c r="N372" s="19">
        <f t="shared" si="56"/>
        <v>7867</v>
      </c>
      <c r="O372" s="19">
        <f t="shared" si="57"/>
        <v>10510312</v>
      </c>
      <c r="Q372" t="s">
        <v>450</v>
      </c>
    </row>
    <row r="373" spans="1:17" ht="24" customHeight="1" x14ac:dyDescent="0.3">
      <c r="A373" t="s">
        <v>19</v>
      </c>
      <c r="B373" t="s">
        <v>115</v>
      </c>
      <c r="C373">
        <v>74</v>
      </c>
      <c r="D373" t="s">
        <v>1149</v>
      </c>
      <c r="E373" t="s">
        <v>460</v>
      </c>
      <c r="F373">
        <v>2750</v>
      </c>
      <c r="G373" t="s">
        <v>168</v>
      </c>
      <c r="H373" s="19">
        <v>18000</v>
      </c>
      <c r="I373" s="19">
        <f t="shared" si="53"/>
        <v>49500000</v>
      </c>
      <c r="J373" s="19">
        <v>15000</v>
      </c>
      <c r="K373" s="19">
        <f t="shared" si="54"/>
        <v>41250000</v>
      </c>
      <c r="L373" s="19">
        <v>10000</v>
      </c>
      <c r="M373" s="19">
        <f t="shared" si="55"/>
        <v>27500000</v>
      </c>
      <c r="N373" s="19">
        <f t="shared" si="56"/>
        <v>43000</v>
      </c>
      <c r="O373" s="19">
        <f t="shared" si="57"/>
        <v>118250000</v>
      </c>
      <c r="P373" t="s">
        <v>247</v>
      </c>
      <c r="Q373" t="s">
        <v>461</v>
      </c>
    </row>
    <row r="374" spans="1:17" ht="24" customHeight="1" x14ac:dyDescent="0.3">
      <c r="A374" t="s">
        <v>19</v>
      </c>
      <c r="B374" t="s">
        <v>115</v>
      </c>
      <c r="C374">
        <v>75</v>
      </c>
      <c r="D374" t="s">
        <v>1150</v>
      </c>
      <c r="E374" t="s">
        <v>463</v>
      </c>
      <c r="F374">
        <v>300</v>
      </c>
      <c r="G374" t="s">
        <v>274</v>
      </c>
      <c r="I374" s="19">
        <f t="shared" si="53"/>
        <v>0</v>
      </c>
      <c r="J374" s="19"/>
      <c r="K374" s="19">
        <f t="shared" si="54"/>
        <v>0</v>
      </c>
      <c r="L374" s="19"/>
      <c r="M374" s="19">
        <f t="shared" si="55"/>
        <v>0</v>
      </c>
      <c r="N374" s="19">
        <f t="shared" si="56"/>
        <v>0</v>
      </c>
      <c r="O374" s="19">
        <f t="shared" si="57"/>
        <v>0</v>
      </c>
      <c r="P374" t="s">
        <v>159</v>
      </c>
      <c r="Q374" t="s">
        <v>1151</v>
      </c>
    </row>
    <row r="375" spans="1:17" ht="24" customHeight="1" x14ac:dyDescent="0.3">
      <c r="A375" t="s">
        <v>19</v>
      </c>
      <c r="B375" t="s">
        <v>115</v>
      </c>
      <c r="C375">
        <v>76</v>
      </c>
      <c r="D375" t="s">
        <v>1152</v>
      </c>
      <c r="E375" t="s">
        <v>463</v>
      </c>
      <c r="F375">
        <v>657</v>
      </c>
      <c r="G375" t="s">
        <v>274</v>
      </c>
      <c r="I375" s="19">
        <f t="shared" si="53"/>
        <v>0</v>
      </c>
      <c r="J375" s="19"/>
      <c r="K375" s="19">
        <f t="shared" si="54"/>
        <v>0</v>
      </c>
      <c r="L375" s="19"/>
      <c r="M375" s="19">
        <f t="shared" si="55"/>
        <v>0</v>
      </c>
      <c r="N375" s="19">
        <f t="shared" si="56"/>
        <v>0</v>
      </c>
      <c r="O375" s="19">
        <f t="shared" si="57"/>
        <v>0</v>
      </c>
      <c r="P375" t="s">
        <v>159</v>
      </c>
      <c r="Q375" t="s">
        <v>1153</v>
      </c>
    </row>
    <row r="376" spans="1:17" ht="24" customHeight="1" x14ac:dyDescent="0.3">
      <c r="A376" s="10" t="s">
        <v>19</v>
      </c>
      <c r="B376" s="10" t="s">
        <v>115</v>
      </c>
      <c r="C376" s="10"/>
      <c r="D376" s="10" t="s">
        <v>1154</v>
      </c>
      <c r="E376" s="10"/>
      <c r="F376" s="10"/>
      <c r="G376" s="10"/>
      <c r="H376" s="21"/>
      <c r="I376" s="21">
        <f>SUM(I300:I375)</f>
        <v>526977293</v>
      </c>
      <c r="J376" s="21"/>
      <c r="K376" s="21">
        <f>SUM(K300:K375)</f>
        <v>342379027</v>
      </c>
      <c r="L376" s="21"/>
      <c r="M376" s="21">
        <f>SUM(M300:M375)</f>
        <v>95253988</v>
      </c>
      <c r="N376" s="21"/>
      <c r="O376" s="21">
        <f>SUM(O300:O375)</f>
        <v>964610308</v>
      </c>
      <c r="P376" s="10"/>
      <c r="Q376" s="10" t="s">
        <v>1155</v>
      </c>
    </row>
    <row r="377" spans="1:17" ht="24" customHeight="1" x14ac:dyDescent="0.3">
      <c r="A377" t="s">
        <v>19</v>
      </c>
      <c r="B377" t="s">
        <v>116</v>
      </c>
      <c r="C377">
        <v>1</v>
      </c>
      <c r="D377" t="s">
        <v>1156</v>
      </c>
      <c r="E377" t="s">
        <v>255</v>
      </c>
      <c r="F377">
        <v>131</v>
      </c>
      <c r="G377" t="s">
        <v>171</v>
      </c>
      <c r="H377" s="19">
        <v>5963</v>
      </c>
      <c r="I377" s="19">
        <f t="shared" ref="I377:I419" si="58">F377*H377</f>
        <v>781153</v>
      </c>
      <c r="J377" s="19">
        <v>50648</v>
      </c>
      <c r="K377" s="19">
        <f t="shared" ref="K377:K419" si="59">F377*J377</f>
        <v>6634888</v>
      </c>
      <c r="L377" s="19">
        <v>6730</v>
      </c>
      <c r="M377" s="19">
        <f t="shared" ref="M377:M419" si="60">F377*L377</f>
        <v>881630</v>
      </c>
      <c r="N377" s="19">
        <f t="shared" ref="N377:N419" si="61">H377+J377+L377</f>
        <v>63341</v>
      </c>
      <c r="O377" s="19">
        <f t="shared" ref="O377:O419" si="62">I377+K377+M377</f>
        <v>8297671</v>
      </c>
      <c r="Q377" t="s">
        <v>693</v>
      </c>
    </row>
    <row r="378" spans="1:17" ht="24" customHeight="1" x14ac:dyDescent="0.3">
      <c r="A378" t="s">
        <v>19</v>
      </c>
      <c r="B378" t="s">
        <v>116</v>
      </c>
      <c r="C378">
        <v>2</v>
      </c>
      <c r="D378" t="s">
        <v>1157</v>
      </c>
      <c r="E378" t="s">
        <v>226</v>
      </c>
      <c r="F378">
        <v>16</v>
      </c>
      <c r="G378" t="s">
        <v>171</v>
      </c>
      <c r="H378" s="19">
        <v>5963</v>
      </c>
      <c r="I378" s="19">
        <f t="shared" si="58"/>
        <v>95408</v>
      </c>
      <c r="J378" s="19">
        <v>50648</v>
      </c>
      <c r="K378" s="19">
        <f t="shared" si="59"/>
        <v>810368</v>
      </c>
      <c r="L378" s="19">
        <v>6730</v>
      </c>
      <c r="M378" s="19">
        <f t="shared" si="60"/>
        <v>107680</v>
      </c>
      <c r="N378" s="19">
        <f t="shared" si="61"/>
        <v>63341</v>
      </c>
      <c r="O378" s="19">
        <f t="shared" si="62"/>
        <v>1013456</v>
      </c>
      <c r="Q378" t="s">
        <v>693</v>
      </c>
    </row>
    <row r="379" spans="1:17" ht="24" customHeight="1" x14ac:dyDescent="0.3">
      <c r="A379" t="s">
        <v>19</v>
      </c>
      <c r="B379" t="s">
        <v>116</v>
      </c>
      <c r="C379">
        <v>3</v>
      </c>
      <c r="D379" t="s">
        <v>1158</v>
      </c>
      <c r="E379" t="s">
        <v>259</v>
      </c>
      <c r="F379">
        <v>9.6229999999999993</v>
      </c>
      <c r="G379" t="s">
        <v>260</v>
      </c>
      <c r="H379" s="19">
        <v>46413</v>
      </c>
      <c r="I379" s="19">
        <f t="shared" si="58"/>
        <v>446632.29899999994</v>
      </c>
      <c r="J379" s="19">
        <v>1492954</v>
      </c>
      <c r="K379" s="19">
        <f t="shared" si="59"/>
        <v>14366696.341999998</v>
      </c>
      <c r="L379" s="19">
        <v>0</v>
      </c>
      <c r="M379" s="19">
        <f t="shared" si="60"/>
        <v>0</v>
      </c>
      <c r="N379" s="19">
        <f t="shared" si="61"/>
        <v>1539367</v>
      </c>
      <c r="O379" s="19">
        <f t="shared" si="62"/>
        <v>14813328.640999999</v>
      </c>
      <c r="Q379" t="s">
        <v>1159</v>
      </c>
    </row>
    <row r="380" spans="1:17" ht="24" customHeight="1" x14ac:dyDescent="0.3">
      <c r="A380" t="s">
        <v>19</v>
      </c>
      <c r="B380" t="s">
        <v>116</v>
      </c>
      <c r="C380">
        <v>4</v>
      </c>
      <c r="D380" t="s">
        <v>1160</v>
      </c>
      <c r="E380" t="s">
        <v>469</v>
      </c>
      <c r="F380">
        <v>136</v>
      </c>
      <c r="G380" t="s">
        <v>168</v>
      </c>
      <c r="H380" s="19">
        <v>8500</v>
      </c>
      <c r="I380" s="19">
        <f t="shared" si="58"/>
        <v>1156000</v>
      </c>
      <c r="J380" s="19">
        <v>19663</v>
      </c>
      <c r="K380" s="19">
        <f t="shared" si="59"/>
        <v>2674168</v>
      </c>
      <c r="L380" s="19"/>
      <c r="M380" s="19">
        <f t="shared" si="60"/>
        <v>0</v>
      </c>
      <c r="N380" s="19">
        <f t="shared" si="61"/>
        <v>28163</v>
      </c>
      <c r="O380" s="19">
        <f t="shared" si="62"/>
        <v>3830168</v>
      </c>
      <c r="P380" t="s">
        <v>247</v>
      </c>
      <c r="Q380" t="s">
        <v>1161</v>
      </c>
    </row>
    <row r="381" spans="1:17" ht="24" customHeight="1" x14ac:dyDescent="0.3">
      <c r="A381" t="s">
        <v>19</v>
      </c>
      <c r="B381" t="s">
        <v>116</v>
      </c>
      <c r="C381">
        <v>5</v>
      </c>
      <c r="D381" t="s">
        <v>1162</v>
      </c>
      <c r="E381" t="s">
        <v>263</v>
      </c>
      <c r="F381">
        <v>244</v>
      </c>
      <c r="G381" t="s">
        <v>168</v>
      </c>
      <c r="H381" s="19">
        <v>378</v>
      </c>
      <c r="I381" s="19">
        <f t="shared" si="58"/>
        <v>92232</v>
      </c>
      <c r="J381" s="19">
        <v>37806</v>
      </c>
      <c r="K381" s="19">
        <f t="shared" si="59"/>
        <v>9224664</v>
      </c>
      <c r="L381" s="19">
        <v>0</v>
      </c>
      <c r="M381" s="19">
        <f t="shared" si="60"/>
        <v>0</v>
      </c>
      <c r="N381" s="19">
        <f t="shared" si="61"/>
        <v>38184</v>
      </c>
      <c r="O381" s="19">
        <f t="shared" si="62"/>
        <v>9316896</v>
      </c>
      <c r="Q381" t="s">
        <v>695</v>
      </c>
    </row>
    <row r="382" spans="1:17" ht="24" customHeight="1" x14ac:dyDescent="0.3">
      <c r="A382" t="s">
        <v>19</v>
      </c>
      <c r="B382" t="s">
        <v>116</v>
      </c>
      <c r="C382">
        <v>6</v>
      </c>
      <c r="D382" t="s">
        <v>1163</v>
      </c>
      <c r="E382" t="s">
        <v>229</v>
      </c>
      <c r="F382">
        <v>6</v>
      </c>
      <c r="G382" t="s">
        <v>168</v>
      </c>
      <c r="H382" s="19">
        <v>378</v>
      </c>
      <c r="I382" s="19">
        <f t="shared" si="58"/>
        <v>2268</v>
      </c>
      <c r="J382" s="19">
        <v>37806</v>
      </c>
      <c r="K382" s="19">
        <f t="shared" si="59"/>
        <v>226836</v>
      </c>
      <c r="L382" s="19">
        <v>0</v>
      </c>
      <c r="M382" s="19">
        <f t="shared" si="60"/>
        <v>0</v>
      </c>
      <c r="N382" s="19">
        <f t="shared" si="61"/>
        <v>38184</v>
      </c>
      <c r="O382" s="19">
        <f t="shared" si="62"/>
        <v>229104</v>
      </c>
      <c r="Q382" t="s">
        <v>695</v>
      </c>
    </row>
    <row r="383" spans="1:17" ht="24" customHeight="1" x14ac:dyDescent="0.3">
      <c r="A383" t="s">
        <v>19</v>
      </c>
      <c r="B383" t="s">
        <v>116</v>
      </c>
      <c r="C383">
        <v>7</v>
      </c>
      <c r="D383" t="s">
        <v>1164</v>
      </c>
      <c r="E383" t="s">
        <v>473</v>
      </c>
      <c r="F383">
        <v>127</v>
      </c>
      <c r="G383" t="s">
        <v>168</v>
      </c>
      <c r="H383" s="19">
        <v>9641</v>
      </c>
      <c r="I383" s="19">
        <f t="shared" si="58"/>
        <v>1224407</v>
      </c>
      <c r="J383" s="19">
        <v>17902</v>
      </c>
      <c r="K383" s="19">
        <f t="shared" si="59"/>
        <v>2273554</v>
      </c>
      <c r="L383" s="19">
        <v>0</v>
      </c>
      <c r="M383" s="19">
        <f t="shared" si="60"/>
        <v>0</v>
      </c>
      <c r="N383" s="19">
        <f t="shared" si="61"/>
        <v>27543</v>
      </c>
      <c r="O383" s="19">
        <f t="shared" si="62"/>
        <v>3497961</v>
      </c>
      <c r="Q383" t="s">
        <v>1165</v>
      </c>
    </row>
    <row r="384" spans="1:17" ht="24" customHeight="1" x14ac:dyDescent="0.3">
      <c r="A384" t="s">
        <v>19</v>
      </c>
      <c r="B384" t="s">
        <v>116</v>
      </c>
      <c r="C384">
        <v>8</v>
      </c>
      <c r="D384" t="s">
        <v>1166</v>
      </c>
      <c r="E384" t="s">
        <v>267</v>
      </c>
      <c r="F384">
        <v>229</v>
      </c>
      <c r="G384" t="s">
        <v>168</v>
      </c>
      <c r="H384" s="19">
        <v>623</v>
      </c>
      <c r="I384" s="19">
        <f t="shared" si="58"/>
        <v>142667</v>
      </c>
      <c r="J384" s="19">
        <v>9748</v>
      </c>
      <c r="K384" s="19">
        <f t="shared" si="59"/>
        <v>2232292</v>
      </c>
      <c r="L384" s="19">
        <v>0</v>
      </c>
      <c r="M384" s="19">
        <f t="shared" si="60"/>
        <v>0</v>
      </c>
      <c r="N384" s="19">
        <f t="shared" si="61"/>
        <v>10371</v>
      </c>
      <c r="O384" s="19">
        <f t="shared" si="62"/>
        <v>2374959</v>
      </c>
      <c r="Q384" t="s">
        <v>267</v>
      </c>
    </row>
    <row r="385" spans="1:17" ht="24" customHeight="1" x14ac:dyDescent="0.3">
      <c r="A385" t="s">
        <v>19</v>
      </c>
      <c r="B385" t="s">
        <v>116</v>
      </c>
      <c r="C385">
        <v>9</v>
      </c>
      <c r="D385" t="s">
        <v>1167</v>
      </c>
      <c r="E385" t="s">
        <v>269</v>
      </c>
      <c r="F385">
        <v>136</v>
      </c>
      <c r="G385" t="s">
        <v>168</v>
      </c>
      <c r="H385" s="19">
        <v>2105</v>
      </c>
      <c r="I385" s="19">
        <f t="shared" si="58"/>
        <v>286280</v>
      </c>
      <c r="J385" s="19">
        <v>5410</v>
      </c>
      <c r="K385" s="19">
        <f t="shared" si="59"/>
        <v>735760</v>
      </c>
      <c r="L385" s="19"/>
      <c r="M385" s="19">
        <f t="shared" si="60"/>
        <v>0</v>
      </c>
      <c r="N385" s="19">
        <f t="shared" si="61"/>
        <v>7515</v>
      </c>
      <c r="O385" s="19">
        <f t="shared" si="62"/>
        <v>1022040</v>
      </c>
      <c r="P385" t="s">
        <v>247</v>
      </c>
      <c r="Q385" t="s">
        <v>269</v>
      </c>
    </row>
    <row r="386" spans="1:17" ht="24" customHeight="1" x14ac:dyDescent="0.3">
      <c r="A386" t="s">
        <v>19</v>
      </c>
      <c r="B386" t="s">
        <v>116</v>
      </c>
      <c r="C386">
        <v>10</v>
      </c>
      <c r="D386" t="s">
        <v>1168</v>
      </c>
      <c r="E386" t="s">
        <v>477</v>
      </c>
      <c r="F386">
        <v>5</v>
      </c>
      <c r="G386" t="s">
        <v>199</v>
      </c>
      <c r="H386" s="19">
        <v>522</v>
      </c>
      <c r="I386" s="19">
        <f t="shared" si="58"/>
        <v>2610</v>
      </c>
      <c r="J386" s="19">
        <v>5273</v>
      </c>
      <c r="K386" s="19">
        <f t="shared" si="59"/>
        <v>26365</v>
      </c>
      <c r="L386" s="19">
        <v>0</v>
      </c>
      <c r="M386" s="19">
        <f t="shared" si="60"/>
        <v>0</v>
      </c>
      <c r="N386" s="19">
        <f t="shared" si="61"/>
        <v>5795</v>
      </c>
      <c r="O386" s="19">
        <f t="shared" si="62"/>
        <v>28975</v>
      </c>
      <c r="Q386" t="s">
        <v>234</v>
      </c>
    </row>
    <row r="387" spans="1:17" ht="24" customHeight="1" x14ac:dyDescent="0.3">
      <c r="A387" t="s">
        <v>19</v>
      </c>
      <c r="B387" t="s">
        <v>116</v>
      </c>
      <c r="C387">
        <v>11</v>
      </c>
      <c r="D387" t="s">
        <v>1169</v>
      </c>
      <c r="E387" t="s">
        <v>479</v>
      </c>
      <c r="F387">
        <v>113</v>
      </c>
      <c r="G387" t="s">
        <v>168</v>
      </c>
      <c r="H387" s="19">
        <v>2290</v>
      </c>
      <c r="I387" s="19">
        <f t="shared" si="58"/>
        <v>258770</v>
      </c>
      <c r="J387" s="19">
        <v>0</v>
      </c>
      <c r="K387" s="19">
        <f t="shared" si="59"/>
        <v>0</v>
      </c>
      <c r="L387" s="19">
        <v>0</v>
      </c>
      <c r="M387" s="19">
        <f t="shared" si="60"/>
        <v>0</v>
      </c>
      <c r="N387" s="19">
        <f t="shared" si="61"/>
        <v>2290</v>
      </c>
      <c r="O387" s="19">
        <f t="shared" si="62"/>
        <v>258770</v>
      </c>
      <c r="Q387" t="s">
        <v>1170</v>
      </c>
    </row>
    <row r="388" spans="1:17" ht="24" customHeight="1" x14ac:dyDescent="0.3">
      <c r="A388" t="s">
        <v>19</v>
      </c>
      <c r="B388" t="s">
        <v>116</v>
      </c>
      <c r="C388">
        <v>12</v>
      </c>
      <c r="D388" t="s">
        <v>1171</v>
      </c>
      <c r="F388">
        <v>113</v>
      </c>
      <c r="G388" t="s">
        <v>168</v>
      </c>
      <c r="H388" s="19">
        <v>34</v>
      </c>
      <c r="I388" s="19">
        <f t="shared" si="58"/>
        <v>3842</v>
      </c>
      <c r="J388" s="19">
        <v>358</v>
      </c>
      <c r="K388" s="19">
        <f t="shared" si="59"/>
        <v>40454</v>
      </c>
      <c r="L388" s="19">
        <v>24</v>
      </c>
      <c r="M388" s="19">
        <f t="shared" si="60"/>
        <v>2712</v>
      </c>
      <c r="N388" s="19">
        <f t="shared" si="61"/>
        <v>416</v>
      </c>
      <c r="O388" s="19">
        <f t="shared" si="62"/>
        <v>47008</v>
      </c>
      <c r="Q388" t="s">
        <v>1172</v>
      </c>
    </row>
    <row r="389" spans="1:17" ht="24" customHeight="1" x14ac:dyDescent="0.3">
      <c r="A389" t="s">
        <v>19</v>
      </c>
      <c r="B389" t="s">
        <v>116</v>
      </c>
      <c r="C389">
        <v>13</v>
      </c>
      <c r="D389" t="s">
        <v>1173</v>
      </c>
      <c r="E389" t="s">
        <v>271</v>
      </c>
      <c r="F389">
        <v>15</v>
      </c>
      <c r="G389" t="s">
        <v>168</v>
      </c>
      <c r="H389" s="19">
        <v>0</v>
      </c>
      <c r="I389" s="19">
        <f t="shared" si="58"/>
        <v>0</v>
      </c>
      <c r="J389" s="19">
        <v>9030</v>
      </c>
      <c r="K389" s="19">
        <f t="shared" si="59"/>
        <v>135450</v>
      </c>
      <c r="L389" s="19">
        <v>0</v>
      </c>
      <c r="M389" s="19">
        <f t="shared" si="60"/>
        <v>0</v>
      </c>
      <c r="N389" s="19">
        <f t="shared" si="61"/>
        <v>9030</v>
      </c>
      <c r="O389" s="19">
        <f t="shared" si="62"/>
        <v>135450</v>
      </c>
      <c r="Q389" t="s">
        <v>1174</v>
      </c>
    </row>
    <row r="390" spans="1:17" ht="24" customHeight="1" x14ac:dyDescent="0.3">
      <c r="A390" t="s">
        <v>19</v>
      </c>
      <c r="B390" t="s">
        <v>116</v>
      </c>
      <c r="C390">
        <v>14</v>
      </c>
      <c r="D390" t="s">
        <v>1175</v>
      </c>
      <c r="E390" t="s">
        <v>273</v>
      </c>
      <c r="F390">
        <v>307</v>
      </c>
      <c r="G390" t="s">
        <v>274</v>
      </c>
      <c r="H390" s="19">
        <v>35000</v>
      </c>
      <c r="I390" s="19">
        <f t="shared" si="58"/>
        <v>10745000</v>
      </c>
      <c r="J390" s="19">
        <v>12000</v>
      </c>
      <c r="K390" s="19">
        <f t="shared" si="59"/>
        <v>3684000</v>
      </c>
      <c r="L390" s="19">
        <v>800</v>
      </c>
      <c r="M390" s="19">
        <f t="shared" si="60"/>
        <v>245600</v>
      </c>
      <c r="N390" s="19">
        <f t="shared" si="61"/>
        <v>47800</v>
      </c>
      <c r="O390" s="19">
        <f t="shared" si="62"/>
        <v>14674600</v>
      </c>
      <c r="P390" t="s">
        <v>247</v>
      </c>
      <c r="Q390" t="s">
        <v>275</v>
      </c>
    </row>
    <row r="391" spans="1:17" ht="24" customHeight="1" x14ac:dyDescent="0.3">
      <c r="A391" t="s">
        <v>19</v>
      </c>
      <c r="B391" t="s">
        <v>116</v>
      </c>
      <c r="C391">
        <v>15</v>
      </c>
      <c r="D391" t="s">
        <v>1176</v>
      </c>
      <c r="E391" t="s">
        <v>277</v>
      </c>
      <c r="F391">
        <v>117</v>
      </c>
      <c r="G391" t="s">
        <v>199</v>
      </c>
      <c r="H391" s="19">
        <v>51</v>
      </c>
      <c r="I391" s="19">
        <f t="shared" si="58"/>
        <v>5967</v>
      </c>
      <c r="J391" s="19">
        <v>5125</v>
      </c>
      <c r="K391" s="19">
        <f t="shared" si="59"/>
        <v>599625</v>
      </c>
      <c r="L391" s="19">
        <v>0</v>
      </c>
      <c r="M391" s="19">
        <f t="shared" si="60"/>
        <v>0</v>
      </c>
      <c r="N391" s="19">
        <f t="shared" si="61"/>
        <v>5176</v>
      </c>
      <c r="O391" s="19">
        <f t="shared" si="62"/>
        <v>605592</v>
      </c>
      <c r="Q391" t="s">
        <v>278</v>
      </c>
    </row>
    <row r="392" spans="1:17" ht="24" customHeight="1" x14ac:dyDescent="0.3">
      <c r="A392" t="s">
        <v>19</v>
      </c>
      <c r="B392" t="s">
        <v>116</v>
      </c>
      <c r="C392">
        <v>16</v>
      </c>
      <c r="D392" t="s">
        <v>1177</v>
      </c>
      <c r="E392" t="s">
        <v>280</v>
      </c>
      <c r="F392">
        <v>137</v>
      </c>
      <c r="G392" t="s">
        <v>171</v>
      </c>
      <c r="H392" s="19">
        <v>1606</v>
      </c>
      <c r="I392" s="19">
        <f t="shared" si="58"/>
        <v>220022</v>
      </c>
      <c r="J392" s="19">
        <v>8751</v>
      </c>
      <c r="K392" s="19">
        <f t="shared" si="59"/>
        <v>1198887</v>
      </c>
      <c r="L392" s="19">
        <v>1798</v>
      </c>
      <c r="M392" s="19">
        <f t="shared" si="60"/>
        <v>246326</v>
      </c>
      <c r="N392" s="19">
        <f t="shared" si="61"/>
        <v>12155</v>
      </c>
      <c r="O392" s="19">
        <f t="shared" si="62"/>
        <v>1665235</v>
      </c>
      <c r="Q392" t="s">
        <v>1178</v>
      </c>
    </row>
    <row r="393" spans="1:17" ht="24" customHeight="1" x14ac:dyDescent="0.3">
      <c r="A393" t="s">
        <v>19</v>
      </c>
      <c r="B393" t="s">
        <v>116</v>
      </c>
      <c r="C393">
        <v>17</v>
      </c>
      <c r="D393" t="s">
        <v>1179</v>
      </c>
      <c r="E393" t="s">
        <v>282</v>
      </c>
      <c r="F393">
        <v>14.018000000000001</v>
      </c>
      <c r="G393" t="s">
        <v>283</v>
      </c>
      <c r="I393" s="19">
        <f t="shared" si="58"/>
        <v>0</v>
      </c>
      <c r="J393" s="19"/>
      <c r="K393" s="19">
        <f t="shared" si="59"/>
        <v>0</v>
      </c>
      <c r="L393" s="19">
        <v>30000</v>
      </c>
      <c r="M393" s="19">
        <f t="shared" si="60"/>
        <v>420540</v>
      </c>
      <c r="N393" s="19">
        <f t="shared" si="61"/>
        <v>30000</v>
      </c>
      <c r="O393" s="19">
        <f t="shared" si="62"/>
        <v>420540</v>
      </c>
      <c r="P393" t="s">
        <v>247</v>
      </c>
      <c r="Q393" t="s">
        <v>836</v>
      </c>
    </row>
    <row r="394" spans="1:17" ht="24" customHeight="1" x14ac:dyDescent="0.3">
      <c r="A394" t="s">
        <v>19</v>
      </c>
      <c r="B394" t="s">
        <v>116</v>
      </c>
      <c r="C394">
        <v>18</v>
      </c>
      <c r="D394" t="s">
        <v>1180</v>
      </c>
      <c r="E394" t="s">
        <v>286</v>
      </c>
      <c r="F394">
        <v>0.40799999999999997</v>
      </c>
      <c r="G394" t="s">
        <v>283</v>
      </c>
      <c r="H394" s="19">
        <v>-100000</v>
      </c>
      <c r="I394" s="19">
        <f t="shared" si="58"/>
        <v>-40800</v>
      </c>
      <c r="J394" s="19"/>
      <c r="K394" s="19">
        <f t="shared" si="59"/>
        <v>0</v>
      </c>
      <c r="L394" s="19"/>
      <c r="M394" s="19">
        <f t="shared" si="60"/>
        <v>0</v>
      </c>
      <c r="N394" s="19">
        <f t="shared" si="61"/>
        <v>-100000</v>
      </c>
      <c r="O394" s="19">
        <f t="shared" si="62"/>
        <v>-40800</v>
      </c>
      <c r="P394" t="s">
        <v>247</v>
      </c>
      <c r="Q394" t="s">
        <v>838</v>
      </c>
    </row>
    <row r="395" spans="1:17" ht="24" customHeight="1" x14ac:dyDescent="0.3">
      <c r="A395" t="s">
        <v>19</v>
      </c>
      <c r="B395" t="s">
        <v>116</v>
      </c>
      <c r="C395">
        <v>19</v>
      </c>
      <c r="D395" t="s">
        <v>839</v>
      </c>
      <c r="E395" t="s">
        <v>308</v>
      </c>
      <c r="F395">
        <v>132</v>
      </c>
      <c r="G395" t="s">
        <v>171</v>
      </c>
      <c r="H395" s="19">
        <v>114000</v>
      </c>
      <c r="I395" s="19">
        <f t="shared" si="58"/>
        <v>15048000</v>
      </c>
      <c r="J395" s="19">
        <v>64674</v>
      </c>
      <c r="K395" s="19">
        <f t="shared" si="59"/>
        <v>8536968</v>
      </c>
      <c r="L395" s="19"/>
      <c r="M395" s="19">
        <f t="shared" si="60"/>
        <v>0</v>
      </c>
      <c r="N395" s="19">
        <f t="shared" si="61"/>
        <v>178674</v>
      </c>
      <c r="O395" s="19">
        <f t="shared" si="62"/>
        <v>23584968</v>
      </c>
      <c r="P395" t="s">
        <v>247</v>
      </c>
      <c r="Q395" t="s">
        <v>840</v>
      </c>
    </row>
    <row r="396" spans="1:17" ht="24" customHeight="1" x14ac:dyDescent="0.3">
      <c r="A396" t="s">
        <v>19</v>
      </c>
      <c r="B396" t="s">
        <v>116</v>
      </c>
      <c r="C396">
        <v>20</v>
      </c>
      <c r="D396" t="s">
        <v>841</v>
      </c>
      <c r="E396" t="s">
        <v>483</v>
      </c>
      <c r="F396">
        <v>16</v>
      </c>
      <c r="G396" t="s">
        <v>171</v>
      </c>
      <c r="H396" s="19">
        <v>108000</v>
      </c>
      <c r="I396" s="19">
        <f t="shared" si="58"/>
        <v>1728000</v>
      </c>
      <c r="J396" s="19">
        <v>64674</v>
      </c>
      <c r="K396" s="19">
        <f t="shared" si="59"/>
        <v>1034784</v>
      </c>
      <c r="L396" s="19"/>
      <c r="M396" s="19">
        <f t="shared" si="60"/>
        <v>0</v>
      </c>
      <c r="N396" s="19">
        <f t="shared" si="61"/>
        <v>172674</v>
      </c>
      <c r="O396" s="19">
        <f t="shared" si="62"/>
        <v>2762784</v>
      </c>
      <c r="P396" t="s">
        <v>247</v>
      </c>
      <c r="Q396" t="s">
        <v>840</v>
      </c>
    </row>
    <row r="397" spans="1:17" ht="24" customHeight="1" x14ac:dyDescent="0.3">
      <c r="A397" t="s">
        <v>19</v>
      </c>
      <c r="B397" t="s">
        <v>116</v>
      </c>
      <c r="C397">
        <v>21</v>
      </c>
      <c r="D397" t="s">
        <v>824</v>
      </c>
      <c r="E397" t="s">
        <v>485</v>
      </c>
      <c r="F397">
        <v>143</v>
      </c>
      <c r="G397" t="s">
        <v>171</v>
      </c>
      <c r="H397" s="19">
        <v>45000</v>
      </c>
      <c r="I397" s="19">
        <f t="shared" si="58"/>
        <v>6435000</v>
      </c>
      <c r="J397" s="19"/>
      <c r="K397" s="19">
        <f t="shared" si="59"/>
        <v>0</v>
      </c>
      <c r="L397" s="19"/>
      <c r="M397" s="19">
        <f t="shared" si="60"/>
        <v>0</v>
      </c>
      <c r="N397" s="19">
        <f t="shared" si="61"/>
        <v>45000</v>
      </c>
      <c r="O397" s="19">
        <f t="shared" si="62"/>
        <v>6435000</v>
      </c>
      <c r="P397" t="s">
        <v>247</v>
      </c>
      <c r="Q397" t="s">
        <v>825</v>
      </c>
    </row>
    <row r="398" spans="1:17" ht="24" customHeight="1" x14ac:dyDescent="0.3">
      <c r="A398" t="s">
        <v>19</v>
      </c>
      <c r="B398" t="s">
        <v>116</v>
      </c>
      <c r="C398">
        <v>22</v>
      </c>
      <c r="D398" t="s">
        <v>833</v>
      </c>
      <c r="E398" t="s">
        <v>326</v>
      </c>
      <c r="F398">
        <v>4.1059999999999999</v>
      </c>
      <c r="G398" t="s">
        <v>327</v>
      </c>
      <c r="H398" s="19">
        <v>952000</v>
      </c>
      <c r="I398" s="19">
        <f t="shared" si="58"/>
        <v>3908912</v>
      </c>
      <c r="J398" s="19">
        <v>0</v>
      </c>
      <c r="K398" s="19">
        <f t="shared" si="59"/>
        <v>0</v>
      </c>
      <c r="L398" s="19">
        <v>0</v>
      </c>
      <c r="M398" s="19">
        <f t="shared" si="60"/>
        <v>0</v>
      </c>
      <c r="N398" s="19">
        <f t="shared" si="61"/>
        <v>952000</v>
      </c>
      <c r="O398" s="19">
        <f t="shared" si="62"/>
        <v>3908912</v>
      </c>
      <c r="Q398" t="s">
        <v>828</v>
      </c>
    </row>
    <row r="399" spans="1:17" ht="24" customHeight="1" x14ac:dyDescent="0.3">
      <c r="A399" t="s">
        <v>19</v>
      </c>
      <c r="B399" t="s">
        <v>116</v>
      </c>
      <c r="C399">
        <v>23</v>
      </c>
      <c r="D399" t="s">
        <v>1181</v>
      </c>
      <c r="E399" t="s">
        <v>488</v>
      </c>
      <c r="F399">
        <v>5.2549999999999999</v>
      </c>
      <c r="G399" t="s">
        <v>327</v>
      </c>
      <c r="H399" s="19">
        <v>952000</v>
      </c>
      <c r="I399" s="19">
        <f t="shared" si="58"/>
        <v>5002760</v>
      </c>
      <c r="J399" s="19">
        <v>0</v>
      </c>
      <c r="K399" s="19">
        <f t="shared" si="59"/>
        <v>0</v>
      </c>
      <c r="L399" s="19">
        <v>0</v>
      </c>
      <c r="M399" s="19">
        <f t="shared" si="60"/>
        <v>0</v>
      </c>
      <c r="N399" s="19">
        <f t="shared" si="61"/>
        <v>952000</v>
      </c>
      <c r="O399" s="19">
        <f t="shared" si="62"/>
        <v>5002760</v>
      </c>
      <c r="Q399" t="s">
        <v>828</v>
      </c>
    </row>
    <row r="400" spans="1:17" ht="24" customHeight="1" x14ac:dyDescent="0.3">
      <c r="A400" t="s">
        <v>19</v>
      </c>
      <c r="B400" t="s">
        <v>116</v>
      </c>
      <c r="C400">
        <v>24</v>
      </c>
      <c r="D400" t="s">
        <v>1182</v>
      </c>
      <c r="E400" t="s">
        <v>1183</v>
      </c>
      <c r="F400">
        <v>4.2249999999999996</v>
      </c>
      <c r="G400" t="s">
        <v>327</v>
      </c>
      <c r="H400" s="19">
        <v>952000</v>
      </c>
      <c r="I400" s="19">
        <f t="shared" si="58"/>
        <v>4022199.9999999995</v>
      </c>
      <c r="J400" s="19">
        <v>0</v>
      </c>
      <c r="K400" s="19">
        <f t="shared" si="59"/>
        <v>0</v>
      </c>
      <c r="L400" s="19">
        <v>0</v>
      </c>
      <c r="M400" s="19">
        <f t="shared" si="60"/>
        <v>0</v>
      </c>
      <c r="N400" s="19">
        <f t="shared" si="61"/>
        <v>952000</v>
      </c>
      <c r="O400" s="19">
        <f t="shared" si="62"/>
        <v>4022199.9999999995</v>
      </c>
      <c r="Q400" t="s">
        <v>828</v>
      </c>
    </row>
    <row r="401" spans="1:17" ht="24" customHeight="1" x14ac:dyDescent="0.3">
      <c r="A401" t="s">
        <v>19</v>
      </c>
      <c r="B401" t="s">
        <v>116</v>
      </c>
      <c r="C401">
        <v>25</v>
      </c>
      <c r="D401" t="s">
        <v>1184</v>
      </c>
      <c r="E401" t="s">
        <v>1185</v>
      </c>
      <c r="F401">
        <v>0.432</v>
      </c>
      <c r="G401" t="s">
        <v>327</v>
      </c>
      <c r="H401" s="19">
        <v>952000</v>
      </c>
      <c r="I401" s="19">
        <f t="shared" si="58"/>
        <v>411264</v>
      </c>
      <c r="J401" s="19">
        <v>0</v>
      </c>
      <c r="K401" s="19">
        <f t="shared" si="59"/>
        <v>0</v>
      </c>
      <c r="L401" s="19">
        <v>0</v>
      </c>
      <c r="M401" s="19">
        <f t="shared" si="60"/>
        <v>0</v>
      </c>
      <c r="N401" s="19">
        <f t="shared" si="61"/>
        <v>952000</v>
      </c>
      <c r="O401" s="19">
        <f t="shared" si="62"/>
        <v>411264</v>
      </c>
      <c r="Q401" t="s">
        <v>828</v>
      </c>
    </row>
    <row r="402" spans="1:17" ht="24" customHeight="1" x14ac:dyDescent="0.3">
      <c r="A402" t="s">
        <v>19</v>
      </c>
      <c r="B402" t="s">
        <v>116</v>
      </c>
      <c r="C402">
        <v>26</v>
      </c>
      <c r="D402" t="s">
        <v>1186</v>
      </c>
      <c r="E402" t="s">
        <v>213</v>
      </c>
      <c r="F402">
        <v>449</v>
      </c>
      <c r="G402" t="s">
        <v>171</v>
      </c>
      <c r="H402" s="19">
        <v>447</v>
      </c>
      <c r="I402" s="19">
        <f t="shared" si="58"/>
        <v>200703</v>
      </c>
      <c r="J402" s="19">
        <v>955</v>
      </c>
      <c r="K402" s="19">
        <f t="shared" si="59"/>
        <v>428795</v>
      </c>
      <c r="L402" s="19">
        <v>336</v>
      </c>
      <c r="M402" s="19">
        <f t="shared" si="60"/>
        <v>150864</v>
      </c>
      <c r="N402" s="19">
        <f t="shared" si="61"/>
        <v>1738</v>
      </c>
      <c r="O402" s="19">
        <f t="shared" si="62"/>
        <v>780362</v>
      </c>
      <c r="Q402" t="s">
        <v>172</v>
      </c>
    </row>
    <row r="403" spans="1:17" ht="24" customHeight="1" x14ac:dyDescent="0.3">
      <c r="A403" t="s">
        <v>19</v>
      </c>
      <c r="B403" t="s">
        <v>116</v>
      </c>
      <c r="C403">
        <v>27</v>
      </c>
      <c r="D403" t="s">
        <v>677</v>
      </c>
      <c r="E403" t="s">
        <v>216</v>
      </c>
      <c r="F403">
        <v>34</v>
      </c>
      <c r="G403" t="s">
        <v>171</v>
      </c>
      <c r="H403" s="19">
        <v>1652</v>
      </c>
      <c r="I403" s="19">
        <f t="shared" si="58"/>
        <v>56168</v>
      </c>
      <c r="J403" s="19">
        <v>3924</v>
      </c>
      <c r="K403" s="19">
        <f t="shared" si="59"/>
        <v>133416</v>
      </c>
      <c r="L403" s="19">
        <v>1432</v>
      </c>
      <c r="M403" s="19">
        <f t="shared" si="60"/>
        <v>48688</v>
      </c>
      <c r="N403" s="19">
        <f t="shared" si="61"/>
        <v>7008</v>
      </c>
      <c r="O403" s="19">
        <f t="shared" si="62"/>
        <v>238272</v>
      </c>
      <c r="Q403" t="s">
        <v>676</v>
      </c>
    </row>
    <row r="404" spans="1:17" ht="24" customHeight="1" x14ac:dyDescent="0.3">
      <c r="A404" t="s">
        <v>19</v>
      </c>
      <c r="B404" t="s">
        <v>116</v>
      </c>
      <c r="C404">
        <v>28</v>
      </c>
      <c r="D404" t="s">
        <v>1187</v>
      </c>
      <c r="E404" t="s">
        <v>219</v>
      </c>
      <c r="F404">
        <v>415</v>
      </c>
      <c r="G404" t="s">
        <v>171</v>
      </c>
      <c r="H404" s="19">
        <v>447</v>
      </c>
      <c r="I404" s="19">
        <f t="shared" si="58"/>
        <v>185505</v>
      </c>
      <c r="J404" s="19">
        <v>955</v>
      </c>
      <c r="K404" s="19">
        <f t="shared" si="59"/>
        <v>396325</v>
      </c>
      <c r="L404" s="19">
        <v>336</v>
      </c>
      <c r="M404" s="19">
        <f t="shared" si="60"/>
        <v>139440</v>
      </c>
      <c r="N404" s="19">
        <f t="shared" si="61"/>
        <v>1738</v>
      </c>
      <c r="O404" s="19">
        <f t="shared" si="62"/>
        <v>721270</v>
      </c>
      <c r="Q404" t="s">
        <v>219</v>
      </c>
    </row>
    <row r="405" spans="1:17" ht="24" customHeight="1" x14ac:dyDescent="0.3">
      <c r="A405" t="s">
        <v>19</v>
      </c>
      <c r="B405" t="s">
        <v>116</v>
      </c>
      <c r="C405">
        <v>29</v>
      </c>
      <c r="D405" t="s">
        <v>1188</v>
      </c>
      <c r="E405" t="s">
        <v>229</v>
      </c>
      <c r="F405">
        <v>43</v>
      </c>
      <c r="G405" t="s">
        <v>168</v>
      </c>
      <c r="H405" s="19">
        <v>378</v>
      </c>
      <c r="I405" s="19">
        <f t="shared" si="58"/>
        <v>16254</v>
      </c>
      <c r="J405" s="19">
        <v>37806</v>
      </c>
      <c r="K405" s="19">
        <f t="shared" si="59"/>
        <v>1625658</v>
      </c>
      <c r="L405" s="19">
        <v>0</v>
      </c>
      <c r="M405" s="19">
        <f t="shared" si="60"/>
        <v>0</v>
      </c>
      <c r="N405" s="19">
        <f t="shared" si="61"/>
        <v>38184</v>
      </c>
      <c r="O405" s="19">
        <f t="shared" si="62"/>
        <v>1641912</v>
      </c>
      <c r="Q405" t="s">
        <v>695</v>
      </c>
    </row>
    <row r="406" spans="1:17" ht="24" customHeight="1" x14ac:dyDescent="0.3">
      <c r="A406" t="s">
        <v>19</v>
      </c>
      <c r="B406" t="s">
        <v>116</v>
      </c>
      <c r="C406">
        <v>30</v>
      </c>
      <c r="D406" t="s">
        <v>1189</v>
      </c>
      <c r="E406" t="s">
        <v>226</v>
      </c>
      <c r="F406">
        <v>21</v>
      </c>
      <c r="G406" t="s">
        <v>171</v>
      </c>
      <c r="H406" s="19">
        <v>5963</v>
      </c>
      <c r="I406" s="19">
        <f t="shared" si="58"/>
        <v>125223</v>
      </c>
      <c r="J406" s="19">
        <v>50648</v>
      </c>
      <c r="K406" s="19">
        <f t="shared" si="59"/>
        <v>1063608</v>
      </c>
      <c r="L406" s="19">
        <v>6730</v>
      </c>
      <c r="M406" s="19">
        <f t="shared" si="60"/>
        <v>141330</v>
      </c>
      <c r="N406" s="19">
        <f t="shared" si="61"/>
        <v>63341</v>
      </c>
      <c r="O406" s="19">
        <f t="shared" si="62"/>
        <v>1330161</v>
      </c>
      <c r="Q406" t="s">
        <v>693</v>
      </c>
    </row>
    <row r="407" spans="1:17" ht="24" customHeight="1" x14ac:dyDescent="0.3">
      <c r="A407" t="s">
        <v>19</v>
      </c>
      <c r="B407" t="s">
        <v>116</v>
      </c>
      <c r="C407">
        <v>31</v>
      </c>
      <c r="D407" t="s">
        <v>1190</v>
      </c>
      <c r="E407" t="s">
        <v>1191</v>
      </c>
      <c r="F407">
        <v>9</v>
      </c>
      <c r="G407" t="s">
        <v>168</v>
      </c>
      <c r="H407" s="19">
        <v>1915</v>
      </c>
      <c r="I407" s="19">
        <f t="shared" si="58"/>
        <v>17235</v>
      </c>
      <c r="J407" s="19">
        <v>63817</v>
      </c>
      <c r="K407" s="19">
        <f t="shared" si="59"/>
        <v>574353</v>
      </c>
      <c r="L407" s="19">
        <v>2824</v>
      </c>
      <c r="M407" s="19">
        <f t="shared" si="60"/>
        <v>25416</v>
      </c>
      <c r="N407" s="19">
        <f t="shared" si="61"/>
        <v>68556</v>
      </c>
      <c r="O407" s="19">
        <f t="shared" si="62"/>
        <v>617004</v>
      </c>
      <c r="P407" t="s">
        <v>247</v>
      </c>
      <c r="Q407" t="s">
        <v>1192</v>
      </c>
    </row>
    <row r="408" spans="1:17" ht="24" customHeight="1" x14ac:dyDescent="0.3">
      <c r="A408" t="s">
        <v>19</v>
      </c>
      <c r="B408" t="s">
        <v>116</v>
      </c>
      <c r="C408">
        <v>32</v>
      </c>
      <c r="D408" t="s">
        <v>1193</v>
      </c>
      <c r="E408" t="s">
        <v>1194</v>
      </c>
      <c r="F408">
        <v>166</v>
      </c>
      <c r="G408" t="s">
        <v>168</v>
      </c>
      <c r="H408" s="19">
        <v>1915</v>
      </c>
      <c r="I408" s="19">
        <f t="shared" si="58"/>
        <v>317890</v>
      </c>
      <c r="J408" s="19">
        <v>63817</v>
      </c>
      <c r="K408" s="19">
        <f t="shared" si="59"/>
        <v>10593622</v>
      </c>
      <c r="L408" s="19">
        <v>2824</v>
      </c>
      <c r="M408" s="19">
        <f t="shared" si="60"/>
        <v>468784</v>
      </c>
      <c r="N408" s="19">
        <f t="shared" si="61"/>
        <v>68556</v>
      </c>
      <c r="O408" s="19">
        <f t="shared" si="62"/>
        <v>11380296</v>
      </c>
      <c r="P408" t="s">
        <v>247</v>
      </c>
      <c r="Q408" t="s">
        <v>1192</v>
      </c>
    </row>
    <row r="409" spans="1:17" ht="24" customHeight="1" x14ac:dyDescent="0.3">
      <c r="A409" t="s">
        <v>19</v>
      </c>
      <c r="B409" t="s">
        <v>116</v>
      </c>
      <c r="C409">
        <v>33</v>
      </c>
      <c r="D409" t="s">
        <v>1195</v>
      </c>
      <c r="F409">
        <v>1134</v>
      </c>
      <c r="G409" t="s">
        <v>171</v>
      </c>
      <c r="H409" s="19">
        <v>1081</v>
      </c>
      <c r="I409" s="19">
        <f t="shared" si="58"/>
        <v>1225854</v>
      </c>
      <c r="J409" s="19">
        <v>4807</v>
      </c>
      <c r="K409" s="19">
        <f t="shared" si="59"/>
        <v>5451138</v>
      </c>
      <c r="L409" s="19">
        <v>1268</v>
      </c>
      <c r="M409" s="19">
        <f t="shared" si="60"/>
        <v>1437912</v>
      </c>
      <c r="N409" s="19">
        <f t="shared" si="61"/>
        <v>7156</v>
      </c>
      <c r="O409" s="19">
        <f t="shared" si="62"/>
        <v>8114904</v>
      </c>
      <c r="Q409" t="s">
        <v>1196</v>
      </c>
    </row>
    <row r="410" spans="1:17" ht="24" customHeight="1" x14ac:dyDescent="0.3">
      <c r="A410" t="s">
        <v>19</v>
      </c>
      <c r="B410" t="s">
        <v>116</v>
      </c>
      <c r="C410">
        <v>34</v>
      </c>
      <c r="D410" t="s">
        <v>1197</v>
      </c>
      <c r="E410" t="s">
        <v>1198</v>
      </c>
      <c r="F410">
        <v>9</v>
      </c>
      <c r="G410" t="s">
        <v>168</v>
      </c>
      <c r="I410" s="19">
        <f t="shared" si="58"/>
        <v>0</v>
      </c>
      <c r="J410" s="19"/>
      <c r="K410" s="19">
        <f t="shared" si="59"/>
        <v>0</v>
      </c>
      <c r="L410" s="19">
        <v>20000</v>
      </c>
      <c r="M410" s="19">
        <f t="shared" si="60"/>
        <v>180000</v>
      </c>
      <c r="N410" s="19">
        <f t="shared" si="61"/>
        <v>20000</v>
      </c>
      <c r="O410" s="19">
        <f t="shared" si="62"/>
        <v>180000</v>
      </c>
      <c r="P410" t="s">
        <v>247</v>
      </c>
      <c r="Q410" t="s">
        <v>1199</v>
      </c>
    </row>
    <row r="411" spans="1:17" ht="24" customHeight="1" x14ac:dyDescent="0.3">
      <c r="A411" t="s">
        <v>19</v>
      </c>
      <c r="B411" t="s">
        <v>116</v>
      </c>
      <c r="C411">
        <v>35</v>
      </c>
      <c r="D411" t="s">
        <v>1200</v>
      </c>
      <c r="E411" t="s">
        <v>1198</v>
      </c>
      <c r="F411">
        <v>171</v>
      </c>
      <c r="G411" t="s">
        <v>168</v>
      </c>
      <c r="I411" s="19">
        <f t="shared" si="58"/>
        <v>0</v>
      </c>
      <c r="J411" s="19"/>
      <c r="K411" s="19">
        <f t="shared" si="59"/>
        <v>0</v>
      </c>
      <c r="L411" s="19">
        <v>20000</v>
      </c>
      <c r="M411" s="19">
        <f t="shared" si="60"/>
        <v>3420000</v>
      </c>
      <c r="N411" s="19">
        <f t="shared" si="61"/>
        <v>20000</v>
      </c>
      <c r="O411" s="19">
        <f t="shared" si="62"/>
        <v>3420000</v>
      </c>
      <c r="P411" t="s">
        <v>247</v>
      </c>
      <c r="Q411" t="s">
        <v>1201</v>
      </c>
    </row>
    <row r="412" spans="1:17" ht="24" customHeight="1" x14ac:dyDescent="0.3">
      <c r="A412" t="s">
        <v>19</v>
      </c>
      <c r="B412" t="s">
        <v>116</v>
      </c>
      <c r="C412">
        <v>36</v>
      </c>
      <c r="D412" t="s">
        <v>839</v>
      </c>
      <c r="E412" t="s">
        <v>1026</v>
      </c>
      <c r="F412">
        <v>21</v>
      </c>
      <c r="G412" t="s">
        <v>171</v>
      </c>
      <c r="H412" s="19">
        <v>118000</v>
      </c>
      <c r="I412" s="19">
        <f t="shared" si="58"/>
        <v>2478000</v>
      </c>
      <c r="J412" s="19">
        <v>64674</v>
      </c>
      <c r="K412" s="19">
        <f t="shared" si="59"/>
        <v>1358154</v>
      </c>
      <c r="L412" s="19"/>
      <c r="M412" s="19">
        <f t="shared" si="60"/>
        <v>0</v>
      </c>
      <c r="N412" s="19">
        <f t="shared" si="61"/>
        <v>182674</v>
      </c>
      <c r="O412" s="19">
        <f t="shared" si="62"/>
        <v>3836154</v>
      </c>
      <c r="P412" t="s">
        <v>247</v>
      </c>
      <c r="Q412" t="s">
        <v>840</v>
      </c>
    </row>
    <row r="413" spans="1:17" ht="24" customHeight="1" x14ac:dyDescent="0.3">
      <c r="A413" t="s">
        <v>19</v>
      </c>
      <c r="B413" t="s">
        <v>116</v>
      </c>
      <c r="C413">
        <v>37</v>
      </c>
      <c r="D413" t="s">
        <v>821</v>
      </c>
      <c r="E413" t="s">
        <v>822</v>
      </c>
      <c r="F413">
        <v>86</v>
      </c>
      <c r="G413" t="s">
        <v>171</v>
      </c>
      <c r="H413" s="19">
        <v>45000</v>
      </c>
      <c r="I413" s="19">
        <f t="shared" si="58"/>
        <v>3870000</v>
      </c>
      <c r="J413" s="19">
        <v>18064</v>
      </c>
      <c r="K413" s="19">
        <f t="shared" si="59"/>
        <v>1553504</v>
      </c>
      <c r="L413" s="19">
        <v>10496</v>
      </c>
      <c r="M413" s="19">
        <f t="shared" si="60"/>
        <v>902656</v>
      </c>
      <c r="N413" s="19">
        <f t="shared" si="61"/>
        <v>73560</v>
      </c>
      <c r="O413" s="19">
        <f t="shared" si="62"/>
        <v>6326160</v>
      </c>
      <c r="P413" t="s">
        <v>247</v>
      </c>
      <c r="Q413" t="s">
        <v>823</v>
      </c>
    </row>
    <row r="414" spans="1:17" ht="24" customHeight="1" x14ac:dyDescent="0.3">
      <c r="A414" t="s">
        <v>19</v>
      </c>
      <c r="B414" t="s">
        <v>116</v>
      </c>
      <c r="C414">
        <v>38</v>
      </c>
      <c r="D414" t="s">
        <v>1202</v>
      </c>
      <c r="E414" t="s">
        <v>881</v>
      </c>
      <c r="F414">
        <v>74</v>
      </c>
      <c r="G414" t="s">
        <v>199</v>
      </c>
      <c r="H414" s="19">
        <v>230</v>
      </c>
      <c r="I414" s="19">
        <f t="shared" si="58"/>
        <v>17020</v>
      </c>
      <c r="J414" s="19">
        <v>4360</v>
      </c>
      <c r="K414" s="19">
        <f t="shared" si="59"/>
        <v>322640</v>
      </c>
      <c r="L414" s="19">
        <v>0</v>
      </c>
      <c r="M414" s="19">
        <f t="shared" si="60"/>
        <v>0</v>
      </c>
      <c r="N414" s="19">
        <f t="shared" si="61"/>
        <v>4590</v>
      </c>
      <c r="O414" s="19">
        <f t="shared" si="62"/>
        <v>339660</v>
      </c>
      <c r="Q414" t="s">
        <v>881</v>
      </c>
    </row>
    <row r="415" spans="1:17" ht="24" customHeight="1" x14ac:dyDescent="0.3">
      <c r="A415" t="s">
        <v>19</v>
      </c>
      <c r="B415" t="s">
        <v>116</v>
      </c>
      <c r="C415">
        <v>39</v>
      </c>
      <c r="D415" t="s">
        <v>1203</v>
      </c>
      <c r="E415" t="s">
        <v>1204</v>
      </c>
      <c r="F415">
        <v>74</v>
      </c>
      <c r="G415" t="s">
        <v>168</v>
      </c>
      <c r="H415" s="19">
        <v>1800</v>
      </c>
      <c r="I415" s="19">
        <f t="shared" si="58"/>
        <v>133200</v>
      </c>
      <c r="J415" s="19">
        <v>237</v>
      </c>
      <c r="K415" s="19">
        <f t="shared" si="59"/>
        <v>17538</v>
      </c>
      <c r="L415" s="19">
        <v>16</v>
      </c>
      <c r="M415" s="19">
        <f t="shared" si="60"/>
        <v>1184</v>
      </c>
      <c r="N415" s="19">
        <f t="shared" si="61"/>
        <v>2053</v>
      </c>
      <c r="O415" s="19">
        <f t="shared" si="62"/>
        <v>151922</v>
      </c>
      <c r="P415" t="s">
        <v>247</v>
      </c>
      <c r="Q415" t="s">
        <v>1205</v>
      </c>
    </row>
    <row r="416" spans="1:17" ht="24" customHeight="1" x14ac:dyDescent="0.3">
      <c r="A416" t="s">
        <v>19</v>
      </c>
      <c r="B416" t="s">
        <v>116</v>
      </c>
      <c r="C416">
        <v>40</v>
      </c>
      <c r="D416" t="s">
        <v>1206</v>
      </c>
      <c r="E416" t="s">
        <v>1191</v>
      </c>
      <c r="F416">
        <v>9</v>
      </c>
      <c r="G416" t="s">
        <v>168</v>
      </c>
      <c r="H416" s="19">
        <v>4548</v>
      </c>
      <c r="I416" s="19">
        <f t="shared" si="58"/>
        <v>40932</v>
      </c>
      <c r="J416" s="19">
        <v>69755</v>
      </c>
      <c r="K416" s="19">
        <f t="shared" si="59"/>
        <v>627795</v>
      </c>
      <c r="L416" s="19">
        <v>16289</v>
      </c>
      <c r="M416" s="19">
        <f t="shared" si="60"/>
        <v>146601</v>
      </c>
      <c r="N416" s="19">
        <f t="shared" si="61"/>
        <v>90592</v>
      </c>
      <c r="O416" s="19">
        <f t="shared" si="62"/>
        <v>815328</v>
      </c>
      <c r="P416" t="s">
        <v>247</v>
      </c>
      <c r="Q416" t="s">
        <v>1207</v>
      </c>
    </row>
    <row r="417" spans="1:17" ht="24" customHeight="1" x14ac:dyDescent="0.3">
      <c r="A417" t="s">
        <v>19</v>
      </c>
      <c r="B417" t="s">
        <v>116</v>
      </c>
      <c r="C417">
        <v>41</v>
      </c>
      <c r="D417" t="s">
        <v>1208</v>
      </c>
      <c r="E417" t="s">
        <v>1194</v>
      </c>
      <c r="F417">
        <v>171</v>
      </c>
      <c r="G417" t="s">
        <v>168</v>
      </c>
      <c r="H417" s="19">
        <v>4548</v>
      </c>
      <c r="I417" s="19">
        <f t="shared" si="58"/>
        <v>777708</v>
      </c>
      <c r="J417" s="19">
        <v>69755</v>
      </c>
      <c r="K417" s="19">
        <f t="shared" si="59"/>
        <v>11928105</v>
      </c>
      <c r="L417" s="19">
        <v>16289</v>
      </c>
      <c r="M417" s="19">
        <f t="shared" si="60"/>
        <v>2785419</v>
      </c>
      <c r="N417" s="19">
        <f t="shared" si="61"/>
        <v>90592</v>
      </c>
      <c r="O417" s="19">
        <f t="shared" si="62"/>
        <v>15491232</v>
      </c>
      <c r="P417" t="s">
        <v>247</v>
      </c>
      <c r="Q417" t="s">
        <v>1209</v>
      </c>
    </row>
    <row r="418" spans="1:17" ht="24" customHeight="1" x14ac:dyDescent="0.3">
      <c r="A418" t="s">
        <v>19</v>
      </c>
      <c r="B418" t="s">
        <v>116</v>
      </c>
      <c r="C418">
        <v>42</v>
      </c>
      <c r="D418" t="s">
        <v>1210</v>
      </c>
      <c r="E418" t="s">
        <v>1211</v>
      </c>
      <c r="F418">
        <v>1166</v>
      </c>
      <c r="G418" t="s">
        <v>168</v>
      </c>
      <c r="H418" s="19">
        <v>4788</v>
      </c>
      <c r="I418" s="19">
        <f t="shared" si="58"/>
        <v>5582808</v>
      </c>
      <c r="J418" s="19">
        <v>92481</v>
      </c>
      <c r="K418" s="19">
        <f t="shared" si="59"/>
        <v>107832846</v>
      </c>
      <c r="L418" s="19">
        <v>7060</v>
      </c>
      <c r="M418" s="19">
        <f t="shared" si="60"/>
        <v>8231960</v>
      </c>
      <c r="N418" s="19">
        <f t="shared" si="61"/>
        <v>104329</v>
      </c>
      <c r="O418" s="19">
        <f t="shared" si="62"/>
        <v>121647614</v>
      </c>
      <c r="P418" t="s">
        <v>247</v>
      </c>
      <c r="Q418" t="s">
        <v>1212</v>
      </c>
    </row>
    <row r="419" spans="1:17" ht="24" customHeight="1" x14ac:dyDescent="0.3">
      <c r="A419" t="s">
        <v>19</v>
      </c>
      <c r="B419" t="s">
        <v>116</v>
      </c>
      <c r="C419">
        <v>43</v>
      </c>
      <c r="D419" t="s">
        <v>1213</v>
      </c>
      <c r="E419" t="s">
        <v>1214</v>
      </c>
      <c r="F419">
        <v>203</v>
      </c>
      <c r="G419" t="s">
        <v>168</v>
      </c>
      <c r="H419" s="19">
        <v>4788</v>
      </c>
      <c r="I419" s="19">
        <f t="shared" si="58"/>
        <v>971964</v>
      </c>
      <c r="J419" s="19">
        <v>92481</v>
      </c>
      <c r="K419" s="19">
        <f t="shared" si="59"/>
        <v>18773643</v>
      </c>
      <c r="L419" s="19">
        <v>7060</v>
      </c>
      <c r="M419" s="19">
        <f t="shared" si="60"/>
        <v>1433180</v>
      </c>
      <c r="N419" s="19">
        <f t="shared" si="61"/>
        <v>104329</v>
      </c>
      <c r="O419" s="19">
        <f t="shared" si="62"/>
        <v>21178787</v>
      </c>
      <c r="P419" t="s">
        <v>247</v>
      </c>
      <c r="Q419" t="s">
        <v>1212</v>
      </c>
    </row>
    <row r="420" spans="1:17" ht="24" customHeight="1" x14ac:dyDescent="0.3">
      <c r="A420" s="10" t="s">
        <v>19</v>
      </c>
      <c r="B420" s="10" t="s">
        <v>116</v>
      </c>
      <c r="C420" s="10"/>
      <c r="D420" s="10" t="s">
        <v>1215</v>
      </c>
      <c r="E420" s="10"/>
      <c r="F420" s="10"/>
      <c r="G420" s="10"/>
      <c r="H420" s="21"/>
      <c r="I420" s="21">
        <f>SUM(I377:I419)</f>
        <v>67995058.298999995</v>
      </c>
      <c r="J420" s="21"/>
      <c r="K420" s="21">
        <f>SUM(K377:K419)</f>
        <v>217116899.34200001</v>
      </c>
      <c r="L420" s="21"/>
      <c r="M420" s="21">
        <f>SUM(M377:M419)</f>
        <v>21417922</v>
      </c>
      <c r="N420" s="21"/>
      <c r="O420" s="21">
        <f>SUM(O377:O419)</f>
        <v>306529879.64100003</v>
      </c>
      <c r="P420" s="10"/>
      <c r="Q420" s="10" t="s">
        <v>1216</v>
      </c>
    </row>
    <row r="421" spans="1:17" ht="24" customHeight="1" x14ac:dyDescent="0.3">
      <c r="A421" t="s">
        <v>19</v>
      </c>
      <c r="B421" t="s">
        <v>117</v>
      </c>
      <c r="C421">
        <v>1</v>
      </c>
      <c r="D421" t="s">
        <v>1186</v>
      </c>
      <c r="E421" t="s">
        <v>493</v>
      </c>
      <c r="F421">
        <v>3</v>
      </c>
      <c r="G421" t="s">
        <v>171</v>
      </c>
      <c r="H421" s="19">
        <v>0</v>
      </c>
      <c r="I421" s="19">
        <f t="shared" ref="I421:I456" si="63">F421*H421</f>
        <v>0</v>
      </c>
      <c r="J421" s="19">
        <v>33455</v>
      </c>
      <c r="K421" s="19">
        <f t="shared" ref="K421:K456" si="64">F421*J421</f>
        <v>100365</v>
      </c>
      <c r="L421" s="19">
        <v>0</v>
      </c>
      <c r="M421" s="19">
        <f t="shared" ref="M421:M456" si="65">F421*L421</f>
        <v>0</v>
      </c>
      <c r="N421" s="19">
        <f t="shared" ref="N421:N456" si="66">H421+J421+L421</f>
        <v>33455</v>
      </c>
      <c r="O421" s="19">
        <f t="shared" ref="O421:O456" si="67">I421+K421+M421</f>
        <v>100365</v>
      </c>
      <c r="Q421" t="s">
        <v>172</v>
      </c>
    </row>
    <row r="422" spans="1:17" ht="24" customHeight="1" x14ac:dyDescent="0.3">
      <c r="A422" t="s">
        <v>19</v>
      </c>
      <c r="B422" t="s">
        <v>117</v>
      </c>
      <c r="C422">
        <v>2</v>
      </c>
      <c r="D422" t="s">
        <v>598</v>
      </c>
      <c r="E422" t="s">
        <v>213</v>
      </c>
      <c r="F422">
        <v>1040</v>
      </c>
      <c r="G422" t="s">
        <v>171</v>
      </c>
      <c r="H422" s="19">
        <v>447</v>
      </c>
      <c r="I422" s="19">
        <f t="shared" si="63"/>
        <v>464880</v>
      </c>
      <c r="J422" s="19">
        <v>955</v>
      </c>
      <c r="K422" s="19">
        <f t="shared" si="64"/>
        <v>993200</v>
      </c>
      <c r="L422" s="19">
        <v>336</v>
      </c>
      <c r="M422" s="19">
        <f t="shared" si="65"/>
        <v>349440</v>
      </c>
      <c r="N422" s="19">
        <f t="shared" si="66"/>
        <v>1738</v>
      </c>
      <c r="O422" s="19">
        <f t="shared" si="67"/>
        <v>1807520</v>
      </c>
      <c r="Q422" t="s">
        <v>172</v>
      </c>
    </row>
    <row r="423" spans="1:17" ht="24" customHeight="1" x14ac:dyDescent="0.3">
      <c r="A423" t="s">
        <v>19</v>
      </c>
      <c r="B423" t="s">
        <v>117</v>
      </c>
      <c r="C423">
        <v>3</v>
      </c>
      <c r="D423" t="s">
        <v>1217</v>
      </c>
      <c r="E423" t="s">
        <v>493</v>
      </c>
      <c r="F423">
        <v>2</v>
      </c>
      <c r="G423" t="s">
        <v>171</v>
      </c>
      <c r="H423" s="19">
        <v>608</v>
      </c>
      <c r="I423" s="19">
        <f t="shared" si="63"/>
        <v>1216</v>
      </c>
      <c r="J423" s="19">
        <v>9980</v>
      </c>
      <c r="K423" s="19">
        <f t="shared" si="64"/>
        <v>19960</v>
      </c>
      <c r="L423" s="19">
        <v>440</v>
      </c>
      <c r="M423" s="19">
        <f t="shared" si="65"/>
        <v>880</v>
      </c>
      <c r="N423" s="19">
        <f t="shared" si="66"/>
        <v>11028</v>
      </c>
      <c r="O423" s="19">
        <f t="shared" si="67"/>
        <v>22056</v>
      </c>
      <c r="Q423" t="s">
        <v>676</v>
      </c>
    </row>
    <row r="424" spans="1:17" ht="24" customHeight="1" x14ac:dyDescent="0.3">
      <c r="A424" t="s">
        <v>19</v>
      </c>
      <c r="B424" t="s">
        <v>117</v>
      </c>
      <c r="C424">
        <v>4</v>
      </c>
      <c r="D424" t="s">
        <v>1218</v>
      </c>
      <c r="E424" t="s">
        <v>600</v>
      </c>
      <c r="F424">
        <v>1040</v>
      </c>
      <c r="G424" t="s">
        <v>171</v>
      </c>
      <c r="H424" s="19">
        <v>547</v>
      </c>
      <c r="I424" s="19">
        <f t="shared" si="63"/>
        <v>568880</v>
      </c>
      <c r="J424" s="19">
        <v>8585</v>
      </c>
      <c r="K424" s="19">
        <f t="shared" si="64"/>
        <v>8928400</v>
      </c>
      <c r="L424" s="19">
        <v>492</v>
      </c>
      <c r="M424" s="19">
        <f t="shared" si="65"/>
        <v>511680</v>
      </c>
      <c r="N424" s="19">
        <f t="shared" si="66"/>
        <v>9624</v>
      </c>
      <c r="O424" s="19">
        <f t="shared" si="67"/>
        <v>10008960</v>
      </c>
      <c r="Q424" t="s">
        <v>601</v>
      </c>
    </row>
    <row r="425" spans="1:17" ht="24" customHeight="1" x14ac:dyDescent="0.3">
      <c r="A425" t="s">
        <v>19</v>
      </c>
      <c r="B425" t="s">
        <v>117</v>
      </c>
      <c r="C425">
        <v>5</v>
      </c>
      <c r="D425" t="s">
        <v>679</v>
      </c>
      <c r="E425" t="s">
        <v>494</v>
      </c>
      <c r="F425">
        <v>1</v>
      </c>
      <c r="G425" t="s">
        <v>171</v>
      </c>
      <c r="H425" s="19">
        <v>447</v>
      </c>
      <c r="I425" s="19">
        <f t="shared" si="63"/>
        <v>447</v>
      </c>
      <c r="J425" s="19">
        <v>955</v>
      </c>
      <c r="K425" s="19">
        <f t="shared" si="64"/>
        <v>955</v>
      </c>
      <c r="L425" s="19">
        <v>336</v>
      </c>
      <c r="M425" s="19">
        <f t="shared" si="65"/>
        <v>336</v>
      </c>
      <c r="N425" s="19">
        <f t="shared" si="66"/>
        <v>1738</v>
      </c>
      <c r="O425" s="19">
        <f t="shared" si="67"/>
        <v>1738</v>
      </c>
      <c r="Q425" t="s">
        <v>172</v>
      </c>
    </row>
    <row r="426" spans="1:17" ht="24" customHeight="1" x14ac:dyDescent="0.3">
      <c r="A426" t="s">
        <v>19</v>
      </c>
      <c r="B426" t="s">
        <v>117</v>
      </c>
      <c r="C426">
        <v>6</v>
      </c>
      <c r="D426" t="s">
        <v>1219</v>
      </c>
      <c r="E426" t="s">
        <v>1220</v>
      </c>
      <c r="F426">
        <v>1242</v>
      </c>
      <c r="G426" t="s">
        <v>199</v>
      </c>
      <c r="H426" s="19">
        <v>15000</v>
      </c>
      <c r="I426" s="19">
        <f t="shared" si="63"/>
        <v>18630000</v>
      </c>
      <c r="J426" s="19">
        <v>25000</v>
      </c>
      <c r="K426" s="19">
        <f t="shared" si="64"/>
        <v>31050000</v>
      </c>
      <c r="L426" s="19">
        <v>1200</v>
      </c>
      <c r="M426" s="19">
        <f t="shared" si="65"/>
        <v>1490400</v>
      </c>
      <c r="N426" s="19">
        <f t="shared" si="66"/>
        <v>41200</v>
      </c>
      <c r="O426" s="19">
        <f t="shared" si="67"/>
        <v>51170400</v>
      </c>
      <c r="P426" t="s">
        <v>247</v>
      </c>
      <c r="Q426" t="s">
        <v>1221</v>
      </c>
    </row>
    <row r="427" spans="1:17" ht="24" customHeight="1" x14ac:dyDescent="0.3">
      <c r="A427" t="s">
        <v>19</v>
      </c>
      <c r="B427" t="s">
        <v>117</v>
      </c>
      <c r="C427">
        <v>7</v>
      </c>
      <c r="D427" t="s">
        <v>1222</v>
      </c>
      <c r="E427" t="s">
        <v>1223</v>
      </c>
      <c r="F427">
        <v>272</v>
      </c>
      <c r="G427" t="s">
        <v>168</v>
      </c>
      <c r="H427" s="19">
        <v>0</v>
      </c>
      <c r="I427" s="19">
        <f t="shared" si="63"/>
        <v>0</v>
      </c>
      <c r="J427" s="19">
        <v>608</v>
      </c>
      <c r="K427" s="19">
        <f t="shared" si="64"/>
        <v>165376</v>
      </c>
      <c r="L427" s="19">
        <v>0</v>
      </c>
      <c r="M427" s="19">
        <f t="shared" si="65"/>
        <v>0</v>
      </c>
      <c r="N427" s="19">
        <f t="shared" si="66"/>
        <v>608</v>
      </c>
      <c r="O427" s="19">
        <f t="shared" si="67"/>
        <v>165376</v>
      </c>
      <c r="Q427" t="s">
        <v>1224</v>
      </c>
    </row>
    <row r="428" spans="1:17" ht="24" customHeight="1" x14ac:dyDescent="0.3">
      <c r="A428" t="s">
        <v>19</v>
      </c>
      <c r="B428" t="s">
        <v>117</v>
      </c>
      <c r="C428">
        <v>8</v>
      </c>
      <c r="D428" t="s">
        <v>1225</v>
      </c>
      <c r="E428" t="s">
        <v>1226</v>
      </c>
      <c r="F428">
        <v>57</v>
      </c>
      <c r="G428" t="s">
        <v>274</v>
      </c>
      <c r="H428" s="19">
        <v>2401</v>
      </c>
      <c r="I428" s="19">
        <f t="shared" si="63"/>
        <v>136857</v>
      </c>
      <c r="J428" s="19">
        <v>8160</v>
      </c>
      <c r="K428" s="19">
        <f t="shared" si="64"/>
        <v>465120</v>
      </c>
      <c r="L428" s="19">
        <v>1804</v>
      </c>
      <c r="M428" s="19">
        <f t="shared" si="65"/>
        <v>102828</v>
      </c>
      <c r="N428" s="19">
        <f t="shared" si="66"/>
        <v>12365</v>
      </c>
      <c r="O428" s="19">
        <f t="shared" si="67"/>
        <v>704805</v>
      </c>
      <c r="Q428" t="s">
        <v>1227</v>
      </c>
    </row>
    <row r="429" spans="1:17" ht="24" customHeight="1" x14ac:dyDescent="0.3">
      <c r="A429" t="s">
        <v>19</v>
      </c>
      <c r="B429" t="s">
        <v>117</v>
      </c>
      <c r="C429">
        <v>9</v>
      </c>
      <c r="D429" t="s">
        <v>1228</v>
      </c>
      <c r="E429" t="s">
        <v>1229</v>
      </c>
      <c r="F429">
        <v>9</v>
      </c>
      <c r="G429" t="s">
        <v>199</v>
      </c>
      <c r="H429" s="19">
        <v>611</v>
      </c>
      <c r="I429" s="19">
        <f t="shared" si="63"/>
        <v>5499</v>
      </c>
      <c r="J429" s="19">
        <v>19737</v>
      </c>
      <c r="K429" s="19">
        <f t="shared" si="64"/>
        <v>177633</v>
      </c>
      <c r="L429" s="19">
        <v>0</v>
      </c>
      <c r="M429" s="19">
        <f t="shared" si="65"/>
        <v>0</v>
      </c>
      <c r="N429" s="19">
        <f t="shared" si="66"/>
        <v>20348</v>
      </c>
      <c r="O429" s="19">
        <f t="shared" si="67"/>
        <v>183132</v>
      </c>
      <c r="Q429" t="s">
        <v>222</v>
      </c>
    </row>
    <row r="430" spans="1:17" ht="24" customHeight="1" x14ac:dyDescent="0.3">
      <c r="A430" t="s">
        <v>19</v>
      </c>
      <c r="B430" t="s">
        <v>117</v>
      </c>
      <c r="C430">
        <v>10</v>
      </c>
      <c r="D430" t="s">
        <v>1230</v>
      </c>
      <c r="E430" t="s">
        <v>1231</v>
      </c>
      <c r="F430">
        <v>108</v>
      </c>
      <c r="G430" t="s">
        <v>171</v>
      </c>
      <c r="H430" s="19">
        <v>713</v>
      </c>
      <c r="I430" s="19">
        <f t="shared" si="63"/>
        <v>77004</v>
      </c>
      <c r="J430" s="19">
        <v>4325</v>
      </c>
      <c r="K430" s="19">
        <f t="shared" si="64"/>
        <v>467100</v>
      </c>
      <c r="L430" s="19">
        <v>817</v>
      </c>
      <c r="M430" s="19">
        <f t="shared" si="65"/>
        <v>88236</v>
      </c>
      <c r="N430" s="19">
        <f t="shared" si="66"/>
        <v>5855</v>
      </c>
      <c r="O430" s="19">
        <f t="shared" si="67"/>
        <v>632340</v>
      </c>
      <c r="Q430" t="s">
        <v>1232</v>
      </c>
    </row>
    <row r="431" spans="1:17" ht="24" customHeight="1" x14ac:dyDescent="0.3">
      <c r="A431" t="s">
        <v>19</v>
      </c>
      <c r="B431" t="s">
        <v>117</v>
      </c>
      <c r="C431">
        <v>11</v>
      </c>
      <c r="D431" t="s">
        <v>1222</v>
      </c>
      <c r="E431" t="s">
        <v>1223</v>
      </c>
      <c r="F431">
        <v>1895</v>
      </c>
      <c r="G431" t="s">
        <v>168</v>
      </c>
      <c r="H431" s="19">
        <v>0</v>
      </c>
      <c r="I431" s="19">
        <f t="shared" si="63"/>
        <v>0</v>
      </c>
      <c r="J431" s="19">
        <v>608</v>
      </c>
      <c r="K431" s="19">
        <f t="shared" si="64"/>
        <v>1152160</v>
      </c>
      <c r="L431" s="19">
        <v>0</v>
      </c>
      <c r="M431" s="19">
        <f t="shared" si="65"/>
        <v>0</v>
      </c>
      <c r="N431" s="19">
        <f t="shared" si="66"/>
        <v>608</v>
      </c>
      <c r="O431" s="19">
        <f t="shared" si="67"/>
        <v>1152160</v>
      </c>
      <c r="Q431" t="s">
        <v>1224</v>
      </c>
    </row>
    <row r="432" spans="1:17" ht="24" customHeight="1" x14ac:dyDescent="0.3">
      <c r="A432" t="s">
        <v>19</v>
      </c>
      <c r="B432" t="s">
        <v>117</v>
      </c>
      <c r="C432">
        <v>12</v>
      </c>
      <c r="D432" t="s">
        <v>1233</v>
      </c>
      <c r="E432" t="s">
        <v>1234</v>
      </c>
      <c r="F432">
        <v>1178</v>
      </c>
      <c r="G432" t="s">
        <v>274</v>
      </c>
      <c r="H432" s="19">
        <v>0</v>
      </c>
      <c r="I432" s="19">
        <f t="shared" si="63"/>
        <v>0</v>
      </c>
      <c r="J432" s="19">
        <v>74174</v>
      </c>
      <c r="K432" s="19">
        <f t="shared" si="64"/>
        <v>87376972</v>
      </c>
      <c r="L432" s="19">
        <v>0</v>
      </c>
      <c r="M432" s="19">
        <f t="shared" si="65"/>
        <v>0</v>
      </c>
      <c r="N432" s="19">
        <f t="shared" si="66"/>
        <v>74174</v>
      </c>
      <c r="O432" s="19">
        <f t="shared" si="67"/>
        <v>87376972</v>
      </c>
      <c r="Q432" t="s">
        <v>655</v>
      </c>
    </row>
    <row r="433" spans="1:17" ht="24" customHeight="1" x14ac:dyDescent="0.3">
      <c r="A433" t="s">
        <v>19</v>
      </c>
      <c r="B433" t="s">
        <v>117</v>
      </c>
      <c r="C433">
        <v>13</v>
      </c>
      <c r="D433" t="s">
        <v>1235</v>
      </c>
      <c r="E433" t="s">
        <v>1231</v>
      </c>
      <c r="F433">
        <v>259</v>
      </c>
      <c r="G433" t="s">
        <v>171</v>
      </c>
      <c r="H433" s="19">
        <v>713</v>
      </c>
      <c r="I433" s="19">
        <f t="shared" si="63"/>
        <v>184667</v>
      </c>
      <c r="J433" s="19">
        <v>4325</v>
      </c>
      <c r="K433" s="19">
        <f t="shared" si="64"/>
        <v>1120175</v>
      </c>
      <c r="L433" s="19">
        <v>817</v>
      </c>
      <c r="M433" s="19">
        <f t="shared" si="65"/>
        <v>211603</v>
      </c>
      <c r="N433" s="19">
        <f t="shared" si="66"/>
        <v>5855</v>
      </c>
      <c r="O433" s="19">
        <f t="shared" si="67"/>
        <v>1516445</v>
      </c>
      <c r="Q433" t="s">
        <v>1232</v>
      </c>
    </row>
    <row r="434" spans="1:17" ht="24" customHeight="1" x14ac:dyDescent="0.3">
      <c r="A434" t="s">
        <v>19</v>
      </c>
      <c r="B434" t="s">
        <v>117</v>
      </c>
      <c r="C434">
        <v>14</v>
      </c>
      <c r="D434" t="s">
        <v>1236</v>
      </c>
      <c r="E434" t="s">
        <v>1237</v>
      </c>
      <c r="F434">
        <v>1</v>
      </c>
      <c r="G434" t="s">
        <v>233</v>
      </c>
      <c r="H434" s="19">
        <v>2500000</v>
      </c>
      <c r="I434" s="19">
        <f t="shared" si="63"/>
        <v>2500000</v>
      </c>
      <c r="J434" s="19">
        <v>15000000</v>
      </c>
      <c r="K434" s="19">
        <f t="shared" si="64"/>
        <v>15000000</v>
      </c>
      <c r="L434" s="19">
        <v>1200000</v>
      </c>
      <c r="M434" s="19">
        <f t="shared" si="65"/>
        <v>1200000</v>
      </c>
      <c r="N434" s="19">
        <f t="shared" si="66"/>
        <v>18700000</v>
      </c>
      <c r="O434" s="19">
        <f t="shared" si="67"/>
        <v>18700000</v>
      </c>
      <c r="P434" t="s">
        <v>247</v>
      </c>
      <c r="Q434" t="s">
        <v>1238</v>
      </c>
    </row>
    <row r="435" spans="1:17" ht="24" customHeight="1" x14ac:dyDescent="0.3">
      <c r="A435" t="s">
        <v>19</v>
      </c>
      <c r="B435" t="s">
        <v>117</v>
      </c>
      <c r="C435">
        <v>15</v>
      </c>
      <c r="D435" t="s">
        <v>1239</v>
      </c>
      <c r="E435" t="s">
        <v>1237</v>
      </c>
      <c r="F435">
        <v>1</v>
      </c>
      <c r="G435" t="s">
        <v>233</v>
      </c>
      <c r="H435" s="19">
        <v>2866603</v>
      </c>
      <c r="I435" s="19">
        <f t="shared" si="63"/>
        <v>2866603</v>
      </c>
      <c r="J435" s="19">
        <v>15796906</v>
      </c>
      <c r="K435" s="19">
        <f t="shared" si="64"/>
        <v>15796906</v>
      </c>
      <c r="L435" s="19">
        <v>2578098</v>
      </c>
      <c r="M435" s="19">
        <f t="shared" si="65"/>
        <v>2578098</v>
      </c>
      <c r="N435" s="19">
        <f t="shared" si="66"/>
        <v>21241607</v>
      </c>
      <c r="O435" s="19">
        <f t="shared" si="67"/>
        <v>21241607</v>
      </c>
      <c r="P435" t="s">
        <v>247</v>
      </c>
      <c r="Q435" t="s">
        <v>1240</v>
      </c>
    </row>
    <row r="436" spans="1:17" ht="24" customHeight="1" x14ac:dyDescent="0.3">
      <c r="A436" t="s">
        <v>19</v>
      </c>
      <c r="B436" t="s">
        <v>117</v>
      </c>
      <c r="C436">
        <v>16</v>
      </c>
      <c r="D436" t="s">
        <v>1241</v>
      </c>
      <c r="E436" t="s">
        <v>1242</v>
      </c>
      <c r="F436">
        <v>1</v>
      </c>
      <c r="G436" t="s">
        <v>233</v>
      </c>
      <c r="H436" s="19">
        <v>2500000</v>
      </c>
      <c r="I436" s="19">
        <f t="shared" si="63"/>
        <v>2500000</v>
      </c>
      <c r="J436" s="19">
        <v>1500000</v>
      </c>
      <c r="K436" s="19">
        <f t="shared" si="64"/>
        <v>1500000</v>
      </c>
      <c r="L436" s="19">
        <v>2000000</v>
      </c>
      <c r="M436" s="19">
        <f t="shared" si="65"/>
        <v>2000000</v>
      </c>
      <c r="N436" s="19">
        <f t="shared" si="66"/>
        <v>6000000</v>
      </c>
      <c r="O436" s="19">
        <f t="shared" si="67"/>
        <v>6000000</v>
      </c>
      <c r="P436" t="s">
        <v>247</v>
      </c>
      <c r="Q436" t="s">
        <v>1243</v>
      </c>
    </row>
    <row r="437" spans="1:17" ht="24" customHeight="1" x14ac:dyDescent="0.3">
      <c r="A437" t="s">
        <v>19</v>
      </c>
      <c r="B437" t="s">
        <v>117</v>
      </c>
      <c r="C437">
        <v>17</v>
      </c>
      <c r="D437" t="s">
        <v>1244</v>
      </c>
      <c r="E437" t="s">
        <v>1245</v>
      </c>
      <c r="F437">
        <v>100</v>
      </c>
      <c r="G437" t="s">
        <v>168</v>
      </c>
      <c r="H437" s="19">
        <v>465</v>
      </c>
      <c r="I437" s="19">
        <f t="shared" si="63"/>
        <v>46500</v>
      </c>
      <c r="J437" s="19">
        <v>23281</v>
      </c>
      <c r="K437" s="19">
        <f t="shared" si="64"/>
        <v>2328100</v>
      </c>
      <c r="L437" s="19"/>
      <c r="M437" s="19">
        <f t="shared" si="65"/>
        <v>0</v>
      </c>
      <c r="N437" s="19">
        <f t="shared" si="66"/>
        <v>23746</v>
      </c>
      <c r="O437" s="19">
        <f t="shared" si="67"/>
        <v>2374600</v>
      </c>
      <c r="P437" t="s">
        <v>247</v>
      </c>
      <c r="Q437" t="s">
        <v>1246</v>
      </c>
    </row>
    <row r="438" spans="1:17" ht="24" customHeight="1" x14ac:dyDescent="0.3">
      <c r="A438" t="s">
        <v>19</v>
      </c>
      <c r="B438" t="s">
        <v>117</v>
      </c>
      <c r="C438">
        <v>18</v>
      </c>
      <c r="D438" t="s">
        <v>1247</v>
      </c>
      <c r="E438" t="s">
        <v>1245</v>
      </c>
      <c r="F438">
        <v>130</v>
      </c>
      <c r="G438" t="s">
        <v>168</v>
      </c>
      <c r="H438" s="19">
        <v>465</v>
      </c>
      <c r="I438" s="19">
        <f t="shared" si="63"/>
        <v>60450</v>
      </c>
      <c r="J438" s="19">
        <v>23281</v>
      </c>
      <c r="K438" s="19">
        <f t="shared" si="64"/>
        <v>3026530</v>
      </c>
      <c r="L438" s="19"/>
      <c r="M438" s="19">
        <f t="shared" si="65"/>
        <v>0</v>
      </c>
      <c r="N438" s="19">
        <f t="shared" si="66"/>
        <v>23746</v>
      </c>
      <c r="O438" s="19">
        <f t="shared" si="67"/>
        <v>3086980</v>
      </c>
      <c r="P438" t="s">
        <v>247</v>
      </c>
      <c r="Q438" t="s">
        <v>1246</v>
      </c>
    </row>
    <row r="439" spans="1:17" ht="24" customHeight="1" x14ac:dyDescent="0.3">
      <c r="A439" t="s">
        <v>19</v>
      </c>
      <c r="B439" t="s">
        <v>117</v>
      </c>
      <c r="C439">
        <v>19</v>
      </c>
      <c r="D439" t="s">
        <v>1248</v>
      </c>
      <c r="E439" t="s">
        <v>1245</v>
      </c>
      <c r="F439">
        <v>80</v>
      </c>
      <c r="G439" t="s">
        <v>168</v>
      </c>
      <c r="H439" s="19">
        <v>465</v>
      </c>
      <c r="I439" s="19">
        <f t="shared" si="63"/>
        <v>37200</v>
      </c>
      <c r="J439" s="19">
        <v>23281</v>
      </c>
      <c r="K439" s="19">
        <f t="shared" si="64"/>
        <v>1862480</v>
      </c>
      <c r="L439" s="19"/>
      <c r="M439" s="19">
        <f t="shared" si="65"/>
        <v>0</v>
      </c>
      <c r="N439" s="19">
        <f t="shared" si="66"/>
        <v>23746</v>
      </c>
      <c r="O439" s="19">
        <f t="shared" si="67"/>
        <v>1899680</v>
      </c>
      <c r="P439" t="s">
        <v>247</v>
      </c>
      <c r="Q439" t="s">
        <v>1246</v>
      </c>
    </row>
    <row r="440" spans="1:17" ht="24" customHeight="1" x14ac:dyDescent="0.3">
      <c r="A440" t="s">
        <v>19</v>
      </c>
      <c r="B440" t="s">
        <v>117</v>
      </c>
      <c r="C440">
        <v>20</v>
      </c>
      <c r="D440" t="s">
        <v>1249</v>
      </c>
      <c r="E440" t="s">
        <v>1245</v>
      </c>
      <c r="F440">
        <v>20</v>
      </c>
      <c r="G440" t="s">
        <v>168</v>
      </c>
      <c r="H440" s="19">
        <v>465</v>
      </c>
      <c r="I440" s="19">
        <f t="shared" si="63"/>
        <v>9300</v>
      </c>
      <c r="J440" s="19">
        <v>23281</v>
      </c>
      <c r="K440" s="19">
        <f t="shared" si="64"/>
        <v>465620</v>
      </c>
      <c r="L440" s="19"/>
      <c r="M440" s="19">
        <f t="shared" si="65"/>
        <v>0</v>
      </c>
      <c r="N440" s="19">
        <f t="shared" si="66"/>
        <v>23746</v>
      </c>
      <c r="O440" s="19">
        <f t="shared" si="67"/>
        <v>474920</v>
      </c>
      <c r="P440" t="s">
        <v>247</v>
      </c>
      <c r="Q440" t="s">
        <v>1246</v>
      </c>
    </row>
    <row r="441" spans="1:17" ht="24" customHeight="1" x14ac:dyDescent="0.3">
      <c r="A441" t="s">
        <v>19</v>
      </c>
      <c r="B441" t="s">
        <v>117</v>
      </c>
      <c r="C441">
        <v>21</v>
      </c>
      <c r="D441" t="s">
        <v>1250</v>
      </c>
      <c r="E441" t="s">
        <v>1245</v>
      </c>
      <c r="F441">
        <v>100</v>
      </c>
      <c r="G441" t="s">
        <v>168</v>
      </c>
      <c r="H441" s="19">
        <v>465</v>
      </c>
      <c r="I441" s="19">
        <f t="shared" si="63"/>
        <v>46500</v>
      </c>
      <c r="J441" s="19">
        <v>23281</v>
      </c>
      <c r="K441" s="19">
        <f t="shared" si="64"/>
        <v>2328100</v>
      </c>
      <c r="L441" s="19"/>
      <c r="M441" s="19">
        <f t="shared" si="65"/>
        <v>0</v>
      </c>
      <c r="N441" s="19">
        <f t="shared" si="66"/>
        <v>23746</v>
      </c>
      <c r="O441" s="19">
        <f t="shared" si="67"/>
        <v>2374600</v>
      </c>
      <c r="P441" t="s">
        <v>247</v>
      </c>
      <c r="Q441" t="s">
        <v>1246</v>
      </c>
    </row>
    <row r="442" spans="1:17" ht="24" customHeight="1" x14ac:dyDescent="0.3">
      <c r="A442" t="s">
        <v>19</v>
      </c>
      <c r="B442" t="s">
        <v>117</v>
      </c>
      <c r="C442">
        <v>22</v>
      </c>
      <c r="D442" t="s">
        <v>1251</v>
      </c>
      <c r="E442" t="s">
        <v>1245</v>
      </c>
      <c r="F442">
        <v>120</v>
      </c>
      <c r="G442" t="s">
        <v>168</v>
      </c>
      <c r="H442" s="19">
        <v>465</v>
      </c>
      <c r="I442" s="19">
        <f t="shared" si="63"/>
        <v>55800</v>
      </c>
      <c r="J442" s="19">
        <v>23281</v>
      </c>
      <c r="K442" s="19">
        <f t="shared" si="64"/>
        <v>2793720</v>
      </c>
      <c r="L442" s="19"/>
      <c r="M442" s="19">
        <f t="shared" si="65"/>
        <v>0</v>
      </c>
      <c r="N442" s="19">
        <f t="shared" si="66"/>
        <v>23746</v>
      </c>
      <c r="O442" s="19">
        <f t="shared" si="67"/>
        <v>2849520</v>
      </c>
      <c r="P442" t="s">
        <v>247</v>
      </c>
      <c r="Q442" t="s">
        <v>1246</v>
      </c>
    </row>
    <row r="443" spans="1:17" ht="24" customHeight="1" x14ac:dyDescent="0.3">
      <c r="A443" t="s">
        <v>19</v>
      </c>
      <c r="B443" t="s">
        <v>117</v>
      </c>
      <c r="C443">
        <v>23</v>
      </c>
      <c r="D443" t="s">
        <v>1252</v>
      </c>
      <c r="E443" t="s">
        <v>1253</v>
      </c>
      <c r="F443">
        <v>1</v>
      </c>
      <c r="G443" t="s">
        <v>233</v>
      </c>
      <c r="I443" s="19">
        <f t="shared" si="63"/>
        <v>0</v>
      </c>
      <c r="J443" s="19"/>
      <c r="K443" s="19">
        <f t="shared" si="64"/>
        <v>0</v>
      </c>
      <c r="L443" s="19"/>
      <c r="M443" s="19">
        <f t="shared" si="65"/>
        <v>0</v>
      </c>
      <c r="N443" s="19">
        <f t="shared" si="66"/>
        <v>0</v>
      </c>
      <c r="O443" s="19">
        <f t="shared" si="67"/>
        <v>0</v>
      </c>
      <c r="P443" t="s">
        <v>159</v>
      </c>
      <c r="Q443" t="s">
        <v>1254</v>
      </c>
    </row>
    <row r="444" spans="1:17" ht="24" customHeight="1" x14ac:dyDescent="0.3">
      <c r="A444" t="s">
        <v>19</v>
      </c>
      <c r="B444" t="s">
        <v>117</v>
      </c>
      <c r="C444">
        <v>24</v>
      </c>
      <c r="D444" t="s">
        <v>1255</v>
      </c>
      <c r="E444" t="s">
        <v>1256</v>
      </c>
      <c r="F444">
        <v>12</v>
      </c>
      <c r="G444" t="s">
        <v>1257</v>
      </c>
      <c r="H444" s="19">
        <v>0</v>
      </c>
      <c r="I444" s="19">
        <f t="shared" si="63"/>
        <v>0</v>
      </c>
      <c r="J444" s="19">
        <v>1500000</v>
      </c>
      <c r="K444" s="19">
        <f t="shared" si="64"/>
        <v>18000000</v>
      </c>
      <c r="L444" s="19">
        <v>4500000</v>
      </c>
      <c r="M444" s="19">
        <f t="shared" si="65"/>
        <v>54000000</v>
      </c>
      <c r="N444" s="19">
        <f t="shared" si="66"/>
        <v>6000000</v>
      </c>
      <c r="O444" s="19">
        <f t="shared" si="67"/>
        <v>72000000</v>
      </c>
      <c r="P444" t="s">
        <v>247</v>
      </c>
      <c r="Q444" t="s">
        <v>1258</v>
      </c>
    </row>
    <row r="445" spans="1:17" ht="24" customHeight="1" x14ac:dyDescent="0.3">
      <c r="A445" t="s">
        <v>19</v>
      </c>
      <c r="B445" t="s">
        <v>117</v>
      </c>
      <c r="C445">
        <v>25</v>
      </c>
      <c r="D445" t="s">
        <v>1259</v>
      </c>
      <c r="E445" t="s">
        <v>1260</v>
      </c>
      <c r="F445">
        <v>1</v>
      </c>
      <c r="G445" t="s">
        <v>233</v>
      </c>
      <c r="H445" s="19">
        <v>450000</v>
      </c>
      <c r="I445" s="19">
        <f t="shared" si="63"/>
        <v>450000</v>
      </c>
      <c r="J445" s="19">
        <v>150000</v>
      </c>
      <c r="K445" s="19">
        <f t="shared" si="64"/>
        <v>150000</v>
      </c>
      <c r="L445" s="19"/>
      <c r="M445" s="19">
        <f t="shared" si="65"/>
        <v>0</v>
      </c>
      <c r="N445" s="19">
        <f t="shared" si="66"/>
        <v>600000</v>
      </c>
      <c r="O445" s="19">
        <f t="shared" si="67"/>
        <v>600000</v>
      </c>
      <c r="P445" t="s">
        <v>247</v>
      </c>
      <c r="Q445" t="s">
        <v>1261</v>
      </c>
    </row>
    <row r="446" spans="1:17" ht="24" customHeight="1" x14ac:dyDescent="0.3">
      <c r="A446" t="s">
        <v>19</v>
      </c>
      <c r="B446" t="s">
        <v>117</v>
      </c>
      <c r="C446">
        <v>26</v>
      </c>
      <c r="D446" t="s">
        <v>1262</v>
      </c>
      <c r="E446" t="s">
        <v>1263</v>
      </c>
      <c r="F446">
        <v>38</v>
      </c>
      <c r="G446" t="s">
        <v>1264</v>
      </c>
      <c r="H446" s="19">
        <v>80000</v>
      </c>
      <c r="I446" s="19">
        <f t="shared" si="63"/>
        <v>3040000</v>
      </c>
      <c r="J446" s="19">
        <v>150000</v>
      </c>
      <c r="K446" s="19">
        <f t="shared" si="64"/>
        <v>5700000</v>
      </c>
      <c r="L446" s="19"/>
      <c r="M446" s="19">
        <f t="shared" si="65"/>
        <v>0</v>
      </c>
      <c r="N446" s="19">
        <f t="shared" si="66"/>
        <v>230000</v>
      </c>
      <c r="O446" s="19">
        <f t="shared" si="67"/>
        <v>8740000</v>
      </c>
      <c r="P446" t="s">
        <v>247</v>
      </c>
      <c r="Q446" t="s">
        <v>1265</v>
      </c>
    </row>
    <row r="447" spans="1:17" ht="24" customHeight="1" x14ac:dyDescent="0.3">
      <c r="A447" t="s">
        <v>19</v>
      </c>
      <c r="B447" t="s">
        <v>117</v>
      </c>
      <c r="C447">
        <v>27</v>
      </c>
      <c r="D447" t="s">
        <v>1266</v>
      </c>
      <c r="E447" t="s">
        <v>1267</v>
      </c>
      <c r="F447">
        <v>70</v>
      </c>
      <c r="G447" t="s">
        <v>1264</v>
      </c>
      <c r="H447" s="19">
        <v>80000</v>
      </c>
      <c r="I447" s="19">
        <f t="shared" si="63"/>
        <v>5600000</v>
      </c>
      <c r="J447" s="19">
        <v>150000</v>
      </c>
      <c r="K447" s="19">
        <f t="shared" si="64"/>
        <v>10500000</v>
      </c>
      <c r="L447" s="19"/>
      <c r="M447" s="19">
        <f t="shared" si="65"/>
        <v>0</v>
      </c>
      <c r="N447" s="19">
        <f t="shared" si="66"/>
        <v>230000</v>
      </c>
      <c r="O447" s="19">
        <f t="shared" si="67"/>
        <v>16100000</v>
      </c>
      <c r="P447" t="s">
        <v>247</v>
      </c>
      <c r="Q447" t="s">
        <v>1267</v>
      </c>
    </row>
    <row r="448" spans="1:17" ht="24" customHeight="1" x14ac:dyDescent="0.3">
      <c r="A448" t="s">
        <v>19</v>
      </c>
      <c r="B448" t="s">
        <v>117</v>
      </c>
      <c r="C448">
        <v>28</v>
      </c>
      <c r="D448" t="s">
        <v>1268</v>
      </c>
      <c r="E448" t="s">
        <v>1269</v>
      </c>
      <c r="F448">
        <v>11</v>
      </c>
      <c r="G448" t="s">
        <v>1264</v>
      </c>
      <c r="H448" s="19">
        <v>100000</v>
      </c>
      <c r="I448" s="19">
        <f t="shared" si="63"/>
        <v>1100000</v>
      </c>
      <c r="J448" s="19">
        <v>200000</v>
      </c>
      <c r="K448" s="19">
        <f t="shared" si="64"/>
        <v>2200000</v>
      </c>
      <c r="L448" s="19"/>
      <c r="M448" s="19">
        <f t="shared" si="65"/>
        <v>0</v>
      </c>
      <c r="N448" s="19">
        <f t="shared" si="66"/>
        <v>300000</v>
      </c>
      <c r="O448" s="19">
        <f t="shared" si="67"/>
        <v>3300000</v>
      </c>
      <c r="P448" t="s">
        <v>247</v>
      </c>
      <c r="Q448" t="s">
        <v>1270</v>
      </c>
    </row>
    <row r="449" spans="1:17" ht="24" customHeight="1" x14ac:dyDescent="0.3">
      <c r="A449" t="s">
        <v>19</v>
      </c>
      <c r="B449" t="s">
        <v>117</v>
      </c>
      <c r="C449">
        <v>29</v>
      </c>
      <c r="D449" t="s">
        <v>1271</v>
      </c>
      <c r="E449" t="s">
        <v>430</v>
      </c>
      <c r="F449">
        <v>57</v>
      </c>
      <c r="G449" t="s">
        <v>171</v>
      </c>
      <c r="H449" s="19">
        <v>45000</v>
      </c>
      <c r="I449" s="19">
        <f t="shared" si="63"/>
        <v>2565000</v>
      </c>
      <c r="J449" s="19"/>
      <c r="K449" s="19">
        <f t="shared" si="64"/>
        <v>0</v>
      </c>
      <c r="L449" s="19"/>
      <c r="M449" s="19">
        <f t="shared" si="65"/>
        <v>0</v>
      </c>
      <c r="N449" s="19">
        <f t="shared" si="66"/>
        <v>45000</v>
      </c>
      <c r="O449" s="19">
        <f t="shared" si="67"/>
        <v>2565000</v>
      </c>
      <c r="P449" t="s">
        <v>247</v>
      </c>
      <c r="Q449" t="s">
        <v>1272</v>
      </c>
    </row>
    <row r="450" spans="1:17" ht="24" customHeight="1" x14ac:dyDescent="0.3">
      <c r="A450" t="s">
        <v>19</v>
      </c>
      <c r="B450" t="s">
        <v>117</v>
      </c>
      <c r="C450">
        <v>30</v>
      </c>
      <c r="D450" t="s">
        <v>826</v>
      </c>
      <c r="E450" t="s">
        <v>827</v>
      </c>
      <c r="F450">
        <v>0.872</v>
      </c>
      <c r="G450" t="s">
        <v>283</v>
      </c>
      <c r="H450" s="19">
        <v>952000</v>
      </c>
      <c r="I450" s="19">
        <f t="shared" si="63"/>
        <v>830144</v>
      </c>
      <c r="J450" s="19">
        <v>0</v>
      </c>
      <c r="K450" s="19">
        <f t="shared" si="64"/>
        <v>0</v>
      </c>
      <c r="L450" s="19">
        <v>0</v>
      </c>
      <c r="M450" s="19">
        <f t="shared" si="65"/>
        <v>0</v>
      </c>
      <c r="N450" s="19">
        <f t="shared" si="66"/>
        <v>952000</v>
      </c>
      <c r="O450" s="19">
        <f t="shared" si="67"/>
        <v>830144</v>
      </c>
      <c r="Q450" t="s">
        <v>828</v>
      </c>
    </row>
    <row r="451" spans="1:17" ht="24" customHeight="1" x14ac:dyDescent="0.3">
      <c r="A451" t="s">
        <v>19</v>
      </c>
      <c r="B451" t="s">
        <v>117</v>
      </c>
      <c r="C451">
        <v>31</v>
      </c>
      <c r="D451" t="s">
        <v>1273</v>
      </c>
      <c r="E451" t="s">
        <v>1274</v>
      </c>
      <c r="F451">
        <v>0.872</v>
      </c>
      <c r="G451" t="s">
        <v>260</v>
      </c>
      <c r="I451" s="19">
        <f t="shared" si="63"/>
        <v>0</v>
      </c>
      <c r="J451" s="19"/>
      <c r="K451" s="19">
        <f t="shared" si="64"/>
        <v>0</v>
      </c>
      <c r="L451" s="19">
        <v>30000</v>
      </c>
      <c r="M451" s="19">
        <f t="shared" si="65"/>
        <v>26160</v>
      </c>
      <c r="N451" s="19">
        <f t="shared" si="66"/>
        <v>30000</v>
      </c>
      <c r="O451" s="19">
        <f t="shared" si="67"/>
        <v>26160</v>
      </c>
      <c r="P451" t="s">
        <v>247</v>
      </c>
      <c r="Q451" t="s">
        <v>1275</v>
      </c>
    </row>
    <row r="452" spans="1:17" ht="24" customHeight="1" x14ac:dyDescent="0.3">
      <c r="A452" t="s">
        <v>19</v>
      </c>
      <c r="B452" t="s">
        <v>117</v>
      </c>
      <c r="C452">
        <v>32</v>
      </c>
      <c r="D452" t="s">
        <v>1276</v>
      </c>
      <c r="E452" t="s">
        <v>286</v>
      </c>
      <c r="F452">
        <v>2.5999999999999999E-2</v>
      </c>
      <c r="G452" t="s">
        <v>283</v>
      </c>
      <c r="H452" s="19">
        <v>-100000</v>
      </c>
      <c r="I452" s="19">
        <f t="shared" si="63"/>
        <v>-2600</v>
      </c>
      <c r="J452" s="19"/>
      <c r="K452" s="19">
        <f t="shared" si="64"/>
        <v>0</v>
      </c>
      <c r="L452" s="19"/>
      <c r="M452" s="19">
        <f t="shared" si="65"/>
        <v>0</v>
      </c>
      <c r="N452" s="19">
        <f t="shared" si="66"/>
        <v>-100000</v>
      </c>
      <c r="O452" s="19">
        <f t="shared" si="67"/>
        <v>-2600</v>
      </c>
      <c r="P452" t="s">
        <v>247</v>
      </c>
      <c r="Q452" t="s">
        <v>838</v>
      </c>
    </row>
    <row r="453" spans="1:17" ht="24" customHeight="1" x14ac:dyDescent="0.3">
      <c r="A453" t="s">
        <v>19</v>
      </c>
      <c r="B453" t="s">
        <v>117</v>
      </c>
      <c r="C453">
        <v>33</v>
      </c>
      <c r="D453" t="s">
        <v>839</v>
      </c>
      <c r="E453" t="s">
        <v>1277</v>
      </c>
      <c r="F453">
        <v>51</v>
      </c>
      <c r="G453" t="s">
        <v>171</v>
      </c>
      <c r="H453" s="19">
        <v>118000</v>
      </c>
      <c r="I453" s="19">
        <f t="shared" si="63"/>
        <v>6018000</v>
      </c>
      <c r="J453" s="19">
        <v>64674</v>
      </c>
      <c r="K453" s="19">
        <f t="shared" si="64"/>
        <v>3298374</v>
      </c>
      <c r="L453" s="19"/>
      <c r="M453" s="19">
        <f t="shared" si="65"/>
        <v>0</v>
      </c>
      <c r="N453" s="19">
        <f t="shared" si="66"/>
        <v>182674</v>
      </c>
      <c r="O453" s="19">
        <f t="shared" si="67"/>
        <v>9316374</v>
      </c>
      <c r="P453" t="s">
        <v>247</v>
      </c>
      <c r="Q453" t="s">
        <v>840</v>
      </c>
    </row>
    <row r="454" spans="1:17" ht="24" customHeight="1" x14ac:dyDescent="0.3">
      <c r="A454" t="s">
        <v>19</v>
      </c>
      <c r="B454" t="s">
        <v>117</v>
      </c>
      <c r="C454">
        <v>34</v>
      </c>
      <c r="D454" t="s">
        <v>841</v>
      </c>
      <c r="E454" t="s">
        <v>425</v>
      </c>
      <c r="F454">
        <v>109</v>
      </c>
      <c r="G454" t="s">
        <v>171</v>
      </c>
      <c r="H454" s="19">
        <v>99000</v>
      </c>
      <c r="I454" s="19">
        <f t="shared" si="63"/>
        <v>10791000</v>
      </c>
      <c r="J454" s="19">
        <v>64674</v>
      </c>
      <c r="K454" s="19">
        <f t="shared" si="64"/>
        <v>7049466</v>
      </c>
      <c r="L454" s="19"/>
      <c r="M454" s="19">
        <f t="shared" si="65"/>
        <v>0</v>
      </c>
      <c r="N454" s="19">
        <f t="shared" si="66"/>
        <v>163674</v>
      </c>
      <c r="O454" s="19">
        <f t="shared" si="67"/>
        <v>17840466</v>
      </c>
      <c r="P454" t="s">
        <v>247</v>
      </c>
      <c r="Q454" t="s">
        <v>840</v>
      </c>
    </row>
    <row r="455" spans="1:17" ht="24" customHeight="1" x14ac:dyDescent="0.3">
      <c r="A455" t="s">
        <v>19</v>
      </c>
      <c r="B455" t="s">
        <v>117</v>
      </c>
      <c r="C455">
        <v>35</v>
      </c>
      <c r="D455" t="s">
        <v>842</v>
      </c>
      <c r="E455" t="s">
        <v>1278</v>
      </c>
      <c r="F455">
        <v>9</v>
      </c>
      <c r="G455" t="s">
        <v>311</v>
      </c>
      <c r="H455" s="19">
        <v>2339</v>
      </c>
      <c r="I455" s="19">
        <f t="shared" si="63"/>
        <v>21051</v>
      </c>
      <c r="J455" s="19">
        <v>19375</v>
      </c>
      <c r="K455" s="19">
        <f t="shared" si="64"/>
        <v>174375</v>
      </c>
      <c r="L455" s="19">
        <v>2505</v>
      </c>
      <c r="M455" s="19">
        <f t="shared" si="65"/>
        <v>22545</v>
      </c>
      <c r="N455" s="19">
        <f t="shared" si="66"/>
        <v>24219</v>
      </c>
      <c r="O455" s="19">
        <f t="shared" si="67"/>
        <v>217971</v>
      </c>
      <c r="Q455" t="s">
        <v>843</v>
      </c>
    </row>
    <row r="456" spans="1:17" ht="24" customHeight="1" x14ac:dyDescent="0.3">
      <c r="A456" t="s">
        <v>19</v>
      </c>
      <c r="B456" t="s">
        <v>117</v>
      </c>
      <c r="C456">
        <v>36</v>
      </c>
      <c r="D456" t="s">
        <v>1279</v>
      </c>
      <c r="E456" t="s">
        <v>1280</v>
      </c>
      <c r="F456">
        <v>4</v>
      </c>
      <c r="G456" t="s">
        <v>316</v>
      </c>
      <c r="I456" s="19">
        <f t="shared" si="63"/>
        <v>0</v>
      </c>
      <c r="J456" s="19"/>
      <c r="K456" s="19">
        <f t="shared" si="64"/>
        <v>0</v>
      </c>
      <c r="L456" s="19">
        <v>3800</v>
      </c>
      <c r="M456" s="19">
        <f t="shared" si="65"/>
        <v>15200</v>
      </c>
      <c r="N456" s="19">
        <f t="shared" si="66"/>
        <v>3800</v>
      </c>
      <c r="O456" s="19">
        <f t="shared" si="67"/>
        <v>15200</v>
      </c>
      <c r="P456" t="s">
        <v>247</v>
      </c>
      <c r="Q456" t="s">
        <v>1281</v>
      </c>
    </row>
    <row r="457" spans="1:17" ht="24" customHeight="1" x14ac:dyDescent="0.3">
      <c r="A457" s="10" t="s">
        <v>19</v>
      </c>
      <c r="B457" s="10" t="s">
        <v>117</v>
      </c>
      <c r="C457" s="10"/>
      <c r="D457" s="10" t="s">
        <v>1282</v>
      </c>
      <c r="E457" s="10"/>
      <c r="F457" s="10"/>
      <c r="G457" s="10"/>
      <c r="H457" s="21"/>
      <c r="I457" s="21">
        <f>SUM(I421:I456)</f>
        <v>58604398</v>
      </c>
      <c r="J457" s="21"/>
      <c r="K457" s="21">
        <f>SUM(K421:K456)</f>
        <v>224191087</v>
      </c>
      <c r="L457" s="21"/>
      <c r="M457" s="21">
        <f>SUM(M421:M456)</f>
        <v>62597406</v>
      </c>
      <c r="N457" s="21"/>
      <c r="O457" s="21">
        <f>SUM(O421:O456)</f>
        <v>345392891</v>
      </c>
      <c r="P457" s="10"/>
      <c r="Q457" s="10" t="s">
        <v>1283</v>
      </c>
    </row>
    <row r="458" spans="1:17" ht="24" customHeight="1" x14ac:dyDescent="0.3">
      <c r="A458" t="s">
        <v>19</v>
      </c>
      <c r="B458" t="s">
        <v>118</v>
      </c>
      <c r="C458">
        <v>1</v>
      </c>
      <c r="D458" t="s">
        <v>1186</v>
      </c>
      <c r="E458" t="s">
        <v>213</v>
      </c>
      <c r="F458">
        <v>397</v>
      </c>
      <c r="G458" t="s">
        <v>171</v>
      </c>
      <c r="H458" s="19">
        <v>447</v>
      </c>
      <c r="I458" s="19">
        <f t="shared" ref="I458:I489" si="68">F458*H458</f>
        <v>177459</v>
      </c>
      <c r="J458" s="19">
        <v>955</v>
      </c>
      <c r="K458" s="19">
        <f t="shared" ref="K458:K489" si="69">F458*J458</f>
        <v>379135</v>
      </c>
      <c r="L458" s="19">
        <v>336</v>
      </c>
      <c r="M458" s="19">
        <f t="shared" ref="M458:M489" si="70">F458*L458</f>
        <v>133392</v>
      </c>
      <c r="N458" s="19">
        <f t="shared" ref="N458:N489" si="71">H458+J458+L458</f>
        <v>1738</v>
      </c>
      <c r="O458" s="19">
        <f t="shared" ref="O458:O489" si="72">I458+K458+M458</f>
        <v>689986</v>
      </c>
      <c r="Q458" t="s">
        <v>172</v>
      </c>
    </row>
    <row r="459" spans="1:17" ht="24" customHeight="1" x14ac:dyDescent="0.3">
      <c r="A459" t="s">
        <v>19</v>
      </c>
      <c r="B459" t="s">
        <v>118</v>
      </c>
      <c r="C459">
        <v>2</v>
      </c>
      <c r="D459" t="s">
        <v>1284</v>
      </c>
      <c r="E459" t="s">
        <v>336</v>
      </c>
      <c r="F459">
        <v>264</v>
      </c>
      <c r="G459" t="s">
        <v>171</v>
      </c>
      <c r="H459" s="19">
        <v>1694</v>
      </c>
      <c r="I459" s="19">
        <f t="shared" si="68"/>
        <v>447216</v>
      </c>
      <c r="J459" s="19">
        <v>6166</v>
      </c>
      <c r="K459" s="19">
        <f t="shared" si="69"/>
        <v>1627824</v>
      </c>
      <c r="L459" s="19">
        <v>1825</v>
      </c>
      <c r="M459" s="19">
        <f t="shared" si="70"/>
        <v>481800</v>
      </c>
      <c r="N459" s="19">
        <f t="shared" si="71"/>
        <v>9685</v>
      </c>
      <c r="O459" s="19">
        <f t="shared" si="72"/>
        <v>2556840</v>
      </c>
      <c r="Q459" t="s">
        <v>1285</v>
      </c>
    </row>
    <row r="460" spans="1:17" ht="24" customHeight="1" x14ac:dyDescent="0.3">
      <c r="A460" t="s">
        <v>19</v>
      </c>
      <c r="B460" t="s">
        <v>118</v>
      </c>
      <c r="C460">
        <v>3</v>
      </c>
      <c r="D460" t="s">
        <v>1286</v>
      </c>
      <c r="E460" t="s">
        <v>1287</v>
      </c>
      <c r="F460">
        <v>110</v>
      </c>
      <c r="G460" t="s">
        <v>171</v>
      </c>
      <c r="H460" s="19">
        <v>2470</v>
      </c>
      <c r="I460" s="19">
        <f t="shared" si="68"/>
        <v>271700</v>
      </c>
      <c r="J460" s="19">
        <v>16046</v>
      </c>
      <c r="K460" s="19">
        <f t="shared" si="69"/>
        <v>1765060</v>
      </c>
      <c r="L460" s="19">
        <v>4186</v>
      </c>
      <c r="M460" s="19">
        <f t="shared" si="70"/>
        <v>460460</v>
      </c>
      <c r="N460" s="19">
        <f t="shared" si="71"/>
        <v>22702</v>
      </c>
      <c r="O460" s="19">
        <f t="shared" si="72"/>
        <v>2497220</v>
      </c>
      <c r="Q460" t="s">
        <v>693</v>
      </c>
    </row>
    <row r="461" spans="1:17" ht="24" customHeight="1" x14ac:dyDescent="0.3">
      <c r="A461" t="s">
        <v>19</v>
      </c>
      <c r="B461" t="s">
        <v>118</v>
      </c>
      <c r="C461">
        <v>4</v>
      </c>
      <c r="D461" t="s">
        <v>1288</v>
      </c>
      <c r="E461" t="s">
        <v>226</v>
      </c>
      <c r="F461">
        <v>6</v>
      </c>
      <c r="G461" t="s">
        <v>171</v>
      </c>
      <c r="H461" s="19">
        <v>5963</v>
      </c>
      <c r="I461" s="19">
        <f t="shared" si="68"/>
        <v>35778</v>
      </c>
      <c r="J461" s="19">
        <v>50648</v>
      </c>
      <c r="K461" s="19">
        <f t="shared" si="69"/>
        <v>303888</v>
      </c>
      <c r="L461" s="19">
        <v>6730</v>
      </c>
      <c r="M461" s="19">
        <f t="shared" si="70"/>
        <v>40380</v>
      </c>
      <c r="N461" s="19">
        <f t="shared" si="71"/>
        <v>63341</v>
      </c>
      <c r="O461" s="19">
        <f t="shared" si="72"/>
        <v>380046</v>
      </c>
      <c r="Q461" t="s">
        <v>693</v>
      </c>
    </row>
    <row r="462" spans="1:17" ht="24" customHeight="1" x14ac:dyDescent="0.3">
      <c r="A462" t="s">
        <v>19</v>
      </c>
      <c r="B462" t="s">
        <v>118</v>
      </c>
      <c r="C462">
        <v>5</v>
      </c>
      <c r="D462" t="s">
        <v>779</v>
      </c>
      <c r="E462" t="s">
        <v>1289</v>
      </c>
      <c r="F462">
        <v>47</v>
      </c>
      <c r="G462" t="s">
        <v>168</v>
      </c>
      <c r="H462" s="19">
        <v>378</v>
      </c>
      <c r="I462" s="19">
        <f t="shared" si="68"/>
        <v>17766</v>
      </c>
      <c r="J462" s="19">
        <v>37806</v>
      </c>
      <c r="K462" s="19">
        <f t="shared" si="69"/>
        <v>1776882</v>
      </c>
      <c r="L462" s="19">
        <v>0</v>
      </c>
      <c r="M462" s="19">
        <f t="shared" si="70"/>
        <v>0</v>
      </c>
      <c r="N462" s="19">
        <f t="shared" si="71"/>
        <v>38184</v>
      </c>
      <c r="O462" s="19">
        <f t="shared" si="72"/>
        <v>1794648</v>
      </c>
      <c r="Q462" t="s">
        <v>695</v>
      </c>
    </row>
    <row r="463" spans="1:17" ht="24" customHeight="1" x14ac:dyDescent="0.3">
      <c r="A463" t="s">
        <v>19</v>
      </c>
      <c r="B463" t="s">
        <v>118</v>
      </c>
      <c r="C463">
        <v>6</v>
      </c>
      <c r="D463" t="s">
        <v>1188</v>
      </c>
      <c r="E463" t="s">
        <v>229</v>
      </c>
      <c r="F463">
        <v>3</v>
      </c>
      <c r="G463" t="s">
        <v>168</v>
      </c>
      <c r="H463" s="19">
        <v>378</v>
      </c>
      <c r="I463" s="19">
        <f t="shared" si="68"/>
        <v>1134</v>
      </c>
      <c r="J463" s="19">
        <v>37806</v>
      </c>
      <c r="K463" s="19">
        <f t="shared" si="69"/>
        <v>113418</v>
      </c>
      <c r="L463" s="19">
        <v>0</v>
      </c>
      <c r="M463" s="19">
        <f t="shared" si="70"/>
        <v>0</v>
      </c>
      <c r="N463" s="19">
        <f t="shared" si="71"/>
        <v>38184</v>
      </c>
      <c r="O463" s="19">
        <f t="shared" si="72"/>
        <v>114552</v>
      </c>
      <c r="Q463" t="s">
        <v>695</v>
      </c>
    </row>
    <row r="464" spans="1:17" ht="24" customHeight="1" x14ac:dyDescent="0.3">
      <c r="A464" t="s">
        <v>19</v>
      </c>
      <c r="B464" t="s">
        <v>118</v>
      </c>
      <c r="C464">
        <v>7</v>
      </c>
      <c r="D464" t="s">
        <v>1290</v>
      </c>
      <c r="E464" t="s">
        <v>1291</v>
      </c>
      <c r="F464">
        <v>362</v>
      </c>
      <c r="G464" t="s">
        <v>168</v>
      </c>
      <c r="H464" s="19">
        <v>68</v>
      </c>
      <c r="I464" s="19">
        <f t="shared" si="68"/>
        <v>24616</v>
      </c>
      <c r="J464" s="19">
        <v>1619</v>
      </c>
      <c r="K464" s="19">
        <f t="shared" si="69"/>
        <v>586078</v>
      </c>
      <c r="L464" s="19">
        <v>0</v>
      </c>
      <c r="M464" s="19">
        <f t="shared" si="70"/>
        <v>0</v>
      </c>
      <c r="N464" s="19">
        <f t="shared" si="71"/>
        <v>1687</v>
      </c>
      <c r="O464" s="19">
        <f t="shared" si="72"/>
        <v>610694</v>
      </c>
      <c r="Q464" t="s">
        <v>1291</v>
      </c>
    </row>
    <row r="465" spans="1:17" ht="24" customHeight="1" x14ac:dyDescent="0.3">
      <c r="A465" t="s">
        <v>19</v>
      </c>
      <c r="B465" t="s">
        <v>118</v>
      </c>
      <c r="C465">
        <v>8</v>
      </c>
      <c r="D465" t="s">
        <v>1292</v>
      </c>
      <c r="E465" t="s">
        <v>1293</v>
      </c>
      <c r="F465">
        <v>11.558999999999999</v>
      </c>
      <c r="G465" t="s">
        <v>260</v>
      </c>
      <c r="H465" s="19">
        <v>46413</v>
      </c>
      <c r="I465" s="19">
        <f t="shared" si="68"/>
        <v>536487.86699999997</v>
      </c>
      <c r="J465" s="19">
        <v>1492954</v>
      </c>
      <c r="K465" s="19">
        <f t="shared" si="69"/>
        <v>17257055.285999998</v>
      </c>
      <c r="L465" s="19">
        <v>0</v>
      </c>
      <c r="M465" s="19">
        <f t="shared" si="70"/>
        <v>0</v>
      </c>
      <c r="N465" s="19">
        <f t="shared" si="71"/>
        <v>1539367</v>
      </c>
      <c r="O465" s="19">
        <f t="shared" si="72"/>
        <v>17793543.152999997</v>
      </c>
      <c r="Q465" t="s">
        <v>1159</v>
      </c>
    </row>
    <row r="466" spans="1:17" ht="24" customHeight="1" x14ac:dyDescent="0.3">
      <c r="A466" t="s">
        <v>19</v>
      </c>
      <c r="B466" t="s">
        <v>118</v>
      </c>
      <c r="C466">
        <v>9</v>
      </c>
      <c r="D466" t="s">
        <v>1294</v>
      </c>
      <c r="E466" t="s">
        <v>473</v>
      </c>
      <c r="F466">
        <v>201</v>
      </c>
      <c r="G466" t="s">
        <v>168</v>
      </c>
      <c r="H466" s="19">
        <v>498</v>
      </c>
      <c r="I466" s="19">
        <f t="shared" si="68"/>
        <v>100098</v>
      </c>
      <c r="J466" s="19">
        <v>16083</v>
      </c>
      <c r="K466" s="19">
        <f t="shared" si="69"/>
        <v>3232683</v>
      </c>
      <c r="L466" s="19">
        <v>0</v>
      </c>
      <c r="M466" s="19">
        <f t="shared" si="70"/>
        <v>0</v>
      </c>
      <c r="N466" s="19">
        <f t="shared" si="71"/>
        <v>16581</v>
      </c>
      <c r="O466" s="19">
        <f t="shared" si="72"/>
        <v>3332781</v>
      </c>
      <c r="Q466" t="s">
        <v>1295</v>
      </c>
    </row>
    <row r="467" spans="1:17" ht="24" customHeight="1" x14ac:dyDescent="0.3">
      <c r="A467" t="s">
        <v>19</v>
      </c>
      <c r="B467" t="s">
        <v>118</v>
      </c>
      <c r="C467">
        <v>10</v>
      </c>
      <c r="D467" t="s">
        <v>1296</v>
      </c>
      <c r="E467" t="s">
        <v>473</v>
      </c>
      <c r="F467">
        <v>130</v>
      </c>
      <c r="G467" t="s">
        <v>1297</v>
      </c>
      <c r="H467" s="19">
        <v>4500</v>
      </c>
      <c r="I467" s="19">
        <f t="shared" si="68"/>
        <v>585000</v>
      </c>
      <c r="J467" s="19">
        <v>7500</v>
      </c>
      <c r="K467" s="19">
        <f t="shared" si="69"/>
        <v>975000</v>
      </c>
      <c r="L467" s="19"/>
      <c r="M467" s="19">
        <f t="shared" si="70"/>
        <v>0</v>
      </c>
      <c r="N467" s="19">
        <f t="shared" si="71"/>
        <v>12000</v>
      </c>
      <c r="O467" s="19">
        <f t="shared" si="72"/>
        <v>1560000</v>
      </c>
      <c r="P467" t="s">
        <v>247</v>
      </c>
      <c r="Q467" t="s">
        <v>1298</v>
      </c>
    </row>
    <row r="468" spans="1:17" ht="24" customHeight="1" x14ac:dyDescent="0.3">
      <c r="A468" t="s">
        <v>19</v>
      </c>
      <c r="B468" t="s">
        <v>118</v>
      </c>
      <c r="C468">
        <v>11</v>
      </c>
      <c r="D468" t="s">
        <v>1299</v>
      </c>
      <c r="E468" t="s">
        <v>269</v>
      </c>
      <c r="F468">
        <v>47</v>
      </c>
      <c r="G468" t="s">
        <v>168</v>
      </c>
      <c r="H468" s="19">
        <v>500</v>
      </c>
      <c r="I468" s="19">
        <f t="shared" si="68"/>
        <v>23500</v>
      </c>
      <c r="J468" s="19">
        <v>1000</v>
      </c>
      <c r="K468" s="19">
        <f t="shared" si="69"/>
        <v>47000</v>
      </c>
      <c r="L468" s="19"/>
      <c r="M468" s="19">
        <f t="shared" si="70"/>
        <v>0</v>
      </c>
      <c r="N468" s="19">
        <f t="shared" si="71"/>
        <v>1500</v>
      </c>
      <c r="O468" s="19">
        <f t="shared" si="72"/>
        <v>70500</v>
      </c>
      <c r="P468" t="s">
        <v>247</v>
      </c>
      <c r="Q468" t="s">
        <v>269</v>
      </c>
    </row>
    <row r="469" spans="1:17" ht="24" customHeight="1" x14ac:dyDescent="0.3">
      <c r="A469" t="s">
        <v>19</v>
      </c>
      <c r="B469" t="s">
        <v>118</v>
      </c>
      <c r="C469">
        <v>12</v>
      </c>
      <c r="D469" t="s">
        <v>1300</v>
      </c>
      <c r="E469" t="s">
        <v>267</v>
      </c>
      <c r="F469">
        <v>362</v>
      </c>
      <c r="G469" t="s">
        <v>168</v>
      </c>
      <c r="H469" s="19">
        <v>623</v>
      </c>
      <c r="I469" s="19">
        <f t="shared" si="68"/>
        <v>225526</v>
      </c>
      <c r="J469" s="19">
        <v>9748</v>
      </c>
      <c r="K469" s="19">
        <f t="shared" si="69"/>
        <v>3528776</v>
      </c>
      <c r="L469" s="19">
        <v>0</v>
      </c>
      <c r="M469" s="19">
        <f t="shared" si="70"/>
        <v>0</v>
      </c>
      <c r="N469" s="19">
        <f t="shared" si="71"/>
        <v>10371</v>
      </c>
      <c r="O469" s="19">
        <f t="shared" si="72"/>
        <v>3754302</v>
      </c>
      <c r="Q469" t="s">
        <v>267</v>
      </c>
    </row>
    <row r="470" spans="1:17" ht="24" customHeight="1" x14ac:dyDescent="0.3">
      <c r="A470" t="s">
        <v>19</v>
      </c>
      <c r="B470" t="s">
        <v>118</v>
      </c>
      <c r="C470">
        <v>13</v>
      </c>
      <c r="D470" t="s">
        <v>1301</v>
      </c>
      <c r="F470">
        <v>30</v>
      </c>
      <c r="G470" t="s">
        <v>168</v>
      </c>
      <c r="H470" s="19">
        <v>2446</v>
      </c>
      <c r="I470" s="19">
        <f t="shared" si="68"/>
        <v>73380</v>
      </c>
      <c r="J470" s="19">
        <v>30575</v>
      </c>
      <c r="K470" s="19">
        <f t="shared" si="69"/>
        <v>917250</v>
      </c>
      <c r="L470" s="19">
        <v>0</v>
      </c>
      <c r="M470" s="19">
        <f t="shared" si="70"/>
        <v>0</v>
      </c>
      <c r="N470" s="19">
        <f t="shared" si="71"/>
        <v>33021</v>
      </c>
      <c r="O470" s="19">
        <f t="shared" si="72"/>
        <v>990630</v>
      </c>
      <c r="Q470" t="s">
        <v>1302</v>
      </c>
    </row>
    <row r="471" spans="1:17" ht="24" customHeight="1" x14ac:dyDescent="0.3">
      <c r="A471" t="s">
        <v>19</v>
      </c>
      <c r="B471" t="s">
        <v>118</v>
      </c>
      <c r="C471">
        <v>14</v>
      </c>
      <c r="D471" t="s">
        <v>1303</v>
      </c>
      <c r="E471" t="s">
        <v>1304</v>
      </c>
      <c r="F471">
        <v>80</v>
      </c>
      <c r="G471" t="s">
        <v>199</v>
      </c>
      <c r="H471" s="19">
        <v>1574</v>
      </c>
      <c r="I471" s="19">
        <f t="shared" si="68"/>
        <v>125920</v>
      </c>
      <c r="J471" s="19">
        <v>52498</v>
      </c>
      <c r="K471" s="19">
        <f t="shared" si="69"/>
        <v>4199840</v>
      </c>
      <c r="L471" s="19">
        <v>0</v>
      </c>
      <c r="M471" s="19">
        <f t="shared" si="70"/>
        <v>0</v>
      </c>
      <c r="N471" s="19">
        <f t="shared" si="71"/>
        <v>54072</v>
      </c>
      <c r="O471" s="19">
        <f t="shared" si="72"/>
        <v>4325760</v>
      </c>
      <c r="Q471" t="s">
        <v>1305</v>
      </c>
    </row>
    <row r="472" spans="1:17" ht="24" customHeight="1" x14ac:dyDescent="0.3">
      <c r="A472" t="s">
        <v>19</v>
      </c>
      <c r="B472" t="s">
        <v>118</v>
      </c>
      <c r="C472">
        <v>15</v>
      </c>
      <c r="D472" t="s">
        <v>1306</v>
      </c>
      <c r="E472" t="s">
        <v>1307</v>
      </c>
      <c r="F472">
        <v>166</v>
      </c>
      <c r="G472" t="s">
        <v>165</v>
      </c>
      <c r="H472" s="19">
        <v>6000</v>
      </c>
      <c r="I472" s="19">
        <f t="shared" si="68"/>
        <v>996000</v>
      </c>
      <c r="J472" s="19">
        <v>15000</v>
      </c>
      <c r="K472" s="19">
        <f t="shared" si="69"/>
        <v>2490000</v>
      </c>
      <c r="L472" s="19"/>
      <c r="M472" s="19">
        <f t="shared" si="70"/>
        <v>0</v>
      </c>
      <c r="N472" s="19">
        <f t="shared" si="71"/>
        <v>21000</v>
      </c>
      <c r="O472" s="19">
        <f t="shared" si="72"/>
        <v>3486000</v>
      </c>
      <c r="P472" t="s">
        <v>247</v>
      </c>
      <c r="Q472" t="s">
        <v>1308</v>
      </c>
    </row>
    <row r="473" spans="1:17" ht="24" customHeight="1" x14ac:dyDescent="0.3">
      <c r="A473" t="s">
        <v>19</v>
      </c>
      <c r="B473" t="s">
        <v>118</v>
      </c>
      <c r="C473">
        <v>16</v>
      </c>
      <c r="D473" t="s">
        <v>1309</v>
      </c>
      <c r="E473" t="s">
        <v>1310</v>
      </c>
      <c r="F473">
        <v>252</v>
      </c>
      <c r="G473" t="s">
        <v>165</v>
      </c>
      <c r="H473" s="19">
        <v>4500</v>
      </c>
      <c r="I473" s="19">
        <f t="shared" si="68"/>
        <v>1134000</v>
      </c>
      <c r="J473" s="19">
        <v>12000</v>
      </c>
      <c r="K473" s="19">
        <f t="shared" si="69"/>
        <v>3024000</v>
      </c>
      <c r="L473" s="19"/>
      <c r="M473" s="19">
        <f t="shared" si="70"/>
        <v>0</v>
      </c>
      <c r="N473" s="19">
        <f t="shared" si="71"/>
        <v>16500</v>
      </c>
      <c r="O473" s="19">
        <f t="shared" si="72"/>
        <v>4158000</v>
      </c>
      <c r="P473" t="s">
        <v>247</v>
      </c>
      <c r="Q473" t="s">
        <v>1311</v>
      </c>
    </row>
    <row r="474" spans="1:17" ht="24" customHeight="1" x14ac:dyDescent="0.3">
      <c r="A474" t="s">
        <v>19</v>
      </c>
      <c r="B474" t="s">
        <v>118</v>
      </c>
      <c r="C474">
        <v>17</v>
      </c>
      <c r="D474" t="s">
        <v>1312</v>
      </c>
      <c r="E474" t="s">
        <v>1307</v>
      </c>
      <c r="F474">
        <v>57</v>
      </c>
      <c r="G474" t="s">
        <v>165</v>
      </c>
      <c r="H474" s="19">
        <v>15000</v>
      </c>
      <c r="I474" s="19">
        <f t="shared" si="68"/>
        <v>855000</v>
      </c>
      <c r="J474" s="19">
        <v>45000</v>
      </c>
      <c r="K474" s="19">
        <f t="shared" si="69"/>
        <v>2565000</v>
      </c>
      <c r="L474" s="19"/>
      <c r="M474" s="19">
        <f t="shared" si="70"/>
        <v>0</v>
      </c>
      <c r="N474" s="19">
        <f t="shared" si="71"/>
        <v>60000</v>
      </c>
      <c r="O474" s="19">
        <f t="shared" si="72"/>
        <v>3420000</v>
      </c>
      <c r="P474" t="s">
        <v>247</v>
      </c>
      <c r="Q474" t="s">
        <v>1308</v>
      </c>
    </row>
    <row r="475" spans="1:17" ht="24" customHeight="1" x14ac:dyDescent="0.3">
      <c r="A475" t="s">
        <v>19</v>
      </c>
      <c r="B475" t="s">
        <v>118</v>
      </c>
      <c r="C475">
        <v>18</v>
      </c>
      <c r="D475" t="s">
        <v>839</v>
      </c>
      <c r="E475" t="s">
        <v>1313</v>
      </c>
      <c r="F475">
        <v>111</v>
      </c>
      <c r="G475" t="s">
        <v>171</v>
      </c>
      <c r="H475" s="19">
        <v>1293</v>
      </c>
      <c r="I475" s="19">
        <f t="shared" si="68"/>
        <v>143523</v>
      </c>
      <c r="J475" s="19">
        <v>64674</v>
      </c>
      <c r="K475" s="19">
        <f t="shared" si="69"/>
        <v>7178814</v>
      </c>
      <c r="L475" s="19"/>
      <c r="M475" s="19">
        <f t="shared" si="70"/>
        <v>0</v>
      </c>
      <c r="N475" s="19">
        <f t="shared" si="71"/>
        <v>65967</v>
      </c>
      <c r="O475" s="19">
        <f t="shared" si="72"/>
        <v>7322337</v>
      </c>
      <c r="P475" t="s">
        <v>247</v>
      </c>
      <c r="Q475" t="s">
        <v>840</v>
      </c>
    </row>
    <row r="476" spans="1:17" ht="24" customHeight="1" x14ac:dyDescent="0.3">
      <c r="A476" t="s">
        <v>19</v>
      </c>
      <c r="B476" t="s">
        <v>118</v>
      </c>
      <c r="C476">
        <v>19</v>
      </c>
      <c r="D476" t="s">
        <v>841</v>
      </c>
      <c r="E476" t="s">
        <v>425</v>
      </c>
      <c r="F476">
        <v>6</v>
      </c>
      <c r="G476" t="s">
        <v>171</v>
      </c>
      <c r="H476" s="19">
        <v>1293</v>
      </c>
      <c r="I476" s="19">
        <f t="shared" si="68"/>
        <v>7758</v>
      </c>
      <c r="J476" s="19">
        <v>64674</v>
      </c>
      <c r="K476" s="19">
        <f t="shared" si="69"/>
        <v>388044</v>
      </c>
      <c r="L476" s="19"/>
      <c r="M476" s="19">
        <f t="shared" si="70"/>
        <v>0</v>
      </c>
      <c r="N476" s="19">
        <f t="shared" si="71"/>
        <v>65967</v>
      </c>
      <c r="O476" s="19">
        <f t="shared" si="72"/>
        <v>395802</v>
      </c>
      <c r="P476" t="s">
        <v>247</v>
      </c>
      <c r="Q476" t="s">
        <v>840</v>
      </c>
    </row>
    <row r="477" spans="1:17" ht="24" customHeight="1" x14ac:dyDescent="0.3">
      <c r="A477" t="s">
        <v>19</v>
      </c>
      <c r="B477" t="s">
        <v>118</v>
      </c>
      <c r="C477">
        <v>20</v>
      </c>
      <c r="D477" t="s">
        <v>831</v>
      </c>
      <c r="E477" t="s">
        <v>326</v>
      </c>
      <c r="F477">
        <v>3.9</v>
      </c>
      <c r="G477" t="s">
        <v>327</v>
      </c>
      <c r="H477" s="19">
        <v>952000</v>
      </c>
      <c r="I477" s="19">
        <f t="shared" si="68"/>
        <v>3712800</v>
      </c>
      <c r="J477" s="19">
        <v>0</v>
      </c>
      <c r="K477" s="19">
        <f t="shared" si="69"/>
        <v>0</v>
      </c>
      <c r="L477" s="19">
        <v>0</v>
      </c>
      <c r="M477" s="19">
        <f t="shared" si="70"/>
        <v>0</v>
      </c>
      <c r="N477" s="19">
        <f t="shared" si="71"/>
        <v>952000</v>
      </c>
      <c r="O477" s="19">
        <f t="shared" si="72"/>
        <v>3712800</v>
      </c>
      <c r="Q477" t="s">
        <v>828</v>
      </c>
    </row>
    <row r="478" spans="1:17" ht="24" customHeight="1" x14ac:dyDescent="0.3">
      <c r="A478" t="s">
        <v>19</v>
      </c>
      <c r="B478" t="s">
        <v>118</v>
      </c>
      <c r="C478">
        <v>21</v>
      </c>
      <c r="D478" t="s">
        <v>833</v>
      </c>
      <c r="E478" t="s">
        <v>488</v>
      </c>
      <c r="F478">
        <v>7.3810000000000002</v>
      </c>
      <c r="G478" t="s">
        <v>327</v>
      </c>
      <c r="H478" s="19">
        <v>952000</v>
      </c>
      <c r="I478" s="19">
        <f t="shared" si="68"/>
        <v>7026712</v>
      </c>
      <c r="J478" s="19">
        <v>0</v>
      </c>
      <c r="K478" s="19">
        <f t="shared" si="69"/>
        <v>0</v>
      </c>
      <c r="L478" s="19">
        <v>0</v>
      </c>
      <c r="M478" s="19">
        <f t="shared" si="70"/>
        <v>0</v>
      </c>
      <c r="N478" s="19">
        <f t="shared" si="71"/>
        <v>952000</v>
      </c>
      <c r="O478" s="19">
        <f t="shared" si="72"/>
        <v>7026712</v>
      </c>
      <c r="Q478" t="s">
        <v>828</v>
      </c>
    </row>
    <row r="479" spans="1:17" ht="24" customHeight="1" x14ac:dyDescent="0.3">
      <c r="A479" t="s">
        <v>19</v>
      </c>
      <c r="B479" t="s">
        <v>118</v>
      </c>
      <c r="C479">
        <v>22</v>
      </c>
      <c r="D479" t="s">
        <v>1181</v>
      </c>
      <c r="E479" t="s">
        <v>1183</v>
      </c>
      <c r="F479">
        <v>0.625</v>
      </c>
      <c r="G479" t="s">
        <v>327</v>
      </c>
      <c r="H479" s="19">
        <v>952000</v>
      </c>
      <c r="I479" s="19">
        <f t="shared" si="68"/>
        <v>595000</v>
      </c>
      <c r="J479" s="19">
        <v>0</v>
      </c>
      <c r="K479" s="19">
        <f t="shared" si="69"/>
        <v>0</v>
      </c>
      <c r="L479" s="19">
        <v>0</v>
      </c>
      <c r="M479" s="19">
        <f t="shared" si="70"/>
        <v>0</v>
      </c>
      <c r="N479" s="19">
        <f t="shared" si="71"/>
        <v>952000</v>
      </c>
      <c r="O479" s="19">
        <f t="shared" si="72"/>
        <v>595000</v>
      </c>
      <c r="Q479" t="s">
        <v>828</v>
      </c>
    </row>
    <row r="480" spans="1:17" ht="24" customHeight="1" x14ac:dyDescent="0.3">
      <c r="A480" t="s">
        <v>19</v>
      </c>
      <c r="B480" t="s">
        <v>118</v>
      </c>
      <c r="C480">
        <v>23</v>
      </c>
      <c r="D480" t="s">
        <v>1314</v>
      </c>
      <c r="E480" t="s">
        <v>1315</v>
      </c>
      <c r="F480">
        <v>11.906000000000001</v>
      </c>
      <c r="G480" t="s">
        <v>260</v>
      </c>
      <c r="I480" s="19">
        <f t="shared" si="68"/>
        <v>0</v>
      </c>
      <c r="J480" s="19"/>
      <c r="K480" s="19">
        <f t="shared" si="69"/>
        <v>0</v>
      </c>
      <c r="L480" s="19">
        <v>30000</v>
      </c>
      <c r="M480" s="19">
        <f t="shared" si="70"/>
        <v>357180</v>
      </c>
      <c r="N480" s="19">
        <f t="shared" si="71"/>
        <v>30000</v>
      </c>
      <c r="O480" s="19">
        <f t="shared" si="72"/>
        <v>357180</v>
      </c>
      <c r="P480" t="s">
        <v>247</v>
      </c>
      <c r="Q480" t="s">
        <v>1316</v>
      </c>
    </row>
    <row r="481" spans="1:17" ht="24" customHeight="1" x14ac:dyDescent="0.3">
      <c r="A481" t="s">
        <v>19</v>
      </c>
      <c r="B481" t="s">
        <v>118</v>
      </c>
      <c r="C481">
        <v>24</v>
      </c>
      <c r="D481" t="s">
        <v>1317</v>
      </c>
      <c r="E481" t="s">
        <v>286</v>
      </c>
      <c r="F481">
        <v>0.34699999999999998</v>
      </c>
      <c r="G481" t="s">
        <v>283</v>
      </c>
      <c r="H481" s="19">
        <v>-100000</v>
      </c>
      <c r="I481" s="19">
        <f t="shared" si="68"/>
        <v>-34700</v>
      </c>
      <c r="J481" s="19"/>
      <c r="K481" s="19">
        <f t="shared" si="69"/>
        <v>0</v>
      </c>
      <c r="L481" s="19"/>
      <c r="M481" s="19">
        <f t="shared" si="70"/>
        <v>0</v>
      </c>
      <c r="N481" s="19">
        <f t="shared" si="71"/>
        <v>-100000</v>
      </c>
      <c r="O481" s="19">
        <f t="shared" si="72"/>
        <v>-34700</v>
      </c>
      <c r="P481" t="s">
        <v>247</v>
      </c>
      <c r="Q481" t="s">
        <v>838</v>
      </c>
    </row>
    <row r="482" spans="1:17" ht="24" customHeight="1" x14ac:dyDescent="0.3">
      <c r="A482" t="s">
        <v>19</v>
      </c>
      <c r="B482" t="s">
        <v>118</v>
      </c>
      <c r="C482">
        <v>25</v>
      </c>
      <c r="D482" t="s">
        <v>1060</v>
      </c>
      <c r="E482" t="s">
        <v>174</v>
      </c>
      <c r="F482">
        <v>63</v>
      </c>
      <c r="G482" t="s">
        <v>171</v>
      </c>
      <c r="H482" s="19">
        <v>447</v>
      </c>
      <c r="I482" s="19">
        <f t="shared" si="68"/>
        <v>28161</v>
      </c>
      <c r="J482" s="19">
        <v>955</v>
      </c>
      <c r="K482" s="19">
        <f t="shared" si="69"/>
        <v>60165</v>
      </c>
      <c r="L482" s="19">
        <v>336</v>
      </c>
      <c r="M482" s="19">
        <f t="shared" si="70"/>
        <v>21168</v>
      </c>
      <c r="N482" s="19">
        <f t="shared" si="71"/>
        <v>1738</v>
      </c>
      <c r="O482" s="19">
        <f t="shared" si="72"/>
        <v>109494</v>
      </c>
      <c r="Q482" t="s">
        <v>172</v>
      </c>
    </row>
    <row r="483" spans="1:17" ht="24" customHeight="1" x14ac:dyDescent="0.3">
      <c r="A483" t="s">
        <v>19</v>
      </c>
      <c r="B483" t="s">
        <v>118</v>
      </c>
      <c r="C483">
        <v>26</v>
      </c>
      <c r="D483" t="s">
        <v>1318</v>
      </c>
      <c r="E483" t="s">
        <v>876</v>
      </c>
      <c r="F483">
        <v>16</v>
      </c>
      <c r="G483" t="s">
        <v>171</v>
      </c>
      <c r="H483" s="19">
        <v>0</v>
      </c>
      <c r="I483" s="19">
        <f t="shared" si="68"/>
        <v>0</v>
      </c>
      <c r="J483" s="19">
        <v>33455</v>
      </c>
      <c r="K483" s="19">
        <f t="shared" si="69"/>
        <v>535280</v>
      </c>
      <c r="L483" s="19">
        <v>0</v>
      </c>
      <c r="M483" s="19">
        <f t="shared" si="70"/>
        <v>0</v>
      </c>
      <c r="N483" s="19">
        <f t="shared" si="71"/>
        <v>33455</v>
      </c>
      <c r="O483" s="19">
        <f t="shared" si="72"/>
        <v>535280</v>
      </c>
      <c r="Q483" t="s">
        <v>172</v>
      </c>
    </row>
    <row r="484" spans="1:17" ht="24" customHeight="1" x14ac:dyDescent="0.3">
      <c r="A484" t="s">
        <v>19</v>
      </c>
      <c r="B484" t="s">
        <v>118</v>
      </c>
      <c r="C484">
        <v>27</v>
      </c>
      <c r="D484" t="s">
        <v>1319</v>
      </c>
      <c r="E484" t="s">
        <v>493</v>
      </c>
      <c r="F484">
        <v>18</v>
      </c>
      <c r="G484" t="s">
        <v>171</v>
      </c>
      <c r="H484" s="19">
        <v>0</v>
      </c>
      <c r="I484" s="19">
        <f t="shared" si="68"/>
        <v>0</v>
      </c>
      <c r="J484" s="19">
        <v>33455</v>
      </c>
      <c r="K484" s="19">
        <f t="shared" si="69"/>
        <v>602190</v>
      </c>
      <c r="L484" s="19">
        <v>0</v>
      </c>
      <c r="M484" s="19">
        <f t="shared" si="70"/>
        <v>0</v>
      </c>
      <c r="N484" s="19">
        <f t="shared" si="71"/>
        <v>33455</v>
      </c>
      <c r="O484" s="19">
        <f t="shared" si="72"/>
        <v>602190</v>
      </c>
      <c r="Q484" t="s">
        <v>172</v>
      </c>
    </row>
    <row r="485" spans="1:17" ht="24" customHeight="1" x14ac:dyDescent="0.3">
      <c r="A485" t="s">
        <v>19</v>
      </c>
      <c r="B485" t="s">
        <v>118</v>
      </c>
      <c r="C485">
        <v>28</v>
      </c>
      <c r="D485" t="s">
        <v>1320</v>
      </c>
      <c r="E485" t="s">
        <v>216</v>
      </c>
      <c r="F485">
        <v>92</v>
      </c>
      <c r="G485" t="s">
        <v>171</v>
      </c>
      <c r="H485" s="19">
        <v>1652</v>
      </c>
      <c r="I485" s="19">
        <f t="shared" si="68"/>
        <v>151984</v>
      </c>
      <c r="J485" s="19">
        <v>3924</v>
      </c>
      <c r="K485" s="19">
        <f t="shared" si="69"/>
        <v>361008</v>
      </c>
      <c r="L485" s="19">
        <v>1432</v>
      </c>
      <c r="M485" s="19">
        <f t="shared" si="70"/>
        <v>131744</v>
      </c>
      <c r="N485" s="19">
        <f t="shared" si="71"/>
        <v>7008</v>
      </c>
      <c r="O485" s="19">
        <f t="shared" si="72"/>
        <v>644736</v>
      </c>
      <c r="Q485" t="s">
        <v>878</v>
      </c>
    </row>
    <row r="486" spans="1:17" ht="24" customHeight="1" x14ac:dyDescent="0.3">
      <c r="A486" t="s">
        <v>19</v>
      </c>
      <c r="B486" t="s">
        <v>118</v>
      </c>
      <c r="C486">
        <v>29</v>
      </c>
      <c r="D486" t="s">
        <v>1321</v>
      </c>
      <c r="E486" t="s">
        <v>494</v>
      </c>
      <c r="F486">
        <v>5</v>
      </c>
      <c r="G486" t="s">
        <v>171</v>
      </c>
      <c r="H486" s="19">
        <v>447</v>
      </c>
      <c r="I486" s="19">
        <f t="shared" si="68"/>
        <v>2235</v>
      </c>
      <c r="J486" s="19">
        <v>955</v>
      </c>
      <c r="K486" s="19">
        <f t="shared" si="69"/>
        <v>4775</v>
      </c>
      <c r="L486" s="19">
        <v>336</v>
      </c>
      <c r="M486" s="19">
        <f t="shared" si="70"/>
        <v>1680</v>
      </c>
      <c r="N486" s="19">
        <f t="shared" si="71"/>
        <v>1738</v>
      </c>
      <c r="O486" s="19">
        <f t="shared" si="72"/>
        <v>8690</v>
      </c>
      <c r="Q486" t="s">
        <v>172</v>
      </c>
    </row>
    <row r="487" spans="1:17" ht="24" customHeight="1" x14ac:dyDescent="0.3">
      <c r="A487" t="s">
        <v>19</v>
      </c>
      <c r="B487" t="s">
        <v>118</v>
      </c>
      <c r="C487">
        <v>30</v>
      </c>
      <c r="D487" t="s">
        <v>1322</v>
      </c>
      <c r="E487" t="s">
        <v>335</v>
      </c>
      <c r="F487">
        <v>142</v>
      </c>
      <c r="G487" t="s">
        <v>168</v>
      </c>
      <c r="H487" s="19">
        <v>177</v>
      </c>
      <c r="I487" s="19">
        <f t="shared" si="68"/>
        <v>25134</v>
      </c>
      <c r="J487" s="19">
        <v>1249</v>
      </c>
      <c r="K487" s="19">
        <f t="shared" si="69"/>
        <v>177358</v>
      </c>
      <c r="L487" s="19">
        <v>311</v>
      </c>
      <c r="M487" s="19">
        <f t="shared" si="70"/>
        <v>44162</v>
      </c>
      <c r="N487" s="19">
        <f t="shared" si="71"/>
        <v>1737</v>
      </c>
      <c r="O487" s="19">
        <f t="shared" si="72"/>
        <v>246654</v>
      </c>
      <c r="Q487" t="s">
        <v>336</v>
      </c>
    </row>
    <row r="488" spans="1:17" ht="24" customHeight="1" x14ac:dyDescent="0.3">
      <c r="A488" t="s">
        <v>19</v>
      </c>
      <c r="B488" t="s">
        <v>118</v>
      </c>
      <c r="C488">
        <v>31</v>
      </c>
      <c r="D488" t="s">
        <v>1323</v>
      </c>
      <c r="E488" t="s">
        <v>1324</v>
      </c>
      <c r="F488">
        <v>142</v>
      </c>
      <c r="G488" t="s">
        <v>168</v>
      </c>
      <c r="H488" s="19">
        <v>0</v>
      </c>
      <c r="I488" s="19">
        <f t="shared" si="68"/>
        <v>0</v>
      </c>
      <c r="J488" s="19">
        <v>0</v>
      </c>
      <c r="K488" s="19">
        <f t="shared" si="69"/>
        <v>0</v>
      </c>
      <c r="L488" s="19">
        <v>0</v>
      </c>
      <c r="M488" s="19">
        <f t="shared" si="70"/>
        <v>0</v>
      </c>
      <c r="N488" s="19">
        <f t="shared" si="71"/>
        <v>0</v>
      </c>
      <c r="O488" s="19">
        <f t="shared" si="72"/>
        <v>0</v>
      </c>
      <c r="Q488" t="s">
        <v>336</v>
      </c>
    </row>
    <row r="489" spans="1:17" ht="24" customHeight="1" x14ac:dyDescent="0.3">
      <c r="A489" t="s">
        <v>19</v>
      </c>
      <c r="B489" t="s">
        <v>118</v>
      </c>
      <c r="C489">
        <v>32</v>
      </c>
      <c r="D489" t="s">
        <v>1325</v>
      </c>
      <c r="E489" t="s">
        <v>344</v>
      </c>
      <c r="F489">
        <v>142</v>
      </c>
      <c r="G489" t="s">
        <v>168</v>
      </c>
      <c r="H489" s="19">
        <v>11</v>
      </c>
      <c r="I489" s="19">
        <f t="shared" si="68"/>
        <v>1562</v>
      </c>
      <c r="J489" s="19">
        <v>36</v>
      </c>
      <c r="K489" s="19">
        <f t="shared" si="69"/>
        <v>5112</v>
      </c>
      <c r="L489" s="19">
        <v>1</v>
      </c>
      <c r="M489" s="19">
        <f t="shared" si="70"/>
        <v>142</v>
      </c>
      <c r="N489" s="19">
        <f t="shared" si="71"/>
        <v>48</v>
      </c>
      <c r="O489" s="19">
        <f t="shared" si="72"/>
        <v>6816</v>
      </c>
      <c r="Q489" t="s">
        <v>1066</v>
      </c>
    </row>
    <row r="490" spans="1:17" ht="24" customHeight="1" x14ac:dyDescent="0.3">
      <c r="A490" t="s">
        <v>19</v>
      </c>
      <c r="B490" t="s">
        <v>118</v>
      </c>
      <c r="C490">
        <v>33</v>
      </c>
      <c r="D490" t="s">
        <v>1326</v>
      </c>
      <c r="E490" t="s">
        <v>347</v>
      </c>
      <c r="F490">
        <v>142</v>
      </c>
      <c r="G490" t="s">
        <v>168</v>
      </c>
      <c r="H490" s="19">
        <v>11</v>
      </c>
      <c r="I490" s="19">
        <f t="shared" ref="I490:I521" si="73">F490*H490</f>
        <v>1562</v>
      </c>
      <c r="J490" s="19">
        <v>36</v>
      </c>
      <c r="K490" s="19">
        <f t="shared" ref="K490:K521" si="74">F490*J490</f>
        <v>5112</v>
      </c>
      <c r="L490" s="19">
        <v>1</v>
      </c>
      <c r="M490" s="19">
        <f t="shared" ref="M490:M521" si="75">F490*L490</f>
        <v>142</v>
      </c>
      <c r="N490" s="19">
        <f t="shared" ref="N490:N510" si="76">H490+J490+L490</f>
        <v>48</v>
      </c>
      <c r="O490" s="19">
        <f t="shared" ref="O490:O510" si="77">I490+K490+M490</f>
        <v>6816</v>
      </c>
      <c r="Q490" t="s">
        <v>1069</v>
      </c>
    </row>
    <row r="491" spans="1:17" ht="24" customHeight="1" x14ac:dyDescent="0.3">
      <c r="A491" t="s">
        <v>19</v>
      </c>
      <c r="B491" t="s">
        <v>118</v>
      </c>
      <c r="C491">
        <v>34</v>
      </c>
      <c r="D491" t="s">
        <v>1327</v>
      </c>
      <c r="E491" t="s">
        <v>1328</v>
      </c>
      <c r="F491">
        <v>36</v>
      </c>
      <c r="G491" t="s">
        <v>171</v>
      </c>
      <c r="H491" s="19">
        <v>2216</v>
      </c>
      <c r="I491" s="19">
        <f t="shared" si="73"/>
        <v>79776</v>
      </c>
      <c r="J491" s="19">
        <v>7533</v>
      </c>
      <c r="K491" s="19">
        <f t="shared" si="74"/>
        <v>271188</v>
      </c>
      <c r="L491" s="19">
        <v>2292</v>
      </c>
      <c r="M491" s="19">
        <f t="shared" si="75"/>
        <v>82512</v>
      </c>
      <c r="N491" s="19">
        <f t="shared" si="76"/>
        <v>12041</v>
      </c>
      <c r="O491" s="19">
        <f t="shared" si="77"/>
        <v>433476</v>
      </c>
      <c r="Q491" t="s">
        <v>351</v>
      </c>
    </row>
    <row r="492" spans="1:17" ht="24" customHeight="1" x14ac:dyDescent="0.3">
      <c r="A492" t="s">
        <v>19</v>
      </c>
      <c r="B492" t="s">
        <v>118</v>
      </c>
      <c r="C492">
        <v>35</v>
      </c>
      <c r="D492" t="s">
        <v>1086</v>
      </c>
      <c r="E492" t="s">
        <v>367</v>
      </c>
      <c r="F492">
        <v>63</v>
      </c>
      <c r="G492" t="s">
        <v>199</v>
      </c>
      <c r="H492" s="19">
        <v>659</v>
      </c>
      <c r="I492" s="19">
        <f t="shared" si="73"/>
        <v>41517</v>
      </c>
      <c r="J492" s="19">
        <v>6686</v>
      </c>
      <c r="K492" s="19">
        <f t="shared" si="74"/>
        <v>421218</v>
      </c>
      <c r="L492" s="19">
        <v>522</v>
      </c>
      <c r="M492" s="19">
        <f t="shared" si="75"/>
        <v>32886</v>
      </c>
      <c r="N492" s="19">
        <f t="shared" si="76"/>
        <v>7867</v>
      </c>
      <c r="O492" s="19">
        <f t="shared" si="77"/>
        <v>495621</v>
      </c>
      <c r="Q492" t="s">
        <v>368</v>
      </c>
    </row>
    <row r="493" spans="1:17" ht="24" customHeight="1" x14ac:dyDescent="0.3">
      <c r="A493" t="s">
        <v>19</v>
      </c>
      <c r="B493" t="s">
        <v>118</v>
      </c>
      <c r="C493">
        <v>36</v>
      </c>
      <c r="D493" t="s">
        <v>1108</v>
      </c>
      <c r="E493" t="s">
        <v>388</v>
      </c>
      <c r="F493">
        <v>11</v>
      </c>
      <c r="G493" t="s">
        <v>168</v>
      </c>
      <c r="H493" s="19">
        <v>4840</v>
      </c>
      <c r="I493" s="19">
        <f t="shared" si="73"/>
        <v>53240</v>
      </c>
      <c r="J493" s="19">
        <v>3492</v>
      </c>
      <c r="K493" s="19">
        <f t="shared" si="74"/>
        <v>38412</v>
      </c>
      <c r="L493" s="19">
        <v>247</v>
      </c>
      <c r="M493" s="19">
        <f t="shared" si="75"/>
        <v>2717</v>
      </c>
      <c r="N493" s="19">
        <f t="shared" si="76"/>
        <v>8579</v>
      </c>
      <c r="O493" s="19">
        <f t="shared" si="77"/>
        <v>94369</v>
      </c>
      <c r="Q493" t="s">
        <v>389</v>
      </c>
    </row>
    <row r="494" spans="1:17" ht="24" customHeight="1" x14ac:dyDescent="0.3">
      <c r="A494" t="s">
        <v>19</v>
      </c>
      <c r="B494" t="s">
        <v>118</v>
      </c>
      <c r="C494">
        <v>37</v>
      </c>
      <c r="D494" t="s">
        <v>680</v>
      </c>
      <c r="E494" t="s">
        <v>221</v>
      </c>
      <c r="F494">
        <v>44</v>
      </c>
      <c r="G494" t="s">
        <v>199</v>
      </c>
      <c r="H494" s="19">
        <v>2339</v>
      </c>
      <c r="I494" s="19">
        <f t="shared" si="73"/>
        <v>102916</v>
      </c>
      <c r="J494" s="19">
        <v>19375</v>
      </c>
      <c r="K494" s="19">
        <f t="shared" si="74"/>
        <v>852500</v>
      </c>
      <c r="L494" s="19">
        <v>2505</v>
      </c>
      <c r="M494" s="19">
        <f t="shared" si="75"/>
        <v>110220</v>
      </c>
      <c r="N494" s="19">
        <f t="shared" si="76"/>
        <v>24219</v>
      </c>
      <c r="O494" s="19">
        <f t="shared" si="77"/>
        <v>1065636</v>
      </c>
      <c r="Q494" t="s">
        <v>222</v>
      </c>
    </row>
    <row r="495" spans="1:17" ht="24" customHeight="1" x14ac:dyDescent="0.3">
      <c r="A495" t="s">
        <v>19</v>
      </c>
      <c r="B495" t="s">
        <v>118</v>
      </c>
      <c r="C495">
        <v>38</v>
      </c>
      <c r="D495" t="s">
        <v>705</v>
      </c>
      <c r="E495" t="s">
        <v>236</v>
      </c>
      <c r="F495">
        <v>6</v>
      </c>
      <c r="G495" t="s">
        <v>233</v>
      </c>
      <c r="H495" s="19">
        <v>0</v>
      </c>
      <c r="I495" s="19">
        <f t="shared" si="73"/>
        <v>0</v>
      </c>
      <c r="J495" s="19">
        <v>13039</v>
      </c>
      <c r="K495" s="19">
        <f t="shared" si="74"/>
        <v>78234</v>
      </c>
      <c r="L495" s="19">
        <v>782</v>
      </c>
      <c r="M495" s="19">
        <f t="shared" si="75"/>
        <v>4692</v>
      </c>
      <c r="N495" s="19">
        <f t="shared" si="76"/>
        <v>13821</v>
      </c>
      <c r="O495" s="19">
        <f t="shared" si="77"/>
        <v>82926</v>
      </c>
      <c r="Q495" t="s">
        <v>704</v>
      </c>
    </row>
    <row r="496" spans="1:17" ht="24" customHeight="1" x14ac:dyDescent="0.3">
      <c r="A496" t="s">
        <v>19</v>
      </c>
      <c r="B496" t="s">
        <v>118</v>
      </c>
      <c r="C496">
        <v>39</v>
      </c>
      <c r="D496" t="s">
        <v>1329</v>
      </c>
      <c r="E496" t="s">
        <v>250</v>
      </c>
      <c r="F496">
        <v>5</v>
      </c>
      <c r="G496" t="s">
        <v>233</v>
      </c>
      <c r="H496" s="19">
        <v>75000</v>
      </c>
      <c r="I496" s="19">
        <f t="shared" si="73"/>
        <v>375000</v>
      </c>
      <c r="J496" s="19">
        <v>35000</v>
      </c>
      <c r="K496" s="19">
        <f t="shared" si="74"/>
        <v>175000</v>
      </c>
      <c r="L496" s="19">
        <v>45000</v>
      </c>
      <c r="M496" s="19">
        <f t="shared" si="75"/>
        <v>225000</v>
      </c>
      <c r="N496" s="19">
        <f t="shared" si="76"/>
        <v>155000</v>
      </c>
      <c r="O496" s="19">
        <f t="shared" si="77"/>
        <v>775000</v>
      </c>
      <c r="P496" t="s">
        <v>247</v>
      </c>
      <c r="Q496" t="s">
        <v>752</v>
      </c>
    </row>
    <row r="497" spans="1:17" ht="24" customHeight="1" x14ac:dyDescent="0.3">
      <c r="A497" t="s">
        <v>19</v>
      </c>
      <c r="B497" t="s">
        <v>118</v>
      </c>
      <c r="C497">
        <v>40</v>
      </c>
      <c r="D497" t="s">
        <v>1330</v>
      </c>
      <c r="E497" t="s">
        <v>1331</v>
      </c>
      <c r="F497">
        <v>1</v>
      </c>
      <c r="G497" t="s">
        <v>233</v>
      </c>
      <c r="H497" s="19">
        <v>20286</v>
      </c>
      <c r="I497" s="19">
        <f t="shared" si="73"/>
        <v>20286</v>
      </c>
      <c r="J497" s="19">
        <v>857267</v>
      </c>
      <c r="K497" s="19">
        <f t="shared" si="74"/>
        <v>857267</v>
      </c>
      <c r="L497" s="19">
        <v>13568</v>
      </c>
      <c r="M497" s="19">
        <f t="shared" si="75"/>
        <v>13568</v>
      </c>
      <c r="N497" s="19">
        <f t="shared" si="76"/>
        <v>891121</v>
      </c>
      <c r="O497" s="19">
        <f t="shared" si="77"/>
        <v>891121</v>
      </c>
      <c r="P497" t="s">
        <v>247</v>
      </c>
      <c r="Q497" t="s">
        <v>765</v>
      </c>
    </row>
    <row r="498" spans="1:17" ht="24" customHeight="1" x14ac:dyDescent="0.3">
      <c r="A498" t="s">
        <v>19</v>
      </c>
      <c r="B498" t="s">
        <v>118</v>
      </c>
      <c r="C498">
        <v>41</v>
      </c>
      <c r="D498" t="s">
        <v>1332</v>
      </c>
      <c r="E498" t="s">
        <v>1333</v>
      </c>
      <c r="F498">
        <v>86</v>
      </c>
      <c r="G498" t="s">
        <v>199</v>
      </c>
      <c r="H498" s="19">
        <v>133</v>
      </c>
      <c r="I498" s="19">
        <f t="shared" si="73"/>
        <v>11438</v>
      </c>
      <c r="J498" s="19">
        <v>4297</v>
      </c>
      <c r="K498" s="19">
        <f t="shared" si="74"/>
        <v>369542</v>
      </c>
      <c r="L498" s="19"/>
      <c r="M498" s="19">
        <f t="shared" si="75"/>
        <v>0</v>
      </c>
      <c r="N498" s="19">
        <f t="shared" si="76"/>
        <v>4430</v>
      </c>
      <c r="O498" s="19">
        <f t="shared" si="77"/>
        <v>380980</v>
      </c>
      <c r="P498" t="s">
        <v>247</v>
      </c>
      <c r="Q498" t="s">
        <v>1310</v>
      </c>
    </row>
    <row r="499" spans="1:17" ht="24" customHeight="1" x14ac:dyDescent="0.3">
      <c r="A499" t="s">
        <v>19</v>
      </c>
      <c r="B499" t="s">
        <v>118</v>
      </c>
      <c r="C499">
        <v>42</v>
      </c>
      <c r="D499" t="s">
        <v>1334</v>
      </c>
      <c r="E499" t="s">
        <v>1335</v>
      </c>
      <c r="F499">
        <v>2</v>
      </c>
      <c r="G499" t="s">
        <v>233</v>
      </c>
      <c r="H499" s="19">
        <v>10547</v>
      </c>
      <c r="I499" s="19">
        <f t="shared" si="73"/>
        <v>21094</v>
      </c>
      <c r="J499" s="19">
        <v>156082</v>
      </c>
      <c r="K499" s="19">
        <f t="shared" si="74"/>
        <v>312164</v>
      </c>
      <c r="L499" s="19">
        <v>11117</v>
      </c>
      <c r="M499" s="19">
        <f t="shared" si="75"/>
        <v>22234</v>
      </c>
      <c r="N499" s="19">
        <f t="shared" si="76"/>
        <v>177746</v>
      </c>
      <c r="O499" s="19">
        <f t="shared" si="77"/>
        <v>355492</v>
      </c>
      <c r="P499" t="s">
        <v>247</v>
      </c>
      <c r="Q499" t="s">
        <v>1310</v>
      </c>
    </row>
    <row r="500" spans="1:17" ht="24" customHeight="1" x14ac:dyDescent="0.3">
      <c r="A500" t="s">
        <v>19</v>
      </c>
      <c r="B500" t="s">
        <v>118</v>
      </c>
      <c r="C500">
        <v>43</v>
      </c>
      <c r="D500" t="s">
        <v>839</v>
      </c>
      <c r="E500" t="s">
        <v>425</v>
      </c>
      <c r="F500">
        <v>10</v>
      </c>
      <c r="G500" t="s">
        <v>171</v>
      </c>
      <c r="H500" s="19">
        <v>1293</v>
      </c>
      <c r="I500" s="19">
        <f t="shared" si="73"/>
        <v>12930</v>
      </c>
      <c r="J500" s="19">
        <v>64674</v>
      </c>
      <c r="K500" s="19">
        <f t="shared" si="74"/>
        <v>646740</v>
      </c>
      <c r="L500" s="19"/>
      <c r="M500" s="19">
        <f t="shared" si="75"/>
        <v>0</v>
      </c>
      <c r="N500" s="19">
        <f t="shared" si="76"/>
        <v>65967</v>
      </c>
      <c r="O500" s="19">
        <f t="shared" si="77"/>
        <v>659670</v>
      </c>
      <c r="P500" t="s">
        <v>247</v>
      </c>
      <c r="Q500" t="s">
        <v>840</v>
      </c>
    </row>
    <row r="501" spans="1:17" ht="24" customHeight="1" x14ac:dyDescent="0.3">
      <c r="A501" t="s">
        <v>19</v>
      </c>
      <c r="B501" t="s">
        <v>118</v>
      </c>
      <c r="C501">
        <v>44</v>
      </c>
      <c r="D501" t="s">
        <v>1336</v>
      </c>
      <c r="E501" t="s">
        <v>485</v>
      </c>
      <c r="F501">
        <v>37</v>
      </c>
      <c r="G501" t="s">
        <v>171</v>
      </c>
      <c r="H501" s="19">
        <v>1320</v>
      </c>
      <c r="I501" s="19">
        <f t="shared" si="73"/>
        <v>48840</v>
      </c>
      <c r="J501" s="19">
        <v>11220</v>
      </c>
      <c r="K501" s="19">
        <f t="shared" si="74"/>
        <v>415140</v>
      </c>
      <c r="L501" s="19">
        <v>1521</v>
      </c>
      <c r="M501" s="19">
        <f t="shared" si="75"/>
        <v>56277</v>
      </c>
      <c r="N501" s="19">
        <f t="shared" si="76"/>
        <v>14061</v>
      </c>
      <c r="O501" s="19">
        <f t="shared" si="77"/>
        <v>520257</v>
      </c>
      <c r="Q501" t="s">
        <v>431</v>
      </c>
    </row>
    <row r="502" spans="1:17" ht="24" customHeight="1" x14ac:dyDescent="0.3">
      <c r="A502" t="s">
        <v>19</v>
      </c>
      <c r="B502" t="s">
        <v>118</v>
      </c>
      <c r="C502">
        <v>45</v>
      </c>
      <c r="D502" t="s">
        <v>1337</v>
      </c>
      <c r="E502" t="s">
        <v>433</v>
      </c>
      <c r="F502">
        <v>1</v>
      </c>
      <c r="G502" t="s">
        <v>434</v>
      </c>
      <c r="H502" s="19">
        <v>154620</v>
      </c>
      <c r="I502" s="19">
        <f t="shared" si="73"/>
        <v>154620</v>
      </c>
      <c r="J502" s="19">
        <v>0</v>
      </c>
      <c r="K502" s="19">
        <f t="shared" si="74"/>
        <v>0</v>
      </c>
      <c r="L502" s="19">
        <v>0</v>
      </c>
      <c r="M502" s="19">
        <f t="shared" si="75"/>
        <v>0</v>
      </c>
      <c r="N502" s="19">
        <f t="shared" si="76"/>
        <v>154620</v>
      </c>
      <c r="O502" s="19">
        <f t="shared" si="77"/>
        <v>154620</v>
      </c>
      <c r="Q502" t="s">
        <v>1131</v>
      </c>
    </row>
    <row r="503" spans="1:17" ht="24" customHeight="1" x14ac:dyDescent="0.3">
      <c r="A503" t="s">
        <v>19</v>
      </c>
      <c r="B503" t="s">
        <v>118</v>
      </c>
      <c r="C503">
        <v>46</v>
      </c>
      <c r="D503" t="s">
        <v>1338</v>
      </c>
      <c r="E503" t="s">
        <v>437</v>
      </c>
      <c r="F503">
        <v>1</v>
      </c>
      <c r="G503" t="s">
        <v>434</v>
      </c>
      <c r="H503" s="19">
        <v>154620</v>
      </c>
      <c r="I503" s="19">
        <f t="shared" si="73"/>
        <v>154620</v>
      </c>
      <c r="J503" s="19">
        <v>0</v>
      </c>
      <c r="K503" s="19">
        <f t="shared" si="74"/>
        <v>0</v>
      </c>
      <c r="L503" s="19">
        <v>0</v>
      </c>
      <c r="M503" s="19">
        <f t="shared" si="75"/>
        <v>0</v>
      </c>
      <c r="N503" s="19">
        <f t="shared" si="76"/>
        <v>154620</v>
      </c>
      <c r="O503" s="19">
        <f t="shared" si="77"/>
        <v>154620</v>
      </c>
      <c r="Q503" t="s">
        <v>1131</v>
      </c>
    </row>
    <row r="504" spans="1:17" ht="24" customHeight="1" x14ac:dyDescent="0.3">
      <c r="A504" t="s">
        <v>19</v>
      </c>
      <c r="B504" t="s">
        <v>118</v>
      </c>
      <c r="C504">
        <v>47</v>
      </c>
      <c r="D504" t="s">
        <v>1339</v>
      </c>
      <c r="E504" t="s">
        <v>440</v>
      </c>
      <c r="F504">
        <v>17</v>
      </c>
      <c r="G504" t="s">
        <v>283</v>
      </c>
      <c r="H504" s="19">
        <v>120000</v>
      </c>
      <c r="I504" s="19">
        <f t="shared" si="73"/>
        <v>2040000</v>
      </c>
      <c r="J504" s="19">
        <v>7500</v>
      </c>
      <c r="K504" s="19">
        <f t="shared" si="74"/>
        <v>127500</v>
      </c>
      <c r="L504" s="19">
        <v>12000</v>
      </c>
      <c r="M504" s="19">
        <f t="shared" si="75"/>
        <v>204000</v>
      </c>
      <c r="N504" s="19">
        <f t="shared" si="76"/>
        <v>139500</v>
      </c>
      <c r="O504" s="19">
        <f t="shared" si="77"/>
        <v>2371500</v>
      </c>
      <c r="P504" t="s">
        <v>247</v>
      </c>
      <c r="Q504" t="s">
        <v>1134</v>
      </c>
    </row>
    <row r="505" spans="1:17" ht="24" customHeight="1" x14ac:dyDescent="0.3">
      <c r="A505" t="s">
        <v>19</v>
      </c>
      <c r="B505" t="s">
        <v>118</v>
      </c>
      <c r="C505">
        <v>48</v>
      </c>
      <c r="D505" t="s">
        <v>1340</v>
      </c>
      <c r="E505" t="s">
        <v>446</v>
      </c>
      <c r="F505">
        <v>44</v>
      </c>
      <c r="G505" t="s">
        <v>283</v>
      </c>
      <c r="H505" s="19">
        <v>110000</v>
      </c>
      <c r="I505" s="19">
        <f t="shared" si="73"/>
        <v>4840000</v>
      </c>
      <c r="J505" s="19">
        <v>7500</v>
      </c>
      <c r="K505" s="19">
        <f t="shared" si="74"/>
        <v>330000</v>
      </c>
      <c r="L505" s="19">
        <v>12000</v>
      </c>
      <c r="M505" s="19">
        <f t="shared" si="75"/>
        <v>528000</v>
      </c>
      <c r="N505" s="19">
        <f t="shared" si="76"/>
        <v>129500</v>
      </c>
      <c r="O505" s="19">
        <f t="shared" si="77"/>
        <v>5698000</v>
      </c>
      <c r="P505" t="s">
        <v>247</v>
      </c>
      <c r="Q505" t="s">
        <v>1138</v>
      </c>
    </row>
    <row r="506" spans="1:17" ht="24" customHeight="1" x14ac:dyDescent="0.3">
      <c r="A506" t="s">
        <v>19</v>
      </c>
      <c r="B506" t="s">
        <v>118</v>
      </c>
      <c r="C506">
        <v>49</v>
      </c>
      <c r="D506" t="s">
        <v>1341</v>
      </c>
      <c r="E506" t="s">
        <v>449</v>
      </c>
      <c r="F506">
        <v>65</v>
      </c>
      <c r="G506" t="s">
        <v>274</v>
      </c>
      <c r="H506" s="19">
        <v>659</v>
      </c>
      <c r="I506" s="19">
        <f t="shared" si="73"/>
        <v>42835</v>
      </c>
      <c r="J506" s="19">
        <v>6686</v>
      </c>
      <c r="K506" s="19">
        <f t="shared" si="74"/>
        <v>434590</v>
      </c>
      <c r="L506" s="19">
        <v>522</v>
      </c>
      <c r="M506" s="19">
        <f t="shared" si="75"/>
        <v>33930</v>
      </c>
      <c r="N506" s="19">
        <f t="shared" si="76"/>
        <v>7867</v>
      </c>
      <c r="O506" s="19">
        <f t="shared" si="77"/>
        <v>511355</v>
      </c>
      <c r="Q506" t="s">
        <v>450</v>
      </c>
    </row>
    <row r="507" spans="1:17" ht="24" customHeight="1" x14ac:dyDescent="0.3">
      <c r="A507" t="s">
        <v>19</v>
      </c>
      <c r="B507" t="s">
        <v>118</v>
      </c>
      <c r="C507">
        <v>50</v>
      </c>
      <c r="D507" t="s">
        <v>1342</v>
      </c>
      <c r="E507" t="s">
        <v>289</v>
      </c>
      <c r="F507">
        <v>1</v>
      </c>
      <c r="G507" t="s">
        <v>290</v>
      </c>
      <c r="H507" s="19">
        <v>5500</v>
      </c>
      <c r="I507" s="19">
        <f t="shared" si="73"/>
        <v>5500</v>
      </c>
      <c r="J507" s="19"/>
      <c r="K507" s="19">
        <f t="shared" si="74"/>
        <v>0</v>
      </c>
      <c r="L507" s="19"/>
      <c r="M507" s="19">
        <f t="shared" si="75"/>
        <v>0</v>
      </c>
      <c r="N507" s="19">
        <f t="shared" si="76"/>
        <v>5500</v>
      </c>
      <c r="O507" s="19">
        <f t="shared" si="77"/>
        <v>5500</v>
      </c>
      <c r="P507" t="s">
        <v>247</v>
      </c>
      <c r="Q507" t="s">
        <v>813</v>
      </c>
    </row>
    <row r="508" spans="1:17" ht="24" customHeight="1" x14ac:dyDescent="0.3">
      <c r="A508" t="s">
        <v>19</v>
      </c>
      <c r="B508" t="s">
        <v>118</v>
      </c>
      <c r="C508">
        <v>51</v>
      </c>
      <c r="D508" t="s">
        <v>1343</v>
      </c>
      <c r="E508" t="s">
        <v>293</v>
      </c>
      <c r="F508">
        <v>1</v>
      </c>
      <c r="G508" t="s">
        <v>290</v>
      </c>
      <c r="I508" s="19">
        <f t="shared" si="73"/>
        <v>0</v>
      </c>
      <c r="J508" s="19"/>
      <c r="K508" s="19">
        <f t="shared" si="74"/>
        <v>0</v>
      </c>
      <c r="L508" s="19">
        <v>200</v>
      </c>
      <c r="M508" s="19">
        <f t="shared" si="75"/>
        <v>200</v>
      </c>
      <c r="N508" s="19">
        <f t="shared" si="76"/>
        <v>200</v>
      </c>
      <c r="O508" s="19">
        <f t="shared" si="77"/>
        <v>200</v>
      </c>
      <c r="P508" t="s">
        <v>247</v>
      </c>
      <c r="Q508" t="s">
        <v>818</v>
      </c>
    </row>
    <row r="509" spans="1:17" ht="24" customHeight="1" x14ac:dyDescent="0.3">
      <c r="A509" t="s">
        <v>19</v>
      </c>
      <c r="B509" t="s">
        <v>118</v>
      </c>
      <c r="C509">
        <v>52</v>
      </c>
      <c r="D509" t="s">
        <v>1344</v>
      </c>
      <c r="E509" t="s">
        <v>310</v>
      </c>
      <c r="F509">
        <v>46</v>
      </c>
      <c r="G509" t="s">
        <v>311</v>
      </c>
      <c r="H509" s="19">
        <v>2339</v>
      </c>
      <c r="I509" s="19">
        <f t="shared" si="73"/>
        <v>107594</v>
      </c>
      <c r="J509" s="19">
        <v>19375</v>
      </c>
      <c r="K509" s="19">
        <f t="shared" si="74"/>
        <v>891250</v>
      </c>
      <c r="L509" s="19">
        <v>2505</v>
      </c>
      <c r="M509" s="19">
        <f t="shared" si="75"/>
        <v>115230</v>
      </c>
      <c r="N509" s="19">
        <f t="shared" si="76"/>
        <v>24219</v>
      </c>
      <c r="O509" s="19">
        <f t="shared" si="77"/>
        <v>1114074</v>
      </c>
      <c r="Q509" t="s">
        <v>843</v>
      </c>
    </row>
    <row r="510" spans="1:17" ht="24" customHeight="1" x14ac:dyDescent="0.3">
      <c r="A510" t="s">
        <v>19</v>
      </c>
      <c r="B510" t="s">
        <v>118</v>
      </c>
      <c r="C510">
        <v>53</v>
      </c>
      <c r="D510" t="s">
        <v>862</v>
      </c>
      <c r="E510" t="s">
        <v>315</v>
      </c>
      <c r="F510">
        <v>19</v>
      </c>
      <c r="G510" t="s">
        <v>316</v>
      </c>
      <c r="I510" s="19">
        <f t="shared" si="73"/>
        <v>0</v>
      </c>
      <c r="J510" s="19"/>
      <c r="K510" s="19">
        <f t="shared" si="74"/>
        <v>0</v>
      </c>
      <c r="L510" s="19">
        <v>1800</v>
      </c>
      <c r="M510" s="19">
        <f t="shared" si="75"/>
        <v>34200</v>
      </c>
      <c r="N510" s="19">
        <f t="shared" si="76"/>
        <v>1800</v>
      </c>
      <c r="O510" s="19">
        <f t="shared" si="77"/>
        <v>34200</v>
      </c>
      <c r="P510" t="s">
        <v>247</v>
      </c>
      <c r="Q510" t="s">
        <v>856</v>
      </c>
    </row>
    <row r="511" spans="1:17" ht="24" customHeight="1" x14ac:dyDescent="0.3">
      <c r="A511" s="10" t="s">
        <v>19</v>
      </c>
      <c r="B511" s="10" t="s">
        <v>118</v>
      </c>
      <c r="C511" s="10"/>
      <c r="D511" s="10" t="s">
        <v>1345</v>
      </c>
      <c r="E511" s="10"/>
      <c r="F511" s="10"/>
      <c r="G511" s="10"/>
      <c r="H511" s="21"/>
      <c r="I511" s="21">
        <f>SUM(I458:I510)</f>
        <v>25404517.866999999</v>
      </c>
      <c r="J511" s="21"/>
      <c r="K511" s="21">
        <f>SUM(K458:K510)</f>
        <v>60327492.285999998</v>
      </c>
      <c r="L511" s="21"/>
      <c r="M511" s="21">
        <f>SUM(M458:M510)</f>
        <v>3137916</v>
      </c>
      <c r="N511" s="21"/>
      <c r="O511" s="21">
        <f>SUM(O458:O510)</f>
        <v>88869926.152999997</v>
      </c>
      <c r="P511" s="10"/>
      <c r="Q511" s="10" t="s">
        <v>467</v>
      </c>
    </row>
    <row r="512" spans="1:17" ht="24" customHeight="1" x14ac:dyDescent="0.3">
      <c r="A512" t="s">
        <v>19</v>
      </c>
      <c r="B512" t="s">
        <v>119</v>
      </c>
      <c r="C512">
        <v>1</v>
      </c>
      <c r="D512" t="s">
        <v>1186</v>
      </c>
      <c r="E512" t="s">
        <v>213</v>
      </c>
      <c r="F512">
        <v>6487</v>
      </c>
      <c r="G512" t="s">
        <v>171</v>
      </c>
      <c r="H512" s="19">
        <v>447</v>
      </c>
      <c r="I512" s="19">
        <f t="shared" ref="I512:I520" si="78">F512*H512</f>
        <v>2899689</v>
      </c>
      <c r="J512" s="19">
        <v>955</v>
      </c>
      <c r="K512" s="19">
        <f t="shared" ref="K512:K520" si="79">F512*J512</f>
        <v>6195085</v>
      </c>
      <c r="L512" s="19">
        <v>336</v>
      </c>
      <c r="M512" s="19">
        <f t="shared" ref="M512:M520" si="80">F512*L512</f>
        <v>2179632</v>
      </c>
      <c r="N512" s="19">
        <f t="shared" ref="N512:N520" si="81">H512+J512+L512</f>
        <v>1738</v>
      </c>
      <c r="O512" s="19">
        <f t="shared" ref="O512:O520" si="82">I512+K512+M512</f>
        <v>11274406</v>
      </c>
      <c r="Q512" t="s">
        <v>172</v>
      </c>
    </row>
    <row r="513" spans="1:17" ht="24" customHeight="1" x14ac:dyDescent="0.3">
      <c r="A513" t="s">
        <v>19</v>
      </c>
      <c r="B513" t="s">
        <v>119</v>
      </c>
      <c r="C513">
        <v>2</v>
      </c>
      <c r="D513" t="s">
        <v>675</v>
      </c>
      <c r="E513" t="s">
        <v>216</v>
      </c>
      <c r="F513">
        <v>1834</v>
      </c>
      <c r="G513" t="s">
        <v>171</v>
      </c>
      <c r="H513" s="19">
        <v>1652</v>
      </c>
      <c r="I513" s="19">
        <f t="shared" si="78"/>
        <v>3029768</v>
      </c>
      <c r="J513" s="19">
        <v>3924</v>
      </c>
      <c r="K513" s="19">
        <f t="shared" si="79"/>
        <v>7196616</v>
      </c>
      <c r="L513" s="19">
        <v>1432</v>
      </c>
      <c r="M513" s="19">
        <f t="shared" si="80"/>
        <v>2626288</v>
      </c>
      <c r="N513" s="19">
        <f t="shared" si="81"/>
        <v>7008</v>
      </c>
      <c r="O513" s="19">
        <f t="shared" si="82"/>
        <v>12852672</v>
      </c>
      <c r="Q513" t="s">
        <v>676</v>
      </c>
    </row>
    <row r="514" spans="1:17" ht="24" customHeight="1" x14ac:dyDescent="0.3">
      <c r="A514" t="s">
        <v>19</v>
      </c>
      <c r="B514" t="s">
        <v>119</v>
      </c>
      <c r="C514">
        <v>3</v>
      </c>
      <c r="D514" t="s">
        <v>679</v>
      </c>
      <c r="E514" t="s">
        <v>219</v>
      </c>
      <c r="F514">
        <v>4653</v>
      </c>
      <c r="G514" t="s">
        <v>171</v>
      </c>
      <c r="H514" s="19">
        <v>447</v>
      </c>
      <c r="I514" s="19">
        <f t="shared" si="78"/>
        <v>2079891</v>
      </c>
      <c r="J514" s="19">
        <v>955</v>
      </c>
      <c r="K514" s="19">
        <f t="shared" si="79"/>
        <v>4443615</v>
      </c>
      <c r="L514" s="19">
        <v>336</v>
      </c>
      <c r="M514" s="19">
        <f t="shared" si="80"/>
        <v>1563408</v>
      </c>
      <c r="N514" s="19">
        <f t="shared" si="81"/>
        <v>1738</v>
      </c>
      <c r="O514" s="19">
        <f t="shared" si="82"/>
        <v>8086914</v>
      </c>
      <c r="Q514" t="s">
        <v>219</v>
      </c>
    </row>
    <row r="515" spans="1:17" ht="24" customHeight="1" x14ac:dyDescent="0.3">
      <c r="A515" t="s">
        <v>19</v>
      </c>
      <c r="B515" t="s">
        <v>119</v>
      </c>
      <c r="C515">
        <v>4</v>
      </c>
      <c r="D515" t="s">
        <v>1346</v>
      </c>
      <c r="E515" t="s">
        <v>1347</v>
      </c>
      <c r="F515">
        <v>45</v>
      </c>
      <c r="G515" t="s">
        <v>165</v>
      </c>
      <c r="H515" s="19">
        <v>2604</v>
      </c>
      <c r="I515" s="19">
        <f t="shared" si="78"/>
        <v>117180</v>
      </c>
      <c r="J515" s="19">
        <v>29018</v>
      </c>
      <c r="K515" s="19">
        <f t="shared" si="79"/>
        <v>1305810</v>
      </c>
      <c r="L515" s="19">
        <v>4673</v>
      </c>
      <c r="M515" s="19">
        <f t="shared" si="80"/>
        <v>210285</v>
      </c>
      <c r="N515" s="19">
        <f t="shared" si="81"/>
        <v>36295</v>
      </c>
      <c r="O515" s="19">
        <f t="shared" si="82"/>
        <v>1633275</v>
      </c>
      <c r="P515" t="s">
        <v>247</v>
      </c>
      <c r="Q515" t="s">
        <v>1348</v>
      </c>
    </row>
    <row r="516" spans="1:17" ht="24" customHeight="1" x14ac:dyDescent="0.3">
      <c r="A516" t="s">
        <v>19</v>
      </c>
      <c r="B516" t="s">
        <v>119</v>
      </c>
      <c r="C516">
        <v>5</v>
      </c>
      <c r="D516" t="s">
        <v>1349</v>
      </c>
      <c r="F516">
        <v>1693</v>
      </c>
      <c r="G516" t="s">
        <v>179</v>
      </c>
      <c r="H516" s="19">
        <v>55000</v>
      </c>
      <c r="I516" s="19">
        <f t="shared" si="78"/>
        <v>93115000</v>
      </c>
      <c r="J516" s="19">
        <v>35000</v>
      </c>
      <c r="K516" s="19">
        <f t="shared" si="79"/>
        <v>59255000</v>
      </c>
      <c r="L516" s="19">
        <v>70000</v>
      </c>
      <c r="M516" s="19">
        <f t="shared" si="80"/>
        <v>118510000</v>
      </c>
      <c r="N516" s="19">
        <f t="shared" si="81"/>
        <v>160000</v>
      </c>
      <c r="O516" s="19">
        <f t="shared" si="82"/>
        <v>270880000</v>
      </c>
      <c r="P516" t="s">
        <v>247</v>
      </c>
      <c r="Q516" t="s">
        <v>1350</v>
      </c>
    </row>
    <row r="517" spans="1:17" ht="24" customHeight="1" x14ac:dyDescent="0.3">
      <c r="A517" t="s">
        <v>19</v>
      </c>
      <c r="B517" t="s">
        <v>119</v>
      </c>
      <c r="C517">
        <v>6</v>
      </c>
      <c r="D517" t="s">
        <v>1351</v>
      </c>
      <c r="E517" t="s">
        <v>1352</v>
      </c>
      <c r="F517">
        <v>1250</v>
      </c>
      <c r="G517" t="s">
        <v>165</v>
      </c>
      <c r="H517" s="19">
        <v>0</v>
      </c>
      <c r="I517" s="19">
        <f t="shared" si="78"/>
        <v>0</v>
      </c>
      <c r="J517" s="19">
        <v>415</v>
      </c>
      <c r="K517" s="19">
        <f t="shared" si="79"/>
        <v>518750</v>
      </c>
      <c r="L517" s="19">
        <v>0</v>
      </c>
      <c r="M517" s="19">
        <f t="shared" si="80"/>
        <v>0</v>
      </c>
      <c r="N517" s="19">
        <f t="shared" si="81"/>
        <v>415</v>
      </c>
      <c r="O517" s="19">
        <f t="shared" si="82"/>
        <v>518750</v>
      </c>
      <c r="Q517" t="s">
        <v>1353</v>
      </c>
    </row>
    <row r="518" spans="1:17" ht="24" customHeight="1" x14ac:dyDescent="0.3">
      <c r="A518" t="s">
        <v>19</v>
      </c>
      <c r="B518" t="s">
        <v>119</v>
      </c>
      <c r="C518">
        <v>7</v>
      </c>
      <c r="D518" t="s">
        <v>1354</v>
      </c>
      <c r="E518" t="s">
        <v>1355</v>
      </c>
      <c r="F518">
        <v>1</v>
      </c>
      <c r="G518" t="s">
        <v>233</v>
      </c>
      <c r="H518" s="19">
        <v>11921</v>
      </c>
      <c r="I518" s="19">
        <f t="shared" si="78"/>
        <v>11921</v>
      </c>
      <c r="J518" s="19">
        <v>98951</v>
      </c>
      <c r="K518" s="19">
        <f t="shared" si="79"/>
        <v>98951</v>
      </c>
      <c r="L518" s="19"/>
      <c r="M518" s="19">
        <f t="shared" si="80"/>
        <v>0</v>
      </c>
      <c r="N518" s="19">
        <f t="shared" si="81"/>
        <v>110872</v>
      </c>
      <c r="O518" s="19">
        <f t="shared" si="82"/>
        <v>110872</v>
      </c>
      <c r="P518" t="s">
        <v>247</v>
      </c>
      <c r="Q518" t="s">
        <v>1356</v>
      </c>
    </row>
    <row r="519" spans="1:17" ht="24" customHeight="1" x14ac:dyDescent="0.3">
      <c r="A519" t="s">
        <v>19</v>
      </c>
      <c r="B519" t="s">
        <v>119</v>
      </c>
      <c r="C519">
        <v>8</v>
      </c>
      <c r="D519" t="s">
        <v>1357</v>
      </c>
      <c r="E519" t="s">
        <v>1358</v>
      </c>
      <c r="F519">
        <v>87</v>
      </c>
      <c r="G519" t="s">
        <v>233</v>
      </c>
      <c r="H519" s="19">
        <v>12773</v>
      </c>
      <c r="I519" s="19">
        <f t="shared" si="78"/>
        <v>1111251</v>
      </c>
      <c r="J519" s="19">
        <v>84824</v>
      </c>
      <c r="K519" s="19">
        <f t="shared" si="79"/>
        <v>7379688</v>
      </c>
      <c r="L519" s="19">
        <v>15657</v>
      </c>
      <c r="M519" s="19">
        <f t="shared" si="80"/>
        <v>1362159</v>
      </c>
      <c r="N519" s="19">
        <f t="shared" si="81"/>
        <v>113254</v>
      </c>
      <c r="O519" s="19">
        <f t="shared" si="82"/>
        <v>9853098</v>
      </c>
      <c r="P519" t="s">
        <v>247</v>
      </c>
      <c r="Q519" t="s">
        <v>1359</v>
      </c>
    </row>
    <row r="520" spans="1:17" ht="24" customHeight="1" x14ac:dyDescent="0.3">
      <c r="A520" t="s">
        <v>19</v>
      </c>
      <c r="B520" t="s">
        <v>119</v>
      </c>
      <c r="C520">
        <v>9</v>
      </c>
      <c r="D520" t="s">
        <v>1360</v>
      </c>
      <c r="E520" t="s">
        <v>1361</v>
      </c>
      <c r="F520">
        <v>3115.12</v>
      </c>
      <c r="G520" t="s">
        <v>283</v>
      </c>
      <c r="I520" s="19">
        <f t="shared" si="78"/>
        <v>0</v>
      </c>
      <c r="J520" s="19"/>
      <c r="K520" s="19">
        <f t="shared" si="79"/>
        <v>0</v>
      </c>
      <c r="L520" s="19">
        <v>800</v>
      </c>
      <c r="M520" s="19">
        <f t="shared" si="80"/>
        <v>2492096</v>
      </c>
      <c r="N520" s="19">
        <f t="shared" si="81"/>
        <v>800</v>
      </c>
      <c r="O520" s="19">
        <f t="shared" si="82"/>
        <v>2492096</v>
      </c>
      <c r="P520" t="s">
        <v>247</v>
      </c>
      <c r="Q520" t="s">
        <v>1362</v>
      </c>
    </row>
    <row r="521" spans="1:17" ht="24" customHeight="1" x14ac:dyDescent="0.3">
      <c r="A521" s="10" t="s">
        <v>19</v>
      </c>
      <c r="B521" s="10" t="s">
        <v>119</v>
      </c>
      <c r="C521" s="10"/>
      <c r="D521" s="10" t="s">
        <v>1363</v>
      </c>
      <c r="E521" s="10"/>
      <c r="F521" s="10"/>
      <c r="G521" s="10"/>
      <c r="H521" s="21"/>
      <c r="I521" s="21">
        <f>SUM(I512:I520)</f>
        <v>102364700</v>
      </c>
      <c r="J521" s="21"/>
      <c r="K521" s="21">
        <f>SUM(K512:K520)</f>
        <v>86393515</v>
      </c>
      <c r="L521" s="21"/>
      <c r="M521" s="21">
        <f>SUM(M512:M520)</f>
        <v>128943868</v>
      </c>
      <c r="N521" s="21"/>
      <c r="O521" s="21">
        <f>SUM(O512:O520)</f>
        <v>317702083</v>
      </c>
      <c r="P521" s="10"/>
      <c r="Q521" s="10" t="s">
        <v>1364</v>
      </c>
    </row>
    <row r="522" spans="1:17" ht="24" customHeight="1" x14ac:dyDescent="0.3">
      <c r="A522" t="s">
        <v>19</v>
      </c>
      <c r="B522" t="s">
        <v>104</v>
      </c>
      <c r="C522">
        <v>1</v>
      </c>
      <c r="D522" t="s">
        <v>1365</v>
      </c>
      <c r="F522">
        <v>1</v>
      </c>
      <c r="G522" t="s">
        <v>503</v>
      </c>
      <c r="I522" s="19">
        <f>F522*H522</f>
        <v>0</v>
      </c>
      <c r="J522" s="19"/>
      <c r="K522" s="19">
        <f>F522*J522</f>
        <v>0</v>
      </c>
      <c r="L522" s="19"/>
      <c r="M522" s="19">
        <f>F522*L522</f>
        <v>0</v>
      </c>
      <c r="N522" s="19">
        <f>H522+J522+L522</f>
        <v>0</v>
      </c>
      <c r="O522" s="19">
        <f>I522+K522+M522</f>
        <v>0</v>
      </c>
      <c r="P522" t="s">
        <v>159</v>
      </c>
      <c r="Q522" t="s">
        <v>1366</v>
      </c>
    </row>
    <row r="523" spans="1:17" ht="24" customHeight="1" x14ac:dyDescent="0.3">
      <c r="A523" t="s">
        <v>19</v>
      </c>
      <c r="B523" t="s">
        <v>104</v>
      </c>
      <c r="C523">
        <v>2</v>
      </c>
      <c r="D523" t="s">
        <v>1367</v>
      </c>
      <c r="E523" t="s">
        <v>1368</v>
      </c>
      <c r="F523">
        <v>14</v>
      </c>
      <c r="G523" t="s">
        <v>1369</v>
      </c>
      <c r="I523" s="19">
        <f>F523*H523</f>
        <v>0</v>
      </c>
      <c r="J523" s="19"/>
      <c r="K523" s="19">
        <f>F523*J523</f>
        <v>0</v>
      </c>
      <c r="L523" s="19"/>
      <c r="M523" s="19">
        <f>F523*L523</f>
        <v>0</v>
      </c>
      <c r="N523" s="19">
        <f>H523+J523+L523</f>
        <v>0</v>
      </c>
      <c r="O523" s="19">
        <f>I523+K523+M523</f>
        <v>0</v>
      </c>
      <c r="P523" t="s">
        <v>159</v>
      </c>
      <c r="Q523" t="s">
        <v>1370</v>
      </c>
    </row>
    <row r="524" spans="1:17" ht="24" customHeight="1" x14ac:dyDescent="0.3">
      <c r="A524" s="10" t="s">
        <v>19</v>
      </c>
      <c r="B524" s="10" t="s">
        <v>104</v>
      </c>
      <c r="C524" s="10"/>
      <c r="D524" s="10" t="s">
        <v>504</v>
      </c>
      <c r="E524" s="10"/>
      <c r="F524" s="10"/>
      <c r="G524" s="10"/>
      <c r="H524" s="21"/>
      <c r="I524" s="21">
        <f>SUM(I522:I523)</f>
        <v>0</v>
      </c>
      <c r="J524" s="21"/>
      <c r="K524" s="21">
        <f>SUM(K522:K523)</f>
        <v>0</v>
      </c>
      <c r="L524" s="21"/>
      <c r="M524" s="21">
        <f>SUM(M522:M523)</f>
        <v>0</v>
      </c>
      <c r="N524" s="21"/>
      <c r="O524" s="21">
        <f>SUM(O522:O523)</f>
        <v>0</v>
      </c>
      <c r="P524" s="10"/>
      <c r="Q524" s="10" t="s">
        <v>1371</v>
      </c>
    </row>
    <row r="525" spans="1:17" ht="24" customHeight="1" x14ac:dyDescent="0.3">
      <c r="A525" t="s">
        <v>20</v>
      </c>
      <c r="B525" t="s">
        <v>121</v>
      </c>
      <c r="C525">
        <v>1</v>
      </c>
      <c r="D525" t="s">
        <v>1372</v>
      </c>
      <c r="E525" t="s">
        <v>1373</v>
      </c>
      <c r="F525">
        <v>10</v>
      </c>
      <c r="G525" t="s">
        <v>654</v>
      </c>
      <c r="H525" s="19">
        <v>550000</v>
      </c>
      <c r="I525" s="19">
        <f t="shared" ref="I525:I556" si="83">F525*H525</f>
        <v>5500000</v>
      </c>
      <c r="J525" s="19">
        <v>80000</v>
      </c>
      <c r="K525" s="19">
        <f t="shared" ref="K525:K556" si="84">F525*J525</f>
        <v>800000</v>
      </c>
      <c r="L525" s="19">
        <v>8000</v>
      </c>
      <c r="M525" s="19">
        <f t="shared" ref="M525:M556" si="85">F525*L525</f>
        <v>80000</v>
      </c>
      <c r="N525" s="19">
        <f t="shared" ref="N525:N556" si="86">H525+J525+L525</f>
        <v>638000</v>
      </c>
      <c r="O525" s="19">
        <f t="shared" ref="O525:O556" si="87">I525+K525+M525</f>
        <v>6380000</v>
      </c>
      <c r="Q525" t="s">
        <v>1374</v>
      </c>
    </row>
    <row r="526" spans="1:17" ht="24" customHeight="1" x14ac:dyDescent="0.3">
      <c r="A526" t="s">
        <v>20</v>
      </c>
      <c r="B526" t="s">
        <v>121</v>
      </c>
      <c r="C526">
        <v>2</v>
      </c>
      <c r="D526" t="s">
        <v>1375</v>
      </c>
      <c r="E526" t="s">
        <v>1376</v>
      </c>
      <c r="F526">
        <v>55</v>
      </c>
      <c r="G526" t="s">
        <v>654</v>
      </c>
      <c r="H526" s="19">
        <v>160000</v>
      </c>
      <c r="I526" s="19">
        <f t="shared" si="83"/>
        <v>8800000</v>
      </c>
      <c r="J526" s="19">
        <v>60000</v>
      </c>
      <c r="K526" s="19">
        <f t="shared" si="84"/>
        <v>3300000</v>
      </c>
      <c r="L526" s="19">
        <v>6000</v>
      </c>
      <c r="M526" s="19">
        <f t="shared" si="85"/>
        <v>330000</v>
      </c>
      <c r="N526" s="19">
        <f t="shared" si="86"/>
        <v>226000</v>
      </c>
      <c r="O526" s="19">
        <f t="shared" si="87"/>
        <v>12430000</v>
      </c>
      <c r="Q526" t="s">
        <v>1374</v>
      </c>
    </row>
    <row r="527" spans="1:17" ht="24" customHeight="1" x14ac:dyDescent="0.3">
      <c r="A527" t="s">
        <v>20</v>
      </c>
      <c r="B527" t="s">
        <v>121</v>
      </c>
      <c r="C527">
        <v>3</v>
      </c>
      <c r="D527" t="s">
        <v>1377</v>
      </c>
      <c r="E527" t="s">
        <v>1378</v>
      </c>
      <c r="F527">
        <v>7</v>
      </c>
      <c r="G527" t="s">
        <v>654</v>
      </c>
      <c r="H527" s="19">
        <v>420000</v>
      </c>
      <c r="I527" s="19">
        <f t="shared" si="83"/>
        <v>2940000</v>
      </c>
      <c r="J527" s="19">
        <v>80000</v>
      </c>
      <c r="K527" s="19">
        <f t="shared" si="84"/>
        <v>560000</v>
      </c>
      <c r="L527" s="19">
        <v>8000</v>
      </c>
      <c r="M527" s="19">
        <f t="shared" si="85"/>
        <v>56000</v>
      </c>
      <c r="N527" s="19">
        <f t="shared" si="86"/>
        <v>508000</v>
      </c>
      <c r="O527" s="19">
        <f t="shared" si="87"/>
        <v>3556000</v>
      </c>
      <c r="Q527" t="s">
        <v>1374</v>
      </c>
    </row>
    <row r="528" spans="1:17" ht="24" customHeight="1" x14ac:dyDescent="0.3">
      <c r="A528" t="s">
        <v>20</v>
      </c>
      <c r="B528" t="s">
        <v>121</v>
      </c>
      <c r="C528">
        <v>4</v>
      </c>
      <c r="D528" t="s">
        <v>1379</v>
      </c>
      <c r="E528" t="s">
        <v>1380</v>
      </c>
      <c r="F528">
        <v>3</v>
      </c>
      <c r="G528" t="s">
        <v>654</v>
      </c>
      <c r="H528" s="19">
        <v>380000</v>
      </c>
      <c r="I528" s="19">
        <f t="shared" si="83"/>
        <v>1140000</v>
      </c>
      <c r="J528" s="19">
        <v>80000</v>
      </c>
      <c r="K528" s="19">
        <f t="shared" si="84"/>
        <v>240000</v>
      </c>
      <c r="L528" s="19">
        <v>6000</v>
      </c>
      <c r="M528" s="19">
        <f t="shared" si="85"/>
        <v>18000</v>
      </c>
      <c r="N528" s="19">
        <f t="shared" si="86"/>
        <v>466000</v>
      </c>
      <c r="O528" s="19">
        <f t="shared" si="87"/>
        <v>1398000</v>
      </c>
      <c r="Q528" t="s">
        <v>1374</v>
      </c>
    </row>
    <row r="529" spans="1:17" ht="24" customHeight="1" x14ac:dyDescent="0.3">
      <c r="A529" t="s">
        <v>20</v>
      </c>
      <c r="B529" t="s">
        <v>121</v>
      </c>
      <c r="C529">
        <v>5</v>
      </c>
      <c r="D529" t="s">
        <v>1381</v>
      </c>
      <c r="E529" t="s">
        <v>1382</v>
      </c>
      <c r="F529">
        <v>8</v>
      </c>
      <c r="G529" t="s">
        <v>654</v>
      </c>
      <c r="H529" s="19">
        <v>160000</v>
      </c>
      <c r="I529" s="19">
        <f t="shared" si="83"/>
        <v>1280000</v>
      </c>
      <c r="J529" s="19">
        <v>50000</v>
      </c>
      <c r="K529" s="19">
        <f t="shared" si="84"/>
        <v>400000</v>
      </c>
      <c r="L529" s="19">
        <v>5000</v>
      </c>
      <c r="M529" s="19">
        <f t="shared" si="85"/>
        <v>40000</v>
      </c>
      <c r="N529" s="19">
        <f t="shared" si="86"/>
        <v>215000</v>
      </c>
      <c r="O529" s="19">
        <f t="shared" si="87"/>
        <v>1720000</v>
      </c>
      <c r="Q529" t="s">
        <v>1374</v>
      </c>
    </row>
    <row r="530" spans="1:17" ht="24" customHeight="1" x14ac:dyDescent="0.3">
      <c r="A530" t="s">
        <v>20</v>
      </c>
      <c r="B530" t="s">
        <v>121</v>
      </c>
      <c r="C530">
        <v>6</v>
      </c>
      <c r="D530" t="s">
        <v>1383</v>
      </c>
      <c r="E530" t="s">
        <v>1384</v>
      </c>
      <c r="F530">
        <v>15</v>
      </c>
      <c r="G530" t="s">
        <v>654</v>
      </c>
      <c r="H530" s="19">
        <v>100000</v>
      </c>
      <c r="I530" s="19">
        <f t="shared" si="83"/>
        <v>1500000</v>
      </c>
      <c r="J530" s="19">
        <v>50000</v>
      </c>
      <c r="K530" s="19">
        <f t="shared" si="84"/>
        <v>750000</v>
      </c>
      <c r="L530" s="19">
        <v>5000</v>
      </c>
      <c r="M530" s="19">
        <f t="shared" si="85"/>
        <v>75000</v>
      </c>
      <c r="N530" s="19">
        <f t="shared" si="86"/>
        <v>155000</v>
      </c>
      <c r="O530" s="19">
        <f t="shared" si="87"/>
        <v>2325000</v>
      </c>
      <c r="Q530" t="s">
        <v>1374</v>
      </c>
    </row>
    <row r="531" spans="1:17" ht="24" customHeight="1" x14ac:dyDescent="0.3">
      <c r="A531" t="s">
        <v>20</v>
      </c>
      <c r="B531" t="s">
        <v>121</v>
      </c>
      <c r="C531">
        <v>7</v>
      </c>
      <c r="D531" t="s">
        <v>1385</v>
      </c>
      <c r="E531" t="s">
        <v>1384</v>
      </c>
      <c r="F531">
        <v>21</v>
      </c>
      <c r="G531" t="s">
        <v>654</v>
      </c>
      <c r="H531" s="19">
        <v>120000</v>
      </c>
      <c r="I531" s="19">
        <f t="shared" si="83"/>
        <v>2520000</v>
      </c>
      <c r="J531" s="19">
        <v>50000</v>
      </c>
      <c r="K531" s="19">
        <f t="shared" si="84"/>
        <v>1050000</v>
      </c>
      <c r="L531" s="19">
        <v>5000</v>
      </c>
      <c r="M531" s="19">
        <f t="shared" si="85"/>
        <v>105000</v>
      </c>
      <c r="N531" s="19">
        <f t="shared" si="86"/>
        <v>175000</v>
      </c>
      <c r="O531" s="19">
        <f t="shared" si="87"/>
        <v>3675000</v>
      </c>
      <c r="Q531" t="s">
        <v>1374</v>
      </c>
    </row>
    <row r="532" spans="1:17" ht="24" customHeight="1" x14ac:dyDescent="0.3">
      <c r="A532" t="s">
        <v>20</v>
      </c>
      <c r="B532" t="s">
        <v>121</v>
      </c>
      <c r="C532">
        <v>8</v>
      </c>
      <c r="D532" t="s">
        <v>1386</v>
      </c>
      <c r="E532" t="s">
        <v>1387</v>
      </c>
      <c r="F532">
        <v>20</v>
      </c>
      <c r="G532" t="s">
        <v>654</v>
      </c>
      <c r="H532" s="19">
        <v>130000</v>
      </c>
      <c r="I532" s="19">
        <f t="shared" si="83"/>
        <v>2600000</v>
      </c>
      <c r="J532" s="19">
        <v>50000</v>
      </c>
      <c r="K532" s="19">
        <f t="shared" si="84"/>
        <v>1000000</v>
      </c>
      <c r="L532" s="19">
        <v>5000</v>
      </c>
      <c r="M532" s="19">
        <f t="shared" si="85"/>
        <v>100000</v>
      </c>
      <c r="N532" s="19">
        <f t="shared" si="86"/>
        <v>185000</v>
      </c>
      <c r="O532" s="19">
        <f t="shared" si="87"/>
        <v>3700000</v>
      </c>
      <c r="Q532" t="s">
        <v>1374</v>
      </c>
    </row>
    <row r="533" spans="1:17" ht="24" customHeight="1" x14ac:dyDescent="0.3">
      <c r="A533" t="s">
        <v>20</v>
      </c>
      <c r="B533" t="s">
        <v>121</v>
      </c>
      <c r="C533">
        <v>9</v>
      </c>
      <c r="D533" t="s">
        <v>1388</v>
      </c>
      <c r="E533" t="s">
        <v>1389</v>
      </c>
      <c r="F533">
        <v>1770</v>
      </c>
      <c r="G533" t="s">
        <v>654</v>
      </c>
      <c r="H533" s="19">
        <v>2000</v>
      </c>
      <c r="I533" s="19">
        <f t="shared" si="83"/>
        <v>3540000</v>
      </c>
      <c r="J533" s="19">
        <v>2000</v>
      </c>
      <c r="K533" s="19">
        <f t="shared" si="84"/>
        <v>3540000</v>
      </c>
      <c r="L533" s="19">
        <v>5000</v>
      </c>
      <c r="M533" s="19">
        <f t="shared" si="85"/>
        <v>8850000</v>
      </c>
      <c r="N533" s="19">
        <f t="shared" si="86"/>
        <v>9000</v>
      </c>
      <c r="O533" s="19">
        <f t="shared" si="87"/>
        <v>15930000</v>
      </c>
      <c r="Q533" t="s">
        <v>1374</v>
      </c>
    </row>
    <row r="534" spans="1:17" ht="24" customHeight="1" x14ac:dyDescent="0.3">
      <c r="A534" t="s">
        <v>20</v>
      </c>
      <c r="B534" t="s">
        <v>121</v>
      </c>
      <c r="C534">
        <v>10</v>
      </c>
      <c r="D534" t="s">
        <v>1390</v>
      </c>
      <c r="E534" t="s">
        <v>1389</v>
      </c>
      <c r="F534">
        <v>1250</v>
      </c>
      <c r="G534" t="s">
        <v>654</v>
      </c>
      <c r="H534" s="19">
        <v>2000</v>
      </c>
      <c r="I534" s="19">
        <f t="shared" si="83"/>
        <v>2500000</v>
      </c>
      <c r="J534" s="19">
        <v>2000</v>
      </c>
      <c r="K534" s="19">
        <f t="shared" si="84"/>
        <v>2500000</v>
      </c>
      <c r="L534" s="19">
        <v>5000</v>
      </c>
      <c r="M534" s="19">
        <f t="shared" si="85"/>
        <v>6250000</v>
      </c>
      <c r="N534" s="19">
        <f t="shared" si="86"/>
        <v>9000</v>
      </c>
      <c r="O534" s="19">
        <f t="shared" si="87"/>
        <v>11250000</v>
      </c>
      <c r="Q534" t="s">
        <v>1374</v>
      </c>
    </row>
    <row r="535" spans="1:17" ht="24" customHeight="1" x14ac:dyDescent="0.3">
      <c r="A535" t="s">
        <v>20</v>
      </c>
      <c r="B535" t="s">
        <v>121</v>
      </c>
      <c r="C535">
        <v>11</v>
      </c>
      <c r="D535" t="s">
        <v>1391</v>
      </c>
      <c r="E535" t="s">
        <v>1392</v>
      </c>
      <c r="F535">
        <v>1100</v>
      </c>
      <c r="G535" t="s">
        <v>165</v>
      </c>
      <c r="H535" s="19">
        <v>5000</v>
      </c>
      <c r="I535" s="19">
        <f t="shared" si="83"/>
        <v>5500000</v>
      </c>
      <c r="J535" s="19">
        <v>6000</v>
      </c>
      <c r="K535" s="19">
        <f t="shared" si="84"/>
        <v>6600000</v>
      </c>
      <c r="L535" s="19">
        <v>5000</v>
      </c>
      <c r="M535" s="19">
        <f t="shared" si="85"/>
        <v>5500000</v>
      </c>
      <c r="N535" s="19">
        <f t="shared" si="86"/>
        <v>16000</v>
      </c>
      <c r="O535" s="19">
        <f t="shared" si="87"/>
        <v>17600000</v>
      </c>
      <c r="Q535" t="s">
        <v>1374</v>
      </c>
    </row>
    <row r="536" spans="1:17" ht="24" customHeight="1" x14ac:dyDescent="0.3">
      <c r="A536" t="s">
        <v>20</v>
      </c>
      <c r="B536" t="s">
        <v>121</v>
      </c>
      <c r="C536">
        <v>12</v>
      </c>
      <c r="D536" t="s">
        <v>1393</v>
      </c>
      <c r="E536" t="s">
        <v>1394</v>
      </c>
      <c r="F536">
        <v>1</v>
      </c>
      <c r="G536" t="s">
        <v>1395</v>
      </c>
      <c r="H536" s="19">
        <v>4200000</v>
      </c>
      <c r="I536" s="19">
        <f t="shared" si="83"/>
        <v>4200000</v>
      </c>
      <c r="J536" s="19">
        <v>250000</v>
      </c>
      <c r="K536" s="19">
        <f t="shared" si="84"/>
        <v>250000</v>
      </c>
      <c r="L536" s="19">
        <v>0</v>
      </c>
      <c r="M536" s="19">
        <f t="shared" si="85"/>
        <v>0</v>
      </c>
      <c r="N536" s="19">
        <f t="shared" si="86"/>
        <v>4450000</v>
      </c>
      <c r="O536" s="19">
        <f t="shared" si="87"/>
        <v>4450000</v>
      </c>
      <c r="Q536" t="s">
        <v>1374</v>
      </c>
    </row>
    <row r="537" spans="1:17" ht="24" customHeight="1" x14ac:dyDescent="0.3">
      <c r="A537" t="s">
        <v>20</v>
      </c>
      <c r="B537" t="s">
        <v>121</v>
      </c>
      <c r="C537">
        <v>13</v>
      </c>
      <c r="D537" t="s">
        <v>1396</v>
      </c>
      <c r="E537" t="s">
        <v>1397</v>
      </c>
      <c r="F537">
        <v>1</v>
      </c>
      <c r="G537" t="s">
        <v>1395</v>
      </c>
      <c r="H537" s="19">
        <v>4450000</v>
      </c>
      <c r="I537" s="19">
        <f t="shared" si="83"/>
        <v>4450000</v>
      </c>
      <c r="J537" s="19">
        <v>250000</v>
      </c>
      <c r="K537" s="19">
        <f t="shared" si="84"/>
        <v>250000</v>
      </c>
      <c r="L537" s="19">
        <v>0</v>
      </c>
      <c r="M537" s="19">
        <f t="shared" si="85"/>
        <v>0</v>
      </c>
      <c r="N537" s="19">
        <f t="shared" si="86"/>
        <v>4700000</v>
      </c>
      <c r="O537" s="19">
        <f t="shared" si="87"/>
        <v>4700000</v>
      </c>
      <c r="Q537" t="s">
        <v>1374</v>
      </c>
    </row>
    <row r="538" spans="1:17" ht="24" customHeight="1" x14ac:dyDescent="0.3">
      <c r="A538" t="s">
        <v>20</v>
      </c>
      <c r="B538" t="s">
        <v>121</v>
      </c>
      <c r="C538">
        <v>14</v>
      </c>
      <c r="D538" t="s">
        <v>1398</v>
      </c>
      <c r="E538" t="s">
        <v>1399</v>
      </c>
      <c r="F538">
        <v>1</v>
      </c>
      <c r="G538" t="s">
        <v>1395</v>
      </c>
      <c r="H538" s="19">
        <v>4200000</v>
      </c>
      <c r="I538" s="19">
        <f t="shared" si="83"/>
        <v>4200000</v>
      </c>
      <c r="J538" s="19">
        <v>250000</v>
      </c>
      <c r="K538" s="19">
        <f t="shared" si="84"/>
        <v>250000</v>
      </c>
      <c r="L538" s="19">
        <v>0</v>
      </c>
      <c r="M538" s="19">
        <f t="shared" si="85"/>
        <v>0</v>
      </c>
      <c r="N538" s="19">
        <f t="shared" si="86"/>
        <v>4450000</v>
      </c>
      <c r="O538" s="19">
        <f t="shared" si="87"/>
        <v>4450000</v>
      </c>
      <c r="Q538" t="s">
        <v>1374</v>
      </c>
    </row>
    <row r="539" spans="1:17" ht="24" customHeight="1" x14ac:dyDescent="0.3">
      <c r="A539" t="s">
        <v>20</v>
      </c>
      <c r="B539" t="s">
        <v>121</v>
      </c>
      <c r="C539">
        <v>15</v>
      </c>
      <c r="D539" t="s">
        <v>1400</v>
      </c>
      <c r="E539" t="s">
        <v>1401</v>
      </c>
      <c r="F539">
        <v>1</v>
      </c>
      <c r="G539" t="s">
        <v>1395</v>
      </c>
      <c r="H539" s="19">
        <v>4400000</v>
      </c>
      <c r="I539" s="19">
        <f t="shared" si="83"/>
        <v>4400000</v>
      </c>
      <c r="J539" s="19">
        <v>250000</v>
      </c>
      <c r="K539" s="19">
        <f t="shared" si="84"/>
        <v>250000</v>
      </c>
      <c r="L539" s="19">
        <v>0</v>
      </c>
      <c r="M539" s="19">
        <f t="shared" si="85"/>
        <v>0</v>
      </c>
      <c r="N539" s="19">
        <f t="shared" si="86"/>
        <v>4650000</v>
      </c>
      <c r="O539" s="19">
        <f t="shared" si="87"/>
        <v>4650000</v>
      </c>
      <c r="Q539" t="s">
        <v>1374</v>
      </c>
    </row>
    <row r="540" spans="1:17" ht="24" customHeight="1" x14ac:dyDescent="0.3">
      <c r="A540" t="s">
        <v>20</v>
      </c>
      <c r="B540" t="s">
        <v>121</v>
      </c>
      <c r="C540">
        <v>16</v>
      </c>
      <c r="D540" t="s">
        <v>1402</v>
      </c>
      <c r="E540" t="s">
        <v>1403</v>
      </c>
      <c r="F540">
        <v>1</v>
      </c>
      <c r="G540" t="s">
        <v>233</v>
      </c>
      <c r="H540" s="19">
        <v>18000000</v>
      </c>
      <c r="I540" s="19">
        <f t="shared" si="83"/>
        <v>18000000</v>
      </c>
      <c r="J540" s="19">
        <v>250000</v>
      </c>
      <c r="K540" s="19">
        <f t="shared" si="84"/>
        <v>250000</v>
      </c>
      <c r="L540" s="19">
        <v>0</v>
      </c>
      <c r="M540" s="19">
        <f t="shared" si="85"/>
        <v>0</v>
      </c>
      <c r="N540" s="19">
        <f t="shared" si="86"/>
        <v>18250000</v>
      </c>
      <c r="O540" s="19">
        <f t="shared" si="87"/>
        <v>18250000</v>
      </c>
      <c r="Q540" t="s">
        <v>1374</v>
      </c>
    </row>
    <row r="541" spans="1:17" ht="24" customHeight="1" x14ac:dyDescent="0.3">
      <c r="A541" t="s">
        <v>20</v>
      </c>
      <c r="B541" t="s">
        <v>121</v>
      </c>
      <c r="C541">
        <v>17</v>
      </c>
      <c r="D541" t="s">
        <v>1404</v>
      </c>
      <c r="E541" t="s">
        <v>1405</v>
      </c>
      <c r="F541">
        <v>9</v>
      </c>
      <c r="G541" t="s">
        <v>1395</v>
      </c>
      <c r="H541" s="19">
        <v>750000</v>
      </c>
      <c r="I541" s="19">
        <f t="shared" si="83"/>
        <v>6750000</v>
      </c>
      <c r="J541" s="19">
        <v>250000</v>
      </c>
      <c r="K541" s="19">
        <f t="shared" si="84"/>
        <v>2250000</v>
      </c>
      <c r="L541" s="19">
        <v>0</v>
      </c>
      <c r="M541" s="19">
        <f t="shared" si="85"/>
        <v>0</v>
      </c>
      <c r="N541" s="19">
        <f t="shared" si="86"/>
        <v>1000000</v>
      </c>
      <c r="O541" s="19">
        <f t="shared" si="87"/>
        <v>9000000</v>
      </c>
      <c r="Q541" t="s">
        <v>1374</v>
      </c>
    </row>
    <row r="542" spans="1:17" ht="24" customHeight="1" x14ac:dyDescent="0.3">
      <c r="A542" t="s">
        <v>20</v>
      </c>
      <c r="B542" t="s">
        <v>121</v>
      </c>
      <c r="C542">
        <v>18</v>
      </c>
      <c r="D542" t="s">
        <v>1406</v>
      </c>
      <c r="E542" t="s">
        <v>1407</v>
      </c>
      <c r="F542">
        <v>3</v>
      </c>
      <c r="G542" t="s">
        <v>1395</v>
      </c>
      <c r="H542" s="19">
        <v>3200000</v>
      </c>
      <c r="I542" s="19">
        <f t="shared" si="83"/>
        <v>9600000</v>
      </c>
      <c r="J542" s="19">
        <v>250000</v>
      </c>
      <c r="K542" s="19">
        <f t="shared" si="84"/>
        <v>750000</v>
      </c>
      <c r="L542" s="19">
        <v>0</v>
      </c>
      <c r="M542" s="19">
        <f t="shared" si="85"/>
        <v>0</v>
      </c>
      <c r="N542" s="19">
        <f t="shared" si="86"/>
        <v>3450000</v>
      </c>
      <c r="O542" s="19">
        <f t="shared" si="87"/>
        <v>10350000</v>
      </c>
      <c r="Q542" t="s">
        <v>1374</v>
      </c>
    </row>
    <row r="543" spans="1:17" ht="24" customHeight="1" x14ac:dyDescent="0.3">
      <c r="A543" t="s">
        <v>20</v>
      </c>
      <c r="B543" t="s">
        <v>121</v>
      </c>
      <c r="C543">
        <v>19</v>
      </c>
      <c r="D543" t="s">
        <v>1408</v>
      </c>
      <c r="E543" t="s">
        <v>1409</v>
      </c>
      <c r="F543">
        <v>68</v>
      </c>
      <c r="G543" t="s">
        <v>165</v>
      </c>
      <c r="H543" s="19">
        <v>45000</v>
      </c>
      <c r="I543" s="19">
        <f t="shared" si="83"/>
        <v>3060000</v>
      </c>
      <c r="J543" s="19">
        <v>15000</v>
      </c>
      <c r="K543" s="19">
        <f t="shared" si="84"/>
        <v>1020000</v>
      </c>
      <c r="L543" s="19">
        <v>0</v>
      </c>
      <c r="M543" s="19">
        <f t="shared" si="85"/>
        <v>0</v>
      </c>
      <c r="N543" s="19">
        <f t="shared" si="86"/>
        <v>60000</v>
      </c>
      <c r="O543" s="19">
        <f t="shared" si="87"/>
        <v>4080000</v>
      </c>
      <c r="Q543" t="s">
        <v>1374</v>
      </c>
    </row>
    <row r="544" spans="1:17" ht="24" customHeight="1" x14ac:dyDescent="0.3">
      <c r="A544" t="s">
        <v>20</v>
      </c>
      <c r="B544" t="s">
        <v>121</v>
      </c>
      <c r="C544">
        <v>20</v>
      </c>
      <c r="D544" t="s">
        <v>1410</v>
      </c>
      <c r="E544" t="s">
        <v>1411</v>
      </c>
      <c r="F544">
        <v>143</v>
      </c>
      <c r="G544" t="s">
        <v>165</v>
      </c>
      <c r="H544" s="19">
        <v>65000</v>
      </c>
      <c r="I544" s="19">
        <f t="shared" si="83"/>
        <v>9295000</v>
      </c>
      <c r="J544" s="19">
        <v>18000</v>
      </c>
      <c r="K544" s="19">
        <f t="shared" si="84"/>
        <v>2574000</v>
      </c>
      <c r="L544" s="19">
        <v>0</v>
      </c>
      <c r="M544" s="19">
        <f t="shared" si="85"/>
        <v>0</v>
      </c>
      <c r="N544" s="19">
        <f t="shared" si="86"/>
        <v>83000</v>
      </c>
      <c r="O544" s="19">
        <f t="shared" si="87"/>
        <v>11869000</v>
      </c>
      <c r="Q544" t="s">
        <v>1374</v>
      </c>
    </row>
    <row r="545" spans="1:17" ht="24" customHeight="1" x14ac:dyDescent="0.3">
      <c r="A545" t="s">
        <v>20</v>
      </c>
      <c r="B545" t="s">
        <v>121</v>
      </c>
      <c r="C545">
        <v>21</v>
      </c>
      <c r="D545" t="s">
        <v>1412</v>
      </c>
      <c r="E545" t="s">
        <v>1413</v>
      </c>
      <c r="F545">
        <v>224</v>
      </c>
      <c r="G545" t="s">
        <v>165</v>
      </c>
      <c r="H545" s="19">
        <v>480000</v>
      </c>
      <c r="I545" s="19">
        <f t="shared" si="83"/>
        <v>107520000</v>
      </c>
      <c r="J545" s="19">
        <v>150000</v>
      </c>
      <c r="K545" s="19">
        <f t="shared" si="84"/>
        <v>33600000</v>
      </c>
      <c r="L545" s="19">
        <v>0</v>
      </c>
      <c r="M545" s="19">
        <f t="shared" si="85"/>
        <v>0</v>
      </c>
      <c r="N545" s="19">
        <f t="shared" si="86"/>
        <v>630000</v>
      </c>
      <c r="O545" s="19">
        <f t="shared" si="87"/>
        <v>141120000</v>
      </c>
      <c r="Q545" t="s">
        <v>1374</v>
      </c>
    </row>
    <row r="546" spans="1:17" ht="24" customHeight="1" x14ac:dyDescent="0.3">
      <c r="A546" t="s">
        <v>20</v>
      </c>
      <c r="B546" t="s">
        <v>121</v>
      </c>
      <c r="C546">
        <v>22</v>
      </c>
      <c r="D546" t="s">
        <v>1414</v>
      </c>
      <c r="E546" t="s">
        <v>1415</v>
      </c>
      <c r="F546">
        <v>315</v>
      </c>
      <c r="G546" t="s">
        <v>199</v>
      </c>
      <c r="H546" s="19">
        <v>5000</v>
      </c>
      <c r="I546" s="19">
        <f t="shared" si="83"/>
        <v>1575000</v>
      </c>
      <c r="J546" s="19">
        <v>5000</v>
      </c>
      <c r="K546" s="19">
        <f t="shared" si="84"/>
        <v>1575000</v>
      </c>
      <c r="L546" s="19">
        <v>0</v>
      </c>
      <c r="M546" s="19">
        <f t="shared" si="85"/>
        <v>0</v>
      </c>
      <c r="N546" s="19">
        <f t="shared" si="86"/>
        <v>10000</v>
      </c>
      <c r="O546" s="19">
        <f t="shared" si="87"/>
        <v>3150000</v>
      </c>
      <c r="Q546" t="s">
        <v>1374</v>
      </c>
    </row>
    <row r="547" spans="1:17" ht="24" customHeight="1" x14ac:dyDescent="0.3">
      <c r="A547" t="s">
        <v>20</v>
      </c>
      <c r="B547" t="s">
        <v>121</v>
      </c>
      <c r="C547">
        <v>23</v>
      </c>
      <c r="D547" t="s">
        <v>1416</v>
      </c>
      <c r="E547" t="s">
        <v>1417</v>
      </c>
      <c r="F547">
        <v>17</v>
      </c>
      <c r="G547" t="s">
        <v>165</v>
      </c>
      <c r="H547" s="19">
        <v>0</v>
      </c>
      <c r="I547" s="19">
        <f t="shared" si="83"/>
        <v>0</v>
      </c>
      <c r="J547" s="19">
        <v>0</v>
      </c>
      <c r="K547" s="19">
        <f t="shared" si="84"/>
        <v>0</v>
      </c>
      <c r="L547" s="19">
        <v>0</v>
      </c>
      <c r="M547" s="19">
        <f t="shared" si="85"/>
        <v>0</v>
      </c>
      <c r="N547" s="19">
        <f t="shared" si="86"/>
        <v>0</v>
      </c>
      <c r="O547" s="19">
        <f t="shared" si="87"/>
        <v>0</v>
      </c>
      <c r="Q547" t="s">
        <v>1374</v>
      </c>
    </row>
    <row r="548" spans="1:17" ht="24" customHeight="1" x14ac:dyDescent="0.3">
      <c r="A548" t="s">
        <v>20</v>
      </c>
      <c r="B548" t="s">
        <v>121</v>
      </c>
      <c r="C548">
        <v>24</v>
      </c>
      <c r="D548" t="s">
        <v>1418</v>
      </c>
      <c r="E548" t="s">
        <v>1419</v>
      </c>
      <c r="F548">
        <v>459</v>
      </c>
      <c r="G548" t="s">
        <v>199</v>
      </c>
      <c r="H548" s="19">
        <v>45000</v>
      </c>
      <c r="I548" s="19">
        <f t="shared" si="83"/>
        <v>20655000</v>
      </c>
      <c r="J548" s="19">
        <v>18000</v>
      </c>
      <c r="K548" s="19">
        <f t="shared" si="84"/>
        <v>8262000</v>
      </c>
      <c r="L548" s="19">
        <v>0</v>
      </c>
      <c r="M548" s="19">
        <f t="shared" si="85"/>
        <v>0</v>
      </c>
      <c r="N548" s="19">
        <f t="shared" si="86"/>
        <v>63000</v>
      </c>
      <c r="O548" s="19">
        <f t="shared" si="87"/>
        <v>28917000</v>
      </c>
      <c r="Q548" t="s">
        <v>1374</v>
      </c>
    </row>
    <row r="549" spans="1:17" ht="24" customHeight="1" x14ac:dyDescent="0.3">
      <c r="A549" t="s">
        <v>20</v>
      </c>
      <c r="B549" t="s">
        <v>121</v>
      </c>
      <c r="C549">
        <v>25</v>
      </c>
      <c r="D549" t="s">
        <v>1420</v>
      </c>
      <c r="E549" t="s">
        <v>1421</v>
      </c>
      <c r="F549">
        <v>10</v>
      </c>
      <c r="G549" t="s">
        <v>199</v>
      </c>
      <c r="H549" s="19">
        <v>50000</v>
      </c>
      <c r="I549" s="19">
        <f t="shared" si="83"/>
        <v>500000</v>
      </c>
      <c r="J549" s="19">
        <v>18000</v>
      </c>
      <c r="K549" s="19">
        <f t="shared" si="84"/>
        <v>180000</v>
      </c>
      <c r="L549" s="19">
        <v>0</v>
      </c>
      <c r="M549" s="19">
        <f t="shared" si="85"/>
        <v>0</v>
      </c>
      <c r="N549" s="19">
        <f t="shared" si="86"/>
        <v>68000</v>
      </c>
      <c r="O549" s="19">
        <f t="shared" si="87"/>
        <v>680000</v>
      </c>
      <c r="Q549" t="s">
        <v>1374</v>
      </c>
    </row>
    <row r="550" spans="1:17" ht="24" customHeight="1" x14ac:dyDescent="0.3">
      <c r="A550" t="s">
        <v>20</v>
      </c>
      <c r="B550" t="s">
        <v>121</v>
      </c>
      <c r="C550">
        <v>26</v>
      </c>
      <c r="D550" t="s">
        <v>1422</v>
      </c>
      <c r="E550" t="s">
        <v>1423</v>
      </c>
      <c r="F550">
        <v>4</v>
      </c>
      <c r="G550" t="s">
        <v>1395</v>
      </c>
      <c r="H550" s="19">
        <v>600000</v>
      </c>
      <c r="I550" s="19">
        <f t="shared" si="83"/>
        <v>2400000</v>
      </c>
      <c r="J550" s="19">
        <v>100000</v>
      </c>
      <c r="K550" s="19">
        <f t="shared" si="84"/>
        <v>400000</v>
      </c>
      <c r="L550" s="19">
        <v>0</v>
      </c>
      <c r="M550" s="19">
        <f t="shared" si="85"/>
        <v>0</v>
      </c>
      <c r="N550" s="19">
        <f t="shared" si="86"/>
        <v>700000</v>
      </c>
      <c r="O550" s="19">
        <f t="shared" si="87"/>
        <v>2800000</v>
      </c>
      <c r="Q550" t="s">
        <v>1374</v>
      </c>
    </row>
    <row r="551" spans="1:17" ht="24" customHeight="1" x14ac:dyDescent="0.3">
      <c r="A551" t="s">
        <v>20</v>
      </c>
      <c r="B551" t="s">
        <v>121</v>
      </c>
      <c r="C551">
        <v>27</v>
      </c>
      <c r="D551" t="s">
        <v>1424</v>
      </c>
      <c r="E551" t="s">
        <v>898</v>
      </c>
      <c r="F551">
        <v>24</v>
      </c>
      <c r="G551" t="s">
        <v>1425</v>
      </c>
      <c r="H551" s="19">
        <v>25000</v>
      </c>
      <c r="I551" s="19">
        <f t="shared" si="83"/>
        <v>600000</v>
      </c>
      <c r="J551" s="19">
        <v>10000</v>
      </c>
      <c r="K551" s="19">
        <f t="shared" si="84"/>
        <v>240000</v>
      </c>
      <c r="L551" s="19">
        <v>0</v>
      </c>
      <c r="M551" s="19">
        <f t="shared" si="85"/>
        <v>0</v>
      </c>
      <c r="N551" s="19">
        <f t="shared" si="86"/>
        <v>35000</v>
      </c>
      <c r="O551" s="19">
        <f t="shared" si="87"/>
        <v>840000</v>
      </c>
      <c r="Q551" t="s">
        <v>1374</v>
      </c>
    </row>
    <row r="552" spans="1:17" ht="24" customHeight="1" x14ac:dyDescent="0.3">
      <c r="A552" t="s">
        <v>20</v>
      </c>
      <c r="B552" t="s">
        <v>121</v>
      </c>
      <c r="C552">
        <v>28</v>
      </c>
      <c r="D552" t="s">
        <v>1426</v>
      </c>
      <c r="E552" t="s">
        <v>895</v>
      </c>
      <c r="F552">
        <v>32</v>
      </c>
      <c r="G552" t="s">
        <v>1425</v>
      </c>
      <c r="H552" s="19">
        <v>15000</v>
      </c>
      <c r="I552" s="19">
        <f t="shared" si="83"/>
        <v>480000</v>
      </c>
      <c r="J552" s="19">
        <v>10000</v>
      </c>
      <c r="K552" s="19">
        <f t="shared" si="84"/>
        <v>320000</v>
      </c>
      <c r="L552" s="19">
        <v>0</v>
      </c>
      <c r="M552" s="19">
        <f t="shared" si="85"/>
        <v>0</v>
      </c>
      <c r="N552" s="19">
        <f t="shared" si="86"/>
        <v>25000</v>
      </c>
      <c r="O552" s="19">
        <f t="shared" si="87"/>
        <v>800000</v>
      </c>
      <c r="Q552" t="s">
        <v>1374</v>
      </c>
    </row>
    <row r="553" spans="1:17" ht="24" customHeight="1" x14ac:dyDescent="0.3">
      <c r="A553" t="s">
        <v>20</v>
      </c>
      <c r="B553" t="s">
        <v>121</v>
      </c>
      <c r="C553">
        <v>29</v>
      </c>
      <c r="D553" t="s">
        <v>1427</v>
      </c>
      <c r="E553" t="s">
        <v>898</v>
      </c>
      <c r="F553">
        <v>61</v>
      </c>
      <c r="G553" t="s">
        <v>199</v>
      </c>
      <c r="H553" s="19">
        <v>32000</v>
      </c>
      <c r="I553" s="19">
        <f t="shared" si="83"/>
        <v>1952000</v>
      </c>
      <c r="J553" s="19">
        <v>20000</v>
      </c>
      <c r="K553" s="19">
        <f t="shared" si="84"/>
        <v>1220000</v>
      </c>
      <c r="L553" s="19">
        <v>0</v>
      </c>
      <c r="M553" s="19">
        <f t="shared" si="85"/>
        <v>0</v>
      </c>
      <c r="N553" s="19">
        <f t="shared" si="86"/>
        <v>52000</v>
      </c>
      <c r="O553" s="19">
        <f t="shared" si="87"/>
        <v>3172000</v>
      </c>
      <c r="Q553" t="s">
        <v>1374</v>
      </c>
    </row>
    <row r="554" spans="1:17" ht="24" customHeight="1" x14ac:dyDescent="0.3">
      <c r="A554" t="s">
        <v>20</v>
      </c>
      <c r="B554" t="s">
        <v>121</v>
      </c>
      <c r="C554">
        <v>30</v>
      </c>
      <c r="D554" t="s">
        <v>1428</v>
      </c>
      <c r="E554" t="s">
        <v>1429</v>
      </c>
      <c r="F554">
        <v>48</v>
      </c>
      <c r="G554" t="s">
        <v>199</v>
      </c>
      <c r="H554" s="19">
        <v>60000</v>
      </c>
      <c r="I554" s="19">
        <f t="shared" si="83"/>
        <v>2880000</v>
      </c>
      <c r="J554" s="19">
        <v>20000</v>
      </c>
      <c r="K554" s="19">
        <f t="shared" si="84"/>
        <v>960000</v>
      </c>
      <c r="L554" s="19">
        <v>0</v>
      </c>
      <c r="M554" s="19">
        <f t="shared" si="85"/>
        <v>0</v>
      </c>
      <c r="N554" s="19">
        <f t="shared" si="86"/>
        <v>80000</v>
      </c>
      <c r="O554" s="19">
        <f t="shared" si="87"/>
        <v>3840000</v>
      </c>
      <c r="Q554" t="s">
        <v>1374</v>
      </c>
    </row>
    <row r="555" spans="1:17" ht="24" customHeight="1" x14ac:dyDescent="0.3">
      <c r="A555" t="s">
        <v>20</v>
      </c>
      <c r="B555" t="s">
        <v>121</v>
      </c>
      <c r="C555">
        <v>31</v>
      </c>
      <c r="D555" t="s">
        <v>1372</v>
      </c>
      <c r="E555" t="s">
        <v>1373</v>
      </c>
      <c r="F555">
        <v>9</v>
      </c>
      <c r="G555" t="s">
        <v>654</v>
      </c>
      <c r="H555" s="19">
        <v>550000</v>
      </c>
      <c r="I555" s="19">
        <f t="shared" si="83"/>
        <v>4950000</v>
      </c>
      <c r="J555" s="19">
        <v>80000</v>
      </c>
      <c r="K555" s="19">
        <f t="shared" si="84"/>
        <v>720000</v>
      </c>
      <c r="L555" s="19">
        <v>8000</v>
      </c>
      <c r="M555" s="19">
        <f t="shared" si="85"/>
        <v>72000</v>
      </c>
      <c r="N555" s="19">
        <f t="shared" si="86"/>
        <v>638000</v>
      </c>
      <c r="O555" s="19">
        <f t="shared" si="87"/>
        <v>5742000</v>
      </c>
      <c r="Q555" t="s">
        <v>1374</v>
      </c>
    </row>
    <row r="556" spans="1:17" ht="24" customHeight="1" x14ac:dyDescent="0.3">
      <c r="A556" t="s">
        <v>20</v>
      </c>
      <c r="B556" t="s">
        <v>121</v>
      </c>
      <c r="C556">
        <v>32</v>
      </c>
      <c r="D556" t="s">
        <v>1375</v>
      </c>
      <c r="E556" t="s">
        <v>1376</v>
      </c>
      <c r="F556">
        <v>27</v>
      </c>
      <c r="G556" t="s">
        <v>654</v>
      </c>
      <c r="H556" s="19">
        <v>160000</v>
      </c>
      <c r="I556" s="19">
        <f t="shared" si="83"/>
        <v>4320000</v>
      </c>
      <c r="J556" s="19">
        <v>60000</v>
      </c>
      <c r="K556" s="19">
        <f t="shared" si="84"/>
        <v>1620000</v>
      </c>
      <c r="L556" s="19">
        <v>6000</v>
      </c>
      <c r="M556" s="19">
        <f t="shared" si="85"/>
        <v>162000</v>
      </c>
      <c r="N556" s="19">
        <f t="shared" si="86"/>
        <v>226000</v>
      </c>
      <c r="O556" s="19">
        <f t="shared" si="87"/>
        <v>6102000</v>
      </c>
      <c r="Q556" t="s">
        <v>1374</v>
      </c>
    </row>
    <row r="557" spans="1:17" ht="24" customHeight="1" x14ac:dyDescent="0.3">
      <c r="A557" t="s">
        <v>20</v>
      </c>
      <c r="B557" t="s">
        <v>121</v>
      </c>
      <c r="C557">
        <v>33</v>
      </c>
      <c r="D557" t="s">
        <v>1377</v>
      </c>
      <c r="E557" t="s">
        <v>1378</v>
      </c>
      <c r="F557">
        <v>11</v>
      </c>
      <c r="G557" t="s">
        <v>654</v>
      </c>
      <c r="H557" s="19">
        <v>420000</v>
      </c>
      <c r="I557" s="19">
        <f t="shared" ref="I557:I588" si="88">F557*H557</f>
        <v>4620000</v>
      </c>
      <c r="J557" s="19">
        <v>80000</v>
      </c>
      <c r="K557" s="19">
        <f t="shared" ref="K557:K588" si="89">F557*J557</f>
        <v>880000</v>
      </c>
      <c r="L557" s="19">
        <v>8000</v>
      </c>
      <c r="M557" s="19">
        <f t="shared" ref="M557:M588" si="90">F557*L557</f>
        <v>88000</v>
      </c>
      <c r="N557" s="19">
        <f t="shared" ref="N557:N588" si="91">H557+J557+L557</f>
        <v>508000</v>
      </c>
      <c r="O557" s="19">
        <f t="shared" ref="O557:O588" si="92">I557+K557+M557</f>
        <v>5588000</v>
      </c>
      <c r="Q557" t="s">
        <v>1374</v>
      </c>
    </row>
    <row r="558" spans="1:17" ht="24" customHeight="1" x14ac:dyDescent="0.3">
      <c r="A558" t="s">
        <v>20</v>
      </c>
      <c r="B558" t="s">
        <v>121</v>
      </c>
      <c r="C558">
        <v>34</v>
      </c>
      <c r="D558" t="s">
        <v>1379</v>
      </c>
      <c r="E558" t="s">
        <v>1380</v>
      </c>
      <c r="F558">
        <v>3</v>
      </c>
      <c r="G558" t="s">
        <v>654</v>
      </c>
      <c r="H558" s="19">
        <v>380000</v>
      </c>
      <c r="I558" s="19">
        <f t="shared" si="88"/>
        <v>1140000</v>
      </c>
      <c r="J558" s="19">
        <v>80000</v>
      </c>
      <c r="K558" s="19">
        <f t="shared" si="89"/>
        <v>240000</v>
      </c>
      <c r="L558" s="19">
        <v>8000</v>
      </c>
      <c r="M558" s="19">
        <f t="shared" si="90"/>
        <v>24000</v>
      </c>
      <c r="N558" s="19">
        <f t="shared" si="91"/>
        <v>468000</v>
      </c>
      <c r="O558" s="19">
        <f t="shared" si="92"/>
        <v>1404000</v>
      </c>
      <c r="Q558" t="s">
        <v>1374</v>
      </c>
    </row>
    <row r="559" spans="1:17" ht="24" customHeight="1" x14ac:dyDescent="0.3">
      <c r="A559" t="s">
        <v>20</v>
      </c>
      <c r="B559" t="s">
        <v>121</v>
      </c>
      <c r="C559">
        <v>35</v>
      </c>
      <c r="D559" t="s">
        <v>1381</v>
      </c>
      <c r="E559" t="s">
        <v>1382</v>
      </c>
      <c r="F559">
        <v>14</v>
      </c>
      <c r="G559" t="s">
        <v>654</v>
      </c>
      <c r="H559" s="19">
        <v>160000</v>
      </c>
      <c r="I559" s="19">
        <f t="shared" si="88"/>
        <v>2240000</v>
      </c>
      <c r="J559" s="19">
        <v>50000</v>
      </c>
      <c r="K559" s="19">
        <f t="shared" si="89"/>
        <v>700000</v>
      </c>
      <c r="L559" s="19">
        <v>5000</v>
      </c>
      <c r="M559" s="19">
        <f t="shared" si="90"/>
        <v>70000</v>
      </c>
      <c r="N559" s="19">
        <f t="shared" si="91"/>
        <v>215000</v>
      </c>
      <c r="O559" s="19">
        <f t="shared" si="92"/>
        <v>3010000</v>
      </c>
      <c r="Q559" t="s">
        <v>1374</v>
      </c>
    </row>
    <row r="560" spans="1:17" ht="24" customHeight="1" x14ac:dyDescent="0.3">
      <c r="A560" t="s">
        <v>20</v>
      </c>
      <c r="B560" t="s">
        <v>121</v>
      </c>
      <c r="C560">
        <v>36</v>
      </c>
      <c r="D560" t="s">
        <v>1383</v>
      </c>
      <c r="E560" t="s">
        <v>1384</v>
      </c>
      <c r="F560">
        <v>5</v>
      </c>
      <c r="G560" t="s">
        <v>654</v>
      </c>
      <c r="H560" s="19">
        <v>100000</v>
      </c>
      <c r="I560" s="19">
        <f t="shared" si="88"/>
        <v>500000</v>
      </c>
      <c r="J560" s="19">
        <v>50000</v>
      </c>
      <c r="K560" s="19">
        <f t="shared" si="89"/>
        <v>250000</v>
      </c>
      <c r="L560" s="19">
        <v>5000</v>
      </c>
      <c r="M560" s="19">
        <f t="shared" si="90"/>
        <v>25000</v>
      </c>
      <c r="N560" s="19">
        <f t="shared" si="91"/>
        <v>155000</v>
      </c>
      <c r="O560" s="19">
        <f t="shared" si="92"/>
        <v>775000</v>
      </c>
      <c r="Q560" t="s">
        <v>1374</v>
      </c>
    </row>
    <row r="561" spans="1:17" ht="24" customHeight="1" x14ac:dyDescent="0.3">
      <c r="A561" t="s">
        <v>20</v>
      </c>
      <c r="B561" t="s">
        <v>121</v>
      </c>
      <c r="C561">
        <v>37</v>
      </c>
      <c r="D561" t="s">
        <v>1385</v>
      </c>
      <c r="E561" t="s">
        <v>1384</v>
      </c>
      <c r="F561">
        <v>6</v>
      </c>
      <c r="G561" t="s">
        <v>654</v>
      </c>
      <c r="H561" s="19">
        <v>120000</v>
      </c>
      <c r="I561" s="19">
        <f t="shared" si="88"/>
        <v>720000</v>
      </c>
      <c r="J561" s="19">
        <v>50000</v>
      </c>
      <c r="K561" s="19">
        <f t="shared" si="89"/>
        <v>300000</v>
      </c>
      <c r="L561" s="19">
        <v>5000</v>
      </c>
      <c r="M561" s="19">
        <f t="shared" si="90"/>
        <v>30000</v>
      </c>
      <c r="N561" s="19">
        <f t="shared" si="91"/>
        <v>175000</v>
      </c>
      <c r="O561" s="19">
        <f t="shared" si="92"/>
        <v>1050000</v>
      </c>
      <c r="Q561" t="s">
        <v>1374</v>
      </c>
    </row>
    <row r="562" spans="1:17" ht="24" customHeight="1" x14ac:dyDescent="0.3">
      <c r="A562" t="s">
        <v>20</v>
      </c>
      <c r="B562" t="s">
        <v>121</v>
      </c>
      <c r="C562">
        <v>38</v>
      </c>
      <c r="D562" t="s">
        <v>1430</v>
      </c>
      <c r="E562" t="s">
        <v>1387</v>
      </c>
      <c r="F562">
        <v>6</v>
      </c>
      <c r="G562" t="s">
        <v>654</v>
      </c>
      <c r="H562" s="19">
        <v>100000</v>
      </c>
      <c r="I562" s="19">
        <f t="shared" si="88"/>
        <v>600000</v>
      </c>
      <c r="J562" s="19">
        <v>50000</v>
      </c>
      <c r="K562" s="19">
        <f t="shared" si="89"/>
        <v>300000</v>
      </c>
      <c r="L562" s="19">
        <v>5000</v>
      </c>
      <c r="M562" s="19">
        <f t="shared" si="90"/>
        <v>30000</v>
      </c>
      <c r="N562" s="19">
        <f t="shared" si="91"/>
        <v>155000</v>
      </c>
      <c r="O562" s="19">
        <f t="shared" si="92"/>
        <v>930000</v>
      </c>
      <c r="Q562" t="s">
        <v>1374</v>
      </c>
    </row>
    <row r="563" spans="1:17" ht="24" customHeight="1" x14ac:dyDescent="0.3">
      <c r="A563" t="s">
        <v>20</v>
      </c>
      <c r="B563" t="s">
        <v>121</v>
      </c>
      <c r="C563">
        <v>39</v>
      </c>
      <c r="D563" t="s">
        <v>1431</v>
      </c>
      <c r="E563" t="s">
        <v>1387</v>
      </c>
      <c r="F563">
        <v>5</v>
      </c>
      <c r="G563" t="s">
        <v>654</v>
      </c>
      <c r="H563" s="19">
        <v>130000</v>
      </c>
      <c r="I563" s="19">
        <f t="shared" si="88"/>
        <v>650000</v>
      </c>
      <c r="J563" s="19">
        <v>50000</v>
      </c>
      <c r="K563" s="19">
        <f t="shared" si="89"/>
        <v>250000</v>
      </c>
      <c r="L563" s="19">
        <v>5000</v>
      </c>
      <c r="M563" s="19">
        <f t="shared" si="90"/>
        <v>25000</v>
      </c>
      <c r="N563" s="19">
        <f t="shared" si="91"/>
        <v>185000</v>
      </c>
      <c r="O563" s="19">
        <f t="shared" si="92"/>
        <v>925000</v>
      </c>
      <c r="Q563" t="s">
        <v>1374</v>
      </c>
    </row>
    <row r="564" spans="1:17" ht="24" customHeight="1" x14ac:dyDescent="0.3">
      <c r="A564" t="s">
        <v>20</v>
      </c>
      <c r="B564" t="s">
        <v>121</v>
      </c>
      <c r="C564">
        <v>40</v>
      </c>
      <c r="D564" t="s">
        <v>1432</v>
      </c>
      <c r="E564" t="s">
        <v>1387</v>
      </c>
      <c r="F564">
        <v>5</v>
      </c>
      <c r="G564" t="s">
        <v>654</v>
      </c>
      <c r="H564" s="19">
        <v>100000</v>
      </c>
      <c r="I564" s="19">
        <f t="shared" si="88"/>
        <v>500000</v>
      </c>
      <c r="J564" s="19">
        <v>40000</v>
      </c>
      <c r="K564" s="19">
        <f t="shared" si="89"/>
        <v>200000</v>
      </c>
      <c r="L564" s="19">
        <v>5000</v>
      </c>
      <c r="M564" s="19">
        <f t="shared" si="90"/>
        <v>25000</v>
      </c>
      <c r="N564" s="19">
        <f t="shared" si="91"/>
        <v>145000</v>
      </c>
      <c r="O564" s="19">
        <f t="shared" si="92"/>
        <v>725000</v>
      </c>
      <c r="Q564" t="s">
        <v>1374</v>
      </c>
    </row>
    <row r="565" spans="1:17" ht="24" customHeight="1" x14ac:dyDescent="0.3">
      <c r="A565" t="s">
        <v>20</v>
      </c>
      <c r="B565" t="s">
        <v>121</v>
      </c>
      <c r="C565">
        <v>41</v>
      </c>
      <c r="D565" t="s">
        <v>1433</v>
      </c>
      <c r="E565" t="s">
        <v>1389</v>
      </c>
      <c r="F565">
        <v>160</v>
      </c>
      <c r="G565" t="s">
        <v>654</v>
      </c>
      <c r="H565" s="19">
        <v>2000</v>
      </c>
      <c r="I565" s="19">
        <f t="shared" si="88"/>
        <v>320000</v>
      </c>
      <c r="J565" s="19">
        <v>2000</v>
      </c>
      <c r="K565" s="19">
        <f t="shared" si="89"/>
        <v>320000</v>
      </c>
      <c r="L565" s="19">
        <v>0</v>
      </c>
      <c r="M565" s="19">
        <f t="shared" si="90"/>
        <v>0</v>
      </c>
      <c r="N565" s="19">
        <f t="shared" si="91"/>
        <v>4000</v>
      </c>
      <c r="O565" s="19">
        <f t="shared" si="92"/>
        <v>640000</v>
      </c>
      <c r="Q565" t="s">
        <v>1374</v>
      </c>
    </row>
    <row r="566" spans="1:17" ht="24" customHeight="1" x14ac:dyDescent="0.3">
      <c r="A566" t="s">
        <v>20</v>
      </c>
      <c r="B566" t="s">
        <v>121</v>
      </c>
      <c r="C566">
        <v>42</v>
      </c>
      <c r="D566" t="s">
        <v>1434</v>
      </c>
      <c r="E566" t="s">
        <v>1389</v>
      </c>
      <c r="F566">
        <v>800</v>
      </c>
      <c r="G566" t="s">
        <v>654</v>
      </c>
      <c r="H566" s="19">
        <v>2000</v>
      </c>
      <c r="I566" s="19">
        <f t="shared" si="88"/>
        <v>1600000</v>
      </c>
      <c r="J566" s="19">
        <v>2000</v>
      </c>
      <c r="K566" s="19">
        <f t="shared" si="89"/>
        <v>1600000</v>
      </c>
      <c r="L566" s="19">
        <v>0</v>
      </c>
      <c r="M566" s="19">
        <f t="shared" si="90"/>
        <v>0</v>
      </c>
      <c r="N566" s="19">
        <f t="shared" si="91"/>
        <v>4000</v>
      </c>
      <c r="O566" s="19">
        <f t="shared" si="92"/>
        <v>3200000</v>
      </c>
      <c r="Q566" t="s">
        <v>1374</v>
      </c>
    </row>
    <row r="567" spans="1:17" ht="24" customHeight="1" x14ac:dyDescent="0.3">
      <c r="A567" t="s">
        <v>20</v>
      </c>
      <c r="B567" t="s">
        <v>121</v>
      </c>
      <c r="C567">
        <v>43</v>
      </c>
      <c r="D567" t="s">
        <v>1435</v>
      </c>
      <c r="E567" t="s">
        <v>1389</v>
      </c>
      <c r="F567">
        <v>330</v>
      </c>
      <c r="G567" t="s">
        <v>654</v>
      </c>
      <c r="H567" s="19">
        <v>800</v>
      </c>
      <c r="I567" s="19">
        <f t="shared" si="88"/>
        <v>264000</v>
      </c>
      <c r="J567" s="19">
        <v>1200</v>
      </c>
      <c r="K567" s="19">
        <f t="shared" si="89"/>
        <v>396000</v>
      </c>
      <c r="L567" s="19">
        <v>0</v>
      </c>
      <c r="M567" s="19">
        <f t="shared" si="90"/>
        <v>0</v>
      </c>
      <c r="N567" s="19">
        <f t="shared" si="91"/>
        <v>2000</v>
      </c>
      <c r="O567" s="19">
        <f t="shared" si="92"/>
        <v>660000</v>
      </c>
      <c r="Q567" t="s">
        <v>1374</v>
      </c>
    </row>
    <row r="568" spans="1:17" ht="24" customHeight="1" x14ac:dyDescent="0.3">
      <c r="A568" t="s">
        <v>20</v>
      </c>
      <c r="B568" t="s">
        <v>121</v>
      </c>
      <c r="C568">
        <v>44</v>
      </c>
      <c r="D568" t="s">
        <v>1436</v>
      </c>
      <c r="E568" t="s">
        <v>1437</v>
      </c>
      <c r="F568">
        <v>720</v>
      </c>
      <c r="G568" t="s">
        <v>654</v>
      </c>
      <c r="H568" s="19">
        <v>1400</v>
      </c>
      <c r="I568" s="19">
        <f t="shared" si="88"/>
        <v>1008000</v>
      </c>
      <c r="J568" s="19">
        <v>1200</v>
      </c>
      <c r="K568" s="19">
        <f t="shared" si="89"/>
        <v>864000</v>
      </c>
      <c r="L568" s="19">
        <v>0</v>
      </c>
      <c r="M568" s="19">
        <f t="shared" si="90"/>
        <v>0</v>
      </c>
      <c r="N568" s="19">
        <f t="shared" si="91"/>
        <v>2600</v>
      </c>
      <c r="O568" s="19">
        <f t="shared" si="92"/>
        <v>1872000</v>
      </c>
      <c r="Q568" t="s">
        <v>1374</v>
      </c>
    </row>
    <row r="569" spans="1:17" ht="24" customHeight="1" x14ac:dyDescent="0.3">
      <c r="A569" t="s">
        <v>20</v>
      </c>
      <c r="B569" t="s">
        <v>121</v>
      </c>
      <c r="C569">
        <v>45</v>
      </c>
      <c r="D569" t="s">
        <v>1438</v>
      </c>
      <c r="E569" t="s">
        <v>1392</v>
      </c>
      <c r="F569">
        <v>1100</v>
      </c>
      <c r="G569" t="s">
        <v>165</v>
      </c>
      <c r="H569" s="19">
        <v>5000</v>
      </c>
      <c r="I569" s="19">
        <f t="shared" si="88"/>
        <v>5500000</v>
      </c>
      <c r="J569" s="19">
        <v>6000</v>
      </c>
      <c r="K569" s="19">
        <f t="shared" si="89"/>
        <v>6600000</v>
      </c>
      <c r="L569" s="19">
        <v>0</v>
      </c>
      <c r="M569" s="19">
        <f t="shared" si="90"/>
        <v>0</v>
      </c>
      <c r="N569" s="19">
        <f t="shared" si="91"/>
        <v>11000</v>
      </c>
      <c r="O569" s="19">
        <f t="shared" si="92"/>
        <v>12100000</v>
      </c>
      <c r="Q569" t="s">
        <v>1374</v>
      </c>
    </row>
    <row r="570" spans="1:17" ht="24" customHeight="1" x14ac:dyDescent="0.3">
      <c r="A570" t="s">
        <v>20</v>
      </c>
      <c r="B570" t="s">
        <v>121</v>
      </c>
      <c r="C570">
        <v>46</v>
      </c>
      <c r="D570" t="s">
        <v>1439</v>
      </c>
      <c r="E570" t="s">
        <v>1440</v>
      </c>
      <c r="F570">
        <v>1</v>
      </c>
      <c r="G570" t="s">
        <v>1395</v>
      </c>
      <c r="H570" s="19">
        <v>4300000</v>
      </c>
      <c r="I570" s="19">
        <f t="shared" si="88"/>
        <v>4300000</v>
      </c>
      <c r="J570" s="19">
        <v>250000</v>
      </c>
      <c r="K570" s="19">
        <f t="shared" si="89"/>
        <v>250000</v>
      </c>
      <c r="L570" s="19">
        <v>0</v>
      </c>
      <c r="M570" s="19">
        <f t="shared" si="90"/>
        <v>0</v>
      </c>
      <c r="N570" s="19">
        <f t="shared" si="91"/>
        <v>4550000</v>
      </c>
      <c r="O570" s="19">
        <f t="shared" si="92"/>
        <v>4550000</v>
      </c>
      <c r="Q570" t="s">
        <v>1374</v>
      </c>
    </row>
    <row r="571" spans="1:17" ht="24" customHeight="1" x14ac:dyDescent="0.3">
      <c r="A571" t="s">
        <v>20</v>
      </c>
      <c r="B571" t="s">
        <v>121</v>
      </c>
      <c r="C571">
        <v>47</v>
      </c>
      <c r="D571" t="s">
        <v>1441</v>
      </c>
      <c r="E571" t="s">
        <v>1442</v>
      </c>
      <c r="F571">
        <v>1</v>
      </c>
      <c r="G571" t="s">
        <v>1395</v>
      </c>
      <c r="H571" s="19">
        <v>4500000</v>
      </c>
      <c r="I571" s="19">
        <f t="shared" si="88"/>
        <v>4500000</v>
      </c>
      <c r="J571" s="19">
        <v>250000</v>
      </c>
      <c r="K571" s="19">
        <f t="shared" si="89"/>
        <v>250000</v>
      </c>
      <c r="L571" s="19">
        <v>0</v>
      </c>
      <c r="M571" s="19">
        <f t="shared" si="90"/>
        <v>0</v>
      </c>
      <c r="N571" s="19">
        <f t="shared" si="91"/>
        <v>4750000</v>
      </c>
      <c r="O571" s="19">
        <f t="shared" si="92"/>
        <v>4750000</v>
      </c>
      <c r="Q571" t="s">
        <v>1374</v>
      </c>
    </row>
    <row r="572" spans="1:17" ht="24" customHeight="1" x14ac:dyDescent="0.3">
      <c r="A572" t="s">
        <v>20</v>
      </c>
      <c r="B572" t="s">
        <v>121</v>
      </c>
      <c r="C572">
        <v>48</v>
      </c>
      <c r="D572" t="s">
        <v>1443</v>
      </c>
      <c r="E572" t="s">
        <v>1444</v>
      </c>
      <c r="F572">
        <v>1</v>
      </c>
      <c r="G572" t="s">
        <v>1395</v>
      </c>
      <c r="H572" s="19">
        <v>4100000</v>
      </c>
      <c r="I572" s="19">
        <f t="shared" si="88"/>
        <v>4100000</v>
      </c>
      <c r="J572" s="19">
        <v>250000</v>
      </c>
      <c r="K572" s="19">
        <f t="shared" si="89"/>
        <v>250000</v>
      </c>
      <c r="L572" s="19">
        <v>0</v>
      </c>
      <c r="M572" s="19">
        <f t="shared" si="90"/>
        <v>0</v>
      </c>
      <c r="N572" s="19">
        <f t="shared" si="91"/>
        <v>4350000</v>
      </c>
      <c r="O572" s="19">
        <f t="shared" si="92"/>
        <v>4350000</v>
      </c>
      <c r="Q572" t="s">
        <v>1374</v>
      </c>
    </row>
    <row r="573" spans="1:17" ht="24" customHeight="1" x14ac:dyDescent="0.3">
      <c r="A573" t="s">
        <v>20</v>
      </c>
      <c r="B573" t="s">
        <v>121</v>
      </c>
      <c r="C573">
        <v>49</v>
      </c>
      <c r="D573" t="s">
        <v>1445</v>
      </c>
      <c r="E573" t="s">
        <v>1446</v>
      </c>
      <c r="F573">
        <v>1</v>
      </c>
      <c r="G573" t="s">
        <v>233</v>
      </c>
      <c r="H573" s="19">
        <v>15000000</v>
      </c>
      <c r="I573" s="19">
        <f t="shared" si="88"/>
        <v>15000000</v>
      </c>
      <c r="J573" s="19">
        <v>600000</v>
      </c>
      <c r="K573" s="19">
        <f t="shared" si="89"/>
        <v>600000</v>
      </c>
      <c r="L573" s="19">
        <v>0</v>
      </c>
      <c r="M573" s="19">
        <f t="shared" si="90"/>
        <v>0</v>
      </c>
      <c r="N573" s="19">
        <f t="shared" si="91"/>
        <v>15600000</v>
      </c>
      <c r="O573" s="19">
        <f t="shared" si="92"/>
        <v>15600000</v>
      </c>
      <c r="Q573" t="s">
        <v>1374</v>
      </c>
    </row>
    <row r="574" spans="1:17" ht="24" customHeight="1" x14ac:dyDescent="0.3">
      <c r="A574" t="s">
        <v>20</v>
      </c>
      <c r="B574" t="s">
        <v>121</v>
      </c>
      <c r="C574">
        <v>50</v>
      </c>
      <c r="D574" t="s">
        <v>1447</v>
      </c>
      <c r="E574" t="s">
        <v>1448</v>
      </c>
      <c r="F574">
        <v>3</v>
      </c>
      <c r="G574" t="s">
        <v>1395</v>
      </c>
      <c r="H574" s="19">
        <v>500000</v>
      </c>
      <c r="I574" s="19">
        <f t="shared" si="88"/>
        <v>1500000</v>
      </c>
      <c r="J574" s="19">
        <v>0</v>
      </c>
      <c r="K574" s="19">
        <f t="shared" si="89"/>
        <v>0</v>
      </c>
      <c r="L574" s="19">
        <v>0</v>
      </c>
      <c r="M574" s="19">
        <f t="shared" si="90"/>
        <v>0</v>
      </c>
      <c r="N574" s="19">
        <f t="shared" si="91"/>
        <v>500000</v>
      </c>
      <c r="O574" s="19">
        <f t="shared" si="92"/>
        <v>1500000</v>
      </c>
      <c r="Q574" t="s">
        <v>1374</v>
      </c>
    </row>
    <row r="575" spans="1:17" ht="24" customHeight="1" x14ac:dyDescent="0.3">
      <c r="A575" t="s">
        <v>20</v>
      </c>
      <c r="B575" t="s">
        <v>121</v>
      </c>
      <c r="C575">
        <v>51</v>
      </c>
      <c r="D575" t="s">
        <v>1404</v>
      </c>
      <c r="E575" t="s">
        <v>1405</v>
      </c>
      <c r="F575">
        <v>4</v>
      </c>
      <c r="G575" t="s">
        <v>1395</v>
      </c>
      <c r="H575" s="19">
        <v>750000</v>
      </c>
      <c r="I575" s="19">
        <f t="shared" si="88"/>
        <v>3000000</v>
      </c>
      <c r="J575" s="19">
        <v>0</v>
      </c>
      <c r="K575" s="19">
        <f t="shared" si="89"/>
        <v>0</v>
      </c>
      <c r="L575" s="19">
        <v>0</v>
      </c>
      <c r="M575" s="19">
        <f t="shared" si="90"/>
        <v>0</v>
      </c>
      <c r="N575" s="19">
        <f t="shared" si="91"/>
        <v>750000</v>
      </c>
      <c r="O575" s="19">
        <f t="shared" si="92"/>
        <v>3000000</v>
      </c>
      <c r="Q575" t="s">
        <v>1374</v>
      </c>
    </row>
    <row r="576" spans="1:17" ht="24" customHeight="1" x14ac:dyDescent="0.3">
      <c r="A576" t="s">
        <v>20</v>
      </c>
      <c r="B576" t="s">
        <v>121</v>
      </c>
      <c r="C576">
        <v>52</v>
      </c>
      <c r="D576" t="s">
        <v>1406</v>
      </c>
      <c r="E576" t="s">
        <v>1407</v>
      </c>
      <c r="F576">
        <v>3</v>
      </c>
      <c r="G576" t="s">
        <v>1395</v>
      </c>
      <c r="H576" s="19">
        <v>3200000</v>
      </c>
      <c r="I576" s="19">
        <f t="shared" si="88"/>
        <v>9600000</v>
      </c>
      <c r="J576" s="19">
        <v>200000</v>
      </c>
      <c r="K576" s="19">
        <f t="shared" si="89"/>
        <v>600000</v>
      </c>
      <c r="L576" s="19">
        <v>0</v>
      </c>
      <c r="M576" s="19">
        <f t="shared" si="90"/>
        <v>0</v>
      </c>
      <c r="N576" s="19">
        <f t="shared" si="91"/>
        <v>3400000</v>
      </c>
      <c r="O576" s="19">
        <f t="shared" si="92"/>
        <v>10200000</v>
      </c>
      <c r="Q576" t="s">
        <v>1374</v>
      </c>
    </row>
    <row r="577" spans="1:17" ht="24" customHeight="1" x14ac:dyDescent="0.3">
      <c r="A577" t="s">
        <v>20</v>
      </c>
      <c r="B577" t="s">
        <v>121</v>
      </c>
      <c r="C577">
        <v>53</v>
      </c>
      <c r="D577" t="s">
        <v>1449</v>
      </c>
      <c r="E577" t="s">
        <v>1407</v>
      </c>
      <c r="F577">
        <v>23</v>
      </c>
      <c r="G577" t="s">
        <v>418</v>
      </c>
      <c r="H577" s="19">
        <v>220000</v>
      </c>
      <c r="I577" s="19">
        <f t="shared" si="88"/>
        <v>5060000</v>
      </c>
      <c r="J577" s="19">
        <v>5000</v>
      </c>
      <c r="K577" s="19">
        <f t="shared" si="89"/>
        <v>115000</v>
      </c>
      <c r="L577" s="19">
        <v>0</v>
      </c>
      <c r="M577" s="19">
        <f t="shared" si="90"/>
        <v>0</v>
      </c>
      <c r="N577" s="19">
        <f t="shared" si="91"/>
        <v>225000</v>
      </c>
      <c r="O577" s="19">
        <f t="shared" si="92"/>
        <v>5175000</v>
      </c>
      <c r="Q577" t="s">
        <v>1374</v>
      </c>
    </row>
    <row r="578" spans="1:17" ht="24" customHeight="1" x14ac:dyDescent="0.3">
      <c r="A578" t="s">
        <v>20</v>
      </c>
      <c r="B578" t="s">
        <v>121</v>
      </c>
      <c r="C578">
        <v>54</v>
      </c>
      <c r="D578" t="s">
        <v>1408</v>
      </c>
      <c r="E578" t="s">
        <v>1409</v>
      </c>
      <c r="F578">
        <v>122</v>
      </c>
      <c r="G578" t="s">
        <v>165</v>
      </c>
      <c r="H578" s="19">
        <v>45000</v>
      </c>
      <c r="I578" s="19">
        <f t="shared" si="88"/>
        <v>5490000</v>
      </c>
      <c r="J578" s="19">
        <v>15000</v>
      </c>
      <c r="K578" s="19">
        <f t="shared" si="89"/>
        <v>1830000</v>
      </c>
      <c r="L578" s="19">
        <v>0</v>
      </c>
      <c r="M578" s="19">
        <f t="shared" si="90"/>
        <v>0</v>
      </c>
      <c r="N578" s="19">
        <f t="shared" si="91"/>
        <v>60000</v>
      </c>
      <c r="O578" s="19">
        <f t="shared" si="92"/>
        <v>7320000</v>
      </c>
      <c r="Q578" t="s">
        <v>1374</v>
      </c>
    </row>
    <row r="579" spans="1:17" ht="24" customHeight="1" x14ac:dyDescent="0.3">
      <c r="A579" t="s">
        <v>20</v>
      </c>
      <c r="B579" t="s">
        <v>121</v>
      </c>
      <c r="C579">
        <v>55</v>
      </c>
      <c r="D579" t="s">
        <v>1410</v>
      </c>
      <c r="E579" t="s">
        <v>1411</v>
      </c>
      <c r="F579">
        <v>21</v>
      </c>
      <c r="G579" t="s">
        <v>165</v>
      </c>
      <c r="H579" s="19">
        <v>65000</v>
      </c>
      <c r="I579" s="19">
        <f t="shared" si="88"/>
        <v>1365000</v>
      </c>
      <c r="J579" s="19">
        <v>18000</v>
      </c>
      <c r="K579" s="19">
        <f t="shared" si="89"/>
        <v>378000</v>
      </c>
      <c r="L579" s="19">
        <v>0</v>
      </c>
      <c r="M579" s="19">
        <f t="shared" si="90"/>
        <v>0</v>
      </c>
      <c r="N579" s="19">
        <f t="shared" si="91"/>
        <v>83000</v>
      </c>
      <c r="O579" s="19">
        <f t="shared" si="92"/>
        <v>1743000</v>
      </c>
      <c r="Q579" t="s">
        <v>1374</v>
      </c>
    </row>
    <row r="580" spans="1:17" ht="24" customHeight="1" x14ac:dyDescent="0.3">
      <c r="A580" t="s">
        <v>20</v>
      </c>
      <c r="B580" t="s">
        <v>121</v>
      </c>
      <c r="C580">
        <v>56</v>
      </c>
      <c r="D580" t="s">
        <v>1412</v>
      </c>
      <c r="E580" t="s">
        <v>1413</v>
      </c>
      <c r="F580">
        <v>169</v>
      </c>
      <c r="G580" t="s">
        <v>165</v>
      </c>
      <c r="H580" s="19">
        <v>120000</v>
      </c>
      <c r="I580" s="19">
        <f t="shared" si="88"/>
        <v>20280000</v>
      </c>
      <c r="J580" s="19">
        <v>30000</v>
      </c>
      <c r="K580" s="19">
        <f t="shared" si="89"/>
        <v>5070000</v>
      </c>
      <c r="L580" s="19">
        <v>0</v>
      </c>
      <c r="M580" s="19">
        <f t="shared" si="90"/>
        <v>0</v>
      </c>
      <c r="N580" s="19">
        <f t="shared" si="91"/>
        <v>150000</v>
      </c>
      <c r="O580" s="19">
        <f t="shared" si="92"/>
        <v>25350000</v>
      </c>
      <c r="Q580" t="s">
        <v>1374</v>
      </c>
    </row>
    <row r="581" spans="1:17" ht="24" customHeight="1" x14ac:dyDescent="0.3">
      <c r="A581" t="s">
        <v>20</v>
      </c>
      <c r="B581" t="s">
        <v>121</v>
      </c>
      <c r="C581">
        <v>57</v>
      </c>
      <c r="D581" t="s">
        <v>1414</v>
      </c>
      <c r="E581" t="s">
        <v>1415</v>
      </c>
      <c r="F581">
        <v>225</v>
      </c>
      <c r="G581" t="s">
        <v>199</v>
      </c>
      <c r="H581" s="19">
        <v>5000</v>
      </c>
      <c r="I581" s="19">
        <f t="shared" si="88"/>
        <v>1125000</v>
      </c>
      <c r="J581" s="19">
        <v>5000</v>
      </c>
      <c r="K581" s="19">
        <f t="shared" si="89"/>
        <v>1125000</v>
      </c>
      <c r="L581" s="19">
        <v>0</v>
      </c>
      <c r="M581" s="19">
        <f t="shared" si="90"/>
        <v>0</v>
      </c>
      <c r="N581" s="19">
        <f t="shared" si="91"/>
        <v>10000</v>
      </c>
      <c r="O581" s="19">
        <f t="shared" si="92"/>
        <v>2250000</v>
      </c>
      <c r="Q581" t="s">
        <v>1374</v>
      </c>
    </row>
    <row r="582" spans="1:17" ht="24" customHeight="1" x14ac:dyDescent="0.3">
      <c r="A582" t="s">
        <v>20</v>
      </c>
      <c r="B582" t="s">
        <v>121</v>
      </c>
      <c r="C582">
        <v>58</v>
      </c>
      <c r="D582" t="s">
        <v>1450</v>
      </c>
      <c r="E582" t="s">
        <v>1419</v>
      </c>
      <c r="F582">
        <v>243</v>
      </c>
      <c r="G582" t="s">
        <v>199</v>
      </c>
      <c r="H582" s="19">
        <v>45000</v>
      </c>
      <c r="I582" s="19">
        <f t="shared" si="88"/>
        <v>10935000</v>
      </c>
      <c r="J582" s="19">
        <v>18000</v>
      </c>
      <c r="K582" s="19">
        <f t="shared" si="89"/>
        <v>4374000</v>
      </c>
      <c r="L582" s="19">
        <v>0</v>
      </c>
      <c r="M582" s="19">
        <f t="shared" si="90"/>
        <v>0</v>
      </c>
      <c r="N582" s="19">
        <f t="shared" si="91"/>
        <v>63000</v>
      </c>
      <c r="O582" s="19">
        <f t="shared" si="92"/>
        <v>15309000</v>
      </c>
      <c r="Q582" t="s">
        <v>1374</v>
      </c>
    </row>
    <row r="583" spans="1:17" ht="24" customHeight="1" x14ac:dyDescent="0.3">
      <c r="A583" t="s">
        <v>20</v>
      </c>
      <c r="B583" t="s">
        <v>121</v>
      </c>
      <c r="C583">
        <v>59</v>
      </c>
      <c r="D583" t="s">
        <v>1451</v>
      </c>
      <c r="E583" t="s">
        <v>1421</v>
      </c>
      <c r="F583">
        <v>29</v>
      </c>
      <c r="G583" t="s">
        <v>199</v>
      </c>
      <c r="H583" s="19">
        <v>50000</v>
      </c>
      <c r="I583" s="19">
        <f t="shared" si="88"/>
        <v>1450000</v>
      </c>
      <c r="J583" s="19">
        <v>18000</v>
      </c>
      <c r="K583" s="19">
        <f t="shared" si="89"/>
        <v>522000</v>
      </c>
      <c r="L583" s="19">
        <v>0</v>
      </c>
      <c r="M583" s="19">
        <f t="shared" si="90"/>
        <v>0</v>
      </c>
      <c r="N583" s="19">
        <f t="shared" si="91"/>
        <v>68000</v>
      </c>
      <c r="O583" s="19">
        <f t="shared" si="92"/>
        <v>1972000</v>
      </c>
      <c r="Q583" t="s">
        <v>1374</v>
      </c>
    </row>
    <row r="584" spans="1:17" ht="24" customHeight="1" x14ac:dyDescent="0.3">
      <c r="A584" t="s">
        <v>20</v>
      </c>
      <c r="B584" t="s">
        <v>121</v>
      </c>
      <c r="C584">
        <v>60</v>
      </c>
      <c r="D584" t="s">
        <v>1422</v>
      </c>
      <c r="E584" t="s">
        <v>1423</v>
      </c>
      <c r="F584">
        <v>8</v>
      </c>
      <c r="G584" t="s">
        <v>1395</v>
      </c>
      <c r="H584" s="19">
        <v>600000</v>
      </c>
      <c r="I584" s="19">
        <f t="shared" si="88"/>
        <v>4800000</v>
      </c>
      <c r="J584" s="19">
        <v>100000</v>
      </c>
      <c r="K584" s="19">
        <f t="shared" si="89"/>
        <v>800000</v>
      </c>
      <c r="L584" s="19">
        <v>0</v>
      </c>
      <c r="M584" s="19">
        <f t="shared" si="90"/>
        <v>0</v>
      </c>
      <c r="N584" s="19">
        <f t="shared" si="91"/>
        <v>700000</v>
      </c>
      <c r="O584" s="19">
        <f t="shared" si="92"/>
        <v>5600000</v>
      </c>
      <c r="Q584" t="s">
        <v>1374</v>
      </c>
    </row>
    <row r="585" spans="1:17" ht="24" customHeight="1" x14ac:dyDescent="0.3">
      <c r="A585" t="s">
        <v>20</v>
      </c>
      <c r="B585" t="s">
        <v>121</v>
      </c>
      <c r="C585">
        <v>61</v>
      </c>
      <c r="D585" t="s">
        <v>1424</v>
      </c>
      <c r="E585" t="s">
        <v>898</v>
      </c>
      <c r="F585">
        <v>20</v>
      </c>
      <c r="G585" t="s">
        <v>1425</v>
      </c>
      <c r="H585" s="19">
        <v>25000</v>
      </c>
      <c r="I585" s="19">
        <f t="shared" si="88"/>
        <v>500000</v>
      </c>
      <c r="J585" s="19">
        <v>10000</v>
      </c>
      <c r="K585" s="19">
        <f t="shared" si="89"/>
        <v>200000</v>
      </c>
      <c r="L585" s="19">
        <v>0</v>
      </c>
      <c r="M585" s="19">
        <f t="shared" si="90"/>
        <v>0</v>
      </c>
      <c r="N585" s="19">
        <f t="shared" si="91"/>
        <v>35000</v>
      </c>
      <c r="O585" s="19">
        <f t="shared" si="92"/>
        <v>700000</v>
      </c>
      <c r="Q585" t="s">
        <v>1374</v>
      </c>
    </row>
    <row r="586" spans="1:17" ht="24" customHeight="1" x14ac:dyDescent="0.3">
      <c r="A586" t="s">
        <v>20</v>
      </c>
      <c r="B586" t="s">
        <v>121</v>
      </c>
      <c r="C586">
        <v>62</v>
      </c>
      <c r="D586" t="s">
        <v>1426</v>
      </c>
      <c r="E586" t="s">
        <v>895</v>
      </c>
      <c r="F586">
        <v>82</v>
      </c>
      <c r="G586" t="s">
        <v>1425</v>
      </c>
      <c r="H586" s="19">
        <v>15000</v>
      </c>
      <c r="I586" s="19">
        <f t="shared" si="88"/>
        <v>1230000</v>
      </c>
      <c r="J586" s="19">
        <v>10000</v>
      </c>
      <c r="K586" s="19">
        <f t="shared" si="89"/>
        <v>820000</v>
      </c>
      <c r="L586" s="19">
        <v>0</v>
      </c>
      <c r="M586" s="19">
        <f t="shared" si="90"/>
        <v>0</v>
      </c>
      <c r="N586" s="19">
        <f t="shared" si="91"/>
        <v>25000</v>
      </c>
      <c r="O586" s="19">
        <f t="shared" si="92"/>
        <v>2050000</v>
      </c>
      <c r="Q586" t="s">
        <v>1374</v>
      </c>
    </row>
    <row r="587" spans="1:17" ht="24" customHeight="1" x14ac:dyDescent="0.3">
      <c r="A587" t="s">
        <v>20</v>
      </c>
      <c r="B587" t="s">
        <v>121</v>
      </c>
      <c r="C587">
        <v>63</v>
      </c>
      <c r="D587" t="s">
        <v>1427</v>
      </c>
      <c r="E587" t="s">
        <v>898</v>
      </c>
      <c r="F587">
        <v>88</v>
      </c>
      <c r="G587" t="s">
        <v>199</v>
      </c>
      <c r="H587" s="19">
        <v>32000</v>
      </c>
      <c r="I587" s="19">
        <f t="shared" si="88"/>
        <v>2816000</v>
      </c>
      <c r="J587" s="19">
        <v>20000</v>
      </c>
      <c r="K587" s="19">
        <f t="shared" si="89"/>
        <v>1760000</v>
      </c>
      <c r="L587" s="19">
        <v>0</v>
      </c>
      <c r="M587" s="19">
        <f t="shared" si="90"/>
        <v>0</v>
      </c>
      <c r="N587" s="19">
        <f t="shared" si="91"/>
        <v>52000</v>
      </c>
      <c r="O587" s="19">
        <f t="shared" si="92"/>
        <v>4576000</v>
      </c>
      <c r="Q587" t="s">
        <v>1374</v>
      </c>
    </row>
    <row r="588" spans="1:17" ht="24" customHeight="1" x14ac:dyDescent="0.3">
      <c r="A588" t="s">
        <v>20</v>
      </c>
      <c r="B588" t="s">
        <v>121</v>
      </c>
      <c r="C588">
        <v>64</v>
      </c>
      <c r="D588" t="s">
        <v>1452</v>
      </c>
      <c r="E588" t="s">
        <v>1453</v>
      </c>
      <c r="F588">
        <v>55</v>
      </c>
      <c r="G588" t="s">
        <v>654</v>
      </c>
      <c r="H588" s="19">
        <v>55000</v>
      </c>
      <c r="I588" s="19">
        <f t="shared" si="88"/>
        <v>3025000</v>
      </c>
      <c r="J588" s="19">
        <v>550000</v>
      </c>
      <c r="K588" s="19">
        <f t="shared" si="89"/>
        <v>30250000</v>
      </c>
      <c r="L588" s="19">
        <v>60000</v>
      </c>
      <c r="M588" s="19">
        <f t="shared" si="90"/>
        <v>3300000</v>
      </c>
      <c r="N588" s="19">
        <f t="shared" si="91"/>
        <v>665000</v>
      </c>
      <c r="O588" s="19">
        <f t="shared" si="92"/>
        <v>36575000</v>
      </c>
      <c r="Q588" t="s">
        <v>1374</v>
      </c>
    </row>
    <row r="589" spans="1:17" ht="24" customHeight="1" x14ac:dyDescent="0.3">
      <c r="A589" t="s">
        <v>20</v>
      </c>
      <c r="B589" t="s">
        <v>121</v>
      </c>
      <c r="C589">
        <v>65</v>
      </c>
      <c r="D589" t="s">
        <v>1454</v>
      </c>
      <c r="E589" t="s">
        <v>1455</v>
      </c>
      <c r="F589">
        <v>5</v>
      </c>
      <c r="G589" t="s">
        <v>654</v>
      </c>
      <c r="H589" s="19">
        <v>50000</v>
      </c>
      <c r="I589" s="19">
        <f t="shared" ref="I589:I620" si="93">F589*H589</f>
        <v>250000</v>
      </c>
      <c r="J589" s="19">
        <v>500000</v>
      </c>
      <c r="K589" s="19">
        <f t="shared" ref="K589:K620" si="94">F589*J589</f>
        <v>2500000</v>
      </c>
      <c r="L589" s="19">
        <v>5000</v>
      </c>
      <c r="M589" s="19">
        <f t="shared" ref="M589:M620" si="95">F589*L589</f>
        <v>25000</v>
      </c>
      <c r="N589" s="19">
        <f t="shared" ref="N589:N604" si="96">H589+J589+L589</f>
        <v>555000</v>
      </c>
      <c r="O589" s="19">
        <f t="shared" ref="O589:O604" si="97">I589+K589+M589</f>
        <v>2775000</v>
      </c>
      <c r="Q589" t="s">
        <v>1374</v>
      </c>
    </row>
    <row r="590" spans="1:17" ht="24" customHeight="1" x14ac:dyDescent="0.3">
      <c r="A590" t="s">
        <v>20</v>
      </c>
      <c r="B590" t="s">
        <v>121</v>
      </c>
      <c r="C590">
        <v>66</v>
      </c>
      <c r="D590" t="s">
        <v>1456</v>
      </c>
      <c r="E590" t="s">
        <v>1376</v>
      </c>
      <c r="F590">
        <v>45</v>
      </c>
      <c r="G590" t="s">
        <v>654</v>
      </c>
      <c r="H590" s="19">
        <v>160000</v>
      </c>
      <c r="I590" s="19">
        <f t="shared" si="93"/>
        <v>7200000</v>
      </c>
      <c r="J590" s="19">
        <v>60000</v>
      </c>
      <c r="K590" s="19">
        <f t="shared" si="94"/>
        <v>2700000</v>
      </c>
      <c r="L590" s="19">
        <v>6000</v>
      </c>
      <c r="M590" s="19">
        <f t="shared" si="95"/>
        <v>270000</v>
      </c>
      <c r="N590" s="19">
        <f t="shared" si="96"/>
        <v>226000</v>
      </c>
      <c r="O590" s="19">
        <f t="shared" si="97"/>
        <v>10170000</v>
      </c>
      <c r="Q590" t="s">
        <v>1374</v>
      </c>
    </row>
    <row r="591" spans="1:17" ht="24" customHeight="1" x14ac:dyDescent="0.3">
      <c r="A591" t="s">
        <v>20</v>
      </c>
      <c r="B591" t="s">
        <v>121</v>
      </c>
      <c r="C591">
        <v>67</v>
      </c>
      <c r="D591" t="s">
        <v>1457</v>
      </c>
      <c r="E591" t="s">
        <v>1387</v>
      </c>
      <c r="F591">
        <v>35</v>
      </c>
      <c r="G591" t="s">
        <v>654</v>
      </c>
      <c r="H591" s="19">
        <v>130000</v>
      </c>
      <c r="I591" s="19">
        <f t="shared" si="93"/>
        <v>4550000</v>
      </c>
      <c r="J591" s="19">
        <v>50000</v>
      </c>
      <c r="K591" s="19">
        <f t="shared" si="94"/>
        <v>1750000</v>
      </c>
      <c r="L591" s="19">
        <v>5000</v>
      </c>
      <c r="M591" s="19">
        <f t="shared" si="95"/>
        <v>175000</v>
      </c>
      <c r="N591" s="19">
        <f t="shared" si="96"/>
        <v>185000</v>
      </c>
      <c r="O591" s="19">
        <f t="shared" si="97"/>
        <v>6475000</v>
      </c>
      <c r="Q591" t="s">
        <v>1374</v>
      </c>
    </row>
    <row r="592" spans="1:17" ht="24" customHeight="1" x14ac:dyDescent="0.3">
      <c r="A592" t="s">
        <v>20</v>
      </c>
      <c r="B592" t="s">
        <v>121</v>
      </c>
      <c r="C592">
        <v>68</v>
      </c>
      <c r="D592" t="s">
        <v>1458</v>
      </c>
      <c r="E592" t="s">
        <v>1384</v>
      </c>
      <c r="F592">
        <v>35</v>
      </c>
      <c r="G592" t="s">
        <v>654</v>
      </c>
      <c r="H592" s="19">
        <v>100000</v>
      </c>
      <c r="I592" s="19">
        <f t="shared" si="93"/>
        <v>3500000</v>
      </c>
      <c r="J592" s="19">
        <v>50000</v>
      </c>
      <c r="K592" s="19">
        <f t="shared" si="94"/>
        <v>1750000</v>
      </c>
      <c r="L592" s="19">
        <v>5000</v>
      </c>
      <c r="M592" s="19">
        <f t="shared" si="95"/>
        <v>175000</v>
      </c>
      <c r="N592" s="19">
        <f t="shared" si="96"/>
        <v>155000</v>
      </c>
      <c r="O592" s="19">
        <f t="shared" si="97"/>
        <v>5425000</v>
      </c>
      <c r="Q592" t="s">
        <v>1374</v>
      </c>
    </row>
    <row r="593" spans="1:17" ht="24" customHeight="1" x14ac:dyDescent="0.3">
      <c r="A593" t="s">
        <v>20</v>
      </c>
      <c r="B593" t="s">
        <v>121</v>
      </c>
      <c r="C593">
        <v>69</v>
      </c>
      <c r="D593" t="s">
        <v>1459</v>
      </c>
      <c r="E593" t="s">
        <v>1389</v>
      </c>
      <c r="F593">
        <v>1470</v>
      </c>
      <c r="G593" t="s">
        <v>654</v>
      </c>
      <c r="H593" s="19">
        <v>2000</v>
      </c>
      <c r="I593" s="19">
        <f t="shared" si="93"/>
        <v>2940000</v>
      </c>
      <c r="J593" s="19">
        <v>2000</v>
      </c>
      <c r="K593" s="19">
        <f t="shared" si="94"/>
        <v>2940000</v>
      </c>
      <c r="L593" s="19">
        <v>0</v>
      </c>
      <c r="M593" s="19">
        <f t="shared" si="95"/>
        <v>0</v>
      </c>
      <c r="N593" s="19">
        <f t="shared" si="96"/>
        <v>4000</v>
      </c>
      <c r="O593" s="19">
        <f t="shared" si="97"/>
        <v>5880000</v>
      </c>
      <c r="Q593" t="s">
        <v>1374</v>
      </c>
    </row>
    <row r="594" spans="1:17" ht="24" customHeight="1" x14ac:dyDescent="0.3">
      <c r="A594" t="s">
        <v>20</v>
      </c>
      <c r="B594" t="s">
        <v>121</v>
      </c>
      <c r="C594">
        <v>70</v>
      </c>
      <c r="D594" t="s">
        <v>1460</v>
      </c>
      <c r="E594" t="s">
        <v>167</v>
      </c>
      <c r="F594">
        <v>2900</v>
      </c>
      <c r="G594" t="s">
        <v>168</v>
      </c>
      <c r="H594" s="19">
        <v>5000</v>
      </c>
      <c r="I594" s="19">
        <f t="shared" si="93"/>
        <v>14500000</v>
      </c>
      <c r="J594" s="19">
        <v>6000</v>
      </c>
      <c r="K594" s="19">
        <f t="shared" si="94"/>
        <v>17400000</v>
      </c>
      <c r="L594" s="19">
        <v>0</v>
      </c>
      <c r="M594" s="19">
        <f t="shared" si="95"/>
        <v>0</v>
      </c>
      <c r="N594" s="19">
        <f t="shared" si="96"/>
        <v>11000</v>
      </c>
      <c r="O594" s="19">
        <f t="shared" si="97"/>
        <v>31900000</v>
      </c>
      <c r="Q594" t="s">
        <v>1374</v>
      </c>
    </row>
    <row r="595" spans="1:17" ht="24" customHeight="1" x14ac:dyDescent="0.3">
      <c r="A595" t="s">
        <v>20</v>
      </c>
      <c r="B595" t="s">
        <v>121</v>
      </c>
      <c r="C595">
        <v>71</v>
      </c>
      <c r="D595" t="s">
        <v>1452</v>
      </c>
      <c r="E595" t="s">
        <v>1461</v>
      </c>
      <c r="F595">
        <v>300</v>
      </c>
      <c r="G595" t="s">
        <v>654</v>
      </c>
      <c r="H595" s="19">
        <v>45000</v>
      </c>
      <c r="I595" s="19">
        <f t="shared" si="93"/>
        <v>13500000</v>
      </c>
      <c r="J595" s="19">
        <v>450000</v>
      </c>
      <c r="K595" s="19">
        <f t="shared" si="94"/>
        <v>135000000</v>
      </c>
      <c r="L595" s="19">
        <v>5000</v>
      </c>
      <c r="M595" s="19">
        <f t="shared" si="95"/>
        <v>1500000</v>
      </c>
      <c r="N595" s="19">
        <f t="shared" si="96"/>
        <v>500000</v>
      </c>
      <c r="O595" s="19">
        <f t="shared" si="97"/>
        <v>150000000</v>
      </c>
      <c r="Q595" t="s">
        <v>1374</v>
      </c>
    </row>
    <row r="596" spans="1:17" ht="24" customHeight="1" x14ac:dyDescent="0.3">
      <c r="A596" t="s">
        <v>20</v>
      </c>
      <c r="B596" t="s">
        <v>121</v>
      </c>
      <c r="C596">
        <v>72</v>
      </c>
      <c r="D596" t="s">
        <v>1462</v>
      </c>
      <c r="E596" t="s">
        <v>1455</v>
      </c>
      <c r="F596">
        <v>26</v>
      </c>
      <c r="G596" t="s">
        <v>654</v>
      </c>
      <c r="H596" s="19">
        <v>50000</v>
      </c>
      <c r="I596" s="19">
        <f t="shared" si="93"/>
        <v>1300000</v>
      </c>
      <c r="J596" s="19">
        <v>500000</v>
      </c>
      <c r="K596" s="19">
        <f t="shared" si="94"/>
        <v>13000000</v>
      </c>
      <c r="L596" s="19">
        <v>5000</v>
      </c>
      <c r="M596" s="19">
        <f t="shared" si="95"/>
        <v>130000</v>
      </c>
      <c r="N596" s="19">
        <f t="shared" si="96"/>
        <v>555000</v>
      </c>
      <c r="O596" s="19">
        <f t="shared" si="97"/>
        <v>14430000</v>
      </c>
      <c r="Q596" t="s">
        <v>1374</v>
      </c>
    </row>
    <row r="597" spans="1:17" ht="24" customHeight="1" x14ac:dyDescent="0.3">
      <c r="A597" t="s">
        <v>20</v>
      </c>
      <c r="B597" t="s">
        <v>121</v>
      </c>
      <c r="C597">
        <v>73</v>
      </c>
      <c r="D597" t="s">
        <v>1463</v>
      </c>
      <c r="E597" t="s">
        <v>1464</v>
      </c>
      <c r="F597">
        <v>5</v>
      </c>
      <c r="G597" t="s">
        <v>654</v>
      </c>
      <c r="H597" s="19">
        <v>45000</v>
      </c>
      <c r="I597" s="19">
        <f t="shared" si="93"/>
        <v>225000</v>
      </c>
      <c r="J597" s="19">
        <v>450000</v>
      </c>
      <c r="K597" s="19">
        <f t="shared" si="94"/>
        <v>2250000</v>
      </c>
      <c r="L597" s="19">
        <v>5000</v>
      </c>
      <c r="M597" s="19">
        <f t="shared" si="95"/>
        <v>25000</v>
      </c>
      <c r="N597" s="19">
        <f t="shared" si="96"/>
        <v>500000</v>
      </c>
      <c r="O597" s="19">
        <f t="shared" si="97"/>
        <v>2500000</v>
      </c>
      <c r="Q597" t="s">
        <v>1374</v>
      </c>
    </row>
    <row r="598" spans="1:17" ht="24" customHeight="1" x14ac:dyDescent="0.3">
      <c r="A598" t="s">
        <v>20</v>
      </c>
      <c r="B598" t="s">
        <v>121</v>
      </c>
      <c r="C598">
        <v>74</v>
      </c>
      <c r="D598" t="s">
        <v>1465</v>
      </c>
      <c r="E598" t="s">
        <v>1376</v>
      </c>
      <c r="F598">
        <v>141</v>
      </c>
      <c r="G598" t="s">
        <v>654</v>
      </c>
      <c r="H598" s="19">
        <v>160000</v>
      </c>
      <c r="I598" s="19">
        <f t="shared" si="93"/>
        <v>22560000</v>
      </c>
      <c r="J598" s="19">
        <v>60000</v>
      </c>
      <c r="K598" s="19">
        <f t="shared" si="94"/>
        <v>8460000</v>
      </c>
      <c r="L598" s="19">
        <v>6000</v>
      </c>
      <c r="M598" s="19">
        <f t="shared" si="95"/>
        <v>846000</v>
      </c>
      <c r="N598" s="19">
        <f t="shared" si="96"/>
        <v>226000</v>
      </c>
      <c r="O598" s="19">
        <f t="shared" si="97"/>
        <v>31866000</v>
      </c>
      <c r="Q598" t="s">
        <v>1374</v>
      </c>
    </row>
    <row r="599" spans="1:17" ht="24" customHeight="1" x14ac:dyDescent="0.3">
      <c r="A599" t="s">
        <v>20</v>
      </c>
      <c r="B599" t="s">
        <v>121</v>
      </c>
      <c r="C599">
        <v>75</v>
      </c>
      <c r="D599" t="s">
        <v>1466</v>
      </c>
      <c r="E599" t="s">
        <v>1387</v>
      </c>
      <c r="F599">
        <v>50</v>
      </c>
      <c r="G599" t="s">
        <v>654</v>
      </c>
      <c r="H599" s="19">
        <v>130000</v>
      </c>
      <c r="I599" s="19">
        <f t="shared" si="93"/>
        <v>6500000</v>
      </c>
      <c r="J599" s="19">
        <v>50000</v>
      </c>
      <c r="K599" s="19">
        <f t="shared" si="94"/>
        <v>2500000</v>
      </c>
      <c r="L599" s="19">
        <v>5000</v>
      </c>
      <c r="M599" s="19">
        <f t="shared" si="95"/>
        <v>250000</v>
      </c>
      <c r="N599" s="19">
        <f t="shared" si="96"/>
        <v>185000</v>
      </c>
      <c r="O599" s="19">
        <f t="shared" si="97"/>
        <v>9250000</v>
      </c>
      <c r="Q599" t="s">
        <v>1374</v>
      </c>
    </row>
    <row r="600" spans="1:17" ht="24" customHeight="1" x14ac:dyDescent="0.3">
      <c r="A600" t="s">
        <v>20</v>
      </c>
      <c r="B600" t="s">
        <v>121</v>
      </c>
      <c r="C600">
        <v>76</v>
      </c>
      <c r="D600" t="s">
        <v>1383</v>
      </c>
      <c r="E600" t="s">
        <v>1384</v>
      </c>
      <c r="F600">
        <v>45</v>
      </c>
      <c r="G600" t="s">
        <v>654</v>
      </c>
      <c r="H600" s="19">
        <v>100000</v>
      </c>
      <c r="I600" s="19">
        <f t="shared" si="93"/>
        <v>4500000</v>
      </c>
      <c r="J600" s="19">
        <v>50000</v>
      </c>
      <c r="K600" s="19">
        <f t="shared" si="94"/>
        <v>2250000</v>
      </c>
      <c r="L600" s="19">
        <v>5000</v>
      </c>
      <c r="M600" s="19">
        <f t="shared" si="95"/>
        <v>225000</v>
      </c>
      <c r="N600" s="19">
        <f t="shared" si="96"/>
        <v>155000</v>
      </c>
      <c r="O600" s="19">
        <f t="shared" si="97"/>
        <v>6975000</v>
      </c>
      <c r="Q600" t="s">
        <v>1374</v>
      </c>
    </row>
    <row r="601" spans="1:17" ht="24" customHeight="1" x14ac:dyDescent="0.3">
      <c r="A601" t="s">
        <v>20</v>
      </c>
      <c r="B601" t="s">
        <v>121</v>
      </c>
      <c r="C601">
        <v>77</v>
      </c>
      <c r="D601" t="s">
        <v>1467</v>
      </c>
      <c r="E601" t="s">
        <v>1389</v>
      </c>
      <c r="F601">
        <v>2670</v>
      </c>
      <c r="G601" t="s">
        <v>654</v>
      </c>
      <c r="H601" s="19">
        <v>2000</v>
      </c>
      <c r="I601" s="19">
        <f t="shared" si="93"/>
        <v>5340000</v>
      </c>
      <c r="J601" s="19">
        <v>2000</v>
      </c>
      <c r="K601" s="19">
        <f t="shared" si="94"/>
        <v>5340000</v>
      </c>
      <c r="L601" s="19">
        <v>0</v>
      </c>
      <c r="M601" s="19">
        <f t="shared" si="95"/>
        <v>0</v>
      </c>
      <c r="N601" s="19">
        <f t="shared" si="96"/>
        <v>4000</v>
      </c>
      <c r="O601" s="19">
        <f t="shared" si="97"/>
        <v>10680000</v>
      </c>
      <c r="Q601" t="s">
        <v>1374</v>
      </c>
    </row>
    <row r="602" spans="1:17" ht="24" customHeight="1" x14ac:dyDescent="0.3">
      <c r="A602" t="s">
        <v>20</v>
      </c>
      <c r="B602" t="s">
        <v>121</v>
      </c>
      <c r="C602">
        <v>78</v>
      </c>
      <c r="D602" t="s">
        <v>1468</v>
      </c>
      <c r="E602" t="s">
        <v>167</v>
      </c>
      <c r="F602">
        <v>7300</v>
      </c>
      <c r="G602" t="s">
        <v>168</v>
      </c>
      <c r="H602" s="19">
        <v>5000</v>
      </c>
      <c r="I602" s="19">
        <f t="shared" si="93"/>
        <v>36500000</v>
      </c>
      <c r="J602" s="19">
        <v>6000</v>
      </c>
      <c r="K602" s="19">
        <f t="shared" si="94"/>
        <v>43800000</v>
      </c>
      <c r="L602" s="19">
        <v>0</v>
      </c>
      <c r="M602" s="19">
        <f t="shared" si="95"/>
        <v>0</v>
      </c>
      <c r="N602" s="19">
        <f t="shared" si="96"/>
        <v>11000</v>
      </c>
      <c r="O602" s="19">
        <f t="shared" si="97"/>
        <v>80300000</v>
      </c>
      <c r="Q602" t="s">
        <v>1374</v>
      </c>
    </row>
    <row r="603" spans="1:17" ht="24" customHeight="1" x14ac:dyDescent="0.3">
      <c r="A603" t="s">
        <v>20</v>
      </c>
      <c r="B603" t="s">
        <v>121</v>
      </c>
      <c r="C603">
        <v>79</v>
      </c>
      <c r="D603" t="s">
        <v>1469</v>
      </c>
      <c r="E603" t="s">
        <v>1470</v>
      </c>
      <c r="F603">
        <v>144</v>
      </c>
      <c r="G603" t="s">
        <v>654</v>
      </c>
      <c r="H603" s="19">
        <v>460000</v>
      </c>
      <c r="I603" s="19">
        <f t="shared" si="93"/>
        <v>66240000</v>
      </c>
      <c r="J603" s="19">
        <v>150000</v>
      </c>
      <c r="K603" s="19">
        <f t="shared" si="94"/>
        <v>21600000</v>
      </c>
      <c r="L603" s="19">
        <v>6000</v>
      </c>
      <c r="M603" s="19">
        <f t="shared" si="95"/>
        <v>864000</v>
      </c>
      <c r="N603" s="19">
        <f t="shared" si="96"/>
        <v>616000</v>
      </c>
      <c r="O603" s="19">
        <f t="shared" si="97"/>
        <v>88704000</v>
      </c>
      <c r="Q603" t="s">
        <v>1374</v>
      </c>
    </row>
    <row r="604" spans="1:17" ht="24" customHeight="1" x14ac:dyDescent="0.3">
      <c r="A604" t="s">
        <v>20</v>
      </c>
      <c r="B604" t="s">
        <v>121</v>
      </c>
      <c r="C604">
        <v>80</v>
      </c>
      <c r="D604" t="s">
        <v>1471</v>
      </c>
      <c r="E604" t="s">
        <v>1472</v>
      </c>
      <c r="F604">
        <v>144</v>
      </c>
      <c r="G604" t="s">
        <v>1395</v>
      </c>
      <c r="H604" s="19">
        <v>290000</v>
      </c>
      <c r="I604" s="19">
        <f t="shared" si="93"/>
        <v>41760000</v>
      </c>
      <c r="J604" s="19">
        <v>20000</v>
      </c>
      <c r="K604" s="19">
        <f t="shared" si="94"/>
        <v>2880000</v>
      </c>
      <c r="L604" s="19">
        <v>3000</v>
      </c>
      <c r="M604" s="19">
        <f t="shared" si="95"/>
        <v>432000</v>
      </c>
      <c r="N604" s="19">
        <f t="shared" si="96"/>
        <v>313000</v>
      </c>
      <c r="O604" s="19">
        <f t="shared" si="97"/>
        <v>45072000</v>
      </c>
      <c r="Q604" t="s">
        <v>1374</v>
      </c>
    </row>
    <row r="605" spans="1:17" ht="24" customHeight="1" x14ac:dyDescent="0.3">
      <c r="A605" s="10" t="s">
        <v>20</v>
      </c>
      <c r="B605" s="10" t="s">
        <v>121</v>
      </c>
      <c r="C605" s="10"/>
      <c r="D605" s="10" t="s">
        <v>1473</v>
      </c>
      <c r="E605" s="10"/>
      <c r="F605" s="10"/>
      <c r="G605" s="10"/>
      <c r="H605" s="21"/>
      <c r="I605" s="21">
        <f>SUM(I525:I604)</f>
        <v>600710000</v>
      </c>
      <c r="J605" s="21"/>
      <c r="K605" s="21">
        <f>SUM(K525:K604)</f>
        <v>405895000</v>
      </c>
      <c r="L605" s="21"/>
      <c r="M605" s="21">
        <f>SUM(M525:M604)</f>
        <v>30172000</v>
      </c>
      <c r="N605" s="21"/>
      <c r="O605" s="21">
        <f>SUM(O525:O604)</f>
        <v>1036777000</v>
      </c>
      <c r="P605" s="10"/>
      <c r="Q605" s="10" t="s">
        <v>1474</v>
      </c>
    </row>
    <row r="606" spans="1:17" ht="24" customHeight="1" x14ac:dyDescent="0.3">
      <c r="A606" s="3"/>
      <c r="B606" s="3"/>
      <c r="C606" s="3"/>
      <c r="D606" s="3" t="s">
        <v>1475</v>
      </c>
      <c r="E606" s="3"/>
      <c r="F606" s="3"/>
      <c r="G606" s="3"/>
      <c r="H606" s="22"/>
      <c r="I606" s="22">
        <f>SUMIF(C22:C605,"&lt;&gt;",I22:I605)</f>
        <v>1831101998.7360001</v>
      </c>
      <c r="J606" s="22"/>
      <c r="K606" s="22">
        <f>SUMIF(C22:C605,"&lt;&gt;",K22:K605)</f>
        <v>2270558527.6079998</v>
      </c>
      <c r="L606" s="22"/>
      <c r="M606" s="22">
        <f>SUMIF(C22:C605,"&lt;&gt;",M22:M605)</f>
        <v>653394250.21000004</v>
      </c>
      <c r="N606" s="22"/>
      <c r="O606" s="22">
        <f>SUMIF(C22:C605,"&lt;&gt;",O22:O605)</f>
        <v>4755054776.5539999</v>
      </c>
      <c r="P606" s="3"/>
      <c r="Q606" s="3" t="s">
        <v>506</v>
      </c>
    </row>
  </sheetData>
  <mergeCells count="1">
    <mergeCell ref="A1:K1"/>
  </mergeCells>
  <phoneticPr fontId="3" type="noConversion"/>
  <pageMargins left="0.39370078740157483" right="0.39370078740157483" top="0.59055118110236227" bottom="0.39370078740157483" header="0.51181102362204722" footer="0.51181102362204722"/>
  <pageSetup paperSize="9" scale="4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67"/>
  <sheetViews>
    <sheetView view="pageBreakPreview" zoomScale="60" zoomScaleNormal="100" workbookViewId="0">
      <pane ySplit="19" topLeftCell="A142" activePane="bottomLeft" state="frozen"/>
      <selection activeCell="F132" sqref="F132"/>
      <selection pane="bottomLeft" activeCell="H54" sqref="H54"/>
    </sheetView>
  </sheetViews>
  <sheetFormatPr defaultRowHeight="16.5" x14ac:dyDescent="0.3"/>
  <cols>
    <col min="1" max="1" width="25.75" bestFit="1" customWidth="1"/>
    <col min="2" max="2" width="12.875" bestFit="1" customWidth="1"/>
    <col min="3" max="3" width="21" bestFit="1" customWidth="1"/>
    <col min="4" max="4" width="47.625" bestFit="1" customWidth="1"/>
    <col min="5" max="5" width="36.625" bestFit="1" customWidth="1"/>
    <col min="6" max="6" width="8.625" bestFit="1" customWidth="1"/>
    <col min="7" max="7" width="13.125" bestFit="1" customWidth="1"/>
    <col min="8" max="8" width="15" bestFit="1" customWidth="1"/>
    <col min="9" max="9" width="13.125" bestFit="1" customWidth="1"/>
    <col min="10" max="11" width="15" bestFit="1" customWidth="1"/>
    <col min="12" max="12" width="9.875" bestFit="1" customWidth="1"/>
    <col min="13" max="13" width="13.125" bestFit="1" customWidth="1"/>
    <col min="14" max="14" width="9.875" bestFit="1" customWidth="1"/>
    <col min="15" max="15" width="15" bestFit="1" customWidth="1"/>
    <col min="16" max="16" width="8" bestFit="1" customWidth="1"/>
    <col min="17" max="17" width="30" bestFit="1" customWidth="1"/>
  </cols>
  <sheetData>
    <row r="1" spans="1:11" ht="24" customHeight="1" x14ac:dyDescent="0.35">
      <c r="A1" s="60" t="s">
        <v>1476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1" ht="24" customHeight="1" x14ac:dyDescent="0.3"/>
    <row r="3" spans="1:11" ht="24" customHeight="1" x14ac:dyDescent="0.3">
      <c r="A3" s="1" t="s">
        <v>4</v>
      </c>
      <c r="B3" s="1" t="s">
        <v>5</v>
      </c>
      <c r="C3" s="1" t="s">
        <v>92</v>
      </c>
      <c r="D3" s="1" t="s">
        <v>93</v>
      </c>
      <c r="E3" s="1" t="s">
        <v>94</v>
      </c>
      <c r="F3" s="1" t="s">
        <v>95</v>
      </c>
      <c r="G3" s="1" t="s">
        <v>6</v>
      </c>
      <c r="H3" s="1" t="s">
        <v>7</v>
      </c>
      <c r="I3" s="1" t="s">
        <v>8</v>
      </c>
      <c r="J3" s="1" t="s">
        <v>28</v>
      </c>
      <c r="K3" s="1" t="s">
        <v>96</v>
      </c>
    </row>
    <row r="4" spans="1:11" ht="24" customHeight="1" x14ac:dyDescent="0.3">
      <c r="A4" t="s">
        <v>23</v>
      </c>
      <c r="B4" t="s">
        <v>24</v>
      </c>
      <c r="C4" t="s">
        <v>98</v>
      </c>
      <c r="D4">
        <v>9</v>
      </c>
      <c r="E4">
        <v>9</v>
      </c>
      <c r="F4" s="8">
        <v>1</v>
      </c>
      <c r="G4" s="2">
        <v>329303137</v>
      </c>
      <c r="H4" s="2">
        <v>633526312</v>
      </c>
      <c r="I4" s="2">
        <v>288990853</v>
      </c>
      <c r="J4" s="2">
        <v>1251820302</v>
      </c>
      <c r="K4" s="9">
        <v>12.51820302</v>
      </c>
    </row>
    <row r="5" spans="1:11" ht="24" customHeight="1" x14ac:dyDescent="0.3">
      <c r="A5" t="s">
        <v>23</v>
      </c>
      <c r="B5" t="s">
        <v>24</v>
      </c>
      <c r="C5" t="s">
        <v>124</v>
      </c>
      <c r="D5">
        <v>14</v>
      </c>
      <c r="E5">
        <v>14</v>
      </c>
      <c r="F5" s="8">
        <v>1</v>
      </c>
      <c r="G5" s="2">
        <v>1322809</v>
      </c>
      <c r="H5" s="2">
        <v>36399255</v>
      </c>
      <c r="I5" s="2">
        <v>1512006</v>
      </c>
      <c r="J5" s="2">
        <v>39234070</v>
      </c>
      <c r="K5" s="9">
        <v>0.39234069999999999</v>
      </c>
    </row>
    <row r="6" spans="1:11" ht="24" customHeight="1" x14ac:dyDescent="0.3">
      <c r="A6" t="s">
        <v>23</v>
      </c>
      <c r="B6" t="s">
        <v>24</v>
      </c>
      <c r="C6" t="s">
        <v>125</v>
      </c>
      <c r="D6">
        <v>17</v>
      </c>
      <c r="E6">
        <v>17</v>
      </c>
      <c r="F6" s="8">
        <v>1</v>
      </c>
      <c r="G6" s="2">
        <v>2352580</v>
      </c>
      <c r="H6" s="2">
        <v>88315220</v>
      </c>
      <c r="I6" s="2">
        <v>2468726</v>
      </c>
      <c r="J6" s="2">
        <v>93136526</v>
      </c>
      <c r="K6" s="9">
        <v>0.93136525999999997</v>
      </c>
    </row>
    <row r="7" spans="1:11" ht="24" customHeight="1" x14ac:dyDescent="0.3">
      <c r="A7" t="s">
        <v>23</v>
      </c>
      <c r="B7" t="s">
        <v>24</v>
      </c>
      <c r="C7" t="s">
        <v>126</v>
      </c>
      <c r="D7">
        <v>16</v>
      </c>
      <c r="E7">
        <v>17</v>
      </c>
      <c r="F7" s="8">
        <v>0.94117647058823528</v>
      </c>
      <c r="G7" s="2">
        <v>1709156</v>
      </c>
      <c r="H7" s="2">
        <v>77274394</v>
      </c>
      <c r="I7" s="2">
        <v>2194560</v>
      </c>
      <c r="J7" s="2">
        <v>81178110</v>
      </c>
      <c r="K7" s="9">
        <v>0.81178110000000003</v>
      </c>
    </row>
    <row r="8" spans="1:11" ht="24" customHeight="1" x14ac:dyDescent="0.3">
      <c r="A8" t="s">
        <v>23</v>
      </c>
      <c r="B8" t="s">
        <v>24</v>
      </c>
      <c r="C8" t="s">
        <v>127</v>
      </c>
      <c r="D8">
        <v>14</v>
      </c>
      <c r="E8">
        <v>15</v>
      </c>
      <c r="F8" s="8">
        <v>0.93333333333333335</v>
      </c>
      <c r="G8" s="2">
        <v>1677855</v>
      </c>
      <c r="H8" s="2">
        <v>59383425</v>
      </c>
      <c r="I8" s="2">
        <v>2123566</v>
      </c>
      <c r="J8" s="2">
        <v>63184846</v>
      </c>
      <c r="K8" s="9">
        <v>0.63184845999999995</v>
      </c>
    </row>
    <row r="9" spans="1:11" ht="24" customHeight="1" x14ac:dyDescent="0.3">
      <c r="A9" t="s">
        <v>23</v>
      </c>
      <c r="B9" t="s">
        <v>24</v>
      </c>
      <c r="C9" t="s">
        <v>128</v>
      </c>
      <c r="D9">
        <v>14</v>
      </c>
      <c r="E9">
        <v>15</v>
      </c>
      <c r="F9" s="8">
        <v>0.93333333333333335</v>
      </c>
      <c r="G9" s="2">
        <v>1149785</v>
      </c>
      <c r="H9" s="2">
        <v>45609407</v>
      </c>
      <c r="I9" s="2">
        <v>1591411</v>
      </c>
      <c r="J9" s="2">
        <v>48350603</v>
      </c>
      <c r="K9" s="9">
        <v>0.48350602999999998</v>
      </c>
    </row>
    <row r="10" spans="1:11" ht="24" customHeight="1" x14ac:dyDescent="0.3">
      <c r="A10" t="s">
        <v>23</v>
      </c>
      <c r="B10" t="s">
        <v>24</v>
      </c>
      <c r="C10" t="s">
        <v>129</v>
      </c>
      <c r="D10">
        <v>13</v>
      </c>
      <c r="E10">
        <v>14</v>
      </c>
      <c r="F10" s="8">
        <v>0.9285714285714286</v>
      </c>
      <c r="G10" s="2">
        <v>1161816</v>
      </c>
      <c r="H10" s="2">
        <v>62903235</v>
      </c>
      <c r="I10" s="2">
        <v>1273047</v>
      </c>
      <c r="J10" s="2">
        <v>65338098</v>
      </c>
      <c r="K10" s="9">
        <v>0.65338098</v>
      </c>
    </row>
    <row r="11" spans="1:11" ht="24" customHeight="1" x14ac:dyDescent="0.3">
      <c r="A11" t="s">
        <v>23</v>
      </c>
      <c r="B11" t="s">
        <v>24</v>
      </c>
      <c r="C11" t="s">
        <v>130</v>
      </c>
      <c r="D11">
        <v>13</v>
      </c>
      <c r="E11">
        <v>14</v>
      </c>
      <c r="F11" s="8">
        <v>0.9285714285714286</v>
      </c>
      <c r="G11" s="2">
        <v>1365630</v>
      </c>
      <c r="H11" s="2">
        <v>58315326</v>
      </c>
      <c r="I11" s="2">
        <v>1427499</v>
      </c>
      <c r="J11" s="2">
        <v>61108455</v>
      </c>
      <c r="K11" s="9">
        <v>0.61108454999999995</v>
      </c>
    </row>
    <row r="12" spans="1:11" ht="24" customHeight="1" x14ac:dyDescent="0.3">
      <c r="A12" t="s">
        <v>23</v>
      </c>
      <c r="B12" t="s">
        <v>24</v>
      </c>
      <c r="C12" t="s">
        <v>131</v>
      </c>
      <c r="D12">
        <v>11</v>
      </c>
      <c r="E12">
        <v>12</v>
      </c>
      <c r="F12" s="8">
        <v>0.91666666666666663</v>
      </c>
      <c r="G12" s="2">
        <v>656770</v>
      </c>
      <c r="H12" s="2">
        <v>13039376</v>
      </c>
      <c r="I12" s="2">
        <v>460290</v>
      </c>
      <c r="J12" s="2">
        <v>14156436</v>
      </c>
      <c r="K12" s="9">
        <v>0.14156436</v>
      </c>
    </row>
    <row r="13" spans="1:11" ht="24" customHeight="1" x14ac:dyDescent="0.3">
      <c r="A13" t="s">
        <v>23</v>
      </c>
      <c r="B13" t="s">
        <v>24</v>
      </c>
      <c r="C13" t="s">
        <v>132</v>
      </c>
      <c r="D13">
        <v>9</v>
      </c>
      <c r="E13">
        <v>10</v>
      </c>
      <c r="F13" s="8">
        <v>0.9</v>
      </c>
      <c r="G13" s="2">
        <v>476321</v>
      </c>
      <c r="H13" s="2">
        <v>4825299</v>
      </c>
      <c r="I13" s="2">
        <v>600364</v>
      </c>
      <c r="J13" s="2">
        <v>5901984</v>
      </c>
      <c r="K13" s="9">
        <v>5.9019839999999997E-2</v>
      </c>
    </row>
    <row r="14" spans="1:11" ht="24" customHeight="1" x14ac:dyDescent="0.3">
      <c r="A14" s="10" t="s">
        <v>23</v>
      </c>
      <c r="B14" s="10" t="s">
        <v>24</v>
      </c>
      <c r="C14" s="10" t="s">
        <v>133</v>
      </c>
      <c r="D14" s="10">
        <v>130</v>
      </c>
      <c r="E14" s="10">
        <v>137</v>
      </c>
      <c r="F14" s="18">
        <v>0.94890510948905105</v>
      </c>
      <c r="G14" s="11">
        <v>341175859</v>
      </c>
      <c r="H14" s="11">
        <v>1079591249</v>
      </c>
      <c r="I14" s="11">
        <v>302642322</v>
      </c>
      <c r="J14" s="11">
        <v>1723409430</v>
      </c>
      <c r="K14" s="12">
        <v>17.234094299999999</v>
      </c>
    </row>
    <row r="15" spans="1:11" ht="24" customHeight="1" x14ac:dyDescent="0.3">
      <c r="A15" s="3"/>
      <c r="B15" s="3" t="s">
        <v>22</v>
      </c>
      <c r="C15" s="3" t="s">
        <v>1477</v>
      </c>
      <c r="D15" s="3">
        <v>130</v>
      </c>
      <c r="E15" s="3">
        <v>137</v>
      </c>
      <c r="F15" s="16">
        <v>0.94890510948905105</v>
      </c>
      <c r="G15" s="4">
        <v>341175859</v>
      </c>
      <c r="H15" s="4">
        <v>1079591249</v>
      </c>
      <c r="I15" s="4">
        <v>302642322</v>
      </c>
      <c r="J15" s="4">
        <v>1723409430</v>
      </c>
      <c r="K15" s="17">
        <v>17.234094299999999</v>
      </c>
    </row>
    <row r="16" spans="1:11" ht="24" customHeight="1" x14ac:dyDescent="0.3"/>
    <row r="17" spans="1:17" ht="24" customHeight="1" x14ac:dyDescent="0.3">
      <c r="A17" t="s">
        <v>1478</v>
      </c>
    </row>
    <row r="18" spans="1:17" ht="24" customHeight="1" x14ac:dyDescent="0.3"/>
    <row r="19" spans="1:17" ht="24" customHeight="1" x14ac:dyDescent="0.3">
      <c r="A19" s="1" t="s">
        <v>5</v>
      </c>
      <c r="B19" s="1" t="s">
        <v>92</v>
      </c>
      <c r="C19" s="1" t="s">
        <v>4</v>
      </c>
      <c r="D19" s="1" t="s">
        <v>144</v>
      </c>
      <c r="E19" s="1" t="s">
        <v>145</v>
      </c>
      <c r="F19" s="1" t="s">
        <v>146</v>
      </c>
      <c r="G19" s="1" t="s">
        <v>147</v>
      </c>
      <c r="H19" s="1" t="s">
        <v>148</v>
      </c>
      <c r="I19" s="1" t="s">
        <v>149</v>
      </c>
      <c r="J19" s="1" t="s">
        <v>150</v>
      </c>
      <c r="K19" s="1" t="s">
        <v>151</v>
      </c>
      <c r="L19" s="1" t="s">
        <v>152</v>
      </c>
      <c r="M19" s="1" t="s">
        <v>153</v>
      </c>
      <c r="N19" s="1" t="s">
        <v>154</v>
      </c>
      <c r="O19" s="1" t="s">
        <v>155</v>
      </c>
      <c r="P19" s="1" t="s">
        <v>156</v>
      </c>
      <c r="Q19" s="1" t="s">
        <v>10</v>
      </c>
    </row>
    <row r="20" spans="1:17" ht="24" customHeight="1" x14ac:dyDescent="0.3">
      <c r="A20" t="s">
        <v>24</v>
      </c>
      <c r="B20" t="s">
        <v>98</v>
      </c>
      <c r="C20">
        <v>1</v>
      </c>
      <c r="D20" t="s">
        <v>1479</v>
      </c>
      <c r="E20" t="s">
        <v>606</v>
      </c>
      <c r="F20">
        <v>140244</v>
      </c>
      <c r="G20" t="s">
        <v>171</v>
      </c>
      <c r="H20" s="2">
        <v>570</v>
      </c>
      <c r="I20" s="2">
        <f t="shared" ref="I20:I28" si="0">F20*H20</f>
        <v>79939080</v>
      </c>
      <c r="J20" s="2">
        <v>843</v>
      </c>
      <c r="K20" s="2">
        <f t="shared" ref="K20:K28" si="1">F20*J20</f>
        <v>118225692</v>
      </c>
      <c r="L20" s="2">
        <v>513</v>
      </c>
      <c r="M20" s="2">
        <f t="shared" ref="M20:M28" si="2">F20*L20</f>
        <v>71945172</v>
      </c>
      <c r="N20" s="2">
        <f t="shared" ref="N20:N28" si="3">H20+J20+L20</f>
        <v>1926</v>
      </c>
      <c r="O20" s="2">
        <f t="shared" ref="O20:O28" si="4">I20+K20+M20</f>
        <v>270109944</v>
      </c>
      <c r="Q20" t="s">
        <v>219</v>
      </c>
    </row>
    <row r="21" spans="1:17" ht="24" customHeight="1" x14ac:dyDescent="0.3">
      <c r="A21" t="s">
        <v>24</v>
      </c>
      <c r="B21" t="s">
        <v>98</v>
      </c>
      <c r="C21">
        <v>2</v>
      </c>
      <c r="D21" t="s">
        <v>1480</v>
      </c>
      <c r="E21" t="s">
        <v>610</v>
      </c>
      <c r="F21">
        <v>20870</v>
      </c>
      <c r="G21" t="s">
        <v>171</v>
      </c>
      <c r="H21" s="2">
        <v>991</v>
      </c>
      <c r="I21" s="2">
        <f t="shared" si="0"/>
        <v>20682170</v>
      </c>
      <c r="J21" s="2">
        <v>893</v>
      </c>
      <c r="K21" s="2">
        <f t="shared" si="1"/>
        <v>18636910</v>
      </c>
      <c r="L21" s="2">
        <v>732</v>
      </c>
      <c r="M21" s="2">
        <f t="shared" si="2"/>
        <v>15276840</v>
      </c>
      <c r="N21" s="2">
        <f t="shared" si="3"/>
        <v>2616</v>
      </c>
      <c r="O21" s="2">
        <f t="shared" si="4"/>
        <v>54595920</v>
      </c>
      <c r="Q21" t="s">
        <v>1481</v>
      </c>
    </row>
    <row r="22" spans="1:17" ht="24" customHeight="1" x14ac:dyDescent="0.3">
      <c r="A22" t="s">
        <v>24</v>
      </c>
      <c r="B22" t="s">
        <v>98</v>
      </c>
      <c r="C22">
        <v>3</v>
      </c>
      <c r="D22" t="s">
        <v>1482</v>
      </c>
      <c r="E22" t="s">
        <v>612</v>
      </c>
      <c r="F22">
        <v>11485</v>
      </c>
      <c r="G22" t="s">
        <v>171</v>
      </c>
      <c r="H22" s="2">
        <v>3359</v>
      </c>
      <c r="I22" s="2">
        <f t="shared" si="0"/>
        <v>38578115</v>
      </c>
      <c r="J22" s="2">
        <v>5469</v>
      </c>
      <c r="K22" s="2">
        <f t="shared" si="1"/>
        <v>62811465</v>
      </c>
      <c r="L22" s="2">
        <v>1896</v>
      </c>
      <c r="M22" s="2">
        <f t="shared" si="2"/>
        <v>21775560</v>
      </c>
      <c r="N22" s="2">
        <f t="shared" si="3"/>
        <v>10724</v>
      </c>
      <c r="O22" s="2">
        <f t="shared" si="4"/>
        <v>123165140</v>
      </c>
      <c r="Q22" t="s">
        <v>1483</v>
      </c>
    </row>
    <row r="23" spans="1:17" ht="24" customHeight="1" x14ac:dyDescent="0.3">
      <c r="A23" t="s">
        <v>24</v>
      </c>
      <c r="B23" t="s">
        <v>98</v>
      </c>
      <c r="C23">
        <v>4</v>
      </c>
      <c r="D23" t="s">
        <v>1482</v>
      </c>
      <c r="E23" t="s">
        <v>613</v>
      </c>
      <c r="F23">
        <v>8203</v>
      </c>
      <c r="G23" t="s">
        <v>171</v>
      </c>
      <c r="H23" s="2">
        <v>5916</v>
      </c>
      <c r="I23" s="2">
        <f t="shared" si="0"/>
        <v>48528948</v>
      </c>
      <c r="J23" s="2">
        <v>19069</v>
      </c>
      <c r="K23" s="2">
        <f t="shared" si="1"/>
        <v>156423007</v>
      </c>
      <c r="L23" s="2">
        <v>9487</v>
      </c>
      <c r="M23" s="2">
        <f t="shared" si="2"/>
        <v>77821861</v>
      </c>
      <c r="N23" s="2">
        <f t="shared" si="3"/>
        <v>34472</v>
      </c>
      <c r="O23" s="2">
        <f t="shared" si="4"/>
        <v>282773816</v>
      </c>
      <c r="Q23" t="s">
        <v>1481</v>
      </c>
    </row>
    <row r="24" spans="1:17" ht="24" customHeight="1" x14ac:dyDescent="0.3">
      <c r="A24" t="s">
        <v>24</v>
      </c>
      <c r="B24" t="s">
        <v>98</v>
      </c>
      <c r="C24">
        <v>5</v>
      </c>
      <c r="D24" t="s">
        <v>1484</v>
      </c>
      <c r="E24" t="s">
        <v>619</v>
      </c>
      <c r="F24">
        <v>72163</v>
      </c>
      <c r="G24" t="s">
        <v>171</v>
      </c>
      <c r="H24" s="2">
        <v>582</v>
      </c>
      <c r="I24" s="2">
        <f t="shared" si="0"/>
        <v>41998866</v>
      </c>
      <c r="J24" s="2">
        <v>1162</v>
      </c>
      <c r="K24" s="2">
        <f t="shared" si="1"/>
        <v>83853406</v>
      </c>
      <c r="L24" s="2">
        <v>501</v>
      </c>
      <c r="M24" s="2">
        <f t="shared" si="2"/>
        <v>36153663</v>
      </c>
      <c r="N24" s="2">
        <f t="shared" si="3"/>
        <v>2245</v>
      </c>
      <c r="O24" s="2">
        <f t="shared" si="4"/>
        <v>162005935</v>
      </c>
      <c r="Q24" t="s">
        <v>175</v>
      </c>
    </row>
    <row r="25" spans="1:17" ht="24" customHeight="1" x14ac:dyDescent="0.3">
      <c r="A25" t="s">
        <v>24</v>
      </c>
      <c r="B25" t="s">
        <v>98</v>
      </c>
      <c r="C25">
        <v>6</v>
      </c>
      <c r="D25" t="s">
        <v>1485</v>
      </c>
      <c r="E25" t="s">
        <v>636</v>
      </c>
      <c r="F25">
        <v>60064</v>
      </c>
      <c r="G25" t="s">
        <v>171</v>
      </c>
      <c r="H25" s="2">
        <v>873</v>
      </c>
      <c r="I25" s="2">
        <f t="shared" si="0"/>
        <v>52435872</v>
      </c>
      <c r="J25" s="2">
        <v>1719</v>
      </c>
      <c r="K25" s="2">
        <f t="shared" si="1"/>
        <v>103250016</v>
      </c>
      <c r="L25" s="2">
        <v>653</v>
      </c>
      <c r="M25" s="2">
        <f t="shared" si="2"/>
        <v>39221792</v>
      </c>
      <c r="N25" s="2">
        <f t="shared" si="3"/>
        <v>3245</v>
      </c>
      <c r="O25" s="2">
        <f t="shared" si="4"/>
        <v>194907680</v>
      </c>
      <c r="Q25" t="s">
        <v>172</v>
      </c>
    </row>
    <row r="26" spans="1:17" ht="24" customHeight="1" x14ac:dyDescent="0.3">
      <c r="A26" t="s">
        <v>24</v>
      </c>
      <c r="B26" t="s">
        <v>98</v>
      </c>
      <c r="C26">
        <v>7</v>
      </c>
      <c r="D26" t="s">
        <v>1486</v>
      </c>
      <c r="E26" t="s">
        <v>638</v>
      </c>
      <c r="F26">
        <v>25508</v>
      </c>
      <c r="G26" t="s">
        <v>171</v>
      </c>
      <c r="H26" s="2">
        <v>906</v>
      </c>
      <c r="I26" s="2">
        <f t="shared" si="0"/>
        <v>23110248</v>
      </c>
      <c r="J26" s="2">
        <v>1736</v>
      </c>
      <c r="K26" s="2">
        <f t="shared" si="1"/>
        <v>44281888</v>
      </c>
      <c r="L26" s="2">
        <v>515</v>
      </c>
      <c r="M26" s="2">
        <f t="shared" si="2"/>
        <v>13136620</v>
      </c>
      <c r="N26" s="2">
        <f t="shared" si="3"/>
        <v>3157</v>
      </c>
      <c r="O26" s="2">
        <f t="shared" si="4"/>
        <v>80528756</v>
      </c>
      <c r="Q26" t="s">
        <v>1487</v>
      </c>
    </row>
    <row r="27" spans="1:17" ht="24" customHeight="1" x14ac:dyDescent="0.3">
      <c r="A27" t="s">
        <v>24</v>
      </c>
      <c r="B27" t="s">
        <v>98</v>
      </c>
      <c r="C27">
        <v>8</v>
      </c>
      <c r="D27" t="s">
        <v>1488</v>
      </c>
      <c r="E27" t="s">
        <v>640</v>
      </c>
      <c r="F27">
        <v>14675</v>
      </c>
      <c r="G27" t="s">
        <v>171</v>
      </c>
      <c r="H27" s="2">
        <v>906</v>
      </c>
      <c r="I27" s="2">
        <f t="shared" si="0"/>
        <v>13295550</v>
      </c>
      <c r="J27" s="2">
        <v>1736</v>
      </c>
      <c r="K27" s="2">
        <f t="shared" si="1"/>
        <v>25475800</v>
      </c>
      <c r="L27" s="2">
        <v>515</v>
      </c>
      <c r="M27" s="2">
        <f t="shared" si="2"/>
        <v>7557625</v>
      </c>
      <c r="N27" s="2">
        <f t="shared" si="3"/>
        <v>3157</v>
      </c>
      <c r="O27" s="2">
        <f t="shared" si="4"/>
        <v>46328975</v>
      </c>
      <c r="Q27" t="s">
        <v>1489</v>
      </c>
    </row>
    <row r="28" spans="1:17" ht="24" customHeight="1" x14ac:dyDescent="0.3">
      <c r="A28" t="s">
        <v>24</v>
      </c>
      <c r="B28" t="s">
        <v>98</v>
      </c>
      <c r="C28">
        <v>9</v>
      </c>
      <c r="D28" t="s">
        <v>1490</v>
      </c>
      <c r="E28" t="s">
        <v>642</v>
      </c>
      <c r="F28">
        <v>11848</v>
      </c>
      <c r="G28" t="s">
        <v>171</v>
      </c>
      <c r="H28" s="2">
        <v>906</v>
      </c>
      <c r="I28" s="2">
        <f t="shared" si="0"/>
        <v>10734288</v>
      </c>
      <c r="J28" s="2">
        <v>1736</v>
      </c>
      <c r="K28" s="2">
        <f t="shared" si="1"/>
        <v>20568128</v>
      </c>
      <c r="L28" s="2">
        <v>515</v>
      </c>
      <c r="M28" s="2">
        <f t="shared" si="2"/>
        <v>6101720</v>
      </c>
      <c r="N28" s="2">
        <f t="shared" si="3"/>
        <v>3157</v>
      </c>
      <c r="O28" s="2">
        <f t="shared" si="4"/>
        <v>37404136</v>
      </c>
      <c r="Q28" t="s">
        <v>1491</v>
      </c>
    </row>
    <row r="29" spans="1:17" ht="24" customHeight="1" x14ac:dyDescent="0.3">
      <c r="A29" s="10" t="s">
        <v>24</v>
      </c>
      <c r="B29" s="10" t="s">
        <v>98</v>
      </c>
      <c r="C29" s="10"/>
      <c r="D29" s="10" t="s">
        <v>210</v>
      </c>
      <c r="E29" s="10"/>
      <c r="F29" s="10"/>
      <c r="G29" s="10"/>
      <c r="H29" s="10"/>
      <c r="I29" s="11">
        <f>SUM(I20:I28)</f>
        <v>329303137</v>
      </c>
      <c r="J29" s="10"/>
      <c r="K29" s="11">
        <f>SUM(K20:K28)</f>
        <v>633526312</v>
      </c>
      <c r="L29" s="10"/>
      <c r="M29" s="11">
        <f>SUM(M20:M28)</f>
        <v>288990853</v>
      </c>
      <c r="N29" s="10"/>
      <c r="O29" s="11">
        <f>SUM(O20:O28)</f>
        <v>1251820302</v>
      </c>
      <c r="P29" s="10"/>
      <c r="Q29" s="10" t="s">
        <v>1364</v>
      </c>
    </row>
    <row r="30" spans="1:17" ht="24" customHeight="1" x14ac:dyDescent="0.3">
      <c r="A30" t="s">
        <v>24</v>
      </c>
      <c r="B30" t="s">
        <v>124</v>
      </c>
      <c r="C30">
        <v>1</v>
      </c>
      <c r="D30" t="s">
        <v>1492</v>
      </c>
      <c r="E30" t="s">
        <v>725</v>
      </c>
      <c r="F30">
        <v>1</v>
      </c>
      <c r="G30" t="s">
        <v>233</v>
      </c>
      <c r="H30" s="2">
        <v>0</v>
      </c>
      <c r="I30" s="2">
        <f t="shared" ref="I30:I43" si="5">F30*H30</f>
        <v>0</v>
      </c>
      <c r="J30" s="2">
        <v>71377</v>
      </c>
      <c r="K30" s="2">
        <f t="shared" ref="K30:K43" si="6">F30*J30</f>
        <v>71377</v>
      </c>
      <c r="L30" s="2">
        <v>0</v>
      </c>
      <c r="M30" s="2">
        <f t="shared" ref="M30:M43" si="7">F30*L30</f>
        <v>0</v>
      </c>
      <c r="N30" s="2">
        <f t="shared" ref="N30:N43" si="8">H30+J30+L30</f>
        <v>71377</v>
      </c>
      <c r="O30" s="2">
        <f t="shared" ref="O30:O43" si="9">I30+K30+M30</f>
        <v>71377</v>
      </c>
      <c r="Q30" t="s">
        <v>725</v>
      </c>
    </row>
    <row r="31" spans="1:17" ht="24" customHeight="1" x14ac:dyDescent="0.3">
      <c r="A31" t="s">
        <v>24</v>
      </c>
      <c r="B31" t="s">
        <v>124</v>
      </c>
      <c r="C31">
        <v>2</v>
      </c>
      <c r="D31" t="s">
        <v>1493</v>
      </c>
      <c r="E31" t="s">
        <v>1494</v>
      </c>
      <c r="F31">
        <v>7</v>
      </c>
      <c r="G31" t="s">
        <v>233</v>
      </c>
      <c r="H31" s="2">
        <v>5775</v>
      </c>
      <c r="I31" s="2">
        <f t="shared" si="5"/>
        <v>40425</v>
      </c>
      <c r="J31" s="2">
        <v>258574</v>
      </c>
      <c r="K31" s="2">
        <f t="shared" si="6"/>
        <v>1810018</v>
      </c>
      <c r="L31" s="2">
        <v>3583</v>
      </c>
      <c r="M31" s="2">
        <f t="shared" si="7"/>
        <v>25081</v>
      </c>
      <c r="N31" s="2">
        <f t="shared" si="8"/>
        <v>267932</v>
      </c>
      <c r="O31" s="2">
        <f t="shared" si="9"/>
        <v>1875524</v>
      </c>
      <c r="Q31" t="s">
        <v>1495</v>
      </c>
    </row>
    <row r="32" spans="1:17" ht="24" customHeight="1" x14ac:dyDescent="0.3">
      <c r="A32" t="s">
        <v>24</v>
      </c>
      <c r="B32" t="s">
        <v>124</v>
      </c>
      <c r="C32">
        <v>3</v>
      </c>
      <c r="D32" t="s">
        <v>1496</v>
      </c>
      <c r="F32">
        <v>1</v>
      </c>
      <c r="G32" t="s">
        <v>233</v>
      </c>
      <c r="H32">
        <v>340000</v>
      </c>
      <c r="I32" s="2">
        <f t="shared" si="5"/>
        <v>340000</v>
      </c>
      <c r="J32" s="2">
        <v>75000</v>
      </c>
      <c r="K32" s="2">
        <f t="shared" si="6"/>
        <v>75000</v>
      </c>
      <c r="L32">
        <v>75000</v>
      </c>
      <c r="M32" s="2">
        <f t="shared" si="7"/>
        <v>75000</v>
      </c>
      <c r="N32" s="2">
        <f t="shared" si="8"/>
        <v>490000</v>
      </c>
      <c r="O32" s="2">
        <f t="shared" si="9"/>
        <v>490000</v>
      </c>
      <c r="P32" t="s">
        <v>247</v>
      </c>
      <c r="Q32" t="s">
        <v>1496</v>
      </c>
    </row>
    <row r="33" spans="1:17" ht="24" customHeight="1" x14ac:dyDescent="0.3">
      <c r="A33" t="s">
        <v>24</v>
      </c>
      <c r="B33" t="s">
        <v>124</v>
      </c>
      <c r="C33">
        <v>4</v>
      </c>
      <c r="D33" t="s">
        <v>1497</v>
      </c>
      <c r="E33" t="s">
        <v>880</v>
      </c>
      <c r="F33">
        <v>15</v>
      </c>
      <c r="G33" t="s">
        <v>199</v>
      </c>
      <c r="H33" s="2">
        <v>230</v>
      </c>
      <c r="I33" s="2">
        <f t="shared" si="5"/>
        <v>3450</v>
      </c>
      <c r="J33" s="2">
        <v>4360</v>
      </c>
      <c r="K33" s="2">
        <f t="shared" si="6"/>
        <v>65400</v>
      </c>
      <c r="L33" s="2">
        <v>0</v>
      </c>
      <c r="M33" s="2">
        <f t="shared" si="7"/>
        <v>0</v>
      </c>
      <c r="N33" s="2">
        <f t="shared" si="8"/>
        <v>4590</v>
      </c>
      <c r="O33" s="2">
        <f t="shared" si="9"/>
        <v>68850</v>
      </c>
      <c r="Q33" t="s">
        <v>881</v>
      </c>
    </row>
    <row r="34" spans="1:17" ht="24" customHeight="1" x14ac:dyDescent="0.3">
      <c r="A34" t="s">
        <v>24</v>
      </c>
      <c r="B34" t="s">
        <v>124</v>
      </c>
      <c r="C34">
        <v>5</v>
      </c>
      <c r="D34" t="s">
        <v>1498</v>
      </c>
      <c r="E34" t="s">
        <v>1499</v>
      </c>
      <c r="F34">
        <v>154</v>
      </c>
      <c r="G34" t="s">
        <v>199</v>
      </c>
      <c r="H34" s="2">
        <v>230</v>
      </c>
      <c r="I34" s="2">
        <f t="shared" si="5"/>
        <v>35420</v>
      </c>
      <c r="J34" s="2">
        <v>4360</v>
      </c>
      <c r="K34" s="2">
        <f t="shared" si="6"/>
        <v>671440</v>
      </c>
      <c r="L34" s="2">
        <v>0</v>
      </c>
      <c r="M34" s="2">
        <f t="shared" si="7"/>
        <v>0</v>
      </c>
      <c r="N34" s="2">
        <f t="shared" si="8"/>
        <v>4590</v>
      </c>
      <c r="O34" s="2">
        <f t="shared" si="9"/>
        <v>706860</v>
      </c>
      <c r="Q34" t="s">
        <v>535</v>
      </c>
    </row>
    <row r="35" spans="1:17" ht="24" customHeight="1" x14ac:dyDescent="0.3">
      <c r="A35" t="s">
        <v>24</v>
      </c>
      <c r="B35" t="s">
        <v>124</v>
      </c>
      <c r="C35">
        <v>6</v>
      </c>
      <c r="D35" t="s">
        <v>1500</v>
      </c>
      <c r="E35" t="s">
        <v>933</v>
      </c>
      <c r="F35">
        <v>3</v>
      </c>
      <c r="G35" t="s">
        <v>316</v>
      </c>
      <c r="H35" s="2">
        <v>505</v>
      </c>
      <c r="I35" s="2">
        <f t="shared" si="5"/>
        <v>1515</v>
      </c>
      <c r="J35" s="2">
        <v>25263</v>
      </c>
      <c r="K35" s="2">
        <f t="shared" si="6"/>
        <v>75789</v>
      </c>
      <c r="L35" s="2">
        <v>0</v>
      </c>
      <c r="M35" s="2">
        <f t="shared" si="7"/>
        <v>0</v>
      </c>
      <c r="N35" s="2">
        <f t="shared" si="8"/>
        <v>25768</v>
      </c>
      <c r="O35" s="2">
        <f t="shared" si="9"/>
        <v>77304</v>
      </c>
      <c r="Q35" t="s">
        <v>1501</v>
      </c>
    </row>
    <row r="36" spans="1:17" ht="24" customHeight="1" x14ac:dyDescent="0.3">
      <c r="A36" t="s">
        <v>24</v>
      </c>
      <c r="B36" t="s">
        <v>124</v>
      </c>
      <c r="C36">
        <v>7</v>
      </c>
      <c r="D36" t="s">
        <v>1502</v>
      </c>
      <c r="E36" t="s">
        <v>1503</v>
      </c>
      <c r="F36">
        <v>26</v>
      </c>
      <c r="G36" t="s">
        <v>316</v>
      </c>
      <c r="H36" s="2">
        <v>180000</v>
      </c>
      <c r="I36" s="2">
        <f t="shared" si="5"/>
        <v>4680000</v>
      </c>
      <c r="J36" s="2">
        <v>25263</v>
      </c>
      <c r="K36" s="2">
        <f t="shared" si="6"/>
        <v>656838</v>
      </c>
      <c r="M36" s="2">
        <f t="shared" si="7"/>
        <v>0</v>
      </c>
      <c r="N36" s="2">
        <f t="shared" si="8"/>
        <v>205263</v>
      </c>
      <c r="O36" s="2">
        <f t="shared" si="9"/>
        <v>5336838</v>
      </c>
      <c r="P36" t="s">
        <v>247</v>
      </c>
      <c r="Q36" t="s">
        <v>1502</v>
      </c>
    </row>
    <row r="37" spans="1:17" ht="24" customHeight="1" x14ac:dyDescent="0.3">
      <c r="A37" t="s">
        <v>24</v>
      </c>
      <c r="B37" t="s">
        <v>124</v>
      </c>
      <c r="C37">
        <v>8</v>
      </c>
      <c r="D37" t="s">
        <v>1504</v>
      </c>
      <c r="E37" t="s">
        <v>224</v>
      </c>
      <c r="F37">
        <v>11</v>
      </c>
      <c r="G37" t="s">
        <v>199</v>
      </c>
      <c r="H37" s="2">
        <v>2339</v>
      </c>
      <c r="I37" s="2">
        <f t="shared" si="5"/>
        <v>25729</v>
      </c>
      <c r="J37" s="2">
        <v>19375</v>
      </c>
      <c r="K37" s="2">
        <f t="shared" si="6"/>
        <v>213125</v>
      </c>
      <c r="L37" s="2">
        <v>2505</v>
      </c>
      <c r="M37" s="2">
        <f t="shared" si="7"/>
        <v>27555</v>
      </c>
      <c r="N37" s="2">
        <f t="shared" si="8"/>
        <v>24219</v>
      </c>
      <c r="O37" s="2">
        <f t="shared" si="9"/>
        <v>266409</v>
      </c>
      <c r="Q37" t="s">
        <v>222</v>
      </c>
    </row>
    <row r="38" spans="1:17" ht="24" customHeight="1" x14ac:dyDescent="0.3">
      <c r="A38" t="s">
        <v>24</v>
      </c>
      <c r="B38" t="s">
        <v>124</v>
      </c>
      <c r="C38">
        <v>9</v>
      </c>
      <c r="D38" t="s">
        <v>1505</v>
      </c>
      <c r="E38" t="s">
        <v>1506</v>
      </c>
      <c r="F38">
        <v>15</v>
      </c>
      <c r="G38" t="s">
        <v>199</v>
      </c>
      <c r="H38" s="2">
        <v>32611</v>
      </c>
      <c r="I38" s="2">
        <f t="shared" si="5"/>
        <v>489165</v>
      </c>
      <c r="J38" s="2">
        <v>106288</v>
      </c>
      <c r="K38" s="2">
        <f t="shared" si="6"/>
        <v>1594320</v>
      </c>
      <c r="L38" s="2">
        <v>62900</v>
      </c>
      <c r="M38" s="2">
        <f t="shared" si="7"/>
        <v>943500</v>
      </c>
      <c r="N38" s="2">
        <f t="shared" si="8"/>
        <v>201799</v>
      </c>
      <c r="O38" s="2">
        <f t="shared" si="9"/>
        <v>3026985</v>
      </c>
      <c r="Q38" t="s">
        <v>1506</v>
      </c>
    </row>
    <row r="39" spans="1:17" ht="24" customHeight="1" x14ac:dyDescent="0.3">
      <c r="A39" t="s">
        <v>24</v>
      </c>
      <c r="B39" t="s">
        <v>124</v>
      </c>
      <c r="C39">
        <v>10</v>
      </c>
      <c r="D39" t="s">
        <v>1507</v>
      </c>
      <c r="E39" t="s">
        <v>1508</v>
      </c>
      <c r="F39">
        <v>35</v>
      </c>
      <c r="G39" t="s">
        <v>1509</v>
      </c>
      <c r="H39" s="2">
        <v>150000</v>
      </c>
      <c r="I39" s="2">
        <f t="shared" si="5"/>
        <v>5250000</v>
      </c>
      <c r="J39" s="2">
        <v>150000</v>
      </c>
      <c r="K39" s="2">
        <f t="shared" si="6"/>
        <v>5250000</v>
      </c>
      <c r="L39">
        <v>50000</v>
      </c>
      <c r="M39" s="2">
        <f t="shared" si="7"/>
        <v>1750000</v>
      </c>
      <c r="N39" s="2">
        <f t="shared" si="8"/>
        <v>350000</v>
      </c>
      <c r="O39" s="2">
        <f t="shared" si="9"/>
        <v>12250000</v>
      </c>
      <c r="P39" t="s">
        <v>247</v>
      </c>
      <c r="Q39" t="s">
        <v>1508</v>
      </c>
    </row>
    <row r="40" spans="1:17" ht="24" customHeight="1" x14ac:dyDescent="0.3">
      <c r="A40" t="s">
        <v>24</v>
      </c>
      <c r="B40" t="s">
        <v>124</v>
      </c>
      <c r="C40">
        <v>11</v>
      </c>
      <c r="D40" t="s">
        <v>1510</v>
      </c>
      <c r="E40" t="s">
        <v>1511</v>
      </c>
      <c r="F40">
        <v>74</v>
      </c>
      <c r="G40" t="s">
        <v>199</v>
      </c>
      <c r="H40" s="2">
        <v>2290</v>
      </c>
      <c r="I40" s="2">
        <f t="shared" si="5"/>
        <v>169460</v>
      </c>
      <c r="J40" s="2">
        <v>40880</v>
      </c>
      <c r="K40" s="2">
        <f t="shared" si="6"/>
        <v>3025120</v>
      </c>
      <c r="L40" s="2">
        <v>2681</v>
      </c>
      <c r="M40" s="2">
        <f t="shared" si="7"/>
        <v>198394</v>
      </c>
      <c r="N40" s="2">
        <f t="shared" si="8"/>
        <v>45851</v>
      </c>
      <c r="O40" s="2">
        <f t="shared" si="9"/>
        <v>3392974</v>
      </c>
      <c r="Q40" t="s">
        <v>1511</v>
      </c>
    </row>
    <row r="41" spans="1:17" ht="24" customHeight="1" x14ac:dyDescent="0.3">
      <c r="A41" t="s">
        <v>24</v>
      </c>
      <c r="B41" t="s">
        <v>124</v>
      </c>
      <c r="C41">
        <v>12</v>
      </c>
      <c r="D41" t="s">
        <v>1512</v>
      </c>
      <c r="E41" t="s">
        <v>1513</v>
      </c>
      <c r="F41">
        <v>2284</v>
      </c>
      <c r="G41" t="s">
        <v>168</v>
      </c>
      <c r="H41" s="2">
        <v>185</v>
      </c>
      <c r="I41" s="2">
        <f t="shared" si="5"/>
        <v>422540</v>
      </c>
      <c r="J41" s="2">
        <v>197</v>
      </c>
      <c r="K41" s="2">
        <f t="shared" si="6"/>
        <v>449948</v>
      </c>
      <c r="L41" s="2">
        <v>139</v>
      </c>
      <c r="M41" s="2">
        <f t="shared" si="7"/>
        <v>317476</v>
      </c>
      <c r="N41" s="2">
        <f t="shared" si="8"/>
        <v>521</v>
      </c>
      <c r="O41" s="2">
        <f t="shared" si="9"/>
        <v>1189964</v>
      </c>
      <c r="Q41" t="s">
        <v>1513</v>
      </c>
    </row>
    <row r="42" spans="1:17" ht="24" customHeight="1" x14ac:dyDescent="0.3">
      <c r="A42" t="s">
        <v>24</v>
      </c>
      <c r="B42" t="s">
        <v>124</v>
      </c>
      <c r="C42">
        <v>13</v>
      </c>
      <c r="D42" t="s">
        <v>1514</v>
      </c>
      <c r="E42" t="s">
        <v>1389</v>
      </c>
      <c r="F42">
        <v>6750</v>
      </c>
      <c r="G42" t="s">
        <v>654</v>
      </c>
      <c r="I42" s="2">
        <f t="shared" si="5"/>
        <v>0</v>
      </c>
      <c r="J42" s="2">
        <v>3797</v>
      </c>
      <c r="K42" s="2">
        <f t="shared" si="6"/>
        <v>25629750</v>
      </c>
      <c r="M42" s="2">
        <f t="shared" si="7"/>
        <v>0</v>
      </c>
      <c r="N42" s="2">
        <f t="shared" si="8"/>
        <v>3797</v>
      </c>
      <c r="O42" s="2">
        <f t="shared" si="9"/>
        <v>25629750</v>
      </c>
      <c r="P42" t="s">
        <v>247</v>
      </c>
      <c r="Q42" t="s">
        <v>1514</v>
      </c>
    </row>
    <row r="43" spans="1:17" ht="24" customHeight="1" x14ac:dyDescent="0.3">
      <c r="A43" t="s">
        <v>24</v>
      </c>
      <c r="B43" t="s">
        <v>124</v>
      </c>
      <c r="C43">
        <v>14</v>
      </c>
      <c r="D43" t="s">
        <v>1515</v>
      </c>
      <c r="E43" t="s">
        <v>167</v>
      </c>
      <c r="F43">
        <v>83</v>
      </c>
      <c r="G43" t="s">
        <v>168</v>
      </c>
      <c r="H43" s="2">
        <v>0</v>
      </c>
      <c r="I43" s="2">
        <f t="shared" si="5"/>
        <v>0</v>
      </c>
      <c r="J43" s="2">
        <v>4699</v>
      </c>
      <c r="K43" s="2">
        <f t="shared" si="6"/>
        <v>390017</v>
      </c>
      <c r="L43" s="2">
        <v>0</v>
      </c>
      <c r="M43" s="2">
        <f t="shared" si="7"/>
        <v>0</v>
      </c>
      <c r="N43" s="2">
        <f t="shared" si="8"/>
        <v>4699</v>
      </c>
      <c r="O43" s="2">
        <f t="shared" si="9"/>
        <v>390017</v>
      </c>
      <c r="Q43" t="s">
        <v>167</v>
      </c>
    </row>
    <row r="44" spans="1:17" ht="24" customHeight="1" x14ac:dyDescent="0.3">
      <c r="A44" s="10" t="s">
        <v>24</v>
      </c>
      <c r="B44" s="10" t="s">
        <v>124</v>
      </c>
      <c r="C44" s="10"/>
      <c r="D44" s="10" t="s">
        <v>1516</v>
      </c>
      <c r="E44" s="10"/>
      <c r="F44" s="10"/>
      <c r="G44" s="10"/>
      <c r="H44" s="10"/>
      <c r="I44" s="11">
        <f>SUM(I30:I43)</f>
        <v>11457704</v>
      </c>
      <c r="J44" s="10"/>
      <c r="K44" s="11">
        <f>SUM(K30:K43)</f>
        <v>39978142</v>
      </c>
      <c r="L44" s="10"/>
      <c r="M44" s="11">
        <f>SUM(M30:M43)</f>
        <v>3337006</v>
      </c>
      <c r="N44" s="10"/>
      <c r="O44" s="11">
        <f>SUM(O30:O43)</f>
        <v>54772852</v>
      </c>
      <c r="P44" s="10"/>
      <c r="Q44" s="10" t="s">
        <v>1517</v>
      </c>
    </row>
    <row r="45" spans="1:17" ht="24" customHeight="1" x14ac:dyDescent="0.3">
      <c r="A45" t="s">
        <v>24</v>
      </c>
      <c r="B45" t="s">
        <v>125</v>
      </c>
      <c r="C45">
        <v>1</v>
      </c>
      <c r="D45" t="s">
        <v>1492</v>
      </c>
      <c r="E45" t="s">
        <v>725</v>
      </c>
      <c r="F45">
        <v>1</v>
      </c>
      <c r="G45" t="s">
        <v>233</v>
      </c>
      <c r="H45" s="2">
        <v>0</v>
      </c>
      <c r="I45" s="2">
        <f t="shared" ref="I45:I61" si="10">F45*H45</f>
        <v>0</v>
      </c>
      <c r="J45" s="2">
        <v>71377</v>
      </c>
      <c r="K45" s="2">
        <f t="shared" ref="K45:K61" si="11">F45*J45</f>
        <v>71377</v>
      </c>
      <c r="L45" s="2">
        <v>0</v>
      </c>
      <c r="M45" s="2">
        <f t="shared" ref="M45:M61" si="12">F45*L45</f>
        <v>0</v>
      </c>
      <c r="N45" s="2">
        <f t="shared" ref="N45:N61" si="13">H45+J45+L45</f>
        <v>71377</v>
      </c>
      <c r="O45" s="2">
        <f t="shared" ref="O45:O61" si="14">I45+K45+M45</f>
        <v>71377</v>
      </c>
      <c r="Q45" t="s">
        <v>725</v>
      </c>
    </row>
    <row r="46" spans="1:17" ht="24" customHeight="1" x14ac:dyDescent="0.3">
      <c r="A46" t="s">
        <v>24</v>
      </c>
      <c r="B46" t="s">
        <v>125</v>
      </c>
      <c r="C46">
        <v>2</v>
      </c>
      <c r="D46" t="s">
        <v>1493</v>
      </c>
      <c r="E46" t="s">
        <v>1494</v>
      </c>
      <c r="F46">
        <v>7</v>
      </c>
      <c r="G46" t="s">
        <v>233</v>
      </c>
      <c r="H46" s="2">
        <v>5775</v>
      </c>
      <c r="I46" s="2">
        <f t="shared" si="10"/>
        <v>40425</v>
      </c>
      <c r="J46" s="2">
        <v>258574</v>
      </c>
      <c r="K46" s="2">
        <f t="shared" si="11"/>
        <v>1810018</v>
      </c>
      <c r="L46" s="2">
        <v>3583</v>
      </c>
      <c r="M46" s="2">
        <f t="shared" si="12"/>
        <v>25081</v>
      </c>
      <c r="N46" s="2">
        <f t="shared" si="13"/>
        <v>267932</v>
      </c>
      <c r="O46" s="2">
        <f t="shared" si="14"/>
        <v>1875524</v>
      </c>
      <c r="Q46" t="s">
        <v>1495</v>
      </c>
    </row>
    <row r="47" spans="1:17" ht="24" customHeight="1" x14ac:dyDescent="0.3">
      <c r="A47" t="s">
        <v>24</v>
      </c>
      <c r="B47" t="s">
        <v>125</v>
      </c>
      <c r="C47">
        <v>3</v>
      </c>
      <c r="D47" t="s">
        <v>1496</v>
      </c>
      <c r="F47">
        <v>1</v>
      </c>
      <c r="G47" t="s">
        <v>233</v>
      </c>
      <c r="H47">
        <v>340000</v>
      </c>
      <c r="I47" s="2">
        <f t="shared" si="10"/>
        <v>340000</v>
      </c>
      <c r="J47" s="2">
        <v>75000</v>
      </c>
      <c r="K47" s="2">
        <f t="shared" si="11"/>
        <v>75000</v>
      </c>
      <c r="L47">
        <v>75000</v>
      </c>
      <c r="M47" s="2">
        <f t="shared" si="12"/>
        <v>75000</v>
      </c>
      <c r="N47" s="2">
        <f t="shared" si="13"/>
        <v>490000</v>
      </c>
      <c r="O47" s="2">
        <f t="shared" si="14"/>
        <v>490000</v>
      </c>
      <c r="P47" t="s">
        <v>247</v>
      </c>
      <c r="Q47" t="s">
        <v>1496</v>
      </c>
    </row>
    <row r="48" spans="1:17" ht="24" customHeight="1" x14ac:dyDescent="0.3">
      <c r="A48" t="s">
        <v>24</v>
      </c>
      <c r="B48" t="s">
        <v>125</v>
      </c>
      <c r="C48">
        <v>4</v>
      </c>
      <c r="D48" t="s">
        <v>1497</v>
      </c>
      <c r="E48" t="s">
        <v>880</v>
      </c>
      <c r="F48">
        <v>22</v>
      </c>
      <c r="G48" t="s">
        <v>199</v>
      </c>
      <c r="H48" s="2">
        <v>230</v>
      </c>
      <c r="I48" s="2">
        <f t="shared" si="10"/>
        <v>5060</v>
      </c>
      <c r="J48" s="2">
        <v>4360</v>
      </c>
      <c r="K48" s="2">
        <f t="shared" si="11"/>
        <v>95920</v>
      </c>
      <c r="L48" s="2">
        <v>0</v>
      </c>
      <c r="M48" s="2">
        <f t="shared" si="12"/>
        <v>0</v>
      </c>
      <c r="N48" s="2">
        <f t="shared" si="13"/>
        <v>4590</v>
      </c>
      <c r="O48" s="2">
        <f t="shared" si="14"/>
        <v>100980</v>
      </c>
      <c r="Q48" t="s">
        <v>881</v>
      </c>
    </row>
    <row r="49" spans="1:17" ht="24" customHeight="1" x14ac:dyDescent="0.3">
      <c r="A49" t="s">
        <v>24</v>
      </c>
      <c r="B49" t="s">
        <v>125</v>
      </c>
      <c r="C49">
        <v>5</v>
      </c>
      <c r="D49" t="s">
        <v>1498</v>
      </c>
      <c r="E49" t="s">
        <v>1499</v>
      </c>
      <c r="F49">
        <v>152</v>
      </c>
      <c r="G49" t="s">
        <v>199</v>
      </c>
      <c r="H49" s="2">
        <v>230</v>
      </c>
      <c r="I49" s="2">
        <f t="shared" si="10"/>
        <v>34960</v>
      </c>
      <c r="J49" s="2">
        <v>4360</v>
      </c>
      <c r="K49" s="2">
        <f t="shared" si="11"/>
        <v>662720</v>
      </c>
      <c r="L49" s="2">
        <v>0</v>
      </c>
      <c r="M49" s="2">
        <f t="shared" si="12"/>
        <v>0</v>
      </c>
      <c r="N49" s="2">
        <f t="shared" si="13"/>
        <v>4590</v>
      </c>
      <c r="O49" s="2">
        <f t="shared" si="14"/>
        <v>697680</v>
      </c>
      <c r="Q49" t="s">
        <v>535</v>
      </c>
    </row>
    <row r="50" spans="1:17" ht="24" customHeight="1" x14ac:dyDescent="0.3">
      <c r="A50" t="s">
        <v>24</v>
      </c>
      <c r="B50" t="s">
        <v>125</v>
      </c>
      <c r="C50">
        <v>6</v>
      </c>
      <c r="D50" t="s">
        <v>1500</v>
      </c>
      <c r="E50" t="s">
        <v>933</v>
      </c>
      <c r="F50">
        <v>4</v>
      </c>
      <c r="G50" t="s">
        <v>316</v>
      </c>
      <c r="H50" s="2">
        <v>505</v>
      </c>
      <c r="I50" s="2">
        <f t="shared" si="10"/>
        <v>2020</v>
      </c>
      <c r="J50" s="2">
        <v>25263</v>
      </c>
      <c r="K50" s="2">
        <f t="shared" si="11"/>
        <v>101052</v>
      </c>
      <c r="L50" s="2">
        <v>0</v>
      </c>
      <c r="M50" s="2">
        <f t="shared" si="12"/>
        <v>0</v>
      </c>
      <c r="N50" s="2">
        <f t="shared" si="13"/>
        <v>25768</v>
      </c>
      <c r="O50" s="2">
        <f t="shared" si="14"/>
        <v>103072</v>
      </c>
      <c r="Q50" t="s">
        <v>1501</v>
      </c>
    </row>
    <row r="51" spans="1:17" ht="24" customHeight="1" x14ac:dyDescent="0.3">
      <c r="A51" t="s">
        <v>24</v>
      </c>
      <c r="B51" t="s">
        <v>125</v>
      </c>
      <c r="C51">
        <v>7</v>
      </c>
      <c r="D51" t="s">
        <v>1502</v>
      </c>
      <c r="E51" t="s">
        <v>1503</v>
      </c>
      <c r="F51">
        <v>26</v>
      </c>
      <c r="G51" t="s">
        <v>316</v>
      </c>
      <c r="H51" s="2">
        <v>505</v>
      </c>
      <c r="I51" s="2">
        <f t="shared" si="10"/>
        <v>13130</v>
      </c>
      <c r="J51" s="2">
        <v>25263</v>
      </c>
      <c r="K51" s="2">
        <f t="shared" si="11"/>
        <v>656838</v>
      </c>
      <c r="M51" s="2">
        <f t="shared" si="12"/>
        <v>0</v>
      </c>
      <c r="N51" s="2">
        <f t="shared" si="13"/>
        <v>25768</v>
      </c>
      <c r="O51" s="2">
        <f t="shared" si="14"/>
        <v>669968</v>
      </c>
      <c r="P51" t="s">
        <v>247</v>
      </c>
      <c r="Q51" t="s">
        <v>1502</v>
      </c>
    </row>
    <row r="52" spans="1:17" ht="24" customHeight="1" x14ac:dyDescent="0.3">
      <c r="A52" t="s">
        <v>24</v>
      </c>
      <c r="B52" t="s">
        <v>125</v>
      </c>
      <c r="C52">
        <v>8</v>
      </c>
      <c r="D52" t="s">
        <v>1504</v>
      </c>
      <c r="E52" t="s">
        <v>224</v>
      </c>
      <c r="F52">
        <v>10</v>
      </c>
      <c r="G52" t="s">
        <v>199</v>
      </c>
      <c r="H52" s="2">
        <v>2339</v>
      </c>
      <c r="I52" s="2">
        <f t="shared" si="10"/>
        <v>23390</v>
      </c>
      <c r="J52" s="2">
        <v>19375</v>
      </c>
      <c r="K52" s="2">
        <f t="shared" si="11"/>
        <v>193750</v>
      </c>
      <c r="L52" s="2">
        <v>2505</v>
      </c>
      <c r="M52" s="2">
        <f t="shared" si="12"/>
        <v>25050</v>
      </c>
      <c r="N52" s="2">
        <f t="shared" si="13"/>
        <v>24219</v>
      </c>
      <c r="O52" s="2">
        <f t="shared" si="14"/>
        <v>242190</v>
      </c>
      <c r="Q52" t="s">
        <v>222</v>
      </c>
    </row>
    <row r="53" spans="1:17" ht="24" customHeight="1" x14ac:dyDescent="0.3">
      <c r="A53" t="s">
        <v>24</v>
      </c>
      <c r="B53" t="s">
        <v>125</v>
      </c>
      <c r="C53">
        <v>9</v>
      </c>
      <c r="D53" t="s">
        <v>1505</v>
      </c>
      <c r="E53" t="s">
        <v>1506</v>
      </c>
      <c r="F53">
        <v>15</v>
      </c>
      <c r="G53" t="s">
        <v>199</v>
      </c>
      <c r="H53" s="2">
        <v>32611</v>
      </c>
      <c r="I53" s="2">
        <f t="shared" si="10"/>
        <v>489165</v>
      </c>
      <c r="J53" s="2">
        <v>106288</v>
      </c>
      <c r="K53" s="2">
        <f t="shared" si="11"/>
        <v>1594320</v>
      </c>
      <c r="L53" s="2">
        <v>62900</v>
      </c>
      <c r="M53" s="2">
        <f t="shared" si="12"/>
        <v>943500</v>
      </c>
      <c r="N53" s="2">
        <f t="shared" si="13"/>
        <v>201799</v>
      </c>
      <c r="O53" s="2">
        <f t="shared" si="14"/>
        <v>3026985</v>
      </c>
      <c r="Q53" t="s">
        <v>1506</v>
      </c>
    </row>
    <row r="54" spans="1:17" ht="24" customHeight="1" x14ac:dyDescent="0.3">
      <c r="A54" t="s">
        <v>24</v>
      </c>
      <c r="B54" t="s">
        <v>125</v>
      </c>
      <c r="C54">
        <v>10</v>
      </c>
      <c r="D54" t="s">
        <v>1507</v>
      </c>
      <c r="E54" s="23" t="s">
        <v>1508</v>
      </c>
      <c r="F54">
        <v>117</v>
      </c>
      <c r="G54" t="s">
        <v>1509</v>
      </c>
      <c r="H54" s="2">
        <v>150000</v>
      </c>
      <c r="I54" s="2">
        <f t="shared" si="10"/>
        <v>17550000</v>
      </c>
      <c r="J54" s="2">
        <v>150000</v>
      </c>
      <c r="K54" s="2">
        <f t="shared" si="11"/>
        <v>17550000</v>
      </c>
      <c r="L54">
        <v>50000</v>
      </c>
      <c r="M54" s="2">
        <f t="shared" si="12"/>
        <v>5850000</v>
      </c>
      <c r="N54" s="2">
        <f t="shared" si="13"/>
        <v>350000</v>
      </c>
      <c r="O54" s="2">
        <f t="shared" si="14"/>
        <v>40950000</v>
      </c>
      <c r="P54" t="s">
        <v>247</v>
      </c>
      <c r="Q54" t="s">
        <v>1508</v>
      </c>
    </row>
    <row r="55" spans="1:17" ht="24" customHeight="1" x14ac:dyDescent="0.3">
      <c r="A55" t="s">
        <v>24</v>
      </c>
      <c r="B55" t="s">
        <v>125</v>
      </c>
      <c r="C55">
        <v>11</v>
      </c>
      <c r="D55" t="s">
        <v>1518</v>
      </c>
      <c r="E55" t="s">
        <v>1519</v>
      </c>
      <c r="F55">
        <v>420</v>
      </c>
      <c r="G55" t="s">
        <v>1509</v>
      </c>
      <c r="H55" s="2">
        <v>0</v>
      </c>
      <c r="I55" s="2">
        <f t="shared" si="10"/>
        <v>0</v>
      </c>
      <c r="J55" s="2">
        <v>6858</v>
      </c>
      <c r="K55" s="2">
        <f t="shared" si="11"/>
        <v>2880360</v>
      </c>
      <c r="L55" s="2">
        <v>0</v>
      </c>
      <c r="M55" s="2">
        <f t="shared" si="12"/>
        <v>0</v>
      </c>
      <c r="N55" s="2">
        <f t="shared" si="13"/>
        <v>6858</v>
      </c>
      <c r="O55" s="2">
        <f t="shared" si="14"/>
        <v>2880360</v>
      </c>
      <c r="Q55" t="s">
        <v>1519</v>
      </c>
    </row>
    <row r="56" spans="1:17" ht="24" customHeight="1" x14ac:dyDescent="0.3">
      <c r="A56" t="s">
        <v>24</v>
      </c>
      <c r="B56" t="s">
        <v>125</v>
      </c>
      <c r="C56">
        <v>12</v>
      </c>
      <c r="D56" t="s">
        <v>1520</v>
      </c>
      <c r="E56" t="s">
        <v>1521</v>
      </c>
      <c r="F56">
        <v>40</v>
      </c>
      <c r="G56" t="s">
        <v>168</v>
      </c>
      <c r="H56" s="2">
        <v>45000</v>
      </c>
      <c r="I56" s="2">
        <f t="shared" si="10"/>
        <v>1800000</v>
      </c>
      <c r="J56" s="2">
        <v>50000</v>
      </c>
      <c r="K56" s="2">
        <f t="shared" si="11"/>
        <v>2000000</v>
      </c>
      <c r="L56" s="2">
        <v>75000</v>
      </c>
      <c r="M56" s="2">
        <f t="shared" si="12"/>
        <v>3000000</v>
      </c>
      <c r="N56" s="2">
        <f t="shared" si="13"/>
        <v>170000</v>
      </c>
      <c r="O56" s="2">
        <f t="shared" si="14"/>
        <v>6800000</v>
      </c>
      <c r="P56" t="s">
        <v>247</v>
      </c>
      <c r="Q56" t="s">
        <v>1520</v>
      </c>
    </row>
    <row r="57" spans="1:17" ht="24" customHeight="1" x14ac:dyDescent="0.3">
      <c r="A57" t="s">
        <v>24</v>
      </c>
      <c r="B57" t="s">
        <v>125</v>
      </c>
      <c r="C57">
        <v>13</v>
      </c>
      <c r="D57" t="s">
        <v>1522</v>
      </c>
      <c r="E57" t="s">
        <v>1523</v>
      </c>
      <c r="F57">
        <v>182</v>
      </c>
      <c r="G57" t="s">
        <v>168</v>
      </c>
      <c r="H57" s="2">
        <v>45000</v>
      </c>
      <c r="I57" s="2">
        <f t="shared" si="10"/>
        <v>8190000</v>
      </c>
      <c r="J57" s="2">
        <v>50000</v>
      </c>
      <c r="K57" s="2">
        <f t="shared" si="11"/>
        <v>9100000</v>
      </c>
      <c r="L57" s="2">
        <v>75000</v>
      </c>
      <c r="M57" s="2">
        <f t="shared" si="12"/>
        <v>13650000</v>
      </c>
      <c r="N57" s="2">
        <f t="shared" si="13"/>
        <v>170000</v>
      </c>
      <c r="O57" s="2">
        <f t="shared" si="14"/>
        <v>30940000</v>
      </c>
      <c r="P57" t="s">
        <v>247</v>
      </c>
      <c r="Q57" t="s">
        <v>1522</v>
      </c>
    </row>
    <row r="58" spans="1:17" ht="24" customHeight="1" x14ac:dyDescent="0.3">
      <c r="A58" t="s">
        <v>24</v>
      </c>
      <c r="B58" t="s">
        <v>125</v>
      </c>
      <c r="C58">
        <v>14</v>
      </c>
      <c r="D58" t="s">
        <v>1524</v>
      </c>
      <c r="E58" t="s">
        <v>1511</v>
      </c>
      <c r="F58">
        <v>170</v>
      </c>
      <c r="G58" t="s">
        <v>199</v>
      </c>
      <c r="H58" s="2">
        <v>2290</v>
      </c>
      <c r="I58" s="2">
        <f t="shared" si="10"/>
        <v>389300</v>
      </c>
      <c r="J58" s="2">
        <v>40880</v>
      </c>
      <c r="K58" s="2">
        <f t="shared" si="11"/>
        <v>6949600</v>
      </c>
      <c r="L58" s="2">
        <v>2681</v>
      </c>
      <c r="M58" s="2">
        <f t="shared" si="12"/>
        <v>455770</v>
      </c>
      <c r="N58" s="2">
        <f t="shared" si="13"/>
        <v>45851</v>
      </c>
      <c r="O58" s="2">
        <f t="shared" si="14"/>
        <v>7794670</v>
      </c>
      <c r="Q58" t="s">
        <v>1511</v>
      </c>
    </row>
    <row r="59" spans="1:17" ht="24" customHeight="1" x14ac:dyDescent="0.3">
      <c r="A59" t="s">
        <v>24</v>
      </c>
      <c r="B59" t="s">
        <v>125</v>
      </c>
      <c r="C59">
        <v>15</v>
      </c>
      <c r="D59" t="s">
        <v>1512</v>
      </c>
      <c r="E59" t="s">
        <v>1513</v>
      </c>
      <c r="F59">
        <v>2823</v>
      </c>
      <c r="G59" t="s">
        <v>168</v>
      </c>
      <c r="H59" s="2">
        <v>185</v>
      </c>
      <c r="I59" s="2">
        <f t="shared" si="10"/>
        <v>522255</v>
      </c>
      <c r="J59" s="2">
        <v>197</v>
      </c>
      <c r="K59" s="2">
        <f t="shared" si="11"/>
        <v>556131</v>
      </c>
      <c r="L59" s="2">
        <v>139</v>
      </c>
      <c r="M59" s="2">
        <f t="shared" si="12"/>
        <v>392397</v>
      </c>
      <c r="N59" s="2">
        <f t="shared" si="13"/>
        <v>521</v>
      </c>
      <c r="O59" s="2">
        <f t="shared" si="14"/>
        <v>1470783</v>
      </c>
      <c r="Q59" t="s">
        <v>1513</v>
      </c>
    </row>
    <row r="60" spans="1:17" ht="24" customHeight="1" x14ac:dyDescent="0.3">
      <c r="A60" t="s">
        <v>24</v>
      </c>
      <c r="B60" t="s">
        <v>125</v>
      </c>
      <c r="C60">
        <v>16</v>
      </c>
      <c r="D60" t="s">
        <v>1514</v>
      </c>
      <c r="E60" t="s">
        <v>1389</v>
      </c>
      <c r="F60">
        <v>12357</v>
      </c>
      <c r="G60" t="s">
        <v>654</v>
      </c>
      <c r="I60" s="2">
        <f t="shared" si="10"/>
        <v>0</v>
      </c>
      <c r="J60" s="2">
        <v>3797</v>
      </c>
      <c r="K60" s="2">
        <f t="shared" si="11"/>
        <v>46919529</v>
      </c>
      <c r="M60" s="2">
        <f t="shared" si="12"/>
        <v>0</v>
      </c>
      <c r="N60" s="2">
        <f t="shared" si="13"/>
        <v>3797</v>
      </c>
      <c r="O60" s="2">
        <f t="shared" si="14"/>
        <v>46919529</v>
      </c>
      <c r="P60" t="s">
        <v>247</v>
      </c>
      <c r="Q60" t="s">
        <v>1514</v>
      </c>
    </row>
    <row r="61" spans="1:17" ht="24" customHeight="1" x14ac:dyDescent="0.3">
      <c r="A61" t="s">
        <v>24</v>
      </c>
      <c r="B61" t="s">
        <v>125</v>
      </c>
      <c r="C61">
        <v>17</v>
      </c>
      <c r="D61" t="s">
        <v>1515</v>
      </c>
      <c r="E61" t="s">
        <v>167</v>
      </c>
      <c r="F61">
        <v>1250</v>
      </c>
      <c r="G61" t="s">
        <v>168</v>
      </c>
      <c r="H61" s="2">
        <v>0</v>
      </c>
      <c r="I61" s="2">
        <f t="shared" si="10"/>
        <v>0</v>
      </c>
      <c r="J61" s="2">
        <v>4699</v>
      </c>
      <c r="K61" s="2">
        <f t="shared" si="11"/>
        <v>5873750</v>
      </c>
      <c r="L61" s="2">
        <v>0</v>
      </c>
      <c r="M61" s="2">
        <f t="shared" si="12"/>
        <v>0</v>
      </c>
      <c r="N61" s="2">
        <f t="shared" si="13"/>
        <v>4699</v>
      </c>
      <c r="O61" s="2">
        <f t="shared" si="14"/>
        <v>5873750</v>
      </c>
      <c r="Q61" t="s">
        <v>167</v>
      </c>
    </row>
    <row r="62" spans="1:17" ht="24" customHeight="1" x14ac:dyDescent="0.3">
      <c r="A62" s="10" t="s">
        <v>24</v>
      </c>
      <c r="B62" s="10" t="s">
        <v>125</v>
      </c>
      <c r="C62" s="10"/>
      <c r="D62" s="10" t="s">
        <v>1525</v>
      </c>
      <c r="E62" s="10"/>
      <c r="F62" s="10"/>
      <c r="G62" s="10"/>
      <c r="H62" s="10"/>
      <c r="I62" s="11">
        <f>SUM(I45:I61)</f>
        <v>29399705</v>
      </c>
      <c r="J62" s="10"/>
      <c r="K62" s="11">
        <f>SUM(K45:K61)</f>
        <v>97090365</v>
      </c>
      <c r="L62" s="10"/>
      <c r="M62" s="11">
        <f>SUM(M45:M61)</f>
        <v>24416798</v>
      </c>
      <c r="N62" s="10"/>
      <c r="O62" s="11">
        <f>SUM(O45:O61)</f>
        <v>150906868</v>
      </c>
      <c r="P62" s="10"/>
      <c r="Q62" s="10" t="s">
        <v>1526</v>
      </c>
    </row>
    <row r="63" spans="1:17" ht="24" customHeight="1" x14ac:dyDescent="0.3">
      <c r="A63" t="s">
        <v>24</v>
      </c>
      <c r="B63" t="s">
        <v>126</v>
      </c>
      <c r="C63">
        <v>1</v>
      </c>
      <c r="D63" t="s">
        <v>1492</v>
      </c>
      <c r="E63" t="s">
        <v>725</v>
      </c>
      <c r="F63">
        <v>1</v>
      </c>
      <c r="G63" t="s">
        <v>233</v>
      </c>
      <c r="H63" s="2">
        <v>0</v>
      </c>
      <c r="I63" s="2">
        <f t="shared" ref="I63:I79" si="15">F63*H63</f>
        <v>0</v>
      </c>
      <c r="J63" s="2">
        <v>71377</v>
      </c>
      <c r="K63" s="2">
        <f t="shared" ref="K63:K79" si="16">F63*J63</f>
        <v>71377</v>
      </c>
      <c r="L63" s="2">
        <v>0</v>
      </c>
      <c r="M63" s="2">
        <f t="shared" ref="M63:M79" si="17">F63*L63</f>
        <v>0</v>
      </c>
      <c r="N63" s="2">
        <f t="shared" ref="N63:N79" si="18">H63+J63+L63</f>
        <v>71377</v>
      </c>
      <c r="O63" s="2">
        <f t="shared" ref="O63:O79" si="19">I63+K63+M63</f>
        <v>71377</v>
      </c>
      <c r="Q63" t="s">
        <v>725</v>
      </c>
    </row>
    <row r="64" spans="1:17" ht="24" customHeight="1" x14ac:dyDescent="0.3">
      <c r="A64" t="s">
        <v>24</v>
      </c>
      <c r="B64" t="s">
        <v>126</v>
      </c>
      <c r="C64">
        <v>2</v>
      </c>
      <c r="D64" t="s">
        <v>1493</v>
      </c>
      <c r="E64" t="s">
        <v>1494</v>
      </c>
      <c r="F64">
        <v>3</v>
      </c>
      <c r="G64" t="s">
        <v>233</v>
      </c>
      <c r="H64" s="2">
        <v>5775</v>
      </c>
      <c r="I64" s="2">
        <f t="shared" si="15"/>
        <v>17325</v>
      </c>
      <c r="J64" s="2">
        <v>258574</v>
      </c>
      <c r="K64" s="2">
        <f t="shared" si="16"/>
        <v>775722</v>
      </c>
      <c r="L64" s="2">
        <v>3583</v>
      </c>
      <c r="M64" s="2">
        <f t="shared" si="17"/>
        <v>10749</v>
      </c>
      <c r="N64" s="2">
        <f t="shared" si="18"/>
        <v>267932</v>
      </c>
      <c r="O64" s="2">
        <f t="shared" si="19"/>
        <v>803796</v>
      </c>
      <c r="Q64" t="s">
        <v>1495</v>
      </c>
    </row>
    <row r="65" spans="1:17" ht="24" customHeight="1" x14ac:dyDescent="0.3">
      <c r="A65" t="s">
        <v>24</v>
      </c>
      <c r="B65" t="s">
        <v>126</v>
      </c>
      <c r="C65">
        <v>3</v>
      </c>
      <c r="D65" t="s">
        <v>1496</v>
      </c>
      <c r="F65">
        <v>1</v>
      </c>
      <c r="G65" t="s">
        <v>233</v>
      </c>
      <c r="H65">
        <v>340000</v>
      </c>
      <c r="I65" s="2">
        <f t="shared" si="15"/>
        <v>340000</v>
      </c>
      <c r="J65" s="2">
        <v>75000</v>
      </c>
      <c r="K65" s="2">
        <f t="shared" si="16"/>
        <v>75000</v>
      </c>
      <c r="L65">
        <v>75000</v>
      </c>
      <c r="M65" s="2">
        <f t="shared" si="17"/>
        <v>75000</v>
      </c>
      <c r="N65" s="2">
        <f t="shared" si="18"/>
        <v>490000</v>
      </c>
      <c r="O65" s="2">
        <f t="shared" si="19"/>
        <v>490000</v>
      </c>
      <c r="P65" t="s">
        <v>247</v>
      </c>
      <c r="Q65" t="s">
        <v>1496</v>
      </c>
    </row>
    <row r="66" spans="1:17" ht="24" customHeight="1" x14ac:dyDescent="0.3">
      <c r="A66" t="s">
        <v>24</v>
      </c>
      <c r="B66" t="s">
        <v>126</v>
      </c>
      <c r="C66">
        <v>4</v>
      </c>
      <c r="D66" t="s">
        <v>1497</v>
      </c>
      <c r="E66" t="s">
        <v>880</v>
      </c>
      <c r="F66">
        <v>36</v>
      </c>
      <c r="G66" t="s">
        <v>199</v>
      </c>
      <c r="H66" s="2">
        <v>230</v>
      </c>
      <c r="I66" s="2">
        <f t="shared" si="15"/>
        <v>8280</v>
      </c>
      <c r="J66" s="2">
        <v>4360</v>
      </c>
      <c r="K66" s="2">
        <f t="shared" si="16"/>
        <v>156960</v>
      </c>
      <c r="L66" s="2">
        <v>0</v>
      </c>
      <c r="M66" s="2">
        <f t="shared" si="17"/>
        <v>0</v>
      </c>
      <c r="N66" s="2">
        <f t="shared" si="18"/>
        <v>4590</v>
      </c>
      <c r="O66" s="2">
        <f t="shared" si="19"/>
        <v>165240</v>
      </c>
      <c r="Q66" t="s">
        <v>881</v>
      </c>
    </row>
    <row r="67" spans="1:17" ht="24" customHeight="1" x14ac:dyDescent="0.3">
      <c r="A67" t="s">
        <v>24</v>
      </c>
      <c r="B67" t="s">
        <v>126</v>
      </c>
      <c r="C67">
        <v>5</v>
      </c>
      <c r="D67" t="s">
        <v>1498</v>
      </c>
      <c r="E67" t="s">
        <v>1499</v>
      </c>
      <c r="F67">
        <v>70</v>
      </c>
      <c r="G67" t="s">
        <v>199</v>
      </c>
      <c r="H67" s="2">
        <v>230</v>
      </c>
      <c r="I67" s="2">
        <f t="shared" si="15"/>
        <v>16100</v>
      </c>
      <c r="J67" s="2">
        <v>4360</v>
      </c>
      <c r="K67" s="2">
        <f t="shared" si="16"/>
        <v>305200</v>
      </c>
      <c r="L67" s="2">
        <v>0</v>
      </c>
      <c r="M67" s="2">
        <f t="shared" si="17"/>
        <v>0</v>
      </c>
      <c r="N67" s="2">
        <f t="shared" si="18"/>
        <v>4590</v>
      </c>
      <c r="O67" s="2">
        <f t="shared" si="19"/>
        <v>321300</v>
      </c>
      <c r="Q67" t="s">
        <v>535</v>
      </c>
    </row>
    <row r="68" spans="1:17" ht="24" customHeight="1" x14ac:dyDescent="0.3">
      <c r="A68" t="s">
        <v>24</v>
      </c>
      <c r="B68" t="s">
        <v>126</v>
      </c>
      <c r="C68">
        <v>6</v>
      </c>
      <c r="D68" t="s">
        <v>1500</v>
      </c>
      <c r="E68" t="s">
        <v>933</v>
      </c>
      <c r="F68">
        <v>6</v>
      </c>
      <c r="G68" t="s">
        <v>316</v>
      </c>
      <c r="H68" s="2">
        <v>505</v>
      </c>
      <c r="I68" s="2">
        <f t="shared" si="15"/>
        <v>3030</v>
      </c>
      <c r="J68" s="2">
        <v>25263</v>
      </c>
      <c r="K68" s="2">
        <f t="shared" si="16"/>
        <v>151578</v>
      </c>
      <c r="L68" s="2">
        <v>0</v>
      </c>
      <c r="M68" s="2">
        <f t="shared" si="17"/>
        <v>0</v>
      </c>
      <c r="N68" s="2">
        <f t="shared" si="18"/>
        <v>25768</v>
      </c>
      <c r="O68" s="2">
        <f t="shared" si="19"/>
        <v>154608</v>
      </c>
      <c r="Q68" t="s">
        <v>1501</v>
      </c>
    </row>
    <row r="69" spans="1:17" ht="24" customHeight="1" x14ac:dyDescent="0.3">
      <c r="A69" t="s">
        <v>24</v>
      </c>
      <c r="B69" t="s">
        <v>126</v>
      </c>
      <c r="C69">
        <v>7</v>
      </c>
      <c r="D69" t="s">
        <v>1502</v>
      </c>
      <c r="E69" t="s">
        <v>1503</v>
      </c>
      <c r="F69">
        <v>12</v>
      </c>
      <c r="G69" t="s">
        <v>316</v>
      </c>
      <c r="H69" s="2">
        <v>180000</v>
      </c>
      <c r="I69" s="2">
        <f t="shared" si="15"/>
        <v>2160000</v>
      </c>
      <c r="J69" s="2">
        <v>25263</v>
      </c>
      <c r="K69" s="2">
        <f t="shared" si="16"/>
        <v>303156</v>
      </c>
      <c r="M69" s="2">
        <f t="shared" si="17"/>
        <v>0</v>
      </c>
      <c r="N69" s="2">
        <f t="shared" si="18"/>
        <v>205263</v>
      </c>
      <c r="O69" s="2">
        <f t="shared" si="19"/>
        <v>2463156</v>
      </c>
      <c r="P69" t="s">
        <v>247</v>
      </c>
      <c r="Q69" t="s">
        <v>1502</v>
      </c>
    </row>
    <row r="70" spans="1:17" ht="24" customHeight="1" x14ac:dyDescent="0.3">
      <c r="A70" t="s">
        <v>24</v>
      </c>
      <c r="B70" t="s">
        <v>126</v>
      </c>
      <c r="C70">
        <v>8</v>
      </c>
      <c r="D70" t="s">
        <v>1504</v>
      </c>
      <c r="E70" t="s">
        <v>224</v>
      </c>
      <c r="F70">
        <v>12</v>
      </c>
      <c r="G70" t="s">
        <v>199</v>
      </c>
      <c r="H70" s="2">
        <v>2339</v>
      </c>
      <c r="I70" s="2">
        <f t="shared" si="15"/>
        <v>28068</v>
      </c>
      <c r="J70" s="2">
        <v>19375</v>
      </c>
      <c r="K70" s="2">
        <f t="shared" si="16"/>
        <v>232500</v>
      </c>
      <c r="L70" s="2">
        <v>2505</v>
      </c>
      <c r="M70" s="2">
        <f t="shared" si="17"/>
        <v>30060</v>
      </c>
      <c r="N70" s="2">
        <f t="shared" si="18"/>
        <v>24219</v>
      </c>
      <c r="O70" s="2">
        <f t="shared" si="19"/>
        <v>290628</v>
      </c>
      <c r="Q70" t="s">
        <v>222</v>
      </c>
    </row>
    <row r="71" spans="1:17" ht="24" customHeight="1" x14ac:dyDescent="0.3">
      <c r="A71" t="s">
        <v>24</v>
      </c>
      <c r="B71" t="s">
        <v>126</v>
      </c>
      <c r="C71">
        <v>9</v>
      </c>
      <c r="D71" t="s">
        <v>1505</v>
      </c>
      <c r="E71" t="s">
        <v>1506</v>
      </c>
      <c r="F71">
        <v>8</v>
      </c>
      <c r="G71" t="s">
        <v>199</v>
      </c>
      <c r="H71" s="2">
        <v>32611</v>
      </c>
      <c r="I71" s="2">
        <f t="shared" si="15"/>
        <v>260888</v>
      </c>
      <c r="J71" s="2">
        <v>106288</v>
      </c>
      <c r="K71" s="2">
        <f t="shared" si="16"/>
        <v>850304</v>
      </c>
      <c r="L71" s="2">
        <v>62900</v>
      </c>
      <c r="M71" s="2">
        <f t="shared" si="17"/>
        <v>503200</v>
      </c>
      <c r="N71" s="2">
        <f t="shared" si="18"/>
        <v>201799</v>
      </c>
      <c r="O71" s="2">
        <f t="shared" si="19"/>
        <v>1614392</v>
      </c>
      <c r="Q71" t="s">
        <v>1506</v>
      </c>
    </row>
    <row r="72" spans="1:17" ht="24" customHeight="1" x14ac:dyDescent="0.3">
      <c r="A72" t="s">
        <v>24</v>
      </c>
      <c r="B72" t="s">
        <v>126</v>
      </c>
      <c r="C72">
        <v>10</v>
      </c>
      <c r="D72" t="s">
        <v>1527</v>
      </c>
      <c r="E72" t="s">
        <v>1528</v>
      </c>
      <c r="F72">
        <v>120</v>
      </c>
      <c r="G72" t="s">
        <v>168</v>
      </c>
      <c r="H72" s="2">
        <v>45000</v>
      </c>
      <c r="I72" s="2">
        <f t="shared" si="15"/>
        <v>5400000</v>
      </c>
      <c r="J72" s="2">
        <v>50000</v>
      </c>
      <c r="K72" s="2">
        <f t="shared" si="16"/>
        <v>6000000</v>
      </c>
      <c r="L72" s="2">
        <v>75000</v>
      </c>
      <c r="M72" s="2">
        <f t="shared" si="17"/>
        <v>9000000</v>
      </c>
      <c r="N72" s="2">
        <f t="shared" si="18"/>
        <v>170000</v>
      </c>
      <c r="O72" s="2">
        <f t="shared" si="19"/>
        <v>20400000</v>
      </c>
      <c r="P72" t="s">
        <v>247</v>
      </c>
      <c r="Q72" t="s">
        <v>1527</v>
      </c>
    </row>
    <row r="73" spans="1:17" ht="24" customHeight="1" x14ac:dyDescent="0.3">
      <c r="A73" t="s">
        <v>24</v>
      </c>
      <c r="B73" t="s">
        <v>126</v>
      </c>
      <c r="C73">
        <v>11</v>
      </c>
      <c r="D73" t="s">
        <v>1529</v>
      </c>
      <c r="E73" t="s">
        <v>1530</v>
      </c>
      <c r="F73">
        <v>38</v>
      </c>
      <c r="G73" t="s">
        <v>168</v>
      </c>
      <c r="H73" s="2">
        <v>1915</v>
      </c>
      <c r="I73" s="2">
        <f t="shared" si="15"/>
        <v>72770</v>
      </c>
      <c r="J73" s="2">
        <v>63817</v>
      </c>
      <c r="K73" s="2">
        <f t="shared" si="16"/>
        <v>2425046</v>
      </c>
      <c r="L73" s="2">
        <v>2824</v>
      </c>
      <c r="M73" s="2">
        <f t="shared" si="17"/>
        <v>107312</v>
      </c>
      <c r="N73" s="2">
        <f t="shared" si="18"/>
        <v>68556</v>
      </c>
      <c r="O73" s="2">
        <f t="shared" si="19"/>
        <v>2605128</v>
      </c>
      <c r="Q73" t="s">
        <v>1529</v>
      </c>
    </row>
    <row r="74" spans="1:17" ht="24" customHeight="1" x14ac:dyDescent="0.3">
      <c r="A74" t="s">
        <v>24</v>
      </c>
      <c r="B74" t="s">
        <v>126</v>
      </c>
      <c r="C74">
        <v>12</v>
      </c>
      <c r="D74" t="s">
        <v>1520</v>
      </c>
      <c r="E74" t="s">
        <v>1531</v>
      </c>
      <c r="F74">
        <v>175</v>
      </c>
      <c r="G74" t="s">
        <v>168</v>
      </c>
      <c r="H74" s="2">
        <v>45000</v>
      </c>
      <c r="I74" s="2">
        <f t="shared" si="15"/>
        <v>7875000</v>
      </c>
      <c r="J74" s="2">
        <v>50000</v>
      </c>
      <c r="K74" s="2">
        <f t="shared" si="16"/>
        <v>8750000</v>
      </c>
      <c r="L74" s="2">
        <v>75000</v>
      </c>
      <c r="M74" s="2">
        <f t="shared" si="17"/>
        <v>13125000</v>
      </c>
      <c r="N74" s="2">
        <f t="shared" si="18"/>
        <v>170000</v>
      </c>
      <c r="O74" s="2">
        <f t="shared" si="19"/>
        <v>29750000</v>
      </c>
      <c r="P74" t="s">
        <v>247</v>
      </c>
      <c r="Q74" t="s">
        <v>1520</v>
      </c>
    </row>
    <row r="75" spans="1:17" ht="24" customHeight="1" x14ac:dyDescent="0.3">
      <c r="A75" t="s">
        <v>24</v>
      </c>
      <c r="B75" t="s">
        <v>126</v>
      </c>
      <c r="C75">
        <v>13</v>
      </c>
      <c r="D75" t="s">
        <v>1532</v>
      </c>
      <c r="E75" t="s">
        <v>1511</v>
      </c>
      <c r="F75">
        <v>167</v>
      </c>
      <c r="G75" t="s">
        <v>199</v>
      </c>
      <c r="H75" s="2">
        <v>2290</v>
      </c>
      <c r="I75" s="2">
        <f t="shared" si="15"/>
        <v>382430</v>
      </c>
      <c r="J75" s="2">
        <v>40880</v>
      </c>
      <c r="K75" s="2">
        <f t="shared" si="16"/>
        <v>6826960</v>
      </c>
      <c r="L75" s="2">
        <v>2681</v>
      </c>
      <c r="M75" s="2">
        <f t="shared" si="17"/>
        <v>447727</v>
      </c>
      <c r="N75" s="2">
        <f t="shared" si="18"/>
        <v>45851</v>
      </c>
      <c r="O75" s="2">
        <f t="shared" si="19"/>
        <v>7657117</v>
      </c>
      <c r="Q75" t="s">
        <v>1511</v>
      </c>
    </row>
    <row r="76" spans="1:17" ht="24" customHeight="1" x14ac:dyDescent="0.3">
      <c r="A76" t="s">
        <v>24</v>
      </c>
      <c r="B76" t="s">
        <v>126</v>
      </c>
      <c r="C76">
        <v>14</v>
      </c>
      <c r="D76" t="s">
        <v>1533</v>
      </c>
      <c r="E76" t="s">
        <v>417</v>
      </c>
      <c r="F76">
        <v>24</v>
      </c>
      <c r="G76" t="s">
        <v>418</v>
      </c>
      <c r="H76">
        <v>140000</v>
      </c>
      <c r="I76" s="2">
        <f t="shared" si="15"/>
        <v>3360000</v>
      </c>
      <c r="J76">
        <v>120000</v>
      </c>
      <c r="K76" s="2">
        <f t="shared" si="16"/>
        <v>2880000</v>
      </c>
      <c r="L76">
        <v>80000</v>
      </c>
      <c r="M76" s="2">
        <f t="shared" si="17"/>
        <v>1920000</v>
      </c>
      <c r="N76" s="2">
        <f t="shared" si="18"/>
        <v>340000</v>
      </c>
      <c r="O76" s="2">
        <f t="shared" si="19"/>
        <v>8160000</v>
      </c>
      <c r="P76" t="s">
        <v>247</v>
      </c>
      <c r="Q76" t="s">
        <v>1534</v>
      </c>
    </row>
    <row r="77" spans="1:17" ht="24" customHeight="1" x14ac:dyDescent="0.3">
      <c r="A77" t="s">
        <v>24</v>
      </c>
      <c r="B77" t="s">
        <v>126</v>
      </c>
      <c r="C77">
        <v>15</v>
      </c>
      <c r="D77" t="s">
        <v>1535</v>
      </c>
      <c r="E77" t="s">
        <v>1513</v>
      </c>
      <c r="F77">
        <v>1888</v>
      </c>
      <c r="G77" t="s">
        <v>168</v>
      </c>
      <c r="H77" s="2">
        <v>185</v>
      </c>
      <c r="I77" s="2">
        <f t="shared" si="15"/>
        <v>349280</v>
      </c>
      <c r="J77" s="2">
        <v>197</v>
      </c>
      <c r="K77" s="2">
        <f t="shared" si="16"/>
        <v>371936</v>
      </c>
      <c r="L77" s="2">
        <v>139</v>
      </c>
      <c r="M77" s="2">
        <f t="shared" si="17"/>
        <v>262432</v>
      </c>
      <c r="N77" s="2">
        <f t="shared" si="18"/>
        <v>521</v>
      </c>
      <c r="O77" s="2">
        <f t="shared" si="19"/>
        <v>983648</v>
      </c>
      <c r="Q77" t="s">
        <v>1513</v>
      </c>
    </row>
    <row r="78" spans="1:17" ht="24" customHeight="1" x14ac:dyDescent="0.3">
      <c r="A78" t="s">
        <v>24</v>
      </c>
      <c r="B78" t="s">
        <v>126</v>
      </c>
      <c r="C78">
        <v>16</v>
      </c>
      <c r="D78" t="s">
        <v>1514</v>
      </c>
      <c r="E78" t="s">
        <v>1389</v>
      </c>
      <c r="F78">
        <v>10791</v>
      </c>
      <c r="G78" t="s">
        <v>654</v>
      </c>
      <c r="I78" s="2">
        <f t="shared" si="15"/>
        <v>0</v>
      </c>
      <c r="J78" s="2">
        <v>3797</v>
      </c>
      <c r="K78" s="2">
        <f t="shared" si="16"/>
        <v>40973427</v>
      </c>
      <c r="M78" s="2">
        <f t="shared" si="17"/>
        <v>0</v>
      </c>
      <c r="N78" s="2">
        <f t="shared" si="18"/>
        <v>3797</v>
      </c>
      <c r="O78" s="2">
        <f t="shared" si="19"/>
        <v>40973427</v>
      </c>
      <c r="P78" t="s">
        <v>247</v>
      </c>
      <c r="Q78" t="s">
        <v>1514</v>
      </c>
    </row>
    <row r="79" spans="1:17" ht="24" customHeight="1" x14ac:dyDescent="0.3">
      <c r="A79" t="s">
        <v>24</v>
      </c>
      <c r="B79" t="s">
        <v>126</v>
      </c>
      <c r="C79">
        <v>17</v>
      </c>
      <c r="D79" t="s">
        <v>1515</v>
      </c>
      <c r="E79" t="s">
        <v>167</v>
      </c>
      <c r="F79">
        <v>1060</v>
      </c>
      <c r="G79" t="s">
        <v>168</v>
      </c>
      <c r="H79" s="2">
        <v>0</v>
      </c>
      <c r="I79" s="2">
        <f t="shared" si="15"/>
        <v>0</v>
      </c>
      <c r="J79" s="2">
        <v>4699</v>
      </c>
      <c r="K79" s="2">
        <f t="shared" si="16"/>
        <v>4980940</v>
      </c>
      <c r="L79" s="2">
        <v>0</v>
      </c>
      <c r="M79" s="2">
        <f t="shared" si="17"/>
        <v>0</v>
      </c>
      <c r="N79" s="2">
        <f t="shared" si="18"/>
        <v>4699</v>
      </c>
      <c r="O79" s="2">
        <f t="shared" si="19"/>
        <v>4980940</v>
      </c>
      <c r="Q79" t="s">
        <v>167</v>
      </c>
    </row>
    <row r="80" spans="1:17" ht="24" customHeight="1" x14ac:dyDescent="0.3">
      <c r="A80" s="10" t="s">
        <v>24</v>
      </c>
      <c r="B80" s="10" t="s">
        <v>126</v>
      </c>
      <c r="C80" s="10"/>
      <c r="D80" s="10" t="s">
        <v>1536</v>
      </c>
      <c r="E80" s="10"/>
      <c r="F80" s="10"/>
      <c r="G80" s="10"/>
      <c r="H80" s="10"/>
      <c r="I80" s="11">
        <f>SUM(I63:I79)</f>
        <v>20273171</v>
      </c>
      <c r="J80" s="10"/>
      <c r="K80" s="11">
        <f>SUM(K63:K79)</f>
        <v>76130106</v>
      </c>
      <c r="L80" s="10"/>
      <c r="M80" s="11">
        <f>SUM(M63:M79)</f>
        <v>25481480</v>
      </c>
      <c r="N80" s="10"/>
      <c r="O80" s="11">
        <f>SUM(O63:O79)</f>
        <v>121884757</v>
      </c>
      <c r="P80" s="10"/>
      <c r="Q80" s="10" t="s">
        <v>1526</v>
      </c>
    </row>
    <row r="81" spans="1:17" ht="24" customHeight="1" x14ac:dyDescent="0.3">
      <c r="A81" t="s">
        <v>24</v>
      </c>
      <c r="B81" t="s">
        <v>127</v>
      </c>
      <c r="C81">
        <v>1</v>
      </c>
      <c r="D81" t="s">
        <v>1492</v>
      </c>
      <c r="E81" t="s">
        <v>725</v>
      </c>
      <c r="F81">
        <v>1</v>
      </c>
      <c r="G81" t="s">
        <v>233</v>
      </c>
      <c r="H81" s="2">
        <v>0</v>
      </c>
      <c r="I81" s="2">
        <f t="shared" ref="I81:I95" si="20">F81*H81</f>
        <v>0</v>
      </c>
      <c r="J81" s="2">
        <v>71377</v>
      </c>
      <c r="K81" s="2">
        <f t="shared" ref="K81:K95" si="21">F81*J81</f>
        <v>71377</v>
      </c>
      <c r="L81" s="2">
        <v>0</v>
      </c>
      <c r="M81" s="2">
        <f t="shared" ref="M81:M95" si="22">F81*L81</f>
        <v>0</v>
      </c>
      <c r="N81" s="2">
        <f t="shared" ref="N81:N95" si="23">H81+J81+L81</f>
        <v>71377</v>
      </c>
      <c r="O81" s="2">
        <f t="shared" ref="O81:O95" si="24">I81+K81+M81</f>
        <v>71377</v>
      </c>
      <c r="Q81" t="s">
        <v>725</v>
      </c>
    </row>
    <row r="82" spans="1:17" ht="24" customHeight="1" x14ac:dyDescent="0.3">
      <c r="A82" t="s">
        <v>24</v>
      </c>
      <c r="B82" t="s">
        <v>127</v>
      </c>
      <c r="C82">
        <v>2</v>
      </c>
      <c r="D82" t="s">
        <v>1493</v>
      </c>
      <c r="E82" t="s">
        <v>1494</v>
      </c>
      <c r="F82">
        <v>4</v>
      </c>
      <c r="G82" t="s">
        <v>233</v>
      </c>
      <c r="H82" s="2">
        <v>5775</v>
      </c>
      <c r="I82" s="2">
        <f t="shared" si="20"/>
        <v>23100</v>
      </c>
      <c r="J82" s="2">
        <v>258574</v>
      </c>
      <c r="K82" s="2">
        <f t="shared" si="21"/>
        <v>1034296</v>
      </c>
      <c r="L82" s="2">
        <v>3583</v>
      </c>
      <c r="M82" s="2">
        <f t="shared" si="22"/>
        <v>14332</v>
      </c>
      <c r="N82" s="2">
        <f t="shared" si="23"/>
        <v>267932</v>
      </c>
      <c r="O82" s="2">
        <f t="shared" si="24"/>
        <v>1071728</v>
      </c>
      <c r="Q82" t="s">
        <v>1495</v>
      </c>
    </row>
    <row r="83" spans="1:17" ht="24" customHeight="1" x14ac:dyDescent="0.3">
      <c r="A83" t="s">
        <v>24</v>
      </c>
      <c r="B83" t="s">
        <v>127</v>
      </c>
      <c r="C83">
        <v>3</v>
      </c>
      <c r="D83" t="s">
        <v>1496</v>
      </c>
      <c r="F83">
        <v>1</v>
      </c>
      <c r="G83" t="s">
        <v>233</v>
      </c>
      <c r="H83">
        <v>340000</v>
      </c>
      <c r="I83" s="2">
        <f t="shared" si="20"/>
        <v>340000</v>
      </c>
      <c r="J83" s="2">
        <v>75000</v>
      </c>
      <c r="K83" s="2">
        <f t="shared" si="21"/>
        <v>75000</v>
      </c>
      <c r="L83">
        <v>75000</v>
      </c>
      <c r="M83" s="2">
        <f t="shared" si="22"/>
        <v>75000</v>
      </c>
      <c r="N83" s="2">
        <f t="shared" si="23"/>
        <v>490000</v>
      </c>
      <c r="O83" s="2">
        <f t="shared" si="24"/>
        <v>490000</v>
      </c>
      <c r="P83" t="s">
        <v>247</v>
      </c>
      <c r="Q83" t="s">
        <v>1496</v>
      </c>
    </row>
    <row r="84" spans="1:17" ht="24" customHeight="1" x14ac:dyDescent="0.3">
      <c r="A84" t="s">
        <v>24</v>
      </c>
      <c r="B84" t="s">
        <v>127</v>
      </c>
      <c r="C84">
        <v>4</v>
      </c>
      <c r="D84" t="s">
        <v>1497</v>
      </c>
      <c r="E84" t="s">
        <v>880</v>
      </c>
      <c r="F84">
        <v>20</v>
      </c>
      <c r="G84" t="s">
        <v>199</v>
      </c>
      <c r="H84" s="2">
        <v>230</v>
      </c>
      <c r="I84" s="2">
        <f t="shared" si="20"/>
        <v>4600</v>
      </c>
      <c r="J84" s="2">
        <v>4360</v>
      </c>
      <c r="K84" s="2">
        <f t="shared" si="21"/>
        <v>87200</v>
      </c>
      <c r="L84" s="2">
        <v>0</v>
      </c>
      <c r="M84" s="2">
        <f t="shared" si="22"/>
        <v>0</v>
      </c>
      <c r="N84" s="2">
        <f t="shared" si="23"/>
        <v>4590</v>
      </c>
      <c r="O84" s="2">
        <f t="shared" si="24"/>
        <v>91800</v>
      </c>
      <c r="Q84" t="s">
        <v>881</v>
      </c>
    </row>
    <row r="85" spans="1:17" ht="24" customHeight="1" x14ac:dyDescent="0.3">
      <c r="A85" t="s">
        <v>24</v>
      </c>
      <c r="B85" t="s">
        <v>127</v>
      </c>
      <c r="C85">
        <v>5</v>
      </c>
      <c r="D85" t="s">
        <v>1498</v>
      </c>
      <c r="E85" t="s">
        <v>1499</v>
      </c>
      <c r="F85">
        <v>85</v>
      </c>
      <c r="G85" t="s">
        <v>199</v>
      </c>
      <c r="H85" s="2">
        <v>230</v>
      </c>
      <c r="I85" s="2">
        <f t="shared" si="20"/>
        <v>19550</v>
      </c>
      <c r="J85" s="2">
        <v>4360</v>
      </c>
      <c r="K85" s="2">
        <f t="shared" si="21"/>
        <v>370600</v>
      </c>
      <c r="L85" s="2">
        <v>0</v>
      </c>
      <c r="M85" s="2">
        <f t="shared" si="22"/>
        <v>0</v>
      </c>
      <c r="N85" s="2">
        <f t="shared" si="23"/>
        <v>4590</v>
      </c>
      <c r="O85" s="2">
        <f t="shared" si="24"/>
        <v>390150</v>
      </c>
      <c r="Q85" t="s">
        <v>535</v>
      </c>
    </row>
    <row r="86" spans="1:17" ht="24" customHeight="1" x14ac:dyDescent="0.3">
      <c r="A86" t="s">
        <v>24</v>
      </c>
      <c r="B86" t="s">
        <v>127</v>
      </c>
      <c r="C86">
        <v>6</v>
      </c>
      <c r="D86" t="s">
        <v>1500</v>
      </c>
      <c r="E86" t="s">
        <v>933</v>
      </c>
      <c r="F86">
        <v>4</v>
      </c>
      <c r="G86" t="s">
        <v>316</v>
      </c>
      <c r="H86" s="2">
        <v>505</v>
      </c>
      <c r="I86" s="2">
        <f t="shared" si="20"/>
        <v>2020</v>
      </c>
      <c r="J86" s="2">
        <v>25263</v>
      </c>
      <c r="K86" s="2">
        <f t="shared" si="21"/>
        <v>101052</v>
      </c>
      <c r="L86" s="2">
        <v>0</v>
      </c>
      <c r="M86" s="2">
        <f t="shared" si="22"/>
        <v>0</v>
      </c>
      <c r="N86" s="2">
        <f t="shared" si="23"/>
        <v>25768</v>
      </c>
      <c r="O86" s="2">
        <f t="shared" si="24"/>
        <v>103072</v>
      </c>
      <c r="Q86" t="s">
        <v>1501</v>
      </c>
    </row>
    <row r="87" spans="1:17" ht="24" customHeight="1" x14ac:dyDescent="0.3">
      <c r="A87" t="s">
        <v>24</v>
      </c>
      <c r="B87" t="s">
        <v>127</v>
      </c>
      <c r="C87">
        <v>7</v>
      </c>
      <c r="D87" t="s">
        <v>1502</v>
      </c>
      <c r="E87" t="s">
        <v>1503</v>
      </c>
      <c r="F87">
        <v>15</v>
      </c>
      <c r="G87" t="s">
        <v>316</v>
      </c>
      <c r="H87" s="2">
        <v>180000</v>
      </c>
      <c r="I87" s="2">
        <f t="shared" si="20"/>
        <v>2700000</v>
      </c>
      <c r="J87" s="2">
        <v>25263</v>
      </c>
      <c r="K87" s="2">
        <f t="shared" si="21"/>
        <v>378945</v>
      </c>
      <c r="M87" s="2">
        <f t="shared" si="22"/>
        <v>0</v>
      </c>
      <c r="N87" s="2">
        <f t="shared" si="23"/>
        <v>205263</v>
      </c>
      <c r="O87" s="2">
        <f t="shared" si="24"/>
        <v>3078945</v>
      </c>
      <c r="P87" t="s">
        <v>247</v>
      </c>
      <c r="Q87" t="s">
        <v>1502</v>
      </c>
    </row>
    <row r="88" spans="1:17" ht="24" customHeight="1" x14ac:dyDescent="0.3">
      <c r="A88" t="s">
        <v>24</v>
      </c>
      <c r="B88" t="s">
        <v>127</v>
      </c>
      <c r="C88">
        <v>8</v>
      </c>
      <c r="D88" t="s">
        <v>1504</v>
      </c>
      <c r="E88" t="s">
        <v>224</v>
      </c>
      <c r="F88">
        <v>13</v>
      </c>
      <c r="G88" t="s">
        <v>199</v>
      </c>
      <c r="H88" s="2">
        <v>2339</v>
      </c>
      <c r="I88" s="2">
        <f t="shared" si="20"/>
        <v>30407</v>
      </c>
      <c r="J88" s="2">
        <v>19375</v>
      </c>
      <c r="K88" s="2">
        <f t="shared" si="21"/>
        <v>251875</v>
      </c>
      <c r="L88" s="2">
        <v>2505</v>
      </c>
      <c r="M88" s="2">
        <f t="shared" si="22"/>
        <v>32565</v>
      </c>
      <c r="N88" s="2">
        <f t="shared" si="23"/>
        <v>24219</v>
      </c>
      <c r="O88" s="2">
        <f t="shared" si="24"/>
        <v>314847</v>
      </c>
      <c r="Q88" t="s">
        <v>222</v>
      </c>
    </row>
    <row r="89" spans="1:17" ht="24" customHeight="1" x14ac:dyDescent="0.3">
      <c r="A89" t="s">
        <v>24</v>
      </c>
      <c r="B89" t="s">
        <v>127</v>
      </c>
      <c r="C89">
        <v>9</v>
      </c>
      <c r="D89" t="s">
        <v>1505</v>
      </c>
      <c r="E89" t="s">
        <v>1506</v>
      </c>
      <c r="F89">
        <v>8</v>
      </c>
      <c r="G89" t="s">
        <v>199</v>
      </c>
      <c r="H89" s="2">
        <v>32611</v>
      </c>
      <c r="I89" s="2">
        <f t="shared" si="20"/>
        <v>260888</v>
      </c>
      <c r="J89" s="2">
        <v>106288</v>
      </c>
      <c r="K89" s="2">
        <f t="shared" si="21"/>
        <v>850304</v>
      </c>
      <c r="L89" s="2">
        <v>62900</v>
      </c>
      <c r="M89" s="2">
        <f t="shared" si="22"/>
        <v>503200</v>
      </c>
      <c r="N89" s="2">
        <f t="shared" si="23"/>
        <v>201799</v>
      </c>
      <c r="O89" s="2">
        <f t="shared" si="24"/>
        <v>1614392</v>
      </c>
      <c r="Q89" t="s">
        <v>1506</v>
      </c>
    </row>
    <row r="90" spans="1:17" ht="24" customHeight="1" x14ac:dyDescent="0.3">
      <c r="A90" t="s">
        <v>24</v>
      </c>
      <c r="B90" t="s">
        <v>127</v>
      </c>
      <c r="C90">
        <v>10</v>
      </c>
      <c r="D90" t="s">
        <v>1527</v>
      </c>
      <c r="E90" t="s">
        <v>1537</v>
      </c>
      <c r="F90">
        <v>276</v>
      </c>
      <c r="G90" t="s">
        <v>168</v>
      </c>
      <c r="H90" s="2">
        <v>45000</v>
      </c>
      <c r="I90" s="2">
        <f t="shared" si="20"/>
        <v>12420000</v>
      </c>
      <c r="J90" s="2">
        <v>50000</v>
      </c>
      <c r="K90" s="2">
        <f t="shared" si="21"/>
        <v>13800000</v>
      </c>
      <c r="L90" s="2">
        <v>75000</v>
      </c>
      <c r="M90" s="2">
        <f t="shared" si="22"/>
        <v>20700000</v>
      </c>
      <c r="N90" s="2">
        <f t="shared" si="23"/>
        <v>170000</v>
      </c>
      <c r="O90" s="2">
        <f t="shared" si="24"/>
        <v>46920000</v>
      </c>
      <c r="P90" t="s">
        <v>247</v>
      </c>
      <c r="Q90" t="s">
        <v>1527</v>
      </c>
    </row>
    <row r="91" spans="1:17" ht="24" customHeight="1" x14ac:dyDescent="0.3">
      <c r="A91" t="s">
        <v>24</v>
      </c>
      <c r="B91" t="s">
        <v>127</v>
      </c>
      <c r="C91">
        <v>11</v>
      </c>
      <c r="D91" t="s">
        <v>1510</v>
      </c>
      <c r="E91" t="s">
        <v>1511</v>
      </c>
      <c r="F91">
        <v>200</v>
      </c>
      <c r="G91" t="s">
        <v>199</v>
      </c>
      <c r="H91" s="2">
        <v>2290</v>
      </c>
      <c r="I91" s="2">
        <f t="shared" si="20"/>
        <v>458000</v>
      </c>
      <c r="J91" s="2">
        <v>40880</v>
      </c>
      <c r="K91" s="2">
        <f t="shared" si="21"/>
        <v>8176000</v>
      </c>
      <c r="L91" s="2">
        <v>2681</v>
      </c>
      <c r="M91" s="2">
        <f t="shared" si="22"/>
        <v>536200</v>
      </c>
      <c r="N91" s="2">
        <f t="shared" si="23"/>
        <v>45851</v>
      </c>
      <c r="O91" s="2">
        <f t="shared" si="24"/>
        <v>9170200</v>
      </c>
      <c r="Q91" t="s">
        <v>1511</v>
      </c>
    </row>
    <row r="92" spans="1:17" ht="24" customHeight="1" x14ac:dyDescent="0.3">
      <c r="A92" t="s">
        <v>24</v>
      </c>
      <c r="B92" t="s">
        <v>127</v>
      </c>
      <c r="C92">
        <v>12</v>
      </c>
      <c r="D92" t="s">
        <v>1538</v>
      </c>
      <c r="E92" t="s">
        <v>417</v>
      </c>
      <c r="F92">
        <v>17</v>
      </c>
      <c r="G92" t="s">
        <v>418</v>
      </c>
      <c r="H92">
        <v>140000</v>
      </c>
      <c r="I92" s="2">
        <f t="shared" si="20"/>
        <v>2380000</v>
      </c>
      <c r="J92">
        <v>120000</v>
      </c>
      <c r="K92" s="2">
        <f t="shared" si="21"/>
        <v>2040000</v>
      </c>
      <c r="L92">
        <v>80000</v>
      </c>
      <c r="M92" s="2">
        <f t="shared" si="22"/>
        <v>1360000</v>
      </c>
      <c r="N92" s="2">
        <f t="shared" si="23"/>
        <v>340000</v>
      </c>
      <c r="O92" s="2">
        <f t="shared" si="24"/>
        <v>5780000</v>
      </c>
      <c r="P92" t="s">
        <v>247</v>
      </c>
      <c r="Q92" t="s">
        <v>1539</v>
      </c>
    </row>
    <row r="93" spans="1:17" ht="24" customHeight="1" x14ac:dyDescent="0.3">
      <c r="A93" t="s">
        <v>24</v>
      </c>
      <c r="B93" t="s">
        <v>127</v>
      </c>
      <c r="C93">
        <v>13</v>
      </c>
      <c r="D93" t="s">
        <v>1540</v>
      </c>
      <c r="E93" t="s">
        <v>1513</v>
      </c>
      <c r="F93">
        <v>1855</v>
      </c>
      <c r="G93" t="s">
        <v>168</v>
      </c>
      <c r="H93" s="2">
        <v>185</v>
      </c>
      <c r="I93" s="2">
        <f t="shared" si="20"/>
        <v>343175</v>
      </c>
      <c r="J93" s="2">
        <v>197</v>
      </c>
      <c r="K93" s="2">
        <f t="shared" si="21"/>
        <v>365435</v>
      </c>
      <c r="L93" s="2">
        <v>139</v>
      </c>
      <c r="M93" s="2">
        <f t="shared" si="22"/>
        <v>257845</v>
      </c>
      <c r="N93" s="2">
        <f t="shared" si="23"/>
        <v>521</v>
      </c>
      <c r="O93" s="2">
        <f t="shared" si="24"/>
        <v>966455</v>
      </c>
      <c r="Q93" t="s">
        <v>1513</v>
      </c>
    </row>
    <row r="94" spans="1:17" ht="24" customHeight="1" x14ac:dyDescent="0.3">
      <c r="A94" t="s">
        <v>24</v>
      </c>
      <c r="B94" t="s">
        <v>127</v>
      </c>
      <c r="C94">
        <v>14</v>
      </c>
      <c r="D94" t="s">
        <v>1541</v>
      </c>
      <c r="E94" t="s">
        <v>1389</v>
      </c>
      <c r="F94">
        <v>7038</v>
      </c>
      <c r="G94" t="s">
        <v>654</v>
      </c>
      <c r="I94" s="2">
        <f t="shared" si="20"/>
        <v>0</v>
      </c>
      <c r="J94" s="2">
        <v>3797</v>
      </c>
      <c r="K94" s="2">
        <f t="shared" si="21"/>
        <v>26723286</v>
      </c>
      <c r="M94" s="2">
        <f t="shared" si="22"/>
        <v>0</v>
      </c>
      <c r="N94" s="2">
        <f t="shared" si="23"/>
        <v>3797</v>
      </c>
      <c r="O94" s="2">
        <f t="shared" si="24"/>
        <v>26723286</v>
      </c>
      <c r="P94" t="s">
        <v>247</v>
      </c>
      <c r="Q94" t="s">
        <v>1541</v>
      </c>
    </row>
    <row r="95" spans="1:17" ht="24" customHeight="1" x14ac:dyDescent="0.3">
      <c r="A95" t="s">
        <v>24</v>
      </c>
      <c r="B95" t="s">
        <v>127</v>
      </c>
      <c r="C95">
        <v>15</v>
      </c>
      <c r="D95" t="s">
        <v>1542</v>
      </c>
      <c r="E95" t="s">
        <v>167</v>
      </c>
      <c r="F95">
        <v>710</v>
      </c>
      <c r="G95" t="s">
        <v>168</v>
      </c>
      <c r="H95" s="2">
        <v>0</v>
      </c>
      <c r="I95" s="2">
        <f t="shared" si="20"/>
        <v>0</v>
      </c>
      <c r="J95" s="2">
        <v>4699</v>
      </c>
      <c r="K95" s="2">
        <f t="shared" si="21"/>
        <v>3336290</v>
      </c>
      <c r="L95" s="2">
        <v>0</v>
      </c>
      <c r="M95" s="2">
        <f t="shared" si="22"/>
        <v>0</v>
      </c>
      <c r="N95" s="2">
        <f t="shared" si="23"/>
        <v>4699</v>
      </c>
      <c r="O95" s="2">
        <f t="shared" si="24"/>
        <v>3336290</v>
      </c>
      <c r="Q95" t="s">
        <v>167</v>
      </c>
    </row>
    <row r="96" spans="1:17" ht="24" customHeight="1" x14ac:dyDescent="0.3">
      <c r="A96" s="10" t="s">
        <v>24</v>
      </c>
      <c r="B96" s="10" t="s">
        <v>127</v>
      </c>
      <c r="C96" s="10"/>
      <c r="D96" s="10" t="s">
        <v>1543</v>
      </c>
      <c r="E96" s="10"/>
      <c r="F96" s="10"/>
      <c r="G96" s="10"/>
      <c r="H96" s="10"/>
      <c r="I96" s="11">
        <f>SUM(I81:I95)</f>
        <v>18981740</v>
      </c>
      <c r="J96" s="10"/>
      <c r="K96" s="11">
        <f>SUM(K81:K95)</f>
        <v>57661660</v>
      </c>
      <c r="L96" s="10"/>
      <c r="M96" s="11">
        <f>SUM(M81:M95)</f>
        <v>23479142</v>
      </c>
      <c r="N96" s="10"/>
      <c r="O96" s="11">
        <f>SUM(O81:O95)</f>
        <v>100122542</v>
      </c>
      <c r="P96" s="10"/>
      <c r="Q96" s="10" t="s">
        <v>1544</v>
      </c>
    </row>
    <row r="97" spans="1:17" ht="24" customHeight="1" x14ac:dyDescent="0.3">
      <c r="A97" t="s">
        <v>24</v>
      </c>
      <c r="B97" t="s">
        <v>128</v>
      </c>
      <c r="C97">
        <v>1</v>
      </c>
      <c r="D97" t="s">
        <v>1492</v>
      </c>
      <c r="E97" t="s">
        <v>725</v>
      </c>
      <c r="F97">
        <v>1</v>
      </c>
      <c r="G97" t="s">
        <v>233</v>
      </c>
      <c r="H97" s="2">
        <v>0</v>
      </c>
      <c r="I97" s="2">
        <f t="shared" ref="I97:I111" si="25">F97*H97</f>
        <v>0</v>
      </c>
      <c r="J97" s="2">
        <v>71377</v>
      </c>
      <c r="K97" s="2">
        <f t="shared" ref="K97:K111" si="26">F97*J97</f>
        <v>71377</v>
      </c>
      <c r="L97" s="2">
        <v>0</v>
      </c>
      <c r="M97" s="2">
        <f t="shared" ref="M97:M111" si="27">F97*L97</f>
        <v>0</v>
      </c>
      <c r="N97" s="2">
        <f t="shared" ref="N97:N111" si="28">H97+J97+L97</f>
        <v>71377</v>
      </c>
      <c r="O97" s="2">
        <f t="shared" ref="O97:O111" si="29">I97+K97+M97</f>
        <v>71377</v>
      </c>
      <c r="Q97" t="s">
        <v>725</v>
      </c>
    </row>
    <row r="98" spans="1:17" ht="24" customHeight="1" x14ac:dyDescent="0.3">
      <c r="A98" t="s">
        <v>24</v>
      </c>
      <c r="B98" t="s">
        <v>128</v>
      </c>
      <c r="C98">
        <v>2</v>
      </c>
      <c r="D98" t="s">
        <v>1493</v>
      </c>
      <c r="E98" t="s">
        <v>1494</v>
      </c>
      <c r="F98">
        <v>3</v>
      </c>
      <c r="G98" t="s">
        <v>233</v>
      </c>
      <c r="H98" s="2">
        <v>5775</v>
      </c>
      <c r="I98" s="2">
        <f t="shared" si="25"/>
        <v>17325</v>
      </c>
      <c r="J98" s="2">
        <v>258574</v>
      </c>
      <c r="K98" s="2">
        <f t="shared" si="26"/>
        <v>775722</v>
      </c>
      <c r="L98" s="2">
        <v>3583</v>
      </c>
      <c r="M98" s="2">
        <f t="shared" si="27"/>
        <v>10749</v>
      </c>
      <c r="N98" s="2">
        <f t="shared" si="28"/>
        <v>267932</v>
      </c>
      <c r="O98" s="2">
        <f t="shared" si="29"/>
        <v>803796</v>
      </c>
      <c r="Q98" t="s">
        <v>1495</v>
      </c>
    </row>
    <row r="99" spans="1:17" ht="24" customHeight="1" x14ac:dyDescent="0.3">
      <c r="A99" t="s">
        <v>24</v>
      </c>
      <c r="B99" t="s">
        <v>128</v>
      </c>
      <c r="C99">
        <v>3</v>
      </c>
      <c r="D99" t="s">
        <v>1496</v>
      </c>
      <c r="F99">
        <v>1</v>
      </c>
      <c r="G99" t="s">
        <v>233</v>
      </c>
      <c r="I99" s="2">
        <f t="shared" si="25"/>
        <v>0</v>
      </c>
      <c r="J99" s="2">
        <v>23273</v>
      </c>
      <c r="K99" s="2">
        <f t="shared" si="26"/>
        <v>23273</v>
      </c>
      <c r="M99" s="2">
        <f t="shared" si="27"/>
        <v>0</v>
      </c>
      <c r="N99" s="2">
        <f t="shared" si="28"/>
        <v>23273</v>
      </c>
      <c r="O99" s="2">
        <f t="shared" si="29"/>
        <v>23273</v>
      </c>
      <c r="P99" t="s">
        <v>247</v>
      </c>
      <c r="Q99" t="s">
        <v>1496</v>
      </c>
    </row>
    <row r="100" spans="1:17" ht="24" customHeight="1" x14ac:dyDescent="0.3">
      <c r="A100" t="s">
        <v>24</v>
      </c>
      <c r="B100" t="s">
        <v>128</v>
      </c>
      <c r="C100">
        <v>4</v>
      </c>
      <c r="D100" t="s">
        <v>1497</v>
      </c>
      <c r="E100" t="s">
        <v>880</v>
      </c>
      <c r="F100">
        <v>15</v>
      </c>
      <c r="G100" t="s">
        <v>199</v>
      </c>
      <c r="H100" s="2">
        <v>230</v>
      </c>
      <c r="I100" s="2">
        <f t="shared" si="25"/>
        <v>3450</v>
      </c>
      <c r="J100" s="2">
        <v>4360</v>
      </c>
      <c r="K100" s="2">
        <f t="shared" si="26"/>
        <v>65400</v>
      </c>
      <c r="L100" s="2">
        <v>0</v>
      </c>
      <c r="M100" s="2">
        <f t="shared" si="27"/>
        <v>0</v>
      </c>
      <c r="N100" s="2">
        <f t="shared" si="28"/>
        <v>4590</v>
      </c>
      <c r="O100" s="2">
        <f t="shared" si="29"/>
        <v>68850</v>
      </c>
      <c r="Q100" t="s">
        <v>881</v>
      </c>
    </row>
    <row r="101" spans="1:17" ht="24" customHeight="1" x14ac:dyDescent="0.3">
      <c r="A101" t="s">
        <v>24</v>
      </c>
      <c r="B101" t="s">
        <v>128</v>
      </c>
      <c r="C101">
        <v>5</v>
      </c>
      <c r="D101" t="s">
        <v>1498</v>
      </c>
      <c r="E101" t="s">
        <v>1499</v>
      </c>
      <c r="F101">
        <v>72</v>
      </c>
      <c r="G101" t="s">
        <v>199</v>
      </c>
      <c r="H101" s="2">
        <v>230</v>
      </c>
      <c r="I101" s="2">
        <f t="shared" si="25"/>
        <v>16560</v>
      </c>
      <c r="J101" s="2">
        <v>4360</v>
      </c>
      <c r="K101" s="2">
        <f t="shared" si="26"/>
        <v>313920</v>
      </c>
      <c r="L101" s="2">
        <v>0</v>
      </c>
      <c r="M101" s="2">
        <f t="shared" si="27"/>
        <v>0</v>
      </c>
      <c r="N101" s="2">
        <f t="shared" si="28"/>
        <v>4590</v>
      </c>
      <c r="O101" s="2">
        <f t="shared" si="29"/>
        <v>330480</v>
      </c>
      <c r="Q101" t="s">
        <v>535</v>
      </c>
    </row>
    <row r="102" spans="1:17" ht="24" customHeight="1" x14ac:dyDescent="0.3">
      <c r="A102" t="s">
        <v>24</v>
      </c>
      <c r="B102" t="s">
        <v>128</v>
      </c>
      <c r="C102">
        <v>6</v>
      </c>
      <c r="D102" t="s">
        <v>1500</v>
      </c>
      <c r="E102" t="s">
        <v>933</v>
      </c>
      <c r="F102">
        <v>3</v>
      </c>
      <c r="G102" t="s">
        <v>316</v>
      </c>
      <c r="H102" s="2">
        <v>505</v>
      </c>
      <c r="I102" s="2">
        <f t="shared" si="25"/>
        <v>1515</v>
      </c>
      <c r="J102" s="2">
        <v>25263</v>
      </c>
      <c r="K102" s="2">
        <f t="shared" si="26"/>
        <v>75789</v>
      </c>
      <c r="L102" s="2">
        <v>0</v>
      </c>
      <c r="M102" s="2">
        <f t="shared" si="27"/>
        <v>0</v>
      </c>
      <c r="N102" s="2">
        <f t="shared" si="28"/>
        <v>25768</v>
      </c>
      <c r="O102" s="2">
        <f t="shared" si="29"/>
        <v>77304</v>
      </c>
      <c r="Q102" t="s">
        <v>1501</v>
      </c>
    </row>
    <row r="103" spans="1:17" ht="24" customHeight="1" x14ac:dyDescent="0.3">
      <c r="A103" t="s">
        <v>24</v>
      </c>
      <c r="B103" t="s">
        <v>128</v>
      </c>
      <c r="C103">
        <v>7</v>
      </c>
      <c r="D103" t="s">
        <v>1502</v>
      </c>
      <c r="E103" t="s">
        <v>1503</v>
      </c>
      <c r="F103">
        <v>12</v>
      </c>
      <c r="G103" t="s">
        <v>316</v>
      </c>
      <c r="H103" s="2">
        <v>200000</v>
      </c>
      <c r="I103" s="2">
        <f t="shared" si="25"/>
        <v>2400000</v>
      </c>
      <c r="J103" s="2">
        <v>25263</v>
      </c>
      <c r="K103" s="2">
        <f t="shared" si="26"/>
        <v>303156</v>
      </c>
      <c r="M103" s="2">
        <f t="shared" si="27"/>
        <v>0</v>
      </c>
      <c r="N103" s="2">
        <f t="shared" si="28"/>
        <v>225263</v>
      </c>
      <c r="O103" s="2">
        <f t="shared" si="29"/>
        <v>2703156</v>
      </c>
      <c r="P103" t="s">
        <v>247</v>
      </c>
      <c r="Q103" t="s">
        <v>1502</v>
      </c>
    </row>
    <row r="104" spans="1:17" ht="24" customHeight="1" x14ac:dyDescent="0.3">
      <c r="A104" t="s">
        <v>24</v>
      </c>
      <c r="B104" t="s">
        <v>128</v>
      </c>
      <c r="C104">
        <v>8</v>
      </c>
      <c r="D104" t="s">
        <v>1504</v>
      </c>
      <c r="E104" t="s">
        <v>224</v>
      </c>
      <c r="F104">
        <v>7</v>
      </c>
      <c r="G104" t="s">
        <v>199</v>
      </c>
      <c r="H104" s="2">
        <v>2339</v>
      </c>
      <c r="I104" s="2">
        <f t="shared" si="25"/>
        <v>16373</v>
      </c>
      <c r="J104" s="2">
        <v>19375</v>
      </c>
      <c r="K104" s="2">
        <f t="shared" si="26"/>
        <v>135625</v>
      </c>
      <c r="L104" s="2">
        <v>2505</v>
      </c>
      <c r="M104" s="2">
        <f t="shared" si="27"/>
        <v>17535</v>
      </c>
      <c r="N104" s="2">
        <f t="shared" si="28"/>
        <v>24219</v>
      </c>
      <c r="O104" s="2">
        <f t="shared" si="29"/>
        <v>169533</v>
      </c>
      <c r="Q104" t="s">
        <v>222</v>
      </c>
    </row>
    <row r="105" spans="1:17" ht="24" customHeight="1" x14ac:dyDescent="0.3">
      <c r="A105" t="s">
        <v>24</v>
      </c>
      <c r="B105" t="s">
        <v>128</v>
      </c>
      <c r="C105">
        <v>9</v>
      </c>
      <c r="D105" t="s">
        <v>1505</v>
      </c>
      <c r="E105" t="s">
        <v>1506</v>
      </c>
      <c r="F105">
        <v>7</v>
      </c>
      <c r="G105" t="s">
        <v>199</v>
      </c>
      <c r="H105" s="2">
        <v>32611</v>
      </c>
      <c r="I105" s="2">
        <f t="shared" si="25"/>
        <v>228277</v>
      </c>
      <c r="J105" s="2">
        <v>106288</v>
      </c>
      <c r="K105" s="2">
        <f t="shared" si="26"/>
        <v>744016</v>
      </c>
      <c r="L105" s="2">
        <v>62900</v>
      </c>
      <c r="M105" s="2">
        <f t="shared" si="27"/>
        <v>440300</v>
      </c>
      <c r="N105" s="2">
        <f t="shared" si="28"/>
        <v>201799</v>
      </c>
      <c r="O105" s="2">
        <f t="shared" si="29"/>
        <v>1412593</v>
      </c>
      <c r="Q105" t="s">
        <v>1506</v>
      </c>
    </row>
    <row r="106" spans="1:17" ht="24" customHeight="1" x14ac:dyDescent="0.3">
      <c r="A106" t="s">
        <v>24</v>
      </c>
      <c r="B106" t="s">
        <v>128</v>
      </c>
      <c r="C106">
        <v>10</v>
      </c>
      <c r="D106" t="s">
        <v>1527</v>
      </c>
      <c r="E106" t="s">
        <v>1545</v>
      </c>
      <c r="F106">
        <v>264</v>
      </c>
      <c r="G106" t="s">
        <v>168</v>
      </c>
      <c r="H106" s="2">
        <v>1915</v>
      </c>
      <c r="I106" s="2">
        <f t="shared" si="25"/>
        <v>505560</v>
      </c>
      <c r="J106" s="2">
        <v>63817</v>
      </c>
      <c r="K106" s="2">
        <f t="shared" si="26"/>
        <v>16847688</v>
      </c>
      <c r="L106" s="2">
        <v>2824</v>
      </c>
      <c r="M106" s="2">
        <f t="shared" si="27"/>
        <v>745536</v>
      </c>
      <c r="N106" s="2">
        <f t="shared" si="28"/>
        <v>68556</v>
      </c>
      <c r="O106" s="2">
        <f t="shared" si="29"/>
        <v>18098784</v>
      </c>
      <c r="Q106" t="s">
        <v>1527</v>
      </c>
    </row>
    <row r="107" spans="1:17" ht="24" customHeight="1" x14ac:dyDescent="0.3">
      <c r="A107" t="s">
        <v>24</v>
      </c>
      <c r="B107" t="s">
        <v>128</v>
      </c>
      <c r="C107">
        <v>11</v>
      </c>
      <c r="D107" t="s">
        <v>1529</v>
      </c>
      <c r="E107" t="s">
        <v>1546</v>
      </c>
      <c r="F107">
        <v>80</v>
      </c>
      <c r="G107" t="s">
        <v>168</v>
      </c>
      <c r="H107" s="2">
        <v>45000</v>
      </c>
      <c r="I107" s="2">
        <f t="shared" si="25"/>
        <v>3600000</v>
      </c>
      <c r="J107" s="2">
        <v>50000</v>
      </c>
      <c r="K107" s="2">
        <f t="shared" si="26"/>
        <v>4000000</v>
      </c>
      <c r="L107" s="2">
        <v>75000</v>
      </c>
      <c r="M107" s="2">
        <f t="shared" si="27"/>
        <v>6000000</v>
      </c>
      <c r="N107" s="2">
        <f t="shared" si="28"/>
        <v>170000</v>
      </c>
      <c r="O107" s="2">
        <f t="shared" si="29"/>
        <v>13600000</v>
      </c>
      <c r="P107" t="s">
        <v>247</v>
      </c>
      <c r="Q107" t="s">
        <v>1529</v>
      </c>
    </row>
    <row r="108" spans="1:17" ht="24" customHeight="1" x14ac:dyDescent="0.3">
      <c r="A108" t="s">
        <v>24</v>
      </c>
      <c r="B108" t="s">
        <v>128</v>
      </c>
      <c r="C108">
        <v>12</v>
      </c>
      <c r="D108" t="s">
        <v>1538</v>
      </c>
      <c r="E108" t="s">
        <v>417</v>
      </c>
      <c r="F108">
        <v>24</v>
      </c>
      <c r="G108" t="s">
        <v>418</v>
      </c>
      <c r="H108">
        <v>140000</v>
      </c>
      <c r="I108" s="2">
        <f t="shared" si="25"/>
        <v>3360000</v>
      </c>
      <c r="J108">
        <v>120000</v>
      </c>
      <c r="K108" s="2">
        <f t="shared" si="26"/>
        <v>2880000</v>
      </c>
      <c r="L108">
        <v>80000</v>
      </c>
      <c r="M108" s="2">
        <f t="shared" si="27"/>
        <v>1920000</v>
      </c>
      <c r="N108" s="2">
        <f t="shared" si="28"/>
        <v>340000</v>
      </c>
      <c r="O108" s="2">
        <f t="shared" si="29"/>
        <v>8160000</v>
      </c>
      <c r="P108" t="s">
        <v>247</v>
      </c>
      <c r="Q108" t="s">
        <v>1539</v>
      </c>
    </row>
    <row r="109" spans="1:17" ht="24" customHeight="1" x14ac:dyDescent="0.3">
      <c r="A109" t="s">
        <v>24</v>
      </c>
      <c r="B109" t="s">
        <v>128</v>
      </c>
      <c r="C109">
        <v>13</v>
      </c>
      <c r="D109" t="s">
        <v>1540</v>
      </c>
      <c r="E109" t="s">
        <v>1513</v>
      </c>
      <c r="F109">
        <v>1089</v>
      </c>
      <c r="G109" t="s">
        <v>168</v>
      </c>
      <c r="H109" s="2">
        <v>185</v>
      </c>
      <c r="I109" s="2">
        <f t="shared" si="25"/>
        <v>201465</v>
      </c>
      <c r="J109" s="2">
        <v>197</v>
      </c>
      <c r="K109" s="2">
        <f t="shared" si="26"/>
        <v>214533</v>
      </c>
      <c r="L109" s="2">
        <v>139</v>
      </c>
      <c r="M109" s="2">
        <f t="shared" si="27"/>
        <v>151371</v>
      </c>
      <c r="N109" s="2">
        <f t="shared" si="28"/>
        <v>521</v>
      </c>
      <c r="O109" s="2">
        <f t="shared" si="29"/>
        <v>567369</v>
      </c>
      <c r="Q109" t="s">
        <v>1513</v>
      </c>
    </row>
    <row r="110" spans="1:17" ht="24" customHeight="1" x14ac:dyDescent="0.3">
      <c r="A110" t="s">
        <v>24</v>
      </c>
      <c r="B110" t="s">
        <v>128</v>
      </c>
      <c r="C110">
        <v>14</v>
      </c>
      <c r="D110" t="s">
        <v>1541</v>
      </c>
      <c r="E110" t="s">
        <v>1389</v>
      </c>
      <c r="F110">
        <v>5382</v>
      </c>
      <c r="G110" t="s">
        <v>654</v>
      </c>
      <c r="I110" s="2">
        <f t="shared" si="25"/>
        <v>0</v>
      </c>
      <c r="J110" s="2">
        <v>3797</v>
      </c>
      <c r="K110" s="2">
        <f t="shared" si="26"/>
        <v>20435454</v>
      </c>
      <c r="M110" s="2">
        <f t="shared" si="27"/>
        <v>0</v>
      </c>
      <c r="N110" s="2">
        <f t="shared" si="28"/>
        <v>3797</v>
      </c>
      <c r="O110" s="2">
        <f t="shared" si="29"/>
        <v>20435454</v>
      </c>
      <c r="P110" t="s">
        <v>247</v>
      </c>
      <c r="Q110" t="s">
        <v>1541</v>
      </c>
    </row>
    <row r="111" spans="1:17" ht="24" customHeight="1" x14ac:dyDescent="0.3">
      <c r="A111" t="s">
        <v>24</v>
      </c>
      <c r="B111" t="s">
        <v>128</v>
      </c>
      <c r="C111">
        <v>15</v>
      </c>
      <c r="D111" t="s">
        <v>1542</v>
      </c>
      <c r="E111" t="s">
        <v>167</v>
      </c>
      <c r="F111">
        <v>106</v>
      </c>
      <c r="G111" t="s">
        <v>168</v>
      </c>
      <c r="H111" s="2">
        <v>0</v>
      </c>
      <c r="I111" s="2">
        <f t="shared" si="25"/>
        <v>0</v>
      </c>
      <c r="J111" s="2">
        <v>4699</v>
      </c>
      <c r="K111" s="2">
        <f t="shared" si="26"/>
        <v>498094</v>
      </c>
      <c r="L111" s="2">
        <v>0</v>
      </c>
      <c r="M111" s="2">
        <f t="shared" si="27"/>
        <v>0</v>
      </c>
      <c r="N111" s="2">
        <f t="shared" si="28"/>
        <v>4699</v>
      </c>
      <c r="O111" s="2">
        <f t="shared" si="29"/>
        <v>498094</v>
      </c>
      <c r="Q111" t="s">
        <v>167</v>
      </c>
    </row>
    <row r="112" spans="1:17" ht="24" customHeight="1" x14ac:dyDescent="0.3">
      <c r="A112" s="10" t="s">
        <v>24</v>
      </c>
      <c r="B112" s="10" t="s">
        <v>128</v>
      </c>
      <c r="C112" s="10"/>
      <c r="D112" s="10" t="s">
        <v>1547</v>
      </c>
      <c r="E112" s="10"/>
      <c r="F112" s="10"/>
      <c r="G112" s="10"/>
      <c r="H112" s="10"/>
      <c r="I112" s="11">
        <f>SUM(I97:I111)</f>
        <v>10350525</v>
      </c>
      <c r="J112" s="10"/>
      <c r="K112" s="11">
        <f>SUM(K97:K111)</f>
        <v>47384047</v>
      </c>
      <c r="L112" s="10"/>
      <c r="M112" s="11">
        <f>SUM(M97:M111)</f>
        <v>9285491</v>
      </c>
      <c r="N112" s="10"/>
      <c r="O112" s="11">
        <f>SUM(O97:O111)</f>
        <v>67020063</v>
      </c>
      <c r="P112" s="10"/>
      <c r="Q112" s="10" t="s">
        <v>1544</v>
      </c>
    </row>
    <row r="113" spans="1:17" ht="24" customHeight="1" x14ac:dyDescent="0.3">
      <c r="A113" t="s">
        <v>24</v>
      </c>
      <c r="B113" t="s">
        <v>129</v>
      </c>
      <c r="C113">
        <v>1</v>
      </c>
      <c r="D113" t="s">
        <v>1492</v>
      </c>
      <c r="E113" t="s">
        <v>725</v>
      </c>
      <c r="F113">
        <v>1</v>
      </c>
      <c r="G113" t="s">
        <v>233</v>
      </c>
      <c r="H113" s="2">
        <v>0</v>
      </c>
      <c r="I113" s="2">
        <f t="shared" ref="I113:I126" si="30">F113*H113</f>
        <v>0</v>
      </c>
      <c r="J113" s="2">
        <v>71377</v>
      </c>
      <c r="K113" s="2">
        <f t="shared" ref="K113:K126" si="31">F113*J113</f>
        <v>71377</v>
      </c>
      <c r="L113" s="2">
        <v>0</v>
      </c>
      <c r="M113" s="2">
        <f t="shared" ref="M113:M126" si="32">F113*L113</f>
        <v>0</v>
      </c>
      <c r="N113" s="2">
        <f t="shared" ref="N113:N126" si="33">H113+J113+L113</f>
        <v>71377</v>
      </c>
      <c r="O113" s="2">
        <f t="shared" ref="O113:O126" si="34">I113+K113+M113</f>
        <v>71377</v>
      </c>
      <c r="Q113" t="s">
        <v>725</v>
      </c>
    </row>
    <row r="114" spans="1:17" ht="24" customHeight="1" x14ac:dyDescent="0.3">
      <c r="A114" t="s">
        <v>24</v>
      </c>
      <c r="B114" t="s">
        <v>129</v>
      </c>
      <c r="C114">
        <v>2</v>
      </c>
      <c r="D114" t="s">
        <v>1493</v>
      </c>
      <c r="E114" t="s">
        <v>1494</v>
      </c>
      <c r="F114">
        <v>6</v>
      </c>
      <c r="G114" t="s">
        <v>233</v>
      </c>
      <c r="H114" s="2">
        <v>5775</v>
      </c>
      <c r="I114" s="2">
        <f t="shared" si="30"/>
        <v>34650</v>
      </c>
      <c r="J114" s="2">
        <v>258574</v>
      </c>
      <c r="K114" s="2">
        <f t="shared" si="31"/>
        <v>1551444</v>
      </c>
      <c r="L114" s="2">
        <v>3583</v>
      </c>
      <c r="M114" s="2">
        <f t="shared" si="32"/>
        <v>21498</v>
      </c>
      <c r="N114" s="2">
        <f t="shared" si="33"/>
        <v>267932</v>
      </c>
      <c r="O114" s="2">
        <f t="shared" si="34"/>
        <v>1607592</v>
      </c>
      <c r="Q114" t="s">
        <v>1495</v>
      </c>
    </row>
    <row r="115" spans="1:17" ht="24" customHeight="1" x14ac:dyDescent="0.3">
      <c r="A115" t="s">
        <v>24</v>
      </c>
      <c r="B115" t="s">
        <v>129</v>
      </c>
      <c r="C115">
        <v>3</v>
      </c>
      <c r="D115" t="s">
        <v>1496</v>
      </c>
      <c r="F115">
        <v>1</v>
      </c>
      <c r="G115" t="s">
        <v>233</v>
      </c>
      <c r="H115">
        <v>340000</v>
      </c>
      <c r="I115" s="2">
        <f t="shared" si="30"/>
        <v>340000</v>
      </c>
      <c r="J115" s="2">
        <v>75000</v>
      </c>
      <c r="K115" s="2">
        <f t="shared" si="31"/>
        <v>75000</v>
      </c>
      <c r="L115">
        <v>75000</v>
      </c>
      <c r="M115" s="2">
        <f t="shared" si="32"/>
        <v>75000</v>
      </c>
      <c r="N115" s="2">
        <f t="shared" si="33"/>
        <v>490000</v>
      </c>
      <c r="O115" s="2">
        <f t="shared" si="34"/>
        <v>490000</v>
      </c>
      <c r="P115" t="s">
        <v>247</v>
      </c>
      <c r="Q115" t="s">
        <v>1496</v>
      </c>
    </row>
    <row r="116" spans="1:17" ht="24" customHeight="1" x14ac:dyDescent="0.3">
      <c r="A116" t="s">
        <v>24</v>
      </c>
      <c r="B116" t="s">
        <v>129</v>
      </c>
      <c r="C116">
        <v>4</v>
      </c>
      <c r="D116" t="s">
        <v>1497</v>
      </c>
      <c r="E116" t="s">
        <v>880</v>
      </c>
      <c r="F116">
        <v>22</v>
      </c>
      <c r="G116" t="s">
        <v>199</v>
      </c>
      <c r="H116" s="2">
        <v>230</v>
      </c>
      <c r="I116" s="2">
        <f t="shared" si="30"/>
        <v>5060</v>
      </c>
      <c r="J116" s="2">
        <v>4360</v>
      </c>
      <c r="K116" s="2">
        <f t="shared" si="31"/>
        <v>95920</v>
      </c>
      <c r="L116" s="2">
        <v>0</v>
      </c>
      <c r="M116" s="2">
        <f t="shared" si="32"/>
        <v>0</v>
      </c>
      <c r="N116" s="2">
        <f t="shared" si="33"/>
        <v>4590</v>
      </c>
      <c r="O116" s="2">
        <f t="shared" si="34"/>
        <v>100980</v>
      </c>
      <c r="Q116" t="s">
        <v>881</v>
      </c>
    </row>
    <row r="117" spans="1:17" ht="24" customHeight="1" x14ac:dyDescent="0.3">
      <c r="A117" t="s">
        <v>24</v>
      </c>
      <c r="B117" t="s">
        <v>129</v>
      </c>
      <c r="C117">
        <v>5</v>
      </c>
      <c r="D117" t="s">
        <v>1498</v>
      </c>
      <c r="E117" t="s">
        <v>1499</v>
      </c>
      <c r="F117">
        <v>119</v>
      </c>
      <c r="G117" t="s">
        <v>199</v>
      </c>
      <c r="H117" s="2">
        <v>230</v>
      </c>
      <c r="I117" s="2">
        <f t="shared" si="30"/>
        <v>27370</v>
      </c>
      <c r="J117" s="2">
        <v>4360</v>
      </c>
      <c r="K117" s="2">
        <f t="shared" si="31"/>
        <v>518840</v>
      </c>
      <c r="L117" s="2">
        <v>0</v>
      </c>
      <c r="M117" s="2">
        <f t="shared" si="32"/>
        <v>0</v>
      </c>
      <c r="N117" s="2">
        <f t="shared" si="33"/>
        <v>4590</v>
      </c>
      <c r="O117" s="2">
        <f t="shared" si="34"/>
        <v>546210</v>
      </c>
      <c r="Q117" t="s">
        <v>535</v>
      </c>
    </row>
    <row r="118" spans="1:17" ht="24" customHeight="1" x14ac:dyDescent="0.3">
      <c r="A118" t="s">
        <v>24</v>
      </c>
      <c r="B118" t="s">
        <v>129</v>
      </c>
      <c r="C118">
        <v>6</v>
      </c>
      <c r="D118" t="s">
        <v>1500</v>
      </c>
      <c r="E118" t="s">
        <v>933</v>
      </c>
      <c r="F118">
        <v>4</v>
      </c>
      <c r="G118" t="s">
        <v>316</v>
      </c>
      <c r="H118" s="2">
        <v>505</v>
      </c>
      <c r="I118" s="2">
        <f t="shared" si="30"/>
        <v>2020</v>
      </c>
      <c r="J118" s="2">
        <v>25263</v>
      </c>
      <c r="K118" s="2">
        <f t="shared" si="31"/>
        <v>101052</v>
      </c>
      <c r="L118" s="2">
        <v>0</v>
      </c>
      <c r="M118" s="2">
        <f t="shared" si="32"/>
        <v>0</v>
      </c>
      <c r="N118" s="2">
        <f t="shared" si="33"/>
        <v>25768</v>
      </c>
      <c r="O118" s="2">
        <f t="shared" si="34"/>
        <v>103072</v>
      </c>
      <c r="Q118" t="s">
        <v>1501</v>
      </c>
    </row>
    <row r="119" spans="1:17" ht="24" customHeight="1" x14ac:dyDescent="0.3">
      <c r="A119" t="s">
        <v>24</v>
      </c>
      <c r="B119" t="s">
        <v>129</v>
      </c>
      <c r="C119">
        <v>7</v>
      </c>
      <c r="D119" t="s">
        <v>1502</v>
      </c>
      <c r="E119" t="s">
        <v>1503</v>
      </c>
      <c r="F119">
        <v>20</v>
      </c>
      <c r="G119" t="s">
        <v>316</v>
      </c>
      <c r="H119" s="2">
        <v>200000</v>
      </c>
      <c r="I119" s="2">
        <f t="shared" si="30"/>
        <v>4000000</v>
      </c>
      <c r="J119" s="2">
        <v>25263</v>
      </c>
      <c r="K119" s="2">
        <f t="shared" si="31"/>
        <v>505260</v>
      </c>
      <c r="M119" s="2">
        <f t="shared" si="32"/>
        <v>0</v>
      </c>
      <c r="N119" s="2">
        <f t="shared" si="33"/>
        <v>225263</v>
      </c>
      <c r="O119" s="2">
        <f t="shared" si="34"/>
        <v>4505260</v>
      </c>
      <c r="P119" t="s">
        <v>247</v>
      </c>
      <c r="Q119" t="s">
        <v>1502</v>
      </c>
    </row>
    <row r="120" spans="1:17" ht="24" customHeight="1" x14ac:dyDescent="0.3">
      <c r="A120" t="s">
        <v>24</v>
      </c>
      <c r="B120" t="s">
        <v>129</v>
      </c>
      <c r="C120">
        <v>8</v>
      </c>
      <c r="D120" t="s">
        <v>1504</v>
      </c>
      <c r="E120" t="s">
        <v>224</v>
      </c>
      <c r="F120">
        <v>12</v>
      </c>
      <c r="G120" t="s">
        <v>199</v>
      </c>
      <c r="H120" s="2">
        <v>2339</v>
      </c>
      <c r="I120" s="2">
        <f t="shared" si="30"/>
        <v>28068</v>
      </c>
      <c r="J120" s="2">
        <v>19375</v>
      </c>
      <c r="K120" s="2">
        <f t="shared" si="31"/>
        <v>232500</v>
      </c>
      <c r="L120" s="2">
        <v>2505</v>
      </c>
      <c r="M120" s="2">
        <f t="shared" si="32"/>
        <v>30060</v>
      </c>
      <c r="N120" s="2">
        <f t="shared" si="33"/>
        <v>24219</v>
      </c>
      <c r="O120" s="2">
        <f t="shared" si="34"/>
        <v>290628</v>
      </c>
      <c r="Q120" t="s">
        <v>222</v>
      </c>
    </row>
    <row r="121" spans="1:17" ht="24" customHeight="1" x14ac:dyDescent="0.3">
      <c r="A121" t="s">
        <v>24</v>
      </c>
      <c r="B121" t="s">
        <v>129</v>
      </c>
      <c r="C121">
        <v>9</v>
      </c>
      <c r="D121" t="s">
        <v>1505</v>
      </c>
      <c r="E121" t="s">
        <v>1506</v>
      </c>
      <c r="F121">
        <v>8</v>
      </c>
      <c r="G121" t="s">
        <v>199</v>
      </c>
      <c r="H121" s="2">
        <v>32611</v>
      </c>
      <c r="I121" s="2">
        <f t="shared" si="30"/>
        <v>260888</v>
      </c>
      <c r="J121" s="2">
        <v>106288</v>
      </c>
      <c r="K121" s="2">
        <f t="shared" si="31"/>
        <v>850304</v>
      </c>
      <c r="L121" s="2">
        <v>62900</v>
      </c>
      <c r="M121" s="2">
        <f t="shared" si="32"/>
        <v>503200</v>
      </c>
      <c r="N121" s="2">
        <f t="shared" si="33"/>
        <v>201799</v>
      </c>
      <c r="O121" s="2">
        <f t="shared" si="34"/>
        <v>1614392</v>
      </c>
      <c r="Q121" t="s">
        <v>1506</v>
      </c>
    </row>
    <row r="122" spans="1:17" ht="24" customHeight="1" x14ac:dyDescent="0.3">
      <c r="A122" t="s">
        <v>24</v>
      </c>
      <c r="B122" t="s">
        <v>129</v>
      </c>
      <c r="C122">
        <v>10</v>
      </c>
      <c r="D122" t="s">
        <v>1548</v>
      </c>
      <c r="E122" t="s">
        <v>1511</v>
      </c>
      <c r="F122">
        <v>127</v>
      </c>
      <c r="G122" t="s">
        <v>199</v>
      </c>
      <c r="H122" s="2">
        <v>2290</v>
      </c>
      <c r="I122" s="2">
        <f t="shared" si="30"/>
        <v>290830</v>
      </c>
      <c r="J122" s="2">
        <v>40880</v>
      </c>
      <c r="K122" s="2">
        <f t="shared" si="31"/>
        <v>5191760</v>
      </c>
      <c r="L122" s="2">
        <v>2681</v>
      </c>
      <c r="M122" s="2">
        <f t="shared" si="32"/>
        <v>340487</v>
      </c>
      <c r="N122" s="2">
        <f t="shared" si="33"/>
        <v>45851</v>
      </c>
      <c r="O122" s="2">
        <f t="shared" si="34"/>
        <v>5823077</v>
      </c>
      <c r="Q122" t="s">
        <v>1511</v>
      </c>
    </row>
    <row r="123" spans="1:17" ht="24" customHeight="1" x14ac:dyDescent="0.3">
      <c r="A123" t="s">
        <v>24</v>
      </c>
      <c r="B123" t="s">
        <v>129</v>
      </c>
      <c r="C123">
        <v>11</v>
      </c>
      <c r="D123" t="s">
        <v>1549</v>
      </c>
      <c r="E123" t="s">
        <v>417</v>
      </c>
      <c r="F123">
        <v>75</v>
      </c>
      <c r="G123" t="s">
        <v>418</v>
      </c>
      <c r="H123">
        <v>140000</v>
      </c>
      <c r="I123" s="2">
        <f t="shared" si="30"/>
        <v>10500000</v>
      </c>
      <c r="J123">
        <v>120000</v>
      </c>
      <c r="K123" s="2">
        <f t="shared" si="31"/>
        <v>9000000</v>
      </c>
      <c r="L123">
        <v>80000</v>
      </c>
      <c r="M123" s="2">
        <f t="shared" si="32"/>
        <v>6000000</v>
      </c>
      <c r="N123" s="2">
        <f t="shared" si="33"/>
        <v>340000</v>
      </c>
      <c r="O123" s="2">
        <f t="shared" si="34"/>
        <v>25500000</v>
      </c>
      <c r="P123" t="s">
        <v>247</v>
      </c>
      <c r="Q123" t="s">
        <v>1550</v>
      </c>
    </row>
    <row r="124" spans="1:17" ht="24" customHeight="1" x14ac:dyDescent="0.3">
      <c r="A124" t="s">
        <v>24</v>
      </c>
      <c r="B124" t="s">
        <v>129</v>
      </c>
      <c r="C124">
        <v>12</v>
      </c>
      <c r="D124" t="s">
        <v>1512</v>
      </c>
      <c r="E124" t="s">
        <v>1513</v>
      </c>
      <c r="F124">
        <v>2718</v>
      </c>
      <c r="G124" t="s">
        <v>168</v>
      </c>
      <c r="H124" s="2">
        <v>185</v>
      </c>
      <c r="I124" s="2">
        <f t="shared" si="30"/>
        <v>502830</v>
      </c>
      <c r="J124" s="2">
        <v>197</v>
      </c>
      <c r="K124" s="2">
        <f t="shared" si="31"/>
        <v>535446</v>
      </c>
      <c r="L124" s="2">
        <v>139</v>
      </c>
      <c r="M124" s="2">
        <f t="shared" si="32"/>
        <v>377802</v>
      </c>
      <c r="N124" s="2">
        <f t="shared" si="33"/>
        <v>521</v>
      </c>
      <c r="O124" s="2">
        <f t="shared" si="34"/>
        <v>1416078</v>
      </c>
      <c r="Q124" t="s">
        <v>1513</v>
      </c>
    </row>
    <row r="125" spans="1:17" ht="24" customHeight="1" x14ac:dyDescent="0.3">
      <c r="A125" t="s">
        <v>24</v>
      </c>
      <c r="B125" t="s">
        <v>129</v>
      </c>
      <c r="C125">
        <v>13</v>
      </c>
      <c r="D125" t="s">
        <v>1514</v>
      </c>
      <c r="E125" t="s">
        <v>1389</v>
      </c>
      <c r="F125">
        <v>12096</v>
      </c>
      <c r="G125" t="s">
        <v>654</v>
      </c>
      <c r="I125" s="2">
        <f t="shared" si="30"/>
        <v>0</v>
      </c>
      <c r="J125" s="2">
        <v>3797</v>
      </c>
      <c r="K125" s="2">
        <f t="shared" si="31"/>
        <v>45928512</v>
      </c>
      <c r="M125" s="2">
        <f t="shared" si="32"/>
        <v>0</v>
      </c>
      <c r="N125" s="2">
        <f t="shared" si="33"/>
        <v>3797</v>
      </c>
      <c r="O125" s="2">
        <f t="shared" si="34"/>
        <v>45928512</v>
      </c>
      <c r="P125" t="s">
        <v>247</v>
      </c>
      <c r="Q125" t="s">
        <v>1514</v>
      </c>
    </row>
    <row r="126" spans="1:17" ht="24" customHeight="1" x14ac:dyDescent="0.3">
      <c r="A126" t="s">
        <v>24</v>
      </c>
      <c r="B126" t="s">
        <v>129</v>
      </c>
      <c r="C126">
        <v>14</v>
      </c>
      <c r="D126" t="s">
        <v>1542</v>
      </c>
      <c r="E126" t="s">
        <v>167</v>
      </c>
      <c r="F126">
        <v>1553</v>
      </c>
      <c r="G126" t="s">
        <v>168</v>
      </c>
      <c r="H126" s="2">
        <v>0</v>
      </c>
      <c r="I126" s="2">
        <f t="shared" si="30"/>
        <v>0</v>
      </c>
      <c r="J126" s="2">
        <v>4699</v>
      </c>
      <c r="K126" s="2">
        <f t="shared" si="31"/>
        <v>7297547</v>
      </c>
      <c r="L126" s="2">
        <v>0</v>
      </c>
      <c r="M126" s="2">
        <f t="shared" si="32"/>
        <v>0</v>
      </c>
      <c r="N126" s="2">
        <f t="shared" si="33"/>
        <v>4699</v>
      </c>
      <c r="O126" s="2">
        <f t="shared" si="34"/>
        <v>7297547</v>
      </c>
      <c r="Q126" t="s">
        <v>167</v>
      </c>
    </row>
    <row r="127" spans="1:17" ht="24" customHeight="1" x14ac:dyDescent="0.3">
      <c r="A127" s="10" t="s">
        <v>24</v>
      </c>
      <c r="B127" s="10" t="s">
        <v>129</v>
      </c>
      <c r="C127" s="10"/>
      <c r="D127" s="10" t="s">
        <v>1551</v>
      </c>
      <c r="E127" s="10"/>
      <c r="F127" s="10"/>
      <c r="G127" s="10"/>
      <c r="H127" s="10"/>
      <c r="I127" s="11">
        <f>SUM(I113:I126)</f>
        <v>15991716</v>
      </c>
      <c r="J127" s="10"/>
      <c r="K127" s="11">
        <f>SUM(K113:K126)</f>
        <v>71954962</v>
      </c>
      <c r="L127" s="10"/>
      <c r="M127" s="11">
        <f>SUM(M113:M126)</f>
        <v>7348047</v>
      </c>
      <c r="N127" s="10"/>
      <c r="O127" s="11">
        <f>SUM(O113:O126)</f>
        <v>95294725</v>
      </c>
      <c r="P127" s="10"/>
      <c r="Q127" s="10" t="s">
        <v>1517</v>
      </c>
    </row>
    <row r="128" spans="1:17" ht="24" customHeight="1" x14ac:dyDescent="0.3">
      <c r="A128" t="s">
        <v>24</v>
      </c>
      <c r="B128" t="s">
        <v>130</v>
      </c>
      <c r="C128">
        <v>1</v>
      </c>
      <c r="D128" t="s">
        <v>1492</v>
      </c>
      <c r="E128" t="s">
        <v>725</v>
      </c>
      <c r="F128">
        <v>1</v>
      </c>
      <c r="G128" t="s">
        <v>233</v>
      </c>
      <c r="H128" s="2">
        <v>0</v>
      </c>
      <c r="I128" s="2">
        <f t="shared" ref="I128:I141" si="35">F128*H128</f>
        <v>0</v>
      </c>
      <c r="J128" s="2">
        <v>71377</v>
      </c>
      <c r="K128" s="2">
        <f t="shared" ref="K128:K141" si="36">F128*J128</f>
        <v>71377</v>
      </c>
      <c r="L128" s="2">
        <v>0</v>
      </c>
      <c r="M128" s="2">
        <f t="shared" ref="M128:M141" si="37">F128*L128</f>
        <v>0</v>
      </c>
      <c r="N128" s="2">
        <f t="shared" ref="N128:N141" si="38">H128+J128+L128</f>
        <v>71377</v>
      </c>
      <c r="O128" s="2">
        <f t="shared" ref="O128:O141" si="39">I128+K128+M128</f>
        <v>71377</v>
      </c>
      <c r="Q128" t="s">
        <v>725</v>
      </c>
    </row>
    <row r="129" spans="1:17" ht="24" customHeight="1" x14ac:dyDescent="0.3">
      <c r="A129" t="s">
        <v>24</v>
      </c>
      <c r="B129" t="s">
        <v>130</v>
      </c>
      <c r="C129">
        <v>2</v>
      </c>
      <c r="D129" t="s">
        <v>1493</v>
      </c>
      <c r="E129" t="s">
        <v>1494</v>
      </c>
      <c r="F129">
        <v>8</v>
      </c>
      <c r="G129" t="s">
        <v>233</v>
      </c>
      <c r="H129" s="2">
        <v>5775</v>
      </c>
      <c r="I129" s="2">
        <f t="shared" si="35"/>
        <v>46200</v>
      </c>
      <c r="J129" s="2">
        <v>258574</v>
      </c>
      <c r="K129" s="2">
        <f t="shared" si="36"/>
        <v>2068592</v>
      </c>
      <c r="L129" s="2">
        <v>3583</v>
      </c>
      <c r="M129" s="2">
        <f t="shared" si="37"/>
        <v>28664</v>
      </c>
      <c r="N129" s="2">
        <f t="shared" si="38"/>
        <v>267932</v>
      </c>
      <c r="O129" s="2">
        <f t="shared" si="39"/>
        <v>2143456</v>
      </c>
      <c r="Q129" t="s">
        <v>1495</v>
      </c>
    </row>
    <row r="130" spans="1:17" ht="24" customHeight="1" x14ac:dyDescent="0.3">
      <c r="A130" t="s">
        <v>24</v>
      </c>
      <c r="B130" t="s">
        <v>130</v>
      </c>
      <c r="C130">
        <v>3</v>
      </c>
      <c r="D130" t="s">
        <v>1496</v>
      </c>
      <c r="F130">
        <v>1</v>
      </c>
      <c r="G130" t="s">
        <v>233</v>
      </c>
      <c r="H130">
        <v>340000</v>
      </c>
      <c r="I130" s="2">
        <f t="shared" si="35"/>
        <v>340000</v>
      </c>
      <c r="J130" s="2">
        <v>75000</v>
      </c>
      <c r="K130" s="2">
        <f t="shared" si="36"/>
        <v>75000</v>
      </c>
      <c r="L130">
        <v>75000</v>
      </c>
      <c r="M130" s="2">
        <f t="shared" si="37"/>
        <v>75000</v>
      </c>
      <c r="N130" s="2">
        <f t="shared" si="38"/>
        <v>490000</v>
      </c>
      <c r="O130" s="2">
        <f t="shared" si="39"/>
        <v>490000</v>
      </c>
      <c r="P130" t="s">
        <v>247</v>
      </c>
      <c r="Q130" t="s">
        <v>1496</v>
      </c>
    </row>
    <row r="131" spans="1:17" ht="24" customHeight="1" x14ac:dyDescent="0.3">
      <c r="A131" t="s">
        <v>24</v>
      </c>
      <c r="B131" t="s">
        <v>130</v>
      </c>
      <c r="C131">
        <v>4</v>
      </c>
      <c r="D131" t="s">
        <v>1497</v>
      </c>
      <c r="E131" t="s">
        <v>880</v>
      </c>
      <c r="F131">
        <v>26</v>
      </c>
      <c r="G131" t="s">
        <v>199</v>
      </c>
      <c r="H131" s="2">
        <v>230</v>
      </c>
      <c r="I131" s="2">
        <f t="shared" si="35"/>
        <v>5980</v>
      </c>
      <c r="J131" s="2">
        <v>4360</v>
      </c>
      <c r="K131" s="2">
        <f t="shared" si="36"/>
        <v>113360</v>
      </c>
      <c r="L131" s="2">
        <v>0</v>
      </c>
      <c r="M131" s="2">
        <f t="shared" si="37"/>
        <v>0</v>
      </c>
      <c r="N131" s="2">
        <f t="shared" si="38"/>
        <v>4590</v>
      </c>
      <c r="O131" s="2">
        <f t="shared" si="39"/>
        <v>119340</v>
      </c>
      <c r="Q131" t="s">
        <v>881</v>
      </c>
    </row>
    <row r="132" spans="1:17" ht="24" customHeight="1" x14ac:dyDescent="0.3">
      <c r="A132" t="s">
        <v>24</v>
      </c>
      <c r="B132" t="s">
        <v>130</v>
      </c>
      <c r="C132">
        <v>5</v>
      </c>
      <c r="D132" t="s">
        <v>1498</v>
      </c>
      <c r="E132" t="s">
        <v>1499</v>
      </c>
      <c r="F132">
        <v>142</v>
      </c>
      <c r="G132" t="s">
        <v>199</v>
      </c>
      <c r="H132" s="2">
        <v>230</v>
      </c>
      <c r="I132" s="2">
        <f t="shared" si="35"/>
        <v>32660</v>
      </c>
      <c r="J132" s="2">
        <v>4360</v>
      </c>
      <c r="K132" s="2">
        <f t="shared" si="36"/>
        <v>619120</v>
      </c>
      <c r="L132" s="2">
        <v>0</v>
      </c>
      <c r="M132" s="2">
        <f t="shared" si="37"/>
        <v>0</v>
      </c>
      <c r="N132" s="2">
        <f t="shared" si="38"/>
        <v>4590</v>
      </c>
      <c r="O132" s="2">
        <f t="shared" si="39"/>
        <v>651780</v>
      </c>
      <c r="Q132" t="s">
        <v>535</v>
      </c>
    </row>
    <row r="133" spans="1:17" ht="24" customHeight="1" x14ac:dyDescent="0.3">
      <c r="A133" t="s">
        <v>24</v>
      </c>
      <c r="B133" t="s">
        <v>130</v>
      </c>
      <c r="C133">
        <v>6</v>
      </c>
      <c r="D133" t="s">
        <v>1500</v>
      </c>
      <c r="E133" t="s">
        <v>933</v>
      </c>
      <c r="F133">
        <v>5</v>
      </c>
      <c r="G133" t="s">
        <v>316</v>
      </c>
      <c r="H133" s="2">
        <v>505</v>
      </c>
      <c r="I133" s="2">
        <f t="shared" si="35"/>
        <v>2525</v>
      </c>
      <c r="J133" s="2">
        <v>25263</v>
      </c>
      <c r="K133" s="2">
        <f t="shared" si="36"/>
        <v>126315</v>
      </c>
      <c r="L133" s="2">
        <v>0</v>
      </c>
      <c r="M133" s="2">
        <f t="shared" si="37"/>
        <v>0</v>
      </c>
      <c r="N133" s="2">
        <f t="shared" si="38"/>
        <v>25768</v>
      </c>
      <c r="O133" s="2">
        <f t="shared" si="39"/>
        <v>128840</v>
      </c>
      <c r="Q133" t="s">
        <v>1501</v>
      </c>
    </row>
    <row r="134" spans="1:17" ht="24" customHeight="1" x14ac:dyDescent="0.3">
      <c r="A134" t="s">
        <v>24</v>
      </c>
      <c r="B134" t="s">
        <v>130</v>
      </c>
      <c r="C134">
        <v>7</v>
      </c>
      <c r="D134" t="s">
        <v>1502</v>
      </c>
      <c r="E134" t="s">
        <v>1503</v>
      </c>
      <c r="F134">
        <v>24</v>
      </c>
      <c r="G134" t="s">
        <v>316</v>
      </c>
      <c r="H134" s="2">
        <v>200000</v>
      </c>
      <c r="I134" s="2">
        <f t="shared" si="35"/>
        <v>4800000</v>
      </c>
      <c r="J134" s="2">
        <v>25263</v>
      </c>
      <c r="K134" s="2">
        <f t="shared" si="36"/>
        <v>606312</v>
      </c>
      <c r="M134" s="2">
        <f t="shared" si="37"/>
        <v>0</v>
      </c>
      <c r="N134" s="2">
        <f t="shared" si="38"/>
        <v>225263</v>
      </c>
      <c r="O134" s="2">
        <f t="shared" si="39"/>
        <v>5406312</v>
      </c>
      <c r="P134" t="s">
        <v>247</v>
      </c>
      <c r="Q134" t="s">
        <v>1502</v>
      </c>
    </row>
    <row r="135" spans="1:17" ht="24" customHeight="1" x14ac:dyDescent="0.3">
      <c r="A135" t="s">
        <v>24</v>
      </c>
      <c r="B135" t="s">
        <v>130</v>
      </c>
      <c r="C135">
        <v>8</v>
      </c>
      <c r="D135" t="s">
        <v>1504</v>
      </c>
      <c r="E135" t="s">
        <v>224</v>
      </c>
      <c r="F135">
        <v>13</v>
      </c>
      <c r="G135" t="s">
        <v>199</v>
      </c>
      <c r="H135" s="2">
        <v>2339</v>
      </c>
      <c r="I135" s="2">
        <f t="shared" si="35"/>
        <v>30407</v>
      </c>
      <c r="J135" s="2">
        <v>19375</v>
      </c>
      <c r="K135" s="2">
        <f t="shared" si="36"/>
        <v>251875</v>
      </c>
      <c r="L135" s="2">
        <v>2505</v>
      </c>
      <c r="M135" s="2">
        <f t="shared" si="37"/>
        <v>32565</v>
      </c>
      <c r="N135" s="2">
        <f t="shared" si="38"/>
        <v>24219</v>
      </c>
      <c r="O135" s="2">
        <f t="shared" si="39"/>
        <v>314847</v>
      </c>
      <c r="Q135" t="s">
        <v>222</v>
      </c>
    </row>
    <row r="136" spans="1:17" ht="24" customHeight="1" x14ac:dyDescent="0.3">
      <c r="A136" t="s">
        <v>24</v>
      </c>
      <c r="B136" t="s">
        <v>130</v>
      </c>
      <c r="C136">
        <v>9</v>
      </c>
      <c r="D136" t="s">
        <v>1505</v>
      </c>
      <c r="E136" t="s">
        <v>1506</v>
      </c>
      <c r="F136">
        <v>8</v>
      </c>
      <c r="G136" t="s">
        <v>199</v>
      </c>
      <c r="H136" s="2">
        <v>32611</v>
      </c>
      <c r="I136" s="2">
        <f t="shared" si="35"/>
        <v>260888</v>
      </c>
      <c r="J136" s="2">
        <v>106288</v>
      </c>
      <c r="K136" s="2">
        <f t="shared" si="36"/>
        <v>850304</v>
      </c>
      <c r="L136" s="2">
        <v>62900</v>
      </c>
      <c r="M136" s="2">
        <f t="shared" si="37"/>
        <v>503200</v>
      </c>
      <c r="N136" s="2">
        <f t="shared" si="38"/>
        <v>201799</v>
      </c>
      <c r="O136" s="2">
        <f t="shared" si="39"/>
        <v>1614392</v>
      </c>
      <c r="Q136" t="s">
        <v>1506</v>
      </c>
    </row>
    <row r="137" spans="1:17" ht="24" customHeight="1" x14ac:dyDescent="0.3">
      <c r="A137" t="s">
        <v>24</v>
      </c>
      <c r="B137" t="s">
        <v>130</v>
      </c>
      <c r="C137">
        <v>10</v>
      </c>
      <c r="D137" t="s">
        <v>1548</v>
      </c>
      <c r="E137" t="s">
        <v>1511</v>
      </c>
      <c r="F137">
        <v>136</v>
      </c>
      <c r="G137" t="s">
        <v>199</v>
      </c>
      <c r="H137" s="2">
        <v>2290</v>
      </c>
      <c r="I137" s="2">
        <f t="shared" si="35"/>
        <v>311440</v>
      </c>
      <c r="J137" s="2">
        <v>40880</v>
      </c>
      <c r="K137" s="2">
        <f t="shared" si="36"/>
        <v>5559680</v>
      </c>
      <c r="L137" s="2">
        <v>2681</v>
      </c>
      <c r="M137" s="2">
        <f t="shared" si="37"/>
        <v>364616</v>
      </c>
      <c r="N137" s="2">
        <f t="shared" si="38"/>
        <v>45851</v>
      </c>
      <c r="O137" s="2">
        <f t="shared" si="39"/>
        <v>6235736</v>
      </c>
      <c r="Q137" t="s">
        <v>1511</v>
      </c>
    </row>
    <row r="138" spans="1:17" ht="24" customHeight="1" x14ac:dyDescent="0.3">
      <c r="A138" t="s">
        <v>24</v>
      </c>
      <c r="B138" t="s">
        <v>130</v>
      </c>
      <c r="C138">
        <v>11</v>
      </c>
      <c r="D138" t="s">
        <v>1549</v>
      </c>
      <c r="E138" t="s">
        <v>417</v>
      </c>
      <c r="F138">
        <v>47</v>
      </c>
      <c r="G138" t="s">
        <v>418</v>
      </c>
      <c r="H138">
        <v>140000</v>
      </c>
      <c r="I138" s="2">
        <f t="shared" si="35"/>
        <v>6580000</v>
      </c>
      <c r="J138">
        <v>120000</v>
      </c>
      <c r="K138" s="2">
        <f t="shared" si="36"/>
        <v>5640000</v>
      </c>
      <c r="L138">
        <v>80000</v>
      </c>
      <c r="M138" s="2">
        <f t="shared" si="37"/>
        <v>3760000</v>
      </c>
      <c r="N138" s="2">
        <f t="shared" si="38"/>
        <v>340000</v>
      </c>
      <c r="O138" s="2">
        <f t="shared" si="39"/>
        <v>15980000</v>
      </c>
      <c r="P138" t="s">
        <v>247</v>
      </c>
      <c r="Q138" t="s">
        <v>1550</v>
      </c>
    </row>
    <row r="139" spans="1:17" ht="24" customHeight="1" x14ac:dyDescent="0.3">
      <c r="A139" t="s">
        <v>24</v>
      </c>
      <c r="B139" t="s">
        <v>130</v>
      </c>
      <c r="C139">
        <v>12</v>
      </c>
      <c r="D139" t="s">
        <v>1512</v>
      </c>
      <c r="E139" t="s">
        <v>1513</v>
      </c>
      <c r="F139">
        <v>3586</v>
      </c>
      <c r="G139" t="s">
        <v>168</v>
      </c>
      <c r="H139" s="2">
        <v>185</v>
      </c>
      <c r="I139" s="2">
        <f t="shared" si="35"/>
        <v>663410</v>
      </c>
      <c r="J139" s="2">
        <v>197</v>
      </c>
      <c r="K139" s="2">
        <f t="shared" si="36"/>
        <v>706442</v>
      </c>
      <c r="L139" s="2">
        <v>139</v>
      </c>
      <c r="M139" s="2">
        <f t="shared" si="37"/>
        <v>498454</v>
      </c>
      <c r="N139" s="2">
        <f t="shared" si="38"/>
        <v>521</v>
      </c>
      <c r="O139" s="2">
        <f t="shared" si="39"/>
        <v>1868306</v>
      </c>
      <c r="Q139" t="s">
        <v>1513</v>
      </c>
    </row>
    <row r="140" spans="1:17" ht="24" customHeight="1" x14ac:dyDescent="0.3">
      <c r="A140" t="s">
        <v>24</v>
      </c>
      <c r="B140" t="s">
        <v>130</v>
      </c>
      <c r="C140">
        <v>13</v>
      </c>
      <c r="D140" t="s">
        <v>1514</v>
      </c>
      <c r="E140" t="s">
        <v>1389</v>
      </c>
      <c r="F140">
        <v>11430</v>
      </c>
      <c r="G140" t="s">
        <v>654</v>
      </c>
      <c r="I140" s="2">
        <f t="shared" si="35"/>
        <v>0</v>
      </c>
      <c r="J140" s="2">
        <v>3797</v>
      </c>
      <c r="K140" s="2">
        <f t="shared" si="36"/>
        <v>43399710</v>
      </c>
      <c r="M140" s="2">
        <f t="shared" si="37"/>
        <v>0</v>
      </c>
      <c r="N140" s="2">
        <f t="shared" si="38"/>
        <v>3797</v>
      </c>
      <c r="O140" s="2">
        <f t="shared" si="39"/>
        <v>43399710</v>
      </c>
      <c r="P140" t="s">
        <v>247</v>
      </c>
      <c r="Q140" t="s">
        <v>1514</v>
      </c>
    </row>
    <row r="141" spans="1:17" ht="24" customHeight="1" x14ac:dyDescent="0.3">
      <c r="A141" t="s">
        <v>24</v>
      </c>
      <c r="B141" t="s">
        <v>130</v>
      </c>
      <c r="C141">
        <v>14</v>
      </c>
      <c r="D141" t="s">
        <v>1542</v>
      </c>
      <c r="E141" t="s">
        <v>167</v>
      </c>
      <c r="F141">
        <v>834</v>
      </c>
      <c r="G141" t="s">
        <v>168</v>
      </c>
      <c r="H141" s="2">
        <v>0</v>
      </c>
      <c r="I141" s="2">
        <f t="shared" si="35"/>
        <v>0</v>
      </c>
      <c r="J141" s="2">
        <v>4699</v>
      </c>
      <c r="K141" s="2">
        <f t="shared" si="36"/>
        <v>3918966</v>
      </c>
      <c r="L141" s="2">
        <v>0</v>
      </c>
      <c r="M141" s="2">
        <f t="shared" si="37"/>
        <v>0</v>
      </c>
      <c r="N141" s="2">
        <f t="shared" si="38"/>
        <v>4699</v>
      </c>
      <c r="O141" s="2">
        <f t="shared" si="39"/>
        <v>3918966</v>
      </c>
      <c r="Q141" t="s">
        <v>167</v>
      </c>
    </row>
    <row r="142" spans="1:17" ht="24" customHeight="1" x14ac:dyDescent="0.3">
      <c r="A142" s="10" t="s">
        <v>24</v>
      </c>
      <c r="B142" s="10" t="s">
        <v>130</v>
      </c>
      <c r="C142" s="10"/>
      <c r="D142" s="10" t="s">
        <v>1552</v>
      </c>
      <c r="E142" s="10"/>
      <c r="F142" s="10"/>
      <c r="G142" s="10"/>
      <c r="H142" s="10"/>
      <c r="I142" s="11">
        <f>SUM(I128:I141)</f>
        <v>13073510</v>
      </c>
      <c r="J142" s="10"/>
      <c r="K142" s="11">
        <f>SUM(K128:K141)</f>
        <v>64007053</v>
      </c>
      <c r="L142" s="10"/>
      <c r="M142" s="11">
        <f>SUM(M128:M141)</f>
        <v>5262499</v>
      </c>
      <c r="N142" s="10"/>
      <c r="O142" s="11">
        <f>SUM(O128:O141)</f>
        <v>82343062</v>
      </c>
      <c r="P142" s="10"/>
      <c r="Q142" s="10" t="s">
        <v>1517</v>
      </c>
    </row>
    <row r="143" spans="1:17" ht="24" customHeight="1" x14ac:dyDescent="0.3">
      <c r="A143" t="s">
        <v>24</v>
      </c>
      <c r="B143" t="s">
        <v>131</v>
      </c>
      <c r="C143">
        <v>1</v>
      </c>
      <c r="D143" t="s">
        <v>1553</v>
      </c>
      <c r="E143" t="s">
        <v>1494</v>
      </c>
      <c r="F143">
        <v>3</v>
      </c>
      <c r="G143" t="s">
        <v>233</v>
      </c>
      <c r="H143" s="2">
        <v>5775</v>
      </c>
      <c r="I143" s="2">
        <f t="shared" ref="I143:I154" si="40">F143*H143</f>
        <v>17325</v>
      </c>
      <c r="J143" s="2">
        <v>258574</v>
      </c>
      <c r="K143" s="2">
        <f t="shared" ref="K143:K154" si="41">F143*J143</f>
        <v>775722</v>
      </c>
      <c r="L143" s="2">
        <v>3583</v>
      </c>
      <c r="M143" s="2">
        <f t="shared" ref="M143:M154" si="42">F143*L143</f>
        <v>10749</v>
      </c>
      <c r="N143" s="2">
        <f t="shared" ref="N143:N154" si="43">H143+J143+L143</f>
        <v>267932</v>
      </c>
      <c r="O143" s="2">
        <f t="shared" ref="O143:O154" si="44">I143+K143+M143</f>
        <v>803796</v>
      </c>
      <c r="Q143" t="s">
        <v>1495</v>
      </c>
    </row>
    <row r="144" spans="1:17" ht="24" customHeight="1" x14ac:dyDescent="0.3">
      <c r="A144" t="s">
        <v>24</v>
      </c>
      <c r="B144" t="s">
        <v>131</v>
      </c>
      <c r="C144">
        <v>2</v>
      </c>
      <c r="D144" t="s">
        <v>1554</v>
      </c>
      <c r="F144">
        <v>1</v>
      </c>
      <c r="G144" t="s">
        <v>233</v>
      </c>
      <c r="H144">
        <v>340000</v>
      </c>
      <c r="I144" s="2">
        <f t="shared" si="40"/>
        <v>340000</v>
      </c>
      <c r="J144" s="2">
        <v>75000</v>
      </c>
      <c r="K144" s="2">
        <f t="shared" si="41"/>
        <v>75000</v>
      </c>
      <c r="L144">
        <v>75000</v>
      </c>
      <c r="M144" s="2">
        <f t="shared" si="42"/>
        <v>75000</v>
      </c>
      <c r="N144" s="2">
        <f t="shared" si="43"/>
        <v>490000</v>
      </c>
      <c r="O144" s="2">
        <f t="shared" si="44"/>
        <v>490000</v>
      </c>
      <c r="P144" t="s">
        <v>247</v>
      </c>
      <c r="Q144" t="s">
        <v>1554</v>
      </c>
    </row>
    <row r="145" spans="1:17" ht="24" customHeight="1" x14ac:dyDescent="0.3">
      <c r="A145" t="s">
        <v>24</v>
      </c>
      <c r="B145" t="s">
        <v>131</v>
      </c>
      <c r="C145">
        <v>3</v>
      </c>
      <c r="D145" t="s">
        <v>1555</v>
      </c>
      <c r="E145" t="s">
        <v>880</v>
      </c>
      <c r="F145">
        <v>22</v>
      </c>
      <c r="G145" t="s">
        <v>199</v>
      </c>
      <c r="H145" s="2">
        <v>230</v>
      </c>
      <c r="I145" s="2">
        <f t="shared" si="40"/>
        <v>5060</v>
      </c>
      <c r="J145" s="2">
        <v>4360</v>
      </c>
      <c r="K145" s="2">
        <f t="shared" si="41"/>
        <v>95920</v>
      </c>
      <c r="L145" s="2">
        <v>0</v>
      </c>
      <c r="M145" s="2">
        <f t="shared" si="42"/>
        <v>0</v>
      </c>
      <c r="N145" s="2">
        <f t="shared" si="43"/>
        <v>4590</v>
      </c>
      <c r="O145" s="2">
        <f t="shared" si="44"/>
        <v>100980</v>
      </c>
      <c r="Q145" t="s">
        <v>881</v>
      </c>
    </row>
    <row r="146" spans="1:17" ht="24" customHeight="1" x14ac:dyDescent="0.3">
      <c r="A146" t="s">
        <v>24</v>
      </c>
      <c r="B146" t="s">
        <v>131</v>
      </c>
      <c r="C146">
        <v>4</v>
      </c>
      <c r="D146" t="s">
        <v>1497</v>
      </c>
      <c r="E146" t="s">
        <v>883</v>
      </c>
      <c r="F146">
        <v>3</v>
      </c>
      <c r="G146" t="s">
        <v>199</v>
      </c>
      <c r="H146" s="2">
        <v>528</v>
      </c>
      <c r="I146" s="2">
        <f t="shared" si="40"/>
        <v>1584</v>
      </c>
      <c r="J146" s="2">
        <v>10016</v>
      </c>
      <c r="K146" s="2">
        <f t="shared" si="41"/>
        <v>30048</v>
      </c>
      <c r="L146" s="2">
        <v>0</v>
      </c>
      <c r="M146" s="2">
        <f t="shared" si="42"/>
        <v>0</v>
      </c>
      <c r="N146" s="2">
        <f t="shared" si="43"/>
        <v>10544</v>
      </c>
      <c r="O146" s="2">
        <f t="shared" si="44"/>
        <v>31632</v>
      </c>
      <c r="Q146" t="s">
        <v>794</v>
      </c>
    </row>
    <row r="147" spans="1:17" ht="24" customHeight="1" x14ac:dyDescent="0.3">
      <c r="A147" t="s">
        <v>24</v>
      </c>
      <c r="B147" t="s">
        <v>131</v>
      </c>
      <c r="C147">
        <v>5</v>
      </c>
      <c r="D147" t="s">
        <v>1498</v>
      </c>
      <c r="E147" t="s">
        <v>1499</v>
      </c>
      <c r="F147">
        <v>29</v>
      </c>
      <c r="G147" t="s">
        <v>199</v>
      </c>
      <c r="H147" s="2">
        <v>230</v>
      </c>
      <c r="I147" s="2">
        <f t="shared" si="40"/>
        <v>6670</v>
      </c>
      <c r="J147" s="2">
        <v>4360</v>
      </c>
      <c r="K147" s="2">
        <f t="shared" si="41"/>
        <v>126440</v>
      </c>
      <c r="L147" s="2">
        <v>0</v>
      </c>
      <c r="M147" s="2">
        <f t="shared" si="42"/>
        <v>0</v>
      </c>
      <c r="N147" s="2">
        <f t="shared" si="43"/>
        <v>4590</v>
      </c>
      <c r="O147" s="2">
        <f t="shared" si="44"/>
        <v>133110</v>
      </c>
      <c r="Q147" t="s">
        <v>535</v>
      </c>
    </row>
    <row r="148" spans="1:17" ht="24" customHeight="1" x14ac:dyDescent="0.3">
      <c r="A148" t="s">
        <v>24</v>
      </c>
      <c r="B148" t="s">
        <v>131</v>
      </c>
      <c r="C148">
        <v>6</v>
      </c>
      <c r="D148" t="s">
        <v>1500</v>
      </c>
      <c r="E148" t="s">
        <v>933</v>
      </c>
      <c r="F148">
        <v>4</v>
      </c>
      <c r="G148" t="s">
        <v>316</v>
      </c>
      <c r="H148" s="2">
        <v>505</v>
      </c>
      <c r="I148" s="2">
        <f t="shared" si="40"/>
        <v>2020</v>
      </c>
      <c r="J148" s="2">
        <v>25263</v>
      </c>
      <c r="K148" s="2">
        <f t="shared" si="41"/>
        <v>101052</v>
      </c>
      <c r="L148" s="2">
        <v>0</v>
      </c>
      <c r="M148" s="2">
        <f t="shared" si="42"/>
        <v>0</v>
      </c>
      <c r="N148" s="2">
        <f t="shared" si="43"/>
        <v>25768</v>
      </c>
      <c r="O148" s="2">
        <f t="shared" si="44"/>
        <v>103072</v>
      </c>
      <c r="Q148" t="s">
        <v>1501</v>
      </c>
    </row>
    <row r="149" spans="1:17" ht="24" customHeight="1" x14ac:dyDescent="0.3">
      <c r="A149" t="s">
        <v>24</v>
      </c>
      <c r="B149" t="s">
        <v>131</v>
      </c>
      <c r="C149">
        <v>7</v>
      </c>
      <c r="D149" t="s">
        <v>1502</v>
      </c>
      <c r="E149" t="s">
        <v>806</v>
      </c>
      <c r="F149">
        <v>1</v>
      </c>
      <c r="G149" t="s">
        <v>316</v>
      </c>
      <c r="H149" s="2">
        <v>505</v>
      </c>
      <c r="I149" s="2">
        <f t="shared" si="40"/>
        <v>505</v>
      </c>
      <c r="J149" s="2">
        <v>25263</v>
      </c>
      <c r="K149" s="2">
        <f t="shared" si="41"/>
        <v>25263</v>
      </c>
      <c r="L149" s="2">
        <v>0</v>
      </c>
      <c r="M149" s="2">
        <f t="shared" si="42"/>
        <v>0</v>
      </c>
      <c r="N149" s="2">
        <f t="shared" si="43"/>
        <v>25768</v>
      </c>
      <c r="O149" s="2">
        <f t="shared" si="44"/>
        <v>25768</v>
      </c>
      <c r="Q149" t="s">
        <v>1501</v>
      </c>
    </row>
    <row r="150" spans="1:17" ht="24" customHeight="1" x14ac:dyDescent="0.3">
      <c r="A150" t="s">
        <v>24</v>
      </c>
      <c r="B150" t="s">
        <v>131</v>
      </c>
      <c r="C150">
        <v>8</v>
      </c>
      <c r="D150" t="s">
        <v>1556</v>
      </c>
      <c r="E150" t="s">
        <v>1503</v>
      </c>
      <c r="F150">
        <v>5</v>
      </c>
      <c r="G150" t="s">
        <v>316</v>
      </c>
      <c r="H150" s="2">
        <v>200000</v>
      </c>
      <c r="I150" s="2">
        <f t="shared" si="40"/>
        <v>1000000</v>
      </c>
      <c r="J150" s="2">
        <v>25263</v>
      </c>
      <c r="K150" s="2">
        <f t="shared" si="41"/>
        <v>126315</v>
      </c>
      <c r="M150" s="2">
        <f t="shared" si="42"/>
        <v>0</v>
      </c>
      <c r="N150" s="2">
        <f t="shared" si="43"/>
        <v>225263</v>
      </c>
      <c r="O150" s="2">
        <f t="shared" si="44"/>
        <v>1126315</v>
      </c>
      <c r="P150" t="s">
        <v>247</v>
      </c>
      <c r="Q150" t="s">
        <v>1556</v>
      </c>
    </row>
    <row r="151" spans="1:17" ht="24" customHeight="1" x14ac:dyDescent="0.3">
      <c r="A151" t="s">
        <v>24</v>
      </c>
      <c r="B151" t="s">
        <v>131</v>
      </c>
      <c r="C151">
        <v>9</v>
      </c>
      <c r="D151" t="s">
        <v>1505</v>
      </c>
      <c r="E151" t="s">
        <v>1506</v>
      </c>
      <c r="F151">
        <v>6</v>
      </c>
      <c r="G151" t="s">
        <v>199</v>
      </c>
      <c r="H151" s="2">
        <v>32611</v>
      </c>
      <c r="I151" s="2">
        <f t="shared" si="40"/>
        <v>195666</v>
      </c>
      <c r="J151" s="2">
        <v>106288</v>
      </c>
      <c r="K151" s="2">
        <f t="shared" si="41"/>
        <v>637728</v>
      </c>
      <c r="L151" s="2">
        <v>62900</v>
      </c>
      <c r="M151" s="2">
        <f t="shared" si="42"/>
        <v>377400</v>
      </c>
      <c r="N151" s="2">
        <f t="shared" si="43"/>
        <v>201799</v>
      </c>
      <c r="O151" s="2">
        <f t="shared" si="44"/>
        <v>1210794</v>
      </c>
      <c r="Q151" t="s">
        <v>1506</v>
      </c>
    </row>
    <row r="152" spans="1:17" ht="24" customHeight="1" x14ac:dyDescent="0.3">
      <c r="A152" t="s">
        <v>24</v>
      </c>
      <c r="B152" t="s">
        <v>131</v>
      </c>
      <c r="C152">
        <v>10</v>
      </c>
      <c r="D152" t="s">
        <v>1557</v>
      </c>
      <c r="E152" t="s">
        <v>417</v>
      </c>
      <c r="F152">
        <v>42</v>
      </c>
      <c r="G152" t="s">
        <v>418</v>
      </c>
      <c r="H152">
        <v>140000</v>
      </c>
      <c r="I152" s="2">
        <f t="shared" si="40"/>
        <v>5880000</v>
      </c>
      <c r="J152">
        <v>120000</v>
      </c>
      <c r="K152" s="2">
        <f t="shared" si="41"/>
        <v>5040000</v>
      </c>
      <c r="L152">
        <v>80000</v>
      </c>
      <c r="M152" s="2">
        <f t="shared" si="42"/>
        <v>3360000</v>
      </c>
      <c r="N152" s="2">
        <f t="shared" si="43"/>
        <v>340000</v>
      </c>
      <c r="O152" s="2">
        <f t="shared" si="44"/>
        <v>14280000</v>
      </c>
      <c r="P152" t="s">
        <v>247</v>
      </c>
      <c r="Q152" t="s">
        <v>1558</v>
      </c>
    </row>
    <row r="153" spans="1:17" ht="24" customHeight="1" x14ac:dyDescent="0.3">
      <c r="A153" t="s">
        <v>24</v>
      </c>
      <c r="B153" t="s">
        <v>131</v>
      </c>
      <c r="C153">
        <v>11</v>
      </c>
      <c r="D153" t="s">
        <v>1559</v>
      </c>
      <c r="E153" t="s">
        <v>1513</v>
      </c>
      <c r="F153">
        <v>519</v>
      </c>
      <c r="G153" t="s">
        <v>168</v>
      </c>
      <c r="H153" s="2">
        <v>185</v>
      </c>
      <c r="I153" s="2">
        <f t="shared" si="40"/>
        <v>96015</v>
      </c>
      <c r="J153" s="2">
        <v>197</v>
      </c>
      <c r="K153" s="2">
        <f t="shared" si="41"/>
        <v>102243</v>
      </c>
      <c r="L153" s="2">
        <v>139</v>
      </c>
      <c r="M153" s="2">
        <f t="shared" si="42"/>
        <v>72141</v>
      </c>
      <c r="N153" s="2">
        <f t="shared" si="43"/>
        <v>521</v>
      </c>
      <c r="O153" s="2">
        <f t="shared" si="44"/>
        <v>270399</v>
      </c>
      <c r="Q153" t="s">
        <v>1513</v>
      </c>
    </row>
    <row r="154" spans="1:17" ht="24" customHeight="1" x14ac:dyDescent="0.3">
      <c r="A154" t="s">
        <v>24</v>
      </c>
      <c r="B154" t="s">
        <v>131</v>
      </c>
      <c r="C154">
        <v>12</v>
      </c>
      <c r="D154" t="s">
        <v>1560</v>
      </c>
      <c r="E154" t="s">
        <v>1389</v>
      </c>
      <c r="F154">
        <v>1647</v>
      </c>
      <c r="G154" t="s">
        <v>654</v>
      </c>
      <c r="H154" s="2">
        <v>200</v>
      </c>
      <c r="I154" s="2">
        <f t="shared" si="40"/>
        <v>329400</v>
      </c>
      <c r="J154" s="2">
        <v>6676</v>
      </c>
      <c r="K154" s="2">
        <f t="shared" si="41"/>
        <v>10995372</v>
      </c>
      <c r="L154" s="2">
        <v>0</v>
      </c>
      <c r="M154" s="2">
        <f t="shared" si="42"/>
        <v>0</v>
      </c>
      <c r="N154" s="2">
        <f t="shared" si="43"/>
        <v>6876</v>
      </c>
      <c r="O154" s="2">
        <f t="shared" si="44"/>
        <v>11324772</v>
      </c>
      <c r="Q154" t="s">
        <v>1561</v>
      </c>
    </row>
    <row r="155" spans="1:17" ht="24" customHeight="1" x14ac:dyDescent="0.3">
      <c r="A155" s="10" t="s">
        <v>24</v>
      </c>
      <c r="B155" s="10" t="s">
        <v>131</v>
      </c>
      <c r="C155" s="10"/>
      <c r="D155" s="10" t="s">
        <v>1562</v>
      </c>
      <c r="E155" s="10"/>
      <c r="F155" s="10"/>
      <c r="G155" s="10"/>
      <c r="H155" s="10"/>
      <c r="I155" s="11">
        <f>SUM(I143:I154)</f>
        <v>7874245</v>
      </c>
      <c r="J155" s="10"/>
      <c r="K155" s="11">
        <f>SUM(K143:K154)</f>
        <v>18131103</v>
      </c>
      <c r="L155" s="10"/>
      <c r="M155" s="11">
        <f>SUM(M143:M154)</f>
        <v>3895290</v>
      </c>
      <c r="N155" s="10"/>
      <c r="O155" s="11">
        <f>SUM(O143:O154)</f>
        <v>29900638</v>
      </c>
      <c r="P155" s="10"/>
      <c r="Q155" s="10" t="s">
        <v>1563</v>
      </c>
    </row>
    <row r="156" spans="1:17" ht="24" customHeight="1" x14ac:dyDescent="0.3">
      <c r="A156" t="s">
        <v>24</v>
      </c>
      <c r="B156" t="s">
        <v>132</v>
      </c>
      <c r="C156">
        <v>1</v>
      </c>
      <c r="D156" t="s">
        <v>1553</v>
      </c>
      <c r="E156" t="s">
        <v>1494</v>
      </c>
      <c r="F156">
        <v>4</v>
      </c>
      <c r="G156" t="s">
        <v>233</v>
      </c>
      <c r="H156" s="2">
        <v>5775</v>
      </c>
      <c r="I156" s="2">
        <f t="shared" ref="I156:I165" si="45">F156*H156</f>
        <v>23100</v>
      </c>
      <c r="J156" s="2">
        <v>258574</v>
      </c>
      <c r="K156" s="2">
        <f t="shared" ref="K156:K165" si="46">F156*J156</f>
        <v>1034296</v>
      </c>
      <c r="L156" s="2">
        <v>3583</v>
      </c>
      <c r="M156" s="2">
        <f t="shared" ref="M156:M165" si="47">F156*L156</f>
        <v>14332</v>
      </c>
      <c r="N156" s="2">
        <f t="shared" ref="N156:N165" si="48">H156+J156+L156</f>
        <v>267932</v>
      </c>
      <c r="O156" s="2">
        <f t="shared" ref="O156:O165" si="49">I156+K156+M156</f>
        <v>1071728</v>
      </c>
      <c r="Q156" t="s">
        <v>1495</v>
      </c>
    </row>
    <row r="157" spans="1:17" ht="24" customHeight="1" x14ac:dyDescent="0.3">
      <c r="A157" t="s">
        <v>24</v>
      </c>
      <c r="B157" t="s">
        <v>132</v>
      </c>
      <c r="C157">
        <v>2</v>
      </c>
      <c r="D157" t="s">
        <v>1564</v>
      </c>
      <c r="E157" t="s">
        <v>883</v>
      </c>
      <c r="F157">
        <v>55</v>
      </c>
      <c r="G157" t="s">
        <v>199</v>
      </c>
      <c r="H157" s="2">
        <v>528</v>
      </c>
      <c r="I157" s="2">
        <f t="shared" si="45"/>
        <v>29040</v>
      </c>
      <c r="J157" s="2">
        <v>10016</v>
      </c>
      <c r="K157" s="2">
        <f t="shared" si="46"/>
        <v>550880</v>
      </c>
      <c r="L157" s="2">
        <v>0</v>
      </c>
      <c r="M157" s="2">
        <f t="shared" si="47"/>
        <v>0</v>
      </c>
      <c r="N157" s="2">
        <f t="shared" si="48"/>
        <v>10544</v>
      </c>
      <c r="O157" s="2">
        <f t="shared" si="49"/>
        <v>579920</v>
      </c>
      <c r="Q157" t="s">
        <v>794</v>
      </c>
    </row>
    <row r="158" spans="1:17" ht="24" customHeight="1" x14ac:dyDescent="0.3">
      <c r="A158" t="s">
        <v>24</v>
      </c>
      <c r="B158" t="s">
        <v>132</v>
      </c>
      <c r="C158">
        <v>3</v>
      </c>
      <c r="D158" t="s">
        <v>1555</v>
      </c>
      <c r="E158" t="s">
        <v>1499</v>
      </c>
      <c r="F158">
        <v>10</v>
      </c>
      <c r="G158" t="s">
        <v>199</v>
      </c>
      <c r="H158" s="2">
        <v>230</v>
      </c>
      <c r="I158" s="2">
        <f t="shared" si="45"/>
        <v>2300</v>
      </c>
      <c r="J158" s="2">
        <v>4360</v>
      </c>
      <c r="K158" s="2">
        <f t="shared" si="46"/>
        <v>43600</v>
      </c>
      <c r="L158" s="2">
        <v>0</v>
      </c>
      <c r="M158" s="2">
        <f t="shared" si="47"/>
        <v>0</v>
      </c>
      <c r="N158" s="2">
        <f t="shared" si="48"/>
        <v>4590</v>
      </c>
      <c r="O158" s="2">
        <f t="shared" si="49"/>
        <v>45900</v>
      </c>
      <c r="Q158" t="s">
        <v>535</v>
      </c>
    </row>
    <row r="159" spans="1:17" ht="24" customHeight="1" x14ac:dyDescent="0.3">
      <c r="A159" t="s">
        <v>24</v>
      </c>
      <c r="B159" t="s">
        <v>132</v>
      </c>
      <c r="C159">
        <v>4</v>
      </c>
      <c r="D159" t="s">
        <v>1565</v>
      </c>
      <c r="E159" t="s">
        <v>806</v>
      </c>
      <c r="F159">
        <v>10</v>
      </c>
      <c r="G159" t="s">
        <v>316</v>
      </c>
      <c r="H159" s="2">
        <v>505</v>
      </c>
      <c r="I159" s="2">
        <f t="shared" si="45"/>
        <v>5050</v>
      </c>
      <c r="J159" s="2">
        <v>25263</v>
      </c>
      <c r="K159" s="2">
        <f t="shared" si="46"/>
        <v>252630</v>
      </c>
      <c r="L159" s="2">
        <v>0</v>
      </c>
      <c r="M159" s="2">
        <f t="shared" si="47"/>
        <v>0</v>
      </c>
      <c r="N159" s="2">
        <f t="shared" si="48"/>
        <v>25768</v>
      </c>
      <c r="O159" s="2">
        <f t="shared" si="49"/>
        <v>257680</v>
      </c>
      <c r="Q159" t="s">
        <v>1501</v>
      </c>
    </row>
    <row r="160" spans="1:17" ht="24" customHeight="1" x14ac:dyDescent="0.3">
      <c r="A160" t="s">
        <v>24</v>
      </c>
      <c r="B160" t="s">
        <v>132</v>
      </c>
      <c r="C160">
        <v>5</v>
      </c>
      <c r="D160" t="s">
        <v>1566</v>
      </c>
      <c r="E160" t="s">
        <v>1503</v>
      </c>
      <c r="F160">
        <v>2</v>
      </c>
      <c r="G160" t="s">
        <v>316</v>
      </c>
      <c r="H160" s="2">
        <v>200000</v>
      </c>
      <c r="I160" s="2">
        <f t="shared" si="45"/>
        <v>400000</v>
      </c>
      <c r="J160" s="2">
        <v>25263</v>
      </c>
      <c r="K160" s="2">
        <f t="shared" si="46"/>
        <v>50526</v>
      </c>
      <c r="M160" s="2">
        <f t="shared" si="47"/>
        <v>0</v>
      </c>
      <c r="N160" s="2">
        <f t="shared" si="48"/>
        <v>225263</v>
      </c>
      <c r="O160" s="2">
        <f t="shared" si="49"/>
        <v>450526</v>
      </c>
      <c r="P160" t="s">
        <v>247</v>
      </c>
      <c r="Q160" t="s">
        <v>1566</v>
      </c>
    </row>
    <row r="161" spans="1:17" ht="24" customHeight="1" x14ac:dyDescent="0.3">
      <c r="A161" t="s">
        <v>24</v>
      </c>
      <c r="B161" t="s">
        <v>132</v>
      </c>
      <c r="C161">
        <v>6</v>
      </c>
      <c r="D161" t="s">
        <v>1567</v>
      </c>
      <c r="E161" t="s">
        <v>1506</v>
      </c>
      <c r="F161">
        <v>6</v>
      </c>
      <c r="G161" t="s">
        <v>199</v>
      </c>
      <c r="H161" s="2">
        <v>32611</v>
      </c>
      <c r="I161" s="2">
        <f t="shared" si="45"/>
        <v>195666</v>
      </c>
      <c r="J161" s="2">
        <v>106288</v>
      </c>
      <c r="K161" s="2">
        <f t="shared" si="46"/>
        <v>637728</v>
      </c>
      <c r="L161" s="2">
        <v>62900</v>
      </c>
      <c r="M161" s="2">
        <f t="shared" si="47"/>
        <v>377400</v>
      </c>
      <c r="N161" s="2">
        <f t="shared" si="48"/>
        <v>201799</v>
      </c>
      <c r="O161" s="2">
        <f t="shared" si="49"/>
        <v>1210794</v>
      </c>
      <c r="Q161" t="s">
        <v>1506</v>
      </c>
    </row>
    <row r="162" spans="1:17" ht="24" customHeight="1" x14ac:dyDescent="0.3">
      <c r="A162" t="s">
        <v>24</v>
      </c>
      <c r="B162" t="s">
        <v>132</v>
      </c>
      <c r="C162">
        <v>7</v>
      </c>
      <c r="D162" t="s">
        <v>1568</v>
      </c>
      <c r="E162" t="s">
        <v>1511</v>
      </c>
      <c r="F162">
        <v>45</v>
      </c>
      <c r="G162" t="s">
        <v>199</v>
      </c>
      <c r="H162" s="2">
        <v>2290</v>
      </c>
      <c r="I162" s="2">
        <f t="shared" si="45"/>
        <v>103050</v>
      </c>
      <c r="J162" s="2">
        <v>40880</v>
      </c>
      <c r="K162" s="2">
        <f t="shared" si="46"/>
        <v>1839600</v>
      </c>
      <c r="L162" s="2">
        <v>2681</v>
      </c>
      <c r="M162" s="2">
        <f t="shared" si="47"/>
        <v>120645</v>
      </c>
      <c r="N162" s="2">
        <f t="shared" si="48"/>
        <v>45851</v>
      </c>
      <c r="O162" s="2">
        <f t="shared" si="49"/>
        <v>2063295</v>
      </c>
      <c r="Q162" t="s">
        <v>1511</v>
      </c>
    </row>
    <row r="163" spans="1:17" ht="24" customHeight="1" x14ac:dyDescent="0.3">
      <c r="A163" t="s">
        <v>24</v>
      </c>
      <c r="B163" t="s">
        <v>132</v>
      </c>
      <c r="C163">
        <v>8</v>
      </c>
      <c r="D163" t="s">
        <v>1569</v>
      </c>
      <c r="E163" t="s">
        <v>417</v>
      </c>
      <c r="F163">
        <v>14</v>
      </c>
      <c r="G163" t="s">
        <v>418</v>
      </c>
      <c r="H163">
        <v>140000</v>
      </c>
      <c r="I163" s="2">
        <f t="shared" si="45"/>
        <v>1960000</v>
      </c>
      <c r="J163">
        <v>120000</v>
      </c>
      <c r="K163" s="2">
        <f t="shared" si="46"/>
        <v>1680000</v>
      </c>
      <c r="L163">
        <v>80000</v>
      </c>
      <c r="M163" s="2">
        <f t="shared" si="47"/>
        <v>1120000</v>
      </c>
      <c r="N163" s="2">
        <f t="shared" si="48"/>
        <v>340000</v>
      </c>
      <c r="O163" s="2">
        <f t="shared" si="49"/>
        <v>4760000</v>
      </c>
      <c r="P163" t="s">
        <v>247</v>
      </c>
      <c r="Q163" t="s">
        <v>1570</v>
      </c>
    </row>
    <row r="164" spans="1:17" ht="24" customHeight="1" x14ac:dyDescent="0.3">
      <c r="A164" t="s">
        <v>24</v>
      </c>
      <c r="B164" t="s">
        <v>132</v>
      </c>
      <c r="C164">
        <v>9</v>
      </c>
      <c r="D164" t="s">
        <v>1571</v>
      </c>
      <c r="E164" t="s">
        <v>1513</v>
      </c>
      <c r="F164">
        <v>633</v>
      </c>
      <c r="G164" t="s">
        <v>168</v>
      </c>
      <c r="H164" s="2">
        <v>185</v>
      </c>
      <c r="I164" s="2">
        <f t="shared" si="45"/>
        <v>117105</v>
      </c>
      <c r="J164" s="2">
        <v>197</v>
      </c>
      <c r="K164" s="2">
        <f t="shared" si="46"/>
        <v>124701</v>
      </c>
      <c r="L164" s="2">
        <v>139</v>
      </c>
      <c r="M164" s="2">
        <f t="shared" si="47"/>
        <v>87987</v>
      </c>
      <c r="N164" s="2">
        <f t="shared" si="48"/>
        <v>521</v>
      </c>
      <c r="O164" s="2">
        <f t="shared" si="49"/>
        <v>329793</v>
      </c>
      <c r="Q164" t="s">
        <v>1513</v>
      </c>
    </row>
    <row r="165" spans="1:17" ht="24" customHeight="1" x14ac:dyDescent="0.3">
      <c r="A165" t="s">
        <v>24</v>
      </c>
      <c r="B165" t="s">
        <v>132</v>
      </c>
      <c r="C165">
        <v>10</v>
      </c>
      <c r="D165" t="s">
        <v>1572</v>
      </c>
      <c r="E165" t="s">
        <v>167</v>
      </c>
      <c r="F165">
        <v>62</v>
      </c>
      <c r="G165" t="s">
        <v>168</v>
      </c>
      <c r="H165" s="2">
        <v>0</v>
      </c>
      <c r="I165" s="2">
        <f t="shared" si="45"/>
        <v>0</v>
      </c>
      <c r="J165" s="2">
        <v>4699</v>
      </c>
      <c r="K165" s="2">
        <f t="shared" si="46"/>
        <v>291338</v>
      </c>
      <c r="L165" s="2">
        <v>0</v>
      </c>
      <c r="M165" s="2">
        <f t="shared" si="47"/>
        <v>0</v>
      </c>
      <c r="N165" s="2">
        <f t="shared" si="48"/>
        <v>4699</v>
      </c>
      <c r="O165" s="2">
        <f t="shared" si="49"/>
        <v>291338</v>
      </c>
      <c r="Q165" t="s">
        <v>167</v>
      </c>
    </row>
    <row r="166" spans="1:17" ht="24" customHeight="1" x14ac:dyDescent="0.3">
      <c r="A166" s="10" t="s">
        <v>24</v>
      </c>
      <c r="B166" s="10" t="s">
        <v>132</v>
      </c>
      <c r="C166" s="10"/>
      <c r="D166" s="10" t="s">
        <v>1573</v>
      </c>
      <c r="E166" s="10"/>
      <c r="F166" s="10"/>
      <c r="G166" s="10"/>
      <c r="H166" s="10"/>
      <c r="I166" s="11">
        <f>SUM(I156:I165)</f>
        <v>2835311</v>
      </c>
      <c r="J166" s="10"/>
      <c r="K166" s="11">
        <f>SUM(K156:K165)</f>
        <v>6505299</v>
      </c>
      <c r="L166" s="10"/>
      <c r="M166" s="11">
        <f>SUM(M156:M165)</f>
        <v>1720364</v>
      </c>
      <c r="N166" s="10"/>
      <c r="O166" s="11">
        <f>SUM(O156:O165)</f>
        <v>11060974</v>
      </c>
      <c r="P166" s="10"/>
      <c r="Q166" s="10" t="s">
        <v>1574</v>
      </c>
    </row>
    <row r="167" spans="1:17" ht="24" customHeight="1" x14ac:dyDescent="0.3">
      <c r="A167" s="3"/>
      <c r="B167" s="3"/>
      <c r="C167" s="3"/>
      <c r="D167" s="3" t="s">
        <v>1575</v>
      </c>
      <c r="E167" s="3"/>
      <c r="F167" s="3"/>
      <c r="G167" s="3"/>
      <c r="H167" s="3"/>
      <c r="I167" s="4">
        <f>SUMIF(C20:C166,"&lt;&gt;",I20:I166)</f>
        <v>459540764</v>
      </c>
      <c r="J167" s="3"/>
      <c r="K167" s="4">
        <f>SUMIF(C20:C166,"&lt;&gt;",K20:K166)</f>
        <v>1112369049</v>
      </c>
      <c r="L167" s="3"/>
      <c r="M167" s="4">
        <f>SUMIF(C20:C166,"&lt;&gt;",M20:M166)</f>
        <v>393216970</v>
      </c>
      <c r="N167" s="3"/>
      <c r="O167" s="4">
        <f>SUMIF(C20:C166,"&lt;&gt;",O20:O166)</f>
        <v>1965126783</v>
      </c>
      <c r="P167" s="3"/>
      <c r="Q167" s="3" t="s">
        <v>506</v>
      </c>
    </row>
  </sheetData>
  <mergeCells count="1">
    <mergeCell ref="A1:K1"/>
  </mergeCells>
  <phoneticPr fontId="3" type="noConversion"/>
  <pageMargins left="0.39370078740157483" right="0.39370078740157483" top="0.59055118110236227" bottom="0.39370078740157483" header="0.51181102362204722" footer="0.51181102362204722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54"/>
  <sheetViews>
    <sheetView tabSelected="1" view="pageBreakPreview" zoomScale="60" zoomScaleNormal="100" workbookViewId="0">
      <pane ySplit="11" topLeftCell="A12" activePane="bottomLeft" state="frozen"/>
      <selection activeCell="F132" sqref="F132"/>
      <selection pane="bottomLeft" activeCell="AG18" sqref="AG18"/>
    </sheetView>
  </sheetViews>
  <sheetFormatPr defaultRowHeight="16.5" x14ac:dyDescent="0.3"/>
  <cols>
    <col min="1" max="1" width="23.625" bestFit="1" customWidth="1"/>
    <col min="2" max="2" width="16.375" bestFit="1" customWidth="1"/>
    <col min="3" max="3" width="23" bestFit="1" customWidth="1"/>
    <col min="4" max="4" width="24.25" bestFit="1" customWidth="1"/>
    <col min="5" max="5" width="17.375" bestFit="1" customWidth="1"/>
    <col min="6" max="7" width="8" bestFit="1" customWidth="1"/>
    <col min="8" max="8" width="9.875" bestFit="1" customWidth="1"/>
    <col min="9" max="10" width="11.875" bestFit="1" customWidth="1"/>
    <col min="11" max="12" width="9.875" bestFit="1" customWidth="1"/>
    <col min="13" max="13" width="11.875" bestFit="1" customWidth="1"/>
    <col min="14" max="14" width="9.875" bestFit="1" customWidth="1"/>
    <col min="15" max="15" width="11.875" bestFit="1" customWidth="1"/>
    <col min="16" max="16" width="6.125" bestFit="1" customWidth="1"/>
    <col min="17" max="17" width="17.25" bestFit="1" customWidth="1"/>
  </cols>
  <sheetData>
    <row r="1" spans="1:17" ht="24" customHeight="1" x14ac:dyDescent="0.35">
      <c r="A1" s="60" t="s">
        <v>1576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7" ht="24" customHeight="1" x14ac:dyDescent="0.3"/>
    <row r="3" spans="1:17" ht="24" customHeight="1" x14ac:dyDescent="0.3">
      <c r="A3" s="1" t="s">
        <v>4</v>
      </c>
      <c r="B3" s="1" t="s">
        <v>5</v>
      </c>
      <c r="C3" s="1" t="s">
        <v>92</v>
      </c>
      <c r="D3" s="1" t="s">
        <v>93</v>
      </c>
      <c r="E3" s="1" t="s">
        <v>94</v>
      </c>
      <c r="F3" s="1" t="s">
        <v>95</v>
      </c>
      <c r="G3" s="1" t="s">
        <v>6</v>
      </c>
      <c r="H3" s="1" t="s">
        <v>7</v>
      </c>
      <c r="I3" s="1" t="s">
        <v>8</v>
      </c>
      <c r="J3" s="1" t="s">
        <v>28</v>
      </c>
      <c r="K3" s="1" t="s">
        <v>96</v>
      </c>
    </row>
    <row r="4" spans="1:17" ht="24" customHeight="1" x14ac:dyDescent="0.3">
      <c r="A4" t="s">
        <v>26</v>
      </c>
      <c r="B4" t="s">
        <v>27</v>
      </c>
      <c r="C4" t="s">
        <v>135</v>
      </c>
      <c r="G4" s="2">
        <v>0</v>
      </c>
      <c r="H4" s="2">
        <v>0</v>
      </c>
      <c r="I4" s="2">
        <v>10873450</v>
      </c>
      <c r="J4" s="2">
        <v>10873450</v>
      </c>
      <c r="K4" s="9">
        <v>0.1087345</v>
      </c>
    </row>
    <row r="5" spans="1:17" ht="24" customHeight="1" x14ac:dyDescent="0.3">
      <c r="A5" t="s">
        <v>26</v>
      </c>
      <c r="B5" t="s">
        <v>27</v>
      </c>
      <c r="C5" t="s">
        <v>136</v>
      </c>
      <c r="G5" s="2">
        <v>0</v>
      </c>
      <c r="H5" s="2">
        <v>0</v>
      </c>
      <c r="I5" s="2">
        <v>20584862</v>
      </c>
      <c r="J5" s="2">
        <v>20584862</v>
      </c>
      <c r="K5" s="9">
        <v>0.20584862000000001</v>
      </c>
    </row>
    <row r="6" spans="1:17" ht="24" customHeight="1" x14ac:dyDescent="0.3">
      <c r="A6" s="10" t="s">
        <v>26</v>
      </c>
      <c r="B6" s="10" t="s">
        <v>27</v>
      </c>
      <c r="C6" s="10" t="s">
        <v>137</v>
      </c>
      <c r="D6" s="10">
        <v>0</v>
      </c>
      <c r="E6" s="10">
        <v>0</v>
      </c>
      <c r="F6" s="10">
        <v>0</v>
      </c>
      <c r="G6" s="11">
        <v>0</v>
      </c>
      <c r="H6" s="11">
        <v>0</v>
      </c>
      <c r="I6" s="11">
        <v>31458312</v>
      </c>
      <c r="J6" s="11">
        <v>31458312</v>
      </c>
      <c r="K6" s="12">
        <v>0.31458311999999999</v>
      </c>
    </row>
    <row r="7" spans="1:17" ht="24" customHeight="1" x14ac:dyDescent="0.3">
      <c r="A7" s="3"/>
      <c r="B7" s="3" t="s">
        <v>25</v>
      </c>
      <c r="C7" s="3" t="s">
        <v>1577</v>
      </c>
      <c r="D7" s="3">
        <v>0</v>
      </c>
      <c r="E7" s="3">
        <v>0</v>
      </c>
      <c r="F7" s="3">
        <v>0</v>
      </c>
      <c r="G7" s="4">
        <v>0</v>
      </c>
      <c r="H7" s="4">
        <v>0</v>
      </c>
      <c r="I7" s="4">
        <v>31458312</v>
      </c>
      <c r="J7" s="4">
        <v>31458312</v>
      </c>
      <c r="K7" s="17">
        <v>0.31458311999999999</v>
      </c>
    </row>
    <row r="8" spans="1:17" ht="24" customHeight="1" x14ac:dyDescent="0.3"/>
    <row r="9" spans="1:17" ht="24" customHeight="1" x14ac:dyDescent="0.3">
      <c r="A9" t="s">
        <v>1578</v>
      </c>
    </row>
    <row r="10" spans="1:17" ht="24" customHeight="1" x14ac:dyDescent="0.3"/>
    <row r="11" spans="1:17" ht="24" customHeight="1" x14ac:dyDescent="0.3">
      <c r="A11" s="1" t="s">
        <v>5</v>
      </c>
      <c r="B11" s="1" t="s">
        <v>92</v>
      </c>
      <c r="C11" s="1" t="s">
        <v>4</v>
      </c>
      <c r="D11" s="1" t="s">
        <v>144</v>
      </c>
      <c r="E11" s="1" t="s">
        <v>145</v>
      </c>
      <c r="F11" s="1" t="s">
        <v>146</v>
      </c>
      <c r="G11" s="1" t="s">
        <v>147</v>
      </c>
      <c r="H11" s="1" t="s">
        <v>148</v>
      </c>
      <c r="I11" s="1" t="s">
        <v>149</v>
      </c>
      <c r="J11" s="1" t="s">
        <v>150</v>
      </c>
      <c r="K11" s="1" t="s">
        <v>151</v>
      </c>
      <c r="L11" s="1" t="s">
        <v>152</v>
      </c>
      <c r="M11" s="1" t="s">
        <v>153</v>
      </c>
      <c r="N11" s="1" t="s">
        <v>154</v>
      </c>
      <c r="O11" s="1" t="s">
        <v>155</v>
      </c>
      <c r="P11" s="1" t="s">
        <v>156</v>
      </c>
      <c r="Q11" s="1" t="s">
        <v>10</v>
      </c>
    </row>
    <row r="12" spans="1:17" ht="24" customHeight="1" x14ac:dyDescent="0.3">
      <c r="A12" t="s">
        <v>27</v>
      </c>
      <c r="B12" t="s">
        <v>1579</v>
      </c>
      <c r="C12">
        <v>1</v>
      </c>
      <c r="D12" t="s">
        <v>135</v>
      </c>
      <c r="E12" t="s">
        <v>1580</v>
      </c>
      <c r="F12">
        <v>661</v>
      </c>
      <c r="G12" t="s">
        <v>283</v>
      </c>
      <c r="H12" s="2">
        <v>0</v>
      </c>
      <c r="I12" s="2">
        <f>F12*H12</f>
        <v>0</v>
      </c>
      <c r="J12" s="2">
        <v>0</v>
      </c>
      <c r="K12" s="2">
        <f>F12*J12</f>
        <v>0</v>
      </c>
      <c r="L12" s="2">
        <v>16450</v>
      </c>
      <c r="M12" s="2">
        <f>F12*L12</f>
        <v>10873450</v>
      </c>
      <c r="N12" s="2">
        <f>H12+J12+L12</f>
        <v>16450</v>
      </c>
      <c r="O12" s="2">
        <f>I12+K12+M12</f>
        <v>10873450</v>
      </c>
      <c r="Q12" t="s">
        <v>1581</v>
      </c>
    </row>
    <row r="13" spans="1:17" ht="24" customHeight="1" x14ac:dyDescent="0.3">
      <c r="A13" t="s">
        <v>27</v>
      </c>
      <c r="B13" t="s">
        <v>1579</v>
      </c>
      <c r="C13">
        <v>2</v>
      </c>
      <c r="D13" t="s">
        <v>136</v>
      </c>
      <c r="F13">
        <v>661</v>
      </c>
      <c r="G13" t="s">
        <v>283</v>
      </c>
      <c r="H13" s="2">
        <v>0</v>
      </c>
      <c r="I13" s="2">
        <f>F13*H13</f>
        <v>0</v>
      </c>
      <c r="J13" s="2">
        <v>0</v>
      </c>
      <c r="K13" s="2">
        <f>F13*J13</f>
        <v>0</v>
      </c>
      <c r="L13" s="2">
        <v>31142</v>
      </c>
      <c r="M13" s="2">
        <f>F13*L13</f>
        <v>20584862</v>
      </c>
      <c r="N13" s="2">
        <f>H13+J13+L13</f>
        <v>31142</v>
      </c>
      <c r="O13" s="2">
        <f>I13+K13+M13</f>
        <v>20584862</v>
      </c>
      <c r="Q13" t="s">
        <v>1581</v>
      </c>
    </row>
    <row r="14" spans="1:17" ht="24" customHeight="1" x14ac:dyDescent="0.3">
      <c r="A14" s="10" t="s">
        <v>27</v>
      </c>
      <c r="B14" s="10" t="s">
        <v>1579</v>
      </c>
      <c r="C14" s="10"/>
      <c r="D14" s="10" t="s">
        <v>1582</v>
      </c>
      <c r="E14" s="10"/>
      <c r="F14" s="10"/>
      <c r="G14" s="10"/>
      <c r="H14" s="10"/>
      <c r="I14" s="11">
        <f>SUM(I12:I13)</f>
        <v>0</v>
      </c>
      <c r="J14" s="10"/>
      <c r="K14" s="11">
        <f>SUM(K12:K13)</f>
        <v>0</v>
      </c>
      <c r="L14" s="10"/>
      <c r="M14" s="11">
        <f>SUM(M12:M13)</f>
        <v>31458312</v>
      </c>
      <c r="N14" s="10"/>
      <c r="O14" s="11">
        <f>SUM(O12:O13)</f>
        <v>31458312</v>
      </c>
      <c r="P14" s="10"/>
      <c r="Q14" s="10" t="s">
        <v>1371</v>
      </c>
    </row>
    <row r="15" spans="1:17" ht="24" customHeight="1" x14ac:dyDescent="0.3">
      <c r="A15" s="3"/>
      <c r="B15" s="3"/>
      <c r="C15" s="3"/>
      <c r="D15" s="3" t="s">
        <v>1583</v>
      </c>
      <c r="E15" s="3"/>
      <c r="F15" s="3"/>
      <c r="G15" s="3"/>
      <c r="H15" s="3"/>
      <c r="I15" s="4">
        <f>SUMIF(C12:C14,"&lt;&gt;",I12:I14)</f>
        <v>0</v>
      </c>
      <c r="J15" s="3"/>
      <c r="K15" s="4">
        <f>SUMIF(C12:C14,"&lt;&gt;",K12:K14)</f>
        <v>0</v>
      </c>
      <c r="L15" s="3"/>
      <c r="M15" s="4">
        <f>SUMIF(C12:C14,"&lt;&gt;",M12:M14)</f>
        <v>31458312</v>
      </c>
      <c r="N15" s="3"/>
      <c r="O15" s="4">
        <f>SUMIF(C12:C14,"&lt;&gt;",O12:O14)</f>
        <v>31458312</v>
      </c>
      <c r="P15" s="3"/>
      <c r="Q15" s="3" t="s">
        <v>506</v>
      </c>
    </row>
    <row r="16" spans="1:17" ht="24" customHeight="1" x14ac:dyDescent="0.3"/>
    <row r="17" ht="24" customHeight="1" x14ac:dyDescent="0.3"/>
    <row r="18" ht="24" customHeight="1" x14ac:dyDescent="0.3"/>
    <row r="19" ht="24" customHeight="1" x14ac:dyDescent="0.3"/>
    <row r="20" ht="24" customHeight="1" x14ac:dyDescent="0.3"/>
    <row r="21" ht="24" customHeight="1" x14ac:dyDescent="0.3"/>
    <row r="22" ht="24" customHeight="1" x14ac:dyDescent="0.3"/>
    <row r="23" ht="24" customHeight="1" x14ac:dyDescent="0.3"/>
    <row r="24" ht="24" customHeight="1" x14ac:dyDescent="0.3"/>
    <row r="25" ht="24" customHeight="1" x14ac:dyDescent="0.3"/>
    <row r="26" ht="24" customHeight="1" x14ac:dyDescent="0.3"/>
    <row r="27" ht="24" customHeight="1" x14ac:dyDescent="0.3"/>
    <row r="28" ht="24" customHeight="1" x14ac:dyDescent="0.3"/>
    <row r="29" ht="24" customHeight="1" x14ac:dyDescent="0.3"/>
    <row r="30" ht="24" customHeight="1" x14ac:dyDescent="0.3"/>
    <row r="31" ht="24" customHeight="1" x14ac:dyDescent="0.3"/>
    <row r="32" ht="24" customHeight="1" x14ac:dyDescent="0.3"/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24" customHeight="1" x14ac:dyDescent="0.3"/>
    <row r="48" ht="24" customHeight="1" x14ac:dyDescent="0.3"/>
    <row r="49" spans="5:5" ht="24" customHeight="1" x14ac:dyDescent="0.3"/>
    <row r="50" spans="5:5" ht="24" customHeight="1" x14ac:dyDescent="0.3"/>
    <row r="51" spans="5:5" ht="24" customHeight="1" x14ac:dyDescent="0.3"/>
    <row r="52" spans="5:5" ht="24" customHeight="1" x14ac:dyDescent="0.3"/>
    <row r="53" spans="5:5" ht="24" customHeight="1" x14ac:dyDescent="0.3"/>
    <row r="54" spans="5:5" ht="24" customHeight="1" x14ac:dyDescent="0.3">
      <c r="E54" s="23"/>
    </row>
  </sheetData>
  <mergeCells count="1">
    <mergeCell ref="A1:K1"/>
  </mergeCells>
  <phoneticPr fontId="3" type="noConversion"/>
  <pageMargins left="0.39370078740157483" right="0.39370078740157483" top="0.59055118110236227" bottom="0.39370078740157483" header="0.51181102362204722" footer="0.51181102362204722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5</vt:i4>
      </vt:variant>
    </vt:vector>
  </HeadingPairs>
  <TitlesOfParts>
    <vt:vector size="12" baseType="lpstr">
      <vt:lpstr>총공사비</vt:lpstr>
      <vt:lpstr>내역집계</vt:lpstr>
      <vt:lpstr>회전교차로</vt:lpstr>
      <vt:lpstr>진입도로</vt:lpstr>
      <vt:lpstr>토목(조경)</vt:lpstr>
      <vt:lpstr>지구단위</vt:lpstr>
      <vt:lpstr>폐기물</vt:lpstr>
      <vt:lpstr>지구단위!Print_Area</vt:lpstr>
      <vt:lpstr>진입도로!Print_Area</vt:lpstr>
      <vt:lpstr>'토목(조경)'!Print_Area</vt:lpstr>
      <vt:lpstr>폐기물!Print_Area</vt:lpstr>
      <vt:lpstr>회전교차로!Print_Area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김찬식 초록마을</cp:lastModifiedBy>
  <cp:lastPrinted>2026-06-28T07:07:00Z</cp:lastPrinted>
  <dcterms:created xsi:type="dcterms:W3CDTF">2026-06-28T04:59:11Z</dcterms:created>
  <dcterms:modified xsi:type="dcterms:W3CDTF">2026-07-02T07:24:48Z</dcterms:modified>
</cp:coreProperties>
</file>