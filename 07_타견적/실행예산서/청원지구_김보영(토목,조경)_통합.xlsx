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견적서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12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1F3864"/>
      <sz val="13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1F3864"/>
      <sz val="9"/>
    </font>
    <font>
      <name val="맑은 고딕"/>
      <charset val="129"/>
      <family val="3"/>
      <color rgb="FF1F3864"/>
      <sz val="9"/>
    </font>
    <font>
      <name val="맑은 고딕"/>
      <charset val="129"/>
      <family val="3"/>
      <color rgb="FF000000"/>
      <sz val="9"/>
    </font>
    <font>
      <name val="맑은 고딕"/>
      <charset val="129"/>
      <family val="3"/>
      <color rgb="FF595959"/>
      <sz val="8"/>
    </font>
    <font>
      <name val="맑은 고딕"/>
      <charset val="129"/>
      <family val="3"/>
      <b val="1"/>
      <color rgb="FFC00000"/>
      <sz val="9"/>
    </font>
    <font>
      <name val="맑은 고딕"/>
      <charset val="129"/>
      <family val="3"/>
      <color rgb="FFC00000"/>
      <sz val="9"/>
    </font>
    <font>
      <name val="맑은 고딕"/>
      <charset val="129"/>
      <family val="3"/>
      <b val="1"/>
      <color rgb="FF000000"/>
      <sz val="9"/>
    </font>
    <font>
      <name val="맑은 고딕"/>
      <charset val="129"/>
      <family val="3"/>
      <color rgb="FF404040"/>
      <sz val="9"/>
    </font>
    <font>
      <name val="맑은 고딕"/>
      <charset val="129"/>
      <family val="3"/>
      <sz val="8"/>
      <scheme val="minor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DEDED"/>
      </patternFill>
    </fill>
  </fills>
  <borders count="19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3" fontId="5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4" fillId="3" borderId="5" applyAlignment="1" pivotButton="0" quotePrefix="0" xfId="0">
      <alignment horizontal="left" vertical="center"/>
    </xf>
    <xf numFmtId="0" fontId="5" fillId="3" borderId="5" applyAlignment="1" pivotButton="0" quotePrefix="0" xfId="0">
      <alignment horizontal="right" vertical="center"/>
    </xf>
    <xf numFmtId="0" fontId="5" fillId="3" borderId="5" applyAlignment="1" pivotButton="0" quotePrefix="0" xfId="0">
      <alignment horizontal="center" vertical="center"/>
    </xf>
    <xf numFmtId="3" fontId="3" fillId="3" borderId="5" applyAlignment="1" pivotButton="0" quotePrefix="0" xfId="0">
      <alignment horizontal="right" vertical="center"/>
    </xf>
    <xf numFmtId="0" fontId="6" fillId="3" borderId="6" applyAlignment="1" pivotButton="0" quotePrefix="0" xfId="0">
      <alignment horizontal="left" vertical="center"/>
    </xf>
    <xf numFmtId="0" fontId="3" fillId="3" borderId="7" applyAlignment="1" pivotButton="0" quotePrefix="0" xfId="0">
      <alignment horizontal="left" vertical="center"/>
    </xf>
    <xf numFmtId="0" fontId="4" fillId="3" borderId="8" applyAlignment="1" pivotButton="0" quotePrefix="0" xfId="0">
      <alignment horizontal="left" vertical="center"/>
    </xf>
    <xf numFmtId="3" fontId="5" fillId="3" borderId="8" applyAlignment="1" pivotButton="0" quotePrefix="0" xfId="0">
      <alignment horizontal="right" vertical="center"/>
    </xf>
    <xf numFmtId="0" fontId="5" fillId="3" borderId="8" applyAlignment="1" pivotButton="0" quotePrefix="0" xfId="0">
      <alignment horizontal="center" vertical="center"/>
    </xf>
    <xf numFmtId="0" fontId="5" fillId="3" borderId="8" applyAlignment="1" pivotButton="0" quotePrefix="0" xfId="0">
      <alignment horizontal="right" vertical="center"/>
    </xf>
    <xf numFmtId="3" fontId="3" fillId="3" borderId="8" applyAlignment="1" pivotButton="0" quotePrefix="0" xfId="0">
      <alignment horizontal="right" vertical="center"/>
    </xf>
    <xf numFmtId="0" fontId="6" fillId="3" borderId="9" applyAlignment="1" pivotButton="0" quotePrefix="0" xfId="0">
      <alignment horizontal="left" vertical="center"/>
    </xf>
    <xf numFmtId="0" fontId="3" fillId="3" borderId="8" applyAlignment="1" pivotButton="0" quotePrefix="0" xfId="0">
      <alignment horizontal="right" vertical="center"/>
    </xf>
    <xf numFmtId="0" fontId="7" fillId="4" borderId="10" applyAlignment="1" pivotButton="0" quotePrefix="0" xfId="0">
      <alignment horizontal="left" vertical="center"/>
    </xf>
    <xf numFmtId="0" fontId="8" fillId="4" borderId="11" applyAlignment="1" pivotButton="0" quotePrefix="0" xfId="0">
      <alignment horizontal="left" vertical="center"/>
    </xf>
    <xf numFmtId="0" fontId="5" fillId="4" borderId="11" applyAlignment="1" pivotButton="0" quotePrefix="0" xfId="0">
      <alignment horizontal="right" vertical="center"/>
    </xf>
    <xf numFmtId="0" fontId="5" fillId="4" borderId="11" applyAlignment="1" pivotButton="0" quotePrefix="0" xfId="0">
      <alignment horizontal="center" vertical="center"/>
    </xf>
    <xf numFmtId="3" fontId="7" fillId="4" borderId="11" applyAlignment="1" pivotButton="0" quotePrefix="0" xfId="0">
      <alignment horizontal="right" vertical="center"/>
    </xf>
    <xf numFmtId="0" fontId="6" fillId="4" borderId="12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3" pivotButton="0" quotePrefix="0" xfId="0"/>
    <xf numFmtId="164" fontId="5" fillId="0" borderId="1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1"/>
  <sheetViews>
    <sheetView tabSelected="1" workbookViewId="0">
      <pane ySplit="3" topLeftCell="A4" activePane="bottomLeft" state="frozen"/>
      <selection pane="bottomLeft" activeCell="J55" sqref="J55"/>
    </sheetView>
  </sheetViews>
  <sheetFormatPr baseColWidth="8" defaultRowHeight="16.5"/>
  <cols>
    <col width="44.75" bestFit="1" customWidth="1" min="1" max="1"/>
    <col width="34.375" bestFit="1" customWidth="1" min="2" max="2"/>
    <col width="7.5" bestFit="1" customWidth="1" min="3" max="3"/>
    <col width="5.625" bestFit="1" customWidth="1" min="4" max="4"/>
    <col width="10.125" bestFit="1" customWidth="1" min="5" max="5"/>
    <col width="11.5" bestFit="1" customWidth="1" min="6" max="6"/>
    <col width="10.125" bestFit="1" customWidth="1" min="7" max="7"/>
    <col width="11.5" bestFit="1" customWidth="1" min="8" max="11"/>
    <col width="12.5" bestFit="1" customWidth="1" min="12" max="12"/>
    <col width="4.5" bestFit="1" customWidth="1" min="13" max="13"/>
  </cols>
  <sheetData>
    <row r="1" ht="19.5" customHeight="1">
      <c r="A1" s="56" t="inlineStr">
        <is>
          <t>화성 청원지구 산업유통형 지구단위계획 — 실행 견적서</t>
        </is>
      </c>
      <c r="B1" s="57" t="n"/>
      <c r="C1" s="57" t="n"/>
      <c r="D1" s="57" t="n"/>
      <c r="E1" s="57" t="n"/>
      <c r="F1" s="57" t="n"/>
      <c r="G1" s="57" t="n"/>
      <c r="H1" s="57" t="n"/>
      <c r="I1" s="57" t="n"/>
      <c r="J1" s="57" t="n"/>
      <c r="K1" s="57" t="n"/>
      <c r="L1" s="57" t="n"/>
      <c r="M1" s="58" t="n"/>
    </row>
    <row r="2">
      <c r="A2" s="59" t="inlineStr">
        <is>
          <t>공종/품명</t>
        </is>
      </c>
      <c r="B2" s="59" t="inlineStr">
        <is>
          <t>규격</t>
        </is>
      </c>
      <c r="C2" s="59" t="inlineStr">
        <is>
          <t>수량</t>
        </is>
      </c>
      <c r="D2" s="59" t="inlineStr">
        <is>
          <t>단위</t>
        </is>
      </c>
      <c r="E2" s="59" t="inlineStr">
        <is>
          <t>재료비</t>
        </is>
      </c>
      <c r="F2" s="58" t="n"/>
      <c r="G2" s="59" t="inlineStr">
        <is>
          <t>노무비</t>
        </is>
      </c>
      <c r="H2" s="58" t="n"/>
      <c r="I2" s="59" t="inlineStr">
        <is>
          <t>경비</t>
        </is>
      </c>
      <c r="J2" s="58" t="n"/>
      <c r="K2" s="59" t="inlineStr">
        <is>
          <t>합계</t>
        </is>
      </c>
      <c r="L2" s="58" t="n"/>
      <c r="M2" s="59" t="inlineStr">
        <is>
          <t>비고</t>
        </is>
      </c>
    </row>
    <row r="3">
      <c r="A3" s="60" t="n"/>
      <c r="B3" s="60" t="n"/>
      <c r="C3" s="60" t="n"/>
      <c r="D3" s="60" t="n"/>
      <c r="E3" s="31" t="inlineStr">
        <is>
          <t>단가</t>
        </is>
      </c>
      <c r="F3" s="31" t="inlineStr">
        <is>
          <t>금액</t>
        </is>
      </c>
      <c r="G3" s="31" t="inlineStr">
        <is>
          <t>단가</t>
        </is>
      </c>
      <c r="H3" s="31" t="inlineStr">
        <is>
          <t>금액</t>
        </is>
      </c>
      <c r="I3" s="31" t="inlineStr">
        <is>
          <t>단가</t>
        </is>
      </c>
      <c r="J3" s="31" t="inlineStr">
        <is>
          <t>금액</t>
        </is>
      </c>
      <c r="K3" s="31" t="inlineStr">
        <is>
          <t>단가</t>
        </is>
      </c>
      <c r="L3" s="31" t="inlineStr">
        <is>
          <t>금액</t>
        </is>
      </c>
      <c r="M3" s="60" t="n"/>
    </row>
    <row r="4">
      <c r="A4" s="36" t="inlineStr">
        <is>
          <t>Ⅰ. 직접공사비계</t>
        </is>
      </c>
      <c r="B4" s="37" t="n"/>
      <c r="C4" s="38" t="n"/>
      <c r="D4" s="39" t="n"/>
      <c r="E4" s="38" t="n"/>
      <c r="F4" s="40">
        <f>F46</f>
        <v/>
      </c>
      <c r="G4" s="38" t="n"/>
      <c r="H4" s="40">
        <f>H46</f>
        <v/>
      </c>
      <c r="I4" s="38" t="n"/>
      <c r="J4" s="40">
        <f>J46</f>
        <v/>
      </c>
      <c r="K4" s="38" t="n"/>
      <c r="L4" s="40">
        <f>L46</f>
        <v/>
      </c>
      <c r="M4" s="41" t="n"/>
    </row>
    <row r="5">
      <c r="A5" s="42" t="inlineStr">
        <is>
          <t>Ⅱ. 간접공사비계</t>
        </is>
      </c>
      <c r="B5" s="43" t="n"/>
      <c r="C5" s="44" t="n">
        <v>1</v>
      </c>
      <c r="D5" s="45" t="inlineStr">
        <is>
          <t>식</t>
        </is>
      </c>
      <c r="E5" s="44" t="n">
        <v>0</v>
      </c>
      <c r="F5" s="47">
        <f>F59</f>
        <v/>
      </c>
      <c r="G5" s="44" t="n">
        <v>0</v>
      </c>
      <c r="H5" s="47">
        <f>H59</f>
        <v/>
      </c>
      <c r="I5" s="44" t="n">
        <v>2168774231</v>
      </c>
      <c r="J5" s="47">
        <f>J59</f>
        <v/>
      </c>
      <c r="K5" s="44" t="n">
        <v>2168774231</v>
      </c>
      <c r="L5" s="47">
        <f>L59</f>
        <v/>
      </c>
      <c r="M5" s="48" t="n"/>
    </row>
    <row r="6">
      <c r="A6" s="42" t="inlineStr">
        <is>
          <t>합 계</t>
        </is>
      </c>
      <c r="B6" s="43" t="n"/>
      <c r="C6" s="46" t="n"/>
      <c r="D6" s="45" t="n"/>
      <c r="E6" s="46" t="n"/>
      <c r="F6" s="47">
        <f>F60</f>
        <v/>
      </c>
      <c r="G6" s="46" t="n"/>
      <c r="H6" s="47">
        <f>H60</f>
        <v/>
      </c>
      <c r="I6" s="46" t="n"/>
      <c r="J6" s="47">
        <f>J60</f>
        <v/>
      </c>
      <c r="K6" s="46" t="n"/>
      <c r="L6" s="47">
        <f>L60</f>
        <v/>
      </c>
      <c r="M6" s="48" t="n"/>
    </row>
    <row r="7">
      <c r="A7" s="42" t="inlineStr">
        <is>
          <t>부가가치세</t>
        </is>
      </c>
      <c r="B7" s="43" t="n"/>
      <c r="C7" s="44" t="n">
        <v>1</v>
      </c>
      <c r="D7" s="45" t="inlineStr">
        <is>
          <t>식</t>
        </is>
      </c>
      <c r="E7" s="46" t="n"/>
      <c r="F7" s="47">
        <f>F61</f>
        <v/>
      </c>
      <c r="G7" s="46" t="n"/>
      <c r="H7" s="47">
        <f>H61</f>
        <v/>
      </c>
      <c r="I7" s="44" t="n">
        <v>1134831948</v>
      </c>
      <c r="J7" s="47">
        <f>J61</f>
        <v/>
      </c>
      <c r="K7" s="44" t="n">
        <v>1134831948</v>
      </c>
      <c r="L7" s="47">
        <f>L61</f>
        <v/>
      </c>
      <c r="M7" s="48" t="n"/>
    </row>
    <row r="8">
      <c r="A8" s="50" t="inlineStr">
        <is>
          <t>공사비 계</t>
        </is>
      </c>
      <c r="B8" s="51" t="n"/>
      <c r="C8" s="52" t="n"/>
      <c r="D8" s="53" t="n"/>
      <c r="E8" s="52" t="n"/>
      <c r="F8" s="54">
        <f>F62</f>
        <v/>
      </c>
      <c r="G8" s="52" t="n"/>
      <c r="H8" s="54">
        <f>H62</f>
        <v/>
      </c>
      <c r="I8" s="52" t="n"/>
      <c r="J8" s="54">
        <f>J62</f>
        <v/>
      </c>
      <c r="K8" s="52" t="n"/>
      <c r="L8" s="54">
        <f>L62</f>
        <v/>
      </c>
      <c r="M8" s="55" t="n"/>
    </row>
    <row r="9">
      <c r="A9" s="32" t="inlineStr">
        <is>
          <t>01. 토목·조경</t>
        </is>
      </c>
      <c r="B9" s="32" t="inlineStr">
        <is>
          <t>1. 토     공</t>
        </is>
      </c>
      <c r="C9" s="33" t="n">
        <v>1</v>
      </c>
      <c r="D9" s="34" t="inlineStr">
        <is>
          <t>식</t>
        </is>
      </c>
      <c r="E9" s="33" t="n">
        <v>105520992</v>
      </c>
      <c r="F9" s="33">
        <f>E9*C9</f>
        <v/>
      </c>
      <c r="G9" s="33" t="n">
        <v>130499220</v>
      </c>
      <c r="H9" s="33">
        <f>G9*C9</f>
        <v/>
      </c>
      <c r="I9" s="33" t="n">
        <v>402556488</v>
      </c>
      <c r="J9" s="33">
        <f>I9*C9</f>
        <v/>
      </c>
      <c r="K9" s="33">
        <f>E9+G9+I9</f>
        <v/>
      </c>
      <c r="L9" s="33">
        <f>F9+H9+J9</f>
        <v/>
      </c>
      <c r="M9" s="35" t="n"/>
    </row>
    <row r="10">
      <c r="A10" s="14" t="inlineStr">
        <is>
          <t>01. 토목·조경</t>
        </is>
      </c>
      <c r="B10" s="14" t="inlineStr">
        <is>
          <t>2. 우 수 공</t>
        </is>
      </c>
      <c r="C10" s="15" t="n">
        <v>1</v>
      </c>
      <c r="D10" s="16" t="inlineStr">
        <is>
          <t>식</t>
        </is>
      </c>
      <c r="E10" s="15" t="n">
        <v>367652195</v>
      </c>
      <c r="F10" s="15">
        <f>E10*C10</f>
        <v/>
      </c>
      <c r="G10" s="15" t="n">
        <v>135431234</v>
      </c>
      <c r="H10" s="15">
        <f>G10*C10</f>
        <v/>
      </c>
      <c r="I10" s="15" t="n">
        <v>191170897</v>
      </c>
      <c r="J10" s="15">
        <f>I10*C10</f>
        <v/>
      </c>
      <c r="K10" s="15">
        <f>E10+G10+I10</f>
        <v/>
      </c>
      <c r="L10" s="15">
        <f>F10+H10+J10</f>
        <v/>
      </c>
      <c r="M10" s="18" t="n"/>
    </row>
    <row r="11">
      <c r="A11" s="14" t="inlineStr">
        <is>
          <t>01. 토목·조경</t>
        </is>
      </c>
      <c r="B11" s="14" t="inlineStr">
        <is>
          <t>3. 오 수 공</t>
        </is>
      </c>
      <c r="C11" s="15" t="n">
        <v>1</v>
      </c>
      <c r="D11" s="16" t="inlineStr">
        <is>
          <t>식</t>
        </is>
      </c>
      <c r="E11" s="15" t="n">
        <v>41684411</v>
      </c>
      <c r="F11" s="15">
        <f>E11*C11</f>
        <v/>
      </c>
      <c r="G11" s="15" t="n">
        <v>29868486</v>
      </c>
      <c r="H11" s="15">
        <f>G11*C11</f>
        <v/>
      </c>
      <c r="I11" s="15" t="n">
        <v>32736365</v>
      </c>
      <c r="J11" s="15">
        <f>I11*C11</f>
        <v/>
      </c>
      <c r="K11" s="15">
        <f>E11+G11+I11</f>
        <v/>
      </c>
      <c r="L11" s="15">
        <f>F11+H11+J11</f>
        <v/>
      </c>
      <c r="M11" s="18" t="n"/>
    </row>
    <row r="12">
      <c r="A12" s="14" t="inlineStr">
        <is>
          <t>01. 토목·조경</t>
        </is>
      </c>
      <c r="B12" s="14" t="inlineStr">
        <is>
          <t>4. 상 수 공</t>
        </is>
      </c>
      <c r="C12" s="15" t="n">
        <v>1</v>
      </c>
      <c r="D12" s="16" t="inlineStr">
        <is>
          <t>식</t>
        </is>
      </c>
      <c r="E12" s="15" t="n">
        <v>106060918</v>
      </c>
      <c r="F12" s="15">
        <f>E12*C12</f>
        <v/>
      </c>
      <c r="G12" s="15" t="n">
        <v>68600416</v>
      </c>
      <c r="H12" s="15">
        <f>G12*C12</f>
        <v/>
      </c>
      <c r="I12" s="15" t="n">
        <v>17228928</v>
      </c>
      <c r="J12" s="15">
        <f>I12*C12</f>
        <v/>
      </c>
      <c r="K12" s="15">
        <f>E12+G12+I12</f>
        <v/>
      </c>
      <c r="L12" s="15">
        <f>F12+H12+J12</f>
        <v/>
      </c>
      <c r="M12" s="18" t="n"/>
    </row>
    <row r="13">
      <c r="A13" s="14" t="inlineStr">
        <is>
          <t>01. 토목·조경</t>
        </is>
      </c>
      <c r="B13" s="14" t="inlineStr">
        <is>
          <t>5. 포 장 공</t>
        </is>
      </c>
      <c r="C13" s="15" t="n">
        <v>1</v>
      </c>
      <c r="D13" s="16" t="inlineStr">
        <is>
          <t>식</t>
        </is>
      </c>
      <c r="E13" s="15" t="n">
        <v>549475787</v>
      </c>
      <c r="F13" s="15">
        <f>E13*C13</f>
        <v/>
      </c>
      <c r="G13" s="15" t="n">
        <v>128381001</v>
      </c>
      <c r="H13" s="15">
        <f>G13*C13</f>
        <v/>
      </c>
      <c r="I13" s="15" t="n">
        <v>115558912</v>
      </c>
      <c r="J13" s="15">
        <f>I13*C13</f>
        <v/>
      </c>
      <c r="K13" s="15">
        <f>E13+G13+I13</f>
        <v/>
      </c>
      <c r="L13" s="15">
        <f>F13+H13+J13</f>
        <v/>
      </c>
      <c r="M13" s="18" t="n"/>
    </row>
    <row r="14">
      <c r="A14" s="14" t="inlineStr">
        <is>
          <t>01. 토목·조경</t>
        </is>
      </c>
      <c r="B14" s="14" t="inlineStr">
        <is>
          <t>6. 구조물공</t>
        </is>
      </c>
      <c r="C14" s="15" t="n">
        <v>1</v>
      </c>
      <c r="D14" s="16" t="inlineStr">
        <is>
          <t>식</t>
        </is>
      </c>
      <c r="E14" s="15" t="n">
        <v>49202864</v>
      </c>
      <c r="F14" s="15">
        <f>E14*C14</f>
        <v/>
      </c>
      <c r="G14" s="15" t="n">
        <v>29169193</v>
      </c>
      <c r="H14" s="15">
        <f>G14*C14</f>
        <v/>
      </c>
      <c r="I14" s="15" t="n">
        <v>18368597</v>
      </c>
      <c r="J14" s="15">
        <f>I14*C14</f>
        <v/>
      </c>
      <c r="K14" s="15">
        <f>E14+G14+I14</f>
        <v/>
      </c>
      <c r="L14" s="15">
        <f>F14+H14+J14</f>
        <v/>
      </c>
      <c r="M14" s="18" t="n"/>
    </row>
    <row r="15">
      <c r="A15" s="14" t="inlineStr">
        <is>
          <t>01. 토목·조경</t>
        </is>
      </c>
      <c r="B15" s="14" t="inlineStr">
        <is>
          <t>7. 부 대 공</t>
        </is>
      </c>
      <c r="C15" s="15" t="n">
        <v>1</v>
      </c>
      <c r="D15" s="16" t="inlineStr">
        <is>
          <t>식</t>
        </is>
      </c>
      <c r="E15" s="15" t="n">
        <v>117771677</v>
      </c>
      <c r="F15" s="15">
        <f>E15*C15</f>
        <v/>
      </c>
      <c r="G15" s="15" t="n">
        <v>147623526</v>
      </c>
      <c r="H15" s="15">
        <f>G15*C15</f>
        <v/>
      </c>
      <c r="I15" s="15" t="n">
        <v>284469198</v>
      </c>
      <c r="J15" s="15">
        <f>I15*C15</f>
        <v/>
      </c>
      <c r="K15" s="15">
        <f>E15+G15+I15</f>
        <v/>
      </c>
      <c r="L15" s="15">
        <f>F15+H15+J15</f>
        <v/>
      </c>
      <c r="M15" s="18" t="n"/>
    </row>
    <row r="16">
      <c r="A16" s="14" t="inlineStr">
        <is>
          <t>01. 토목·조경</t>
        </is>
      </c>
      <c r="B16" s="14" t="inlineStr">
        <is>
          <t>8. 하수처리장</t>
        </is>
      </c>
      <c r="C16" s="15" t="n">
        <v>1</v>
      </c>
      <c r="D16" s="16" t="inlineStr">
        <is>
          <t>식</t>
        </is>
      </c>
      <c r="E16" s="15" t="n">
        <v>39979503</v>
      </c>
      <c r="F16" s="15">
        <f>E16*C16</f>
        <v/>
      </c>
      <c r="G16" s="15" t="n">
        <v>33654565</v>
      </c>
      <c r="H16" s="15">
        <f>G16*C16</f>
        <v/>
      </c>
      <c r="I16" s="15" t="n">
        <v>302825280</v>
      </c>
      <c r="J16" s="15">
        <f>I16*C16</f>
        <v/>
      </c>
      <c r="K16" s="15">
        <f>E16+G16+I16</f>
        <v/>
      </c>
      <c r="L16" s="15">
        <f>F16+H16+J16</f>
        <v/>
      </c>
      <c r="M16" s="18" t="n"/>
    </row>
    <row r="17">
      <c r="A17" s="14" t="inlineStr">
        <is>
          <t>01. 토목·조경</t>
        </is>
      </c>
      <c r="B17" s="14" t="inlineStr">
        <is>
          <t>9. 지하저류조</t>
        </is>
      </c>
      <c r="C17" s="15" t="n">
        <v>1</v>
      </c>
      <c r="D17" s="16" t="inlineStr">
        <is>
          <t>식</t>
        </is>
      </c>
      <c r="E17" s="15" t="n">
        <v>357829781</v>
      </c>
      <c r="F17" s="15">
        <f>E17*C17</f>
        <v/>
      </c>
      <c r="G17" s="15" t="n">
        <v>132760758</v>
      </c>
      <c r="H17" s="15">
        <f>G17*C17</f>
        <v/>
      </c>
      <c r="I17" s="15" t="n">
        <v>101111225</v>
      </c>
      <c r="J17" s="15">
        <f>I17*C17</f>
        <v/>
      </c>
      <c r="K17" s="15">
        <f>E17+G17+I17</f>
        <v/>
      </c>
      <c r="L17" s="15">
        <f>F17+H17+J17</f>
        <v/>
      </c>
      <c r="M17" s="18" t="n"/>
    </row>
    <row r="18">
      <c r="A18" s="14" t="inlineStr">
        <is>
          <t>01. 토목·조경</t>
        </is>
      </c>
      <c r="B18" s="14" t="inlineStr">
        <is>
          <t>10. 조 경 공</t>
        </is>
      </c>
      <c r="C18" s="15" t="n">
        <v>1</v>
      </c>
      <c r="D18" s="16" t="inlineStr">
        <is>
          <t>식</t>
        </is>
      </c>
      <c r="E18" s="15" t="n">
        <v>77500490</v>
      </c>
      <c r="F18" s="15">
        <f>E18*C18</f>
        <v/>
      </c>
      <c r="G18" s="15" t="n">
        <v>57019245</v>
      </c>
      <c r="H18" s="15">
        <f>G18*C18</f>
        <v/>
      </c>
      <c r="I18" s="15" t="n">
        <v>691209114</v>
      </c>
      <c r="J18" s="15">
        <f>I18*C18</f>
        <v/>
      </c>
      <c r="K18" s="15">
        <f>E18+G18+I18</f>
        <v/>
      </c>
      <c r="L18" s="15">
        <f>F18+H18+J18</f>
        <v/>
      </c>
      <c r="M18" s="18" t="n"/>
    </row>
    <row r="19">
      <c r="A19" s="19" t="inlineStr">
        <is>
          <t>[ 소 계 ]</t>
        </is>
      </c>
      <c r="B19" s="20" t="n"/>
      <c r="C19" s="21" t="n"/>
      <c r="D19" s="22" t="n"/>
      <c r="E19" s="21" t="n"/>
      <c r="F19" s="23">
        <f>SUM(F9:F18)</f>
        <v/>
      </c>
      <c r="G19" s="21" t="n"/>
      <c r="H19" s="23">
        <f>SUM(H9:H18)</f>
        <v/>
      </c>
      <c r="I19" s="21" t="n"/>
      <c r="J19" s="23">
        <f>SUM(J9:J18)</f>
        <v/>
      </c>
      <c r="K19" s="21" t="n"/>
      <c r="L19" s="23">
        <f>SUM(L9:L18)</f>
        <v/>
      </c>
      <c r="M19" s="24" t="n"/>
    </row>
    <row r="20">
      <c r="A20" s="14" t="inlineStr">
        <is>
          <t>04. 진입도로</t>
        </is>
      </c>
      <c r="B20" s="14" t="inlineStr">
        <is>
          <t>1. 토     공</t>
        </is>
      </c>
      <c r="C20" s="15" t="n">
        <v>1</v>
      </c>
      <c r="D20" s="16" t="inlineStr">
        <is>
          <t>식</t>
        </is>
      </c>
      <c r="E20" s="15" t="n">
        <v>7678380</v>
      </c>
      <c r="F20" s="15">
        <f>E20*C20</f>
        <v/>
      </c>
      <c r="G20" s="15" t="n">
        <v>14846294</v>
      </c>
      <c r="H20" s="15">
        <f>G20*C20</f>
        <v/>
      </c>
      <c r="I20" s="15" t="n">
        <v>42846026</v>
      </c>
      <c r="J20" s="15">
        <f>I20*C20</f>
        <v/>
      </c>
      <c r="K20" s="15">
        <f>E20+G20+I20</f>
        <v/>
      </c>
      <c r="L20" s="15">
        <f>F20+H20+J20</f>
        <v/>
      </c>
      <c r="M20" s="18" t="n"/>
    </row>
    <row r="21">
      <c r="A21" s="14" t="inlineStr">
        <is>
          <t>04. 진입도로</t>
        </is>
      </c>
      <c r="B21" s="14" t="inlineStr">
        <is>
          <t>2. 우 수 공</t>
        </is>
      </c>
      <c r="C21" s="15" t="n">
        <v>1</v>
      </c>
      <c r="D21" s="16" t="inlineStr">
        <is>
          <t>식</t>
        </is>
      </c>
      <c r="E21" s="15" t="n">
        <v>99955272</v>
      </c>
      <c r="F21" s="15">
        <f>E21*C21</f>
        <v/>
      </c>
      <c r="G21" s="15" t="n">
        <v>49257650</v>
      </c>
      <c r="H21" s="15">
        <f>G21*C21</f>
        <v/>
      </c>
      <c r="I21" s="15" t="n">
        <v>51596938</v>
      </c>
      <c r="J21" s="15">
        <f>I21*C21</f>
        <v/>
      </c>
      <c r="K21" s="15">
        <f>E21+G21+I21</f>
        <v/>
      </c>
      <c r="L21" s="15">
        <f>F21+H21+J21</f>
        <v/>
      </c>
      <c r="M21" s="18" t="n"/>
    </row>
    <row r="22">
      <c r="A22" s="14" t="inlineStr">
        <is>
          <t>04. 진입도로</t>
        </is>
      </c>
      <c r="B22" s="14" t="inlineStr">
        <is>
          <t>3. 상 수 공</t>
        </is>
      </c>
      <c r="C22" s="15" t="n">
        <v>1</v>
      </c>
      <c r="D22" s="16" t="inlineStr">
        <is>
          <t>식</t>
        </is>
      </c>
      <c r="E22" s="15" t="n">
        <v>14053719</v>
      </c>
      <c r="F22" s="15">
        <f>E22*C22</f>
        <v/>
      </c>
      <c r="G22" s="15" t="n">
        <v>10484090</v>
      </c>
      <c r="H22" s="15">
        <f>G22*C22</f>
        <v/>
      </c>
      <c r="I22" s="15" t="n">
        <v>2633706</v>
      </c>
      <c r="J22" s="15">
        <f>I22*C22</f>
        <v/>
      </c>
      <c r="K22" s="15">
        <f>E22+G22+I22</f>
        <v/>
      </c>
      <c r="L22" s="15">
        <f>F22+H22+J22</f>
        <v/>
      </c>
      <c r="M22" s="18" t="n"/>
    </row>
    <row r="23">
      <c r="A23" s="14" t="inlineStr">
        <is>
          <t>04. 진입도로</t>
        </is>
      </c>
      <c r="B23" s="14" t="inlineStr">
        <is>
          <t>4. 포 장 공</t>
        </is>
      </c>
      <c r="C23" s="15" t="n">
        <v>1</v>
      </c>
      <c r="D23" s="16" t="inlineStr">
        <is>
          <t>식</t>
        </is>
      </c>
      <c r="E23" s="15" t="n">
        <v>237934251</v>
      </c>
      <c r="F23" s="15">
        <f>E23*C23</f>
        <v/>
      </c>
      <c r="G23" s="15" t="n">
        <v>50492695</v>
      </c>
      <c r="H23" s="15">
        <f>G23*C23</f>
        <v/>
      </c>
      <c r="I23" s="15" t="n">
        <v>56420754</v>
      </c>
      <c r="J23" s="15">
        <f>I23*C23</f>
        <v/>
      </c>
      <c r="K23" s="15">
        <f>E23+G23+I23</f>
        <v/>
      </c>
      <c r="L23" s="15">
        <f>F23+H23+J23</f>
        <v/>
      </c>
      <c r="M23" s="18" t="n"/>
    </row>
    <row r="24">
      <c r="A24" s="14" t="inlineStr">
        <is>
          <t>04. 진입도로</t>
        </is>
      </c>
      <c r="B24" s="14" t="inlineStr">
        <is>
          <t>5. 구조물공</t>
        </is>
      </c>
      <c r="C24" s="15" t="n">
        <v>1</v>
      </c>
      <c r="D24" s="16" t="inlineStr">
        <is>
          <t>식</t>
        </is>
      </c>
      <c r="E24" s="15" t="n">
        <v>71977865</v>
      </c>
      <c r="F24" s="15">
        <f>E24*C24</f>
        <v/>
      </c>
      <c r="G24" s="15" t="n">
        <v>56719213</v>
      </c>
      <c r="H24" s="15">
        <f>G24*C24</f>
        <v/>
      </c>
      <c r="I24" s="15" t="n">
        <v>8675322</v>
      </c>
      <c r="J24" s="15">
        <f>I24*C24</f>
        <v/>
      </c>
      <c r="K24" s="15">
        <f>E24+G24+I24</f>
        <v/>
      </c>
      <c r="L24" s="15">
        <f>F24+H24+J24</f>
        <v/>
      </c>
      <c r="M24" s="18" t="n"/>
    </row>
    <row r="25">
      <c r="A25" s="14" t="inlineStr">
        <is>
          <t>04. 진입도로</t>
        </is>
      </c>
      <c r="B25" s="14" t="inlineStr">
        <is>
          <t>6. 부 대 공</t>
        </is>
      </c>
      <c r="C25" s="15" t="n">
        <v>1</v>
      </c>
      <c r="D25" s="16" t="inlineStr">
        <is>
          <t>식</t>
        </is>
      </c>
      <c r="E25" s="15" t="n">
        <v>0</v>
      </c>
      <c r="F25" s="15">
        <f>E25*C25</f>
        <v/>
      </c>
      <c r="G25" s="15" t="n">
        <v>1264845</v>
      </c>
      <c r="H25" s="15">
        <f>G25*C25</f>
        <v/>
      </c>
      <c r="I25" s="15" t="n">
        <v>435155</v>
      </c>
      <c r="J25" s="15">
        <f>I25*C25</f>
        <v/>
      </c>
      <c r="K25" s="15">
        <f>E25+G25+I25</f>
        <v/>
      </c>
      <c r="L25" s="15">
        <f>F25+H25+J25</f>
        <v/>
      </c>
      <c r="M25" s="18" t="n"/>
    </row>
    <row r="26">
      <c r="A26" s="19" t="inlineStr">
        <is>
          <t>[ 소 계 ]</t>
        </is>
      </c>
      <c r="B26" s="20" t="n"/>
      <c r="C26" s="21" t="n"/>
      <c r="D26" s="22" t="n"/>
      <c r="E26" s="21" t="n"/>
      <c r="F26" s="23">
        <f>SUM(F20:F25)</f>
        <v/>
      </c>
      <c r="G26" s="21" t="n"/>
      <c r="H26" s="23">
        <f>SUM(H20:H25)</f>
        <v/>
      </c>
      <c r="I26" s="21" t="n"/>
      <c r="J26" s="23">
        <f>SUM(J20:J25)</f>
        <v/>
      </c>
      <c r="K26" s="21" t="n"/>
      <c r="L26" s="23">
        <f>SUM(L20:L25)</f>
        <v/>
      </c>
      <c r="M26" s="24" t="n"/>
    </row>
    <row r="27">
      <c r="A27" s="14" t="inlineStr">
        <is>
          <t>05. 회전교차로</t>
        </is>
      </c>
      <c r="B27" s="14" t="inlineStr">
        <is>
          <t>1. 토     공</t>
        </is>
      </c>
      <c r="C27" s="15" t="n">
        <v>1</v>
      </c>
      <c r="D27" s="16" t="inlineStr">
        <is>
          <t>식</t>
        </is>
      </c>
      <c r="E27" s="15" t="n">
        <v>1836409</v>
      </c>
      <c r="F27" s="15">
        <f>E27*C27</f>
        <v/>
      </c>
      <c r="G27" s="15" t="n">
        <v>10197784</v>
      </c>
      <c r="H27" s="15">
        <f>G27*C27</f>
        <v/>
      </c>
      <c r="I27" s="15" t="n">
        <v>28280807</v>
      </c>
      <c r="J27" s="15">
        <f>I27*C27</f>
        <v/>
      </c>
      <c r="K27" s="15">
        <f>E27+G27+I27</f>
        <v/>
      </c>
      <c r="L27" s="15">
        <f>F27+H27+J27</f>
        <v/>
      </c>
      <c r="M27" s="18" t="n"/>
    </row>
    <row r="28">
      <c r="A28" s="14" t="inlineStr">
        <is>
          <t>05. 회전교차로</t>
        </is>
      </c>
      <c r="B28" s="14" t="inlineStr">
        <is>
          <t>2. 우 수 공</t>
        </is>
      </c>
      <c r="C28" s="15" t="n">
        <v>1</v>
      </c>
      <c r="D28" s="16" t="inlineStr">
        <is>
          <t>식</t>
        </is>
      </c>
      <c r="E28" s="15" t="n">
        <v>31916195</v>
      </c>
      <c r="F28" s="15">
        <f>E28*C28</f>
        <v/>
      </c>
      <c r="G28" s="15" t="n">
        <v>27841916</v>
      </c>
      <c r="H28" s="15">
        <f>G28*C28</f>
        <v/>
      </c>
      <c r="I28" s="15" t="n">
        <v>30519828</v>
      </c>
      <c r="J28" s="15">
        <f>I28*C28</f>
        <v/>
      </c>
      <c r="K28" s="15">
        <f>E28+G28+I28</f>
        <v/>
      </c>
      <c r="L28" s="15">
        <f>F28+H28+J28</f>
        <v/>
      </c>
      <c r="M28" s="18" t="n"/>
    </row>
    <row r="29">
      <c r="A29" s="14" t="inlineStr">
        <is>
          <t>05. 회전교차로</t>
        </is>
      </c>
      <c r="B29" s="14" t="inlineStr">
        <is>
          <t>3. 포 장 공</t>
        </is>
      </c>
      <c r="C29" s="15" t="n">
        <v>1</v>
      </c>
      <c r="D29" s="16" t="inlineStr">
        <is>
          <t>식</t>
        </is>
      </c>
      <c r="E29" s="15" t="n">
        <v>400018780</v>
      </c>
      <c r="F29" s="15">
        <f>E29*C29</f>
        <v/>
      </c>
      <c r="G29" s="15" t="n">
        <v>90001405</v>
      </c>
      <c r="H29" s="15">
        <f>G29*C29</f>
        <v/>
      </c>
      <c r="I29" s="15" t="n">
        <v>93157315</v>
      </c>
      <c r="J29" s="15">
        <f>I29*C29</f>
        <v/>
      </c>
      <c r="K29" s="15">
        <f>E29+G29+I29</f>
        <v/>
      </c>
      <c r="L29" s="15">
        <f>F29+H29+J29</f>
        <v/>
      </c>
      <c r="M29" s="18" t="n"/>
    </row>
    <row r="30">
      <c r="A30" s="14" t="inlineStr">
        <is>
          <t>05. 회전교차로</t>
        </is>
      </c>
      <c r="B30" s="14" t="inlineStr">
        <is>
          <t>4. 구조물공</t>
        </is>
      </c>
      <c r="C30" s="15" t="n">
        <v>1</v>
      </c>
      <c r="D30" s="16" t="inlineStr">
        <is>
          <t>식</t>
        </is>
      </c>
      <c r="E30" s="15" t="n">
        <v>147292634</v>
      </c>
      <c r="F30" s="15">
        <f>E30*C30</f>
        <v/>
      </c>
      <c r="G30" s="15" t="n">
        <v>115776836</v>
      </c>
      <c r="H30" s="15">
        <f>G30*C30</f>
        <v/>
      </c>
      <c r="I30" s="15" t="n">
        <v>18833695</v>
      </c>
      <c r="J30" s="15">
        <f>I30*C30</f>
        <v/>
      </c>
      <c r="K30" s="15">
        <f>E30+G30+I30</f>
        <v/>
      </c>
      <c r="L30" s="15">
        <f>F30+H30+J30</f>
        <v/>
      </c>
      <c r="M30" s="18" t="n"/>
    </row>
    <row r="31">
      <c r="A31" s="14" t="inlineStr">
        <is>
          <t>05. 회전교차로</t>
        </is>
      </c>
      <c r="B31" s="14" t="inlineStr">
        <is>
          <t>5. 부 대 공</t>
        </is>
      </c>
      <c r="C31" s="15" t="n">
        <v>1</v>
      </c>
      <c r="D31" s="16" t="inlineStr">
        <is>
          <t>식</t>
        </is>
      </c>
      <c r="E31" s="15" t="n">
        <v>0</v>
      </c>
      <c r="F31" s="15">
        <f>E31*C31</f>
        <v/>
      </c>
      <c r="G31" s="15" t="n">
        <v>1644973</v>
      </c>
      <c r="H31" s="15">
        <f>G31*C31</f>
        <v/>
      </c>
      <c r="I31" s="15" t="n">
        <v>55027</v>
      </c>
      <c r="J31" s="15">
        <f>I31*C31</f>
        <v/>
      </c>
      <c r="K31" s="15">
        <f>E31+G31+I31</f>
        <v/>
      </c>
      <c r="L31" s="15">
        <f>F31+H31+J31</f>
        <v/>
      </c>
      <c r="M31" s="18" t="n"/>
    </row>
    <row r="32">
      <c r="A32" s="19" t="inlineStr">
        <is>
          <t>[ 소 계 ]</t>
        </is>
      </c>
      <c r="B32" s="20" t="n"/>
      <c r="C32" s="21" t="n"/>
      <c r="D32" s="22" t="n"/>
      <c r="E32" s="21" t="n"/>
      <c r="F32" s="23">
        <f>SUM(F27:F31)</f>
        <v/>
      </c>
      <c r="G32" s="21" t="n"/>
      <c r="H32" s="23">
        <f>SUM(H27:H31)</f>
        <v/>
      </c>
      <c r="I32" s="21" t="n"/>
      <c r="J32" s="23">
        <f>SUM(J27:J31)</f>
        <v/>
      </c>
      <c r="K32" s="21" t="n"/>
      <c r="L32" s="23">
        <f>SUM(L27:L31)</f>
        <v/>
      </c>
      <c r="M32" s="24" t="n"/>
    </row>
    <row r="33">
      <c r="A33" s="14" t="inlineStr">
        <is>
          <t>06. 개발행위</t>
        </is>
      </c>
      <c r="B33" s="14" t="inlineStr">
        <is>
          <t>1. 토     공</t>
        </is>
      </c>
      <c r="C33" s="15" t="n">
        <v>1</v>
      </c>
      <c r="D33" s="16" t="inlineStr">
        <is>
          <t>식</t>
        </is>
      </c>
      <c r="E33" s="15" t="n">
        <v>0</v>
      </c>
      <c r="F33" s="15">
        <f>E33*C33</f>
        <v/>
      </c>
      <c r="G33" s="15" t="n">
        <v>88678823</v>
      </c>
      <c r="H33" s="15">
        <f>G33*C33</f>
        <v/>
      </c>
      <c r="I33" s="15" t="n">
        <v>758765577</v>
      </c>
      <c r="J33" s="15">
        <f>I33*C33</f>
        <v/>
      </c>
      <c r="K33" s="15">
        <f>E33+G33+I33</f>
        <v/>
      </c>
      <c r="L33" s="15">
        <f>F33+H33+J33</f>
        <v/>
      </c>
      <c r="M33" s="18" t="n"/>
    </row>
    <row r="34">
      <c r="A34" s="14" t="inlineStr">
        <is>
          <t>06. 개발행위</t>
        </is>
      </c>
      <c r="B34" s="14" t="inlineStr">
        <is>
          <t>2. A1</t>
        </is>
      </c>
      <c r="C34" s="15" t="n">
        <v>1</v>
      </c>
      <c r="D34" s="16" t="inlineStr">
        <is>
          <t>식</t>
        </is>
      </c>
      <c r="E34" s="15" t="n">
        <v>35418991</v>
      </c>
      <c r="F34" s="15">
        <f>E34*C34</f>
        <v/>
      </c>
      <c r="G34" s="15" t="n">
        <v>26311949</v>
      </c>
      <c r="H34" s="15">
        <f>G34*C34</f>
        <v/>
      </c>
      <c r="I34" s="15" t="n">
        <v>81368033</v>
      </c>
      <c r="J34" s="15">
        <f>I34*C34</f>
        <v/>
      </c>
      <c r="K34" s="15">
        <f>E34+G34+I34</f>
        <v/>
      </c>
      <c r="L34" s="15">
        <f>F34+H34+J34</f>
        <v/>
      </c>
      <c r="M34" s="18" t="n"/>
    </row>
    <row r="35">
      <c r="A35" s="14" t="inlineStr">
        <is>
          <t>06. 개발행위</t>
        </is>
      </c>
      <c r="B35" s="14" t="inlineStr">
        <is>
          <t>3. A2</t>
        </is>
      </c>
      <c r="C35" s="15" t="n">
        <v>1</v>
      </c>
      <c r="D35" s="16" t="inlineStr">
        <is>
          <t>식</t>
        </is>
      </c>
      <c r="E35" s="15" t="n">
        <v>64881299</v>
      </c>
      <c r="F35" s="15">
        <f>E35*C35</f>
        <v/>
      </c>
      <c r="G35" s="15" t="n">
        <v>46692766</v>
      </c>
      <c r="H35" s="15">
        <f>G35*C35</f>
        <v/>
      </c>
      <c r="I35" s="15" t="n">
        <v>411507935</v>
      </c>
      <c r="J35" s="15">
        <f>I35*C35</f>
        <v/>
      </c>
      <c r="K35" s="15">
        <f>E35+G35+I35</f>
        <v/>
      </c>
      <c r="L35" s="15">
        <f>F35+H35+J35</f>
        <v/>
      </c>
      <c r="M35" s="18" t="n"/>
    </row>
    <row r="36">
      <c r="A36" s="14" t="inlineStr">
        <is>
          <t>06. 개발행위</t>
        </is>
      </c>
      <c r="B36" s="14" t="inlineStr">
        <is>
          <t>4. A3</t>
        </is>
      </c>
      <c r="C36" s="15" t="n">
        <v>1</v>
      </c>
      <c r="D36" s="16" t="inlineStr">
        <is>
          <t>식</t>
        </is>
      </c>
      <c r="E36" s="15" t="n">
        <v>63161369</v>
      </c>
      <c r="F36" s="15">
        <f>E36*C36</f>
        <v/>
      </c>
      <c r="G36" s="15" t="n">
        <v>43219363</v>
      </c>
      <c r="H36" s="15">
        <f>G36*C36</f>
        <v/>
      </c>
      <c r="I36" s="15" t="n">
        <v>105356268</v>
      </c>
      <c r="J36" s="15">
        <f>I36*C36</f>
        <v/>
      </c>
      <c r="K36" s="15">
        <f>E36+G36+I36</f>
        <v/>
      </c>
      <c r="L36" s="15">
        <f>F36+H36+J36</f>
        <v/>
      </c>
      <c r="M36" s="18" t="n"/>
    </row>
    <row r="37">
      <c r="A37" s="14" t="inlineStr">
        <is>
          <t>06. 개발행위</t>
        </is>
      </c>
      <c r="B37" s="14" t="inlineStr">
        <is>
          <t>5. A4</t>
        </is>
      </c>
      <c r="C37" s="15" t="n">
        <v>1</v>
      </c>
      <c r="D37" s="16" t="inlineStr">
        <is>
          <t>식</t>
        </is>
      </c>
      <c r="E37" s="15" t="n">
        <v>57649927</v>
      </c>
      <c r="F37" s="15">
        <f>E37*C37</f>
        <v/>
      </c>
      <c r="G37" s="15" t="n">
        <v>38342707</v>
      </c>
      <c r="H37" s="15">
        <f>G37*C37</f>
        <v/>
      </c>
      <c r="I37" s="15" t="n">
        <v>77638366</v>
      </c>
      <c r="J37" s="15">
        <f>I37*C37</f>
        <v/>
      </c>
      <c r="K37" s="15">
        <f>E37+G37+I37</f>
        <v/>
      </c>
      <c r="L37" s="15">
        <f>F37+H37+J37</f>
        <v/>
      </c>
      <c r="M37" s="18" t="n"/>
    </row>
    <row r="38">
      <c r="A38" s="14" t="inlineStr">
        <is>
          <t>06. 개발행위</t>
        </is>
      </c>
      <c r="B38" s="14" t="inlineStr">
        <is>
          <t>6. A5</t>
        </is>
      </c>
      <c r="C38" s="15" t="n">
        <v>1</v>
      </c>
      <c r="D38" s="16" t="inlineStr">
        <is>
          <t>식</t>
        </is>
      </c>
      <c r="E38" s="15" t="n">
        <v>48457182</v>
      </c>
      <c r="F38" s="15">
        <f>E38*C38</f>
        <v/>
      </c>
      <c r="G38" s="15" t="n">
        <v>29450659</v>
      </c>
      <c r="H38" s="15">
        <f>G38*C38</f>
        <v/>
      </c>
      <c r="I38" s="15" t="n">
        <v>65352159</v>
      </c>
      <c r="J38" s="15">
        <f>I38*C38</f>
        <v/>
      </c>
      <c r="K38" s="15">
        <f>E38+G38+I38</f>
        <v/>
      </c>
      <c r="L38" s="15">
        <f>F38+H38+J38</f>
        <v/>
      </c>
      <c r="M38" s="18" t="n"/>
    </row>
    <row r="39">
      <c r="A39" s="14" t="inlineStr">
        <is>
          <t>06. 개발행위</t>
        </is>
      </c>
      <c r="B39" s="14" t="inlineStr">
        <is>
          <t>7. B1</t>
        </is>
      </c>
      <c r="C39" s="15" t="n">
        <v>1</v>
      </c>
      <c r="D39" s="16" t="inlineStr">
        <is>
          <t>식</t>
        </is>
      </c>
      <c r="E39" s="15" t="n">
        <v>65378240</v>
      </c>
      <c r="F39" s="15">
        <f>E39*C39</f>
        <v/>
      </c>
      <c r="G39" s="15" t="n">
        <v>38764164</v>
      </c>
      <c r="H39" s="15">
        <f>G39*C39</f>
        <v/>
      </c>
      <c r="I39" s="15" t="n">
        <v>100952596</v>
      </c>
      <c r="J39" s="15">
        <f>I39*C39</f>
        <v/>
      </c>
      <c r="K39" s="15">
        <f>E39+G39+I39</f>
        <v/>
      </c>
      <c r="L39" s="15">
        <f>F39+H39+J39</f>
        <v/>
      </c>
      <c r="M39" s="18" t="n"/>
    </row>
    <row r="40">
      <c r="A40" s="14" t="inlineStr">
        <is>
          <t>06. 개발행위</t>
        </is>
      </c>
      <c r="B40" s="14" t="inlineStr">
        <is>
          <t>8. B2</t>
        </is>
      </c>
      <c r="C40" s="15" t="n">
        <v>1</v>
      </c>
      <c r="D40" s="16" t="inlineStr">
        <is>
          <t>식</t>
        </is>
      </c>
      <c r="E40" s="15" t="n">
        <v>62872301</v>
      </c>
      <c r="F40" s="15">
        <f>E40*C40</f>
        <v/>
      </c>
      <c r="G40" s="15" t="n">
        <v>40027335</v>
      </c>
      <c r="H40" s="15">
        <f>G40*C40</f>
        <v/>
      </c>
      <c r="I40" s="15" t="n">
        <v>102195364</v>
      </c>
      <c r="J40" s="15">
        <f>I40*C40</f>
        <v/>
      </c>
      <c r="K40" s="15">
        <f>E40+G40+I40</f>
        <v/>
      </c>
      <c r="L40" s="15">
        <f>F40+H40+J40</f>
        <v/>
      </c>
      <c r="M40" s="18" t="n"/>
    </row>
    <row r="41">
      <c r="A41" s="14" t="inlineStr">
        <is>
          <t>06. 개발행위</t>
        </is>
      </c>
      <c r="B41" s="14" t="inlineStr">
        <is>
          <t>9. 지원시설</t>
        </is>
      </c>
      <c r="C41" s="15" t="n">
        <v>1</v>
      </c>
      <c r="D41" s="16" t="inlineStr">
        <is>
          <t>식</t>
        </is>
      </c>
      <c r="E41" s="15" t="n">
        <v>19484936</v>
      </c>
      <c r="F41" s="15">
        <f>E41*C41</f>
        <v/>
      </c>
      <c r="G41" s="15" t="n">
        <v>7319914</v>
      </c>
      <c r="H41" s="15">
        <f>G41*C41</f>
        <v/>
      </c>
      <c r="I41" s="15" t="n">
        <v>15720980</v>
      </c>
      <c r="J41" s="15">
        <f>I41*C41</f>
        <v/>
      </c>
      <c r="K41" s="15">
        <f>E41+G41+I41</f>
        <v/>
      </c>
      <c r="L41" s="15">
        <f>F41+H41+J41</f>
        <v/>
      </c>
      <c r="M41" s="18" t="n"/>
    </row>
    <row r="42">
      <c r="A42" s="14" t="inlineStr">
        <is>
          <t>06. 개발행위</t>
        </is>
      </c>
      <c r="B42" s="14" t="inlineStr">
        <is>
          <t>10. 주차장</t>
        </is>
      </c>
      <c r="C42" s="15" t="n">
        <v>1</v>
      </c>
      <c r="D42" s="16" t="inlineStr">
        <is>
          <t>식</t>
        </is>
      </c>
      <c r="E42" s="15" t="n">
        <v>14240835</v>
      </c>
      <c r="F42" s="15">
        <f>E42*C42</f>
        <v/>
      </c>
      <c r="G42" s="15" t="n">
        <v>7963819</v>
      </c>
      <c r="H42" s="15">
        <f>G42*C42</f>
        <v/>
      </c>
      <c r="I42" s="15" t="n">
        <v>4974346</v>
      </c>
      <c r="J42" s="15">
        <f>I42*C42</f>
        <v/>
      </c>
      <c r="K42" s="15">
        <f>E42+G42+I42</f>
        <v/>
      </c>
      <c r="L42" s="15">
        <f>F42+H42+J42</f>
        <v/>
      </c>
      <c r="M42" s="18" t="n"/>
    </row>
    <row r="43">
      <c r="A43" s="19" t="inlineStr">
        <is>
          <t>[ 소 계 ]</t>
        </is>
      </c>
      <c r="B43" s="20" t="n"/>
      <c r="C43" s="21" t="n"/>
      <c r="D43" s="22" t="n"/>
      <c r="E43" s="21" t="n"/>
      <c r="F43" s="23">
        <f>SUM(F33:F42)</f>
        <v/>
      </c>
      <c r="G43" s="21" t="n"/>
      <c r="H43" s="23">
        <f>SUM(H33:H42)</f>
        <v/>
      </c>
      <c r="I43" s="21" t="n"/>
      <c r="J43" s="23">
        <f>SUM(J33:J42)</f>
        <v/>
      </c>
      <c r="K43" s="21" t="n"/>
      <c r="L43" s="23">
        <f>SUM(L33:L42)</f>
        <v/>
      </c>
      <c r="M43" s="24" t="n"/>
    </row>
    <row r="44">
      <c r="A44" s="14" t="inlineStr">
        <is>
          <t>07. 건설폐기물처리</t>
        </is>
      </c>
      <c r="B44" s="14" t="inlineStr">
        <is>
          <t>1. 건설폐기물처리</t>
        </is>
      </c>
      <c r="C44" s="15" t="n">
        <v>1</v>
      </c>
      <c r="D44" s="16" t="inlineStr">
        <is>
          <t>식</t>
        </is>
      </c>
      <c r="E44" s="15" t="n">
        <v>0</v>
      </c>
      <c r="F44" s="15">
        <f>E44*C44</f>
        <v/>
      </c>
      <c r="G44" s="15" t="n">
        <v>0</v>
      </c>
      <c r="H44" s="15">
        <f>G44*C44</f>
        <v/>
      </c>
      <c r="I44" s="15" t="n">
        <v>19830000</v>
      </c>
      <c r="J44" s="15">
        <f>I44*C44</f>
        <v/>
      </c>
      <c r="K44" s="15">
        <f>E44+G44+I44</f>
        <v/>
      </c>
      <c r="L44" s="15">
        <f>F44+H44+J44</f>
        <v/>
      </c>
      <c r="M44" s="18" t="n"/>
    </row>
    <row r="45">
      <c r="A45" s="19" t="inlineStr">
        <is>
          <t>[ 소 계 ]</t>
        </is>
      </c>
      <c r="B45" s="20" t="n"/>
      <c r="C45" s="21" t="n"/>
      <c r="D45" s="22" t="n"/>
      <c r="E45" s="21" t="n"/>
      <c r="F45" s="23">
        <f>SUM(F44:F44)</f>
        <v/>
      </c>
      <c r="G45" s="21" t="n"/>
      <c r="H45" s="23">
        <f>SUM(H44:H44)</f>
        <v/>
      </c>
      <c r="I45" s="21" t="n"/>
      <c r="J45" s="23">
        <f>SUM(J44:J44)</f>
        <v/>
      </c>
      <c r="K45" s="21" t="n"/>
      <c r="L45" s="23">
        <f>SUM(L44:L44)</f>
        <v/>
      </c>
      <c r="M45" s="24" t="n"/>
    </row>
    <row r="46">
      <c r="A46" s="1" t="inlineStr">
        <is>
          <t>직접공사비 계</t>
        </is>
      </c>
      <c r="B46" s="2" t="n"/>
      <c r="C46" s="3" t="n"/>
      <c r="D46" s="4" t="n"/>
      <c r="E46" s="3" t="n"/>
      <c r="F46" s="5">
        <f>F19+F26+F32+F43+F45</f>
        <v/>
      </c>
      <c r="G46" s="3" t="n"/>
      <c r="H46" s="5">
        <f>H19+H26+H32+H43+H45</f>
        <v/>
      </c>
      <c r="I46" s="3" t="n"/>
      <c r="J46" s="5">
        <f>J19+J26+J32+J43+J45</f>
        <v/>
      </c>
      <c r="K46" s="3" t="n"/>
      <c r="L46" s="5">
        <f>L19+L26+L32+L43+L45</f>
        <v/>
      </c>
      <c r="M46" s="6" t="n"/>
    </row>
    <row r="47">
      <c r="A47" s="14" t="inlineStr">
        <is>
          <t>간접노무비</t>
        </is>
      </c>
      <c r="B47" s="14" t="inlineStr">
        <is>
          <t>직접노무비×19.7%</t>
        </is>
      </c>
      <c r="C47" s="17" t="n"/>
      <c r="D47" s="16" t="n"/>
      <c r="E47" s="17" t="n"/>
      <c r="F47" s="17" t="n"/>
      <c r="G47" s="17" t="n"/>
      <c r="H47" s="17" t="n"/>
      <c r="I47" s="17" t="n"/>
      <c r="J47" s="15">
        <f>ROUND(H46*0.197,0)</f>
        <v/>
      </c>
      <c r="K47" s="17" t="n"/>
      <c r="L47" s="15">
        <f>J47</f>
        <v/>
      </c>
      <c r="M47" s="18" t="n"/>
    </row>
    <row r="48">
      <c r="A48" s="14" t="inlineStr">
        <is>
          <t>산재보험료</t>
        </is>
      </c>
      <c r="B48" s="14" t="inlineStr">
        <is>
          <t>노무비계×3.56%</t>
        </is>
      </c>
      <c r="C48" s="17" t="n"/>
      <c r="D48" s="16" t="n"/>
      <c r="E48" s="17" t="n"/>
      <c r="F48" s="17" t="n"/>
      <c r="G48" s="17" t="n"/>
      <c r="H48" s="17" t="n"/>
      <c r="I48" s="17" t="n"/>
      <c r="J48" s="15">
        <f>ROUND((H46+J47)*0.0356,0)</f>
        <v/>
      </c>
      <c r="K48" s="17" t="n"/>
      <c r="L48" s="15">
        <f>J48</f>
        <v/>
      </c>
      <c r="M48" s="18" t="n"/>
    </row>
    <row r="49">
      <c r="A49" s="14" t="inlineStr">
        <is>
          <t>고용보험료</t>
        </is>
      </c>
      <c r="B49" s="14" t="inlineStr">
        <is>
          <t>노무비계×1.15%</t>
        </is>
      </c>
      <c r="C49" s="17" t="n"/>
      <c r="D49" s="16" t="n"/>
      <c r="E49" s="17" t="n"/>
      <c r="F49" s="17" t="n"/>
      <c r="G49" s="17" t="n"/>
      <c r="H49" s="17" t="n"/>
      <c r="I49" s="17" t="n"/>
      <c r="J49" s="15">
        <f>ROUND((H46+J47)*0.0115,0)</f>
        <v/>
      </c>
      <c r="K49" s="17" t="n"/>
      <c r="L49" s="15">
        <f>J49</f>
        <v/>
      </c>
      <c r="M49" s="18" t="n"/>
    </row>
    <row r="50">
      <c r="A50" s="14" t="inlineStr">
        <is>
          <t>국민건강보험료</t>
        </is>
      </c>
      <c r="B50" s="14" t="inlineStr">
        <is>
          <t>직접노무비×3.595%</t>
        </is>
      </c>
      <c r="C50" s="17" t="n"/>
      <c r="D50" s="16" t="n"/>
      <c r="E50" s="17" t="n"/>
      <c r="F50" s="17" t="n"/>
      <c r="G50" s="17" t="n"/>
      <c r="H50" s="17" t="n"/>
      <c r="I50" s="17" t="n"/>
      <c r="J50" s="15">
        <f>ROUND(H46*0.03595,0)</f>
        <v/>
      </c>
      <c r="K50" s="17" t="n"/>
      <c r="L50" s="15">
        <f>J50</f>
        <v/>
      </c>
      <c r="M50" s="18" t="n"/>
    </row>
    <row r="51">
      <c r="A51" s="14" t="inlineStr">
        <is>
          <t>국민연금보험료</t>
        </is>
      </c>
      <c r="B51" s="14" t="inlineStr">
        <is>
          <t>직접노무비×4.75%</t>
        </is>
      </c>
      <c r="C51" s="17" t="n"/>
      <c r="D51" s="16" t="n"/>
      <c r="E51" s="17" t="n"/>
      <c r="F51" s="17" t="n"/>
      <c r="G51" s="17" t="n"/>
      <c r="H51" s="17" t="n"/>
      <c r="I51" s="17" t="n"/>
      <c r="J51" s="15">
        <f>ROUND(H46*0.0475,0)</f>
        <v/>
      </c>
      <c r="K51" s="17" t="n"/>
      <c r="L51" s="15">
        <f>J51</f>
        <v/>
      </c>
      <c r="M51" s="18" t="n"/>
    </row>
    <row r="52">
      <c r="A52" s="14" t="inlineStr">
        <is>
          <t>노인장기요양보험료</t>
        </is>
      </c>
      <c r="B52" s="14" t="inlineStr">
        <is>
          <t>건강보험료×13.14%</t>
        </is>
      </c>
      <c r="C52" s="17" t="n"/>
      <c r="D52" s="16" t="n"/>
      <c r="E52" s="17" t="n"/>
      <c r="F52" s="17" t="n"/>
      <c r="G52" s="17" t="n"/>
      <c r="H52" s="17" t="n"/>
      <c r="I52" s="17" t="n"/>
      <c r="J52" s="15">
        <f>ROUND(J50*0.1314,0)</f>
        <v/>
      </c>
      <c r="K52" s="17" t="n"/>
      <c r="L52" s="15">
        <f>J52</f>
        <v/>
      </c>
      <c r="M52" s="18" t="n"/>
    </row>
    <row r="53">
      <c r="A53" s="14" t="inlineStr">
        <is>
          <t>산업안전보건관리비</t>
        </is>
      </c>
      <c r="B53" s="14" t="inlineStr">
        <is>
          <t>(재+직노)×2.60%</t>
        </is>
      </c>
      <c r="C53" s="17" t="n"/>
      <c r="D53" s="16" t="n"/>
      <c r="E53" s="17" t="n"/>
      <c r="F53" s="17" t="n"/>
      <c r="G53" s="17" t="n"/>
      <c r="H53" s="17" t="n"/>
      <c r="I53" s="17" t="n"/>
      <c r="J53" s="15">
        <f>ROUND((F46+H46)*0.026,0)</f>
        <v/>
      </c>
      <c r="K53" s="17" t="n"/>
      <c r="L53" s="15">
        <f>J53</f>
        <v/>
      </c>
      <c r="M53" s="18" t="n"/>
    </row>
    <row r="54">
      <c r="A54" s="14" t="inlineStr">
        <is>
          <t>기타경비(공과잡비)</t>
        </is>
      </c>
      <c r="B54" s="14" t="inlineStr">
        <is>
          <t>(재+노무비계)×6.2%</t>
        </is>
      </c>
      <c r="C54" s="17" t="n"/>
      <c r="D54" s="16" t="n"/>
      <c r="E54" s="17" t="n"/>
      <c r="F54" s="17" t="n"/>
      <c r="G54" s="17" t="n"/>
      <c r="H54" s="17" t="n"/>
      <c r="I54" s="17" t="n"/>
      <c r="J54" s="15">
        <f>ROUND((F46+(H46+J47))*0.062,0)</f>
        <v/>
      </c>
      <c r="K54" s="17" t="n"/>
      <c r="L54" s="15">
        <f>J54</f>
        <v/>
      </c>
      <c r="M54" s="18" t="n"/>
    </row>
    <row r="55">
      <c r="A55" s="14" t="inlineStr">
        <is>
          <t>건설기계대여대금지급보증</t>
        </is>
      </c>
      <c r="B55" s="14" t="inlineStr">
        <is>
          <t>직접공사비×0.40%</t>
        </is>
      </c>
      <c r="C55" s="17" t="n"/>
      <c r="D55" s="16" t="n"/>
      <c r="E55" s="17" t="n"/>
      <c r="F55" s="17" t="n"/>
      <c r="G55" s="17" t="n"/>
      <c r="H55" s="17" t="n"/>
      <c r="I55" s="17" t="n"/>
      <c r="J55" s="15">
        <f>ROUND(L46*0.004,0)</f>
        <v/>
      </c>
      <c r="K55" s="17" t="n"/>
      <c r="L55" s="15">
        <f>J55</f>
        <v/>
      </c>
      <c r="M55" s="18" t="n"/>
    </row>
    <row r="56">
      <c r="A56" s="14" t="inlineStr">
        <is>
          <t>환경보전비</t>
        </is>
      </c>
      <c r="B56" s="14" t="inlineStr">
        <is>
          <t>직접공사비×0.60%</t>
        </is>
      </c>
      <c r="C56" s="17" t="n"/>
      <c r="D56" s="16" t="n"/>
      <c r="E56" s="17" t="n"/>
      <c r="F56" s="17" t="n"/>
      <c r="G56" s="17" t="n"/>
      <c r="H56" s="17" t="n"/>
      <c r="I56" s="17" t="n"/>
      <c r="J56" s="15">
        <f>ROUND(L46*0.006,0)</f>
        <v/>
      </c>
      <c r="K56" s="17" t="n"/>
      <c r="L56" s="15">
        <f>J56</f>
        <v/>
      </c>
      <c r="M56" s="18" t="n"/>
    </row>
    <row r="57">
      <c r="A57" s="14" t="inlineStr">
        <is>
          <t>일반관리비</t>
        </is>
      </c>
      <c r="B57" s="14" t="inlineStr">
        <is>
          <t>순공사원가×5%</t>
        </is>
      </c>
      <c r="C57" s="17" t="n"/>
      <c r="D57" s="16" t="n"/>
      <c r="E57" s="17" t="n"/>
      <c r="F57" s="17" t="n"/>
      <c r="G57" s="17" t="n"/>
      <c r="H57" s="17" t="n"/>
      <c r="I57" s="17" t="n"/>
      <c r="J57" s="15">
        <f>ROUND((L46+SUM(J47:J56))*0.05,0)</f>
        <v/>
      </c>
      <c r="K57" s="17" t="n"/>
      <c r="L57" s="15">
        <f>J57</f>
        <v/>
      </c>
      <c r="M57" s="18" t="n"/>
    </row>
    <row r="58">
      <c r="A58" s="14" t="inlineStr">
        <is>
          <t>이윤</t>
        </is>
      </c>
      <c r="B58" s="14" t="inlineStr">
        <is>
          <t>(노무비계+경비계+일반관리비)×7%</t>
        </is>
      </c>
      <c r="C58" s="17" t="n"/>
      <c r="D58" s="16" t="n"/>
      <c r="E58" s="17" t="n"/>
      <c r="F58" s="17" t="n"/>
      <c r="G58" s="17" t="n"/>
      <c r="H58" s="17" t="n"/>
      <c r="I58" s="17" t="n"/>
      <c r="J58" s="15">
        <f>ROUND(((H46+J47)+(J46+SUM(J47:J56)-J47)+J57)*0.07,0)</f>
        <v/>
      </c>
      <c r="K58" s="17" t="n"/>
      <c r="L58" s="15">
        <f>J58</f>
        <v/>
      </c>
      <c r="M58" s="18" t="n"/>
    </row>
    <row r="59">
      <c r="A59" s="19" t="inlineStr">
        <is>
          <t>간접공사비 계</t>
        </is>
      </c>
      <c r="B59" s="20" t="n"/>
      <c r="C59" s="21" t="n"/>
      <c r="D59" s="22" t="n"/>
      <c r="E59" s="21" t="n"/>
      <c r="F59" s="23">
        <f>SUM(F47:F58)</f>
        <v/>
      </c>
      <c r="G59" s="21" t="n"/>
      <c r="H59" s="23">
        <f>SUM(H47:H58)</f>
        <v/>
      </c>
      <c r="I59" s="21" t="n"/>
      <c r="J59" s="23">
        <f>SUM(J47:J58)</f>
        <v/>
      </c>
      <c r="K59" s="21" t="n"/>
      <c r="L59" s="23">
        <f>SUM(L47:L58)</f>
        <v/>
      </c>
      <c r="M59" s="24" t="n"/>
    </row>
    <row r="60">
      <c r="A60" s="1" t="inlineStr">
        <is>
          <t>합 계</t>
        </is>
      </c>
      <c r="B60" s="2" t="n"/>
      <c r="C60" s="3" t="n"/>
      <c r="D60" s="4" t="n"/>
      <c r="E60" s="3" t="n"/>
      <c r="F60" s="5">
        <f>F46</f>
        <v/>
      </c>
      <c r="G60" s="3" t="n"/>
      <c r="H60" s="5">
        <f>H46</f>
        <v/>
      </c>
      <c r="I60" s="3" t="n"/>
      <c r="J60" s="5">
        <f>J46+J59</f>
        <v/>
      </c>
      <c r="K60" s="3" t="n"/>
      <c r="L60" s="5">
        <f>L46+L59</f>
        <v/>
      </c>
      <c r="M60" s="6" t="n"/>
    </row>
    <row r="61">
      <c r="A61" s="1" t="inlineStr">
        <is>
          <t>부가가치세</t>
        </is>
      </c>
      <c r="B61" s="2" t="inlineStr">
        <is>
          <t>(합계)×10%</t>
        </is>
      </c>
      <c r="C61" s="3" t="n"/>
      <c r="D61" s="4" t="n"/>
      <c r="E61" s="3" t="n"/>
      <c r="F61" s="5" t="n"/>
      <c r="G61" s="3" t="n"/>
      <c r="H61" s="5" t="n"/>
      <c r="I61" s="3" t="n"/>
      <c r="J61" s="5">
        <f>ROUND(L60*0.1,0)</f>
        <v/>
      </c>
      <c r="K61" s="3" t="n"/>
      <c r="L61" s="5">
        <f>J61</f>
        <v/>
      </c>
      <c r="M61" s="6" t="n"/>
    </row>
    <row r="62">
      <c r="A62" s="8" t="inlineStr">
        <is>
          <t>공사비 계</t>
        </is>
      </c>
      <c r="B62" s="9" t="n"/>
      <c r="C62" s="10" t="n"/>
      <c r="D62" s="11" t="n"/>
      <c r="E62" s="10" t="n"/>
      <c r="F62" s="12">
        <f>F60</f>
        <v/>
      </c>
      <c r="G62" s="10" t="n"/>
      <c r="H62" s="12">
        <f>H60</f>
        <v/>
      </c>
      <c r="I62" s="10" t="n"/>
      <c r="J62" s="12">
        <f>J60+J61</f>
        <v/>
      </c>
      <c r="K62" s="10" t="n"/>
      <c r="L62" s="12">
        <f>L60+L61</f>
        <v/>
      </c>
      <c r="M62" s="13" t="n"/>
    </row>
    <row r="63">
      <c r="A63" s="25" t="inlineStr">
        <is>
          <t>1. 토     공</t>
        </is>
      </c>
      <c r="B63" s="26" t="n"/>
      <c r="C63" s="21" t="n"/>
      <c r="D63" s="22" t="n"/>
      <c r="E63" s="21" t="n"/>
      <c r="F63" s="27" t="n"/>
      <c r="G63" s="21" t="n"/>
      <c r="H63" s="27" t="n"/>
      <c r="I63" s="21" t="n"/>
      <c r="J63" s="27" t="n"/>
      <c r="K63" s="21" t="n"/>
      <c r="L63" s="27" t="n"/>
      <c r="M63" s="24" t="n"/>
    </row>
    <row r="64">
      <c r="A64" s="28" t="inlineStr">
        <is>
          <t>가. 벌목 및  벌개제근</t>
        </is>
      </c>
      <c r="B64" s="28" t="n"/>
      <c r="C64" s="17" t="n"/>
      <c r="D64" s="16" t="n"/>
      <c r="E64" s="17" t="n"/>
      <c r="F64" s="29" t="n"/>
      <c r="G64" s="17" t="n"/>
      <c r="H64" s="29" t="n"/>
      <c r="I64" s="17" t="n"/>
      <c r="J64" s="29" t="n"/>
      <c r="K64" s="17" t="n"/>
      <c r="L64" s="29" t="n"/>
      <c r="M64" s="18" t="n"/>
    </row>
    <row r="65">
      <c r="A65" s="28" t="inlineStr">
        <is>
          <t>1). 벌목 및 벌개제근</t>
        </is>
      </c>
      <c r="B65" s="28" t="n"/>
      <c r="C65" s="17" t="n"/>
      <c r="D65" s="16" t="n"/>
      <c r="E65" s="17" t="n"/>
      <c r="F65" s="29" t="n"/>
      <c r="G65" s="17" t="n"/>
      <c r="H65" s="29" t="n"/>
      <c r="I65" s="17" t="n"/>
      <c r="J65" s="29" t="n"/>
      <c r="K65" s="17" t="n"/>
      <c r="L65" s="29" t="n"/>
      <c r="M65" s="18" t="n"/>
    </row>
    <row r="66">
      <c r="A66" s="14" t="inlineStr">
        <is>
          <t>가). 벌목</t>
        </is>
      </c>
      <c r="B66" s="14" t="n"/>
      <c r="C66" s="15" t="n">
        <v>22891</v>
      </c>
      <c r="D66" s="16" t="inlineStr">
        <is>
          <t>㎡</t>
        </is>
      </c>
      <c r="E66" s="15" t="n">
        <v>277</v>
      </c>
      <c r="F66" s="15">
        <f>E66*C66</f>
        <v/>
      </c>
      <c r="G66" s="15" t="n">
        <v>90</v>
      </c>
      <c r="H66" s="15">
        <f>G66*C66</f>
        <v/>
      </c>
      <c r="I66" s="15" t="n">
        <v>29</v>
      </c>
      <c r="J66" s="15">
        <f>I66*C66</f>
        <v/>
      </c>
      <c r="K66" s="15">
        <f>E66+G66+I66</f>
        <v/>
      </c>
      <c r="L66" s="15">
        <f>F66+H66+J66</f>
        <v/>
      </c>
      <c r="M66" s="18" t="n"/>
    </row>
    <row r="67">
      <c r="A67" s="14" t="inlineStr">
        <is>
          <t>나). 벌개제근</t>
        </is>
      </c>
      <c r="B67" s="14" t="n"/>
      <c r="C67" s="15" t="n">
        <v>22891</v>
      </c>
      <c r="D67" s="16" t="inlineStr">
        <is>
          <t>㎡</t>
        </is>
      </c>
      <c r="E67" s="15" t="n">
        <v>277</v>
      </c>
      <c r="F67" s="15">
        <f>E67*C67</f>
        <v/>
      </c>
      <c r="G67" s="15" t="n">
        <v>54</v>
      </c>
      <c r="H67" s="15">
        <f>G67*C67</f>
        <v/>
      </c>
      <c r="I67" s="15" t="n">
        <v>29</v>
      </c>
      <c r="J67" s="15">
        <f>I67*C67</f>
        <v/>
      </c>
      <c r="K67" s="15">
        <f>E67+G67+I67</f>
        <v/>
      </c>
      <c r="L67" s="15">
        <f>F67+H67+J67</f>
        <v/>
      </c>
      <c r="M67" s="18" t="n"/>
    </row>
    <row r="68">
      <c r="A68" s="28" t="inlineStr">
        <is>
          <t>나. 임목폐기물</t>
        </is>
      </c>
      <c r="B68" s="28" t="n"/>
      <c r="C68" s="17" t="n"/>
      <c r="D68" s="16" t="n"/>
      <c r="E68" s="17" t="n"/>
      <c r="F68" s="29" t="n"/>
      <c r="G68" s="17" t="n"/>
      <c r="H68" s="29" t="n"/>
      <c r="I68" s="17" t="n"/>
      <c r="J68" s="29" t="n"/>
      <c r="K68" s="17" t="n"/>
      <c r="L68" s="29" t="n"/>
      <c r="M68" s="18" t="n"/>
    </row>
    <row r="69">
      <c r="A69" s="28" t="inlineStr">
        <is>
          <t>1). 임목파쇄</t>
        </is>
      </c>
      <c r="B69" s="28" t="n"/>
      <c r="C69" s="17" t="n"/>
      <c r="D69" s="16" t="n"/>
      <c r="E69" s="17" t="n"/>
      <c r="F69" s="29" t="n"/>
      <c r="G69" s="17" t="n"/>
      <c r="H69" s="29" t="n"/>
      <c r="I69" s="17" t="n"/>
      <c r="J69" s="29" t="n"/>
      <c r="K69" s="17" t="n"/>
      <c r="L69" s="29" t="n"/>
      <c r="M69" s="18" t="n"/>
    </row>
    <row r="70">
      <c r="A70" s="14" t="inlineStr">
        <is>
          <t>가). 임목 운반</t>
        </is>
      </c>
      <c r="B70" s="14" t="inlineStr">
        <is>
          <t>운반거리 L=83m(현장---&gt;임목파쇄장)</t>
        </is>
      </c>
      <c r="C70" s="15" t="n">
        <v>1917</v>
      </c>
      <c r="D70" s="16" t="inlineStr">
        <is>
          <t>㎥</t>
        </is>
      </c>
      <c r="E70" s="15" t="n">
        <v>1128</v>
      </c>
      <c r="F70" s="15">
        <f>E70*C70</f>
        <v/>
      </c>
      <c r="G70" s="15" t="n">
        <v>0</v>
      </c>
      <c r="H70" s="15">
        <f>G70*C70</f>
        <v/>
      </c>
      <c r="I70" s="15" t="n">
        <v>0</v>
      </c>
      <c r="J70" s="15">
        <f>I70*C70</f>
        <v/>
      </c>
      <c r="K70" s="15">
        <f>E70+G70+I70</f>
        <v/>
      </c>
      <c r="L70" s="15">
        <f>F70+H70+J70</f>
        <v/>
      </c>
      <c r="M70" s="18" t="n"/>
    </row>
    <row r="71">
      <c r="A71" s="14" t="inlineStr">
        <is>
          <t>나). 임목파쇄</t>
        </is>
      </c>
      <c r="B71" s="14" t="inlineStr">
        <is>
          <t>가지, 잡목류, 354.35kW</t>
        </is>
      </c>
      <c r="C71" s="15" t="n">
        <v>1906</v>
      </c>
      <c r="D71" s="16" t="inlineStr">
        <is>
          <t>㎥</t>
        </is>
      </c>
      <c r="E71" s="15" t="n">
        <v>4700</v>
      </c>
      <c r="F71" s="15">
        <f>E71*C71</f>
        <v/>
      </c>
      <c r="G71" s="15" t="n">
        <v>0</v>
      </c>
      <c r="H71" s="15">
        <f>G71*C71</f>
        <v/>
      </c>
      <c r="I71" s="15" t="n">
        <v>0</v>
      </c>
      <c r="J71" s="15">
        <f>I71*C71</f>
        <v/>
      </c>
      <c r="K71" s="15">
        <f>E71+G71+I71</f>
        <v/>
      </c>
      <c r="L71" s="15">
        <f>F71+H71+J71</f>
        <v/>
      </c>
      <c r="M71" s="18" t="n"/>
    </row>
    <row r="72">
      <c r="A72" s="14" t="inlineStr">
        <is>
          <t>다). 임목파쇄</t>
        </is>
      </c>
      <c r="B72" s="14" t="inlineStr">
        <is>
          <t>뿌리류, 354.35kW</t>
        </is>
      </c>
      <c r="C72" s="15" t="n">
        <v>11</v>
      </c>
      <c r="D72" s="16" t="inlineStr">
        <is>
          <t>㎥</t>
        </is>
      </c>
      <c r="E72" s="15" t="n">
        <v>358084</v>
      </c>
      <c r="F72" s="15">
        <f>E72*C72</f>
        <v/>
      </c>
      <c r="G72" s="15" t="n">
        <v>0</v>
      </c>
      <c r="H72" s="15">
        <f>G72*C72</f>
        <v/>
      </c>
      <c r="I72" s="15" t="n">
        <v>0</v>
      </c>
      <c r="J72" s="15">
        <f>I72*C72</f>
        <v/>
      </c>
      <c r="K72" s="15">
        <f>E72+G72+I72</f>
        <v/>
      </c>
      <c r="L72" s="15">
        <f>F72+H72+J72</f>
        <v/>
      </c>
      <c r="M72" s="18" t="n"/>
    </row>
    <row r="73">
      <c r="A73" s="28" t="inlineStr">
        <is>
          <t>2). 임목폐기물 적치장</t>
        </is>
      </c>
      <c r="B73" s="28" t="n"/>
      <c r="C73" s="17" t="n"/>
      <c r="D73" s="16" t="n"/>
      <c r="E73" s="17" t="n"/>
      <c r="F73" s="29" t="n"/>
      <c r="G73" s="17" t="n"/>
      <c r="H73" s="29" t="n"/>
      <c r="I73" s="17" t="n"/>
      <c r="J73" s="29" t="n"/>
      <c r="K73" s="17" t="n"/>
      <c r="L73" s="29" t="n"/>
      <c r="M73" s="18" t="n"/>
    </row>
    <row r="74">
      <c r="A74" s="14" t="inlineStr">
        <is>
          <t>가). PE천막지</t>
        </is>
      </c>
      <c r="B74" s="14" t="n"/>
      <c r="C74" s="15" t="n">
        <v>1082</v>
      </c>
      <c r="D74" s="16" t="inlineStr">
        <is>
          <t>㎡</t>
        </is>
      </c>
      <c r="E74" s="15" t="n">
        <v>501</v>
      </c>
      <c r="F74" s="15">
        <f>E74*C74</f>
        <v/>
      </c>
      <c r="G74" s="15" t="n">
        <v>437</v>
      </c>
      <c r="H74" s="15">
        <f>G74*C74</f>
        <v/>
      </c>
      <c r="I74" s="15" t="n">
        <v>0</v>
      </c>
      <c r="J74" s="15">
        <f>I74*C74</f>
        <v/>
      </c>
      <c r="K74" s="15">
        <f>E74+G74+I74</f>
        <v/>
      </c>
      <c r="L74" s="15">
        <f>F74+H74+J74</f>
        <v/>
      </c>
      <c r="M74" s="18" t="n"/>
    </row>
    <row r="75">
      <c r="A75" s="14" t="inlineStr">
        <is>
          <t>나). 터파기(토사)</t>
        </is>
      </c>
      <c r="B75" s="14" t="inlineStr">
        <is>
          <t>TYPE-1, 백호1.0, 기계100%</t>
        </is>
      </c>
      <c r="C75" s="15" t="n">
        <v>67</v>
      </c>
      <c r="D75" s="16" t="inlineStr">
        <is>
          <t>㎥</t>
        </is>
      </c>
      <c r="E75" s="15" t="n">
        <v>0</v>
      </c>
      <c r="F75" s="15">
        <f>E75*C75</f>
        <v/>
      </c>
      <c r="G75" s="15" t="n">
        <v>293</v>
      </c>
      <c r="H75" s="15">
        <f>G75*C75</f>
        <v/>
      </c>
      <c r="I75" s="15" t="n">
        <v>1646</v>
      </c>
      <c r="J75" s="15">
        <f>I75*C75</f>
        <v/>
      </c>
      <c r="K75" s="15">
        <f>E75+G75+I75</f>
        <v/>
      </c>
      <c r="L75" s="15">
        <f>F75+H75+J75</f>
        <v/>
      </c>
      <c r="M75" s="18" t="n"/>
    </row>
    <row r="76">
      <c r="A76" s="14" t="inlineStr">
        <is>
          <t>다). 되메우기(토사)</t>
        </is>
      </c>
      <c r="B76" s="14" t="inlineStr">
        <is>
          <t>백호0.7, 기계100%</t>
        </is>
      </c>
      <c r="C76" s="15" t="n">
        <v>67</v>
      </c>
      <c r="D76" s="16" t="inlineStr">
        <is>
          <t>㎥</t>
        </is>
      </c>
      <c r="E76" s="15" t="n">
        <v>0</v>
      </c>
      <c r="F76" s="15">
        <f>E76*C76</f>
        <v/>
      </c>
      <c r="G76" s="15" t="n">
        <v>589</v>
      </c>
      <c r="H76" s="15">
        <f>G76*C76</f>
        <v/>
      </c>
      <c r="I76" s="15" t="n">
        <v>2336</v>
      </c>
      <c r="J76" s="15">
        <f>I76*C76</f>
        <v/>
      </c>
      <c r="K76" s="15">
        <f>E76+G76+I76</f>
        <v/>
      </c>
      <c r="L76" s="15">
        <f>F76+H76+J76</f>
        <v/>
      </c>
      <c r="M76" s="18" t="n"/>
    </row>
    <row r="77">
      <c r="A77" s="28" t="inlineStr">
        <is>
          <t>다. 법면보호공</t>
        </is>
      </c>
      <c r="B77" s="28" t="n"/>
      <c r="C77" s="17" t="n"/>
      <c r="D77" s="16" t="n"/>
      <c r="E77" s="17" t="n"/>
      <c r="F77" s="29" t="n"/>
      <c r="G77" s="17" t="n"/>
      <c r="H77" s="29" t="n"/>
      <c r="I77" s="17" t="n"/>
      <c r="J77" s="29" t="n"/>
      <c r="K77" s="17" t="n"/>
      <c r="L77" s="29" t="n"/>
      <c r="M77" s="18" t="n"/>
    </row>
    <row r="78">
      <c r="A78" s="14" t="inlineStr">
        <is>
          <t>1). 법면보호공</t>
        </is>
      </c>
      <c r="B78" s="14" t="inlineStr">
        <is>
          <t>잔디붙임(줄떼)</t>
        </is>
      </c>
      <c r="C78" s="15" t="n">
        <v>1246</v>
      </c>
      <c r="D78" s="16" t="inlineStr">
        <is>
          <t>㎡</t>
        </is>
      </c>
      <c r="E78" s="15" t="n">
        <v>5550</v>
      </c>
      <c r="F78" s="15">
        <f>E78*C78</f>
        <v/>
      </c>
      <c r="G78" s="15" t="n">
        <v>1164</v>
      </c>
      <c r="H78" s="15">
        <f>G78*C78</f>
        <v/>
      </c>
      <c r="I78" s="15" t="n">
        <v>0</v>
      </c>
      <c r="J78" s="15">
        <f>I78*C78</f>
        <v/>
      </c>
      <c r="K78" s="15">
        <f>E78+G78+I78</f>
        <v/>
      </c>
      <c r="L78" s="15">
        <f>F78+H78+J78</f>
        <v/>
      </c>
      <c r="M78" s="18" t="n"/>
    </row>
    <row r="79">
      <c r="A79" s="14" t="inlineStr">
        <is>
          <t>2). 법면보호공</t>
        </is>
      </c>
      <c r="B79" s="14" t="inlineStr">
        <is>
          <t>잔디붙임(평떼)</t>
        </is>
      </c>
      <c r="C79" s="15" t="n">
        <v>1172</v>
      </c>
      <c r="D79" s="16" t="inlineStr">
        <is>
          <t>㎡</t>
        </is>
      </c>
      <c r="E79" s="15" t="n">
        <v>11101</v>
      </c>
      <c r="F79" s="15">
        <f>E79*C79</f>
        <v/>
      </c>
      <c r="G79" s="15" t="n">
        <v>2328</v>
      </c>
      <c r="H79" s="15">
        <f>G79*C79</f>
        <v/>
      </c>
      <c r="I79" s="15" t="n">
        <v>0</v>
      </c>
      <c r="J79" s="15">
        <f>I79*C79</f>
        <v/>
      </c>
      <c r="K79" s="15">
        <f>E79+G79+I79</f>
        <v/>
      </c>
      <c r="L79" s="15">
        <f>F79+H79+J79</f>
        <v/>
      </c>
      <c r="M79" s="18" t="n"/>
    </row>
    <row r="80">
      <c r="A80" s="28" t="inlineStr">
        <is>
          <t>라. 흙깎기</t>
        </is>
      </c>
      <c r="B80" s="28" t="n"/>
      <c r="C80" s="17" t="n"/>
      <c r="D80" s="16" t="n"/>
      <c r="E80" s="17" t="n"/>
      <c r="F80" s="29" t="n"/>
      <c r="G80" s="17" t="n"/>
      <c r="H80" s="29" t="n"/>
      <c r="I80" s="17" t="n"/>
      <c r="J80" s="29" t="n"/>
      <c r="K80" s="17" t="n"/>
      <c r="L80" s="29" t="n"/>
      <c r="M80" s="18" t="n"/>
    </row>
    <row r="81">
      <c r="A81" s="28" t="inlineStr">
        <is>
          <t>1). 토사</t>
        </is>
      </c>
      <c r="B81" s="28" t="n"/>
      <c r="C81" s="17" t="n"/>
      <c r="D81" s="16" t="n"/>
      <c r="E81" s="17" t="n"/>
      <c r="F81" s="29" t="n"/>
      <c r="G81" s="17" t="n"/>
      <c r="H81" s="29" t="n"/>
      <c r="I81" s="17" t="n"/>
      <c r="J81" s="29" t="n"/>
      <c r="K81" s="17" t="n"/>
      <c r="L81" s="29" t="n"/>
      <c r="M81" s="18" t="n"/>
    </row>
    <row r="82">
      <c r="A82" s="14" t="inlineStr">
        <is>
          <t>가).흙깍기(기계,토사)</t>
        </is>
      </c>
      <c r="B82" s="14" t="inlineStr">
        <is>
          <t>중규모, 보통토사, 불도져 19ton</t>
        </is>
      </c>
      <c r="C82" s="15" t="n">
        <v>10527</v>
      </c>
      <c r="D82" s="16" t="inlineStr">
        <is>
          <t>㎥</t>
        </is>
      </c>
      <c r="E82" s="15" t="n">
        <v>0</v>
      </c>
      <c r="F82" s="15">
        <f>E82*C82</f>
        <v/>
      </c>
      <c r="G82" s="15" t="n">
        <v>0</v>
      </c>
      <c r="H82" s="15">
        <f>G82*C82</f>
        <v/>
      </c>
      <c r="I82" s="15" t="n">
        <v>1098</v>
      </c>
      <c r="J82" s="15">
        <f>I82*C82</f>
        <v/>
      </c>
      <c r="K82" s="15">
        <f>E82+G82+I82</f>
        <v/>
      </c>
      <c r="L82" s="15">
        <f>F82+H82+J82</f>
        <v/>
      </c>
      <c r="M82" s="18" t="n"/>
    </row>
    <row r="83">
      <c r="A83" s="14" t="inlineStr">
        <is>
          <t>나). 흙깍기(토사)</t>
        </is>
      </c>
      <c r="B83" s="14" t="inlineStr">
        <is>
          <t>굴삭기1.0㎥</t>
        </is>
      </c>
      <c r="C83" s="15" t="n">
        <v>72445</v>
      </c>
      <c r="D83" s="16" t="inlineStr">
        <is>
          <t>㎥</t>
        </is>
      </c>
      <c r="E83" s="15" t="n">
        <v>0</v>
      </c>
      <c r="F83" s="15">
        <f>E83*C83</f>
        <v/>
      </c>
      <c r="G83" s="15" t="n">
        <v>224</v>
      </c>
      <c r="H83" s="15">
        <f>G83*C83</f>
        <v/>
      </c>
      <c r="I83" s="15" t="n">
        <v>1217</v>
      </c>
      <c r="J83" s="15">
        <f>I83*C83</f>
        <v/>
      </c>
      <c r="K83" s="15">
        <f>E83+G83+I83</f>
        <v/>
      </c>
      <c r="L83" s="15">
        <f>F83+H83+J83</f>
        <v/>
      </c>
      <c r="M83" s="18" t="n"/>
    </row>
    <row r="84">
      <c r="A84" s="28" t="inlineStr">
        <is>
          <t>2). 풍화암</t>
        </is>
      </c>
      <c r="B84" s="28" t="n"/>
      <c r="C84" s="17" t="n"/>
      <c r="D84" s="16" t="n"/>
      <c r="E84" s="17" t="n"/>
      <c r="F84" s="29" t="n"/>
      <c r="G84" s="17" t="n"/>
      <c r="H84" s="29" t="n"/>
      <c r="I84" s="17" t="n"/>
      <c r="J84" s="29" t="n"/>
      <c r="K84" s="17" t="n"/>
      <c r="L84" s="29" t="n"/>
      <c r="M84" s="18" t="n"/>
    </row>
    <row r="85">
      <c r="A85" s="14" t="inlineStr">
        <is>
          <t>가). 흙깍기(리핑암)</t>
        </is>
      </c>
      <c r="B85" s="14" t="inlineStr">
        <is>
          <t>불도저 32ton + 리퍼</t>
        </is>
      </c>
      <c r="C85" s="15" t="n">
        <v>5167</v>
      </c>
      <c r="D85" s="16" t="inlineStr">
        <is>
          <t>㎥</t>
        </is>
      </c>
      <c r="E85" s="15" t="n">
        <v>0</v>
      </c>
      <c r="F85" s="15">
        <f>E85*C85</f>
        <v/>
      </c>
      <c r="G85" s="15" t="n">
        <v>229</v>
      </c>
      <c r="H85" s="15">
        <f>G85*C85</f>
        <v/>
      </c>
      <c r="I85" s="15" t="n">
        <v>1556</v>
      </c>
      <c r="J85" s="15">
        <f>I85*C85</f>
        <v/>
      </c>
      <c r="K85" s="15">
        <f>E85+G85+I85</f>
        <v/>
      </c>
      <c r="L85" s="15">
        <f>F85+H85+J85</f>
        <v/>
      </c>
      <c r="M85" s="18" t="n"/>
    </row>
    <row r="86">
      <c r="A86" s="28" t="inlineStr">
        <is>
          <t>3). 연암</t>
        </is>
      </c>
      <c r="B86" s="28" t="n"/>
      <c r="C86" s="17" t="n"/>
      <c r="D86" s="16" t="n"/>
      <c r="E86" s="17" t="n"/>
      <c r="F86" s="29" t="n"/>
      <c r="G86" s="17" t="n"/>
      <c r="H86" s="29" t="n"/>
      <c r="I86" s="17" t="n"/>
      <c r="J86" s="29" t="n"/>
      <c r="K86" s="17" t="n"/>
      <c r="L86" s="29" t="n"/>
      <c r="M86" s="18" t="n"/>
    </row>
    <row r="87">
      <c r="A87" s="14" t="inlineStr">
        <is>
          <t>가). 땅깍기(암석절취)</t>
        </is>
      </c>
      <c r="B87" s="14" t="inlineStr">
        <is>
          <t>중규모진동제어발파, 연암</t>
        </is>
      </c>
      <c r="C87" s="15" t="n">
        <v>921</v>
      </c>
      <c r="D87" s="16" t="inlineStr">
        <is>
          <t>㎥</t>
        </is>
      </c>
      <c r="E87" s="15" t="n">
        <v>0</v>
      </c>
      <c r="F87" s="15">
        <f>E87*C87</f>
        <v/>
      </c>
      <c r="G87" s="15" t="n">
        <v>340</v>
      </c>
      <c r="H87" s="15">
        <f>G87*C87</f>
        <v/>
      </c>
      <c r="I87" s="15" t="n">
        <v>9898</v>
      </c>
      <c r="J87" s="15">
        <f>I87*C87</f>
        <v/>
      </c>
      <c r="K87" s="15">
        <f>E87+G87+I87</f>
        <v/>
      </c>
      <c r="L87" s="15">
        <f>F87+H87+J87</f>
        <v/>
      </c>
      <c r="M87" s="18" t="n"/>
    </row>
    <row r="88">
      <c r="A88" s="14" t="inlineStr">
        <is>
          <t>나). 땅깍기(암석절취)</t>
        </is>
      </c>
      <c r="B88" s="14" t="inlineStr">
        <is>
          <t>일반발파, 연암</t>
        </is>
      </c>
      <c r="C88" s="15" t="n">
        <v>0</v>
      </c>
      <c r="D88" s="16" t="inlineStr">
        <is>
          <t>㎥</t>
        </is>
      </c>
      <c r="E88" s="17" t="n"/>
      <c r="F88" s="15" t="n">
        <v>0</v>
      </c>
      <c r="G88" s="17" t="n"/>
      <c r="H88" s="15" t="n">
        <v>0</v>
      </c>
      <c r="I88" s="17" t="n"/>
      <c r="J88" s="15" t="n">
        <v>0</v>
      </c>
      <c r="K88" s="17" t="n"/>
      <c r="L88" s="15" t="n">
        <v>0</v>
      </c>
      <c r="M88" s="18" t="n"/>
    </row>
    <row r="89">
      <c r="A89" s="28" t="inlineStr">
        <is>
          <t>4). 보통암</t>
        </is>
      </c>
      <c r="B89" s="28" t="n"/>
      <c r="C89" s="17" t="n"/>
      <c r="D89" s="16" t="n"/>
      <c r="E89" s="17" t="n"/>
      <c r="F89" s="29" t="n"/>
      <c r="G89" s="17" t="n"/>
      <c r="H89" s="29" t="n"/>
      <c r="I89" s="17" t="n"/>
      <c r="J89" s="29" t="n"/>
      <c r="K89" s="17" t="n"/>
      <c r="L89" s="29" t="n"/>
      <c r="M89" s="18" t="n"/>
    </row>
    <row r="90">
      <c r="A90" s="14" t="inlineStr">
        <is>
          <t>가). 땅깍기(암석절취)</t>
        </is>
      </c>
      <c r="B90" s="14" t="inlineStr">
        <is>
          <t>일반발파, 보통암</t>
        </is>
      </c>
      <c r="C90" s="15" t="n">
        <v>27</v>
      </c>
      <c r="D90" s="16" t="inlineStr">
        <is>
          <t>㎥</t>
        </is>
      </c>
      <c r="E90" s="15" t="n">
        <v>0</v>
      </c>
      <c r="F90" s="15">
        <f>E90*C90</f>
        <v/>
      </c>
      <c r="G90" s="15" t="n">
        <v>340</v>
      </c>
      <c r="H90" s="15">
        <f>G90*C90</f>
        <v/>
      </c>
      <c r="I90" s="15" t="n">
        <v>5990</v>
      </c>
      <c r="J90" s="15">
        <f>I90*C90</f>
        <v/>
      </c>
      <c r="K90" s="15">
        <f>E90+G90+I90</f>
        <v/>
      </c>
      <c r="L90" s="15">
        <f>F90+H90+J90</f>
        <v/>
      </c>
      <c r="M90" s="18" t="n"/>
    </row>
    <row r="91">
      <c r="A91" s="28" t="inlineStr">
        <is>
          <t>5). 발파암 소할</t>
        </is>
      </c>
      <c r="B91" s="28" t="n"/>
      <c r="C91" s="17" t="n"/>
      <c r="D91" s="16" t="n"/>
      <c r="E91" s="17" t="n"/>
      <c r="F91" s="29" t="n"/>
      <c r="G91" s="17" t="n"/>
      <c r="H91" s="29" t="n"/>
      <c r="I91" s="17" t="n"/>
      <c r="J91" s="29" t="n"/>
      <c r="K91" s="17" t="n"/>
      <c r="L91" s="29" t="n"/>
      <c r="M91" s="18" t="n"/>
    </row>
    <row r="92">
      <c r="A92" s="14" t="inlineStr">
        <is>
          <t>가). 발파암 소할</t>
        </is>
      </c>
      <c r="B92" s="14" t="inlineStr">
        <is>
          <t>30CM이상</t>
        </is>
      </c>
      <c r="C92" s="15" t="n">
        <v>142</v>
      </c>
      <c r="D92" s="16" t="inlineStr">
        <is>
          <t>㎥</t>
        </is>
      </c>
      <c r="E92" s="15" t="n">
        <v>0</v>
      </c>
      <c r="F92" s="15">
        <f>E92*C92</f>
        <v/>
      </c>
      <c r="G92" s="15" t="n">
        <v>1164</v>
      </c>
      <c r="H92" s="15">
        <f>G92*C92</f>
        <v/>
      </c>
      <c r="I92" s="15" t="n">
        <v>2639</v>
      </c>
      <c r="J92" s="15">
        <f>I92*C92</f>
        <v/>
      </c>
      <c r="K92" s="15">
        <f>E92+G92+I92</f>
        <v/>
      </c>
      <c r="L92" s="15">
        <f>F92+H92+J92</f>
        <v/>
      </c>
      <c r="M92" s="18" t="n"/>
    </row>
    <row r="93">
      <c r="A93" s="28" t="inlineStr">
        <is>
          <t>마. 터파기</t>
        </is>
      </c>
      <c r="B93" s="28" t="n"/>
      <c r="C93" s="17" t="n"/>
      <c r="D93" s="16" t="n"/>
      <c r="E93" s="17" t="n"/>
      <c r="F93" s="29" t="n"/>
      <c r="G93" s="17" t="n"/>
      <c r="H93" s="29" t="n"/>
      <c r="I93" s="17" t="n"/>
      <c r="J93" s="29" t="n"/>
      <c r="K93" s="17" t="n"/>
      <c r="L93" s="29" t="n"/>
      <c r="M93" s="18" t="n"/>
    </row>
    <row r="94">
      <c r="A94" s="14" t="inlineStr">
        <is>
          <t>1). 터파기(토사)</t>
        </is>
      </c>
      <c r="B94" s="14" t="inlineStr">
        <is>
          <t>TYPE-1, 굴착기1.0, 기계100%</t>
        </is>
      </c>
      <c r="C94" s="15" t="n">
        <v>1325</v>
      </c>
      <c r="D94" s="16" t="inlineStr">
        <is>
          <t>㎥</t>
        </is>
      </c>
      <c r="E94" s="15" t="n">
        <v>0</v>
      </c>
      <c r="F94" s="15">
        <f>E94*C94</f>
        <v/>
      </c>
      <c r="G94" s="15" t="n">
        <v>238</v>
      </c>
      <c r="H94" s="15">
        <f>G94*C94</f>
        <v/>
      </c>
      <c r="I94" s="15" t="n">
        <v>1332</v>
      </c>
      <c r="J94" s="15">
        <f>I94*C94</f>
        <v/>
      </c>
      <c r="K94" s="15">
        <f>E94+G94+I94</f>
        <v/>
      </c>
      <c r="L94" s="15">
        <f>F94+H94+J94</f>
        <v/>
      </c>
      <c r="M94" s="18" t="n"/>
    </row>
    <row r="95">
      <c r="A95" s="28" t="inlineStr">
        <is>
          <t>바. 흙쌓기</t>
        </is>
      </c>
      <c r="B95" s="28" t="n"/>
      <c r="C95" s="17" t="n"/>
      <c r="D95" s="16" t="n"/>
      <c r="E95" s="17" t="n"/>
      <c r="F95" s="29" t="n"/>
      <c r="G95" s="17" t="n"/>
      <c r="H95" s="29" t="n"/>
      <c r="I95" s="17" t="n"/>
      <c r="J95" s="29" t="n"/>
      <c r="K95" s="17" t="n"/>
      <c r="L95" s="29" t="n"/>
      <c r="M95" s="18" t="n"/>
    </row>
    <row r="96">
      <c r="A96" s="28" t="inlineStr">
        <is>
          <t>1). 비다짐</t>
        </is>
      </c>
      <c r="B96" s="28" t="n"/>
      <c r="C96" s="17" t="n"/>
      <c r="D96" s="16" t="n"/>
      <c r="E96" s="17" t="n"/>
      <c r="F96" s="29" t="n"/>
      <c r="G96" s="17" t="n"/>
      <c r="H96" s="29" t="n"/>
      <c r="I96" s="17" t="n"/>
      <c r="J96" s="29" t="n"/>
      <c r="K96" s="17" t="n"/>
      <c r="L96" s="29" t="n"/>
      <c r="M96" s="18" t="n"/>
    </row>
    <row r="97">
      <c r="A97" s="14" t="inlineStr">
        <is>
          <t>가). 흙쌓기(토사)</t>
        </is>
      </c>
      <c r="B97" s="14" t="inlineStr">
        <is>
          <t>비다짐, 불도저 32톤</t>
        </is>
      </c>
      <c r="C97" s="15" t="n">
        <v>6499</v>
      </c>
      <c r="D97" s="16" t="inlineStr">
        <is>
          <t>㎥</t>
        </is>
      </c>
      <c r="E97" s="15" t="n">
        <v>0</v>
      </c>
      <c r="F97" s="15">
        <f>E97*C97</f>
        <v/>
      </c>
      <c r="G97" s="15" t="n">
        <v>125</v>
      </c>
      <c r="H97" s="15">
        <f>G97*C97</f>
        <v/>
      </c>
      <c r="I97" s="15" t="n">
        <v>743</v>
      </c>
      <c r="J97" s="15">
        <f>I97*C97</f>
        <v/>
      </c>
      <c r="K97" s="15">
        <f>E97+G97+I97</f>
        <v/>
      </c>
      <c r="L97" s="15">
        <f>F97+H97+J97</f>
        <v/>
      </c>
      <c r="M97" s="18" t="n"/>
    </row>
    <row r="98">
      <c r="A98" s="14" t="inlineStr">
        <is>
          <t>나). 흙쌓기(풍화암)</t>
        </is>
      </c>
      <c r="B98" s="14" t="inlineStr">
        <is>
          <t>비다짐, 불도저 32톤</t>
        </is>
      </c>
      <c r="C98" s="15" t="n">
        <v>26</v>
      </c>
      <c r="D98" s="16" t="inlineStr">
        <is>
          <t>㎥</t>
        </is>
      </c>
      <c r="E98" s="15" t="n">
        <v>0</v>
      </c>
      <c r="F98" s="15">
        <f>E98*C98</f>
        <v/>
      </c>
      <c r="G98" s="15" t="n">
        <v>125</v>
      </c>
      <c r="H98" s="15">
        <f>G98*C98</f>
        <v/>
      </c>
      <c r="I98" s="15" t="n">
        <v>743</v>
      </c>
      <c r="J98" s="15">
        <f>I98*C98</f>
        <v/>
      </c>
      <c r="K98" s="15">
        <f>E98+G98+I98</f>
        <v/>
      </c>
      <c r="L98" s="15">
        <f>F98+H98+J98</f>
        <v/>
      </c>
      <c r="M98" s="18" t="n"/>
    </row>
    <row r="99">
      <c r="A99" s="28" t="inlineStr">
        <is>
          <t>2). 노상</t>
        </is>
      </c>
      <c r="B99" s="28" t="n"/>
      <c r="C99" s="17" t="n"/>
      <c r="D99" s="16" t="n"/>
      <c r="E99" s="17" t="n"/>
      <c r="F99" s="29" t="n"/>
      <c r="G99" s="17" t="n"/>
      <c r="H99" s="29" t="n"/>
      <c r="I99" s="17" t="n"/>
      <c r="J99" s="29" t="n"/>
      <c r="K99" s="17" t="n"/>
      <c r="L99" s="29" t="n"/>
      <c r="M99" s="18" t="n"/>
    </row>
    <row r="100">
      <c r="A100" s="14" t="inlineStr">
        <is>
          <t>가). 흙쌓기</t>
        </is>
      </c>
      <c r="B100" s="14" t="inlineStr">
        <is>
          <t>노상, 두께20cm, 다짐도95%이상</t>
        </is>
      </c>
      <c r="C100" s="15" t="n">
        <v>1916</v>
      </c>
      <c r="D100" s="16" t="inlineStr">
        <is>
          <t>㎥</t>
        </is>
      </c>
      <c r="E100" s="15" t="n">
        <v>0</v>
      </c>
      <c r="F100" s="15">
        <f>E100*C100</f>
        <v/>
      </c>
      <c r="G100" s="15" t="n">
        <v>430</v>
      </c>
      <c r="H100" s="15">
        <f>G100*C100</f>
        <v/>
      </c>
      <c r="I100" s="15" t="n">
        <v>2453</v>
      </c>
      <c r="J100" s="15">
        <f>I100*C100</f>
        <v/>
      </c>
      <c r="K100" s="15">
        <f>E100+G100+I100</f>
        <v/>
      </c>
      <c r="L100" s="15">
        <f>F100+H100+J100</f>
        <v/>
      </c>
      <c r="M100" s="18" t="n"/>
    </row>
    <row r="101">
      <c r="A101" s="28" t="inlineStr">
        <is>
          <t>3). 노체</t>
        </is>
      </c>
      <c r="B101" s="28" t="n"/>
      <c r="C101" s="17" t="n"/>
      <c r="D101" s="16" t="n"/>
      <c r="E101" s="17" t="n"/>
      <c r="F101" s="29" t="n"/>
      <c r="G101" s="17" t="n"/>
      <c r="H101" s="29" t="n"/>
      <c r="I101" s="17" t="n"/>
      <c r="J101" s="29" t="n"/>
      <c r="K101" s="17" t="n"/>
      <c r="L101" s="29" t="n"/>
      <c r="M101" s="18" t="n"/>
    </row>
    <row r="102">
      <c r="A102" s="14" t="inlineStr">
        <is>
          <t>가). 흙쌓기</t>
        </is>
      </c>
      <c r="B102" s="14" t="inlineStr">
        <is>
          <t>노체, 두께30cm, 다짐도90%이상</t>
        </is>
      </c>
      <c r="C102" s="15" t="n">
        <v>16923</v>
      </c>
      <c r="D102" s="16" t="inlineStr">
        <is>
          <t>㎥</t>
        </is>
      </c>
      <c r="E102" s="15" t="n">
        <v>0</v>
      </c>
      <c r="F102" s="15">
        <f>E102*C102</f>
        <v/>
      </c>
      <c r="G102" s="15" t="n">
        <v>430</v>
      </c>
      <c r="H102" s="15">
        <f>G102*C102</f>
        <v/>
      </c>
      <c r="I102" s="15" t="n">
        <v>1661</v>
      </c>
      <c r="J102" s="15">
        <f>I102*C102</f>
        <v/>
      </c>
      <c r="K102" s="15">
        <f>E102+G102+I102</f>
        <v/>
      </c>
      <c r="L102" s="15">
        <f>F102+H102+J102</f>
        <v/>
      </c>
      <c r="M102" s="18" t="n"/>
    </row>
    <row r="103">
      <c r="A103" s="28" t="inlineStr">
        <is>
          <t>4). 되메우기</t>
        </is>
      </c>
      <c r="B103" s="28" t="n"/>
      <c r="C103" s="17" t="n"/>
      <c r="D103" s="16" t="n"/>
      <c r="E103" s="17" t="n"/>
      <c r="F103" s="29" t="n"/>
      <c r="G103" s="17" t="n"/>
      <c r="H103" s="29" t="n"/>
      <c r="I103" s="17" t="n"/>
      <c r="J103" s="29" t="n"/>
      <c r="K103" s="17" t="n"/>
      <c r="L103" s="29" t="n"/>
      <c r="M103" s="18" t="n"/>
    </row>
    <row r="104">
      <c r="A104" s="14" t="inlineStr">
        <is>
          <t>가). 흙쌓기</t>
        </is>
      </c>
      <c r="B104" s="14" t="inlineStr">
        <is>
          <t>노체, 두께30cm, 다짐도90%이상</t>
        </is>
      </c>
      <c r="C104" s="15" t="n">
        <v>1174</v>
      </c>
      <c r="D104" s="16" t="inlineStr">
        <is>
          <t>㎥</t>
        </is>
      </c>
      <c r="E104" s="15" t="n">
        <v>0</v>
      </c>
      <c r="F104" s="15">
        <f>E104*C104</f>
        <v/>
      </c>
      <c r="G104" s="15" t="n">
        <v>430</v>
      </c>
      <c r="H104" s="15">
        <f>G104*C104</f>
        <v/>
      </c>
      <c r="I104" s="15" t="n">
        <v>1661</v>
      </c>
      <c r="J104" s="15">
        <f>I104*C104</f>
        <v/>
      </c>
      <c r="K104" s="15">
        <f>E104+G104+I104</f>
        <v/>
      </c>
      <c r="L104" s="15">
        <f>F104+H104+J104</f>
        <v/>
      </c>
      <c r="M104" s="18" t="n"/>
    </row>
    <row r="105">
      <c r="A105" s="28" t="inlineStr">
        <is>
          <t>사. 흙운반</t>
        </is>
      </c>
      <c r="B105" s="28" t="n"/>
      <c r="C105" s="17" t="n"/>
      <c r="D105" s="16" t="n"/>
      <c r="E105" s="17" t="n"/>
      <c r="F105" s="29" t="n"/>
      <c r="G105" s="17" t="n"/>
      <c r="H105" s="29" t="n"/>
      <c r="I105" s="17" t="n"/>
      <c r="J105" s="29" t="n"/>
      <c r="K105" s="17" t="n"/>
      <c r="L105" s="29" t="n"/>
      <c r="M105" s="18" t="n"/>
    </row>
    <row r="106">
      <c r="A106" s="28" t="inlineStr">
        <is>
          <t>1). 무대(1, 2차)</t>
        </is>
      </c>
      <c r="B106" s="28" t="n"/>
      <c r="C106" s="17" t="n"/>
      <c r="D106" s="16" t="n"/>
      <c r="E106" s="17" t="n"/>
      <c r="F106" s="29" t="n"/>
      <c r="G106" s="17" t="n"/>
      <c r="H106" s="29" t="n"/>
      <c r="I106" s="17" t="n"/>
      <c r="J106" s="29" t="n"/>
      <c r="K106" s="17" t="n"/>
      <c r="L106" s="29" t="n"/>
      <c r="M106" s="18" t="n"/>
    </row>
    <row r="107">
      <c r="A107" s="14" t="inlineStr">
        <is>
          <t>가). 토사</t>
        </is>
      </c>
      <c r="B107" s="14" t="n"/>
      <c r="C107" s="15" t="n">
        <v>5363</v>
      </c>
      <c r="D107" s="16" t="inlineStr">
        <is>
          <t>㎥</t>
        </is>
      </c>
      <c r="E107" s="15" t="n">
        <v>0</v>
      </c>
      <c r="F107" s="15">
        <f>E107*C107</f>
        <v/>
      </c>
      <c r="G107" s="15" t="n">
        <v>81</v>
      </c>
      <c r="H107" s="15">
        <f>G107*C107</f>
        <v/>
      </c>
      <c r="I107" s="15" t="n">
        <v>459</v>
      </c>
      <c r="J107" s="15">
        <f>I107*C107</f>
        <v/>
      </c>
      <c r="K107" s="15">
        <f>E107+G107+I107</f>
        <v/>
      </c>
      <c r="L107" s="15">
        <f>F107+H107+J107</f>
        <v/>
      </c>
      <c r="M107" s="18" t="n"/>
    </row>
    <row r="108">
      <c r="A108" s="28" t="inlineStr">
        <is>
          <t>2). 도쟈운반</t>
        </is>
      </c>
      <c r="B108" s="28" t="n"/>
      <c r="C108" s="17" t="n"/>
      <c r="D108" s="16" t="n"/>
      <c r="E108" s="17" t="n"/>
      <c r="F108" s="29" t="n"/>
      <c r="G108" s="17" t="n"/>
      <c r="H108" s="29" t="n"/>
      <c r="I108" s="17" t="n"/>
      <c r="J108" s="29" t="n"/>
      <c r="K108" s="17" t="n"/>
      <c r="L108" s="29" t="n"/>
      <c r="M108" s="18" t="n"/>
    </row>
    <row r="109">
      <c r="A109" s="14" t="inlineStr">
        <is>
          <t>가). 흙운반(토사)</t>
        </is>
      </c>
      <c r="B109" s="14" t="inlineStr">
        <is>
          <t>불도저 32톤, L=15.2m</t>
        </is>
      </c>
      <c r="C109" s="15" t="n">
        <v>10527</v>
      </c>
      <c r="D109" s="16" t="inlineStr">
        <is>
          <t>㎥</t>
        </is>
      </c>
      <c r="E109" s="15" t="n">
        <v>0</v>
      </c>
      <c r="F109" s="15">
        <f>E109*C109</f>
        <v/>
      </c>
      <c r="G109" s="15" t="n">
        <v>72</v>
      </c>
      <c r="H109" s="15">
        <f>G109*C109</f>
        <v/>
      </c>
      <c r="I109" s="15" t="n">
        <v>879</v>
      </c>
      <c r="J109" s="15">
        <f>I109*C109</f>
        <v/>
      </c>
      <c r="K109" s="15">
        <f>E109+G109+I109</f>
        <v/>
      </c>
      <c r="L109" s="15">
        <f>F109+H109+J109</f>
        <v/>
      </c>
      <c r="M109" s="18" t="n"/>
    </row>
    <row r="110">
      <c r="A110" s="14" t="inlineStr">
        <is>
          <t>나). 흙운반(풍화암)</t>
        </is>
      </c>
      <c r="B110" s="14" t="inlineStr">
        <is>
          <t>불도저 32톤, L=19.7m</t>
        </is>
      </c>
      <c r="C110" s="15" t="n">
        <v>26</v>
      </c>
      <c r="D110" s="16" t="inlineStr">
        <is>
          <t>㎥</t>
        </is>
      </c>
      <c r="E110" s="15" t="n">
        <v>0</v>
      </c>
      <c r="F110" s="15">
        <f>E110*C110</f>
        <v/>
      </c>
      <c r="G110" s="15" t="n">
        <v>72</v>
      </c>
      <c r="H110" s="15">
        <f>G110*C110</f>
        <v/>
      </c>
      <c r="I110" s="15" t="n">
        <v>879</v>
      </c>
      <c r="J110" s="15">
        <f>I110*C110</f>
        <v/>
      </c>
      <c r="K110" s="15">
        <f>E110+G110+I110</f>
        <v/>
      </c>
      <c r="L110" s="15">
        <f>F110+H110+J110</f>
        <v/>
      </c>
      <c r="M110" s="18" t="n"/>
    </row>
    <row r="111">
      <c r="A111" s="28" t="inlineStr">
        <is>
          <t>3). 덤프운반(지구내)</t>
        </is>
      </c>
      <c r="B111" s="28" t="n"/>
      <c r="C111" s="17" t="n"/>
      <c r="D111" s="16" t="n"/>
      <c r="E111" s="17" t="n"/>
      <c r="F111" s="29" t="n"/>
      <c r="G111" s="17" t="n"/>
      <c r="H111" s="29" t="n"/>
      <c r="I111" s="17" t="n"/>
      <c r="J111" s="29" t="n"/>
      <c r="K111" s="17" t="n"/>
      <c r="L111" s="29" t="n"/>
      <c r="M111" s="18" t="n"/>
    </row>
    <row r="112">
      <c r="A112" s="14" t="inlineStr">
        <is>
          <t>가). 흙 운반(토사)(지구내)</t>
        </is>
      </c>
      <c r="B112" s="14" t="inlineStr">
        <is>
          <t>굴삭기1.0㎥+덤프24톤, L=0.145Km</t>
        </is>
      </c>
      <c r="C112" s="15" t="n">
        <v>11327</v>
      </c>
      <c r="D112" s="16" t="inlineStr">
        <is>
          <t>㎥</t>
        </is>
      </c>
      <c r="E112" s="15" t="n">
        <v>0</v>
      </c>
      <c r="F112" s="15">
        <f>E112*C112</f>
        <v/>
      </c>
      <c r="G112" s="15" t="n">
        <v>242</v>
      </c>
      <c r="H112" s="15">
        <f>G112*C112</f>
        <v/>
      </c>
      <c r="I112" s="15" t="n">
        <v>2717</v>
      </c>
      <c r="J112" s="15">
        <f>I112*C112</f>
        <v/>
      </c>
      <c r="K112" s="15">
        <f>E112+G112+I112</f>
        <v/>
      </c>
      <c r="L112" s="15">
        <f>F112+H112+J112</f>
        <v/>
      </c>
      <c r="M112" s="18" t="n"/>
    </row>
    <row r="113">
      <c r="A113" s="28" t="inlineStr">
        <is>
          <t>4). 덤프운반</t>
        </is>
      </c>
      <c r="B113" s="28" t="n"/>
      <c r="C113" s="17" t="n"/>
      <c r="D113" s="16" t="n"/>
      <c r="E113" s="17" t="n"/>
      <c r="F113" s="29" t="n"/>
      <c r="G113" s="17" t="n"/>
      <c r="H113" s="29" t="n"/>
      <c r="I113" s="17" t="n"/>
      <c r="J113" s="29" t="n"/>
      <c r="K113" s="17" t="n"/>
      <c r="L113" s="29" t="n"/>
      <c r="M113" s="18" t="n"/>
    </row>
    <row r="114">
      <c r="A114" s="14" t="inlineStr">
        <is>
          <t>가). 흙 운반(토사)(구조물유용)</t>
        </is>
      </c>
      <c r="B114" s="14" t="inlineStr">
        <is>
          <t>굴삭기1.0㎥+덤프24톤, L=0.061Km</t>
        </is>
      </c>
      <c r="C114" s="15" t="n">
        <v>1134</v>
      </c>
      <c r="D114" s="16" t="inlineStr">
        <is>
          <t>㎥</t>
        </is>
      </c>
      <c r="E114" s="15" t="n">
        <v>0</v>
      </c>
      <c r="F114" s="15">
        <f>E114*C114</f>
        <v/>
      </c>
      <c r="G114" s="15" t="n">
        <v>417</v>
      </c>
      <c r="H114" s="15">
        <f>G114*C114</f>
        <v/>
      </c>
      <c r="I114" s="15" t="n">
        <v>3014</v>
      </c>
      <c r="J114" s="15">
        <f>I114*C114</f>
        <v/>
      </c>
      <c r="K114" s="15">
        <f>E114+G114+I114</f>
        <v/>
      </c>
      <c r="L114" s="15">
        <f>F114+H114+J114</f>
        <v/>
      </c>
      <c r="M114" s="18" t="n"/>
    </row>
    <row r="115">
      <c r="A115" s="28" t="inlineStr">
        <is>
          <t>5). 덤프운반(외부반출)</t>
        </is>
      </c>
      <c r="B115" s="28" t="n"/>
      <c r="C115" s="17" t="n"/>
      <c r="D115" s="16" t="n"/>
      <c r="E115" s="17" t="n"/>
      <c r="F115" s="29" t="n"/>
      <c r="G115" s="17" t="n"/>
      <c r="H115" s="29" t="n"/>
      <c r="I115" s="17" t="n"/>
      <c r="J115" s="29" t="n"/>
      <c r="K115" s="17" t="n"/>
      <c r="L115" s="29" t="n"/>
      <c r="M115" s="18" t="n"/>
    </row>
    <row r="116">
      <c r="A116" s="14" t="inlineStr">
        <is>
          <t>가). 흙 운반(토사)(진입도로)</t>
        </is>
      </c>
      <c r="B116" s="14" t="inlineStr">
        <is>
          <t>굴삭기1.0㎥+덤프24톤, L=0.234Km</t>
        </is>
      </c>
      <c r="C116" s="15" t="n">
        <v>25804</v>
      </c>
      <c r="D116" s="16" t="inlineStr">
        <is>
          <t>㎥</t>
        </is>
      </c>
      <c r="E116" s="15" t="n">
        <v>0</v>
      </c>
      <c r="F116" s="15">
        <f>E116*C116</f>
        <v/>
      </c>
      <c r="G116" s="15" t="n">
        <v>378</v>
      </c>
      <c r="H116" s="15">
        <f>G116*C116</f>
        <v/>
      </c>
      <c r="I116" s="15" t="n">
        <v>2738</v>
      </c>
      <c r="J116" s="15">
        <f>I116*C116</f>
        <v/>
      </c>
      <c r="K116" s="15">
        <f>E116+G116+I116</f>
        <v/>
      </c>
      <c r="L116" s="15">
        <f>F116+H116+J116</f>
        <v/>
      </c>
      <c r="M116" s="18" t="n"/>
    </row>
    <row r="117">
      <c r="A117" s="14" t="inlineStr">
        <is>
          <t>나). 흙 운반(토사)(야적장)</t>
        </is>
      </c>
      <c r="B117" s="14" t="inlineStr">
        <is>
          <t>굴삭기1.0㎥+덤프24톤, L=0.238Km</t>
        </is>
      </c>
      <c r="C117" s="15" t="n">
        <v>29499</v>
      </c>
      <c r="D117" s="16" t="inlineStr">
        <is>
          <t>㎥</t>
        </is>
      </c>
      <c r="E117" s="15" t="n">
        <v>0</v>
      </c>
      <c r="F117" s="15">
        <f>E117*C117</f>
        <v/>
      </c>
      <c r="G117" s="15" t="n">
        <v>374</v>
      </c>
      <c r="H117" s="15">
        <f>G117*C117</f>
        <v/>
      </c>
      <c r="I117" s="15" t="n">
        <v>2704</v>
      </c>
      <c r="J117" s="15">
        <f>I117*C117</f>
        <v/>
      </c>
      <c r="K117" s="15">
        <f>E117+G117+I117</f>
        <v/>
      </c>
      <c r="L117" s="15">
        <f>F117+H117+J117</f>
        <v/>
      </c>
      <c r="M117" s="18" t="n"/>
    </row>
    <row r="118">
      <c r="A118" s="14" t="inlineStr">
        <is>
          <t>다). 흙운반(풍화암)(야적장)</t>
        </is>
      </c>
      <c r="B118" s="14" t="inlineStr">
        <is>
          <t>로우더1.72㎥+덤프24톤, L=0.212Km</t>
        </is>
      </c>
      <c r="C118" s="15" t="n">
        <v>5142</v>
      </c>
      <c r="D118" s="16" t="inlineStr">
        <is>
          <t>㎥</t>
        </is>
      </c>
      <c r="E118" s="15" t="n">
        <v>0</v>
      </c>
      <c r="F118" s="15">
        <f>E118*C118</f>
        <v/>
      </c>
      <c r="G118" s="15" t="n">
        <v>376</v>
      </c>
      <c r="H118" s="15">
        <f>G118*C118</f>
        <v/>
      </c>
      <c r="I118" s="15" t="n">
        <v>2687</v>
      </c>
      <c r="J118" s="15">
        <f>I118*C118</f>
        <v/>
      </c>
      <c r="K118" s="15">
        <f>E118+G118+I118</f>
        <v/>
      </c>
      <c r="L118" s="15">
        <f>F118+H118+J118</f>
        <v/>
      </c>
      <c r="M118" s="18" t="n"/>
    </row>
    <row r="119">
      <c r="A119" s="14" t="inlineStr">
        <is>
          <t>라). 흙운반(연암)(야적장)</t>
        </is>
      </c>
      <c r="B119" s="14" t="inlineStr">
        <is>
          <t>굴삭기1.0㎥+덤프24톤, L=0.216Km</t>
        </is>
      </c>
      <c r="C119" s="15" t="n">
        <v>921</v>
      </c>
      <c r="D119" s="16" t="inlineStr">
        <is>
          <t>㎥</t>
        </is>
      </c>
      <c r="E119" s="15" t="n">
        <v>0</v>
      </c>
      <c r="F119" s="15">
        <f>E119*C119</f>
        <v/>
      </c>
      <c r="G119" s="15" t="n">
        <v>519</v>
      </c>
      <c r="H119" s="15">
        <f>G119*C119</f>
        <v/>
      </c>
      <c r="I119" s="15" t="n">
        <v>3752</v>
      </c>
      <c r="J119" s="15">
        <f>I119*C119</f>
        <v/>
      </c>
      <c r="K119" s="15">
        <f>E119+G119+I119</f>
        <v/>
      </c>
      <c r="L119" s="15">
        <f>F119+H119+J119</f>
        <v/>
      </c>
      <c r="M119" s="18" t="n"/>
    </row>
    <row r="120">
      <c r="A120" s="14" t="inlineStr">
        <is>
          <t>마). 흙운반(보통암)(야적장)</t>
        </is>
      </c>
      <c r="B120" s="14" t="inlineStr">
        <is>
          <t>굴삭기1.0㎥+덤프24톤, L=0.226Km</t>
        </is>
      </c>
      <c r="C120" s="15" t="n">
        <v>27</v>
      </c>
      <c r="D120" s="16" t="inlineStr">
        <is>
          <t>㎥</t>
        </is>
      </c>
      <c r="E120" s="15" t="n">
        <v>0</v>
      </c>
      <c r="F120" s="15">
        <f>E120*C120</f>
        <v/>
      </c>
      <c r="G120" s="15" t="n">
        <v>519</v>
      </c>
      <c r="H120" s="15">
        <f>G120*C120</f>
        <v/>
      </c>
      <c r="I120" s="15" t="n">
        <v>3752</v>
      </c>
      <c r="J120" s="15">
        <f>I120*C120</f>
        <v/>
      </c>
      <c r="K120" s="15">
        <f>E120+G120+I120</f>
        <v/>
      </c>
      <c r="L120" s="15">
        <f>F120+H120+J120</f>
        <v/>
      </c>
      <c r="M120" s="18" t="n"/>
    </row>
    <row r="121">
      <c r="A121" s="28" t="inlineStr">
        <is>
          <t>6). 덤프운반(구조물잔토)</t>
        </is>
      </c>
      <c r="B121" s="28" t="n"/>
      <c r="C121" s="17" t="n"/>
      <c r="D121" s="16" t="n"/>
      <c r="E121" s="17" t="n"/>
      <c r="F121" s="29" t="n"/>
      <c r="G121" s="17" t="n"/>
      <c r="H121" s="29" t="n"/>
      <c r="I121" s="17" t="n"/>
      <c r="J121" s="29" t="n"/>
      <c r="K121" s="17" t="n"/>
      <c r="L121" s="29" t="n"/>
      <c r="M121" s="18" t="n"/>
    </row>
    <row r="122">
      <c r="A122" s="14" t="inlineStr">
        <is>
          <t>가). 흙 운반(토사)(지하저류조)</t>
        </is>
      </c>
      <c r="B122" s="14" t="inlineStr">
        <is>
          <t>굴삭기1.0㎥+덤프24톤, L=0.093Km</t>
        </is>
      </c>
      <c r="C122" s="15" t="n">
        <v>4653</v>
      </c>
      <c r="D122" s="16" t="inlineStr">
        <is>
          <t>㎥</t>
        </is>
      </c>
      <c r="E122" s="15" t="n">
        <v>0</v>
      </c>
      <c r="F122" s="15">
        <f>E122*C122</f>
        <v/>
      </c>
      <c r="G122" s="15" t="n">
        <v>372</v>
      </c>
      <c r="H122" s="15">
        <f>G122*C122</f>
        <v/>
      </c>
      <c r="I122" s="15" t="n">
        <v>2694</v>
      </c>
      <c r="J122" s="15">
        <f>I122*C122</f>
        <v/>
      </c>
      <c r="K122" s="15">
        <f>E122+G122+I122</f>
        <v/>
      </c>
      <c r="L122" s="15">
        <f>F122+H122+J122</f>
        <v/>
      </c>
      <c r="M122" s="18" t="n"/>
    </row>
    <row r="123">
      <c r="A123" s="28" t="inlineStr">
        <is>
          <t>아. 규준틀</t>
        </is>
      </c>
      <c r="B123" s="28" t="n"/>
      <c r="C123" s="17" t="n"/>
      <c r="D123" s="16" t="n"/>
      <c r="E123" s="17" t="n"/>
      <c r="F123" s="29" t="n"/>
      <c r="G123" s="17" t="n"/>
      <c r="H123" s="29" t="n"/>
      <c r="I123" s="17" t="n"/>
      <c r="J123" s="29" t="n"/>
      <c r="K123" s="17" t="n"/>
      <c r="L123" s="29" t="n"/>
      <c r="M123" s="18" t="n"/>
    </row>
    <row r="124">
      <c r="A124" s="14" t="inlineStr">
        <is>
          <t>1). 목재규준틀</t>
        </is>
      </c>
      <c r="B124" s="14" t="inlineStr">
        <is>
          <t>비탈규준틀</t>
        </is>
      </c>
      <c r="C124" s="15" t="n">
        <v>10</v>
      </c>
      <c r="D124" s="16" t="inlineStr">
        <is>
          <t>개</t>
        </is>
      </c>
      <c r="E124" s="15" t="n">
        <v>8952</v>
      </c>
      <c r="F124" s="15">
        <f>E124*C124</f>
        <v/>
      </c>
      <c r="G124" s="15" t="n">
        <v>63023</v>
      </c>
      <c r="H124" s="15">
        <f>G124*C124</f>
        <v/>
      </c>
      <c r="I124" s="15" t="n">
        <v>0</v>
      </c>
      <c r="J124" s="15">
        <f>I124*C124</f>
        <v/>
      </c>
      <c r="K124" s="15">
        <f>E124+G124+I124</f>
        <v/>
      </c>
      <c r="L124" s="15">
        <f>F124+H124+J124</f>
        <v/>
      </c>
      <c r="M124" s="18" t="n"/>
    </row>
    <row r="125">
      <c r="A125" s="14" t="inlineStr">
        <is>
          <t>2). 목재규준틀</t>
        </is>
      </c>
      <c r="B125" s="14" t="inlineStr">
        <is>
          <t>수평규준틀</t>
        </is>
      </c>
      <c r="C125" s="15" t="n">
        <v>26</v>
      </c>
      <c r="D125" s="16" t="inlineStr">
        <is>
          <t>개</t>
        </is>
      </c>
      <c r="E125" s="15" t="n">
        <v>28647</v>
      </c>
      <c r="F125" s="15">
        <f>E125*C125</f>
        <v/>
      </c>
      <c r="G125" s="15" t="n">
        <v>83702</v>
      </c>
      <c r="H125" s="15">
        <f>G125*C125</f>
        <v/>
      </c>
      <c r="I125" s="15" t="n">
        <v>0</v>
      </c>
      <c r="J125" s="15">
        <f>I125*C125</f>
        <v/>
      </c>
      <c r="K125" s="15">
        <f>E125+G125+I125</f>
        <v/>
      </c>
      <c r="L125" s="15">
        <f>F125+H125+J125</f>
        <v/>
      </c>
      <c r="M125" s="18" t="n"/>
    </row>
    <row r="126">
      <c r="A126" s="28" t="inlineStr">
        <is>
          <t>자. 수목이식</t>
        </is>
      </c>
      <c r="B126" s="28" t="n"/>
      <c r="C126" s="17" t="n"/>
      <c r="D126" s="16" t="n"/>
      <c r="E126" s="17" t="n"/>
      <c r="F126" s="29" t="n"/>
      <c r="G126" s="17" t="n"/>
      <c r="H126" s="29" t="n"/>
      <c r="I126" s="17" t="n"/>
      <c r="J126" s="29" t="n"/>
      <c r="K126" s="17" t="n"/>
      <c r="L126" s="29" t="n"/>
      <c r="M126" s="18" t="n"/>
    </row>
    <row r="127">
      <c r="A127" s="28" t="inlineStr">
        <is>
          <t>1). 수목관리</t>
        </is>
      </c>
      <c r="B127" s="28" t="n"/>
      <c r="C127" s="17" t="n"/>
      <c r="D127" s="16" t="n"/>
      <c r="E127" s="17" t="n"/>
      <c r="F127" s="29" t="n"/>
      <c r="G127" s="17" t="n"/>
      <c r="H127" s="29" t="n"/>
      <c r="I127" s="17" t="n"/>
      <c r="J127" s="29" t="n"/>
      <c r="K127" s="17" t="n"/>
      <c r="L127" s="29" t="n"/>
      <c r="M127" s="18" t="n"/>
    </row>
    <row r="128">
      <c r="A128" s="14" t="inlineStr">
        <is>
          <t>가). 교목 병해방제</t>
        </is>
      </c>
      <c r="B128" s="14" t="n"/>
      <c r="C128" s="15" t="n">
        <v>18</v>
      </c>
      <c r="D128" s="16" t="inlineStr">
        <is>
          <t>회</t>
        </is>
      </c>
      <c r="E128" s="15" t="n">
        <v>50132</v>
      </c>
      <c r="F128" s="15">
        <f>E128*C128</f>
        <v/>
      </c>
      <c r="G128" s="15" t="n">
        <v>152186</v>
      </c>
      <c r="H128" s="15">
        <f>G128*C128</f>
        <v/>
      </c>
      <c r="I128" s="15" t="n">
        <v>0</v>
      </c>
      <c r="J128" s="15">
        <f>I128*C128</f>
        <v/>
      </c>
      <c r="K128" s="15">
        <f>E128+G128+I128</f>
        <v/>
      </c>
      <c r="L128" s="15">
        <f>F128+H128+J128</f>
        <v/>
      </c>
      <c r="M128" s="18" t="n"/>
    </row>
    <row r="129">
      <c r="A129" s="14" t="inlineStr">
        <is>
          <t>나). 교목 충해방제</t>
        </is>
      </c>
      <c r="B129" s="14" t="n"/>
      <c r="C129" s="15" t="n">
        <v>9</v>
      </c>
      <c r="D129" s="16" t="inlineStr">
        <is>
          <t>회</t>
        </is>
      </c>
      <c r="E129" s="15" t="n">
        <v>50132</v>
      </c>
      <c r="F129" s="15">
        <f>E129*C129</f>
        <v/>
      </c>
      <c r="G129" s="15" t="n">
        <v>107425</v>
      </c>
      <c r="H129" s="15">
        <f>G129*C129</f>
        <v/>
      </c>
      <c r="I129" s="15" t="n">
        <v>0</v>
      </c>
      <c r="J129" s="15">
        <f>I129*C129</f>
        <v/>
      </c>
      <c r="K129" s="15">
        <f>E129+G129+I129</f>
        <v/>
      </c>
      <c r="L129" s="15">
        <f>F129+H129+J129</f>
        <v/>
      </c>
      <c r="M129" s="18" t="n"/>
    </row>
    <row r="130">
      <c r="A130" s="14" t="inlineStr">
        <is>
          <t>다). 교목관수</t>
        </is>
      </c>
      <c r="B130" s="14" t="inlineStr">
        <is>
          <t>15회, 인력</t>
        </is>
      </c>
      <c r="C130" s="15" t="n">
        <v>386</v>
      </c>
      <c r="D130" s="16" t="inlineStr">
        <is>
          <t>주</t>
        </is>
      </c>
      <c r="E130" s="15" t="n">
        <v>7162</v>
      </c>
      <c r="F130" s="15">
        <f>E130*C130</f>
        <v/>
      </c>
      <c r="G130" s="15" t="n">
        <v>7162</v>
      </c>
      <c r="H130" s="15">
        <f>G130*C130</f>
        <v/>
      </c>
      <c r="I130" s="15" t="n">
        <v>0</v>
      </c>
      <c r="J130" s="15">
        <f>I130*C130</f>
        <v/>
      </c>
      <c r="K130" s="15">
        <f>E130+G130+I130</f>
        <v/>
      </c>
      <c r="L130" s="15">
        <f>F130+H130+J130</f>
        <v/>
      </c>
      <c r="M130" s="18" t="n"/>
    </row>
    <row r="131">
      <c r="A131" s="14" t="inlineStr">
        <is>
          <t>라). 예초</t>
        </is>
      </c>
      <c r="B131" s="14" t="inlineStr">
        <is>
          <t>6회, 배부식기계사용</t>
        </is>
      </c>
      <c r="C131" s="15" t="n">
        <v>64</v>
      </c>
      <c r="D131" s="16" t="inlineStr">
        <is>
          <t>100㎡</t>
        </is>
      </c>
      <c r="E131" s="15" t="n">
        <v>0</v>
      </c>
      <c r="F131" s="15">
        <f>E131*C131</f>
        <v/>
      </c>
      <c r="G131" s="15" t="n">
        <v>14323</v>
      </c>
      <c r="H131" s="15">
        <f>G131*C131</f>
        <v/>
      </c>
      <c r="I131" s="15" t="n">
        <v>0</v>
      </c>
      <c r="J131" s="15">
        <f>I131*C131</f>
        <v/>
      </c>
      <c r="K131" s="15">
        <f>E131+G131+I131</f>
        <v/>
      </c>
      <c r="L131" s="15">
        <f>F131+H131+J131</f>
        <v/>
      </c>
      <c r="M131" s="18" t="n"/>
    </row>
    <row r="132">
      <c r="A132" s="28" t="inlineStr">
        <is>
          <t>2). 수목이식(현장---&gt;가이식장)</t>
        </is>
      </c>
      <c r="B132" s="28" t="n"/>
      <c r="C132" s="17" t="n"/>
      <c r="D132" s="16" t="n"/>
      <c r="E132" s="17" t="n"/>
      <c r="F132" s="29" t="n"/>
      <c r="G132" s="17" t="n"/>
      <c r="H132" s="29" t="n"/>
      <c r="I132" s="17" t="n"/>
      <c r="J132" s="29" t="n"/>
      <c r="K132" s="17" t="n"/>
      <c r="L132" s="29" t="n"/>
      <c r="M132" s="18" t="n"/>
    </row>
    <row r="133">
      <c r="A133" s="14" t="inlineStr">
        <is>
          <t>가). 나무(이식)(상수리나무)</t>
        </is>
      </c>
      <c r="B133" s="14" t="inlineStr">
        <is>
          <t>B=27~31cm</t>
        </is>
      </c>
      <c r="C133" s="15" t="n">
        <v>381</v>
      </c>
      <c r="D133" s="16" t="inlineStr">
        <is>
          <t>주</t>
        </is>
      </c>
      <c r="E133" s="15" t="n">
        <v>127299</v>
      </c>
      <c r="F133" s="15">
        <f>E133*C133</f>
        <v/>
      </c>
      <c r="G133" s="15" t="n">
        <v>118168</v>
      </c>
      <c r="H133" s="15">
        <f>G133*C133</f>
        <v/>
      </c>
      <c r="I133" s="15" t="n">
        <v>20520</v>
      </c>
      <c r="J133" s="15">
        <f>I133*C133</f>
        <v/>
      </c>
      <c r="K133" s="15">
        <f>E133+G133+I133</f>
        <v/>
      </c>
      <c r="L133" s="15">
        <f>F133+H133+J133</f>
        <v/>
      </c>
      <c r="M133" s="18" t="n"/>
    </row>
    <row r="134">
      <c r="A134" s="14" t="inlineStr">
        <is>
          <t>나). 나무(이식)(소나무)</t>
        </is>
      </c>
      <c r="B134" s="14" t="inlineStr">
        <is>
          <t>B=29cm</t>
        </is>
      </c>
      <c r="C134" s="15" t="n">
        <v>5</v>
      </c>
      <c r="D134" s="16" t="inlineStr">
        <is>
          <t>주</t>
        </is>
      </c>
      <c r="E134" s="15" t="n">
        <v>214850</v>
      </c>
      <c r="F134" s="15">
        <f>E134*C134</f>
        <v/>
      </c>
      <c r="G134" s="15" t="n">
        <v>223802</v>
      </c>
      <c r="H134" s="15">
        <f>G134*C134</f>
        <v/>
      </c>
      <c r="I134" s="15" t="n">
        <v>58629</v>
      </c>
      <c r="J134" s="15">
        <f>I134*C134</f>
        <v/>
      </c>
      <c r="K134" s="15">
        <f>E134+G134+I134</f>
        <v/>
      </c>
      <c r="L134" s="15">
        <f>F134+H134+J134</f>
        <v/>
      </c>
      <c r="M134" s="18" t="n"/>
    </row>
    <row r="135">
      <c r="A135" s="14" t="inlineStr">
        <is>
          <t>다). 가로지지대</t>
        </is>
      </c>
      <c r="B135" s="14" t="inlineStr">
        <is>
          <t>B=20cm</t>
        </is>
      </c>
      <c r="C135" s="15" t="n">
        <v>386</v>
      </c>
      <c r="D135" s="16" t="inlineStr">
        <is>
          <t>개소</t>
        </is>
      </c>
      <c r="E135" s="15" t="n">
        <v>7162</v>
      </c>
      <c r="F135" s="15">
        <f>E135*C135</f>
        <v/>
      </c>
      <c r="G135" s="15" t="n">
        <v>18557</v>
      </c>
      <c r="H135" s="15">
        <f>G135*C135</f>
        <v/>
      </c>
      <c r="I135" s="15" t="n">
        <v>0</v>
      </c>
      <c r="J135" s="15">
        <f>I135*C135</f>
        <v/>
      </c>
      <c r="K135" s="15">
        <f>E135+G135+I135</f>
        <v/>
      </c>
      <c r="L135" s="15">
        <f>F135+H135+J135</f>
        <v/>
      </c>
      <c r="M135" s="18" t="n"/>
    </row>
    <row r="136">
      <c r="A136" s="28" t="inlineStr">
        <is>
          <t>차. 지장물철거</t>
        </is>
      </c>
      <c r="B136" s="28" t="n"/>
      <c r="C136" s="17" t="n"/>
      <c r="D136" s="16" t="n"/>
      <c r="E136" s="17" t="n"/>
      <c r="F136" s="29" t="n"/>
      <c r="G136" s="17" t="n"/>
      <c r="H136" s="29" t="n"/>
      <c r="I136" s="17" t="n"/>
      <c r="J136" s="29" t="n"/>
      <c r="K136" s="17" t="n"/>
      <c r="L136" s="29" t="n"/>
      <c r="M136" s="18" t="n"/>
    </row>
    <row r="137">
      <c r="A137" s="28" t="inlineStr">
        <is>
          <t>1). 콘크리트깨기</t>
        </is>
      </c>
      <c r="B137" s="28" t="n"/>
      <c r="C137" s="17" t="n"/>
      <c r="D137" s="16" t="n"/>
      <c r="E137" s="17" t="n"/>
      <c r="F137" s="29" t="n"/>
      <c r="G137" s="17" t="n"/>
      <c r="H137" s="29" t="n"/>
      <c r="I137" s="17" t="n"/>
      <c r="J137" s="29" t="n"/>
      <c r="K137" s="17" t="n"/>
      <c r="L137" s="29" t="n"/>
      <c r="M137" s="18" t="n"/>
    </row>
    <row r="138">
      <c r="A138" s="14" t="inlineStr">
        <is>
          <t>가). 구조물헐기(철근)</t>
        </is>
      </c>
      <c r="B138" s="14" t="inlineStr">
        <is>
          <t>대형30CM미만</t>
        </is>
      </c>
      <c r="C138" s="15" t="n">
        <v>149</v>
      </c>
      <c r="D138" s="16" t="inlineStr">
        <is>
          <t>㎥</t>
        </is>
      </c>
      <c r="E138" s="15" t="n">
        <v>0</v>
      </c>
      <c r="F138" s="15">
        <f>E138*C138</f>
        <v/>
      </c>
      <c r="G138" s="15" t="n">
        <v>7967</v>
      </c>
      <c r="H138" s="15">
        <f>G138*C138</f>
        <v/>
      </c>
      <c r="I138" s="15" t="n">
        <v>28435</v>
      </c>
      <c r="J138" s="15">
        <f>I138*C138</f>
        <v/>
      </c>
      <c r="K138" s="15">
        <f>E138+G138+I138</f>
        <v/>
      </c>
      <c r="L138" s="15">
        <f>F138+H138+J138</f>
        <v/>
      </c>
      <c r="M138" s="18" t="n"/>
    </row>
    <row r="139">
      <c r="A139" s="14" t="inlineStr">
        <is>
          <t>나). 구조물헐기(무근)</t>
        </is>
      </c>
      <c r="B139" s="14" t="inlineStr">
        <is>
          <t>대형30CM미만</t>
        </is>
      </c>
      <c r="C139" s="15" t="n">
        <v>132</v>
      </c>
      <c r="D139" s="16" t="inlineStr">
        <is>
          <t>㎥</t>
        </is>
      </c>
      <c r="E139" s="15" t="n">
        <v>0</v>
      </c>
      <c r="F139" s="15">
        <f>E139*C139</f>
        <v/>
      </c>
      <c r="G139" s="15" t="n">
        <v>4207</v>
      </c>
      <c r="H139" s="15">
        <f>G139*C139</f>
        <v/>
      </c>
      <c r="I139" s="15" t="n">
        <v>22768</v>
      </c>
      <c r="J139" s="15">
        <f>I139*C139</f>
        <v/>
      </c>
      <c r="K139" s="15">
        <f>E139+G139+I139</f>
        <v/>
      </c>
      <c r="L139" s="15">
        <f>F139+H139+J139</f>
        <v/>
      </c>
      <c r="M139" s="18" t="n"/>
    </row>
    <row r="140">
      <c r="A140" s="28" t="inlineStr">
        <is>
          <t>2). 폐기물상차</t>
        </is>
      </c>
      <c r="B140" s="28" t="n"/>
      <c r="C140" s="17" t="n"/>
      <c r="D140" s="16" t="n"/>
      <c r="E140" s="17" t="n"/>
      <c r="F140" s="29" t="n"/>
      <c r="G140" s="17" t="n"/>
      <c r="H140" s="29" t="n"/>
      <c r="I140" s="17" t="n"/>
      <c r="J140" s="29" t="n"/>
      <c r="K140" s="17" t="n"/>
      <c r="L140" s="29" t="n"/>
      <c r="M140" s="18" t="n"/>
    </row>
    <row r="141">
      <c r="A141" s="14" t="inlineStr">
        <is>
          <t>가). 폐기물상차</t>
        </is>
      </c>
      <c r="B141" s="14" t="inlineStr">
        <is>
          <t>굴삭기 0.7㎥</t>
        </is>
      </c>
      <c r="C141" s="15" t="n">
        <v>281</v>
      </c>
      <c r="D141" s="16" t="inlineStr">
        <is>
          <t>㎥</t>
        </is>
      </c>
      <c r="E141" s="15" t="n">
        <v>0</v>
      </c>
      <c r="F141" s="15">
        <f>E141*C141</f>
        <v/>
      </c>
      <c r="G141" s="15" t="n">
        <v>895</v>
      </c>
      <c r="H141" s="15">
        <f>G141*C141</f>
        <v/>
      </c>
      <c r="I141" s="15" t="n">
        <v>1954</v>
      </c>
      <c r="J141" s="15">
        <f>I141*C141</f>
        <v/>
      </c>
      <c r="K141" s="15">
        <f>E141+G141+I141</f>
        <v/>
      </c>
      <c r="L141" s="15">
        <f>F141+H141+J141</f>
        <v/>
      </c>
      <c r="M141" s="18" t="n"/>
    </row>
    <row r="142">
      <c r="A142" s="25" t="inlineStr">
        <is>
          <t>2. 우 수 공</t>
        </is>
      </c>
      <c r="B142" s="26" t="n"/>
      <c r="C142" s="21" t="n"/>
      <c r="D142" s="22" t="n"/>
      <c r="E142" s="21" t="n"/>
      <c r="F142" s="27" t="n"/>
      <c r="G142" s="21" t="n"/>
      <c r="H142" s="27" t="n"/>
      <c r="I142" s="21" t="n"/>
      <c r="J142" s="27" t="n"/>
      <c r="K142" s="21" t="n"/>
      <c r="L142" s="27" t="n"/>
      <c r="M142" s="24" t="n"/>
    </row>
    <row r="143">
      <c r="A143" s="28" t="inlineStr">
        <is>
          <t>가. 토     공</t>
        </is>
      </c>
      <c r="B143" s="28" t="n"/>
      <c r="C143" s="17" t="n"/>
      <c r="D143" s="16" t="n"/>
      <c r="E143" s="17" t="n"/>
      <c r="F143" s="29" t="n"/>
      <c r="G143" s="17" t="n"/>
      <c r="H143" s="29" t="n"/>
      <c r="I143" s="17" t="n"/>
      <c r="J143" s="29" t="n"/>
      <c r="K143" s="17" t="n"/>
      <c r="L143" s="29" t="n"/>
      <c r="M143" s="18" t="n"/>
    </row>
    <row r="144">
      <c r="A144" s="28" t="inlineStr">
        <is>
          <t>1). 터파기</t>
        </is>
      </c>
      <c r="B144" s="28" t="n"/>
      <c r="C144" s="17" t="n"/>
      <c r="D144" s="16" t="n"/>
      <c r="E144" s="17" t="n"/>
      <c r="F144" s="29" t="n"/>
      <c r="G144" s="17" t="n"/>
      <c r="H144" s="29" t="n"/>
      <c r="I144" s="17" t="n"/>
      <c r="J144" s="29" t="n"/>
      <c r="K144" s="17" t="n"/>
      <c r="L144" s="29" t="n"/>
      <c r="M144" s="18" t="n"/>
    </row>
    <row r="145">
      <c r="A145" s="28" t="inlineStr">
        <is>
          <t>가). 토사</t>
        </is>
      </c>
      <c r="B145" s="28" t="n"/>
      <c r="C145" s="17" t="n"/>
      <c r="D145" s="16" t="n"/>
      <c r="E145" s="17" t="n"/>
      <c r="F145" s="29" t="n"/>
      <c r="G145" s="17" t="n"/>
      <c r="H145" s="29" t="n"/>
      <c r="I145" s="17" t="n"/>
      <c r="J145" s="29" t="n"/>
      <c r="K145" s="17" t="n"/>
      <c r="L145" s="29" t="n"/>
      <c r="M145" s="18" t="n"/>
    </row>
    <row r="146">
      <c r="A146" s="14" t="inlineStr">
        <is>
          <t>(1). 터파기(토사)</t>
        </is>
      </c>
      <c r="B146" s="14" t="inlineStr">
        <is>
          <t>TYPE-1, 백호1.0, 기계100%</t>
        </is>
      </c>
      <c r="C146" s="15" t="n">
        <v>13157</v>
      </c>
      <c r="D146" s="16" t="inlineStr">
        <is>
          <t>㎥</t>
        </is>
      </c>
      <c r="E146" s="15" t="n">
        <v>0</v>
      </c>
      <c r="F146" s="15">
        <f>E146*C146</f>
        <v/>
      </c>
      <c r="G146" s="15" t="n">
        <v>0</v>
      </c>
      <c r="H146" s="15">
        <f>G146*C146</f>
        <v/>
      </c>
      <c r="I146" s="15" t="n">
        <v>1540</v>
      </c>
      <c r="J146" s="15">
        <f>I146*C146</f>
        <v/>
      </c>
      <c r="K146" s="15">
        <f>E146+G146+I146</f>
        <v/>
      </c>
      <c r="L146" s="15">
        <f>F146+H146+J146</f>
        <v/>
      </c>
      <c r="M146" s="18" t="n"/>
    </row>
    <row r="147">
      <c r="A147" s="14" t="inlineStr">
        <is>
          <t>(2). 터파기(토사)</t>
        </is>
      </c>
      <c r="B147" s="14" t="inlineStr">
        <is>
          <t>기계70%+인력30%, 보통토사</t>
        </is>
      </c>
      <c r="C147" s="15" t="n">
        <v>1448</v>
      </c>
      <c r="D147" s="16" t="inlineStr">
        <is>
          <t>㎥</t>
        </is>
      </c>
      <c r="E147" s="15" t="n">
        <v>0</v>
      </c>
      <c r="F147" s="15">
        <f>E147*C147</f>
        <v/>
      </c>
      <c r="G147" s="15" t="n">
        <v>2733</v>
      </c>
      <c r="H147" s="15">
        <f>G147*C147</f>
        <v/>
      </c>
      <c r="I147" s="15" t="n">
        <v>3849</v>
      </c>
      <c r="J147" s="15">
        <f>I147*C147</f>
        <v/>
      </c>
      <c r="K147" s="15">
        <f>E147+G147+I147</f>
        <v/>
      </c>
      <c r="L147" s="15">
        <f>F147+H147+J147</f>
        <v/>
      </c>
      <c r="M147" s="18" t="n"/>
    </row>
    <row r="148">
      <c r="A148" s="14" t="inlineStr">
        <is>
          <t>(3). 터파기(토사)</t>
        </is>
      </c>
      <c r="B148" s="14" t="inlineStr">
        <is>
          <t>인력100%</t>
        </is>
      </c>
      <c r="C148" s="15" t="n">
        <v>0</v>
      </c>
      <c r="D148" s="16" t="inlineStr">
        <is>
          <t>㎥</t>
        </is>
      </c>
      <c r="E148" s="17" t="n"/>
      <c r="F148" s="15" t="n">
        <v>0</v>
      </c>
      <c r="G148" s="17" t="n"/>
      <c r="H148" s="15" t="n">
        <v>0</v>
      </c>
      <c r="I148" s="17" t="n"/>
      <c r="J148" s="15" t="n">
        <v>0</v>
      </c>
      <c r="K148" s="17" t="n"/>
      <c r="L148" s="15" t="n">
        <v>0</v>
      </c>
      <c r="M148" s="18" t="n"/>
    </row>
    <row r="149">
      <c r="A149" s="28" t="inlineStr">
        <is>
          <t>2). 되메우기</t>
        </is>
      </c>
      <c r="B149" s="28" t="n"/>
      <c r="C149" s="17" t="n"/>
      <c r="D149" s="16" t="n"/>
      <c r="E149" s="17" t="n"/>
      <c r="F149" s="29" t="n"/>
      <c r="G149" s="17" t="n"/>
      <c r="H149" s="29" t="n"/>
      <c r="I149" s="17" t="n"/>
      <c r="J149" s="29" t="n"/>
      <c r="K149" s="17" t="n"/>
      <c r="L149" s="29" t="n"/>
      <c r="M149" s="18" t="n"/>
    </row>
    <row r="150">
      <c r="A150" s="14" t="inlineStr">
        <is>
          <t>가). 되메우기및다짐(토사)</t>
        </is>
      </c>
      <c r="B150" s="14" t="inlineStr">
        <is>
          <t>인력100%</t>
        </is>
      </c>
      <c r="C150" s="15" t="n">
        <v>202</v>
      </c>
      <c r="D150" s="16" t="inlineStr">
        <is>
          <t>㎥</t>
        </is>
      </c>
      <c r="E150" s="15" t="n">
        <v>0</v>
      </c>
      <c r="F150" s="15">
        <f>E150*C150</f>
        <v/>
      </c>
      <c r="G150" s="15" t="n">
        <v>24965</v>
      </c>
      <c r="H150" s="15">
        <f>G150*C150</f>
        <v/>
      </c>
      <c r="I150" s="15" t="n">
        <v>13664</v>
      </c>
      <c r="J150" s="15">
        <f>I150*C150</f>
        <v/>
      </c>
      <c r="K150" s="15">
        <f>E150+G150+I150</f>
        <v/>
      </c>
      <c r="L150" s="15">
        <f>F150+H150+J150</f>
        <v/>
      </c>
      <c r="M150" s="18" t="n"/>
    </row>
    <row r="151">
      <c r="A151" s="14" t="inlineStr">
        <is>
          <t>나). 되메우기및다짐(토사)</t>
        </is>
      </c>
      <c r="B151" s="14" t="inlineStr">
        <is>
          <t>기계90%,인력10%,래머 80KG</t>
        </is>
      </c>
      <c r="C151" s="15" t="n">
        <v>6892</v>
      </c>
      <c r="D151" s="16" t="inlineStr">
        <is>
          <t>㎥</t>
        </is>
      </c>
      <c r="E151" s="15" t="n">
        <v>0</v>
      </c>
      <c r="F151" s="15">
        <f>E151*C151</f>
        <v/>
      </c>
      <c r="G151" s="15" t="n">
        <v>2204</v>
      </c>
      <c r="H151" s="15">
        <f>G151*C151</f>
        <v/>
      </c>
      <c r="I151" s="15" t="n">
        <v>4330</v>
      </c>
      <c r="J151" s="15">
        <f>I151*C151</f>
        <v/>
      </c>
      <c r="K151" s="15">
        <f>E151+G151+I151</f>
        <v/>
      </c>
      <c r="L151" s="15">
        <f>F151+H151+J151</f>
        <v/>
      </c>
      <c r="M151" s="18" t="n"/>
    </row>
    <row r="152">
      <c r="A152" s="14" t="inlineStr">
        <is>
          <t>다). 되메우기및다짐(토사)</t>
        </is>
      </c>
      <c r="B152" s="14" t="inlineStr">
        <is>
          <t>백호0.7+플레이트콤펙터1.5ton</t>
        </is>
      </c>
      <c r="C152" s="15" t="n">
        <v>6048</v>
      </c>
      <c r="D152" s="16" t="inlineStr">
        <is>
          <t>㎥</t>
        </is>
      </c>
      <c r="E152" s="15" t="n">
        <v>0</v>
      </c>
      <c r="F152" s="15">
        <f>E152*C152</f>
        <v/>
      </c>
      <c r="G152" s="15" t="n">
        <v>2204</v>
      </c>
      <c r="H152" s="15">
        <f>G152*C152</f>
        <v/>
      </c>
      <c r="I152" s="15" t="n">
        <v>4330</v>
      </c>
      <c r="J152" s="15">
        <f>I152*C152</f>
        <v/>
      </c>
      <c r="K152" s="15">
        <f>E152+G152+I152</f>
        <v/>
      </c>
      <c r="L152" s="15">
        <f>F152+H152+J152</f>
        <v/>
      </c>
      <c r="M152" s="18" t="n"/>
    </row>
    <row r="153">
      <c r="A153" s="28" t="inlineStr">
        <is>
          <t>3). 잔토처리</t>
        </is>
      </c>
      <c r="B153" s="28" t="n"/>
      <c r="C153" s="17" t="n"/>
      <c r="D153" s="16" t="n"/>
      <c r="E153" s="17" t="n"/>
      <c r="F153" s="29" t="n"/>
      <c r="G153" s="17" t="n"/>
      <c r="H153" s="29" t="n"/>
      <c r="I153" s="17" t="n"/>
      <c r="J153" s="29" t="n"/>
      <c r="K153" s="17" t="n"/>
      <c r="L153" s="29" t="n"/>
      <c r="M153" s="18" t="n"/>
    </row>
    <row r="154">
      <c r="A154" s="14" t="inlineStr">
        <is>
          <t>가). 잔토처리(토사)</t>
        </is>
      </c>
      <c r="B154" s="14" t="inlineStr">
        <is>
          <t>기계</t>
        </is>
      </c>
      <c r="C154" s="15" t="n">
        <v>1462</v>
      </c>
      <c r="D154" s="16" t="inlineStr">
        <is>
          <t>㎥</t>
        </is>
      </c>
      <c r="E154" s="15" t="n">
        <v>0</v>
      </c>
      <c r="F154" s="15">
        <f>E154*C154</f>
        <v/>
      </c>
      <c r="G154" s="15" t="n">
        <v>0</v>
      </c>
      <c r="H154" s="15">
        <f>G154*C154</f>
        <v/>
      </c>
      <c r="I154" s="15" t="n">
        <v>9622</v>
      </c>
      <c r="J154" s="15">
        <f>I154*C154</f>
        <v/>
      </c>
      <c r="K154" s="15">
        <f>E154+G154+I154</f>
        <v/>
      </c>
      <c r="L154" s="15">
        <f>F154+H154+J154</f>
        <v/>
      </c>
      <c r="M154" s="18" t="n"/>
    </row>
    <row r="155">
      <c r="A155" s="28" t="inlineStr">
        <is>
          <t>나. 관 로 공</t>
        </is>
      </c>
      <c r="B155" s="28" t="n"/>
      <c r="C155" s="17" t="n"/>
      <c r="D155" s="16" t="n"/>
      <c r="E155" s="17" t="n"/>
      <c r="F155" s="29" t="n"/>
      <c r="G155" s="17" t="n"/>
      <c r="H155" s="29" t="n"/>
      <c r="I155" s="17" t="n"/>
      <c r="J155" s="29" t="n"/>
      <c r="K155" s="17" t="n"/>
      <c r="L155" s="29" t="n"/>
      <c r="M155" s="18" t="n"/>
    </row>
    <row r="156">
      <c r="A156" s="28" t="inlineStr">
        <is>
          <t>1). 원심력철근콘크리트관 접합 및 부설</t>
        </is>
      </c>
      <c r="B156" s="28" t="n"/>
      <c r="C156" s="17" t="n"/>
      <c r="D156" s="16" t="n"/>
      <c r="E156" s="17" t="n"/>
      <c r="F156" s="29" t="n"/>
      <c r="G156" s="17" t="n"/>
      <c r="H156" s="29" t="n"/>
      <c r="I156" s="17" t="n"/>
      <c r="J156" s="29" t="n"/>
      <c r="K156" s="17" t="n"/>
      <c r="L156" s="29" t="n"/>
      <c r="M156" s="18" t="n"/>
    </row>
    <row r="157">
      <c r="A157" s="14" t="inlineStr">
        <is>
          <t>가). 원심력철근콘크리트관 접합및부설(소켓식)</t>
        </is>
      </c>
      <c r="B157" s="14" t="inlineStr">
        <is>
          <t>Ø 250mm, 시공조건 B</t>
        </is>
      </c>
      <c r="C157" s="15" t="n">
        <v>276</v>
      </c>
      <c r="D157" s="16" t="inlineStr">
        <is>
          <t>m</t>
        </is>
      </c>
      <c r="E157" s="15" t="n">
        <v>0</v>
      </c>
      <c r="F157" s="15">
        <f>E157*C157</f>
        <v/>
      </c>
      <c r="G157" s="15" t="n">
        <v>27504</v>
      </c>
      <c r="H157" s="15">
        <f>G157*C157</f>
        <v/>
      </c>
      <c r="I157" s="15" t="n">
        <v>33196</v>
      </c>
      <c r="J157" s="15">
        <f>I157*C157</f>
        <v/>
      </c>
      <c r="K157" s="15">
        <f>E157+G157+I157</f>
        <v/>
      </c>
      <c r="L157" s="15">
        <f>F157+H157+J157</f>
        <v/>
      </c>
      <c r="M157" s="18" t="n"/>
    </row>
    <row r="158">
      <c r="A158" s="14" t="inlineStr">
        <is>
          <t>나). 원심력철근콘크리트관 접합및부설(소켓식)</t>
        </is>
      </c>
      <c r="B158" s="14" t="inlineStr">
        <is>
          <t>Ø 450mm, 시공조건 B</t>
        </is>
      </c>
      <c r="C158" s="15" t="n">
        <v>552</v>
      </c>
      <c r="D158" s="16" t="inlineStr">
        <is>
          <t>m</t>
        </is>
      </c>
      <c r="E158" s="15" t="n">
        <v>0</v>
      </c>
      <c r="F158" s="15">
        <f>E158*C158</f>
        <v/>
      </c>
      <c r="G158" s="15" t="n">
        <v>29725</v>
      </c>
      <c r="H158" s="15">
        <f>G158*C158</f>
        <v/>
      </c>
      <c r="I158" s="15" t="n">
        <v>34274</v>
      </c>
      <c r="J158" s="15">
        <f>I158*C158</f>
        <v/>
      </c>
      <c r="K158" s="15">
        <f>E158+G158+I158</f>
        <v/>
      </c>
      <c r="L158" s="15">
        <f>F158+H158+J158</f>
        <v/>
      </c>
      <c r="M158" s="18" t="n"/>
    </row>
    <row r="159">
      <c r="A159" s="14" t="inlineStr">
        <is>
          <t>다). 원심력철근콘크리트관 접합및부설(소켓식)</t>
        </is>
      </c>
      <c r="B159" s="14" t="inlineStr">
        <is>
          <t>Ø 600mm, 시공조건 B</t>
        </is>
      </c>
      <c r="C159" s="15" t="n">
        <v>96</v>
      </c>
      <c r="D159" s="16" t="inlineStr">
        <is>
          <t>m</t>
        </is>
      </c>
      <c r="E159" s="15" t="n">
        <v>0</v>
      </c>
      <c r="F159" s="15">
        <f>E159*C159</f>
        <v/>
      </c>
      <c r="G159" s="15" t="n">
        <v>32969</v>
      </c>
      <c r="H159" s="15">
        <f>G159*C159</f>
        <v/>
      </c>
      <c r="I159" s="15" t="n">
        <v>36526</v>
      </c>
      <c r="J159" s="15">
        <f>I159*C159</f>
        <v/>
      </c>
      <c r="K159" s="15">
        <f>E159+G159+I159</f>
        <v/>
      </c>
      <c r="L159" s="15">
        <f>F159+H159+J159</f>
        <v/>
      </c>
      <c r="M159" s="18" t="n"/>
    </row>
    <row r="160">
      <c r="A160" s="14" t="inlineStr">
        <is>
          <t>라). 원심력철근콘크리트관 접합및부설(소켓식)</t>
        </is>
      </c>
      <c r="B160" s="14" t="inlineStr">
        <is>
          <t>Ø 800mm, 시공조건 B</t>
        </is>
      </c>
      <c r="C160" s="15" t="n">
        <v>263</v>
      </c>
      <c r="D160" s="16" t="inlineStr">
        <is>
          <t>m</t>
        </is>
      </c>
      <c r="E160" s="15" t="n">
        <v>0</v>
      </c>
      <c r="F160" s="15">
        <f>E160*C160</f>
        <v/>
      </c>
      <c r="G160" s="15" t="n">
        <v>34821</v>
      </c>
      <c r="H160" s="15">
        <f>G160*C160</f>
        <v/>
      </c>
      <c r="I160" s="15" t="n">
        <v>37767</v>
      </c>
      <c r="J160" s="15">
        <f>I160*C160</f>
        <v/>
      </c>
      <c r="K160" s="15">
        <f>E160+G160+I160</f>
        <v/>
      </c>
      <c r="L160" s="15">
        <f>F160+H160+J160</f>
        <v/>
      </c>
      <c r="M160" s="18" t="n"/>
    </row>
    <row r="161">
      <c r="A161" s="14" t="inlineStr">
        <is>
          <t>마). 원심력철근콘크리트관 접합및부설(소켓식)</t>
        </is>
      </c>
      <c r="B161" s="14" t="inlineStr">
        <is>
          <t>Ø 900mm, 시공조건 B</t>
        </is>
      </c>
      <c r="C161" s="15" t="n">
        <v>17</v>
      </c>
      <c r="D161" s="16" t="inlineStr">
        <is>
          <t>m</t>
        </is>
      </c>
      <c r="E161" s="15" t="n">
        <v>0</v>
      </c>
      <c r="F161" s="15">
        <f>E161*C161</f>
        <v/>
      </c>
      <c r="G161" s="15" t="n">
        <v>36143</v>
      </c>
      <c r="H161" s="15">
        <f>G161*C161</f>
        <v/>
      </c>
      <c r="I161" s="15" t="n">
        <v>39644</v>
      </c>
      <c r="J161" s="15">
        <f>I161*C161</f>
        <v/>
      </c>
      <c r="K161" s="15">
        <f>E161+G161+I161</f>
        <v/>
      </c>
      <c r="L161" s="15">
        <f>F161+H161+J161</f>
        <v/>
      </c>
      <c r="M161" s="18" t="n"/>
    </row>
    <row r="162">
      <c r="A162" s="14" t="inlineStr">
        <is>
          <t>바). 원심력철근콘크리트관 접합및부설(소켓식)</t>
        </is>
      </c>
      <c r="B162" s="14" t="inlineStr">
        <is>
          <t>Ø 1000mm, 시공조건 B</t>
        </is>
      </c>
      <c r="C162" s="15" t="n">
        <v>83</v>
      </c>
      <c r="D162" s="16" t="inlineStr">
        <is>
          <t>m</t>
        </is>
      </c>
      <c r="E162" s="15" t="n">
        <v>0</v>
      </c>
      <c r="F162" s="15">
        <f>E162*C162</f>
        <v/>
      </c>
      <c r="G162" s="15" t="n">
        <v>42754</v>
      </c>
      <c r="H162" s="15">
        <f>G162*C162</f>
        <v/>
      </c>
      <c r="I162" s="15" t="n">
        <v>42964</v>
      </c>
      <c r="J162" s="15">
        <f>I162*C162</f>
        <v/>
      </c>
      <c r="K162" s="15">
        <f>E162+G162+I162</f>
        <v/>
      </c>
      <c r="L162" s="15">
        <f>F162+H162+J162</f>
        <v/>
      </c>
      <c r="M162" s="18" t="n"/>
    </row>
    <row r="163">
      <c r="A163" s="14" t="inlineStr">
        <is>
          <t>사). 원심력철근콘크리트관 접합및부설(소켓식)</t>
        </is>
      </c>
      <c r="B163" s="14" t="inlineStr">
        <is>
          <t>Ø 1200mm, 시공조건 B</t>
        </is>
      </c>
      <c r="C163" s="15" t="n">
        <v>16</v>
      </c>
      <c r="D163" s="16" t="inlineStr">
        <is>
          <t>m</t>
        </is>
      </c>
      <c r="E163" s="15" t="n">
        <v>0</v>
      </c>
      <c r="F163" s="15">
        <f>E163*C163</f>
        <v/>
      </c>
      <c r="G163" s="15" t="n">
        <v>44694</v>
      </c>
      <c r="H163" s="15">
        <f>G163*C163</f>
        <v/>
      </c>
      <c r="I163" s="15" t="n">
        <v>46687</v>
      </c>
      <c r="J163" s="15">
        <f>I163*C163</f>
        <v/>
      </c>
      <c r="K163" s="15">
        <f>E163+G163+I163</f>
        <v/>
      </c>
      <c r="L163" s="15">
        <f>F163+H163+J163</f>
        <v/>
      </c>
      <c r="M163" s="18" t="n"/>
    </row>
    <row r="164">
      <c r="A164" s="28" t="inlineStr">
        <is>
          <t>2). 관기초공</t>
        </is>
      </c>
      <c r="B164" s="28" t="n"/>
      <c r="C164" s="17" t="n"/>
      <c r="D164" s="16" t="n"/>
      <c r="E164" s="17" t="n"/>
      <c r="F164" s="29" t="n"/>
      <c r="G164" s="17" t="n"/>
      <c r="H164" s="29" t="n"/>
      <c r="I164" s="17" t="n"/>
      <c r="J164" s="29" t="n"/>
      <c r="K164" s="17" t="n"/>
      <c r="L164" s="29" t="n"/>
      <c r="M164" s="18" t="n"/>
    </row>
    <row r="165">
      <c r="A165" s="28" t="inlineStr">
        <is>
          <t>가). 콘크리트기초(90°)</t>
        </is>
      </c>
      <c r="B165" s="28" t="n"/>
      <c r="C165" s="17" t="n"/>
      <c r="D165" s="16" t="n"/>
      <c r="E165" s="17" t="n"/>
      <c r="F165" s="29" t="n"/>
      <c r="G165" s="17" t="n"/>
      <c r="H165" s="29" t="n"/>
      <c r="I165" s="17" t="n"/>
      <c r="J165" s="29" t="n"/>
      <c r="K165" s="17" t="n"/>
      <c r="L165" s="29" t="n"/>
      <c r="M165" s="18" t="n"/>
    </row>
    <row r="166">
      <c r="A166" s="14" t="inlineStr">
        <is>
          <t>(1) 콘크리트타설</t>
        </is>
      </c>
      <c r="B166" s="14" t="inlineStr">
        <is>
          <t>장비사용, 무근구조물</t>
        </is>
      </c>
      <c r="C166" s="15" t="n">
        <v>272</v>
      </c>
      <c r="D166" s="16" t="inlineStr">
        <is>
          <t>㎥</t>
        </is>
      </c>
      <c r="E166" s="15" t="n">
        <v>0</v>
      </c>
      <c r="F166" s="15">
        <f>E166*C166</f>
        <v/>
      </c>
      <c r="G166" s="15" t="n">
        <v>9697</v>
      </c>
      <c r="H166" s="15">
        <f>G166*C166</f>
        <v/>
      </c>
      <c r="I166" s="15" t="n">
        <v>17320</v>
      </c>
      <c r="J166" s="15">
        <f>I166*C166</f>
        <v/>
      </c>
      <c r="K166" s="15">
        <f>E166+G166+I166</f>
        <v/>
      </c>
      <c r="L166" s="15">
        <f>F166+H166+J166</f>
        <v/>
      </c>
      <c r="M166" s="18" t="n"/>
    </row>
    <row r="167">
      <c r="A167" s="14" t="inlineStr">
        <is>
          <t>(2) 거푸집</t>
        </is>
      </c>
      <c r="B167" s="14" t="inlineStr">
        <is>
          <t>합판6회(간단)</t>
        </is>
      </c>
      <c r="C167" s="15" t="n">
        <v>725</v>
      </c>
      <c r="D167" s="16" t="inlineStr">
        <is>
          <t>㎡</t>
        </is>
      </c>
      <c r="E167" s="15" t="n">
        <v>6612</v>
      </c>
      <c r="F167" s="15">
        <f>E167*C167</f>
        <v/>
      </c>
      <c r="G167" s="15" t="n">
        <v>17631</v>
      </c>
      <c r="H167" s="15">
        <f>G167*C167</f>
        <v/>
      </c>
      <c r="I167" s="15" t="n">
        <v>3368</v>
      </c>
      <c r="J167" s="15">
        <f>I167*C167</f>
        <v/>
      </c>
      <c r="K167" s="15">
        <f>E167+G167+I167</f>
        <v/>
      </c>
      <c r="L167" s="15">
        <f>F167+H167+J167</f>
        <v/>
      </c>
      <c r="M167" s="18" t="n"/>
    </row>
    <row r="168">
      <c r="A168" s="28" t="inlineStr">
        <is>
          <t>3). 원심력철근콘크리트관 천공 및 접합</t>
        </is>
      </c>
      <c r="B168" s="28" t="n"/>
      <c r="C168" s="17" t="n"/>
      <c r="D168" s="16" t="n"/>
      <c r="E168" s="17" t="n"/>
      <c r="F168" s="29" t="n"/>
      <c r="G168" s="17" t="n"/>
      <c r="H168" s="29" t="n"/>
      <c r="I168" s="17" t="n"/>
      <c r="J168" s="29" t="n"/>
      <c r="K168" s="17" t="n"/>
      <c r="L168" s="29" t="n"/>
      <c r="M168" s="18" t="n"/>
    </row>
    <row r="169">
      <c r="A169" s="14" t="inlineStr">
        <is>
          <t>가). 하수관 천공 및 접합</t>
        </is>
      </c>
      <c r="B169" s="14" t="inlineStr">
        <is>
          <t>D450X250</t>
        </is>
      </c>
      <c r="C169" s="15" t="n">
        <v>25</v>
      </c>
      <c r="D169" s="16" t="inlineStr">
        <is>
          <t>개소</t>
        </is>
      </c>
      <c r="E169" s="15" t="n">
        <v>0</v>
      </c>
      <c r="F169" s="15">
        <f>E169*C169</f>
        <v/>
      </c>
      <c r="G169" s="15" t="n">
        <v>52892</v>
      </c>
      <c r="H169" s="15">
        <f>G169*C169</f>
        <v/>
      </c>
      <c r="I169" s="15" t="n">
        <v>17320</v>
      </c>
      <c r="J169" s="15">
        <f>I169*C169</f>
        <v/>
      </c>
      <c r="K169" s="15">
        <f>E169+G169+I169</f>
        <v/>
      </c>
      <c r="L169" s="15">
        <f>F169+H169+J169</f>
        <v/>
      </c>
      <c r="M169" s="18" t="n"/>
    </row>
    <row r="170">
      <c r="A170" s="14" t="inlineStr">
        <is>
          <t>나). 하수관 천공 및 접합</t>
        </is>
      </c>
      <c r="B170" s="14" t="inlineStr">
        <is>
          <t>D600X250</t>
        </is>
      </c>
      <c r="C170" s="15" t="n">
        <v>9</v>
      </c>
      <c r="D170" s="16" t="inlineStr">
        <is>
          <t>개소</t>
        </is>
      </c>
      <c r="E170" s="15" t="n">
        <v>0</v>
      </c>
      <c r="F170" s="15">
        <f>E170*C170</f>
        <v/>
      </c>
      <c r="G170" s="15" t="n">
        <v>52892</v>
      </c>
      <c r="H170" s="15">
        <f>G170*C170</f>
        <v/>
      </c>
      <c r="I170" s="15" t="n">
        <v>17320</v>
      </c>
      <c r="J170" s="15">
        <f>I170*C170</f>
        <v/>
      </c>
      <c r="K170" s="15">
        <f>E170+G170+I170</f>
        <v/>
      </c>
      <c r="L170" s="15">
        <f>F170+H170+J170</f>
        <v/>
      </c>
      <c r="M170" s="18" t="n"/>
    </row>
    <row r="171">
      <c r="A171" s="14" t="inlineStr">
        <is>
          <t>다). 하수관 천공 및 접합</t>
        </is>
      </c>
      <c r="B171" s="14" t="inlineStr">
        <is>
          <t>D800X250</t>
        </is>
      </c>
      <c r="C171" s="15" t="n">
        <v>18</v>
      </c>
      <c r="D171" s="16" t="inlineStr">
        <is>
          <t>개소</t>
        </is>
      </c>
      <c r="E171" s="15" t="n">
        <v>0</v>
      </c>
      <c r="F171" s="15">
        <f>E171*C171</f>
        <v/>
      </c>
      <c r="G171" s="15" t="n">
        <v>52892</v>
      </c>
      <c r="H171" s="15">
        <f>G171*C171</f>
        <v/>
      </c>
      <c r="I171" s="15" t="n">
        <v>17320</v>
      </c>
      <c r="J171" s="15">
        <f>I171*C171</f>
        <v/>
      </c>
      <c r="K171" s="15">
        <f>E171+G171+I171</f>
        <v/>
      </c>
      <c r="L171" s="15">
        <f>F171+H171+J171</f>
        <v/>
      </c>
      <c r="M171" s="18" t="n"/>
    </row>
    <row r="172">
      <c r="A172" s="14" t="inlineStr">
        <is>
          <t>라). 하수관 천공 및 접합</t>
        </is>
      </c>
      <c r="B172" s="14" t="inlineStr">
        <is>
          <t>D1000X250</t>
        </is>
      </c>
      <c r="C172" s="15" t="n">
        <v>2</v>
      </c>
      <c r="D172" s="16" t="inlineStr">
        <is>
          <t>개소</t>
        </is>
      </c>
      <c r="E172" s="15" t="n">
        <v>0</v>
      </c>
      <c r="F172" s="15">
        <f>E172*C172</f>
        <v/>
      </c>
      <c r="G172" s="15" t="n">
        <v>52892</v>
      </c>
      <c r="H172" s="15">
        <f>G172*C172</f>
        <v/>
      </c>
      <c r="I172" s="15" t="n">
        <v>17320</v>
      </c>
      <c r="J172" s="15">
        <f>I172*C172</f>
        <v/>
      </c>
      <c r="K172" s="15">
        <f>E172+G172+I172</f>
        <v/>
      </c>
      <c r="L172" s="15">
        <f>F172+H172+J172</f>
        <v/>
      </c>
      <c r="M172" s="18" t="n"/>
    </row>
    <row r="173">
      <c r="A173" s="28" t="inlineStr">
        <is>
          <t>4). 원심력철근콘크리트관 절단</t>
        </is>
      </c>
      <c r="B173" s="28" t="n"/>
      <c r="C173" s="17" t="n"/>
      <c r="D173" s="16" t="n"/>
      <c r="E173" s="17" t="n"/>
      <c r="F173" s="29" t="n"/>
      <c r="G173" s="17" t="n"/>
      <c r="H173" s="29" t="n"/>
      <c r="I173" s="17" t="n"/>
      <c r="J173" s="29" t="n"/>
      <c r="K173" s="17" t="n"/>
      <c r="L173" s="29" t="n"/>
      <c r="M173" s="18" t="n"/>
    </row>
    <row r="174">
      <c r="A174" s="14" t="inlineStr">
        <is>
          <t>가). 원심력철근콘크리트관 절단</t>
        </is>
      </c>
      <c r="B174" s="14" t="inlineStr">
        <is>
          <t>Ø 250 MM</t>
        </is>
      </c>
      <c r="C174" s="15" t="n">
        <v>86</v>
      </c>
      <c r="D174" s="16" t="inlineStr">
        <is>
          <t>개소</t>
        </is>
      </c>
      <c r="E174" s="15" t="n">
        <v>0</v>
      </c>
      <c r="F174" s="15">
        <f>E174*C174</f>
        <v/>
      </c>
      <c r="G174" s="15" t="n">
        <v>56375</v>
      </c>
      <c r="H174" s="15">
        <f>G174*C174</f>
        <v/>
      </c>
      <c r="I174" s="15" t="n">
        <v>18475</v>
      </c>
      <c r="J174" s="15">
        <f>I174*C174</f>
        <v/>
      </c>
      <c r="K174" s="15">
        <f>E174+G174+I174</f>
        <v/>
      </c>
      <c r="L174" s="15">
        <f>F174+H174+J174</f>
        <v/>
      </c>
      <c r="M174" s="18" t="n"/>
    </row>
    <row r="175">
      <c r="A175" s="14" t="inlineStr">
        <is>
          <t>나). 원심력철근콘크리트관 절단</t>
        </is>
      </c>
      <c r="B175" s="14" t="inlineStr">
        <is>
          <t>Ø 450 MM</t>
        </is>
      </c>
      <c r="C175" s="15" t="n">
        <v>32</v>
      </c>
      <c r="D175" s="16" t="inlineStr">
        <is>
          <t>개소</t>
        </is>
      </c>
      <c r="E175" s="15" t="n">
        <v>0</v>
      </c>
      <c r="F175" s="15">
        <f>E175*C175</f>
        <v/>
      </c>
      <c r="G175" s="15" t="n">
        <v>56375</v>
      </c>
      <c r="H175" s="15">
        <f>G175*C175</f>
        <v/>
      </c>
      <c r="I175" s="15" t="n">
        <v>18475</v>
      </c>
      <c r="J175" s="15">
        <f>I175*C175</f>
        <v/>
      </c>
      <c r="K175" s="15">
        <f>E175+G175+I175</f>
        <v/>
      </c>
      <c r="L175" s="15">
        <f>F175+H175+J175</f>
        <v/>
      </c>
      <c r="M175" s="18" t="n"/>
    </row>
    <row r="176">
      <c r="A176" s="14" t="inlineStr">
        <is>
          <t>다). 원심력철근콘크리트관 절단</t>
        </is>
      </c>
      <c r="B176" s="14" t="inlineStr">
        <is>
          <t>Ø 600 MM</t>
        </is>
      </c>
      <c r="C176" s="15" t="n">
        <v>4</v>
      </c>
      <c r="D176" s="16" t="inlineStr">
        <is>
          <t>개소</t>
        </is>
      </c>
      <c r="E176" s="15" t="n">
        <v>0</v>
      </c>
      <c r="F176" s="15">
        <f>E176*C176</f>
        <v/>
      </c>
      <c r="G176" s="15" t="n">
        <v>56375</v>
      </c>
      <c r="H176" s="15">
        <f>G176*C176</f>
        <v/>
      </c>
      <c r="I176" s="15" t="n">
        <v>18475</v>
      </c>
      <c r="J176" s="15">
        <f>I176*C176</f>
        <v/>
      </c>
      <c r="K176" s="15">
        <f>E176+G176+I176</f>
        <v/>
      </c>
      <c r="L176" s="15">
        <f>F176+H176+J176</f>
        <v/>
      </c>
      <c r="M176" s="18" t="n"/>
    </row>
    <row r="177">
      <c r="A177" s="14" t="inlineStr">
        <is>
          <t>라). 원심력철근콘크리트관 절단</t>
        </is>
      </c>
      <c r="B177" s="14" t="inlineStr">
        <is>
          <t>Ø 800 MM</t>
        </is>
      </c>
      <c r="C177" s="15" t="n">
        <v>11</v>
      </c>
      <c r="D177" s="16" t="inlineStr">
        <is>
          <t>개소</t>
        </is>
      </c>
      <c r="E177" s="15" t="n">
        <v>0</v>
      </c>
      <c r="F177" s="15">
        <f>E177*C177</f>
        <v/>
      </c>
      <c r="G177" s="15" t="n">
        <v>56375</v>
      </c>
      <c r="H177" s="15">
        <f>G177*C177</f>
        <v/>
      </c>
      <c r="I177" s="15" t="n">
        <v>18475</v>
      </c>
      <c r="J177" s="15">
        <f>I177*C177</f>
        <v/>
      </c>
      <c r="K177" s="15">
        <f>E177+G177+I177</f>
        <v/>
      </c>
      <c r="L177" s="15">
        <f>F177+H177+J177</f>
        <v/>
      </c>
      <c r="M177" s="18" t="n"/>
    </row>
    <row r="178">
      <c r="A178" s="14" t="inlineStr">
        <is>
          <t>마). 원심력철근콘크리트관 절단</t>
        </is>
      </c>
      <c r="B178" s="14" t="inlineStr">
        <is>
          <t>Ø 900 MM</t>
        </is>
      </c>
      <c r="C178" s="15" t="n">
        <v>1</v>
      </c>
      <c r="D178" s="16" t="inlineStr">
        <is>
          <t>개소</t>
        </is>
      </c>
      <c r="E178" s="15" t="n">
        <v>0</v>
      </c>
      <c r="F178" s="15">
        <f>E178*C178</f>
        <v/>
      </c>
      <c r="G178" s="15" t="n">
        <v>56375</v>
      </c>
      <c r="H178" s="15">
        <f>G178*C178</f>
        <v/>
      </c>
      <c r="I178" s="15" t="n">
        <v>18475</v>
      </c>
      <c r="J178" s="15">
        <f>I178*C178</f>
        <v/>
      </c>
      <c r="K178" s="15">
        <f>E178+G178+I178</f>
        <v/>
      </c>
      <c r="L178" s="15">
        <f>F178+H178+J178</f>
        <v/>
      </c>
      <c r="M178" s="18" t="n"/>
    </row>
    <row r="179">
      <c r="A179" s="14" t="inlineStr">
        <is>
          <t>바). 원심력철근콘크리트관 절단</t>
        </is>
      </c>
      <c r="B179" s="14" t="inlineStr">
        <is>
          <t>Ø 1000 MM</t>
        </is>
      </c>
      <c r="C179" s="15" t="n">
        <v>3</v>
      </c>
      <c r="D179" s="16" t="inlineStr">
        <is>
          <t>개소</t>
        </is>
      </c>
      <c r="E179" s="15" t="n">
        <v>0</v>
      </c>
      <c r="F179" s="15">
        <f>E179*C179</f>
        <v/>
      </c>
      <c r="G179" s="15" t="n">
        <v>56375</v>
      </c>
      <c r="H179" s="15">
        <f>G179*C179</f>
        <v/>
      </c>
      <c r="I179" s="15" t="n">
        <v>18475</v>
      </c>
      <c r="J179" s="15">
        <f>I179*C179</f>
        <v/>
      </c>
      <c r="K179" s="15">
        <f>E179+G179+I179</f>
        <v/>
      </c>
      <c r="L179" s="15">
        <f>F179+H179+J179</f>
        <v/>
      </c>
      <c r="M179" s="18" t="n"/>
    </row>
    <row r="180">
      <c r="A180" s="14" t="inlineStr">
        <is>
          <t>사). 원심력철근콘크리트관 절단</t>
        </is>
      </c>
      <c r="B180" s="14" t="inlineStr">
        <is>
          <t>Ø 1200 MM</t>
        </is>
      </c>
      <c r="C180" s="15" t="n">
        <v>3</v>
      </c>
      <c r="D180" s="16" t="inlineStr">
        <is>
          <t>개소</t>
        </is>
      </c>
      <c r="E180" s="15" t="n">
        <v>0</v>
      </c>
      <c r="F180" s="15">
        <f>E180*C180</f>
        <v/>
      </c>
      <c r="G180" s="15" t="n">
        <v>56375</v>
      </c>
      <c r="H180" s="15">
        <f>G180*C180</f>
        <v/>
      </c>
      <c r="I180" s="15" t="n">
        <v>18475</v>
      </c>
      <c r="J180" s="15">
        <f>I180*C180</f>
        <v/>
      </c>
      <c r="K180" s="15">
        <f>E180+G180+I180</f>
        <v/>
      </c>
      <c r="L180" s="15">
        <f>F180+H180+J180</f>
        <v/>
      </c>
      <c r="M180" s="18" t="n"/>
    </row>
    <row r="181">
      <c r="A181" s="28" t="inlineStr">
        <is>
          <t>5). 관거내부조사 및 경고용테이프</t>
        </is>
      </c>
      <c r="B181" s="28" t="n"/>
      <c r="C181" s="17" t="n"/>
      <c r="D181" s="16" t="n"/>
      <c r="E181" s="17" t="n"/>
      <c r="F181" s="29" t="n"/>
      <c r="G181" s="17" t="n"/>
      <c r="H181" s="29" t="n"/>
      <c r="I181" s="17" t="n"/>
      <c r="J181" s="29" t="n"/>
      <c r="K181" s="17" t="n"/>
      <c r="L181" s="29" t="n"/>
      <c r="M181" s="18" t="n"/>
    </row>
    <row r="182">
      <c r="A182" s="14" t="inlineStr">
        <is>
          <t>가). 하수관내CCTV조사</t>
        </is>
      </c>
      <c r="B182" s="14" t="inlineStr">
        <is>
          <t>신설(1일:520m)</t>
        </is>
      </c>
      <c r="C182" s="15" t="n">
        <v>928</v>
      </c>
      <c r="D182" s="16" t="inlineStr">
        <is>
          <t>m</t>
        </is>
      </c>
      <c r="E182" s="15" t="n">
        <v>0</v>
      </c>
      <c r="F182" s="15">
        <f>E182*C182</f>
        <v/>
      </c>
      <c r="G182" s="15" t="n">
        <v>0</v>
      </c>
      <c r="H182" s="15">
        <f>G182*C182</f>
        <v/>
      </c>
      <c r="I182" s="15" t="n">
        <v>3368</v>
      </c>
      <c r="J182" s="15">
        <f>I182*C182</f>
        <v/>
      </c>
      <c r="K182" s="15">
        <f>E182+G182+I182</f>
        <v/>
      </c>
      <c r="L182" s="15">
        <f>F182+H182+J182</f>
        <v/>
      </c>
      <c r="M182" s="18" t="n"/>
    </row>
    <row r="183">
      <c r="A183" s="14" t="inlineStr">
        <is>
          <t>나). 관로경고용테이프</t>
        </is>
      </c>
      <c r="B183" s="14" t="inlineStr">
        <is>
          <t>200mmx1m</t>
        </is>
      </c>
      <c r="C183" s="15" t="n">
        <v>1539</v>
      </c>
      <c r="D183" s="16" t="inlineStr">
        <is>
          <t>m</t>
        </is>
      </c>
      <c r="E183" s="15" t="n">
        <v>441</v>
      </c>
      <c r="F183" s="15">
        <f>E183*C183</f>
        <v/>
      </c>
      <c r="G183" s="15" t="n">
        <v>441</v>
      </c>
      <c r="H183" s="15">
        <f>G183*C183</f>
        <v/>
      </c>
      <c r="I183" s="15" t="n">
        <v>0</v>
      </c>
      <c r="J183" s="15">
        <f>I183*C183</f>
        <v/>
      </c>
      <c r="K183" s="15">
        <f>E183+G183+I183</f>
        <v/>
      </c>
      <c r="L183" s="15">
        <f>F183+H183+J183</f>
        <v/>
      </c>
      <c r="M183" s="18" t="n"/>
    </row>
    <row r="184">
      <c r="A184" s="14" t="inlineStr">
        <is>
          <t>다). 하수관 준설</t>
        </is>
      </c>
      <c r="B184" s="14" t="inlineStr">
        <is>
          <t>흡입식</t>
        </is>
      </c>
      <c r="C184" s="15" t="n">
        <v>26</v>
      </c>
      <c r="D184" s="16" t="inlineStr">
        <is>
          <t>㎥</t>
        </is>
      </c>
      <c r="E184" s="15" t="n">
        <v>0</v>
      </c>
      <c r="F184" s="15">
        <f>E184*C184</f>
        <v/>
      </c>
      <c r="G184" s="15" t="n">
        <v>0</v>
      </c>
      <c r="H184" s="15">
        <f>G184*C184</f>
        <v/>
      </c>
      <c r="I184" s="15" t="n">
        <v>66614</v>
      </c>
      <c r="J184" s="15">
        <f>I184*C184</f>
        <v/>
      </c>
      <c r="K184" s="15">
        <f>E184+G184+I184</f>
        <v/>
      </c>
      <c r="L184" s="15">
        <f>F184+H184+J184</f>
        <v/>
      </c>
      <c r="M184" s="18" t="n"/>
    </row>
    <row r="185">
      <c r="A185" s="28" t="inlineStr">
        <is>
          <t>다. 우수맨홀</t>
        </is>
      </c>
      <c r="B185" s="28" t="n"/>
      <c r="C185" s="17" t="n"/>
      <c r="D185" s="16" t="n"/>
      <c r="E185" s="17" t="n"/>
      <c r="F185" s="29" t="n"/>
      <c r="G185" s="17" t="n"/>
      <c r="H185" s="29" t="n"/>
      <c r="I185" s="17" t="n"/>
      <c r="J185" s="29" t="n"/>
      <c r="K185" s="17" t="n"/>
      <c r="L185" s="29" t="n"/>
      <c r="M185" s="18" t="n"/>
    </row>
    <row r="186">
      <c r="A186" s="28" t="inlineStr">
        <is>
          <t>1). 원형맨홀</t>
        </is>
      </c>
      <c r="B186" s="28" t="n"/>
      <c r="C186" s="17" t="n"/>
      <c r="D186" s="16" t="n"/>
      <c r="E186" s="17" t="n"/>
      <c r="F186" s="29" t="n"/>
      <c r="G186" s="17" t="n"/>
      <c r="H186" s="29" t="n"/>
      <c r="I186" s="17" t="n"/>
      <c r="J186" s="29" t="n"/>
      <c r="K186" s="17" t="n"/>
      <c r="L186" s="29" t="n"/>
      <c r="M186" s="18" t="n"/>
    </row>
    <row r="187">
      <c r="A187" s="14" t="inlineStr">
        <is>
          <t>가). 우수 원형1호 맨홀</t>
        </is>
      </c>
      <c r="B187" s="14" t="inlineStr">
        <is>
          <t>D900, H=2.54m, 차도</t>
        </is>
      </c>
      <c r="C187" s="15" t="n">
        <v>8</v>
      </c>
      <c r="D187" s="16" t="inlineStr">
        <is>
          <t>개소</t>
        </is>
      </c>
      <c r="E187" s="15" t="n">
        <v>652337</v>
      </c>
      <c r="F187" s="15">
        <f>E187*C187</f>
        <v/>
      </c>
      <c r="G187" s="15" t="n">
        <v>182919</v>
      </c>
      <c r="H187" s="15">
        <f>G187*C187</f>
        <v/>
      </c>
      <c r="I187" s="15" t="n">
        <v>228528</v>
      </c>
      <c r="J187" s="15">
        <f>I187*C187</f>
        <v/>
      </c>
      <c r="K187" s="15">
        <f>E187+G187+I187</f>
        <v/>
      </c>
      <c r="L187" s="15">
        <f>F187+H187+J187</f>
        <v/>
      </c>
      <c r="M187" s="18" t="n"/>
    </row>
    <row r="188">
      <c r="A188" s="14" t="inlineStr">
        <is>
          <t>나). 우수 원형1호 맨홀</t>
        </is>
      </c>
      <c r="B188" s="14" t="inlineStr">
        <is>
          <t>D900, H=4.59m, 보도</t>
        </is>
      </c>
      <c r="C188" s="15" t="n">
        <v>1</v>
      </c>
      <c r="D188" s="16" t="inlineStr">
        <is>
          <t>개소</t>
        </is>
      </c>
      <c r="E188" s="15" t="n">
        <v>1075474</v>
      </c>
      <c r="F188" s="15">
        <f>E188*C188</f>
        <v/>
      </c>
      <c r="G188" s="15" t="n">
        <v>182919</v>
      </c>
      <c r="H188" s="15">
        <f>G188*C188</f>
        <v/>
      </c>
      <c r="I188" s="15" t="n">
        <v>228527</v>
      </c>
      <c r="J188" s="15">
        <f>I188*C188</f>
        <v/>
      </c>
      <c r="K188" s="15">
        <f>E188+G188+I188</f>
        <v/>
      </c>
      <c r="L188" s="15">
        <f>F188+H188+J188</f>
        <v/>
      </c>
      <c r="M188" s="18" t="n"/>
    </row>
    <row r="189">
      <c r="A189" s="14" t="inlineStr">
        <is>
          <t>다). 우수 원형2호 맨홀</t>
        </is>
      </c>
      <c r="B189" s="14" t="inlineStr">
        <is>
          <t>D1200, H=2.77m, 차도</t>
        </is>
      </c>
      <c r="C189" s="15" t="n">
        <v>10</v>
      </c>
      <c r="D189" s="16" t="inlineStr">
        <is>
          <t>개소</t>
        </is>
      </c>
      <c r="E189" s="15" t="n">
        <v>1031397</v>
      </c>
      <c r="F189" s="15">
        <f>E189*C189</f>
        <v/>
      </c>
      <c r="G189" s="15" t="n">
        <v>182919</v>
      </c>
      <c r="H189" s="15">
        <f>G189*C189</f>
        <v/>
      </c>
      <c r="I189" s="15" t="n">
        <v>228527</v>
      </c>
      <c r="J189" s="15">
        <f>I189*C189</f>
        <v/>
      </c>
      <c r="K189" s="15">
        <f>E189+G189+I189</f>
        <v/>
      </c>
      <c r="L189" s="15">
        <f>F189+H189+J189</f>
        <v/>
      </c>
      <c r="M189" s="18" t="n"/>
    </row>
    <row r="190">
      <c r="A190" s="28" t="inlineStr">
        <is>
          <t>2). 각형맨홀</t>
        </is>
      </c>
      <c r="B190" s="28" t="n"/>
      <c r="C190" s="17" t="n"/>
      <c r="D190" s="16" t="n"/>
      <c r="E190" s="17" t="n"/>
      <c r="F190" s="29" t="n"/>
      <c r="G190" s="17" t="n"/>
      <c r="H190" s="29" t="n"/>
      <c r="I190" s="17" t="n"/>
      <c r="J190" s="29" t="n"/>
      <c r="K190" s="17" t="n"/>
      <c r="L190" s="29" t="n"/>
      <c r="M190" s="18" t="n"/>
    </row>
    <row r="191">
      <c r="A191" s="14" t="inlineStr">
        <is>
          <t>가). 우수 각형2호 맨홀</t>
        </is>
      </c>
      <c r="B191" s="14" t="inlineStr">
        <is>
          <t>1200X1200, H=3.20m, 차도</t>
        </is>
      </c>
      <c r="C191" s="15" t="n">
        <v>12</v>
      </c>
      <c r="D191" s="16" t="inlineStr">
        <is>
          <t>개소</t>
        </is>
      </c>
      <c r="E191" s="15" t="n">
        <v>1851226</v>
      </c>
      <c r="F191" s="15">
        <f>E191*C191</f>
        <v/>
      </c>
      <c r="G191" s="15" t="n">
        <v>182919</v>
      </c>
      <c r="H191" s="15">
        <f>G191*C191</f>
        <v/>
      </c>
      <c r="I191" s="15" t="n">
        <v>228527</v>
      </c>
      <c r="J191" s="15">
        <f>I191*C191</f>
        <v/>
      </c>
      <c r="K191" s="15">
        <f>E191+G191+I191</f>
        <v/>
      </c>
      <c r="L191" s="15">
        <f>F191+H191+J191</f>
        <v/>
      </c>
      <c r="M191" s="18" t="n"/>
    </row>
    <row r="192">
      <c r="A192" s="14" t="inlineStr">
        <is>
          <t>나). 우수 각형2호 맨홀</t>
        </is>
      </c>
      <c r="B192" s="14" t="inlineStr">
        <is>
          <t>1200X1200, H=4.03m, 보도</t>
        </is>
      </c>
      <c r="C192" s="15" t="n">
        <v>1</v>
      </c>
      <c r="D192" s="16" t="inlineStr">
        <is>
          <t>개소</t>
        </is>
      </c>
      <c r="E192" s="15" t="n">
        <v>2291994</v>
      </c>
      <c r="F192" s="15">
        <f>E192*C192</f>
        <v/>
      </c>
      <c r="G192" s="15" t="n">
        <v>182919</v>
      </c>
      <c r="H192" s="15">
        <f>G192*C192</f>
        <v/>
      </c>
      <c r="I192" s="15" t="n">
        <v>228527</v>
      </c>
      <c r="J192" s="15">
        <f>I192*C192</f>
        <v/>
      </c>
      <c r="K192" s="15">
        <f>E192+G192+I192</f>
        <v/>
      </c>
      <c r="L192" s="15">
        <f>F192+H192+J192</f>
        <v/>
      </c>
      <c r="M192" s="18" t="n"/>
    </row>
    <row r="193">
      <c r="A193" s="14" t="inlineStr">
        <is>
          <t>다). 우수 각형3호 맨홀</t>
        </is>
      </c>
      <c r="B193" s="14" t="inlineStr">
        <is>
          <t>1400X1200, H=4.22m, 차도</t>
        </is>
      </c>
      <c r="C193" s="15" t="n">
        <v>2</v>
      </c>
      <c r="D193" s="16" t="inlineStr">
        <is>
          <t>개소</t>
        </is>
      </c>
      <c r="E193" s="15" t="n">
        <v>3103007</v>
      </c>
      <c r="F193" s="15">
        <f>E193*C193</f>
        <v/>
      </c>
      <c r="G193" s="15" t="n">
        <v>182919</v>
      </c>
      <c r="H193" s="15">
        <f>G193*C193</f>
        <v/>
      </c>
      <c r="I193" s="15" t="n">
        <v>228528</v>
      </c>
      <c r="J193" s="15">
        <f>I193*C193</f>
        <v/>
      </c>
      <c r="K193" s="15">
        <f>E193+G193+I193</f>
        <v/>
      </c>
      <c r="L193" s="15">
        <f>F193+H193+J193</f>
        <v/>
      </c>
      <c r="M193" s="18" t="n"/>
    </row>
    <row r="194">
      <c r="A194" s="14" t="inlineStr">
        <is>
          <t>라). 우수 각형3호 맨홀</t>
        </is>
      </c>
      <c r="B194" s="14" t="inlineStr">
        <is>
          <t>1400X1200, H=4.67m, 보도</t>
        </is>
      </c>
      <c r="C194" s="15" t="n">
        <v>1</v>
      </c>
      <c r="D194" s="16" t="inlineStr">
        <is>
          <t>개소</t>
        </is>
      </c>
      <c r="E194" s="15" t="n">
        <v>3349838</v>
      </c>
      <c r="F194" s="15">
        <f>E194*C194</f>
        <v/>
      </c>
      <c r="G194" s="15" t="n">
        <v>182919</v>
      </c>
      <c r="H194" s="15">
        <f>G194*C194</f>
        <v/>
      </c>
      <c r="I194" s="15" t="n">
        <v>228526</v>
      </c>
      <c r="J194" s="15">
        <f>I194*C194</f>
        <v/>
      </c>
      <c r="K194" s="15">
        <f>E194+G194+I194</f>
        <v/>
      </c>
      <c r="L194" s="15">
        <f>F194+H194+J194</f>
        <v/>
      </c>
      <c r="M194" s="18" t="n"/>
    </row>
    <row r="195">
      <c r="A195" s="14" t="inlineStr">
        <is>
          <t>마). 우수 각형4호 맨홀</t>
        </is>
      </c>
      <c r="B195" s="14" t="inlineStr">
        <is>
          <t>1500X1500, H=4.56m, 차도</t>
        </is>
      </c>
      <c r="C195" s="15" t="n">
        <v>1</v>
      </c>
      <c r="D195" s="16" t="inlineStr">
        <is>
          <t>개소</t>
        </is>
      </c>
      <c r="E195" s="15" t="n">
        <v>3279314</v>
      </c>
      <c r="F195" s="15">
        <f>E195*C195</f>
        <v/>
      </c>
      <c r="G195" s="15" t="n">
        <v>182919</v>
      </c>
      <c r="H195" s="15">
        <f>G195*C195</f>
        <v/>
      </c>
      <c r="I195" s="15" t="n">
        <v>228527</v>
      </c>
      <c r="J195" s="15">
        <f>I195*C195</f>
        <v/>
      </c>
      <c r="K195" s="15">
        <f>E195+G195+I195</f>
        <v/>
      </c>
      <c r="L195" s="15">
        <f>F195+H195+J195</f>
        <v/>
      </c>
      <c r="M195" s="18" t="n"/>
    </row>
    <row r="196">
      <c r="A196" s="14" t="inlineStr">
        <is>
          <t>바). 암거 맨홀</t>
        </is>
      </c>
      <c r="B196" s="14" t="inlineStr">
        <is>
          <t>900X900, H=3.67, 차도</t>
        </is>
      </c>
      <c r="C196" s="15" t="n">
        <v>1</v>
      </c>
      <c r="D196" s="16" t="inlineStr">
        <is>
          <t>개소</t>
        </is>
      </c>
      <c r="E196" s="15" t="n">
        <v>1577950</v>
      </c>
      <c r="F196" s="15">
        <f>E196*C196</f>
        <v/>
      </c>
      <c r="G196" s="15" t="n">
        <v>182919</v>
      </c>
      <c r="H196" s="15">
        <f>G196*C196</f>
        <v/>
      </c>
      <c r="I196" s="15" t="n">
        <v>228527</v>
      </c>
      <c r="J196" s="15">
        <f>I196*C196</f>
        <v/>
      </c>
      <c r="K196" s="15">
        <f>E196+G196+I196</f>
        <v/>
      </c>
      <c r="L196" s="15">
        <f>F196+H196+J196</f>
        <v/>
      </c>
      <c r="M196" s="18" t="n"/>
    </row>
    <row r="197">
      <c r="A197" s="28" t="inlineStr">
        <is>
          <t>3). 맨홀접합부</t>
        </is>
      </c>
      <c r="B197" s="28" t="n"/>
      <c r="C197" s="17" t="n"/>
      <c r="D197" s="16" t="n"/>
      <c r="E197" s="17" t="n"/>
      <c r="F197" s="29" t="n"/>
      <c r="G197" s="17" t="n"/>
      <c r="H197" s="29" t="n"/>
      <c r="I197" s="17" t="n"/>
      <c r="J197" s="29" t="n"/>
      <c r="K197" s="17" t="n"/>
      <c r="L197" s="29" t="n"/>
      <c r="M197" s="18" t="n"/>
    </row>
    <row r="198">
      <c r="A198" s="14" t="inlineStr">
        <is>
          <t>가). 무수축몰탈</t>
        </is>
      </c>
      <c r="B198" s="14" t="inlineStr">
        <is>
          <t>1:1, 자재비별산</t>
        </is>
      </c>
      <c r="C198" s="61" t="n">
        <v>1.563</v>
      </c>
      <c r="D198" s="16" t="inlineStr">
        <is>
          <t>㎥</t>
        </is>
      </c>
      <c r="E198" s="15" t="n">
        <v>0</v>
      </c>
      <c r="F198" s="15">
        <f>E198*C198</f>
        <v/>
      </c>
      <c r="G198" s="15" t="n">
        <v>137784</v>
      </c>
      <c r="H198" s="15">
        <f>G198*C198</f>
        <v/>
      </c>
      <c r="I198" s="15" t="n">
        <v>0</v>
      </c>
      <c r="J198" s="15">
        <f>I198*C198</f>
        <v/>
      </c>
      <c r="K198" s="15">
        <f>E198+G198+I198</f>
        <v/>
      </c>
      <c r="L198" s="15">
        <f>F198+H198+J198</f>
        <v/>
      </c>
      <c r="M198" s="18" t="n"/>
    </row>
    <row r="199">
      <c r="A199" s="14" t="inlineStr">
        <is>
          <t>나). 수팽창지수재</t>
        </is>
      </c>
      <c r="B199" s="14" t="inlineStr">
        <is>
          <t>20x10mm</t>
        </is>
      </c>
      <c r="C199" s="15" t="n">
        <v>206</v>
      </c>
      <c r="D199" s="16" t="inlineStr">
        <is>
          <t>m</t>
        </is>
      </c>
      <c r="E199" s="15" t="n">
        <v>2645</v>
      </c>
      <c r="F199" s="15">
        <f>E199*C199</f>
        <v/>
      </c>
      <c r="G199" s="15" t="n">
        <v>5730</v>
      </c>
      <c r="H199" s="15">
        <f>G199*C199</f>
        <v/>
      </c>
      <c r="I199" s="15" t="n">
        <v>0</v>
      </c>
      <c r="J199" s="15">
        <f>I199*C199</f>
        <v/>
      </c>
      <c r="K199" s="15">
        <f>E199+G199+I199</f>
        <v/>
      </c>
      <c r="L199" s="15">
        <f>F199+H199+J199</f>
        <v/>
      </c>
      <c r="M199" s="18" t="n"/>
    </row>
    <row r="200">
      <c r="A200" s="28" t="inlineStr">
        <is>
          <t>라. 빗물받이</t>
        </is>
      </c>
      <c r="B200" s="28" t="n"/>
      <c r="C200" s="17" t="n"/>
      <c r="D200" s="16" t="n"/>
      <c r="E200" s="17" t="n"/>
      <c r="F200" s="29" t="n"/>
      <c r="G200" s="17" t="n"/>
      <c r="H200" s="29" t="n"/>
      <c r="I200" s="17" t="n"/>
      <c r="J200" s="29" t="n"/>
      <c r="K200" s="17" t="n"/>
      <c r="L200" s="29" t="n"/>
      <c r="M200" s="18" t="n"/>
    </row>
    <row r="201">
      <c r="A201" s="28" t="inlineStr">
        <is>
          <t>1). 1호 우수받이</t>
        </is>
      </c>
      <c r="B201" s="28" t="n"/>
      <c r="C201" s="17" t="n"/>
      <c r="D201" s="16" t="n"/>
      <c r="E201" s="17" t="n"/>
      <c r="F201" s="29" t="n"/>
      <c r="G201" s="17" t="n"/>
      <c r="H201" s="29" t="n"/>
      <c r="I201" s="17" t="n"/>
      <c r="J201" s="29" t="n"/>
      <c r="K201" s="17" t="n"/>
      <c r="L201" s="29" t="n"/>
      <c r="M201" s="18" t="n"/>
    </row>
    <row r="202">
      <c r="A202" s="14" t="inlineStr">
        <is>
          <t>가). 1호 우수받이</t>
        </is>
      </c>
      <c r="B202" s="14" t="inlineStr">
        <is>
          <t>0.3×0.4×0.9m, 스틸그레이팅포함</t>
        </is>
      </c>
      <c r="C202" s="15" t="n">
        <v>86</v>
      </c>
      <c r="D202" s="16" t="inlineStr">
        <is>
          <t>개소</t>
        </is>
      </c>
      <c r="E202" s="15" t="n">
        <v>64352</v>
      </c>
      <c r="F202" s="15">
        <f>E202*C202</f>
        <v/>
      </c>
      <c r="G202" s="15" t="n">
        <v>47603</v>
      </c>
      <c r="H202" s="15">
        <f>G202*C202</f>
        <v/>
      </c>
      <c r="I202" s="15" t="n">
        <v>64431</v>
      </c>
      <c r="J202" s="15">
        <f>I202*C202</f>
        <v/>
      </c>
      <c r="K202" s="15">
        <f>E202+G202+I202</f>
        <v/>
      </c>
      <c r="L202" s="15">
        <f>F202+H202+J202</f>
        <v/>
      </c>
      <c r="M202" s="18" t="n"/>
    </row>
    <row r="203">
      <c r="A203" s="28" t="inlineStr">
        <is>
          <t>마. PC암거</t>
        </is>
      </c>
      <c r="B203" s="28" t="n"/>
      <c r="C203" s="17" t="n"/>
      <c r="D203" s="16" t="n"/>
      <c r="E203" s="17" t="n"/>
      <c r="F203" s="29" t="n"/>
      <c r="G203" s="17" t="n"/>
      <c r="H203" s="29" t="n"/>
      <c r="I203" s="17" t="n"/>
      <c r="J203" s="29" t="n"/>
      <c r="K203" s="17" t="n"/>
      <c r="L203" s="29" t="n"/>
      <c r="M203" s="18" t="n"/>
    </row>
    <row r="204">
      <c r="A204" s="28" t="inlineStr">
        <is>
          <t>1). PC암거 설치</t>
        </is>
      </c>
      <c r="B204" s="28" t="n"/>
      <c r="C204" s="17" t="n"/>
      <c r="D204" s="16" t="n"/>
      <c r="E204" s="17" t="n"/>
      <c r="F204" s="29" t="n"/>
      <c r="G204" s="17" t="n"/>
      <c r="H204" s="29" t="n"/>
      <c r="I204" s="17" t="n"/>
      <c r="J204" s="29" t="n"/>
      <c r="K204" s="17" t="n"/>
      <c r="L204" s="29" t="n"/>
      <c r="M204" s="18" t="n"/>
    </row>
    <row r="205">
      <c r="A205" s="14" t="inlineStr">
        <is>
          <t>가). PC BOX</t>
        </is>
      </c>
      <c r="B205" s="14" t="inlineStr">
        <is>
          <t>1@2.0X1.5, 토피 H=1.0m이하</t>
        </is>
      </c>
      <c r="C205" s="15" t="n">
        <v>4</v>
      </c>
      <c r="D205" s="16" t="inlineStr">
        <is>
          <t>m</t>
        </is>
      </c>
      <c r="E205" s="15" t="n">
        <v>773989</v>
      </c>
      <c r="F205" s="15">
        <f>E205*C205</f>
        <v/>
      </c>
      <c r="G205" s="15" t="n">
        <v>158677</v>
      </c>
      <c r="H205" s="15">
        <f>G205*C205</f>
        <v/>
      </c>
      <c r="I205" s="15" t="n">
        <v>52922</v>
      </c>
      <c r="J205" s="15">
        <f>I205*C205</f>
        <v/>
      </c>
      <c r="K205" s="15">
        <f>E205+G205+I205</f>
        <v/>
      </c>
      <c r="L205" s="15">
        <f>F205+H205+J205</f>
        <v/>
      </c>
      <c r="M205" s="18" t="n"/>
    </row>
    <row r="206">
      <c r="A206" s="14" t="inlineStr">
        <is>
          <t>나). PC BOX</t>
        </is>
      </c>
      <c r="B206" s="14" t="inlineStr">
        <is>
          <t>1@2.0X1.5, 토피 H=4.0m미만</t>
        </is>
      </c>
      <c r="C206" s="15" t="n">
        <v>36</v>
      </c>
      <c r="D206" s="16" t="inlineStr">
        <is>
          <t>m</t>
        </is>
      </c>
      <c r="E206" s="15" t="n">
        <v>685835</v>
      </c>
      <c r="F206" s="15">
        <f>E206*C206</f>
        <v/>
      </c>
      <c r="G206" s="15" t="n">
        <v>158677</v>
      </c>
      <c r="H206" s="15">
        <f>G206*C206</f>
        <v/>
      </c>
      <c r="I206" s="15" t="n">
        <v>52922</v>
      </c>
      <c r="J206" s="15">
        <f>I206*C206</f>
        <v/>
      </c>
      <c r="K206" s="15">
        <f>E206+G206+I206</f>
        <v/>
      </c>
      <c r="L206" s="15">
        <f>F206+H206+J206</f>
        <v/>
      </c>
      <c r="M206" s="18" t="n"/>
    </row>
    <row r="207">
      <c r="A207" s="14" t="inlineStr">
        <is>
          <t>다). PC BOX</t>
        </is>
      </c>
      <c r="B207" s="14" t="inlineStr">
        <is>
          <t>1@2.0X1.8, 토피 H=1.0m이하</t>
        </is>
      </c>
      <c r="C207" s="15" t="n">
        <v>2</v>
      </c>
      <c r="D207" s="16" t="inlineStr">
        <is>
          <t>m</t>
        </is>
      </c>
      <c r="E207" s="15" t="n">
        <v>833052</v>
      </c>
      <c r="F207" s="15">
        <f>E207*C207</f>
        <v/>
      </c>
      <c r="G207" s="15" t="n">
        <v>158677</v>
      </c>
      <c r="H207" s="15">
        <f>G207*C207</f>
        <v/>
      </c>
      <c r="I207" s="15" t="n">
        <v>52922</v>
      </c>
      <c r="J207" s="15">
        <f>I207*C207</f>
        <v/>
      </c>
      <c r="K207" s="15">
        <f>E207+G207+I207</f>
        <v/>
      </c>
      <c r="L207" s="15">
        <f>F207+H207+J207</f>
        <v/>
      </c>
      <c r="M207" s="18" t="n"/>
    </row>
    <row r="208">
      <c r="A208" s="14" t="inlineStr">
        <is>
          <t>라). PC BOX</t>
        </is>
      </c>
      <c r="B208" s="14" t="inlineStr">
        <is>
          <t>1@2.0X1.8, 토피 H=4.0m미만</t>
        </is>
      </c>
      <c r="C208" s="15" t="n">
        <v>2</v>
      </c>
      <c r="D208" s="16" t="inlineStr">
        <is>
          <t>m</t>
        </is>
      </c>
      <c r="E208" s="15" t="n">
        <v>696414</v>
      </c>
      <c r="F208" s="15">
        <f>E208*C208</f>
        <v/>
      </c>
      <c r="G208" s="15" t="n">
        <v>158677</v>
      </c>
      <c r="H208" s="15">
        <f>G208*C208</f>
        <v/>
      </c>
      <c r="I208" s="15" t="n">
        <v>52922</v>
      </c>
      <c r="J208" s="15">
        <f>I208*C208</f>
        <v/>
      </c>
      <c r="K208" s="15">
        <f>E208+G208+I208</f>
        <v/>
      </c>
      <c r="L208" s="15">
        <f>F208+H208+J208</f>
        <v/>
      </c>
      <c r="M208" s="18" t="n"/>
    </row>
    <row r="209">
      <c r="A209" s="28" t="inlineStr">
        <is>
          <t>2). 기초부</t>
        </is>
      </c>
      <c r="B209" s="28" t="n"/>
      <c r="C209" s="17" t="n"/>
      <c r="D209" s="16" t="n"/>
      <c r="E209" s="17" t="n"/>
      <c r="F209" s="29" t="n"/>
      <c r="G209" s="17" t="n"/>
      <c r="H209" s="29" t="n"/>
      <c r="I209" s="17" t="n"/>
      <c r="J209" s="29" t="n"/>
      <c r="K209" s="17" t="n"/>
      <c r="L209" s="29" t="n"/>
      <c r="M209" s="18" t="n"/>
    </row>
    <row r="210">
      <c r="A210" s="14" t="inlineStr">
        <is>
          <t>가). 콘크리트타설</t>
        </is>
      </c>
      <c r="B210" s="14" t="inlineStr">
        <is>
          <t>장비사용, 무근구조물</t>
        </is>
      </c>
      <c r="C210" s="15" t="n">
        <v>11</v>
      </c>
      <c r="D210" s="16" t="inlineStr">
        <is>
          <t>㎥</t>
        </is>
      </c>
      <c r="E210" s="15" t="n">
        <v>0</v>
      </c>
      <c r="F210" s="15">
        <f>E210*C210</f>
        <v/>
      </c>
      <c r="G210" s="15" t="n">
        <v>9697</v>
      </c>
      <c r="H210" s="15">
        <f>G210*C210</f>
        <v/>
      </c>
      <c r="I210" s="15" t="n">
        <v>17320</v>
      </c>
      <c r="J210" s="15">
        <f>I210*C210</f>
        <v/>
      </c>
      <c r="K210" s="15">
        <f>E210+G210+I210</f>
        <v/>
      </c>
      <c r="L210" s="15">
        <f>F210+H210+J210</f>
        <v/>
      </c>
      <c r="M210" s="18" t="n"/>
    </row>
    <row r="211">
      <c r="A211" s="14" t="inlineStr">
        <is>
          <t>나). 거푸집</t>
        </is>
      </c>
      <c r="B211" s="14" t="inlineStr">
        <is>
          <t>합판6회(간단)</t>
        </is>
      </c>
      <c r="C211" s="15" t="n">
        <v>9</v>
      </c>
      <c r="D211" s="16" t="inlineStr">
        <is>
          <t>㎡</t>
        </is>
      </c>
      <c r="E211" s="15" t="n">
        <v>6612</v>
      </c>
      <c r="F211" s="15">
        <f>E211*C211</f>
        <v/>
      </c>
      <c r="G211" s="15" t="n">
        <v>17631</v>
      </c>
      <c r="H211" s="15">
        <f>G211*C211</f>
        <v/>
      </c>
      <c r="I211" s="15" t="n">
        <v>3368</v>
      </c>
      <c r="J211" s="15">
        <f>I211*C211</f>
        <v/>
      </c>
      <c r="K211" s="15">
        <f>E211+G211+I211</f>
        <v/>
      </c>
      <c r="L211" s="15">
        <f>F211+H211+J211</f>
        <v/>
      </c>
      <c r="M211" s="18" t="n"/>
    </row>
    <row r="212">
      <c r="A212" s="28" t="inlineStr">
        <is>
          <t>3). 낙차부</t>
        </is>
      </c>
      <c r="B212" s="28" t="n"/>
      <c r="C212" s="17" t="n"/>
      <c r="D212" s="16" t="n"/>
      <c r="E212" s="17" t="n"/>
      <c r="F212" s="29" t="n"/>
      <c r="G212" s="17" t="n"/>
      <c r="H212" s="29" t="n"/>
      <c r="I212" s="17" t="n"/>
      <c r="J212" s="29" t="n"/>
      <c r="K212" s="17" t="n"/>
      <c r="L212" s="29" t="n"/>
      <c r="M212" s="18" t="n"/>
    </row>
    <row r="213">
      <c r="A213" s="14" t="inlineStr">
        <is>
          <t>가). 콘크리트타설</t>
        </is>
      </c>
      <c r="B213" s="14" t="inlineStr">
        <is>
          <t>장비사용, 무근구조물</t>
        </is>
      </c>
      <c r="C213" s="15" t="n">
        <v>1</v>
      </c>
      <c r="D213" s="16" t="inlineStr">
        <is>
          <t>㎥</t>
        </is>
      </c>
      <c r="E213" s="15" t="n">
        <v>0</v>
      </c>
      <c r="F213" s="15">
        <f>E213*C213</f>
        <v/>
      </c>
      <c r="G213" s="15" t="n">
        <v>9697</v>
      </c>
      <c r="H213" s="15">
        <f>G213*C213</f>
        <v/>
      </c>
      <c r="I213" s="15" t="n">
        <v>17320</v>
      </c>
      <c r="J213" s="15">
        <f>I213*C213</f>
        <v/>
      </c>
      <c r="K213" s="15">
        <f>E213+G213+I213</f>
        <v/>
      </c>
      <c r="L213" s="15">
        <f>F213+H213+J213</f>
        <v/>
      </c>
      <c r="M213" s="18" t="n"/>
    </row>
    <row r="214">
      <c r="A214" s="14" t="inlineStr">
        <is>
          <t>나). 거푸집</t>
        </is>
      </c>
      <c r="B214" s="14" t="inlineStr">
        <is>
          <t>합판6회(간단)</t>
        </is>
      </c>
      <c r="C214" s="15" t="n">
        <v>4</v>
      </c>
      <c r="D214" s="16" t="inlineStr">
        <is>
          <t>㎡</t>
        </is>
      </c>
      <c r="E214" s="15" t="n">
        <v>6612</v>
      </c>
      <c r="F214" s="15">
        <f>E214*C214</f>
        <v/>
      </c>
      <c r="G214" s="15" t="n">
        <v>17631</v>
      </c>
      <c r="H214" s="15">
        <f>G214*C214</f>
        <v/>
      </c>
      <c r="I214" s="15" t="n">
        <v>3368</v>
      </c>
      <c r="J214" s="15">
        <f>I214*C214</f>
        <v/>
      </c>
      <c r="K214" s="15">
        <f>E214+G214+I214</f>
        <v/>
      </c>
      <c r="L214" s="15">
        <f>F214+H214+J214</f>
        <v/>
      </c>
      <c r="M214" s="18" t="n"/>
    </row>
    <row r="215">
      <c r="A215" s="28" t="inlineStr">
        <is>
          <t>바. 집수정</t>
        </is>
      </c>
      <c r="B215" s="28" t="n"/>
      <c r="C215" s="17" t="n"/>
      <c r="D215" s="16" t="n"/>
      <c r="E215" s="17" t="n"/>
      <c r="F215" s="29" t="n"/>
      <c r="G215" s="17" t="n"/>
      <c r="H215" s="29" t="n"/>
      <c r="I215" s="17" t="n"/>
      <c r="J215" s="29" t="n"/>
      <c r="K215" s="17" t="n"/>
      <c r="L215" s="29" t="n"/>
      <c r="M215" s="18" t="n"/>
    </row>
    <row r="216">
      <c r="A216" s="14" t="inlineStr">
        <is>
          <t>1). 집수정</t>
        </is>
      </c>
      <c r="B216" s="14" t="inlineStr">
        <is>
          <t>0.9x0.9, H=2.38m, 스틸그레이팅</t>
        </is>
      </c>
      <c r="C216" s="15" t="n">
        <v>16</v>
      </c>
      <c r="D216" s="16" t="inlineStr">
        <is>
          <t>개소</t>
        </is>
      </c>
      <c r="E216" s="15" t="n">
        <v>211569</v>
      </c>
      <c r="F216" s="15">
        <f>E216*C216</f>
        <v/>
      </c>
      <c r="G216" s="15" t="n">
        <v>91460</v>
      </c>
      <c r="H216" s="15">
        <f>G216*C216</f>
        <v/>
      </c>
      <c r="I216" s="15" t="n">
        <v>114265</v>
      </c>
      <c r="J216" s="15">
        <f>I216*C216</f>
        <v/>
      </c>
      <c r="K216" s="15">
        <f>E216+G216+I216</f>
        <v/>
      </c>
      <c r="L216" s="15">
        <f>F216+H216+J216</f>
        <v/>
      </c>
      <c r="M216" s="18" t="n"/>
    </row>
    <row r="217">
      <c r="A217" s="28" t="inlineStr">
        <is>
          <t>사. U형측구</t>
        </is>
      </c>
      <c r="B217" s="28" t="n"/>
      <c r="C217" s="17" t="n"/>
      <c r="D217" s="16" t="n"/>
      <c r="E217" s="17" t="n"/>
      <c r="F217" s="29" t="n"/>
      <c r="G217" s="17" t="n"/>
      <c r="H217" s="29" t="n"/>
      <c r="I217" s="17" t="n"/>
      <c r="J217" s="29" t="n"/>
      <c r="K217" s="17" t="n"/>
      <c r="L217" s="29" t="n"/>
      <c r="M217" s="18" t="n"/>
    </row>
    <row r="218">
      <c r="A218" s="14" t="inlineStr">
        <is>
          <t>1). U형측구</t>
        </is>
      </c>
      <c r="B218" s="14" t="inlineStr">
        <is>
          <t>300×300, 스틸그레이팅</t>
        </is>
      </c>
      <c r="C218" s="15" t="n">
        <v>116</v>
      </c>
      <c r="D218" s="16" t="inlineStr">
        <is>
          <t>m</t>
        </is>
      </c>
      <c r="E218" s="15" t="n">
        <v>35261</v>
      </c>
      <c r="F218" s="15">
        <f>E218*C218</f>
        <v/>
      </c>
      <c r="G218" s="15" t="n">
        <v>15771</v>
      </c>
      <c r="H218" s="15">
        <f>G218*C218</f>
        <v/>
      </c>
      <c r="I218" s="15" t="n">
        <v>19725</v>
      </c>
      <c r="J218" s="15">
        <f>I218*C218</f>
        <v/>
      </c>
      <c r="K218" s="15">
        <f>E218+G218+I218</f>
        <v/>
      </c>
      <c r="L218" s="15">
        <f>F218+H218+J218</f>
        <v/>
      </c>
      <c r="M218" s="18" t="n"/>
    </row>
    <row r="219">
      <c r="A219" s="14" t="inlineStr">
        <is>
          <t>2). 생태측구(U형측구)</t>
        </is>
      </c>
      <c r="B219" s="14" t="inlineStr">
        <is>
          <t>300×300</t>
        </is>
      </c>
      <c r="C219" s="15" t="n">
        <v>5</v>
      </c>
      <c r="D219" s="16" t="inlineStr">
        <is>
          <t>개소</t>
        </is>
      </c>
      <c r="E219" s="15" t="n">
        <v>158676</v>
      </c>
      <c r="F219" s="15">
        <f>E219*C219</f>
        <v/>
      </c>
      <c r="G219" s="15" t="n">
        <v>15771</v>
      </c>
      <c r="H219" s="15">
        <f>G219*C219</f>
        <v/>
      </c>
      <c r="I219" s="15" t="n">
        <v>19725</v>
      </c>
      <c r="J219" s="15">
        <f>I219*C219</f>
        <v/>
      </c>
      <c r="K219" s="15">
        <f>E219+G219+I219</f>
        <v/>
      </c>
      <c r="L219" s="15">
        <f>F219+H219+J219</f>
        <v/>
      </c>
      <c r="M219" s="18" t="n"/>
    </row>
    <row r="220">
      <c r="A220" s="28" t="inlineStr">
        <is>
          <t>아. 산마루측구</t>
        </is>
      </c>
      <c r="B220" s="28" t="n"/>
      <c r="C220" s="17" t="n"/>
      <c r="D220" s="16" t="n"/>
      <c r="E220" s="17" t="n"/>
      <c r="F220" s="29" t="n"/>
      <c r="G220" s="17" t="n"/>
      <c r="H220" s="29" t="n"/>
      <c r="I220" s="17" t="n"/>
      <c r="J220" s="29" t="n"/>
      <c r="K220" s="17" t="n"/>
      <c r="L220" s="29" t="n"/>
      <c r="M220" s="18" t="n"/>
    </row>
    <row r="221">
      <c r="A221" s="14" t="inlineStr">
        <is>
          <t>1). 산마루측구</t>
        </is>
      </c>
      <c r="B221" s="14" t="inlineStr">
        <is>
          <t>500×500, H=450</t>
        </is>
      </c>
      <c r="C221" s="15" t="n">
        <v>202</v>
      </c>
      <c r="D221" s="16" t="inlineStr">
        <is>
          <t>m</t>
        </is>
      </c>
      <c r="E221" s="15" t="n">
        <v>343799</v>
      </c>
      <c r="F221" s="15">
        <f>E221*C221</f>
        <v/>
      </c>
      <c r="G221" s="15" t="n">
        <v>25388</v>
      </c>
      <c r="H221" s="15">
        <f>G221*C221</f>
        <v/>
      </c>
      <c r="I221" s="15" t="n">
        <v>31686</v>
      </c>
      <c r="J221" s="15">
        <f>I221*C221</f>
        <v/>
      </c>
      <c r="K221" s="15">
        <f>E221+G221+I221</f>
        <v/>
      </c>
      <c r="L221" s="15">
        <f>F221+H221+J221</f>
        <v/>
      </c>
      <c r="M221" s="18" t="n"/>
    </row>
    <row r="222">
      <c r="A222" s="14" t="inlineStr">
        <is>
          <t>2). 생태측구(산마루측구)</t>
        </is>
      </c>
      <c r="B222" s="14" t="inlineStr">
        <is>
          <t>500×500</t>
        </is>
      </c>
      <c r="C222" s="15" t="n">
        <v>11</v>
      </c>
      <c r="D222" s="16" t="inlineStr">
        <is>
          <t>개소</t>
        </is>
      </c>
      <c r="E222" s="15" t="n">
        <v>211569</v>
      </c>
      <c r="F222" s="15">
        <f>E222*C222</f>
        <v/>
      </c>
      <c r="G222" s="15" t="n">
        <v>25388</v>
      </c>
      <c r="H222" s="15">
        <f>G222*C222</f>
        <v/>
      </c>
      <c r="I222" s="15" t="n">
        <v>31686</v>
      </c>
      <c r="J222" s="15">
        <f>I222*C222</f>
        <v/>
      </c>
      <c r="K222" s="15">
        <f>E222+G222+I222</f>
        <v/>
      </c>
      <c r="L222" s="15">
        <f>F222+H222+J222</f>
        <v/>
      </c>
      <c r="M222" s="18" t="n"/>
    </row>
    <row r="223">
      <c r="A223" s="28" t="inlineStr">
        <is>
          <t>자. 비점오염처리시설</t>
        </is>
      </c>
      <c r="B223" s="28" t="n"/>
      <c r="C223" s="17" t="n"/>
      <c r="D223" s="16" t="n"/>
      <c r="E223" s="17" t="n"/>
      <c r="F223" s="29" t="n"/>
      <c r="G223" s="17" t="n"/>
      <c r="H223" s="29" t="n"/>
      <c r="I223" s="17" t="n"/>
      <c r="J223" s="29" t="n"/>
      <c r="K223" s="17" t="n"/>
      <c r="L223" s="29" t="n"/>
      <c r="M223" s="18" t="n"/>
    </row>
    <row r="224">
      <c r="A224" s="14" t="inlineStr">
        <is>
          <t>가). 비점오염저감시설(A유역)</t>
        </is>
      </c>
      <c r="B224" s="14" t="inlineStr">
        <is>
          <t>WQF=158.2 (m3/hr/Unit), 여과형</t>
        </is>
      </c>
      <c r="C224" s="15" t="n">
        <v>1</v>
      </c>
      <c r="D224" s="16" t="inlineStr">
        <is>
          <t>식</t>
        </is>
      </c>
      <c r="E224" s="15" t="n">
        <v>61707527</v>
      </c>
      <c r="F224" s="15">
        <f>E224*C224</f>
        <v/>
      </c>
      <c r="G224" s="15" t="n">
        <v>0</v>
      </c>
      <c r="H224" s="15">
        <f>G224*C224</f>
        <v/>
      </c>
      <c r="I224" s="15" t="n">
        <v>0</v>
      </c>
      <c r="J224" s="15">
        <f>I224*C224</f>
        <v/>
      </c>
      <c r="K224" s="15">
        <f>E224+G224+I224</f>
        <v/>
      </c>
      <c r="L224" s="15">
        <f>F224+H224+J224</f>
        <v/>
      </c>
      <c r="M224" s="18" t="n"/>
    </row>
    <row r="225">
      <c r="A225" s="28" t="inlineStr">
        <is>
          <t>1). 초기우수처리시설</t>
        </is>
      </c>
      <c r="B225" s="28" t="n"/>
      <c r="C225" s="17" t="n"/>
      <c r="D225" s="16" t="n"/>
      <c r="E225" s="17" t="n"/>
      <c r="F225" s="29" t="n"/>
      <c r="G225" s="17" t="n"/>
      <c r="H225" s="29" t="n"/>
      <c r="I225" s="17" t="n"/>
      <c r="J225" s="29" t="n"/>
      <c r="K225" s="17" t="n"/>
      <c r="L225" s="29" t="n"/>
      <c r="M225" s="18" t="n"/>
    </row>
    <row r="226">
      <c r="A226" s="28" t="inlineStr">
        <is>
          <t>2). 웨어 및 부대공</t>
        </is>
      </c>
      <c r="B226" s="28" t="n"/>
      <c r="C226" s="17" t="n"/>
      <c r="D226" s="16" t="n"/>
      <c r="E226" s="17" t="n"/>
      <c r="F226" s="29" t="n"/>
      <c r="G226" s="17" t="n"/>
      <c r="H226" s="29" t="n"/>
      <c r="I226" s="17" t="n"/>
      <c r="J226" s="29" t="n"/>
      <c r="K226" s="17" t="n"/>
      <c r="L226" s="29" t="n"/>
      <c r="M226" s="18" t="n"/>
    </row>
    <row r="227">
      <c r="A227" s="14" t="inlineStr">
        <is>
          <t>가). 레디믹스콘크리트타설</t>
        </is>
      </c>
      <c r="B227" s="14" t="inlineStr">
        <is>
          <t>장비사용, 철근구조물</t>
        </is>
      </c>
      <c r="C227" s="61" t="n">
        <v>0.11</v>
      </c>
      <c r="D227" s="16" t="inlineStr">
        <is>
          <t>㎥</t>
        </is>
      </c>
      <c r="E227" s="15" t="n">
        <v>0</v>
      </c>
      <c r="F227" s="15">
        <f>E227*C227</f>
        <v/>
      </c>
      <c r="G227" s="15" t="n">
        <v>8809</v>
      </c>
      <c r="H227" s="15">
        <f>G227*C227</f>
        <v/>
      </c>
      <c r="I227" s="15" t="n">
        <v>17318</v>
      </c>
      <c r="J227" s="15">
        <f>I227*C227</f>
        <v/>
      </c>
      <c r="K227" s="15">
        <f>E227+G227+I227</f>
        <v/>
      </c>
      <c r="L227" s="15">
        <f>F227+H227+J227</f>
        <v/>
      </c>
      <c r="M227" s="18" t="n"/>
    </row>
    <row r="228">
      <c r="A228" s="14" t="inlineStr">
        <is>
          <t>나). 레디믹스콘크리트타설</t>
        </is>
      </c>
      <c r="B228" s="14" t="inlineStr">
        <is>
          <t>장비사용, 무근구조물</t>
        </is>
      </c>
      <c r="C228" s="15" t="n">
        <v>5</v>
      </c>
      <c r="D228" s="16" t="inlineStr">
        <is>
          <t>㎥</t>
        </is>
      </c>
      <c r="E228" s="15" t="n">
        <v>0</v>
      </c>
      <c r="F228" s="15">
        <f>E228*C228</f>
        <v/>
      </c>
      <c r="G228" s="15" t="n">
        <v>8815</v>
      </c>
      <c r="H228" s="15">
        <f>G228*C228</f>
        <v/>
      </c>
      <c r="I228" s="15" t="n">
        <v>17320</v>
      </c>
      <c r="J228" s="15">
        <f>I228*C228</f>
        <v/>
      </c>
      <c r="K228" s="15">
        <f>E228+G228+I228</f>
        <v/>
      </c>
      <c r="L228" s="15">
        <f>F228+H228+J228</f>
        <v/>
      </c>
      <c r="M228" s="18" t="n"/>
    </row>
    <row r="229">
      <c r="A229" s="14" t="inlineStr">
        <is>
          <t>다). 거푸집</t>
        </is>
      </c>
      <c r="B229" s="14" t="inlineStr">
        <is>
          <t>합판6회(간단)</t>
        </is>
      </c>
      <c r="C229" s="15" t="n">
        <v>3</v>
      </c>
      <c r="D229" s="16" t="inlineStr">
        <is>
          <t>㎡</t>
        </is>
      </c>
      <c r="E229" s="15" t="n">
        <v>6611</v>
      </c>
      <c r="F229" s="15">
        <f>E229*C229</f>
        <v/>
      </c>
      <c r="G229" s="15" t="n">
        <v>25124</v>
      </c>
      <c r="H229" s="15">
        <f>G229*C229</f>
        <v/>
      </c>
      <c r="I229" s="15" t="n">
        <v>1925</v>
      </c>
      <c r="J229" s="15">
        <f>I229*C229</f>
        <v/>
      </c>
      <c r="K229" s="15">
        <f>E229+G229+I229</f>
        <v/>
      </c>
      <c r="L229" s="15">
        <f>F229+H229+J229</f>
        <v/>
      </c>
      <c r="M229" s="18" t="n"/>
    </row>
    <row r="230">
      <c r="A230" s="14" t="inlineStr">
        <is>
          <t>라). 모래부설</t>
        </is>
      </c>
      <c r="B230" s="14" t="inlineStr">
        <is>
          <t>기초, 인력</t>
        </is>
      </c>
      <c r="C230" s="15" t="n">
        <v>12</v>
      </c>
      <c r="D230" s="16" t="inlineStr">
        <is>
          <t>㎥</t>
        </is>
      </c>
      <c r="E230" s="15" t="n">
        <v>0</v>
      </c>
      <c r="F230" s="15">
        <f>E230*C230</f>
        <v/>
      </c>
      <c r="G230" s="15" t="n">
        <v>22038</v>
      </c>
      <c r="H230" s="15">
        <f>G230*C230</f>
        <v/>
      </c>
      <c r="I230" s="15" t="n">
        <v>9622</v>
      </c>
      <c r="J230" s="15">
        <f>I230*C230</f>
        <v/>
      </c>
      <c r="K230" s="15">
        <f>E230+G230+I230</f>
        <v/>
      </c>
      <c r="L230" s="15">
        <f>F230+H230+J230</f>
        <v/>
      </c>
      <c r="M230" s="18" t="n"/>
    </row>
    <row r="231">
      <c r="A231" s="14" t="inlineStr">
        <is>
          <t>마). 잡석부설</t>
        </is>
      </c>
      <c r="B231" s="14" t="inlineStr">
        <is>
          <t>잡석지정, 재료비 제외, 150mm이하</t>
        </is>
      </c>
      <c r="C231" s="15" t="n">
        <v>16</v>
      </c>
      <c r="D231" s="16" t="inlineStr">
        <is>
          <t>㎥</t>
        </is>
      </c>
      <c r="E231" s="15" t="n">
        <v>0</v>
      </c>
      <c r="F231" s="15">
        <f>E231*C231</f>
        <v/>
      </c>
      <c r="G231" s="15" t="n">
        <v>26446</v>
      </c>
      <c r="H231" s="15">
        <f>G231*C231</f>
        <v/>
      </c>
      <c r="I231" s="15" t="n">
        <v>9622</v>
      </c>
      <c r="J231" s="15">
        <f>I231*C231</f>
        <v/>
      </c>
      <c r="K231" s="15">
        <f>E231+G231+I231</f>
        <v/>
      </c>
      <c r="L231" s="15">
        <f>F231+H231+J231</f>
        <v/>
      </c>
      <c r="M231" s="18" t="n"/>
    </row>
    <row r="232">
      <c r="A232" s="14" t="inlineStr">
        <is>
          <t>바). 구조물헐기(철근)</t>
        </is>
      </c>
      <c r="B232" s="14" t="inlineStr">
        <is>
          <t>대형30CM미만</t>
        </is>
      </c>
      <c r="C232" s="61" t="n">
        <v>0.31</v>
      </c>
      <c r="D232" s="16" t="inlineStr">
        <is>
          <t>㎥</t>
        </is>
      </c>
      <c r="E232" s="15" t="n">
        <v>0</v>
      </c>
      <c r="F232" s="15">
        <f>E232*C232</f>
        <v/>
      </c>
      <c r="G232" s="15" t="n">
        <v>7845</v>
      </c>
      <c r="H232" s="15">
        <f>G232*C232</f>
        <v/>
      </c>
      <c r="I232" s="15" t="n">
        <v>28003</v>
      </c>
      <c r="J232" s="15">
        <f>I232*C232</f>
        <v/>
      </c>
      <c r="K232" s="15">
        <f>E232+G232+I232</f>
        <v/>
      </c>
      <c r="L232" s="15">
        <f>F232+H232+J232</f>
        <v/>
      </c>
      <c r="M232" s="18" t="n"/>
    </row>
    <row r="233">
      <c r="A233" s="14" t="inlineStr">
        <is>
          <t>사). 몰탈</t>
        </is>
      </c>
      <c r="B233" s="14" t="inlineStr">
        <is>
          <t>1:2, 재료비제외</t>
        </is>
      </c>
      <c r="C233" s="61" t="n">
        <v>0.186</v>
      </c>
      <c r="D233" s="16" t="inlineStr">
        <is>
          <t>㎥</t>
        </is>
      </c>
      <c r="E233" s="15" t="n">
        <v>0</v>
      </c>
      <c r="F233" s="15">
        <f>E233*C233</f>
        <v/>
      </c>
      <c r="G233" s="15" t="n">
        <v>21742</v>
      </c>
      <c r="H233" s="15">
        <f>G233*C233</f>
        <v/>
      </c>
      <c r="I233" s="15" t="n">
        <v>710</v>
      </c>
      <c r="J233" s="15">
        <f>I233*C233</f>
        <v/>
      </c>
      <c r="K233" s="15">
        <f>E233+G233+I233</f>
        <v/>
      </c>
      <c r="L233" s="15">
        <f>F233+H233+J233</f>
        <v/>
      </c>
      <c r="M233" s="18" t="n"/>
    </row>
    <row r="234">
      <c r="A234" s="14" t="inlineStr">
        <is>
          <t>아). 앵커볼트 설치</t>
        </is>
      </c>
      <c r="B234" s="14" t="inlineStr">
        <is>
          <t>케미컬앵커, Ø20mm, 300mm</t>
        </is>
      </c>
      <c r="C234" s="15" t="n">
        <v>5</v>
      </c>
      <c r="D234" s="16" t="inlineStr">
        <is>
          <t>개</t>
        </is>
      </c>
      <c r="E234" s="15" t="n">
        <v>13223</v>
      </c>
      <c r="F234" s="15">
        <f>E234*C234</f>
        <v/>
      </c>
      <c r="G234" s="15" t="n">
        <v>13223</v>
      </c>
      <c r="H234" s="15">
        <f>G234*C234</f>
        <v/>
      </c>
      <c r="I234" s="15" t="n">
        <v>0</v>
      </c>
      <c r="J234" s="15">
        <f>I234*C234</f>
        <v/>
      </c>
      <c r="K234" s="15">
        <f>E234+G234+I234</f>
        <v/>
      </c>
      <c r="L234" s="15">
        <f>F234+H234+J234</f>
        <v/>
      </c>
      <c r="M234" s="18" t="n"/>
    </row>
    <row r="235">
      <c r="A235" s="14" t="inlineStr">
        <is>
          <t>자). 고강성 PVC 이중벽관 접합 및 부설</t>
        </is>
      </c>
      <c r="B235" s="14" t="inlineStr">
        <is>
          <t>D300mm</t>
        </is>
      </c>
      <c r="C235" s="15" t="n">
        <v>7</v>
      </c>
      <c r="D235" s="16" t="inlineStr">
        <is>
          <t>m</t>
        </is>
      </c>
      <c r="E235" s="15" t="n">
        <v>0</v>
      </c>
      <c r="F235" s="15">
        <f>E235*C235</f>
        <v/>
      </c>
      <c r="G235" s="15" t="n">
        <v>22038</v>
      </c>
      <c r="H235" s="15">
        <f>G235*C235</f>
        <v/>
      </c>
      <c r="I235" s="15" t="n">
        <v>0</v>
      </c>
      <c r="J235" s="15">
        <f>I235*C235</f>
        <v/>
      </c>
      <c r="K235" s="15">
        <f>E235+G235+I235</f>
        <v/>
      </c>
      <c r="L235" s="15">
        <f>F235+H235+J235</f>
        <v/>
      </c>
      <c r="M235" s="18" t="n"/>
    </row>
    <row r="236">
      <c r="A236" s="14" t="inlineStr">
        <is>
          <t>차). 고강성 PVC 이중벽관 절단</t>
        </is>
      </c>
      <c r="B236" s="14" t="inlineStr">
        <is>
          <t>D300mm</t>
        </is>
      </c>
      <c r="C236" s="15" t="n">
        <v>1</v>
      </c>
      <c r="D236" s="16" t="inlineStr">
        <is>
          <t>개소</t>
        </is>
      </c>
      <c r="E236" s="15" t="n">
        <v>0</v>
      </c>
      <c r="F236" s="15">
        <f>E236*C236</f>
        <v/>
      </c>
      <c r="G236" s="15" t="n">
        <v>8815</v>
      </c>
      <c r="H236" s="15">
        <f>G236*C236</f>
        <v/>
      </c>
      <c r="I236" s="15" t="n">
        <v>0</v>
      </c>
      <c r="J236" s="15">
        <f>I236*C236</f>
        <v/>
      </c>
      <c r="K236" s="15">
        <f>E236+G236+I236</f>
        <v/>
      </c>
      <c r="L236" s="15">
        <f>F236+H236+J236</f>
        <v/>
      </c>
      <c r="M236" s="18" t="n"/>
    </row>
    <row r="237">
      <c r="A237" s="14" t="inlineStr">
        <is>
          <t>카). 스테인리스관 접합및부설</t>
        </is>
      </c>
      <c r="B237" s="14" t="inlineStr">
        <is>
          <t>D=50mm</t>
        </is>
      </c>
      <c r="C237" s="15" t="n">
        <v>12</v>
      </c>
      <c r="D237" s="16" t="inlineStr">
        <is>
          <t>m</t>
        </is>
      </c>
      <c r="E237" s="15" t="n">
        <v>0</v>
      </c>
      <c r="F237" s="15">
        <f>E237*C237</f>
        <v/>
      </c>
      <c r="G237" s="15" t="n">
        <v>30854</v>
      </c>
      <c r="H237" s="15">
        <f>G237*C237</f>
        <v/>
      </c>
      <c r="I237" s="15" t="n">
        <v>0</v>
      </c>
      <c r="J237" s="15">
        <f>I237*C237</f>
        <v/>
      </c>
      <c r="K237" s="15">
        <f>E237+G237+I237</f>
        <v/>
      </c>
      <c r="L237" s="15">
        <f>F237+H237+J237</f>
        <v/>
      </c>
      <c r="M237" s="18" t="n"/>
    </row>
    <row r="238">
      <c r="A238" s="14" t="inlineStr">
        <is>
          <t>타). 스테인리스관 나사 접합</t>
        </is>
      </c>
      <c r="B238" s="14" t="inlineStr">
        <is>
          <t>D=50mm</t>
        </is>
      </c>
      <c r="C238" s="15" t="n">
        <v>4</v>
      </c>
      <c r="D238" s="16" t="inlineStr">
        <is>
          <t>개소</t>
        </is>
      </c>
      <c r="E238" s="15" t="n">
        <v>0</v>
      </c>
      <c r="F238" s="15">
        <f>E238*C238</f>
        <v/>
      </c>
      <c r="G238" s="15" t="n">
        <v>22039</v>
      </c>
      <c r="H238" s="15">
        <f>G238*C238</f>
        <v/>
      </c>
      <c r="I238" s="15" t="n">
        <v>0</v>
      </c>
      <c r="J238" s="15">
        <f>I238*C238</f>
        <v/>
      </c>
      <c r="K238" s="15">
        <f>E238+G238+I238</f>
        <v/>
      </c>
      <c r="L238" s="15">
        <f>F238+H238+J238</f>
        <v/>
      </c>
      <c r="M238" s="18" t="n"/>
    </row>
    <row r="239">
      <c r="A239" s="14" t="inlineStr">
        <is>
          <t>파). 스테인레스강관</t>
        </is>
      </c>
      <c r="B239" s="14" t="inlineStr">
        <is>
          <t>D50</t>
        </is>
      </c>
      <c r="C239" s="15" t="n">
        <v>7</v>
      </c>
      <c r="D239" s="16" t="inlineStr">
        <is>
          <t>m</t>
        </is>
      </c>
      <c r="E239" s="15" t="n">
        <v>39669</v>
      </c>
      <c r="F239" s="15">
        <f>E239*C239</f>
        <v/>
      </c>
      <c r="G239" s="15" t="n">
        <v>0</v>
      </c>
      <c r="H239" s="15">
        <f>G239*C239</f>
        <v/>
      </c>
      <c r="I239" s="15" t="n">
        <v>0</v>
      </c>
      <c r="J239" s="15">
        <f>I239*C239</f>
        <v/>
      </c>
      <c r="K239" s="15">
        <f>E239+G239+I239</f>
        <v/>
      </c>
      <c r="L239" s="15">
        <f>F239+H239+J239</f>
        <v/>
      </c>
      <c r="M239" s="18" t="n"/>
    </row>
    <row r="240">
      <c r="A240" s="14" t="inlineStr">
        <is>
          <t>하). 스테인레스 90도 엘보</t>
        </is>
      </c>
      <c r="B240" s="14" t="inlineStr">
        <is>
          <t>D50</t>
        </is>
      </c>
      <c r="C240" s="15" t="n">
        <v>2</v>
      </c>
      <c r="D240" s="16" t="inlineStr">
        <is>
          <t>ea</t>
        </is>
      </c>
      <c r="E240" s="15" t="n">
        <v>57300</v>
      </c>
      <c r="F240" s="15">
        <f>E240*C240</f>
        <v/>
      </c>
      <c r="G240" s="15" t="n">
        <v>0</v>
      </c>
      <c r="H240" s="15">
        <f>G240*C240</f>
        <v/>
      </c>
      <c r="I240" s="15" t="n">
        <v>0</v>
      </c>
      <c r="J240" s="15">
        <f>I240*C240</f>
        <v/>
      </c>
      <c r="K240" s="15">
        <f>E240+G240+I240</f>
        <v/>
      </c>
      <c r="L240" s="15">
        <f>F240+H240+J240</f>
        <v/>
      </c>
      <c r="M240" s="18" t="n"/>
    </row>
    <row r="241">
      <c r="A241" s="14" t="inlineStr">
        <is>
          <t>갸). 고강성PVC이중벽관</t>
        </is>
      </c>
      <c r="B241" s="14" t="inlineStr">
        <is>
          <t>D300mm, 직관</t>
        </is>
      </c>
      <c r="C241" s="15" t="n">
        <v>2</v>
      </c>
      <c r="D241" s="16" t="inlineStr">
        <is>
          <t>본</t>
        </is>
      </c>
      <c r="E241" s="15" t="n">
        <v>61708</v>
      </c>
      <c r="F241" s="15">
        <f>E241*C241</f>
        <v/>
      </c>
      <c r="G241" s="15" t="n">
        <v>0</v>
      </c>
      <c r="H241" s="15">
        <f>G241*C241</f>
        <v/>
      </c>
      <c r="I241" s="15" t="n">
        <v>0</v>
      </c>
      <c r="J241" s="15">
        <f>I241*C241</f>
        <v/>
      </c>
      <c r="K241" s="15">
        <f>E241+G241+I241</f>
        <v/>
      </c>
      <c r="L241" s="15">
        <f>F241+H241+J241</f>
        <v/>
      </c>
      <c r="M241" s="18" t="n"/>
    </row>
    <row r="242">
      <c r="A242" s="14" t="inlineStr">
        <is>
          <t>냐). 고강성PVC이중벽관 이음관</t>
        </is>
      </c>
      <c r="B242" s="14" t="inlineStr">
        <is>
          <t>D300mm, 소켓, 고무링</t>
        </is>
      </c>
      <c r="C242" s="15" t="n">
        <v>1</v>
      </c>
      <c r="D242" s="16" t="inlineStr">
        <is>
          <t>set</t>
        </is>
      </c>
      <c r="E242" s="15" t="n">
        <v>43195</v>
      </c>
      <c r="F242" s="15">
        <f>E242*C242</f>
        <v/>
      </c>
      <c r="G242" s="15" t="n">
        <v>0</v>
      </c>
      <c r="H242" s="15">
        <f>G242*C242</f>
        <v/>
      </c>
      <c r="I242" s="15" t="n">
        <v>0</v>
      </c>
      <c r="J242" s="15">
        <f>I242*C242</f>
        <v/>
      </c>
      <c r="K242" s="15">
        <f>E242+G242+I242</f>
        <v/>
      </c>
      <c r="L242" s="15">
        <f>F242+H242+J242</f>
        <v/>
      </c>
      <c r="M242" s="18" t="n"/>
    </row>
    <row r="243">
      <c r="A243" s="28" t="inlineStr">
        <is>
          <t>차. 주요자재 구입 및 운반</t>
        </is>
      </c>
      <c r="B243" s="28" t="n"/>
      <c r="C243" s="17" t="n"/>
      <c r="D243" s="16" t="n"/>
      <c r="E243" s="17" t="n"/>
      <c r="F243" s="29" t="n"/>
      <c r="G243" s="17" t="n"/>
      <c r="H243" s="29" t="n"/>
      <c r="I243" s="17" t="n"/>
      <c r="J243" s="29" t="n"/>
      <c r="K243" s="17" t="n"/>
      <c r="L243" s="29" t="n"/>
      <c r="M243" s="18" t="n"/>
    </row>
    <row r="244">
      <c r="A244" s="28" t="inlineStr">
        <is>
          <t>1). 시멘트</t>
        </is>
      </c>
      <c r="B244" s="28" t="n"/>
      <c r="C244" s="17" t="n"/>
      <c r="D244" s="16" t="n"/>
      <c r="E244" s="17" t="n"/>
      <c r="F244" s="29" t="n"/>
      <c r="G244" s="17" t="n"/>
      <c r="H244" s="29" t="n"/>
      <c r="I244" s="17" t="n"/>
      <c r="J244" s="29" t="n"/>
      <c r="K244" s="17" t="n"/>
      <c r="L244" s="29" t="n"/>
      <c r="M244" s="18" t="n"/>
    </row>
    <row r="245">
      <c r="A245" s="14" t="inlineStr">
        <is>
          <t>가). 보통시멘트</t>
        </is>
      </c>
      <c r="B245" s="14" t="inlineStr">
        <is>
          <t>40kg/대 (포장품)</t>
        </is>
      </c>
      <c r="C245" s="15" t="n">
        <v>48</v>
      </c>
      <c r="D245" s="16" t="inlineStr">
        <is>
          <t>대</t>
        </is>
      </c>
      <c r="E245" s="15" t="n">
        <v>5201</v>
      </c>
      <c r="F245" s="15">
        <f>E245*C245</f>
        <v/>
      </c>
      <c r="G245" s="15" t="n">
        <v>0</v>
      </c>
      <c r="H245" s="15">
        <f>G245*C245</f>
        <v/>
      </c>
      <c r="I245" s="15" t="n">
        <v>0</v>
      </c>
      <c r="J245" s="15">
        <f>I245*C245</f>
        <v/>
      </c>
      <c r="K245" s="15">
        <f>E245+G245+I245</f>
        <v/>
      </c>
      <c r="L245" s="15">
        <f>F245+H245+J245</f>
        <v/>
      </c>
      <c r="M245" s="18" t="n"/>
    </row>
    <row r="246">
      <c r="A246" s="14" t="inlineStr">
        <is>
          <t>나). 무수축시멘트</t>
        </is>
      </c>
      <c r="B246" s="14" t="inlineStr">
        <is>
          <t>25kg/대 (포장품)</t>
        </is>
      </c>
      <c r="C246" s="15" t="n">
        <v>69</v>
      </c>
      <c r="D246" s="16" t="inlineStr">
        <is>
          <t>대</t>
        </is>
      </c>
      <c r="E246" s="15" t="n">
        <v>4848</v>
      </c>
      <c r="F246" s="15">
        <f>E246*C246</f>
        <v/>
      </c>
      <c r="G246" s="15" t="n">
        <v>0</v>
      </c>
      <c r="H246" s="15">
        <f>G246*C246</f>
        <v/>
      </c>
      <c r="I246" s="15" t="n">
        <v>0</v>
      </c>
      <c r="J246" s="15">
        <f>I246*C246</f>
        <v/>
      </c>
      <c r="K246" s="15">
        <f>E246+G246+I246</f>
        <v/>
      </c>
      <c r="L246" s="15">
        <f>F246+H246+J246</f>
        <v/>
      </c>
      <c r="M246" s="18" t="n"/>
    </row>
    <row r="247">
      <c r="A247" s="14" t="inlineStr">
        <is>
          <t>다). 시멘트운반</t>
        </is>
      </c>
      <c r="B247" s="14" t="inlineStr">
        <is>
          <t>L=30km이내</t>
        </is>
      </c>
      <c r="C247" s="15" t="n">
        <v>117</v>
      </c>
      <c r="D247" s="16" t="inlineStr">
        <is>
          <t>대</t>
        </is>
      </c>
      <c r="E247" s="15" t="n">
        <v>0</v>
      </c>
      <c r="F247" s="15">
        <f>E247*C247</f>
        <v/>
      </c>
      <c r="G247" s="15" t="n">
        <v>0</v>
      </c>
      <c r="H247" s="15">
        <f>G247*C247</f>
        <v/>
      </c>
      <c r="I247" s="15" t="n">
        <v>962</v>
      </c>
      <c r="J247" s="15">
        <f>I247*C247</f>
        <v/>
      </c>
      <c r="K247" s="15">
        <f>E247+G247+I247</f>
        <v/>
      </c>
      <c r="L247" s="15">
        <f>F247+H247+J247</f>
        <v/>
      </c>
      <c r="M247" s="18" t="n"/>
    </row>
    <row r="248">
      <c r="A248" s="28" t="inlineStr">
        <is>
          <t>2). 골재</t>
        </is>
      </c>
      <c r="B248" s="28" t="n"/>
      <c r="C248" s="17" t="n"/>
      <c r="D248" s="16" t="n"/>
      <c r="E248" s="17" t="n"/>
      <c r="F248" s="29" t="n"/>
      <c r="G248" s="17" t="n"/>
      <c r="H248" s="29" t="n"/>
      <c r="I248" s="17" t="n"/>
      <c r="J248" s="29" t="n"/>
      <c r="K248" s="17" t="n"/>
      <c r="L248" s="29" t="n"/>
      <c r="M248" s="18" t="n"/>
    </row>
    <row r="249">
      <c r="A249" s="14" t="inlineStr">
        <is>
          <t>가). 모래</t>
        </is>
      </c>
      <c r="B249" s="14" t="inlineStr">
        <is>
          <t>강모래, 현장도착도</t>
        </is>
      </c>
      <c r="C249" s="15" t="n">
        <v>20</v>
      </c>
      <c r="D249" s="16" t="inlineStr">
        <is>
          <t>㎥</t>
        </is>
      </c>
      <c r="E249" s="15" t="n">
        <v>22920</v>
      </c>
      <c r="F249" s="15">
        <f>E249*C249</f>
        <v/>
      </c>
      <c r="G249" s="15" t="n">
        <v>0</v>
      </c>
      <c r="H249" s="15">
        <f>G249*C249</f>
        <v/>
      </c>
      <c r="I249" s="15" t="n">
        <v>0</v>
      </c>
      <c r="J249" s="15">
        <f>I249*C249</f>
        <v/>
      </c>
      <c r="K249" s="15">
        <f>E249+G249+I249</f>
        <v/>
      </c>
      <c r="L249" s="15">
        <f>F249+H249+J249</f>
        <v/>
      </c>
      <c r="M249" s="18" t="n"/>
    </row>
    <row r="250">
      <c r="A250" s="14" t="inlineStr">
        <is>
          <t>나). 쇄석자갈</t>
        </is>
      </c>
      <c r="B250" s="14" t="inlineStr">
        <is>
          <t>Φ25mm, 현장도착도</t>
        </is>
      </c>
      <c r="C250" s="15" t="n">
        <v>2</v>
      </c>
      <c r="D250" s="16" t="inlineStr">
        <is>
          <t>㎥</t>
        </is>
      </c>
      <c r="E250" s="15" t="n">
        <v>22920</v>
      </c>
      <c r="F250" s="15">
        <f>E250*C250</f>
        <v/>
      </c>
      <c r="G250" s="15" t="n">
        <v>0</v>
      </c>
      <c r="H250" s="15">
        <f>G250*C250</f>
        <v/>
      </c>
      <c r="I250" s="15" t="n">
        <v>0</v>
      </c>
      <c r="J250" s="15">
        <f>I250*C250</f>
        <v/>
      </c>
      <c r="K250" s="15">
        <f>E250+G250+I250</f>
        <v/>
      </c>
      <c r="L250" s="15">
        <f>F250+H250+J250</f>
        <v/>
      </c>
      <c r="M250" s="18" t="n"/>
    </row>
    <row r="251">
      <c r="A251" s="14" t="inlineStr">
        <is>
          <t>다). 잡석</t>
        </is>
      </c>
      <c r="B251" s="14" t="inlineStr">
        <is>
          <t>Φ150mm이하, 현장도착도</t>
        </is>
      </c>
      <c r="C251" s="15" t="n">
        <v>20</v>
      </c>
      <c r="D251" s="16" t="inlineStr">
        <is>
          <t>㎥</t>
        </is>
      </c>
      <c r="E251" s="15" t="n">
        <v>15868</v>
      </c>
      <c r="F251" s="15">
        <f>E251*C251</f>
        <v/>
      </c>
      <c r="G251" s="15" t="n">
        <v>0</v>
      </c>
      <c r="H251" s="15">
        <f>G251*C251</f>
        <v/>
      </c>
      <c r="I251" s="15" t="n">
        <v>0</v>
      </c>
      <c r="J251" s="15">
        <f>I251*C251</f>
        <v/>
      </c>
      <c r="K251" s="15">
        <f>E251+G251+I251</f>
        <v/>
      </c>
      <c r="L251" s="15">
        <f>F251+H251+J251</f>
        <v/>
      </c>
      <c r="M251" s="18" t="n"/>
    </row>
    <row r="252">
      <c r="A252" s="28" t="inlineStr">
        <is>
          <t>3). 철근</t>
        </is>
      </c>
      <c r="B252" s="28" t="n"/>
      <c r="C252" s="17" t="n"/>
      <c r="D252" s="16" t="n"/>
      <c r="E252" s="17" t="n"/>
      <c r="F252" s="29" t="n"/>
      <c r="G252" s="17" t="n"/>
      <c r="H252" s="29" t="n"/>
      <c r="I252" s="17" t="n"/>
      <c r="J252" s="29" t="n"/>
      <c r="K252" s="17" t="n"/>
      <c r="L252" s="29" t="n"/>
      <c r="M252" s="18" t="n"/>
    </row>
    <row r="253">
      <c r="A253" s="14" t="inlineStr">
        <is>
          <t>가). 이형철근</t>
        </is>
      </c>
      <c r="B253" s="14" t="inlineStr">
        <is>
          <t>D13M/M   0.995KG/M  SD30A</t>
        </is>
      </c>
      <c r="C253" s="61" t="n">
        <v>1.56</v>
      </c>
      <c r="D253" s="16" t="inlineStr">
        <is>
          <t>Ton</t>
        </is>
      </c>
      <c r="E253" s="15" t="n">
        <v>811381</v>
      </c>
      <c r="F253" s="15">
        <f>E253*C253</f>
        <v/>
      </c>
      <c r="G253" s="15" t="n">
        <v>0</v>
      </c>
      <c r="H253" s="15">
        <f>G253*C253</f>
        <v/>
      </c>
      <c r="I253" s="15" t="n">
        <v>0</v>
      </c>
      <c r="J253" s="15">
        <f>I253*C253</f>
        <v/>
      </c>
      <c r="K253" s="15">
        <f>E253+G253+I253</f>
        <v/>
      </c>
      <c r="L253" s="15">
        <f>F253+H253+J253</f>
        <v/>
      </c>
      <c r="M253" s="18" t="n"/>
    </row>
    <row r="254">
      <c r="A254" s="14" t="inlineStr">
        <is>
          <t>나). 이형철근(고장력철근)</t>
        </is>
      </c>
      <c r="B254" s="14" t="inlineStr">
        <is>
          <t>HD13M/M   0.995KG/M  SD35,40</t>
        </is>
      </c>
      <c r="C254" s="61" t="n">
        <v>8.923999999999999</v>
      </c>
      <c r="D254" s="16" t="inlineStr">
        <is>
          <t>Ton</t>
        </is>
      </c>
      <c r="E254" s="15" t="n">
        <v>784613</v>
      </c>
      <c r="F254" s="15">
        <f>E254*C254</f>
        <v/>
      </c>
      <c r="G254" s="15" t="n">
        <v>0</v>
      </c>
      <c r="H254" s="15">
        <f>G254*C254</f>
        <v/>
      </c>
      <c r="I254" s="15" t="n">
        <v>0</v>
      </c>
      <c r="J254" s="15">
        <f>I254*C254</f>
        <v/>
      </c>
      <c r="K254" s="15">
        <f>E254+G254+I254</f>
        <v/>
      </c>
      <c r="L254" s="15">
        <f>F254+H254+J254</f>
        <v/>
      </c>
      <c r="M254" s="18" t="n"/>
    </row>
    <row r="255">
      <c r="A255" s="14" t="inlineStr">
        <is>
          <t>다). 이형철근(고장력철근)</t>
        </is>
      </c>
      <c r="B255" s="14" t="inlineStr">
        <is>
          <t>HD16M/M   1.560KG/M  SD35,40</t>
        </is>
      </c>
      <c r="C255" s="61" t="n">
        <v>3.143</v>
      </c>
      <c r="D255" s="16" t="inlineStr">
        <is>
          <t>Ton</t>
        </is>
      </c>
      <c r="E255" s="15" t="n">
        <v>784624</v>
      </c>
      <c r="F255" s="15">
        <f>E255*C255</f>
        <v/>
      </c>
      <c r="G255" s="15" t="n">
        <v>0</v>
      </c>
      <c r="H255" s="15">
        <f>G255*C255</f>
        <v/>
      </c>
      <c r="I255" s="15" t="n">
        <v>0</v>
      </c>
      <c r="J255" s="15">
        <f>I255*C255</f>
        <v/>
      </c>
      <c r="K255" s="15">
        <f>E255+G255+I255</f>
        <v/>
      </c>
      <c r="L255" s="15">
        <f>F255+H255+J255</f>
        <v/>
      </c>
      <c r="M255" s="18" t="n"/>
    </row>
    <row r="256">
      <c r="A256" s="14" t="inlineStr">
        <is>
          <t>라). 이형철근(고장력철근)</t>
        </is>
      </c>
      <c r="B256" s="14" t="inlineStr">
        <is>
          <t>HD19M/M   2.250KG/M  SD35,40</t>
        </is>
      </c>
      <c r="C256" s="61" t="n">
        <v>0.288</v>
      </c>
      <c r="D256" s="16" t="inlineStr">
        <is>
          <t>Ton</t>
        </is>
      </c>
      <c r="E256" s="15" t="n">
        <v>784462</v>
      </c>
      <c r="F256" s="15">
        <f>E256*C256</f>
        <v/>
      </c>
      <c r="G256" s="15" t="n">
        <v>0</v>
      </c>
      <c r="H256" s="15">
        <f>G256*C256</f>
        <v/>
      </c>
      <c r="I256" s="15" t="n">
        <v>0</v>
      </c>
      <c r="J256" s="15">
        <f>I256*C256</f>
        <v/>
      </c>
      <c r="K256" s="15">
        <f>E256+G256+I256</f>
        <v/>
      </c>
      <c r="L256" s="15">
        <f>F256+H256+J256</f>
        <v/>
      </c>
      <c r="M256" s="18" t="n"/>
    </row>
    <row r="257">
      <c r="A257" s="14" t="inlineStr">
        <is>
          <t>마). 철근운반비</t>
        </is>
      </c>
      <c r="B257" s="14" t="inlineStr">
        <is>
          <t>L=10km이내</t>
        </is>
      </c>
      <c r="C257" s="61" t="n">
        <v>13.916</v>
      </c>
      <c r="D257" s="16" t="inlineStr">
        <is>
          <t>Ton</t>
        </is>
      </c>
      <c r="E257" s="15" t="n">
        <v>0</v>
      </c>
      <c r="F257" s="15">
        <f>E257*C257</f>
        <v/>
      </c>
      <c r="G257" s="15" t="n">
        <v>0</v>
      </c>
      <c r="H257" s="15">
        <f>G257*C257</f>
        <v/>
      </c>
      <c r="I257" s="15" t="n">
        <v>19245</v>
      </c>
      <c r="J257" s="15">
        <f>I257*C257</f>
        <v/>
      </c>
      <c r="K257" s="15">
        <f>E257+G257+I257</f>
        <v/>
      </c>
      <c r="L257" s="15">
        <f>F257+H257+J257</f>
        <v/>
      </c>
      <c r="M257" s="18" t="n"/>
    </row>
    <row r="258">
      <c r="A258" s="14" t="inlineStr">
        <is>
          <t>바). 고철(고재)</t>
        </is>
      </c>
      <c r="B258" s="14" t="inlineStr">
        <is>
          <t>중량A</t>
        </is>
      </c>
      <c r="C258" s="61" t="n">
        <v>0.284</v>
      </c>
      <c r="D258" s="16" t="inlineStr">
        <is>
          <t>Ton</t>
        </is>
      </c>
      <c r="E258" s="15" t="n">
        <v>-349123</v>
      </c>
      <c r="F258" s="15">
        <f>E258*C258</f>
        <v/>
      </c>
      <c r="G258" s="15" t="n">
        <v>0</v>
      </c>
      <c r="H258" s="15">
        <f>G258*C258</f>
        <v/>
      </c>
      <c r="I258" s="15" t="n">
        <v>0</v>
      </c>
      <c r="J258" s="15">
        <f>I258*C258</f>
        <v/>
      </c>
      <c r="K258" s="15">
        <f>E258+G258+I258</f>
        <v/>
      </c>
      <c r="L258" s="15">
        <f>F258+H258+J258</f>
        <v/>
      </c>
      <c r="M258" s="18" t="n"/>
    </row>
    <row r="259">
      <c r="A259" s="28" t="inlineStr">
        <is>
          <t>4). 레미콘</t>
        </is>
      </c>
      <c r="B259" s="28" t="n"/>
      <c r="C259" s="17" t="n"/>
      <c r="D259" s="16" t="n"/>
      <c r="E259" s="17" t="n"/>
      <c r="F259" s="29" t="n"/>
      <c r="G259" s="17" t="n"/>
      <c r="H259" s="29" t="n"/>
      <c r="I259" s="17" t="n"/>
      <c r="J259" s="29" t="n"/>
      <c r="K259" s="17" t="n"/>
      <c r="L259" s="29" t="n"/>
      <c r="M259" s="18" t="n"/>
    </row>
    <row r="260">
      <c r="A260" s="14" t="inlineStr">
        <is>
          <t>가). 레미콘</t>
        </is>
      </c>
      <c r="B260" s="14" t="inlineStr">
        <is>
          <t>25-21- 8(Mpa)</t>
        </is>
      </c>
      <c r="C260" s="15" t="n">
        <v>362</v>
      </c>
      <c r="D260" s="16" t="inlineStr">
        <is>
          <t>㎥</t>
        </is>
      </c>
      <c r="E260" s="15" t="n">
        <v>77575</v>
      </c>
      <c r="F260" s="15">
        <f>E260*C260</f>
        <v/>
      </c>
      <c r="G260" s="15" t="n">
        <v>0</v>
      </c>
      <c r="H260" s="15">
        <f>G260*C260</f>
        <v/>
      </c>
      <c r="I260" s="15" t="n">
        <v>0</v>
      </c>
      <c r="J260" s="15">
        <f>I260*C260</f>
        <v/>
      </c>
      <c r="K260" s="15">
        <f>E260+G260+I260</f>
        <v/>
      </c>
      <c r="L260" s="15">
        <f>F260+H260+J260</f>
        <v/>
      </c>
      <c r="M260" s="18" t="n"/>
    </row>
    <row r="261">
      <c r="A261" s="14" t="inlineStr">
        <is>
          <t>나). 레미콘</t>
        </is>
      </c>
      <c r="B261" s="14" t="inlineStr">
        <is>
          <t>25-18-8(Mpa)</t>
        </is>
      </c>
      <c r="C261" s="15" t="n">
        <v>306</v>
      </c>
      <c r="D261" s="16" t="inlineStr">
        <is>
          <t>㎥</t>
        </is>
      </c>
      <c r="E261" s="15" t="n">
        <v>75988</v>
      </c>
      <c r="F261" s="15">
        <f>E261*C261</f>
        <v/>
      </c>
      <c r="G261" s="15" t="n">
        <v>0</v>
      </c>
      <c r="H261" s="15">
        <f>G261*C261</f>
        <v/>
      </c>
      <c r="I261" s="15" t="n">
        <v>0</v>
      </c>
      <c r="J261" s="15">
        <f>I261*C261</f>
        <v/>
      </c>
      <c r="K261" s="15">
        <f>E261+G261+I261</f>
        <v/>
      </c>
      <c r="L261" s="15">
        <f>F261+H261+J261</f>
        <v/>
      </c>
      <c r="M261" s="18" t="n"/>
    </row>
    <row r="262">
      <c r="A262" s="28" t="inlineStr">
        <is>
          <t>5). 원심력철근콘크리트관</t>
        </is>
      </c>
      <c r="B262" s="28" t="n"/>
      <c r="C262" s="17" t="n"/>
      <c r="D262" s="16" t="n"/>
      <c r="E262" s="17" t="n"/>
      <c r="F262" s="29" t="n"/>
      <c r="G262" s="17" t="n"/>
      <c r="H262" s="29" t="n"/>
      <c r="I262" s="17" t="n"/>
      <c r="J262" s="29" t="n"/>
      <c r="K262" s="17" t="n"/>
      <c r="L262" s="29" t="n"/>
      <c r="M262" s="18" t="n"/>
    </row>
    <row r="263">
      <c r="A263" s="14" t="inlineStr">
        <is>
          <t>가). 원심력철근콘크리트관(보통2종)</t>
        </is>
      </c>
      <c r="B263" s="14" t="inlineStr">
        <is>
          <t>250㎜ (소켓식,B형)</t>
        </is>
      </c>
      <c r="C263" s="15" t="n">
        <v>284</v>
      </c>
      <c r="D263" s="16" t="inlineStr">
        <is>
          <t>ｍ</t>
        </is>
      </c>
      <c r="E263" s="15" t="n">
        <v>16346</v>
      </c>
      <c r="F263" s="15">
        <f>E263*C263</f>
        <v/>
      </c>
      <c r="G263" s="15" t="n">
        <v>0</v>
      </c>
      <c r="H263" s="15">
        <f>G263*C263</f>
        <v/>
      </c>
      <c r="I263" s="15" t="n">
        <v>0</v>
      </c>
      <c r="J263" s="15">
        <f>I263*C263</f>
        <v/>
      </c>
      <c r="K263" s="15">
        <f>E263+G263+I263</f>
        <v/>
      </c>
      <c r="L263" s="15">
        <f>F263+H263+J263</f>
        <v/>
      </c>
      <c r="M263" s="18" t="n"/>
    </row>
    <row r="264">
      <c r="A264" s="14" t="inlineStr">
        <is>
          <t>나). 원심력철근콘크리트관(보통2종)</t>
        </is>
      </c>
      <c r="B264" s="14" t="inlineStr">
        <is>
          <t>450㎜ (소켓식,B형)</t>
        </is>
      </c>
      <c r="C264" s="15" t="n">
        <v>569</v>
      </c>
      <c r="D264" s="16" t="inlineStr">
        <is>
          <t>ｍ</t>
        </is>
      </c>
      <c r="E264" s="15" t="n">
        <v>23387</v>
      </c>
      <c r="F264" s="15">
        <f>E264*C264</f>
        <v/>
      </c>
      <c r="G264" s="15" t="n">
        <v>0</v>
      </c>
      <c r="H264" s="15">
        <f>G264*C264</f>
        <v/>
      </c>
      <c r="I264" s="15" t="n">
        <v>0</v>
      </c>
      <c r="J264" s="15">
        <f>I264*C264</f>
        <v/>
      </c>
      <c r="K264" s="15">
        <f>E264+G264+I264</f>
        <v/>
      </c>
      <c r="L264" s="15">
        <f>F264+H264+J264</f>
        <v/>
      </c>
      <c r="M264" s="18" t="n"/>
    </row>
    <row r="265">
      <c r="A265" s="14" t="inlineStr">
        <is>
          <t>다). 원심력철근콘크리트관(보통2종)</t>
        </is>
      </c>
      <c r="B265" s="14" t="inlineStr">
        <is>
          <t>600㎜ (소켓식,B형)</t>
        </is>
      </c>
      <c r="C265" s="15" t="n">
        <v>99</v>
      </c>
      <c r="D265" s="16" t="inlineStr">
        <is>
          <t>ｍ</t>
        </is>
      </c>
      <c r="E265" s="15" t="n">
        <v>41697</v>
      </c>
      <c r="F265" s="15">
        <f>E265*C265</f>
        <v/>
      </c>
      <c r="G265" s="15" t="n">
        <v>0</v>
      </c>
      <c r="H265" s="15">
        <f>G265*C265</f>
        <v/>
      </c>
      <c r="I265" s="15" t="n">
        <v>0</v>
      </c>
      <c r="J265" s="15">
        <f>I265*C265</f>
        <v/>
      </c>
      <c r="K265" s="15">
        <f>E265+G265+I265</f>
        <v/>
      </c>
      <c r="L265" s="15">
        <f>F265+H265+J265</f>
        <v/>
      </c>
      <c r="M265" s="18" t="n"/>
    </row>
    <row r="266">
      <c r="A266" s="14" t="inlineStr">
        <is>
          <t>라). 원심력철근콘크리트관(보통2종)</t>
        </is>
      </c>
      <c r="B266" s="14" t="inlineStr">
        <is>
          <t>800㎜ (소켓식,B형)</t>
        </is>
      </c>
      <c r="C266" s="15" t="n">
        <v>270</v>
      </c>
      <c r="D266" s="16" t="inlineStr">
        <is>
          <t>ｍ</t>
        </is>
      </c>
      <c r="E266" s="15" t="n">
        <v>66909</v>
      </c>
      <c r="F266" s="15">
        <f>E266*C266</f>
        <v/>
      </c>
      <c r="G266" s="15" t="n">
        <v>0</v>
      </c>
      <c r="H266" s="15">
        <f>G266*C266</f>
        <v/>
      </c>
      <c r="I266" s="15" t="n">
        <v>0</v>
      </c>
      <c r="J266" s="15">
        <f>I266*C266</f>
        <v/>
      </c>
      <c r="K266" s="15">
        <f>E266+G266+I266</f>
        <v/>
      </c>
      <c r="L266" s="15">
        <f>F266+H266+J266</f>
        <v/>
      </c>
      <c r="M266" s="18" t="n"/>
    </row>
    <row r="267">
      <c r="A267" s="14" t="inlineStr">
        <is>
          <t>마). 원심력철근콘크리트관(보통2종)</t>
        </is>
      </c>
      <c r="B267" s="14" t="inlineStr">
        <is>
          <t>900㎜ (소켓식,B형)</t>
        </is>
      </c>
      <c r="C267" s="15" t="n">
        <v>17</v>
      </c>
      <c r="D267" s="16" t="inlineStr">
        <is>
          <t>ｍ</t>
        </is>
      </c>
      <c r="E267" s="15" t="n">
        <v>86532</v>
      </c>
      <c r="F267" s="15">
        <f>E267*C267</f>
        <v/>
      </c>
      <c r="G267" s="15" t="n">
        <v>0</v>
      </c>
      <c r="H267" s="15">
        <f>G267*C267</f>
        <v/>
      </c>
      <c r="I267" s="15" t="n">
        <v>0</v>
      </c>
      <c r="J267" s="15">
        <f>I267*C267</f>
        <v/>
      </c>
      <c r="K267" s="15">
        <f>E267+G267+I267</f>
        <v/>
      </c>
      <c r="L267" s="15">
        <f>F267+H267+J267</f>
        <v/>
      </c>
      <c r="M267" s="18" t="n"/>
    </row>
    <row r="268">
      <c r="A268" s="14" t="inlineStr">
        <is>
          <t>바). 원심력철근콘크리트관(보통2종)</t>
        </is>
      </c>
      <c r="B268" s="14" t="inlineStr">
        <is>
          <t>1000㎜ (소켓식,B형)</t>
        </is>
      </c>
      <c r="C268" s="15" t="n">
        <v>85</v>
      </c>
      <c r="D268" s="16" t="inlineStr">
        <is>
          <t>ｍ</t>
        </is>
      </c>
      <c r="E268" s="15" t="n">
        <v>107900</v>
      </c>
      <c r="F268" s="15">
        <f>E268*C268</f>
        <v/>
      </c>
      <c r="G268" s="15" t="n">
        <v>0</v>
      </c>
      <c r="H268" s="15">
        <f>G268*C268</f>
        <v/>
      </c>
      <c r="I268" s="15" t="n">
        <v>0</v>
      </c>
      <c r="J268" s="15">
        <f>I268*C268</f>
        <v/>
      </c>
      <c r="K268" s="15">
        <f>E268+G268+I268</f>
        <v/>
      </c>
      <c r="L268" s="15">
        <f>F268+H268+J268</f>
        <v/>
      </c>
      <c r="M268" s="18" t="n"/>
    </row>
    <row r="269">
      <c r="A269" s="14" t="inlineStr">
        <is>
          <t>사). 원심력철근콘크리트관(보통2종)</t>
        </is>
      </c>
      <c r="B269" s="14" t="inlineStr">
        <is>
          <t>1200㎜ (소켓식,B형)</t>
        </is>
      </c>
      <c r="C269" s="15" t="n">
        <v>16</v>
      </c>
      <c r="D269" s="16" t="inlineStr">
        <is>
          <t>ｍ</t>
        </is>
      </c>
      <c r="E269" s="15" t="n">
        <v>151448</v>
      </c>
      <c r="F269" s="15">
        <f>E269*C269</f>
        <v/>
      </c>
      <c r="G269" s="15" t="n">
        <v>0</v>
      </c>
      <c r="H269" s="15">
        <f>G269*C269</f>
        <v/>
      </c>
      <c r="I269" s="15" t="n">
        <v>0</v>
      </c>
      <c r="J269" s="15">
        <f>I269*C269</f>
        <v/>
      </c>
      <c r="K269" s="15">
        <f>E269+G269+I269</f>
        <v/>
      </c>
      <c r="L269" s="15">
        <f>F269+H269+J269</f>
        <v/>
      </c>
      <c r="M269" s="18" t="n"/>
    </row>
    <row r="270">
      <c r="A270" s="14" t="inlineStr">
        <is>
          <t>아). 흄관하차비</t>
        </is>
      </c>
      <c r="B270" s="14" t="inlineStr">
        <is>
          <t>Ø 250 MM - 차상도</t>
        </is>
      </c>
      <c r="C270" s="15" t="n">
        <v>114</v>
      </c>
      <c r="D270" s="16" t="inlineStr">
        <is>
          <t>본</t>
        </is>
      </c>
      <c r="E270" s="15" t="n">
        <v>0</v>
      </c>
      <c r="F270" s="15">
        <f>E270*C270</f>
        <v/>
      </c>
      <c r="G270" s="15" t="n">
        <v>0</v>
      </c>
      <c r="H270" s="15">
        <f>G270*C270</f>
        <v/>
      </c>
      <c r="I270" s="15" t="n">
        <v>1694</v>
      </c>
      <c r="J270" s="15">
        <f>I270*C270</f>
        <v/>
      </c>
      <c r="K270" s="15">
        <f>E270+G270+I270</f>
        <v/>
      </c>
      <c r="L270" s="15">
        <f>F270+H270+J270</f>
        <v/>
      </c>
      <c r="M270" s="18" t="n"/>
    </row>
    <row r="271">
      <c r="A271" s="14" t="inlineStr">
        <is>
          <t>자). 흄관하차비</t>
        </is>
      </c>
      <c r="B271" s="14" t="inlineStr">
        <is>
          <t>Ø 450 MM - 차상도</t>
        </is>
      </c>
      <c r="C271" s="15" t="n">
        <v>228</v>
      </c>
      <c r="D271" s="16" t="inlineStr">
        <is>
          <t>본</t>
        </is>
      </c>
      <c r="E271" s="15" t="n">
        <v>0</v>
      </c>
      <c r="F271" s="15">
        <f>E271*C271</f>
        <v/>
      </c>
      <c r="G271" s="15" t="n">
        <v>0</v>
      </c>
      <c r="H271" s="15">
        <f>G271*C271</f>
        <v/>
      </c>
      <c r="I271" s="15" t="n">
        <v>2540</v>
      </c>
      <c r="J271" s="15">
        <f>I271*C271</f>
        <v/>
      </c>
      <c r="K271" s="15">
        <f>E271+G271+I271</f>
        <v/>
      </c>
      <c r="L271" s="15">
        <f>F271+H271+J271</f>
        <v/>
      </c>
      <c r="M271" s="18" t="n"/>
    </row>
    <row r="272">
      <c r="A272" s="14" t="inlineStr">
        <is>
          <t>차). 흄관하차비</t>
        </is>
      </c>
      <c r="B272" s="14" t="inlineStr">
        <is>
          <t>Ø 600 MM - 차상도</t>
        </is>
      </c>
      <c r="C272" s="15" t="n">
        <v>40</v>
      </c>
      <c r="D272" s="16" t="inlineStr">
        <is>
          <t>본</t>
        </is>
      </c>
      <c r="E272" s="15" t="n">
        <v>0</v>
      </c>
      <c r="F272" s="15">
        <f>E272*C272</f>
        <v/>
      </c>
      <c r="G272" s="15" t="n">
        <v>0</v>
      </c>
      <c r="H272" s="15">
        <f>G272*C272</f>
        <v/>
      </c>
      <c r="I272" s="15" t="n">
        <v>4811</v>
      </c>
      <c r="J272" s="15">
        <f>I272*C272</f>
        <v/>
      </c>
      <c r="K272" s="15">
        <f>E272+G272+I272</f>
        <v/>
      </c>
      <c r="L272" s="15">
        <f>F272+H272+J272</f>
        <v/>
      </c>
      <c r="M272" s="18" t="n"/>
    </row>
    <row r="273">
      <c r="A273" s="14" t="inlineStr">
        <is>
          <t>카). 흄관하차비</t>
        </is>
      </c>
      <c r="B273" s="14" t="inlineStr">
        <is>
          <t>Ø 800 MM - 차상도</t>
        </is>
      </c>
      <c r="C273" s="15" t="n">
        <v>109</v>
      </c>
      <c r="D273" s="16" t="inlineStr">
        <is>
          <t>본</t>
        </is>
      </c>
      <c r="E273" s="15" t="n">
        <v>0</v>
      </c>
      <c r="F273" s="15">
        <f>E273*C273</f>
        <v/>
      </c>
      <c r="G273" s="15" t="n">
        <v>0</v>
      </c>
      <c r="H273" s="15">
        <f>G273*C273</f>
        <v/>
      </c>
      <c r="I273" s="15" t="n">
        <v>6419</v>
      </c>
      <c r="J273" s="15">
        <f>I273*C273</f>
        <v/>
      </c>
      <c r="K273" s="15">
        <f>E273+G273+I273</f>
        <v/>
      </c>
      <c r="L273" s="15">
        <f>F273+H273+J273</f>
        <v/>
      </c>
      <c r="M273" s="18" t="n"/>
    </row>
    <row r="274">
      <c r="A274" s="14" t="inlineStr">
        <is>
          <t>타). 흄관하차비</t>
        </is>
      </c>
      <c r="B274" s="14" t="inlineStr">
        <is>
          <t>Ø 900 MM - 차상도</t>
        </is>
      </c>
      <c r="C274" s="15" t="n">
        <v>7</v>
      </c>
      <c r="D274" s="16" t="inlineStr">
        <is>
          <t>본</t>
        </is>
      </c>
      <c r="E274" s="15" t="n">
        <v>0</v>
      </c>
      <c r="F274" s="15">
        <f>E274*C274</f>
        <v/>
      </c>
      <c r="G274" s="15" t="n">
        <v>0</v>
      </c>
      <c r="H274" s="15">
        <f>G274*C274</f>
        <v/>
      </c>
      <c r="I274" s="15" t="n">
        <v>7409</v>
      </c>
      <c r="J274" s="15">
        <f>I274*C274</f>
        <v/>
      </c>
      <c r="K274" s="15">
        <f>E274+G274+I274</f>
        <v/>
      </c>
      <c r="L274" s="15">
        <f>F274+H274+J274</f>
        <v/>
      </c>
      <c r="M274" s="18" t="n"/>
    </row>
    <row r="275">
      <c r="A275" s="14" t="inlineStr">
        <is>
          <t>파). 흄관하차비</t>
        </is>
      </c>
      <c r="B275" s="14" t="inlineStr">
        <is>
          <t>Ø 1000 MM - 차상도</t>
        </is>
      </c>
      <c r="C275" s="15" t="n">
        <v>35</v>
      </c>
      <c r="D275" s="16" t="inlineStr">
        <is>
          <t>본</t>
        </is>
      </c>
      <c r="E275" s="15" t="n">
        <v>0</v>
      </c>
      <c r="F275" s="15">
        <f>E275*C275</f>
        <v/>
      </c>
      <c r="G275" s="15" t="n">
        <v>0</v>
      </c>
      <c r="H275" s="15">
        <f>G275*C275</f>
        <v/>
      </c>
      <c r="I275" s="15" t="n">
        <v>9622</v>
      </c>
      <c r="J275" s="15">
        <f>I275*C275</f>
        <v/>
      </c>
      <c r="K275" s="15">
        <f>E275+G275+I275</f>
        <v/>
      </c>
      <c r="L275" s="15">
        <f>F275+H275+J275</f>
        <v/>
      </c>
      <c r="M275" s="18" t="n"/>
    </row>
    <row r="276">
      <c r="A276" s="14" t="inlineStr">
        <is>
          <t>하). 흄관하차비</t>
        </is>
      </c>
      <c r="B276" s="14" t="inlineStr">
        <is>
          <t>Ø 1200 MM - 차상도</t>
        </is>
      </c>
      <c r="C276" s="15" t="n">
        <v>7</v>
      </c>
      <c r="D276" s="16" t="inlineStr">
        <is>
          <t>본</t>
        </is>
      </c>
      <c r="E276" s="15" t="n">
        <v>0</v>
      </c>
      <c r="F276" s="15">
        <f>E276*C276</f>
        <v/>
      </c>
      <c r="G276" s="15" t="n">
        <v>0</v>
      </c>
      <c r="H276" s="15">
        <f>G276*C276</f>
        <v/>
      </c>
      <c r="I276" s="15" t="n">
        <v>13760</v>
      </c>
      <c r="J276" s="15">
        <f>I276*C276</f>
        <v/>
      </c>
      <c r="K276" s="15">
        <f>E276+G276+I276</f>
        <v/>
      </c>
      <c r="L276" s="15">
        <f>F276+H276+J276</f>
        <v/>
      </c>
      <c r="M276" s="18" t="n"/>
    </row>
    <row r="277">
      <c r="A277" s="28" t="inlineStr">
        <is>
          <t>6). 맨홀뚜껑</t>
        </is>
      </c>
      <c r="B277" s="28" t="n"/>
      <c r="C277" s="17" t="n"/>
      <c r="D277" s="16" t="n"/>
      <c r="E277" s="17" t="n"/>
      <c r="F277" s="29" t="n"/>
      <c r="G277" s="17" t="n"/>
      <c r="H277" s="29" t="n"/>
      <c r="I277" s="17" t="n"/>
      <c r="J277" s="29" t="n"/>
      <c r="K277" s="17" t="n"/>
      <c r="L277" s="29" t="n"/>
      <c r="M277" s="18" t="n"/>
    </row>
    <row r="278">
      <c r="A278" s="14" t="inlineStr">
        <is>
          <t>가). 맨홀뚜껑(주철제)</t>
        </is>
      </c>
      <c r="B278" s="14" t="inlineStr">
        <is>
          <t>Φ648KS, 하수도용(잠금식)</t>
        </is>
      </c>
      <c r="C278" s="15" t="n">
        <v>37</v>
      </c>
      <c r="D278" s="16" t="inlineStr">
        <is>
          <t>조</t>
        </is>
      </c>
      <c r="E278" s="15" t="n">
        <v>282092</v>
      </c>
      <c r="F278" s="15">
        <f>E278*C278</f>
        <v/>
      </c>
      <c r="G278" s="15" t="n">
        <v>0</v>
      </c>
      <c r="H278" s="15">
        <f>G278*C278</f>
        <v/>
      </c>
      <c r="I278" s="15" t="n">
        <v>0</v>
      </c>
      <c r="J278" s="15">
        <f>I278*C278</f>
        <v/>
      </c>
      <c r="K278" s="15">
        <f>E278+G278+I278</f>
        <v/>
      </c>
      <c r="L278" s="15">
        <f>F278+H278+J278</f>
        <v/>
      </c>
      <c r="M278" s="18" t="n"/>
    </row>
    <row r="279">
      <c r="A279" s="25" t="inlineStr">
        <is>
          <t>3. 오 수 공</t>
        </is>
      </c>
      <c r="B279" s="26" t="n"/>
      <c r="C279" s="21" t="n"/>
      <c r="D279" s="22" t="n"/>
      <c r="E279" s="21" t="n"/>
      <c r="F279" s="27" t="n"/>
      <c r="G279" s="21" t="n"/>
      <c r="H279" s="27" t="n"/>
      <c r="I279" s="21" t="n"/>
      <c r="J279" s="27" t="n"/>
      <c r="K279" s="21" t="n"/>
      <c r="L279" s="27" t="n"/>
      <c r="M279" s="24" t="n"/>
    </row>
    <row r="280">
      <c r="A280" s="28" t="inlineStr">
        <is>
          <t>가. 토공사</t>
        </is>
      </c>
      <c r="B280" s="28" t="n"/>
      <c r="C280" s="17" t="n"/>
      <c r="D280" s="16" t="n"/>
      <c r="E280" s="17" t="n"/>
      <c r="F280" s="29" t="n"/>
      <c r="G280" s="17" t="n"/>
      <c r="H280" s="29" t="n"/>
      <c r="I280" s="17" t="n"/>
      <c r="J280" s="29" t="n"/>
      <c r="K280" s="17" t="n"/>
      <c r="L280" s="29" t="n"/>
      <c r="M280" s="18" t="n"/>
    </row>
    <row r="281">
      <c r="A281" s="28" t="inlineStr">
        <is>
          <t>1). 터파기</t>
        </is>
      </c>
      <c r="B281" s="28" t="n"/>
      <c r="C281" s="17" t="n"/>
      <c r="D281" s="16" t="n"/>
      <c r="E281" s="17" t="n"/>
      <c r="F281" s="29" t="n"/>
      <c r="G281" s="17" t="n"/>
      <c r="H281" s="29" t="n"/>
      <c r="I281" s="17" t="n"/>
      <c r="J281" s="29" t="n"/>
      <c r="K281" s="17" t="n"/>
      <c r="L281" s="29" t="n"/>
      <c r="M281" s="18" t="n"/>
    </row>
    <row r="282">
      <c r="A282" s="28" t="inlineStr">
        <is>
          <t>가). 토사</t>
        </is>
      </c>
      <c r="B282" s="28" t="n"/>
      <c r="C282" s="17" t="n"/>
      <c r="D282" s="16" t="n"/>
      <c r="E282" s="17" t="n"/>
      <c r="F282" s="29" t="n"/>
      <c r="G282" s="17" t="n"/>
      <c r="H282" s="29" t="n"/>
      <c r="I282" s="17" t="n"/>
      <c r="J282" s="29" t="n"/>
      <c r="K282" s="17" t="n"/>
      <c r="L282" s="29" t="n"/>
      <c r="M282" s="18" t="n"/>
    </row>
    <row r="283">
      <c r="A283" s="14" t="inlineStr">
        <is>
          <t>(1). 터파기(토사)</t>
        </is>
      </c>
      <c r="B283" s="14" t="inlineStr">
        <is>
          <t>TYPE-1, 백호1.0, 기계100%</t>
        </is>
      </c>
      <c r="C283" s="15" t="n">
        <v>3339</v>
      </c>
      <c r="D283" s="16" t="inlineStr">
        <is>
          <t>㎥</t>
        </is>
      </c>
      <c r="E283" s="15" t="n">
        <v>0</v>
      </c>
      <c r="F283" s="15">
        <f>E283*C283</f>
        <v/>
      </c>
      <c r="G283" s="15" t="n">
        <v>0</v>
      </c>
      <c r="H283" s="15">
        <f>G283*C283</f>
        <v/>
      </c>
      <c r="I283" s="15" t="n">
        <v>1638</v>
      </c>
      <c r="J283" s="15">
        <f>I283*C283</f>
        <v/>
      </c>
      <c r="K283" s="15">
        <f>E283+G283+I283</f>
        <v/>
      </c>
      <c r="L283" s="15">
        <f>F283+H283+J283</f>
        <v/>
      </c>
      <c r="M283" s="18" t="n"/>
    </row>
    <row r="284">
      <c r="A284" s="14" t="inlineStr">
        <is>
          <t>(2). 터파기(토사)</t>
        </is>
      </c>
      <c r="B284" s="14" t="inlineStr">
        <is>
          <t>기계90%+인력10%, 보통토사</t>
        </is>
      </c>
      <c r="C284" s="15" t="n">
        <v>108</v>
      </c>
      <c r="D284" s="16" t="inlineStr">
        <is>
          <t>㎥</t>
        </is>
      </c>
      <c r="E284" s="15" t="n">
        <v>0</v>
      </c>
      <c r="F284" s="15">
        <f>E284*C284</f>
        <v/>
      </c>
      <c r="G284" s="15" t="n">
        <v>2740</v>
      </c>
      <c r="H284" s="15">
        <f>G284*C284</f>
        <v/>
      </c>
      <c r="I284" s="15" t="n">
        <v>4094</v>
      </c>
      <c r="J284" s="15">
        <f>I284*C284</f>
        <v/>
      </c>
      <c r="K284" s="15">
        <f>E284+G284+I284</f>
        <v/>
      </c>
      <c r="L284" s="15">
        <f>F284+H284+J284</f>
        <v/>
      </c>
      <c r="M284" s="18" t="n"/>
    </row>
    <row r="285">
      <c r="A285" s="28" t="inlineStr">
        <is>
          <t>2). 되메우기</t>
        </is>
      </c>
      <c r="B285" s="28" t="n"/>
      <c r="C285" s="17" t="n"/>
      <c r="D285" s="16" t="n"/>
      <c r="E285" s="17" t="n"/>
      <c r="F285" s="29" t="n"/>
      <c r="G285" s="17" t="n"/>
      <c r="H285" s="29" t="n"/>
      <c r="I285" s="17" t="n"/>
      <c r="J285" s="29" t="n"/>
      <c r="K285" s="17" t="n"/>
      <c r="L285" s="29" t="n"/>
      <c r="M285" s="18" t="n"/>
    </row>
    <row r="286">
      <c r="A286" s="14" t="inlineStr">
        <is>
          <t>가). 되메우기 및 다짐(토사)</t>
        </is>
      </c>
      <c r="B286" s="14" t="inlineStr">
        <is>
          <t>백호0.7+플레이트콤펙터1.5ton</t>
        </is>
      </c>
      <c r="C286" s="15" t="n">
        <v>3111</v>
      </c>
      <c r="D286" s="16" t="inlineStr">
        <is>
          <t>㎥</t>
        </is>
      </c>
      <c r="E286" s="15" t="n">
        <v>0</v>
      </c>
      <c r="F286" s="15">
        <f>E286*C286</f>
        <v/>
      </c>
      <c r="G286" s="15" t="n">
        <v>2210</v>
      </c>
      <c r="H286" s="15">
        <f>G286*C286</f>
        <v/>
      </c>
      <c r="I286" s="15" t="n">
        <v>4606</v>
      </c>
      <c r="J286" s="15">
        <f>I286*C286</f>
        <v/>
      </c>
      <c r="K286" s="15">
        <f>E286+G286+I286</f>
        <v/>
      </c>
      <c r="L286" s="15">
        <f>F286+H286+J286</f>
        <v/>
      </c>
      <c r="M286" s="18" t="n"/>
    </row>
    <row r="287">
      <c r="A287" s="14" t="inlineStr">
        <is>
          <t>나). 되메우기및다짐(토사)</t>
        </is>
      </c>
      <c r="B287" s="14" t="inlineStr">
        <is>
          <t>기계90%,인력10%,래머 80KG</t>
        </is>
      </c>
      <c r="C287" s="15" t="n">
        <v>127</v>
      </c>
      <c r="D287" s="16" t="inlineStr">
        <is>
          <t>㎥</t>
        </is>
      </c>
      <c r="E287" s="15" t="n">
        <v>0</v>
      </c>
      <c r="F287" s="15">
        <f>E287*C287</f>
        <v/>
      </c>
      <c r="G287" s="15" t="n">
        <v>2210</v>
      </c>
      <c r="H287" s="15">
        <f>G287*C287</f>
        <v/>
      </c>
      <c r="I287" s="15" t="n">
        <v>4606</v>
      </c>
      <c r="J287" s="15">
        <f>I287*C287</f>
        <v/>
      </c>
      <c r="K287" s="15">
        <f>E287+G287+I287</f>
        <v/>
      </c>
      <c r="L287" s="15">
        <f>F287+H287+J287</f>
        <v/>
      </c>
      <c r="M287" s="18" t="n"/>
    </row>
    <row r="288">
      <c r="A288" s="28" t="inlineStr">
        <is>
          <t>3). 잔토처리</t>
        </is>
      </c>
      <c r="B288" s="28" t="n"/>
      <c r="C288" s="17" t="n"/>
      <c r="D288" s="16" t="n"/>
      <c r="E288" s="17" t="n"/>
      <c r="F288" s="29" t="n"/>
      <c r="G288" s="17" t="n"/>
      <c r="H288" s="29" t="n"/>
      <c r="I288" s="17" t="n"/>
      <c r="J288" s="29" t="n"/>
      <c r="K288" s="17" t="n"/>
      <c r="L288" s="29" t="n"/>
      <c r="M288" s="18" t="n"/>
    </row>
    <row r="289">
      <c r="A289" s="14" t="inlineStr">
        <is>
          <t>가). 잔토처리(토사)</t>
        </is>
      </c>
      <c r="B289" s="14" t="inlineStr">
        <is>
          <t>기계100%</t>
        </is>
      </c>
      <c r="C289" s="15" t="n">
        <v>209</v>
      </c>
      <c r="D289" s="16" t="inlineStr">
        <is>
          <t>㎥</t>
        </is>
      </c>
      <c r="E289" s="15" t="n">
        <v>0</v>
      </c>
      <c r="F289" s="15">
        <f>E289*C289</f>
        <v/>
      </c>
      <c r="G289" s="15" t="n">
        <v>0</v>
      </c>
      <c r="H289" s="15">
        <f>G289*C289</f>
        <v/>
      </c>
      <c r="I289" s="15" t="n">
        <v>10234</v>
      </c>
      <c r="J289" s="15">
        <f>I289*C289</f>
        <v/>
      </c>
      <c r="K289" s="15">
        <f>E289+G289+I289</f>
        <v/>
      </c>
      <c r="L289" s="15">
        <f>F289+H289+J289</f>
        <v/>
      </c>
      <c r="M289" s="18" t="n"/>
    </row>
    <row r="290">
      <c r="A290" s="28" t="inlineStr">
        <is>
          <t>나. 관로공</t>
        </is>
      </c>
      <c r="B290" s="28" t="n"/>
      <c r="C290" s="17" t="n"/>
      <c r="D290" s="16" t="n"/>
      <c r="E290" s="17" t="n"/>
      <c r="F290" s="29" t="n"/>
      <c r="G290" s="17" t="n"/>
      <c r="H290" s="29" t="n"/>
      <c r="I290" s="17" t="n"/>
      <c r="J290" s="29" t="n"/>
      <c r="K290" s="17" t="n"/>
      <c r="L290" s="29" t="n"/>
      <c r="M290" s="18" t="n"/>
    </row>
    <row r="291">
      <c r="A291" s="28" t="inlineStr">
        <is>
          <t>1). 고강성 PVC 이중벽관 부설 및 접합</t>
        </is>
      </c>
      <c r="B291" s="28" t="n"/>
      <c r="C291" s="17" t="n"/>
      <c r="D291" s="16" t="n"/>
      <c r="E291" s="17" t="n"/>
      <c r="F291" s="29" t="n"/>
      <c r="G291" s="17" t="n"/>
      <c r="H291" s="29" t="n"/>
      <c r="I291" s="17" t="n"/>
      <c r="J291" s="29" t="n"/>
      <c r="K291" s="17" t="n"/>
      <c r="L291" s="29" t="n"/>
      <c r="M291" s="18" t="n"/>
    </row>
    <row r="292">
      <c r="A292" s="14" t="inlineStr">
        <is>
          <t>가). 고강성 PVC 이중벽관 접합 및 부설</t>
        </is>
      </c>
      <c r="B292" s="14" t="inlineStr">
        <is>
          <t>D150mm, 시공조건B</t>
        </is>
      </c>
      <c r="C292" s="15" t="n">
        <v>88</v>
      </c>
      <c r="D292" s="16" t="inlineStr">
        <is>
          <t>m</t>
        </is>
      </c>
      <c r="E292" s="15" t="n">
        <v>0</v>
      </c>
      <c r="F292" s="15">
        <f>E292*C292</f>
        <v/>
      </c>
      <c r="G292" s="15" t="n">
        <v>17680</v>
      </c>
      <c r="H292" s="15">
        <f>G292*C292</f>
        <v/>
      </c>
      <c r="I292" s="15" t="n">
        <v>1975</v>
      </c>
      <c r="J292" s="15">
        <f>I292*C292</f>
        <v/>
      </c>
      <c r="K292" s="15">
        <f>E292+G292+I292</f>
        <v/>
      </c>
      <c r="L292" s="15">
        <f>F292+H292+J292</f>
        <v/>
      </c>
      <c r="M292" s="18" t="n"/>
    </row>
    <row r="293">
      <c r="A293" s="14" t="inlineStr">
        <is>
          <t>나). 고강성 PVC 이중벽관 접합 및 부설</t>
        </is>
      </c>
      <c r="B293" s="14" t="inlineStr">
        <is>
          <t>D300mm, 시공조건B</t>
        </is>
      </c>
      <c r="C293" s="15" t="n">
        <v>430</v>
      </c>
      <c r="D293" s="16" t="inlineStr">
        <is>
          <t>m</t>
        </is>
      </c>
      <c r="E293" s="15" t="n">
        <v>0</v>
      </c>
      <c r="F293" s="15">
        <f>E293*C293</f>
        <v/>
      </c>
      <c r="G293" s="15" t="n">
        <v>22100</v>
      </c>
      <c r="H293" s="15">
        <f>G293*C293</f>
        <v/>
      </c>
      <c r="I293" s="15" t="n">
        <v>1975</v>
      </c>
      <c r="J293" s="15">
        <f>I293*C293</f>
        <v/>
      </c>
      <c r="K293" s="15">
        <f>E293+G293+I293</f>
        <v/>
      </c>
      <c r="L293" s="15">
        <f>F293+H293+J293</f>
        <v/>
      </c>
      <c r="M293" s="18" t="n"/>
    </row>
    <row r="294">
      <c r="A294" s="28" t="inlineStr">
        <is>
          <t>2). 고강성 PVC 이중벽관 절단</t>
        </is>
      </c>
      <c r="B294" s="28" t="n"/>
      <c r="C294" s="17" t="n"/>
      <c r="D294" s="16" t="n"/>
      <c r="E294" s="17" t="n"/>
      <c r="F294" s="29" t="n"/>
      <c r="G294" s="17" t="n"/>
      <c r="H294" s="29" t="n"/>
      <c r="I294" s="17" t="n"/>
      <c r="J294" s="29" t="n"/>
      <c r="K294" s="17" t="n"/>
      <c r="L294" s="29" t="n"/>
      <c r="M294" s="18" t="n"/>
    </row>
    <row r="295">
      <c r="A295" s="14" t="inlineStr">
        <is>
          <t>가). 고강성 PVC 이중벽관 절단</t>
        </is>
      </c>
      <c r="B295" s="14" t="inlineStr">
        <is>
          <t>D150mm</t>
        </is>
      </c>
      <c r="C295" s="15" t="n">
        <v>8</v>
      </c>
      <c r="D295" s="16" t="inlineStr">
        <is>
          <t>개소</t>
        </is>
      </c>
      <c r="E295" s="15" t="n">
        <v>0</v>
      </c>
      <c r="F295" s="15">
        <f>E295*C295</f>
        <v/>
      </c>
      <c r="G295" s="15" t="n">
        <v>8840</v>
      </c>
      <c r="H295" s="15">
        <f>G295*C295</f>
        <v/>
      </c>
      <c r="I295" s="15" t="n">
        <v>0</v>
      </c>
      <c r="J295" s="15">
        <f>I295*C295</f>
        <v/>
      </c>
      <c r="K295" s="15">
        <f>E295+G295+I295</f>
        <v/>
      </c>
      <c r="L295" s="15">
        <f>F295+H295+J295</f>
        <v/>
      </c>
      <c r="M295" s="18" t="n"/>
    </row>
    <row r="296">
      <c r="A296" s="14" t="inlineStr">
        <is>
          <t>나). 고강성 PVC 이중벽관 절단</t>
        </is>
      </c>
      <c r="B296" s="14" t="inlineStr">
        <is>
          <t>D300mm</t>
        </is>
      </c>
      <c r="C296" s="15" t="n">
        <v>11</v>
      </c>
      <c r="D296" s="16" t="inlineStr">
        <is>
          <t>개소</t>
        </is>
      </c>
      <c r="E296" s="15" t="n">
        <v>0</v>
      </c>
      <c r="F296" s="15">
        <f>E296*C296</f>
        <v/>
      </c>
      <c r="G296" s="15" t="n">
        <v>13260</v>
      </c>
      <c r="H296" s="15">
        <f>G296*C296</f>
        <v/>
      </c>
      <c r="I296" s="15" t="n">
        <v>0</v>
      </c>
      <c r="J296" s="15">
        <f>I296*C296</f>
        <v/>
      </c>
      <c r="K296" s="15">
        <f>E296+G296+I296</f>
        <v/>
      </c>
      <c r="L296" s="15">
        <f>F296+H296+J296</f>
        <v/>
      </c>
      <c r="M296" s="18" t="n"/>
    </row>
    <row r="297">
      <c r="A297" s="28" t="inlineStr">
        <is>
          <t>3). 관기초</t>
        </is>
      </c>
      <c r="B297" s="28" t="n"/>
      <c r="C297" s="17" t="n"/>
      <c r="D297" s="16" t="n"/>
      <c r="E297" s="17" t="n"/>
      <c r="F297" s="29" t="n"/>
      <c r="G297" s="17" t="n"/>
      <c r="H297" s="29" t="n"/>
      <c r="I297" s="17" t="n"/>
      <c r="J297" s="29" t="n"/>
      <c r="K297" s="17" t="n"/>
      <c r="L297" s="29" t="n"/>
      <c r="M297" s="18" t="n"/>
    </row>
    <row r="298">
      <c r="A298" s="14" t="inlineStr">
        <is>
          <t>가). 모래부설</t>
        </is>
      </c>
      <c r="B298" s="14" t="inlineStr">
        <is>
          <t>관기초, 인력</t>
        </is>
      </c>
      <c r="C298" s="15" t="n">
        <v>179</v>
      </c>
      <c r="D298" s="16" t="inlineStr">
        <is>
          <t>㎥</t>
        </is>
      </c>
      <c r="E298" s="15" t="n">
        <v>0</v>
      </c>
      <c r="F298" s="15">
        <f>E298*C298</f>
        <v/>
      </c>
      <c r="G298" s="15" t="n">
        <v>22100</v>
      </c>
      <c r="H298" s="15">
        <f>G298*C298</f>
        <v/>
      </c>
      <c r="I298" s="15" t="n">
        <v>0</v>
      </c>
      <c r="J298" s="15">
        <f>I298*C298</f>
        <v/>
      </c>
      <c r="K298" s="15">
        <f>E298+G298+I298</f>
        <v/>
      </c>
      <c r="L298" s="15">
        <f>F298+H298+J298</f>
        <v/>
      </c>
      <c r="M298" s="18" t="n"/>
    </row>
    <row r="299">
      <c r="A299" s="28" t="inlineStr">
        <is>
          <t>다. 오수맨홀</t>
        </is>
      </c>
      <c r="B299" s="28" t="n"/>
      <c r="C299" s="17" t="n"/>
      <c r="D299" s="16" t="n"/>
      <c r="E299" s="17" t="n"/>
      <c r="F299" s="29" t="n"/>
      <c r="G299" s="17" t="n"/>
      <c r="H299" s="29" t="n"/>
      <c r="I299" s="17" t="n"/>
      <c r="J299" s="29" t="n"/>
      <c r="K299" s="17" t="n"/>
      <c r="L299" s="29" t="n"/>
      <c r="M299" s="18" t="n"/>
    </row>
    <row r="300">
      <c r="A300" s="28" t="inlineStr">
        <is>
          <t>1). 원형 1호맨홀</t>
        </is>
      </c>
      <c r="B300" s="28" t="n"/>
      <c r="C300" s="17" t="n"/>
      <c r="D300" s="16" t="n"/>
      <c r="E300" s="17" t="n"/>
      <c r="F300" s="29" t="n"/>
      <c r="G300" s="17" t="n"/>
      <c r="H300" s="29" t="n"/>
      <c r="I300" s="17" t="n"/>
      <c r="J300" s="29" t="n"/>
      <c r="K300" s="17" t="n"/>
      <c r="L300" s="29" t="n"/>
      <c r="M300" s="18" t="n"/>
    </row>
    <row r="301">
      <c r="A301" s="14" t="inlineStr">
        <is>
          <t>가). 원형1호 맨홀</t>
        </is>
      </c>
      <c r="B301" s="14" t="inlineStr">
        <is>
          <t>H=2.63m, 차도</t>
        </is>
      </c>
      <c r="C301" s="15" t="n">
        <v>15</v>
      </c>
      <c r="D301" s="16" t="inlineStr">
        <is>
          <t>개소</t>
        </is>
      </c>
      <c r="E301" s="15" t="n">
        <v>750131</v>
      </c>
      <c r="F301" s="15">
        <f>E301*C301</f>
        <v/>
      </c>
      <c r="G301" s="15" t="n">
        <v>183431</v>
      </c>
      <c r="H301" s="15">
        <f>G301*C301</f>
        <v/>
      </c>
      <c r="I301" s="15" t="n">
        <v>243078</v>
      </c>
      <c r="J301" s="15">
        <f>I301*C301</f>
        <v/>
      </c>
      <c r="K301" s="15">
        <f>E301+G301+I301</f>
        <v/>
      </c>
      <c r="L301" s="15">
        <f>F301+H301+J301</f>
        <v/>
      </c>
      <c r="M301" s="18" t="n"/>
    </row>
    <row r="302">
      <c r="A302" s="28" t="inlineStr">
        <is>
          <t>2). 맨홀접속부 지수단관</t>
        </is>
      </c>
      <c r="B302" s="28" t="n"/>
      <c r="C302" s="17" t="n"/>
      <c r="D302" s="16" t="n"/>
      <c r="E302" s="17" t="n"/>
      <c r="F302" s="29" t="n"/>
      <c r="G302" s="17" t="n"/>
      <c r="H302" s="29" t="n"/>
      <c r="I302" s="17" t="n"/>
      <c r="J302" s="29" t="n"/>
      <c r="K302" s="17" t="n"/>
      <c r="L302" s="29" t="n"/>
      <c r="M302" s="18" t="n"/>
    </row>
    <row r="303">
      <c r="A303" s="14" t="inlineStr">
        <is>
          <t>가). 고강성 PVC이중벽 지수단관</t>
        </is>
      </c>
      <c r="B303" s="14" t="inlineStr">
        <is>
          <t>D150mm</t>
        </is>
      </c>
      <c r="C303" s="15" t="n">
        <v>8</v>
      </c>
      <c r="D303" s="16" t="inlineStr">
        <is>
          <t>ea</t>
        </is>
      </c>
      <c r="E303" s="15" t="n">
        <v>0</v>
      </c>
      <c r="F303" s="15">
        <f>E303*C303</f>
        <v/>
      </c>
      <c r="G303" s="15" t="n">
        <v>20332</v>
      </c>
      <c r="H303" s="15">
        <f>G303*C303</f>
        <v/>
      </c>
      <c r="I303" s="15" t="n">
        <v>0</v>
      </c>
      <c r="J303" s="15">
        <f>I303*C303</f>
        <v/>
      </c>
      <c r="K303" s="15">
        <f>E303+G303+I303</f>
        <v/>
      </c>
      <c r="L303" s="15">
        <f>F303+H303+J303</f>
        <v/>
      </c>
      <c r="M303" s="18" t="n"/>
    </row>
    <row r="304">
      <c r="A304" s="14" t="inlineStr">
        <is>
          <t>나). 고강성 PVC이중벽 지수단관</t>
        </is>
      </c>
      <c r="B304" s="14" t="inlineStr">
        <is>
          <t>D300mm</t>
        </is>
      </c>
      <c r="C304" s="15" t="n">
        <v>28</v>
      </c>
      <c r="D304" s="16" t="inlineStr">
        <is>
          <t>ea</t>
        </is>
      </c>
      <c r="E304" s="15" t="n">
        <v>0</v>
      </c>
      <c r="F304" s="15">
        <f>E304*C304</f>
        <v/>
      </c>
      <c r="G304" s="15" t="n">
        <v>28288</v>
      </c>
      <c r="H304" s="15">
        <f>G304*C304</f>
        <v/>
      </c>
      <c r="I304" s="15" t="n">
        <v>0</v>
      </c>
      <c r="J304" s="15">
        <f>I304*C304</f>
        <v/>
      </c>
      <c r="K304" s="15">
        <f>E304+G304+I304</f>
        <v/>
      </c>
      <c r="L304" s="15">
        <f>F304+H304+J304</f>
        <v/>
      </c>
      <c r="M304" s="18" t="n"/>
    </row>
    <row r="305">
      <c r="A305" s="28" t="inlineStr">
        <is>
          <t>3). 맨홀접속부 몰탈마감</t>
        </is>
      </c>
      <c r="B305" s="28" t="n"/>
      <c r="C305" s="17" t="n"/>
      <c r="D305" s="16" t="n"/>
      <c r="E305" s="17" t="n"/>
      <c r="F305" s="29" t="n"/>
      <c r="G305" s="17" t="n"/>
      <c r="H305" s="29" t="n"/>
      <c r="I305" s="17" t="n"/>
      <c r="J305" s="29" t="n"/>
      <c r="K305" s="17" t="n"/>
      <c r="L305" s="29" t="n"/>
      <c r="M305" s="18" t="n"/>
    </row>
    <row r="306">
      <c r="A306" s="14" t="inlineStr">
        <is>
          <t>가). 맨홀이음부 몰탈</t>
        </is>
      </c>
      <c r="B306" s="14" t="inlineStr">
        <is>
          <t>D150, 몰탈 1:2</t>
        </is>
      </c>
      <c r="C306" s="15" t="n">
        <v>8</v>
      </c>
      <c r="D306" s="16" t="inlineStr">
        <is>
          <t>개소</t>
        </is>
      </c>
      <c r="E306" s="15" t="n">
        <v>0</v>
      </c>
      <c r="F306" s="15">
        <f>E306*C306</f>
        <v/>
      </c>
      <c r="G306" s="15" t="n">
        <v>27626</v>
      </c>
      <c r="H306" s="15">
        <f>G306*C306</f>
        <v/>
      </c>
      <c r="I306" s="15" t="n">
        <v>0</v>
      </c>
      <c r="J306" s="15">
        <f>I306*C306</f>
        <v/>
      </c>
      <c r="K306" s="15">
        <f>E306+G306+I306</f>
        <v/>
      </c>
      <c r="L306" s="15">
        <f>F306+H306+J306</f>
        <v/>
      </c>
      <c r="M306" s="18" t="n"/>
    </row>
    <row r="307">
      <c r="A307" s="14" t="inlineStr">
        <is>
          <t>나). 맨홀이음부 몰탈</t>
        </is>
      </c>
      <c r="B307" s="14" t="inlineStr">
        <is>
          <t>D300, 몰탈 1:2</t>
        </is>
      </c>
      <c r="C307" s="15" t="n">
        <v>28</v>
      </c>
      <c r="D307" s="16" t="inlineStr">
        <is>
          <t>개소</t>
        </is>
      </c>
      <c r="E307" s="15" t="n">
        <v>0</v>
      </c>
      <c r="F307" s="15">
        <f>E307*C307</f>
        <v/>
      </c>
      <c r="G307" s="15" t="n">
        <v>27626</v>
      </c>
      <c r="H307" s="15">
        <f>G307*C307</f>
        <v/>
      </c>
      <c r="I307" s="15" t="n">
        <v>0</v>
      </c>
      <c r="J307" s="15">
        <f>I307*C307</f>
        <v/>
      </c>
      <c r="K307" s="15">
        <f>E307+G307+I307</f>
        <v/>
      </c>
      <c r="L307" s="15">
        <f>F307+H307+J307</f>
        <v/>
      </c>
      <c r="M307" s="18" t="n"/>
    </row>
    <row r="308">
      <c r="A308" s="28" t="inlineStr">
        <is>
          <t>4). 부관맨홀</t>
        </is>
      </c>
      <c r="B308" s="28" t="n"/>
      <c r="C308" s="17" t="n"/>
      <c r="D308" s="16" t="n"/>
      <c r="E308" s="17" t="n"/>
      <c r="F308" s="29" t="n"/>
      <c r="G308" s="17" t="n"/>
      <c r="H308" s="29" t="n"/>
      <c r="I308" s="17" t="n"/>
      <c r="J308" s="29" t="n"/>
      <c r="K308" s="17" t="n"/>
      <c r="L308" s="29" t="n"/>
      <c r="M308" s="18" t="n"/>
    </row>
    <row r="309">
      <c r="A309" s="14" t="inlineStr">
        <is>
          <t>가). 콘크리트타설</t>
        </is>
      </c>
      <c r="B309" s="14" t="inlineStr">
        <is>
          <t>장비사용, 무근구조물</t>
        </is>
      </c>
      <c r="C309" s="15" t="n">
        <v>11</v>
      </c>
      <c r="D309" s="16" t="inlineStr">
        <is>
          <t>㎥</t>
        </is>
      </c>
      <c r="E309" s="15" t="n">
        <v>0</v>
      </c>
      <c r="F309" s="15">
        <f>E309*C309</f>
        <v/>
      </c>
      <c r="G309" s="15" t="n">
        <v>9724</v>
      </c>
      <c r="H309" s="15">
        <f>G309*C309</f>
        <v/>
      </c>
      <c r="I309" s="15" t="n">
        <v>18423</v>
      </c>
      <c r="J309" s="15">
        <f>I309*C309</f>
        <v/>
      </c>
      <c r="K309" s="15">
        <f>E309+G309+I309</f>
        <v/>
      </c>
      <c r="L309" s="15">
        <f>F309+H309+J309</f>
        <v/>
      </c>
      <c r="M309" s="18" t="n"/>
    </row>
    <row r="310">
      <c r="A310" s="14" t="inlineStr">
        <is>
          <t>나). 거푸집</t>
        </is>
      </c>
      <c r="B310" s="14" t="inlineStr">
        <is>
          <t>합판4회(보통)</t>
        </is>
      </c>
      <c r="C310" s="15" t="n">
        <v>29</v>
      </c>
      <c r="D310" s="16" t="inlineStr">
        <is>
          <t>㎡</t>
        </is>
      </c>
      <c r="E310" s="15" t="n">
        <v>0</v>
      </c>
      <c r="F310" s="15">
        <f>E310*C310</f>
        <v/>
      </c>
      <c r="G310" s="15" t="n">
        <v>17680</v>
      </c>
      <c r="H310" s="15">
        <f>G310*C310</f>
        <v/>
      </c>
      <c r="I310" s="15" t="n">
        <v>3583</v>
      </c>
      <c r="J310" s="15">
        <f>I310*C310</f>
        <v/>
      </c>
      <c r="K310" s="15">
        <f>E310+G310+I310</f>
        <v/>
      </c>
      <c r="L310" s="15">
        <f>F310+H310+J310</f>
        <v/>
      </c>
      <c r="M310" s="18" t="n"/>
    </row>
    <row r="311">
      <c r="A311" s="14" t="inlineStr">
        <is>
          <t>다). 고강성 PVC 이중벽관 접합 및 부설</t>
        </is>
      </c>
      <c r="B311" s="14" t="inlineStr">
        <is>
          <t>D200mm, 시공조건B</t>
        </is>
      </c>
      <c r="C311" s="61" t="n">
        <v>7.3</v>
      </c>
      <c r="D311" s="16" t="inlineStr">
        <is>
          <t>m</t>
        </is>
      </c>
      <c r="E311" s="15" t="n">
        <v>0</v>
      </c>
      <c r="F311" s="15">
        <f>E311*C311</f>
        <v/>
      </c>
      <c r="G311" s="15" t="n">
        <v>18438</v>
      </c>
      <c r="H311" s="15">
        <f>G311*C311</f>
        <v/>
      </c>
      <c r="I311" s="15" t="n">
        <v>0</v>
      </c>
      <c r="J311" s="15">
        <f>I311*C311</f>
        <v/>
      </c>
      <c r="K311" s="15">
        <f>E311+G311+I311</f>
        <v/>
      </c>
      <c r="L311" s="15">
        <f>F311+H311+J311</f>
        <v/>
      </c>
      <c r="M311" s="18" t="n"/>
    </row>
    <row r="312">
      <c r="A312" s="14" t="inlineStr">
        <is>
          <t>라). 고강성 PVC 이중벽관 접합 및 부설</t>
        </is>
      </c>
      <c r="B312" s="14" t="inlineStr">
        <is>
          <t>D300mm, 시공조건B</t>
        </is>
      </c>
      <c r="C312" s="61" t="n">
        <v>2.1</v>
      </c>
      <c r="D312" s="16" t="inlineStr">
        <is>
          <t>m</t>
        </is>
      </c>
      <c r="E312" s="15" t="n">
        <v>0</v>
      </c>
      <c r="F312" s="15">
        <f>E312*C312</f>
        <v/>
      </c>
      <c r="G312" s="15" t="n">
        <v>23205</v>
      </c>
      <c r="H312" s="15">
        <f>G312*C312</f>
        <v/>
      </c>
      <c r="I312" s="15" t="n">
        <v>0</v>
      </c>
      <c r="J312" s="15">
        <f>I312*C312</f>
        <v/>
      </c>
      <c r="K312" s="15">
        <f>E312+G312+I312</f>
        <v/>
      </c>
      <c r="L312" s="15">
        <f>F312+H312+J312</f>
        <v/>
      </c>
      <c r="M312" s="18" t="n"/>
    </row>
    <row r="313">
      <c r="A313" s="14" t="inlineStr">
        <is>
          <t>마). 고강성 PVC 이중벽관 절단</t>
        </is>
      </c>
      <c r="B313" s="14" t="inlineStr">
        <is>
          <t>D200mm</t>
        </is>
      </c>
      <c r="C313" s="15" t="n">
        <v>14</v>
      </c>
      <c r="D313" s="16" t="inlineStr">
        <is>
          <t>개소</t>
        </is>
      </c>
      <c r="E313" s="15" t="n">
        <v>0</v>
      </c>
      <c r="F313" s="15">
        <f>E313*C313</f>
        <v/>
      </c>
      <c r="G313" s="15" t="n">
        <v>8840</v>
      </c>
      <c r="H313" s="15">
        <f>G313*C313</f>
        <v/>
      </c>
      <c r="I313" s="15" t="n">
        <v>0</v>
      </c>
      <c r="J313" s="15">
        <f>I313*C313</f>
        <v/>
      </c>
      <c r="K313" s="15">
        <f>E313+G313+I313</f>
        <v/>
      </c>
      <c r="L313" s="15">
        <f>F313+H313+J313</f>
        <v/>
      </c>
      <c r="M313" s="18" t="n"/>
    </row>
    <row r="314">
      <c r="A314" s="14" t="inlineStr">
        <is>
          <t>바). 고강성 PVC 이중벽관 절단</t>
        </is>
      </c>
      <c r="B314" s="14" t="inlineStr">
        <is>
          <t>D300mm</t>
        </is>
      </c>
      <c r="C314" s="15" t="n">
        <v>7</v>
      </c>
      <c r="D314" s="16" t="inlineStr">
        <is>
          <t>개소</t>
        </is>
      </c>
      <c r="E314" s="15" t="n">
        <v>0</v>
      </c>
      <c r="F314" s="15">
        <f>E314*C314</f>
        <v/>
      </c>
      <c r="G314" s="15" t="n">
        <v>8840</v>
      </c>
      <c r="H314" s="15">
        <f>G314*C314</f>
        <v/>
      </c>
      <c r="I314" s="15" t="n">
        <v>0</v>
      </c>
      <c r="J314" s="15">
        <f>I314*C314</f>
        <v/>
      </c>
      <c r="K314" s="15">
        <f>E314+G314+I314</f>
        <v/>
      </c>
      <c r="L314" s="15">
        <f>F314+H314+J314</f>
        <v/>
      </c>
      <c r="M314" s="18" t="n"/>
    </row>
    <row r="315">
      <c r="A315" s="14" t="inlineStr">
        <is>
          <t>사). 고강성 PVC 이중벽관 이형관 접합</t>
        </is>
      </c>
      <c r="B315" s="14" t="inlineStr">
        <is>
          <t>D200mm</t>
        </is>
      </c>
      <c r="C315" s="15" t="n">
        <v>21</v>
      </c>
      <c r="D315" s="16" t="inlineStr">
        <is>
          <t>개소</t>
        </is>
      </c>
      <c r="E315" s="15" t="n">
        <v>0</v>
      </c>
      <c r="F315" s="15">
        <f>E315*C315</f>
        <v/>
      </c>
      <c r="G315" s="15" t="n">
        <v>13260</v>
      </c>
      <c r="H315" s="15">
        <f>G315*C315</f>
        <v/>
      </c>
      <c r="I315" s="15" t="n">
        <v>0</v>
      </c>
      <c r="J315" s="15">
        <f>I315*C315</f>
        <v/>
      </c>
      <c r="K315" s="15">
        <f>E315+G315+I315</f>
        <v/>
      </c>
      <c r="L315" s="15">
        <f>F315+H315+J315</f>
        <v/>
      </c>
      <c r="M315" s="18" t="n"/>
    </row>
    <row r="316">
      <c r="A316" s="14" t="inlineStr">
        <is>
          <t>아). 고강성 PVC 이중벽관 이형관 접합</t>
        </is>
      </c>
      <c r="B316" s="14" t="inlineStr">
        <is>
          <t>D300mm</t>
        </is>
      </c>
      <c r="C316" s="15" t="n">
        <v>14</v>
      </c>
      <c r="D316" s="16" t="inlineStr">
        <is>
          <t>개소</t>
        </is>
      </c>
      <c r="E316" s="15" t="n">
        <v>0</v>
      </c>
      <c r="F316" s="15">
        <f>E316*C316</f>
        <v/>
      </c>
      <c r="G316" s="15" t="n">
        <v>17680</v>
      </c>
      <c r="H316" s="15">
        <f>G316*C316</f>
        <v/>
      </c>
      <c r="I316" s="15" t="n">
        <v>0</v>
      </c>
      <c r="J316" s="15">
        <f>I316*C316</f>
        <v/>
      </c>
      <c r="K316" s="15">
        <f>E316+G316+I316</f>
        <v/>
      </c>
      <c r="L316" s="15">
        <f>F316+H316+J316</f>
        <v/>
      </c>
      <c r="M316" s="18" t="n"/>
    </row>
    <row r="317">
      <c r="A317" s="14" t="inlineStr">
        <is>
          <t>자). 고강성PVC이중벽관 이경티</t>
        </is>
      </c>
      <c r="B317" s="14" t="inlineStr">
        <is>
          <t>D300xD200</t>
        </is>
      </c>
      <c r="C317" s="15" t="n">
        <v>7</v>
      </c>
      <c r="D317" s="16" t="inlineStr">
        <is>
          <t>ea</t>
        </is>
      </c>
      <c r="E317" s="15" t="n">
        <v>0</v>
      </c>
      <c r="F317" s="15">
        <f>E317*C317</f>
        <v/>
      </c>
      <c r="G317" s="15" t="n">
        <v>13260</v>
      </c>
      <c r="H317" s="15">
        <f>G317*C317</f>
        <v/>
      </c>
      <c r="I317" s="15" t="n">
        <v>0</v>
      </c>
      <c r="J317" s="15">
        <f>I317*C317</f>
        <v/>
      </c>
      <c r="K317" s="15">
        <f>E317+G317+I317</f>
        <v/>
      </c>
      <c r="L317" s="15">
        <f>F317+H317+J317</f>
        <v/>
      </c>
      <c r="M317" s="18" t="n"/>
    </row>
    <row r="318">
      <c r="A318" s="14" t="inlineStr">
        <is>
          <t>차). 고강성PVC이중벽관 90 엘보</t>
        </is>
      </c>
      <c r="B318" s="14" t="inlineStr">
        <is>
          <t>D200</t>
        </is>
      </c>
      <c r="C318" s="15" t="n">
        <v>7</v>
      </c>
      <c r="D318" s="16" t="inlineStr">
        <is>
          <t>ea</t>
        </is>
      </c>
      <c r="E318" s="15" t="n">
        <v>0</v>
      </c>
      <c r="F318" s="15">
        <f>E318*C318</f>
        <v/>
      </c>
      <c r="G318" s="15" t="n">
        <v>8840</v>
      </c>
      <c r="H318" s="15">
        <f>G318*C318</f>
        <v/>
      </c>
      <c r="I318" s="15" t="n">
        <v>0</v>
      </c>
      <c r="J318" s="15">
        <f>I318*C318</f>
        <v/>
      </c>
      <c r="K318" s="15">
        <f>E318+G318+I318</f>
        <v/>
      </c>
      <c r="L318" s="15">
        <f>F318+H318+J318</f>
        <v/>
      </c>
      <c r="M318" s="18" t="n"/>
    </row>
    <row r="319">
      <c r="A319" s="28" t="inlineStr">
        <is>
          <t>마. 부대공</t>
        </is>
      </c>
      <c r="B319" s="28" t="n"/>
      <c r="C319" s="17" t="n"/>
      <c r="D319" s="16" t="n"/>
      <c r="E319" s="17" t="n"/>
      <c r="F319" s="29" t="n"/>
      <c r="G319" s="17" t="n"/>
      <c r="H319" s="29" t="n"/>
      <c r="I319" s="17" t="n"/>
      <c r="J319" s="29" t="n"/>
      <c r="K319" s="17" t="n"/>
      <c r="L319" s="29" t="n"/>
      <c r="M319" s="18" t="n"/>
    </row>
    <row r="320">
      <c r="A320" s="14" t="inlineStr">
        <is>
          <t>1). 하수관내CCTV조사</t>
        </is>
      </c>
      <c r="B320" s="14" t="inlineStr">
        <is>
          <t>신설(1일:520m)</t>
        </is>
      </c>
      <c r="C320" s="15" t="n">
        <v>430</v>
      </c>
      <c r="D320" s="16" t="inlineStr">
        <is>
          <t>m</t>
        </is>
      </c>
      <c r="E320" s="15" t="n">
        <v>0</v>
      </c>
      <c r="F320" s="15">
        <f>E320*C320</f>
        <v/>
      </c>
      <c r="G320" s="15" t="n">
        <v>0</v>
      </c>
      <c r="H320" s="15">
        <f>G320*C320</f>
        <v/>
      </c>
      <c r="I320" s="15" t="n">
        <v>3583</v>
      </c>
      <c r="J320" s="15">
        <f>I320*C320</f>
        <v/>
      </c>
      <c r="K320" s="15">
        <f>E320+G320+I320</f>
        <v/>
      </c>
      <c r="L320" s="15">
        <f>F320+H320+J320</f>
        <v/>
      </c>
      <c r="M320" s="18" t="n"/>
    </row>
    <row r="321">
      <c r="A321" s="14" t="inlineStr">
        <is>
          <t>2). 관로경고용테이프설치</t>
        </is>
      </c>
      <c r="B321" s="14" t="inlineStr">
        <is>
          <t>200mmx1m</t>
        </is>
      </c>
      <c r="C321" s="15" t="n">
        <v>644</v>
      </c>
      <c r="D321" s="16" t="inlineStr">
        <is>
          <t>m</t>
        </is>
      </c>
      <c r="E321" s="15" t="n">
        <v>469</v>
      </c>
      <c r="F321" s="15">
        <f>E321*C321</f>
        <v/>
      </c>
      <c r="G321" s="15" t="n">
        <v>442</v>
      </c>
      <c r="H321" s="15">
        <f>G321*C321</f>
        <v/>
      </c>
      <c r="I321" s="15" t="n">
        <v>0</v>
      </c>
      <c r="J321" s="15">
        <f>I321*C321</f>
        <v/>
      </c>
      <c r="K321" s="15">
        <f>E321+G321+I321</f>
        <v/>
      </c>
      <c r="L321" s="15">
        <f>F321+H321+J321</f>
        <v/>
      </c>
      <c r="M321" s="18" t="n"/>
    </row>
    <row r="322">
      <c r="A322" s="14" t="inlineStr">
        <is>
          <t>3). 하수관 공기압시험</t>
        </is>
      </c>
      <c r="B322" s="14" t="inlineStr">
        <is>
          <t>D300mm</t>
        </is>
      </c>
      <c r="C322" s="15" t="n">
        <v>9</v>
      </c>
      <c r="D322" s="16" t="inlineStr">
        <is>
          <t>회</t>
        </is>
      </c>
      <c r="E322" s="15" t="n">
        <v>0</v>
      </c>
      <c r="F322" s="15">
        <f>E322*C322</f>
        <v/>
      </c>
      <c r="G322" s="15" t="n">
        <v>0</v>
      </c>
      <c r="H322" s="15">
        <f>G322*C322</f>
        <v/>
      </c>
      <c r="I322" s="15" t="n">
        <v>358220</v>
      </c>
      <c r="J322" s="15">
        <f>I322*C322</f>
        <v/>
      </c>
      <c r="K322" s="15">
        <f>E322+G322+I322</f>
        <v/>
      </c>
      <c r="L322" s="15">
        <f>F322+H322+J322</f>
        <v/>
      </c>
      <c r="M322" s="18" t="n"/>
    </row>
    <row r="323">
      <c r="A323" s="28" t="inlineStr">
        <is>
          <t>4). 표식</t>
        </is>
      </c>
      <c r="B323" s="28" t="n"/>
      <c r="C323" s="17" t="n"/>
      <c r="D323" s="16" t="n"/>
      <c r="E323" s="17" t="n"/>
      <c r="F323" s="29" t="n"/>
      <c r="G323" s="17" t="n"/>
      <c r="H323" s="29" t="n"/>
      <c r="I323" s="17" t="n"/>
      <c r="J323" s="29" t="n"/>
      <c r="K323" s="17" t="n"/>
      <c r="L323" s="29" t="n"/>
      <c r="M323" s="18" t="n"/>
    </row>
    <row r="324">
      <c r="A324" s="14" t="inlineStr">
        <is>
          <t>가). 분기관 표식설치</t>
        </is>
      </c>
      <c r="B324" s="14" t="inlineStr">
        <is>
          <t>ELP D80,L=1.5M</t>
        </is>
      </c>
      <c r="C324" s="15" t="n">
        <v>8</v>
      </c>
      <c r="D324" s="16" t="inlineStr">
        <is>
          <t>개소</t>
        </is>
      </c>
      <c r="E324" s="15" t="n">
        <v>14065</v>
      </c>
      <c r="F324" s="15">
        <f>E324*C324</f>
        <v/>
      </c>
      <c r="G324" s="15" t="n">
        <v>22100</v>
      </c>
      <c r="H324" s="15">
        <f>G324*C324</f>
        <v/>
      </c>
      <c r="I324" s="15" t="n">
        <v>0</v>
      </c>
      <c r="J324" s="15">
        <f>I324*C324</f>
        <v/>
      </c>
      <c r="K324" s="15">
        <f>E324+G324+I324</f>
        <v/>
      </c>
      <c r="L324" s="15">
        <f>F324+H324+J324</f>
        <v/>
      </c>
      <c r="M324" s="18" t="n"/>
    </row>
    <row r="325">
      <c r="A325" s="14" t="inlineStr">
        <is>
          <t>나). 분기관표시못 설치</t>
        </is>
      </c>
      <c r="B325" s="14" t="inlineStr">
        <is>
          <t>D80X110</t>
        </is>
      </c>
      <c r="C325" s="15" t="n">
        <v>8</v>
      </c>
      <c r="D325" s="16" t="inlineStr">
        <is>
          <t>개소</t>
        </is>
      </c>
      <c r="E325" s="15" t="n">
        <v>18753</v>
      </c>
      <c r="F325" s="15">
        <f>E325*C325</f>
        <v/>
      </c>
      <c r="G325" s="15" t="n">
        <v>22100</v>
      </c>
      <c r="H325" s="15">
        <f>G325*C325</f>
        <v/>
      </c>
      <c r="I325" s="15" t="n">
        <v>0</v>
      </c>
      <c r="J325" s="15">
        <f>I325*C325</f>
        <v/>
      </c>
      <c r="K325" s="15">
        <f>E325+G325+I325</f>
        <v/>
      </c>
      <c r="L325" s="15">
        <f>F325+H325+J325</f>
        <v/>
      </c>
      <c r="M325" s="18" t="n"/>
    </row>
    <row r="326">
      <c r="A326" s="14" t="inlineStr">
        <is>
          <t>다). 마개</t>
        </is>
      </c>
      <c r="B326" s="14" t="inlineStr">
        <is>
          <t>150㎜, 파상형경질PE전선관용</t>
        </is>
      </c>
      <c r="C326" s="15" t="n">
        <v>8</v>
      </c>
      <c r="D326" s="16" t="inlineStr">
        <is>
          <t>ea</t>
        </is>
      </c>
      <c r="E326" s="15" t="n">
        <v>9377</v>
      </c>
      <c r="F326" s="15">
        <f>E326*C326</f>
        <v/>
      </c>
      <c r="G326" s="15" t="n">
        <v>22100</v>
      </c>
      <c r="H326" s="15">
        <f>G326*C326</f>
        <v/>
      </c>
      <c r="I326" s="15" t="n">
        <v>0</v>
      </c>
      <c r="J326" s="15">
        <f>I326*C326</f>
        <v/>
      </c>
      <c r="K326" s="15">
        <f>E326+G326+I326</f>
        <v/>
      </c>
      <c r="L326" s="15">
        <f>F326+H326+J326</f>
        <v/>
      </c>
      <c r="M326" s="18" t="n"/>
    </row>
    <row r="327">
      <c r="A327" s="28" t="inlineStr">
        <is>
          <t>바. 주요자재 구입 및 운반</t>
        </is>
      </c>
      <c r="B327" s="28" t="n"/>
      <c r="C327" s="17" t="n"/>
      <c r="D327" s="16" t="n"/>
      <c r="E327" s="17" t="n"/>
      <c r="F327" s="29" t="n"/>
      <c r="G327" s="17" t="n"/>
      <c r="H327" s="29" t="n"/>
      <c r="I327" s="17" t="n"/>
      <c r="J327" s="29" t="n"/>
      <c r="K327" s="17" t="n"/>
      <c r="L327" s="29" t="n"/>
      <c r="M327" s="18" t="n"/>
    </row>
    <row r="328">
      <c r="A328" s="28" t="inlineStr">
        <is>
          <t>1). 시멘트</t>
        </is>
      </c>
      <c r="B328" s="28" t="n"/>
      <c r="C328" s="17" t="n"/>
      <c r="D328" s="16" t="n"/>
      <c r="E328" s="17" t="n"/>
      <c r="F328" s="29" t="n"/>
      <c r="G328" s="17" t="n"/>
      <c r="H328" s="29" t="n"/>
      <c r="I328" s="17" t="n"/>
      <c r="J328" s="29" t="n"/>
      <c r="K328" s="17" t="n"/>
      <c r="L328" s="29" t="n"/>
      <c r="M328" s="18" t="n"/>
    </row>
    <row r="329">
      <c r="A329" s="14" t="inlineStr">
        <is>
          <t>가). 보통시멘트</t>
        </is>
      </c>
      <c r="B329" s="14" t="inlineStr">
        <is>
          <t>40kg/대 (포장품)</t>
        </is>
      </c>
      <c r="C329" s="15" t="n">
        <v>11</v>
      </c>
      <c r="D329" s="16" t="inlineStr">
        <is>
          <t>대</t>
        </is>
      </c>
      <c r="E329" s="15" t="n">
        <v>5532</v>
      </c>
      <c r="F329" s="15">
        <f>E329*C329</f>
        <v/>
      </c>
      <c r="G329" s="15" t="n">
        <v>0</v>
      </c>
      <c r="H329" s="15">
        <f>G329*C329</f>
        <v/>
      </c>
      <c r="I329" s="15" t="n">
        <v>0</v>
      </c>
      <c r="J329" s="15">
        <f>I329*C329</f>
        <v/>
      </c>
      <c r="K329" s="15">
        <f>E329+G329+I329</f>
        <v/>
      </c>
      <c r="L329" s="15">
        <f>F329+H329+J329</f>
        <v/>
      </c>
      <c r="M329" s="18" t="n"/>
    </row>
    <row r="330">
      <c r="A330" s="14" t="inlineStr">
        <is>
          <t>나). 시멘트운반</t>
        </is>
      </c>
      <c r="B330" s="14" t="inlineStr">
        <is>
          <t>L=30km이내</t>
        </is>
      </c>
      <c r="C330" s="15" t="n">
        <v>11</v>
      </c>
      <c r="D330" s="16" t="inlineStr">
        <is>
          <t>대</t>
        </is>
      </c>
      <c r="E330" s="15" t="n">
        <v>0</v>
      </c>
      <c r="F330" s="15">
        <f>E330*C330</f>
        <v/>
      </c>
      <c r="G330" s="15" t="n">
        <v>0</v>
      </c>
      <c r="H330" s="15">
        <f>G330*C330</f>
        <v/>
      </c>
      <c r="I330" s="15" t="n">
        <v>1023</v>
      </c>
      <c r="J330" s="15">
        <f>I330*C330</f>
        <v/>
      </c>
      <c r="K330" s="15">
        <f>E330+G330+I330</f>
        <v/>
      </c>
      <c r="L330" s="15">
        <f>F330+H330+J330</f>
        <v/>
      </c>
      <c r="M330" s="18" t="n"/>
    </row>
    <row r="331">
      <c r="A331" s="28" t="inlineStr">
        <is>
          <t>2). 골재</t>
        </is>
      </c>
      <c r="B331" s="28" t="n"/>
      <c r="C331" s="17" t="n"/>
      <c r="D331" s="16" t="n"/>
      <c r="E331" s="17" t="n"/>
      <c r="F331" s="29" t="n"/>
      <c r="G331" s="17" t="n"/>
      <c r="H331" s="29" t="n"/>
      <c r="I331" s="17" t="n"/>
      <c r="J331" s="29" t="n"/>
      <c r="K331" s="17" t="n"/>
      <c r="L331" s="29" t="n"/>
      <c r="M331" s="18" t="n"/>
    </row>
    <row r="332">
      <c r="A332" s="14" t="inlineStr">
        <is>
          <t>가). 모래</t>
        </is>
      </c>
      <c r="B332" s="14" t="inlineStr">
        <is>
          <t>강모래, 현장도착도</t>
        </is>
      </c>
      <c r="C332" s="15" t="n">
        <v>187</v>
      </c>
      <c r="D332" s="16" t="inlineStr">
        <is>
          <t>㎥</t>
        </is>
      </c>
      <c r="E332" s="15" t="n">
        <v>24379</v>
      </c>
      <c r="F332" s="15">
        <f>E332*C332</f>
        <v/>
      </c>
      <c r="G332" s="15" t="n">
        <v>0</v>
      </c>
      <c r="H332" s="15">
        <f>G332*C332</f>
        <v/>
      </c>
      <c r="I332" s="15" t="n">
        <v>0</v>
      </c>
      <c r="J332" s="15">
        <f>I332*C332</f>
        <v/>
      </c>
      <c r="K332" s="15">
        <f>E332+G332+I332</f>
        <v/>
      </c>
      <c r="L332" s="15">
        <f>F332+H332+J332</f>
        <v/>
      </c>
      <c r="M332" s="18" t="n"/>
    </row>
    <row r="333">
      <c r="A333" s="28" t="inlineStr">
        <is>
          <t>3). 철근</t>
        </is>
      </c>
      <c r="B333" s="28" t="n"/>
      <c r="C333" s="17" t="n"/>
      <c r="D333" s="16" t="n"/>
      <c r="E333" s="17" t="n"/>
      <c r="F333" s="29" t="n"/>
      <c r="G333" s="17" t="n"/>
      <c r="H333" s="29" t="n"/>
      <c r="I333" s="17" t="n"/>
      <c r="J333" s="29" t="n"/>
      <c r="K333" s="17" t="n"/>
      <c r="L333" s="29" t="n"/>
      <c r="M333" s="18" t="n"/>
    </row>
    <row r="334">
      <c r="A334" s="14" t="inlineStr">
        <is>
          <t>가). 이형철근</t>
        </is>
      </c>
      <c r="B334" s="14" t="inlineStr">
        <is>
          <t>D13M/M   0.995KG/M  SD30A</t>
        </is>
      </c>
      <c r="C334" s="61" t="n">
        <v>0.51</v>
      </c>
      <c r="D334" s="16" t="inlineStr">
        <is>
          <t>Ton</t>
        </is>
      </c>
      <c r="E334" s="15" t="n">
        <v>863043</v>
      </c>
      <c r="F334" s="15">
        <f>E334*C334</f>
        <v/>
      </c>
      <c r="G334" s="15" t="n">
        <v>0</v>
      </c>
      <c r="H334" s="15">
        <f>G334*C334</f>
        <v/>
      </c>
      <c r="I334" s="15" t="n">
        <v>0</v>
      </c>
      <c r="J334" s="15">
        <f>I334*C334</f>
        <v/>
      </c>
      <c r="K334" s="15">
        <f>E334+G334+I334</f>
        <v/>
      </c>
      <c r="L334" s="15">
        <f>F334+H334+J334</f>
        <v/>
      </c>
      <c r="M334" s="18" t="n"/>
    </row>
    <row r="335">
      <c r="A335" s="14" t="inlineStr">
        <is>
          <t>나). 이형철근</t>
        </is>
      </c>
      <c r="B335" s="14" t="inlineStr">
        <is>
          <t>D16M/M   1.560KG/M  SD30A</t>
        </is>
      </c>
      <c r="C335" s="61" t="n">
        <v>0.587</v>
      </c>
      <c r="D335" s="16" t="inlineStr">
        <is>
          <t>Ton</t>
        </is>
      </c>
      <c r="E335" s="15" t="n">
        <v>862530</v>
      </c>
      <c r="F335" s="15">
        <f>E335*C335</f>
        <v/>
      </c>
      <c r="G335" s="15" t="n">
        <v>0</v>
      </c>
      <c r="H335" s="15">
        <f>G335*C335</f>
        <v/>
      </c>
      <c r="I335" s="15" t="n">
        <v>0</v>
      </c>
      <c r="J335" s="15">
        <f>I335*C335</f>
        <v/>
      </c>
      <c r="K335" s="15">
        <f>E335+G335+I335</f>
        <v/>
      </c>
      <c r="L335" s="15">
        <f>F335+H335+J335</f>
        <v/>
      </c>
      <c r="M335" s="18" t="n"/>
    </row>
    <row r="336">
      <c r="A336" s="14" t="inlineStr">
        <is>
          <t>다). 철근운반비</t>
        </is>
      </c>
      <c r="B336" s="14" t="inlineStr">
        <is>
          <t>L=10km이내</t>
        </is>
      </c>
      <c r="C336" s="61" t="n">
        <v>1.097</v>
      </c>
      <c r="D336" s="16" t="inlineStr">
        <is>
          <t>Ton</t>
        </is>
      </c>
      <c r="E336" s="15" t="n">
        <v>0</v>
      </c>
      <c r="F336" s="15">
        <f>E336*C336</f>
        <v/>
      </c>
      <c r="G336" s="15" t="n">
        <v>0</v>
      </c>
      <c r="H336" s="15">
        <f>G336*C336</f>
        <v/>
      </c>
      <c r="I336" s="15" t="n">
        <v>20469</v>
      </c>
      <c r="J336" s="15">
        <f>I336*C336</f>
        <v/>
      </c>
      <c r="K336" s="15">
        <f>E336+G336+I336</f>
        <v/>
      </c>
      <c r="L336" s="15">
        <f>F336+H336+J336</f>
        <v/>
      </c>
      <c r="M336" s="18" t="n"/>
    </row>
    <row r="337">
      <c r="A337" s="14" t="inlineStr">
        <is>
          <t>라). 고철(고재)</t>
        </is>
      </c>
      <c r="B337" s="14" t="inlineStr">
        <is>
          <t>중량A</t>
        </is>
      </c>
      <c r="C337" s="61" t="n">
        <v>0.032</v>
      </c>
      <c r="D337" s="16" t="inlineStr">
        <is>
          <t>Ton</t>
        </is>
      </c>
      <c r="E337" s="15" t="n">
        <v>-371344</v>
      </c>
      <c r="F337" s="15">
        <f>E337*C337</f>
        <v/>
      </c>
      <c r="G337" s="15" t="n">
        <v>0</v>
      </c>
      <c r="H337" s="15">
        <f>G337*C337</f>
        <v/>
      </c>
      <c r="I337" s="15" t="n">
        <v>0</v>
      </c>
      <c r="J337" s="15">
        <f>I337*C337</f>
        <v/>
      </c>
      <c r="K337" s="15">
        <f>E337+G337+I337</f>
        <v/>
      </c>
      <c r="L337" s="15">
        <f>F337+H337+J337</f>
        <v/>
      </c>
      <c r="M337" s="18" t="n"/>
    </row>
    <row r="338">
      <c r="A338" s="28" t="inlineStr">
        <is>
          <t>4). 레미콘</t>
        </is>
      </c>
      <c r="B338" s="28" t="n"/>
      <c r="C338" s="17" t="n"/>
      <c r="D338" s="16" t="n"/>
      <c r="E338" s="17" t="n"/>
      <c r="F338" s="29" t="n"/>
      <c r="G338" s="17" t="n"/>
      <c r="H338" s="29" t="n"/>
      <c r="I338" s="17" t="n"/>
      <c r="J338" s="29" t="n"/>
      <c r="K338" s="17" t="n"/>
      <c r="L338" s="29" t="n"/>
      <c r="M338" s="18" t="n"/>
    </row>
    <row r="339">
      <c r="A339" s="14" t="inlineStr">
        <is>
          <t>가). 레미콘</t>
        </is>
      </c>
      <c r="B339" s="14" t="inlineStr">
        <is>
          <t>25-21- 8(Mpa)</t>
        </is>
      </c>
      <c r="C339" s="15" t="n">
        <v>32</v>
      </c>
      <c r="D339" s="16" t="inlineStr">
        <is>
          <t>㎥</t>
        </is>
      </c>
      <c r="E339" s="15" t="n">
        <v>82514</v>
      </c>
      <c r="F339" s="15">
        <f>E339*C339</f>
        <v/>
      </c>
      <c r="G339" s="15" t="n">
        <v>0</v>
      </c>
      <c r="H339" s="15">
        <f>G339*C339</f>
        <v/>
      </c>
      <c r="I339" s="15" t="n">
        <v>0</v>
      </c>
      <c r="J339" s="15">
        <f>I339*C339</f>
        <v/>
      </c>
      <c r="K339" s="15">
        <f>E339+G339+I339</f>
        <v/>
      </c>
      <c r="L339" s="15">
        <f>F339+H339+J339</f>
        <v/>
      </c>
      <c r="M339" s="18" t="n"/>
    </row>
    <row r="340">
      <c r="A340" s="14" t="inlineStr">
        <is>
          <t>나). 레미콘</t>
        </is>
      </c>
      <c r="B340" s="14" t="inlineStr">
        <is>
          <t>25-18-8(Mpa)</t>
        </is>
      </c>
      <c r="C340" s="15" t="n">
        <v>15</v>
      </c>
      <c r="D340" s="16" t="inlineStr">
        <is>
          <t>㎥</t>
        </is>
      </c>
      <c r="E340" s="15" t="n">
        <v>80827</v>
      </c>
      <c r="F340" s="15">
        <f>E340*C340</f>
        <v/>
      </c>
      <c r="G340" s="15" t="n">
        <v>0</v>
      </c>
      <c r="H340" s="15">
        <f>G340*C340</f>
        <v/>
      </c>
      <c r="I340" s="15" t="n">
        <v>0</v>
      </c>
      <c r="J340" s="15">
        <f>I340*C340</f>
        <v/>
      </c>
      <c r="K340" s="15">
        <f>E340+G340+I340</f>
        <v/>
      </c>
      <c r="L340" s="15">
        <f>F340+H340+J340</f>
        <v/>
      </c>
      <c r="M340" s="18" t="n"/>
    </row>
    <row r="341">
      <c r="A341" s="28" t="inlineStr">
        <is>
          <t>5). 고강성 PVC 이중벽관</t>
        </is>
      </c>
      <c r="B341" s="28" t="n"/>
      <c r="C341" s="17" t="n"/>
      <c r="D341" s="16" t="n"/>
      <c r="E341" s="17" t="n"/>
      <c r="F341" s="29" t="n"/>
      <c r="G341" s="17" t="n"/>
      <c r="H341" s="29" t="n"/>
      <c r="I341" s="17" t="n"/>
      <c r="J341" s="29" t="n"/>
      <c r="K341" s="17" t="n"/>
      <c r="L341" s="29" t="n"/>
      <c r="M341" s="18" t="n"/>
    </row>
    <row r="342">
      <c r="A342" s="14" t="inlineStr">
        <is>
          <t>가). 고강성PVC이중벽관</t>
        </is>
      </c>
      <c r="B342" s="14" t="inlineStr">
        <is>
          <t>D150mm, 직관</t>
        </is>
      </c>
      <c r="C342" s="15" t="n">
        <v>15</v>
      </c>
      <c r="D342" s="16" t="inlineStr">
        <is>
          <t>본</t>
        </is>
      </c>
      <c r="E342" s="15" t="n">
        <v>60948</v>
      </c>
      <c r="F342" s="15">
        <f>E342*C342</f>
        <v/>
      </c>
      <c r="G342" s="15" t="n">
        <v>0</v>
      </c>
      <c r="H342" s="15">
        <f>G342*C342</f>
        <v/>
      </c>
      <c r="I342" s="15" t="n">
        <v>0</v>
      </c>
      <c r="J342" s="15">
        <f>I342*C342</f>
        <v/>
      </c>
      <c r="K342" s="15">
        <f>E342+G342+I342</f>
        <v/>
      </c>
      <c r="L342" s="15">
        <f>F342+H342+J342</f>
        <v/>
      </c>
      <c r="M342" s="18" t="n"/>
    </row>
    <row r="343">
      <c r="A343" s="14" t="inlineStr">
        <is>
          <t>나). 고강성PVC이중벽관</t>
        </is>
      </c>
      <c r="B343" s="14" t="inlineStr">
        <is>
          <t>D200mm, 직관</t>
        </is>
      </c>
      <c r="C343" s="15" t="n">
        <v>2</v>
      </c>
      <c r="D343" s="16" t="inlineStr">
        <is>
          <t>본</t>
        </is>
      </c>
      <c r="E343" s="15" t="n">
        <v>101268</v>
      </c>
      <c r="F343" s="15">
        <f>E343*C343</f>
        <v/>
      </c>
      <c r="G343" s="15" t="n">
        <v>0</v>
      </c>
      <c r="H343" s="15">
        <f>G343*C343</f>
        <v/>
      </c>
      <c r="I343" s="15" t="n">
        <v>0</v>
      </c>
      <c r="J343" s="15">
        <f>I343*C343</f>
        <v/>
      </c>
      <c r="K343" s="15">
        <f>E343+G343+I343</f>
        <v/>
      </c>
      <c r="L343" s="15">
        <f>F343+H343+J343</f>
        <v/>
      </c>
      <c r="M343" s="18" t="n"/>
    </row>
    <row r="344">
      <c r="A344" s="14" t="inlineStr">
        <is>
          <t>다). 고강성PVC이중벽관</t>
        </is>
      </c>
      <c r="B344" s="14" t="inlineStr">
        <is>
          <t>D300mm, 직관</t>
        </is>
      </c>
      <c r="C344" s="15" t="n">
        <v>75</v>
      </c>
      <c r="D344" s="16" t="inlineStr">
        <is>
          <t>본</t>
        </is>
      </c>
      <c r="E344" s="15" t="n">
        <v>196909</v>
      </c>
      <c r="F344" s="15">
        <f>E344*C344</f>
        <v/>
      </c>
      <c r="G344" s="15" t="n">
        <v>0</v>
      </c>
      <c r="H344" s="15">
        <f>G344*C344</f>
        <v/>
      </c>
      <c r="I344" s="15" t="n">
        <v>0</v>
      </c>
      <c r="J344" s="15">
        <f>I344*C344</f>
        <v/>
      </c>
      <c r="K344" s="15">
        <f>E344+G344+I344</f>
        <v/>
      </c>
      <c r="L344" s="15">
        <f>F344+H344+J344</f>
        <v/>
      </c>
      <c r="M344" s="18" t="n"/>
    </row>
    <row r="345">
      <c r="A345" s="28" t="inlineStr">
        <is>
          <t>6). 맨홀뚜껑</t>
        </is>
      </c>
      <c r="B345" s="28" t="n"/>
      <c r="C345" s="17" t="n"/>
      <c r="D345" s="16" t="n"/>
      <c r="E345" s="17" t="n"/>
      <c r="F345" s="29" t="n"/>
      <c r="G345" s="17" t="n"/>
      <c r="H345" s="29" t="n"/>
      <c r="I345" s="17" t="n"/>
      <c r="J345" s="29" t="n"/>
      <c r="K345" s="17" t="n"/>
      <c r="L345" s="29" t="n"/>
      <c r="M345" s="18" t="n"/>
    </row>
    <row r="346">
      <c r="A346" s="14" t="inlineStr">
        <is>
          <t>가). 맨홀뚜껑(주철제)</t>
        </is>
      </c>
      <c r="B346" s="14" t="inlineStr">
        <is>
          <t>Φ648KS, 하수도용(잠금식)</t>
        </is>
      </c>
      <c r="C346" s="15" t="n">
        <v>15</v>
      </c>
      <c r="D346" s="16" t="inlineStr">
        <is>
          <t>조</t>
        </is>
      </c>
      <c r="E346" s="15" t="n">
        <v>300052</v>
      </c>
      <c r="F346" s="15">
        <f>E346*C346</f>
        <v/>
      </c>
      <c r="G346" s="15" t="n">
        <v>0</v>
      </c>
      <c r="H346" s="15">
        <f>G346*C346</f>
        <v/>
      </c>
      <c r="I346" s="15" t="n">
        <v>0</v>
      </c>
      <c r="J346" s="15">
        <f>I346*C346</f>
        <v/>
      </c>
      <c r="K346" s="15">
        <f>E346+G346+I346</f>
        <v/>
      </c>
      <c r="L346" s="15">
        <f>F346+H346+J346</f>
        <v/>
      </c>
      <c r="M346" s="18" t="n"/>
    </row>
    <row r="347">
      <c r="A347" s="25" t="inlineStr">
        <is>
          <t>4. 상 수 공</t>
        </is>
      </c>
      <c r="B347" s="26" t="n"/>
      <c r="C347" s="21" t="n"/>
      <c r="D347" s="22" t="n"/>
      <c r="E347" s="21" t="n"/>
      <c r="F347" s="27" t="n"/>
      <c r="G347" s="21" t="n"/>
      <c r="H347" s="27" t="n"/>
      <c r="I347" s="21" t="n"/>
      <c r="J347" s="27" t="n"/>
      <c r="K347" s="21" t="n"/>
      <c r="L347" s="27" t="n"/>
      <c r="M347" s="24" t="n"/>
    </row>
    <row r="348">
      <c r="A348" s="28" t="inlineStr">
        <is>
          <t>가. 토공사</t>
        </is>
      </c>
      <c r="B348" s="28" t="n"/>
      <c r="C348" s="17" t="n"/>
      <c r="D348" s="16" t="n"/>
      <c r="E348" s="17" t="n"/>
      <c r="F348" s="29" t="n"/>
      <c r="G348" s="17" t="n"/>
      <c r="H348" s="29" t="n"/>
      <c r="I348" s="17" t="n"/>
      <c r="J348" s="29" t="n"/>
      <c r="K348" s="17" t="n"/>
      <c r="L348" s="29" t="n"/>
      <c r="M348" s="18" t="n"/>
    </row>
    <row r="349">
      <c r="A349" s="28" t="inlineStr">
        <is>
          <t>1). 터파기</t>
        </is>
      </c>
      <c r="B349" s="28" t="n"/>
      <c r="C349" s="17" t="n"/>
      <c r="D349" s="16" t="n"/>
      <c r="E349" s="17" t="n"/>
      <c r="F349" s="29" t="n"/>
      <c r="G349" s="17" t="n"/>
      <c r="H349" s="29" t="n"/>
      <c r="I349" s="17" t="n"/>
      <c r="J349" s="29" t="n"/>
      <c r="K349" s="17" t="n"/>
      <c r="L349" s="29" t="n"/>
      <c r="M349" s="18" t="n"/>
    </row>
    <row r="350">
      <c r="A350" s="28" t="inlineStr">
        <is>
          <t>가). 토사</t>
        </is>
      </c>
      <c r="B350" s="28" t="n"/>
      <c r="C350" s="17" t="n"/>
      <c r="D350" s="16" t="n"/>
      <c r="E350" s="17" t="n"/>
      <c r="F350" s="29" t="n"/>
      <c r="G350" s="17" t="n"/>
      <c r="H350" s="29" t="n"/>
      <c r="I350" s="17" t="n"/>
      <c r="J350" s="29" t="n"/>
      <c r="K350" s="17" t="n"/>
      <c r="L350" s="29" t="n"/>
      <c r="M350" s="18" t="n"/>
    </row>
    <row r="351">
      <c r="A351" s="14" t="inlineStr">
        <is>
          <t>(1). 터파기(토사)</t>
        </is>
      </c>
      <c r="B351" s="14" t="inlineStr">
        <is>
          <t>기계70%+인력30%, 보통토사</t>
        </is>
      </c>
      <c r="C351" s="15" t="n">
        <v>113</v>
      </c>
      <c r="D351" s="16" t="inlineStr">
        <is>
          <t>㎥</t>
        </is>
      </c>
      <c r="E351" s="15" t="n">
        <v>870</v>
      </c>
      <c r="F351" s="15">
        <f>E351*C351</f>
        <v/>
      </c>
      <c r="G351" s="15" t="n">
        <v>5220</v>
      </c>
      <c r="H351" s="15">
        <f>G351*C351</f>
        <v/>
      </c>
      <c r="I351" s="15" t="n">
        <v>949</v>
      </c>
      <c r="J351" s="15">
        <f>I351*C351</f>
        <v/>
      </c>
      <c r="K351" s="15">
        <f>E351+G351+I351</f>
        <v/>
      </c>
      <c r="L351" s="15">
        <f>F351+H351+J351</f>
        <v/>
      </c>
      <c r="M351" s="18" t="n"/>
    </row>
    <row r="352">
      <c r="A352" s="14" t="inlineStr">
        <is>
          <t>(2). 터파기(토사)</t>
        </is>
      </c>
      <c r="B352" s="14" t="inlineStr">
        <is>
          <t>TYPE-1, 백호1.0, 기계100%</t>
        </is>
      </c>
      <c r="C352" s="15" t="n">
        <v>1901</v>
      </c>
      <c r="D352" s="16" t="inlineStr">
        <is>
          <t>㎥</t>
        </is>
      </c>
      <c r="E352" s="15" t="n">
        <v>870</v>
      </c>
      <c r="F352" s="15">
        <f>E352*C352</f>
        <v/>
      </c>
      <c r="G352" s="15" t="n">
        <v>2610</v>
      </c>
      <c r="H352" s="15">
        <f>G352*C352</f>
        <v/>
      </c>
      <c r="I352" s="15" t="n">
        <v>1899</v>
      </c>
      <c r="J352" s="15">
        <f>I352*C352</f>
        <v/>
      </c>
      <c r="K352" s="15">
        <f>E352+G352+I352</f>
        <v/>
      </c>
      <c r="L352" s="15">
        <f>F352+H352+J352</f>
        <v/>
      </c>
      <c r="M352" s="18" t="n"/>
    </row>
    <row r="353">
      <c r="A353" s="28" t="inlineStr">
        <is>
          <t>2). 되메우기</t>
        </is>
      </c>
      <c r="B353" s="28" t="n"/>
      <c r="C353" s="17" t="n"/>
      <c r="D353" s="16" t="n"/>
      <c r="E353" s="17" t="n"/>
      <c r="F353" s="29" t="n"/>
      <c r="G353" s="17" t="n"/>
      <c r="H353" s="29" t="n"/>
      <c r="I353" s="17" t="n"/>
      <c r="J353" s="29" t="n"/>
      <c r="K353" s="17" t="n"/>
      <c r="L353" s="29" t="n"/>
      <c r="M353" s="18" t="n"/>
    </row>
    <row r="354">
      <c r="A354" s="14" t="inlineStr">
        <is>
          <t>가). 되메우기 및 다짐(토사)</t>
        </is>
      </c>
      <c r="B354" s="14" t="inlineStr">
        <is>
          <t>기계90%,인력10%,래머 80KG</t>
        </is>
      </c>
      <c r="C354" s="15" t="n">
        <v>106</v>
      </c>
      <c r="D354" s="16" t="inlineStr">
        <is>
          <t>㎥</t>
        </is>
      </c>
      <c r="E354" s="15" t="n">
        <v>870</v>
      </c>
      <c r="F354" s="15">
        <f>E354*C354</f>
        <v/>
      </c>
      <c r="G354" s="15" t="n">
        <v>2610</v>
      </c>
      <c r="H354" s="15">
        <f>G354*C354</f>
        <v/>
      </c>
      <c r="I354" s="15" t="n">
        <v>2849</v>
      </c>
      <c r="J354" s="15">
        <f>I354*C354</f>
        <v/>
      </c>
      <c r="K354" s="15">
        <f>E354+G354+I354</f>
        <v/>
      </c>
      <c r="L354" s="15">
        <f>F354+H354+J354</f>
        <v/>
      </c>
      <c r="M354" s="18" t="n"/>
    </row>
    <row r="355">
      <c r="A355" s="14" t="inlineStr">
        <is>
          <t>나). 되메우기 및 다짐(토사)</t>
        </is>
      </c>
      <c r="B355" s="14" t="inlineStr">
        <is>
          <t>백호0.7+플레이트콤펙터1.5ton</t>
        </is>
      </c>
      <c r="C355" s="15" t="n">
        <v>1828</v>
      </c>
      <c r="D355" s="16" t="inlineStr">
        <is>
          <t>㎥</t>
        </is>
      </c>
      <c r="E355" s="15" t="n">
        <v>870</v>
      </c>
      <c r="F355" s="15">
        <f>E355*C355</f>
        <v/>
      </c>
      <c r="G355" s="15" t="n">
        <v>4350</v>
      </c>
      <c r="H355" s="15">
        <f>G355*C355</f>
        <v/>
      </c>
      <c r="I355" s="15" t="n">
        <v>949</v>
      </c>
      <c r="J355" s="15">
        <f>I355*C355</f>
        <v/>
      </c>
      <c r="K355" s="15">
        <f>E355+G355+I355</f>
        <v/>
      </c>
      <c r="L355" s="15">
        <f>F355+H355+J355</f>
        <v/>
      </c>
      <c r="M355" s="18" t="n"/>
    </row>
    <row r="356">
      <c r="A356" s="28" t="inlineStr">
        <is>
          <t>3). 잔토처리</t>
        </is>
      </c>
      <c r="B356" s="28" t="n"/>
      <c r="C356" s="17" t="n"/>
      <c r="D356" s="16" t="n"/>
      <c r="E356" s="17" t="n"/>
      <c r="F356" s="29" t="n"/>
      <c r="G356" s="17" t="n"/>
      <c r="H356" s="29" t="n"/>
      <c r="I356" s="17" t="n"/>
      <c r="J356" s="29" t="n"/>
      <c r="K356" s="17" t="n"/>
      <c r="L356" s="29" t="n"/>
      <c r="M356" s="18" t="n"/>
    </row>
    <row r="357">
      <c r="A357" s="14" t="inlineStr">
        <is>
          <t>가). 잔토처리(토사)</t>
        </is>
      </c>
      <c r="B357" s="14" t="inlineStr">
        <is>
          <t>기계100%</t>
        </is>
      </c>
      <c r="C357" s="15" t="n">
        <v>80</v>
      </c>
      <c r="D357" s="16" t="inlineStr">
        <is>
          <t>㎥</t>
        </is>
      </c>
      <c r="E357" s="15" t="n">
        <v>0</v>
      </c>
      <c r="F357" s="15">
        <f>E357*C357</f>
        <v/>
      </c>
      <c r="G357" s="15" t="n">
        <v>0</v>
      </c>
      <c r="H357" s="15">
        <f>G357*C357</f>
        <v/>
      </c>
      <c r="I357" s="15" t="n">
        <v>9496</v>
      </c>
      <c r="J357" s="15">
        <f>I357*C357</f>
        <v/>
      </c>
      <c r="K357" s="15">
        <f>E357+G357+I357</f>
        <v/>
      </c>
      <c r="L357" s="15">
        <f>F357+H357+J357</f>
        <v/>
      </c>
      <c r="M357" s="18" t="n"/>
    </row>
    <row r="358">
      <c r="A358" s="28" t="inlineStr">
        <is>
          <t>나. 관로</t>
        </is>
      </c>
      <c r="B358" s="28" t="n"/>
      <c r="C358" s="17" t="n"/>
      <c r="D358" s="16" t="n"/>
      <c r="E358" s="17" t="n"/>
      <c r="F358" s="29" t="n"/>
      <c r="G358" s="17" t="n"/>
      <c r="H358" s="29" t="n"/>
      <c r="I358" s="17" t="n"/>
      <c r="J358" s="29" t="n"/>
      <c r="K358" s="17" t="n"/>
      <c r="L358" s="29" t="n"/>
      <c r="M358" s="18" t="n"/>
    </row>
    <row r="359">
      <c r="A359" s="28" t="inlineStr">
        <is>
          <t>1). 주철관 접합 및 부설</t>
        </is>
      </c>
      <c r="B359" s="28" t="n"/>
      <c r="C359" s="17" t="n"/>
      <c r="D359" s="16" t="n"/>
      <c r="E359" s="17" t="n"/>
      <c r="F359" s="29" t="n"/>
      <c r="G359" s="17" t="n"/>
      <c r="H359" s="29" t="n"/>
      <c r="I359" s="17" t="n"/>
      <c r="J359" s="29" t="n"/>
      <c r="K359" s="17" t="n"/>
      <c r="L359" s="29" t="n"/>
      <c r="M359" s="18" t="n"/>
    </row>
    <row r="360">
      <c r="A360" s="14" t="inlineStr">
        <is>
          <t>가). 주철관 부설 및 접합(KP접합)</t>
        </is>
      </c>
      <c r="B360" s="14" t="inlineStr">
        <is>
          <t>D100mm, 시공조건 B</t>
        </is>
      </c>
      <c r="C360" s="15" t="n">
        <v>135</v>
      </c>
      <c r="D360" s="16" t="inlineStr">
        <is>
          <t>m</t>
        </is>
      </c>
      <c r="E360" s="15" t="n">
        <v>2610</v>
      </c>
      <c r="F360" s="15">
        <f>E360*C360</f>
        <v/>
      </c>
      <c r="G360" s="15" t="n">
        <v>13921</v>
      </c>
      <c r="H360" s="15">
        <f>G360*C360</f>
        <v/>
      </c>
      <c r="I360" s="15" t="n">
        <v>949</v>
      </c>
      <c r="J360" s="15">
        <f>I360*C360</f>
        <v/>
      </c>
      <c r="K360" s="15">
        <f>E360+G360+I360</f>
        <v/>
      </c>
      <c r="L360" s="15">
        <f>F360+H360+J360</f>
        <v/>
      </c>
      <c r="M360" s="18" t="n"/>
    </row>
    <row r="361">
      <c r="A361" s="14" t="inlineStr">
        <is>
          <t>나). 주철관 부설 및 접합(KP접합)</t>
        </is>
      </c>
      <c r="B361" s="14" t="inlineStr">
        <is>
          <t>D150mm, 시공조건 B</t>
        </is>
      </c>
      <c r="C361" s="15" t="n">
        <v>784</v>
      </c>
      <c r="D361" s="16" t="inlineStr">
        <is>
          <t>m</t>
        </is>
      </c>
      <c r="E361" s="15" t="n">
        <v>3654</v>
      </c>
      <c r="F361" s="15">
        <f>E361*C361</f>
        <v/>
      </c>
      <c r="G361" s="15" t="n">
        <v>14791</v>
      </c>
      <c r="H361" s="15">
        <f>G361*C361</f>
        <v/>
      </c>
      <c r="I361" s="15" t="n">
        <v>0</v>
      </c>
      <c r="J361" s="15">
        <f>I361*C361</f>
        <v/>
      </c>
      <c r="K361" s="15">
        <f>E361+G361+I361</f>
        <v/>
      </c>
      <c r="L361" s="15">
        <f>F361+H361+J361</f>
        <v/>
      </c>
      <c r="M361" s="18" t="n"/>
    </row>
    <row r="362">
      <c r="A362" s="28" t="inlineStr">
        <is>
          <t>2). 주철관 이형관 접합</t>
        </is>
      </c>
      <c r="B362" s="28" t="n"/>
      <c r="C362" s="17" t="n"/>
      <c r="D362" s="16" t="n"/>
      <c r="E362" s="17" t="n"/>
      <c r="F362" s="29" t="n"/>
      <c r="G362" s="17" t="n"/>
      <c r="H362" s="29" t="n"/>
      <c r="I362" s="17" t="n"/>
      <c r="J362" s="29" t="n"/>
      <c r="K362" s="17" t="n"/>
      <c r="L362" s="29" t="n"/>
      <c r="M362" s="18" t="n"/>
    </row>
    <row r="363">
      <c r="A363" s="14" t="inlineStr">
        <is>
          <t>가). 주철 이형관 접합(KP접합)</t>
        </is>
      </c>
      <c r="B363" s="14" t="inlineStr">
        <is>
          <t>D100mm</t>
        </is>
      </c>
      <c r="C363" s="15" t="n">
        <v>17</v>
      </c>
      <c r="D363" s="16" t="inlineStr">
        <is>
          <t>개소</t>
        </is>
      </c>
      <c r="E363" s="15" t="n">
        <v>15400</v>
      </c>
      <c r="F363" s="15">
        <f>E363*C363</f>
        <v/>
      </c>
      <c r="G363" s="15" t="n">
        <v>43502</v>
      </c>
      <c r="H363" s="15">
        <f>G363*C363</f>
        <v/>
      </c>
      <c r="I363" s="15" t="n">
        <v>0</v>
      </c>
      <c r="J363" s="15">
        <f>I363*C363</f>
        <v/>
      </c>
      <c r="K363" s="15">
        <f>E363+G363+I363</f>
        <v/>
      </c>
      <c r="L363" s="15">
        <f>F363+H363+J363</f>
        <v/>
      </c>
      <c r="M363" s="18" t="n"/>
    </row>
    <row r="364">
      <c r="A364" s="14" t="inlineStr">
        <is>
          <t>나). 주철 이형관 접합(KP접합)</t>
        </is>
      </c>
      <c r="B364" s="14" t="inlineStr">
        <is>
          <t>D150mm</t>
        </is>
      </c>
      <c r="C364" s="15" t="n">
        <v>59</v>
      </c>
      <c r="D364" s="16" t="inlineStr">
        <is>
          <t>개소</t>
        </is>
      </c>
      <c r="E364" s="15" t="n">
        <v>21490</v>
      </c>
      <c r="F364" s="15">
        <f>E364*C364</f>
        <v/>
      </c>
      <c r="G364" s="15" t="n">
        <v>52202</v>
      </c>
      <c r="H364" s="15">
        <f>G364*C364</f>
        <v/>
      </c>
      <c r="I364" s="15" t="n">
        <v>0</v>
      </c>
      <c r="J364" s="15">
        <f>I364*C364</f>
        <v/>
      </c>
      <c r="K364" s="15">
        <f>E364+G364+I364</f>
        <v/>
      </c>
      <c r="L364" s="15">
        <f>F364+H364+J364</f>
        <v/>
      </c>
      <c r="M364" s="18" t="n"/>
    </row>
    <row r="365">
      <c r="A365" s="14" t="inlineStr">
        <is>
          <t>다). 주철 이형관 접합(이탈방지압륜)</t>
        </is>
      </c>
      <c r="B365" s="14" t="inlineStr">
        <is>
          <t>D100mm</t>
        </is>
      </c>
      <c r="C365" s="15" t="n">
        <v>33</v>
      </c>
      <c r="D365" s="16" t="inlineStr">
        <is>
          <t>개소</t>
        </is>
      </c>
      <c r="E365" s="15" t="n">
        <v>23056</v>
      </c>
      <c r="F365" s="15">
        <f>E365*C365</f>
        <v/>
      </c>
      <c r="G365" s="15" t="n">
        <v>43502</v>
      </c>
      <c r="H365" s="15">
        <f>G365*C365</f>
        <v/>
      </c>
      <c r="I365" s="15" t="n">
        <v>0</v>
      </c>
      <c r="J365" s="15">
        <f>I365*C365</f>
        <v/>
      </c>
      <c r="K365" s="15">
        <f>E365+G365+I365</f>
        <v/>
      </c>
      <c r="L365" s="15">
        <f>F365+H365+J365</f>
        <v/>
      </c>
      <c r="M365" s="18" t="n"/>
    </row>
    <row r="366">
      <c r="A366" s="14" t="inlineStr">
        <is>
          <t>라). 주철 이형관 접합(이탈방지압륜)</t>
        </is>
      </c>
      <c r="B366" s="14" t="inlineStr">
        <is>
          <t>D150mm</t>
        </is>
      </c>
      <c r="C366" s="15" t="n">
        <v>76</v>
      </c>
      <c r="D366" s="16" t="inlineStr">
        <is>
          <t>개소</t>
        </is>
      </c>
      <c r="E366" s="15" t="n">
        <v>30625</v>
      </c>
      <c r="F366" s="15">
        <f>E366*C366</f>
        <v/>
      </c>
      <c r="G366" s="15" t="n">
        <v>52202</v>
      </c>
      <c r="H366" s="15">
        <f>G366*C366</f>
        <v/>
      </c>
      <c r="I366" s="15" t="n">
        <v>0</v>
      </c>
      <c r="J366" s="15">
        <f>I366*C366</f>
        <v/>
      </c>
      <c r="K366" s="15">
        <f>E366+G366+I366</f>
        <v/>
      </c>
      <c r="L366" s="15">
        <f>F366+H366+J366</f>
        <v/>
      </c>
      <c r="M366" s="18" t="n"/>
    </row>
    <row r="367">
      <c r="A367" s="28" t="inlineStr">
        <is>
          <t>3). 플랜지 접합</t>
        </is>
      </c>
      <c r="B367" s="28" t="n"/>
      <c r="C367" s="17" t="n"/>
      <c r="D367" s="16" t="n"/>
      <c r="E367" s="17" t="n"/>
      <c r="F367" s="29" t="n"/>
      <c r="G367" s="17" t="n"/>
      <c r="H367" s="29" t="n"/>
      <c r="I367" s="17" t="n"/>
      <c r="J367" s="29" t="n"/>
      <c r="K367" s="17" t="n"/>
      <c r="L367" s="29" t="n"/>
      <c r="M367" s="18" t="n"/>
    </row>
    <row r="368">
      <c r="A368" s="14" t="inlineStr">
        <is>
          <t>가). 플랜지 접합</t>
        </is>
      </c>
      <c r="B368" s="14" t="inlineStr">
        <is>
          <t>D100mm</t>
        </is>
      </c>
      <c r="C368" s="15" t="n">
        <v>12</v>
      </c>
      <c r="D368" s="16" t="inlineStr">
        <is>
          <t>개소</t>
        </is>
      </c>
      <c r="E368" s="15" t="n">
        <v>6177</v>
      </c>
      <c r="F368" s="15">
        <f>E368*C368</f>
        <v/>
      </c>
      <c r="G368" s="15" t="n">
        <v>17401</v>
      </c>
      <c r="H368" s="15">
        <f>G368*C368</f>
        <v/>
      </c>
      <c r="I368" s="15" t="n">
        <v>0</v>
      </c>
      <c r="J368" s="15">
        <f>I368*C368</f>
        <v/>
      </c>
      <c r="K368" s="15">
        <f>E368+G368+I368</f>
        <v/>
      </c>
      <c r="L368" s="15">
        <f>F368+H368+J368</f>
        <v/>
      </c>
      <c r="M368" s="18" t="n"/>
    </row>
    <row r="369">
      <c r="A369" s="14" t="inlineStr">
        <is>
          <t>나). 플랜지 접합</t>
        </is>
      </c>
      <c r="B369" s="14" t="inlineStr">
        <is>
          <t>D150mm</t>
        </is>
      </c>
      <c r="C369" s="15" t="n">
        <v>33</v>
      </c>
      <c r="D369" s="16" t="inlineStr">
        <is>
          <t>개소</t>
        </is>
      </c>
      <c r="E369" s="15" t="n">
        <v>10179</v>
      </c>
      <c r="F369" s="15">
        <f>E369*C369</f>
        <v/>
      </c>
      <c r="G369" s="15" t="n">
        <v>26101</v>
      </c>
      <c r="H369" s="15">
        <f>G369*C369</f>
        <v/>
      </c>
      <c r="I369" s="15" t="n">
        <v>0</v>
      </c>
      <c r="J369" s="15">
        <f>I369*C369</f>
        <v/>
      </c>
      <c r="K369" s="15">
        <f>E369+G369+I369</f>
        <v/>
      </c>
      <c r="L369" s="15">
        <f>F369+H369+J369</f>
        <v/>
      </c>
      <c r="M369" s="18" t="n"/>
    </row>
    <row r="370">
      <c r="A370" s="28" t="inlineStr">
        <is>
          <t>4). 주철관 절단</t>
        </is>
      </c>
      <c r="B370" s="28" t="n"/>
      <c r="C370" s="17" t="n"/>
      <c r="D370" s="16" t="n"/>
      <c r="E370" s="17" t="n"/>
      <c r="F370" s="29" t="n"/>
      <c r="G370" s="17" t="n"/>
      <c r="H370" s="29" t="n"/>
      <c r="I370" s="17" t="n"/>
      <c r="J370" s="29" t="n"/>
      <c r="K370" s="17" t="n"/>
      <c r="L370" s="29" t="n"/>
      <c r="M370" s="18" t="n"/>
    </row>
    <row r="371">
      <c r="A371" s="14" t="inlineStr">
        <is>
          <t>가). 주철관 절단</t>
        </is>
      </c>
      <c r="B371" s="14" t="inlineStr">
        <is>
          <t>D100mm</t>
        </is>
      </c>
      <c r="C371" s="15" t="n">
        <v>57</v>
      </c>
      <c r="D371" s="16" t="inlineStr">
        <is>
          <t>개소</t>
        </is>
      </c>
      <c r="E371" s="15" t="n">
        <v>0</v>
      </c>
      <c r="F371" s="15">
        <f>E371*C371</f>
        <v/>
      </c>
      <c r="G371" s="15" t="n">
        <v>17401</v>
      </c>
      <c r="H371" s="15">
        <f>G371*C371</f>
        <v/>
      </c>
      <c r="I371" s="15" t="n">
        <v>0</v>
      </c>
      <c r="J371" s="15">
        <f>I371*C371</f>
        <v/>
      </c>
      <c r="K371" s="15">
        <f>E371+G371+I371</f>
        <v/>
      </c>
      <c r="L371" s="15">
        <f>F371+H371+J371</f>
        <v/>
      </c>
      <c r="M371" s="18" t="n"/>
    </row>
    <row r="372">
      <c r="A372" s="14" t="inlineStr">
        <is>
          <t>나). 주철관 절단</t>
        </is>
      </c>
      <c r="B372" s="14" t="inlineStr">
        <is>
          <t>D150mm</t>
        </is>
      </c>
      <c r="C372" s="15" t="n">
        <v>18</v>
      </c>
      <c r="D372" s="16" t="inlineStr">
        <is>
          <t>개소</t>
        </is>
      </c>
      <c r="E372" s="15" t="n">
        <v>0</v>
      </c>
      <c r="F372" s="15">
        <f>E372*C372</f>
        <v/>
      </c>
      <c r="G372" s="15" t="n">
        <v>26101</v>
      </c>
      <c r="H372" s="15">
        <f>G372*C372</f>
        <v/>
      </c>
      <c r="I372" s="15" t="n">
        <v>0</v>
      </c>
      <c r="J372" s="15">
        <f>I372*C372</f>
        <v/>
      </c>
      <c r="K372" s="15">
        <f>E372+G372+I372</f>
        <v/>
      </c>
      <c r="L372" s="15">
        <f>F372+H372+J372</f>
        <v/>
      </c>
      <c r="M372" s="18" t="n"/>
    </row>
    <row r="373">
      <c r="A373" s="28" t="inlineStr">
        <is>
          <t>5). STS관 부설 및 접합</t>
        </is>
      </c>
      <c r="B373" s="28" t="n"/>
      <c r="C373" s="17" t="n"/>
      <c r="D373" s="16" t="n"/>
      <c r="E373" s="17" t="n"/>
      <c r="F373" s="29" t="n"/>
      <c r="G373" s="17" t="n"/>
      <c r="H373" s="29" t="n"/>
      <c r="I373" s="17" t="n"/>
      <c r="J373" s="29" t="n"/>
      <c r="K373" s="17" t="n"/>
      <c r="L373" s="29" t="n"/>
      <c r="M373" s="18" t="n"/>
    </row>
    <row r="374">
      <c r="A374" s="14" t="inlineStr">
        <is>
          <t>가). 스테인리스관 접합및부설</t>
        </is>
      </c>
      <c r="B374" s="14" t="inlineStr">
        <is>
          <t>D=25mm</t>
        </is>
      </c>
      <c r="C374" s="15" t="n">
        <v>32</v>
      </c>
      <c r="D374" s="16" t="inlineStr">
        <is>
          <t>m</t>
        </is>
      </c>
      <c r="E374" s="15" t="n">
        <v>0</v>
      </c>
      <c r="F374" s="15">
        <f>E374*C374</f>
        <v/>
      </c>
      <c r="G374" s="15" t="n">
        <v>2610</v>
      </c>
      <c r="H374" s="15">
        <f>G374*C374</f>
        <v/>
      </c>
      <c r="I374" s="15" t="n">
        <v>0</v>
      </c>
      <c r="J374" s="15">
        <f>I374*C374</f>
        <v/>
      </c>
      <c r="K374" s="15">
        <f>E374+G374+I374</f>
        <v/>
      </c>
      <c r="L374" s="15">
        <f>F374+H374+J374</f>
        <v/>
      </c>
      <c r="M374" s="18" t="n"/>
    </row>
    <row r="375">
      <c r="A375" s="14" t="inlineStr">
        <is>
          <t>나). 스테인리스관 접합및부설</t>
        </is>
      </c>
      <c r="B375" s="14" t="inlineStr">
        <is>
          <t>D=50mm</t>
        </is>
      </c>
      <c r="C375" s="15" t="n">
        <v>49</v>
      </c>
      <c r="D375" s="16" t="inlineStr">
        <is>
          <t>m</t>
        </is>
      </c>
      <c r="E375" s="15" t="n">
        <v>0</v>
      </c>
      <c r="F375" s="15">
        <f>E375*C375</f>
        <v/>
      </c>
      <c r="G375" s="15" t="n">
        <v>3480</v>
      </c>
      <c r="H375" s="15">
        <f>G375*C375</f>
        <v/>
      </c>
      <c r="I375" s="15" t="n">
        <v>0</v>
      </c>
      <c r="J375" s="15">
        <f>I375*C375</f>
        <v/>
      </c>
      <c r="K375" s="15">
        <f>E375+G375+I375</f>
        <v/>
      </c>
      <c r="L375" s="15">
        <f>F375+H375+J375</f>
        <v/>
      </c>
      <c r="M375" s="18" t="n"/>
    </row>
    <row r="376">
      <c r="A376" s="28" t="inlineStr">
        <is>
          <t>6). STS관 이형관 접합</t>
        </is>
      </c>
      <c r="B376" s="28" t="n"/>
      <c r="C376" s="17" t="n"/>
      <c r="D376" s="16" t="n"/>
      <c r="E376" s="17" t="n"/>
      <c r="F376" s="29" t="n"/>
      <c r="G376" s="17" t="n"/>
      <c r="H376" s="29" t="n"/>
      <c r="I376" s="17" t="n"/>
      <c r="J376" s="29" t="n"/>
      <c r="K376" s="17" t="n"/>
      <c r="L376" s="29" t="n"/>
      <c r="M376" s="18" t="n"/>
    </row>
    <row r="377">
      <c r="A377" s="14" t="inlineStr">
        <is>
          <t>가). 스테인리스관 나사 접합</t>
        </is>
      </c>
      <c r="B377" s="14" t="inlineStr">
        <is>
          <t>D=25mm</t>
        </is>
      </c>
      <c r="C377" s="15" t="n">
        <v>6</v>
      </c>
      <c r="D377" s="16" t="inlineStr">
        <is>
          <t>개소</t>
        </is>
      </c>
      <c r="E377" s="15" t="n">
        <v>0</v>
      </c>
      <c r="F377" s="15">
        <f>E377*C377</f>
        <v/>
      </c>
      <c r="G377" s="15" t="n">
        <v>13051</v>
      </c>
      <c r="H377" s="15">
        <f>G377*C377</f>
        <v/>
      </c>
      <c r="I377" s="15" t="n">
        <v>0</v>
      </c>
      <c r="J377" s="15">
        <f>I377*C377</f>
        <v/>
      </c>
      <c r="K377" s="15">
        <f>E377+G377+I377</f>
        <v/>
      </c>
      <c r="L377" s="15">
        <f>F377+H377+J377</f>
        <v/>
      </c>
      <c r="M377" s="18" t="n"/>
    </row>
    <row r="378">
      <c r="A378" s="14" t="inlineStr">
        <is>
          <t>나). 스테인리스관 나사 접합</t>
        </is>
      </c>
      <c r="B378" s="14" t="inlineStr">
        <is>
          <t>D=50mm</t>
        </is>
      </c>
      <c r="C378" s="15" t="n">
        <v>16</v>
      </c>
      <c r="D378" s="16" t="inlineStr">
        <is>
          <t>개소</t>
        </is>
      </c>
      <c r="E378" s="15" t="n">
        <v>0</v>
      </c>
      <c r="F378" s="15">
        <f>E378*C378</f>
        <v/>
      </c>
      <c r="G378" s="15" t="n">
        <v>17401</v>
      </c>
      <c r="H378" s="15">
        <f>G378*C378</f>
        <v/>
      </c>
      <c r="I378" s="15" t="n">
        <v>0</v>
      </c>
      <c r="J378" s="15">
        <f>I378*C378</f>
        <v/>
      </c>
      <c r="K378" s="15">
        <f>E378+G378+I378</f>
        <v/>
      </c>
      <c r="L378" s="15">
        <f>F378+H378+J378</f>
        <v/>
      </c>
      <c r="M378" s="18" t="n"/>
    </row>
    <row r="379">
      <c r="A379" s="14" t="inlineStr">
        <is>
          <t>다). 스테인리스관 슬립인조인트 접합</t>
        </is>
      </c>
      <c r="B379" s="14" t="inlineStr">
        <is>
          <t>D=25mm</t>
        </is>
      </c>
      <c r="C379" s="15" t="n">
        <v>12</v>
      </c>
      <c r="D379" s="16" t="inlineStr">
        <is>
          <t>개소</t>
        </is>
      </c>
      <c r="E379" s="15" t="n">
        <v>0</v>
      </c>
      <c r="F379" s="15">
        <f>E379*C379</f>
        <v/>
      </c>
      <c r="G379" s="15" t="n">
        <v>17401</v>
      </c>
      <c r="H379" s="15">
        <f>G379*C379</f>
        <v/>
      </c>
      <c r="I379" s="15" t="n">
        <v>0</v>
      </c>
      <c r="J379" s="15">
        <f>I379*C379</f>
        <v/>
      </c>
      <c r="K379" s="15">
        <f>E379+G379+I379</f>
        <v/>
      </c>
      <c r="L379" s="15">
        <f>F379+H379+J379</f>
        <v/>
      </c>
      <c r="M379" s="18" t="n"/>
    </row>
    <row r="380">
      <c r="A380" s="14" t="inlineStr">
        <is>
          <t>라). 스테인리스관 슬립인조인트 접합</t>
        </is>
      </c>
      <c r="B380" s="14" t="inlineStr">
        <is>
          <t>D=50mm</t>
        </is>
      </c>
      <c r="C380" s="15" t="n">
        <v>32</v>
      </c>
      <c r="D380" s="16" t="inlineStr">
        <is>
          <t>개소</t>
        </is>
      </c>
      <c r="E380" s="15" t="n">
        <v>0</v>
      </c>
      <c r="F380" s="15">
        <f>E380*C380</f>
        <v/>
      </c>
      <c r="G380" s="15" t="n">
        <v>26101</v>
      </c>
      <c r="H380" s="15">
        <f>G380*C380</f>
        <v/>
      </c>
      <c r="I380" s="15" t="n">
        <v>0</v>
      </c>
      <c r="J380" s="15">
        <f>I380*C380</f>
        <v/>
      </c>
      <c r="K380" s="15">
        <f>E380+G380+I380</f>
        <v/>
      </c>
      <c r="L380" s="15">
        <f>F380+H380+J380</f>
        <v/>
      </c>
      <c r="M380" s="18" t="n"/>
    </row>
    <row r="381">
      <c r="A381" s="28" t="inlineStr">
        <is>
          <t>7). STS관 절단</t>
        </is>
      </c>
      <c r="B381" s="28" t="n"/>
      <c r="C381" s="17" t="n"/>
      <c r="D381" s="16" t="n"/>
      <c r="E381" s="17" t="n"/>
      <c r="F381" s="29" t="n"/>
      <c r="G381" s="17" t="n"/>
      <c r="H381" s="29" t="n"/>
      <c r="I381" s="17" t="n"/>
      <c r="J381" s="29" t="n"/>
      <c r="K381" s="17" t="n"/>
      <c r="L381" s="29" t="n"/>
      <c r="M381" s="18" t="n"/>
    </row>
    <row r="382">
      <c r="A382" s="14" t="inlineStr">
        <is>
          <t>가). 스테인리스관 절단</t>
        </is>
      </c>
      <c r="B382" s="14" t="inlineStr">
        <is>
          <t>D=25mm</t>
        </is>
      </c>
      <c r="C382" s="15" t="n">
        <v>3</v>
      </c>
      <c r="D382" s="16" t="inlineStr">
        <is>
          <t>개소</t>
        </is>
      </c>
      <c r="E382" s="15" t="n">
        <v>0</v>
      </c>
      <c r="F382" s="15">
        <f>E382*C382</f>
        <v/>
      </c>
      <c r="G382" s="15" t="n">
        <v>6090</v>
      </c>
      <c r="H382" s="15">
        <f>G382*C382</f>
        <v/>
      </c>
      <c r="I382" s="15" t="n">
        <v>0</v>
      </c>
      <c r="J382" s="15">
        <f>I382*C382</f>
        <v/>
      </c>
      <c r="K382" s="15">
        <f>E382+G382+I382</f>
        <v/>
      </c>
      <c r="L382" s="15">
        <f>F382+H382+J382</f>
        <v/>
      </c>
      <c r="M382" s="18" t="n"/>
    </row>
    <row r="383">
      <c r="A383" s="14" t="inlineStr">
        <is>
          <t>나). 스테인리스관 절단</t>
        </is>
      </c>
      <c r="B383" s="14" t="inlineStr">
        <is>
          <t>D=50mm</t>
        </is>
      </c>
      <c r="C383" s="15" t="n">
        <v>8</v>
      </c>
      <c r="D383" s="16" t="inlineStr">
        <is>
          <t>개소</t>
        </is>
      </c>
      <c r="E383" s="15" t="n">
        <v>0</v>
      </c>
      <c r="F383" s="15">
        <f>E383*C383</f>
        <v/>
      </c>
      <c r="G383" s="15" t="n">
        <v>8700</v>
      </c>
      <c r="H383" s="15">
        <f>G383*C383</f>
        <v/>
      </c>
      <c r="I383" s="15" t="n">
        <v>0</v>
      </c>
      <c r="J383" s="15">
        <f>I383*C383</f>
        <v/>
      </c>
      <c r="K383" s="15">
        <f>E383+G383+I383</f>
        <v/>
      </c>
      <c r="L383" s="15">
        <f>F383+H383+J383</f>
        <v/>
      </c>
      <c r="M383" s="18" t="n"/>
    </row>
    <row r="384">
      <c r="A384" s="28" t="inlineStr">
        <is>
          <t>8). 분기관접합</t>
        </is>
      </c>
      <c r="B384" s="28" t="n"/>
      <c r="C384" s="17" t="n"/>
      <c r="D384" s="16" t="n"/>
      <c r="E384" s="17" t="n"/>
      <c r="F384" s="29" t="n"/>
      <c r="G384" s="17" t="n"/>
      <c r="H384" s="29" t="n"/>
      <c r="I384" s="17" t="n"/>
      <c r="J384" s="29" t="n"/>
      <c r="K384" s="17" t="n"/>
      <c r="L384" s="29" t="n"/>
      <c r="M384" s="18" t="n"/>
    </row>
    <row r="385">
      <c r="A385" s="14" t="inlineStr">
        <is>
          <t>가). 새들붙이분수전(단수천공)</t>
        </is>
      </c>
      <c r="B385" s="14" t="inlineStr">
        <is>
          <t>D100mmX25mm</t>
        </is>
      </c>
      <c r="C385" s="15" t="n">
        <v>2</v>
      </c>
      <c r="D385" s="16" t="inlineStr">
        <is>
          <t>개소</t>
        </is>
      </c>
      <c r="E385" s="15" t="n">
        <v>43502</v>
      </c>
      <c r="F385" s="15">
        <f>E385*C385</f>
        <v/>
      </c>
      <c r="G385" s="15" t="n">
        <v>43502</v>
      </c>
      <c r="H385" s="15">
        <f>G385*C385</f>
        <v/>
      </c>
      <c r="I385" s="15" t="n">
        <v>-1</v>
      </c>
      <c r="J385" s="15">
        <f>I385*C385</f>
        <v/>
      </c>
      <c r="K385" s="15">
        <f>E385+G385+I385</f>
        <v/>
      </c>
      <c r="L385" s="15">
        <f>F385+H385+J385</f>
        <v/>
      </c>
      <c r="M385" s="18" t="n"/>
    </row>
    <row r="386">
      <c r="A386" s="14" t="inlineStr">
        <is>
          <t>나). 새들붙이분수전(단수천공)</t>
        </is>
      </c>
      <c r="B386" s="14" t="inlineStr">
        <is>
          <t>D150mmX25mm</t>
        </is>
      </c>
      <c r="C386" s="15" t="n">
        <v>1</v>
      </c>
      <c r="D386" s="16" t="inlineStr">
        <is>
          <t>개소</t>
        </is>
      </c>
      <c r="E386" s="15" t="n">
        <v>47852</v>
      </c>
      <c r="F386" s="15">
        <f>E386*C386</f>
        <v/>
      </c>
      <c r="G386" s="15" t="n">
        <v>43501</v>
      </c>
      <c r="H386" s="15">
        <f>G386*C386</f>
        <v/>
      </c>
      <c r="I386" s="15" t="n">
        <v>0</v>
      </c>
      <c r="J386" s="15">
        <f>I386*C386</f>
        <v/>
      </c>
      <c r="K386" s="15">
        <f>E386+G386+I386</f>
        <v/>
      </c>
      <c r="L386" s="15">
        <f>F386+H386+J386</f>
        <v/>
      </c>
      <c r="M386" s="18" t="n"/>
    </row>
    <row r="387">
      <c r="A387" s="14" t="inlineStr">
        <is>
          <t>다). 새들붙이분수전(단수천공)</t>
        </is>
      </c>
      <c r="B387" s="14" t="inlineStr">
        <is>
          <t>D150mmX50mm</t>
        </is>
      </c>
      <c r="C387" s="15" t="n">
        <v>8</v>
      </c>
      <c r="D387" s="16" t="inlineStr">
        <is>
          <t>개소</t>
        </is>
      </c>
      <c r="E387" s="15" t="n">
        <v>117455</v>
      </c>
      <c r="F387" s="15">
        <f>E387*C387</f>
        <v/>
      </c>
      <c r="G387" s="15" t="n">
        <v>43502</v>
      </c>
      <c r="H387" s="15">
        <f>G387*C387</f>
        <v/>
      </c>
      <c r="I387" s="15" t="n">
        <v>0</v>
      </c>
      <c r="J387" s="15">
        <f>I387*C387</f>
        <v/>
      </c>
      <c r="K387" s="15">
        <f>E387+G387+I387</f>
        <v/>
      </c>
      <c r="L387" s="15">
        <f>F387+H387+J387</f>
        <v/>
      </c>
      <c r="M387" s="18" t="n"/>
    </row>
    <row r="388">
      <c r="A388" s="28" t="inlineStr">
        <is>
          <t>다. 밸브 부설 및 접합</t>
        </is>
      </c>
      <c r="B388" s="28" t="n"/>
      <c r="C388" s="17" t="n"/>
      <c r="D388" s="16" t="n"/>
      <c r="E388" s="17" t="n"/>
      <c r="F388" s="29" t="n"/>
      <c r="G388" s="17" t="n"/>
      <c r="H388" s="29" t="n"/>
      <c r="I388" s="17" t="n"/>
      <c r="J388" s="29" t="n"/>
      <c r="K388" s="17" t="n"/>
      <c r="L388" s="29" t="n"/>
      <c r="M388" s="18" t="n"/>
    </row>
    <row r="389">
      <c r="A389" s="28" t="inlineStr">
        <is>
          <t>1). 청동밸브</t>
        </is>
      </c>
      <c r="B389" s="28" t="n"/>
      <c r="C389" s="17" t="n"/>
      <c r="D389" s="16" t="n"/>
      <c r="E389" s="17" t="n"/>
      <c r="F389" s="29" t="n"/>
      <c r="G389" s="17" t="n"/>
      <c r="H389" s="29" t="n"/>
      <c r="I389" s="17" t="n"/>
      <c r="J389" s="29" t="n"/>
      <c r="K389" s="17" t="n"/>
      <c r="L389" s="29" t="n"/>
      <c r="M389" s="18" t="n"/>
    </row>
    <row r="390">
      <c r="A390" s="14" t="inlineStr">
        <is>
          <t>가). 게이트밸브 설치</t>
        </is>
      </c>
      <c r="B390" s="14" t="inlineStr">
        <is>
          <t>D=25mm, 청동</t>
        </is>
      </c>
      <c r="C390" s="15" t="n">
        <v>3</v>
      </c>
      <c r="D390" s="16" t="inlineStr">
        <is>
          <t>개소</t>
        </is>
      </c>
      <c r="E390" s="15" t="n">
        <v>39151</v>
      </c>
      <c r="F390" s="15">
        <f>E390*C390</f>
        <v/>
      </c>
      <c r="G390" s="15" t="n">
        <v>21751</v>
      </c>
      <c r="H390" s="15">
        <f>G390*C390</f>
        <v/>
      </c>
      <c r="I390" s="15" t="n">
        <v>0</v>
      </c>
      <c r="J390" s="15">
        <f>I390*C390</f>
        <v/>
      </c>
      <c r="K390" s="15">
        <f>E390+G390+I390</f>
        <v/>
      </c>
      <c r="L390" s="15">
        <f>F390+H390+J390</f>
        <v/>
      </c>
      <c r="M390" s="18" t="n"/>
    </row>
    <row r="391">
      <c r="A391" s="14" t="inlineStr">
        <is>
          <t>나). 게이트밸브 설치</t>
        </is>
      </c>
      <c r="B391" s="14" t="inlineStr">
        <is>
          <t>D=50mm, 청동</t>
        </is>
      </c>
      <c r="C391" s="15" t="n">
        <v>8</v>
      </c>
      <c r="D391" s="16" t="inlineStr">
        <is>
          <t>개소</t>
        </is>
      </c>
      <c r="E391" s="15" t="n">
        <v>104404</v>
      </c>
      <c r="F391" s="15">
        <f>E391*C391</f>
        <v/>
      </c>
      <c r="G391" s="15" t="n">
        <v>43502</v>
      </c>
      <c r="H391" s="15">
        <f>G391*C391</f>
        <v/>
      </c>
      <c r="I391" s="15" t="n">
        <v>0</v>
      </c>
      <c r="J391" s="15">
        <f>I391*C391</f>
        <v/>
      </c>
      <c r="K391" s="15">
        <f>E391+G391+I391</f>
        <v/>
      </c>
      <c r="L391" s="15">
        <f>F391+H391+J391</f>
        <v/>
      </c>
      <c r="M391" s="18" t="n"/>
    </row>
    <row r="392">
      <c r="A392" s="28" t="inlineStr">
        <is>
          <t>2). 제수밸브</t>
        </is>
      </c>
      <c r="B392" s="28" t="n"/>
      <c r="C392" s="17" t="n"/>
      <c r="D392" s="16" t="n"/>
      <c r="E392" s="17" t="n"/>
      <c r="F392" s="29" t="n"/>
      <c r="G392" s="17" t="n"/>
      <c r="H392" s="29" t="n"/>
      <c r="I392" s="17" t="n"/>
      <c r="J392" s="29" t="n"/>
      <c r="K392" s="17" t="n"/>
      <c r="L392" s="29" t="n"/>
      <c r="M392" s="18" t="n"/>
    </row>
    <row r="393">
      <c r="A393" s="14" t="inlineStr">
        <is>
          <t>가). 제수변 접합 및 부설</t>
        </is>
      </c>
      <c r="B393" s="14" t="inlineStr">
        <is>
          <t>100㎜</t>
        </is>
      </c>
      <c r="C393" s="15" t="n">
        <v>11</v>
      </c>
      <c r="D393" s="16" t="inlineStr">
        <is>
          <t>개소</t>
        </is>
      </c>
      <c r="E393" s="15" t="n">
        <v>8700</v>
      </c>
      <c r="F393" s="15">
        <f>E393*C393</f>
        <v/>
      </c>
      <c r="G393" s="15" t="n">
        <v>52202</v>
      </c>
      <c r="H393" s="15">
        <f>G393*C393</f>
        <v/>
      </c>
      <c r="I393" s="15" t="n">
        <v>9496</v>
      </c>
      <c r="J393" s="15">
        <f>I393*C393</f>
        <v/>
      </c>
      <c r="K393" s="15">
        <f>E393+G393+I393</f>
        <v/>
      </c>
      <c r="L393" s="15">
        <f>F393+H393+J393</f>
        <v/>
      </c>
      <c r="M393" s="18" t="n"/>
    </row>
    <row r="394">
      <c r="A394" s="14" t="inlineStr">
        <is>
          <t>나). 제수변 접합 및 부설</t>
        </is>
      </c>
      <c r="B394" s="14" t="inlineStr">
        <is>
          <t>150㎜</t>
        </is>
      </c>
      <c r="C394" s="15" t="n">
        <v>8</v>
      </c>
      <c r="D394" s="16" t="inlineStr">
        <is>
          <t>개소</t>
        </is>
      </c>
      <c r="E394" s="15" t="n">
        <v>8700</v>
      </c>
      <c r="F394" s="15">
        <f>E394*C394</f>
        <v/>
      </c>
      <c r="G394" s="15" t="n">
        <v>69603</v>
      </c>
      <c r="H394" s="15">
        <f>G394*C394</f>
        <v/>
      </c>
      <c r="I394" s="15" t="n">
        <v>18994</v>
      </c>
      <c r="J394" s="15">
        <f>I394*C394</f>
        <v/>
      </c>
      <c r="K394" s="15">
        <f>E394+G394+I394</f>
        <v/>
      </c>
      <c r="L394" s="15">
        <f>F394+H394+J394</f>
        <v/>
      </c>
      <c r="M394" s="18" t="n"/>
    </row>
    <row r="395">
      <c r="A395" s="28" t="inlineStr">
        <is>
          <t>3). 공기밸브</t>
        </is>
      </c>
      <c r="B395" s="28" t="n"/>
      <c r="C395" s="17" t="n"/>
      <c r="D395" s="16" t="n"/>
      <c r="E395" s="17" t="n"/>
      <c r="F395" s="29" t="n"/>
      <c r="G395" s="17" t="n"/>
      <c r="H395" s="29" t="n"/>
      <c r="I395" s="17" t="n"/>
      <c r="J395" s="29" t="n"/>
      <c r="K395" s="17" t="n"/>
      <c r="L395" s="29" t="n"/>
      <c r="M395" s="18" t="n"/>
    </row>
    <row r="396">
      <c r="A396" s="14" t="inlineStr">
        <is>
          <t>가). 공기밸브 접합 및 부설</t>
        </is>
      </c>
      <c r="B396" s="14" t="inlineStr">
        <is>
          <t>100㎜</t>
        </is>
      </c>
      <c r="C396" s="15" t="n">
        <v>1</v>
      </c>
      <c r="D396" s="16" t="inlineStr">
        <is>
          <t>개소</t>
        </is>
      </c>
      <c r="E396" s="15" t="n">
        <v>8700</v>
      </c>
      <c r="F396" s="15">
        <f>E396*C396</f>
        <v/>
      </c>
      <c r="G396" s="15" t="n">
        <v>43501</v>
      </c>
      <c r="H396" s="15">
        <f>G396*C396</f>
        <v/>
      </c>
      <c r="I396" s="15" t="n">
        <v>1</v>
      </c>
      <c r="J396" s="15">
        <f>I396*C396</f>
        <v/>
      </c>
      <c r="K396" s="15">
        <f>E396+G396+I396</f>
        <v/>
      </c>
      <c r="L396" s="15">
        <f>F396+H396+J396</f>
        <v/>
      </c>
      <c r="M396" s="18" t="n"/>
    </row>
    <row r="397">
      <c r="A397" s="28" t="inlineStr">
        <is>
          <t>4). 소화전</t>
        </is>
      </c>
      <c r="B397" s="28" t="n"/>
      <c r="C397" s="17" t="n"/>
      <c r="D397" s="16" t="n"/>
      <c r="E397" s="17" t="n"/>
      <c r="F397" s="29" t="n"/>
      <c r="G397" s="17" t="n"/>
      <c r="H397" s="29" t="n"/>
      <c r="I397" s="17" t="n"/>
      <c r="J397" s="29" t="n"/>
      <c r="K397" s="17" t="n"/>
      <c r="L397" s="29" t="n"/>
      <c r="M397" s="18" t="n"/>
    </row>
    <row r="398">
      <c r="A398" s="14" t="inlineStr">
        <is>
          <t>가). 지상식소화전</t>
        </is>
      </c>
      <c r="B398" s="14" t="inlineStr">
        <is>
          <t>쌍구, D100mm</t>
        </is>
      </c>
      <c r="C398" s="15" t="n">
        <v>7</v>
      </c>
      <c r="D398" s="16" t="inlineStr">
        <is>
          <t>개소</t>
        </is>
      </c>
      <c r="E398" s="15" t="n">
        <v>426316</v>
      </c>
      <c r="F398" s="15">
        <f>E398*C398</f>
        <v/>
      </c>
      <c r="G398" s="15" t="n">
        <v>435017</v>
      </c>
      <c r="H398" s="15">
        <f>G398*C398</f>
        <v/>
      </c>
      <c r="I398" s="15" t="n">
        <v>284900</v>
      </c>
      <c r="J398" s="15">
        <f>I398*C398</f>
        <v/>
      </c>
      <c r="K398" s="15">
        <f>E398+G398+I398</f>
        <v/>
      </c>
      <c r="L398" s="15">
        <f>F398+H398+J398</f>
        <v/>
      </c>
      <c r="M398" s="18" t="n"/>
    </row>
    <row r="399">
      <c r="A399" s="14" t="inlineStr">
        <is>
          <t>나). 소화전보호틀</t>
        </is>
      </c>
      <c r="B399" s="14" t="inlineStr">
        <is>
          <t>600x600x750xø76A, Steel</t>
        </is>
      </c>
      <c r="C399" s="15" t="n">
        <v>7</v>
      </c>
      <c r="D399" s="16" t="inlineStr">
        <is>
          <t>개소</t>
        </is>
      </c>
      <c r="E399" s="15" t="n">
        <v>156606</v>
      </c>
      <c r="F399" s="15">
        <f>E399*C399</f>
        <v/>
      </c>
      <c r="G399" s="15" t="n">
        <v>174007</v>
      </c>
      <c r="H399" s="15">
        <f>G399*C399</f>
        <v/>
      </c>
      <c r="I399" s="15" t="n">
        <v>47483</v>
      </c>
      <c r="J399" s="15">
        <f>I399*C399</f>
        <v/>
      </c>
      <c r="K399" s="15">
        <f>E399+G399+I399</f>
        <v/>
      </c>
      <c r="L399" s="15">
        <f>F399+H399+J399</f>
        <v/>
      </c>
      <c r="M399" s="18" t="n"/>
    </row>
    <row r="400">
      <c r="A400" s="28" t="inlineStr">
        <is>
          <t>다). 주정차금지(문구)</t>
        </is>
      </c>
      <c r="B400" s="28" t="n"/>
      <c r="C400" s="17" t="n"/>
      <c r="D400" s="16" t="n"/>
      <c r="E400" s="17" t="n"/>
      <c r="F400" s="29" t="n"/>
      <c r="G400" s="17" t="n"/>
      <c r="H400" s="29" t="n"/>
      <c r="I400" s="17" t="n"/>
      <c r="J400" s="29" t="n"/>
      <c r="K400" s="17" t="n"/>
      <c r="L400" s="29" t="n"/>
      <c r="M400" s="18" t="n"/>
    </row>
    <row r="401">
      <c r="A401" s="14" t="inlineStr">
        <is>
          <t>(1). 차선도색(융착식,수동식),신설구간</t>
        </is>
      </c>
      <c r="B401" s="14" t="inlineStr">
        <is>
          <t>문자,기호, 백색</t>
        </is>
      </c>
      <c r="C401" s="15" t="n">
        <v>1</v>
      </c>
      <c r="D401" s="16" t="inlineStr">
        <is>
          <t>㎡</t>
        </is>
      </c>
      <c r="E401" s="15" t="n">
        <v>4351</v>
      </c>
      <c r="F401" s="15">
        <f>E401*C401</f>
        <v/>
      </c>
      <c r="G401" s="15" t="n">
        <v>8700</v>
      </c>
      <c r="H401" s="15">
        <f>G401*C401</f>
        <v/>
      </c>
      <c r="I401" s="15" t="n">
        <v>1899</v>
      </c>
      <c r="J401" s="15">
        <f>I401*C401</f>
        <v/>
      </c>
      <c r="K401" s="15">
        <f>E401+G401+I401</f>
        <v/>
      </c>
      <c r="L401" s="15">
        <f>F401+H401+J401</f>
        <v/>
      </c>
      <c r="M401" s="18" t="n"/>
    </row>
    <row r="402">
      <c r="A402" s="14" t="inlineStr">
        <is>
          <t>(2). 차선도색(융착식,수동식),신설구간</t>
        </is>
      </c>
      <c r="B402" s="14" t="inlineStr">
        <is>
          <t>문자,기호, 적색</t>
        </is>
      </c>
      <c r="C402" s="15" t="n">
        <v>23</v>
      </c>
      <c r="D402" s="16" t="inlineStr">
        <is>
          <t>㎡</t>
        </is>
      </c>
      <c r="E402" s="15" t="n">
        <v>4350</v>
      </c>
      <c r="F402" s="15">
        <f>E402*C402</f>
        <v/>
      </c>
      <c r="G402" s="15" t="n">
        <v>8700</v>
      </c>
      <c r="H402" s="15">
        <f>G402*C402</f>
        <v/>
      </c>
      <c r="I402" s="15" t="n">
        <v>1899</v>
      </c>
      <c r="J402" s="15">
        <f>I402*C402</f>
        <v/>
      </c>
      <c r="K402" s="15">
        <f>E402+G402+I402</f>
        <v/>
      </c>
      <c r="L402" s="15">
        <f>F402+H402+J402</f>
        <v/>
      </c>
      <c r="M402" s="18" t="n"/>
    </row>
    <row r="403">
      <c r="A403" s="14" t="inlineStr">
        <is>
          <t>라). 소화용수표지판</t>
        </is>
      </c>
      <c r="B403" s="14" t="inlineStr">
        <is>
          <t>원형</t>
        </is>
      </c>
      <c r="C403" s="15" t="n">
        <v>7</v>
      </c>
      <c r="D403" s="16" t="inlineStr">
        <is>
          <t>개소</t>
        </is>
      </c>
      <c r="E403" s="15" t="n">
        <v>87003</v>
      </c>
      <c r="F403" s="15">
        <f>E403*C403</f>
        <v/>
      </c>
      <c r="G403" s="15" t="n">
        <v>87003</v>
      </c>
      <c r="H403" s="15">
        <f>G403*C403</f>
        <v/>
      </c>
      <c r="I403" s="15" t="n">
        <v>47483</v>
      </c>
      <c r="J403" s="15">
        <f>I403*C403</f>
        <v/>
      </c>
      <c r="K403" s="15">
        <f>E403+G403+I403</f>
        <v/>
      </c>
      <c r="L403" s="15">
        <f>F403+H403+J403</f>
        <v/>
      </c>
      <c r="M403" s="18" t="n"/>
    </row>
    <row r="404">
      <c r="A404" s="28" t="inlineStr">
        <is>
          <t>5). 유량계</t>
        </is>
      </c>
      <c r="B404" s="28" t="n"/>
      <c r="C404" s="17" t="n"/>
      <c r="D404" s="16" t="n"/>
      <c r="E404" s="17" t="n"/>
      <c r="F404" s="29" t="n"/>
      <c r="G404" s="17" t="n"/>
      <c r="H404" s="29" t="n"/>
      <c r="I404" s="17" t="n"/>
      <c r="J404" s="29" t="n"/>
      <c r="K404" s="17" t="n"/>
      <c r="L404" s="29" t="n"/>
      <c r="M404" s="18" t="n"/>
    </row>
    <row r="405">
      <c r="A405" s="14" t="inlineStr">
        <is>
          <t>가). 초음파유량계설치</t>
        </is>
      </c>
      <c r="B405" s="14" t="inlineStr">
        <is>
          <t>D150mm, TM/TC포함</t>
        </is>
      </c>
      <c r="C405" s="15" t="n">
        <v>1</v>
      </c>
      <c r="D405" s="16" t="inlineStr">
        <is>
          <t>개소</t>
        </is>
      </c>
      <c r="E405" s="15" t="n">
        <v>10858020</v>
      </c>
      <c r="F405" s="15">
        <f>E405*C405</f>
        <v/>
      </c>
      <c r="G405" s="15" t="n">
        <v>87004</v>
      </c>
      <c r="H405" s="15">
        <f>G405*C405</f>
        <v/>
      </c>
      <c r="I405" s="15" t="n">
        <v>474832</v>
      </c>
      <c r="J405" s="15">
        <f>I405*C405</f>
        <v/>
      </c>
      <c r="K405" s="15">
        <f>E405+G405+I405</f>
        <v/>
      </c>
      <c r="L405" s="15">
        <f>F405+H405+J405</f>
        <v/>
      </c>
      <c r="M405" s="18" t="n"/>
    </row>
    <row r="406">
      <c r="A406" s="28" t="inlineStr">
        <is>
          <t>라. 변실</t>
        </is>
      </c>
      <c r="B406" s="28" t="n"/>
      <c r="C406" s="17" t="n"/>
      <c r="D406" s="16" t="n"/>
      <c r="E406" s="17" t="n"/>
      <c r="F406" s="29" t="n"/>
      <c r="G406" s="17" t="n"/>
      <c r="H406" s="29" t="n"/>
      <c r="I406" s="17" t="n"/>
      <c r="J406" s="29" t="n"/>
      <c r="K406" s="17" t="n"/>
      <c r="L406" s="29" t="n"/>
      <c r="M406" s="18" t="n"/>
    </row>
    <row r="407">
      <c r="A407" s="28" t="inlineStr">
        <is>
          <t>1). 제수변실</t>
        </is>
      </c>
      <c r="B407" s="28" t="n"/>
      <c r="C407" s="17" t="n"/>
      <c r="D407" s="16" t="n"/>
      <c r="E407" s="17" t="n"/>
      <c r="F407" s="29" t="n"/>
      <c r="G407" s="17" t="n"/>
      <c r="H407" s="29" t="n"/>
      <c r="I407" s="17" t="n"/>
      <c r="J407" s="29" t="n"/>
      <c r="K407" s="17" t="n"/>
      <c r="L407" s="29" t="n"/>
      <c r="M407" s="18" t="n"/>
    </row>
    <row r="408">
      <c r="A408" s="14" t="inlineStr">
        <is>
          <t>가). 제수변실</t>
        </is>
      </c>
      <c r="B408" s="14" t="inlineStr">
        <is>
          <t>2.50×2.00</t>
        </is>
      </c>
      <c r="C408" s="15" t="n">
        <v>1</v>
      </c>
      <c r="D408" s="16" t="inlineStr">
        <is>
          <t>개소</t>
        </is>
      </c>
      <c r="E408" s="15" t="n">
        <v>870034</v>
      </c>
      <c r="F408" s="15">
        <f>E408*C408</f>
        <v/>
      </c>
      <c r="G408" s="15" t="n">
        <v>3480135</v>
      </c>
      <c r="H408" s="15">
        <f>G408*C408</f>
        <v/>
      </c>
      <c r="I408" s="15" t="n">
        <v>949665</v>
      </c>
      <c r="J408" s="15">
        <f>I408*C408</f>
        <v/>
      </c>
      <c r="K408" s="15">
        <f>E408+G408+I408</f>
        <v/>
      </c>
      <c r="L408" s="15">
        <f>F408+H408+J408</f>
        <v/>
      </c>
      <c r="M408" s="18" t="n"/>
    </row>
    <row r="409">
      <c r="A409" s="14" t="inlineStr">
        <is>
          <t>나). 원형제수변실(D100mm)</t>
        </is>
      </c>
      <c r="B409" s="14" t="inlineStr">
        <is>
          <t>D800, 흄관</t>
        </is>
      </c>
      <c r="C409" s="15" t="n">
        <v>1</v>
      </c>
      <c r="D409" s="16" t="inlineStr">
        <is>
          <t>개소</t>
        </is>
      </c>
      <c r="E409" s="15" t="n">
        <v>261010</v>
      </c>
      <c r="F409" s="15">
        <f>E409*C409</f>
        <v/>
      </c>
      <c r="G409" s="15" t="n">
        <v>87004</v>
      </c>
      <c r="H409" s="15">
        <f>G409*C409</f>
        <v/>
      </c>
      <c r="I409" s="15" t="n">
        <v>94966</v>
      </c>
      <c r="J409" s="15">
        <f>I409*C409</f>
        <v/>
      </c>
      <c r="K409" s="15">
        <f>E409+G409+I409</f>
        <v/>
      </c>
      <c r="L409" s="15">
        <f>F409+H409+J409</f>
        <v/>
      </c>
      <c r="M409" s="18" t="n"/>
    </row>
    <row r="410">
      <c r="A410" s="14" t="inlineStr">
        <is>
          <t>다). 원형제수변실(D150mm)</t>
        </is>
      </c>
      <c r="B410" s="14" t="inlineStr">
        <is>
          <t>D800, 흄관</t>
        </is>
      </c>
      <c r="C410" s="15" t="n">
        <v>3</v>
      </c>
      <c r="D410" s="16" t="inlineStr">
        <is>
          <t>개소</t>
        </is>
      </c>
      <c r="E410" s="15" t="n">
        <v>261010</v>
      </c>
      <c r="F410" s="15">
        <f>E410*C410</f>
        <v/>
      </c>
      <c r="G410" s="15" t="n">
        <v>87003</v>
      </c>
      <c r="H410" s="15">
        <f>G410*C410</f>
        <v/>
      </c>
      <c r="I410" s="15" t="n">
        <v>94966</v>
      </c>
      <c r="J410" s="15">
        <f>I410*C410</f>
        <v/>
      </c>
      <c r="K410" s="15">
        <f>E410+G410+I410</f>
        <v/>
      </c>
      <c r="L410" s="15">
        <f>F410+H410+J410</f>
        <v/>
      </c>
      <c r="M410" s="18" t="n"/>
    </row>
    <row r="411">
      <c r="A411" s="28" t="inlineStr">
        <is>
          <t>2). 공기변실</t>
        </is>
      </c>
      <c r="B411" s="28" t="n"/>
      <c r="C411" s="17" t="n"/>
      <c r="D411" s="16" t="n"/>
      <c r="E411" s="17" t="n"/>
      <c r="F411" s="29" t="n"/>
      <c r="G411" s="17" t="n"/>
      <c r="H411" s="29" t="n"/>
      <c r="I411" s="17" t="n"/>
      <c r="J411" s="29" t="n"/>
      <c r="K411" s="17" t="n"/>
      <c r="L411" s="29" t="n"/>
      <c r="M411" s="18" t="n"/>
    </row>
    <row r="412">
      <c r="A412" s="14" t="inlineStr">
        <is>
          <t>가). 공기변실</t>
        </is>
      </c>
      <c r="B412" s="14" t="inlineStr">
        <is>
          <t>1.20×1.20</t>
        </is>
      </c>
      <c r="C412" s="15" t="n">
        <v>1</v>
      </c>
      <c r="D412" s="16" t="inlineStr">
        <is>
          <t>개소</t>
        </is>
      </c>
      <c r="E412" s="15" t="n">
        <v>435017</v>
      </c>
      <c r="F412" s="15">
        <f>E412*C412</f>
        <v/>
      </c>
      <c r="G412" s="15" t="n">
        <v>1740067</v>
      </c>
      <c r="H412" s="15">
        <f>G412*C412</f>
        <v/>
      </c>
      <c r="I412" s="15" t="n">
        <v>474833</v>
      </c>
      <c r="J412" s="15">
        <f>I412*C412</f>
        <v/>
      </c>
      <c r="K412" s="15">
        <f>E412+G412+I412</f>
        <v/>
      </c>
      <c r="L412" s="15">
        <f>F412+H412+J412</f>
        <v/>
      </c>
      <c r="M412" s="18" t="n"/>
    </row>
    <row r="413">
      <c r="A413" s="28" t="inlineStr">
        <is>
          <t>3). 이토변실</t>
        </is>
      </c>
      <c r="B413" s="28" t="n"/>
      <c r="C413" s="17" t="n"/>
      <c r="D413" s="16" t="n"/>
      <c r="E413" s="17" t="n"/>
      <c r="F413" s="29" t="n"/>
      <c r="G413" s="17" t="n"/>
      <c r="H413" s="29" t="n"/>
      <c r="I413" s="17" t="n"/>
      <c r="J413" s="29" t="n"/>
      <c r="K413" s="17" t="n"/>
      <c r="L413" s="29" t="n"/>
      <c r="M413" s="18" t="n"/>
    </row>
    <row r="414">
      <c r="A414" s="14" t="inlineStr">
        <is>
          <t>가). 이토변실</t>
        </is>
      </c>
      <c r="B414" s="14" t="inlineStr">
        <is>
          <t>1.20×1.20</t>
        </is>
      </c>
      <c r="C414" s="15" t="n">
        <v>2</v>
      </c>
      <c r="D414" s="16" t="inlineStr">
        <is>
          <t>개소</t>
        </is>
      </c>
      <c r="E414" s="15" t="n">
        <v>435017</v>
      </c>
      <c r="F414" s="15">
        <f>E414*C414</f>
        <v/>
      </c>
      <c r="G414" s="15" t="n">
        <v>1740068</v>
      </c>
      <c r="H414" s="15">
        <f>G414*C414</f>
        <v/>
      </c>
      <c r="I414" s="15" t="n">
        <v>474832</v>
      </c>
      <c r="J414" s="15">
        <f>I414*C414</f>
        <v/>
      </c>
      <c r="K414" s="15">
        <f>E414+G414+I414</f>
        <v/>
      </c>
      <c r="L414" s="15">
        <f>F414+H414+J414</f>
        <v/>
      </c>
      <c r="M414" s="18" t="n"/>
    </row>
    <row r="415">
      <c r="A415" s="28" t="inlineStr">
        <is>
          <t>4). 유량계실</t>
        </is>
      </c>
      <c r="B415" s="28" t="n"/>
      <c r="C415" s="17" t="n"/>
      <c r="D415" s="16" t="n"/>
      <c r="E415" s="17" t="n"/>
      <c r="F415" s="29" t="n"/>
      <c r="G415" s="17" t="n"/>
      <c r="H415" s="29" t="n"/>
      <c r="I415" s="17" t="n"/>
      <c r="J415" s="29" t="n"/>
      <c r="K415" s="17" t="n"/>
      <c r="L415" s="29" t="n"/>
      <c r="M415" s="18" t="n"/>
    </row>
    <row r="416">
      <c r="A416" s="14" t="inlineStr">
        <is>
          <t>가). 유량계실</t>
        </is>
      </c>
      <c r="B416" s="14" t="inlineStr">
        <is>
          <t>3.00×1.80</t>
        </is>
      </c>
      <c r="C416" s="15" t="n">
        <v>1</v>
      </c>
      <c r="D416" s="16" t="inlineStr">
        <is>
          <t>개소</t>
        </is>
      </c>
      <c r="E416" s="15" t="n">
        <v>870034</v>
      </c>
      <c r="F416" s="15">
        <f>E416*C416</f>
        <v/>
      </c>
      <c r="G416" s="15" t="n">
        <v>3480135</v>
      </c>
      <c r="H416" s="15">
        <f>G416*C416</f>
        <v/>
      </c>
      <c r="I416" s="15" t="n">
        <v>949665</v>
      </c>
      <c r="J416" s="15">
        <f>I416*C416</f>
        <v/>
      </c>
      <c r="K416" s="15">
        <f>E416+G416+I416</f>
        <v/>
      </c>
      <c r="L416" s="15">
        <f>F416+H416+J416</f>
        <v/>
      </c>
      <c r="M416" s="18" t="n"/>
    </row>
    <row r="417">
      <c r="A417" s="28" t="inlineStr">
        <is>
          <t>5). 기타</t>
        </is>
      </c>
      <c r="B417" s="28" t="n"/>
      <c r="C417" s="17" t="n"/>
      <c r="D417" s="16" t="n"/>
      <c r="E417" s="17" t="n"/>
      <c r="F417" s="29" t="n"/>
      <c r="G417" s="17" t="n"/>
      <c r="H417" s="29" t="n"/>
      <c r="I417" s="17" t="n"/>
      <c r="J417" s="29" t="n"/>
      <c r="K417" s="17" t="n"/>
      <c r="L417" s="29" t="n"/>
      <c r="M417" s="18" t="n"/>
    </row>
    <row r="418">
      <c r="A418" s="28" t="inlineStr">
        <is>
          <t>가). 지수전 보호통</t>
        </is>
      </c>
      <c r="B418" s="28" t="n"/>
      <c r="C418" s="17" t="n"/>
      <c r="D418" s="16" t="n"/>
      <c r="E418" s="17" t="n"/>
      <c r="F418" s="29" t="n"/>
      <c r="G418" s="17" t="n"/>
      <c r="H418" s="29" t="n"/>
      <c r="I418" s="17" t="n"/>
      <c r="J418" s="29" t="n"/>
      <c r="K418" s="17" t="n"/>
      <c r="L418" s="29" t="n"/>
      <c r="M418" s="18" t="n"/>
    </row>
    <row r="419">
      <c r="A419" s="14" t="inlineStr">
        <is>
          <t>(1). 지수전 보호통</t>
        </is>
      </c>
      <c r="B419" s="14" t="inlineStr">
        <is>
          <t>D25mm</t>
        </is>
      </c>
      <c r="C419" s="15" t="n">
        <v>3</v>
      </c>
      <c r="D419" s="16" t="inlineStr">
        <is>
          <t>개소</t>
        </is>
      </c>
      <c r="E419" s="15" t="n">
        <v>14791</v>
      </c>
      <c r="F419" s="15">
        <f>E419*C419</f>
        <v/>
      </c>
      <c r="G419" s="15" t="n">
        <v>43502</v>
      </c>
      <c r="H419" s="15">
        <f>G419*C419</f>
        <v/>
      </c>
      <c r="I419" s="15" t="n">
        <v>949</v>
      </c>
      <c r="J419" s="15">
        <f>I419*C419</f>
        <v/>
      </c>
      <c r="K419" s="15">
        <f>E419+G419+I419</f>
        <v/>
      </c>
      <c r="L419" s="15">
        <f>F419+H419+J419</f>
        <v/>
      </c>
      <c r="M419" s="18" t="n"/>
    </row>
    <row r="420">
      <c r="A420" s="14" t="inlineStr">
        <is>
          <t>(2). 지수전 보호통</t>
        </is>
      </c>
      <c r="B420" s="14" t="inlineStr">
        <is>
          <t>D50mm</t>
        </is>
      </c>
      <c r="C420" s="15" t="n">
        <v>8</v>
      </c>
      <c r="D420" s="16" t="inlineStr">
        <is>
          <t>개소</t>
        </is>
      </c>
      <c r="E420" s="15" t="n">
        <v>14791</v>
      </c>
      <c r="F420" s="15">
        <f>E420*C420</f>
        <v/>
      </c>
      <c r="G420" s="15" t="n">
        <v>43502</v>
      </c>
      <c r="H420" s="15">
        <f>G420*C420</f>
        <v/>
      </c>
      <c r="I420" s="15" t="n">
        <v>1899</v>
      </c>
      <c r="J420" s="15">
        <f>I420*C420</f>
        <v/>
      </c>
      <c r="K420" s="15">
        <f>E420+G420+I420</f>
        <v/>
      </c>
      <c r="L420" s="15">
        <f>F420+H420+J420</f>
        <v/>
      </c>
      <c r="M420" s="18" t="n"/>
    </row>
    <row r="421">
      <c r="A421" s="28" t="inlineStr">
        <is>
          <t>나). 제수변 보호통</t>
        </is>
      </c>
      <c r="B421" s="28" t="n"/>
      <c r="C421" s="17" t="n"/>
      <c r="D421" s="16" t="n"/>
      <c r="E421" s="17" t="n"/>
      <c r="F421" s="29" t="n"/>
      <c r="G421" s="17" t="n"/>
      <c r="H421" s="29" t="n"/>
      <c r="I421" s="17" t="n"/>
      <c r="J421" s="29" t="n"/>
      <c r="K421" s="17" t="n"/>
      <c r="L421" s="29" t="n"/>
      <c r="M421" s="18" t="n"/>
    </row>
    <row r="422">
      <c r="A422" s="14" t="inlineStr">
        <is>
          <t>(1). 제수변보호통설치</t>
        </is>
      </c>
      <c r="B422" s="14" t="inlineStr">
        <is>
          <t>D100mm</t>
        </is>
      </c>
      <c r="C422" s="15" t="n">
        <v>7</v>
      </c>
      <c r="D422" s="16" t="inlineStr">
        <is>
          <t>개소</t>
        </is>
      </c>
      <c r="E422" s="15" t="n">
        <v>14791</v>
      </c>
      <c r="F422" s="15">
        <f>E422*C422</f>
        <v/>
      </c>
      <c r="G422" s="15" t="n">
        <v>43502</v>
      </c>
      <c r="H422" s="15">
        <f>G422*C422</f>
        <v/>
      </c>
      <c r="I422" s="15" t="n">
        <v>9496</v>
      </c>
      <c r="J422" s="15">
        <f>I422*C422</f>
        <v/>
      </c>
      <c r="K422" s="15">
        <f>E422+G422+I422</f>
        <v/>
      </c>
      <c r="L422" s="15">
        <f>F422+H422+J422</f>
        <v/>
      </c>
      <c r="M422" s="18" t="n"/>
    </row>
    <row r="423">
      <c r="A423" s="14" t="inlineStr">
        <is>
          <t>(2). 제수변보호통설치</t>
        </is>
      </c>
      <c r="B423" s="14" t="inlineStr">
        <is>
          <t>D150mm</t>
        </is>
      </c>
      <c r="C423" s="15" t="n">
        <v>2</v>
      </c>
      <c r="D423" s="16" t="inlineStr">
        <is>
          <t>개소</t>
        </is>
      </c>
      <c r="E423" s="15" t="n">
        <v>14791</v>
      </c>
      <c r="F423" s="15">
        <f>E423*C423</f>
        <v/>
      </c>
      <c r="G423" s="15" t="n">
        <v>43502</v>
      </c>
      <c r="H423" s="15">
        <f>G423*C423</f>
        <v/>
      </c>
      <c r="I423" s="15" t="n">
        <v>18993</v>
      </c>
      <c r="J423" s="15">
        <f>I423*C423</f>
        <v/>
      </c>
      <c r="K423" s="15">
        <f>E423+G423+I423</f>
        <v/>
      </c>
      <c r="L423" s="15">
        <f>F423+H423+J423</f>
        <v/>
      </c>
      <c r="M423" s="18" t="n"/>
    </row>
    <row r="424">
      <c r="A424" s="28" t="inlineStr">
        <is>
          <t>마. 부대공</t>
        </is>
      </c>
      <c r="B424" s="28" t="n"/>
      <c r="C424" s="17" t="n"/>
      <c r="D424" s="16" t="n"/>
      <c r="E424" s="17" t="n"/>
      <c r="F424" s="29" t="n"/>
      <c r="G424" s="17" t="n"/>
      <c r="H424" s="29" t="n"/>
      <c r="I424" s="17" t="n"/>
      <c r="J424" s="29" t="n"/>
      <c r="K424" s="17" t="n"/>
      <c r="L424" s="29" t="n"/>
      <c r="M424" s="18" t="n"/>
    </row>
    <row r="425">
      <c r="A425" s="28" t="inlineStr">
        <is>
          <t>1). 표식</t>
        </is>
      </c>
      <c r="B425" s="28" t="n"/>
      <c r="C425" s="17" t="n"/>
      <c r="D425" s="16" t="n"/>
      <c r="E425" s="17" t="n"/>
      <c r="F425" s="29" t="n"/>
      <c r="G425" s="17" t="n"/>
      <c r="H425" s="29" t="n"/>
      <c r="I425" s="17" t="n"/>
      <c r="J425" s="29" t="n"/>
      <c r="K425" s="17" t="n"/>
      <c r="L425" s="29" t="n"/>
      <c r="M425" s="18" t="n"/>
    </row>
    <row r="426">
      <c r="A426" s="14" t="inlineStr">
        <is>
          <t>가). 분기관 표식설치</t>
        </is>
      </c>
      <c r="B426" s="14" t="inlineStr">
        <is>
          <t>ELP D80,L=1.5M</t>
        </is>
      </c>
      <c r="C426" s="15" t="n">
        <v>11</v>
      </c>
      <c r="D426" s="16" t="inlineStr">
        <is>
          <t>개소</t>
        </is>
      </c>
      <c r="E426" s="15" t="n">
        <v>4350</v>
      </c>
      <c r="F426" s="15">
        <f>E426*C426</f>
        <v/>
      </c>
      <c r="G426" s="15" t="n">
        <v>21751</v>
      </c>
      <c r="H426" s="15">
        <f>G426*C426</f>
        <v/>
      </c>
      <c r="I426" s="15" t="n">
        <v>4748</v>
      </c>
      <c r="J426" s="15">
        <f>I426*C426</f>
        <v/>
      </c>
      <c r="K426" s="15">
        <f>E426+G426+I426</f>
        <v/>
      </c>
      <c r="L426" s="15">
        <f>F426+H426+J426</f>
        <v/>
      </c>
      <c r="M426" s="18" t="n"/>
    </row>
    <row r="427">
      <c r="A427" s="14" t="inlineStr">
        <is>
          <t>나). 분기관표시못 설치</t>
        </is>
      </c>
      <c r="B427" s="14" t="inlineStr">
        <is>
          <t>D80X110</t>
        </is>
      </c>
      <c r="C427" s="15" t="n">
        <v>57</v>
      </c>
      <c r="D427" s="16" t="inlineStr">
        <is>
          <t>개소</t>
        </is>
      </c>
      <c r="E427" s="15" t="n">
        <v>6960</v>
      </c>
      <c r="F427" s="15">
        <f>E427*C427</f>
        <v/>
      </c>
      <c r="G427" s="15" t="n">
        <v>87003</v>
      </c>
      <c r="H427" s="15">
        <f>G427*C427</f>
        <v/>
      </c>
      <c r="I427" s="15" t="n">
        <v>0</v>
      </c>
      <c r="J427" s="15">
        <f>I427*C427</f>
        <v/>
      </c>
      <c r="K427" s="15">
        <f>E427+G427+I427</f>
        <v/>
      </c>
      <c r="L427" s="15">
        <f>F427+H427+J427</f>
        <v/>
      </c>
      <c r="M427" s="18" t="n"/>
    </row>
    <row r="428">
      <c r="A428" s="14" t="inlineStr">
        <is>
          <t>다). 관로경고용테이프</t>
        </is>
      </c>
      <c r="B428" s="14" t="inlineStr">
        <is>
          <t>200mmx1m</t>
        </is>
      </c>
      <c r="C428" s="15" t="n">
        <v>1379</v>
      </c>
      <c r="D428" s="16" t="inlineStr">
        <is>
          <t>m</t>
        </is>
      </c>
      <c r="E428" s="15" t="n">
        <v>435</v>
      </c>
      <c r="F428" s="15">
        <f>E428*C428</f>
        <v/>
      </c>
      <c r="G428" s="15" t="n">
        <v>435</v>
      </c>
      <c r="H428" s="15">
        <f>G428*C428</f>
        <v/>
      </c>
      <c r="I428" s="15" t="n">
        <v>0</v>
      </c>
      <c r="J428" s="15">
        <f>I428*C428</f>
        <v/>
      </c>
      <c r="K428" s="15">
        <f>E428+G428+I428</f>
        <v/>
      </c>
      <c r="L428" s="15">
        <f>F428+H428+J428</f>
        <v/>
      </c>
      <c r="M428" s="18" t="n"/>
    </row>
    <row r="429">
      <c r="A429" s="28" t="inlineStr">
        <is>
          <t>2). 통수시험</t>
        </is>
      </c>
      <c r="B429" s="28" t="n"/>
      <c r="C429" s="17" t="n"/>
      <c r="D429" s="16" t="n"/>
      <c r="E429" s="17" t="n"/>
      <c r="F429" s="29" t="n"/>
      <c r="G429" s="17" t="n"/>
      <c r="H429" s="29" t="n"/>
      <c r="I429" s="17" t="n"/>
      <c r="J429" s="29" t="n"/>
      <c r="K429" s="17" t="n"/>
      <c r="L429" s="29" t="n"/>
      <c r="M429" s="18" t="n"/>
    </row>
    <row r="430">
      <c r="A430" s="14" t="inlineStr">
        <is>
          <t>가). 통수시험</t>
        </is>
      </c>
      <c r="B430" s="14" t="n"/>
      <c r="C430" s="15" t="n">
        <v>919</v>
      </c>
      <c r="D430" s="16" t="inlineStr">
        <is>
          <t>m</t>
        </is>
      </c>
      <c r="E430" s="15" t="n">
        <v>870</v>
      </c>
      <c r="F430" s="15">
        <f>E430*C430</f>
        <v/>
      </c>
      <c r="G430" s="15" t="n">
        <v>1305</v>
      </c>
      <c r="H430" s="15">
        <f>G430*C430</f>
        <v/>
      </c>
      <c r="I430" s="15" t="n">
        <v>949</v>
      </c>
      <c r="J430" s="15">
        <f>I430*C430</f>
        <v/>
      </c>
      <c r="K430" s="15">
        <f>E430+G430+I430</f>
        <v/>
      </c>
      <c r="L430" s="15">
        <f>F430+H430+J430</f>
        <v/>
      </c>
      <c r="M430" s="18" t="n"/>
    </row>
    <row r="431">
      <c r="A431" s="14" t="inlineStr">
        <is>
          <t>나). 물사용량</t>
        </is>
      </c>
      <c r="B431" s="14" t="inlineStr">
        <is>
          <t>일반용</t>
        </is>
      </c>
      <c r="C431" s="15" t="n">
        <v>150</v>
      </c>
      <c r="D431" s="16" t="inlineStr">
        <is>
          <t>㎥</t>
        </is>
      </c>
      <c r="E431" s="15" t="n">
        <v>1740</v>
      </c>
      <c r="F431" s="15">
        <f>E431*C431</f>
        <v/>
      </c>
      <c r="G431" s="15" t="n">
        <v>0</v>
      </c>
      <c r="H431" s="15">
        <f>G431*C431</f>
        <v/>
      </c>
      <c r="I431" s="15" t="n">
        <v>0</v>
      </c>
      <c r="J431" s="15">
        <f>I431*C431</f>
        <v/>
      </c>
      <c r="K431" s="15">
        <f>E431+G431+I431</f>
        <v/>
      </c>
      <c r="L431" s="15">
        <f>F431+H431+J431</f>
        <v/>
      </c>
      <c r="M431" s="18" t="n"/>
    </row>
    <row r="432">
      <c r="A432" s="28" t="inlineStr">
        <is>
          <t>3). 수압시험</t>
        </is>
      </c>
      <c r="B432" s="28" t="n"/>
      <c r="C432" s="17" t="n"/>
      <c r="D432" s="16" t="n"/>
      <c r="E432" s="17" t="n"/>
      <c r="F432" s="29" t="n"/>
      <c r="G432" s="17" t="n"/>
      <c r="H432" s="29" t="n"/>
      <c r="I432" s="17" t="n"/>
      <c r="J432" s="29" t="n"/>
      <c r="K432" s="17" t="n"/>
      <c r="L432" s="29" t="n"/>
      <c r="M432" s="18" t="n"/>
    </row>
    <row r="433">
      <c r="A433" s="14" t="inlineStr">
        <is>
          <t>가). 수압시험비</t>
        </is>
      </c>
      <c r="B433" s="14" t="inlineStr">
        <is>
          <t>D100mm</t>
        </is>
      </c>
      <c r="C433" s="15" t="n">
        <v>1</v>
      </c>
      <c r="D433" s="16" t="inlineStr">
        <is>
          <t>회</t>
        </is>
      </c>
      <c r="E433" s="15" t="n">
        <v>0</v>
      </c>
      <c r="F433" s="15">
        <f>E433*C433</f>
        <v/>
      </c>
      <c r="G433" s="15" t="n">
        <v>43501</v>
      </c>
      <c r="H433" s="15">
        <f>G433*C433</f>
        <v/>
      </c>
      <c r="I433" s="15" t="n">
        <v>237417</v>
      </c>
      <c r="J433" s="15">
        <f>I433*C433</f>
        <v/>
      </c>
      <c r="K433" s="15">
        <f>E433+G433+I433</f>
        <v/>
      </c>
      <c r="L433" s="15">
        <f>F433+H433+J433</f>
        <v/>
      </c>
      <c r="M433" s="18" t="n"/>
    </row>
    <row r="434">
      <c r="A434" s="14" t="inlineStr">
        <is>
          <t>나). 수압시험비</t>
        </is>
      </c>
      <c r="B434" s="14" t="inlineStr">
        <is>
          <t>D150mm</t>
        </is>
      </c>
      <c r="C434" s="15" t="n">
        <v>4</v>
      </c>
      <c r="D434" s="16" t="inlineStr">
        <is>
          <t>회</t>
        </is>
      </c>
      <c r="E434" s="15" t="n">
        <v>0</v>
      </c>
      <c r="F434" s="15">
        <f>E434*C434</f>
        <v/>
      </c>
      <c r="G434" s="15" t="n">
        <v>43502</v>
      </c>
      <c r="H434" s="15">
        <f>G434*C434</f>
        <v/>
      </c>
      <c r="I434" s="15" t="n">
        <v>284900</v>
      </c>
      <c r="J434" s="15">
        <f>I434*C434</f>
        <v/>
      </c>
      <c r="K434" s="15">
        <f>E434+G434+I434</f>
        <v/>
      </c>
      <c r="L434" s="15">
        <f>F434+H434+J434</f>
        <v/>
      </c>
      <c r="M434" s="18" t="n"/>
    </row>
    <row r="435">
      <c r="A435" s="28" t="inlineStr">
        <is>
          <t>바. 주요자재 구입 및 운반</t>
        </is>
      </c>
      <c r="B435" s="28" t="n"/>
      <c r="C435" s="17" t="n"/>
      <c r="D435" s="16" t="n"/>
      <c r="E435" s="17" t="n"/>
      <c r="F435" s="29" t="n"/>
      <c r="G435" s="17" t="n"/>
      <c r="H435" s="29" t="n"/>
      <c r="I435" s="17" t="n"/>
      <c r="J435" s="29" t="n"/>
      <c r="K435" s="17" t="n"/>
      <c r="L435" s="29" t="n"/>
      <c r="M435" s="18" t="n"/>
    </row>
    <row r="436">
      <c r="A436" s="28" t="inlineStr">
        <is>
          <t>1). 레미콘</t>
        </is>
      </c>
      <c r="B436" s="28" t="n"/>
      <c r="C436" s="17" t="n"/>
      <c r="D436" s="16" t="n"/>
      <c r="E436" s="17" t="n"/>
      <c r="F436" s="29" t="n"/>
      <c r="G436" s="17" t="n"/>
      <c r="H436" s="29" t="n"/>
      <c r="I436" s="17" t="n"/>
      <c r="J436" s="29" t="n"/>
      <c r="K436" s="17" t="n"/>
      <c r="L436" s="29" t="n"/>
      <c r="M436" s="18" t="n"/>
    </row>
    <row r="437">
      <c r="A437" s="14" t="inlineStr">
        <is>
          <t>가). 레미콘</t>
        </is>
      </c>
      <c r="B437" s="14" t="inlineStr">
        <is>
          <t>25-21-12(Mpa)</t>
        </is>
      </c>
      <c r="C437" s="15" t="n">
        <v>2</v>
      </c>
      <c r="D437" s="16" t="inlineStr">
        <is>
          <t>㎥</t>
        </is>
      </c>
      <c r="E437" s="15" t="n">
        <v>78477</v>
      </c>
      <c r="F437" s="15">
        <f>E437*C437</f>
        <v/>
      </c>
      <c r="G437" s="15" t="n">
        <v>0</v>
      </c>
      <c r="H437" s="15">
        <f>G437*C437</f>
        <v/>
      </c>
      <c r="I437" s="15" t="n">
        <v>0</v>
      </c>
      <c r="J437" s="15">
        <f>I437*C437</f>
        <v/>
      </c>
      <c r="K437" s="15">
        <f>E437+G437+I437</f>
        <v/>
      </c>
      <c r="L437" s="15">
        <f>F437+H437+J437</f>
        <v/>
      </c>
      <c r="M437" s="18" t="n"/>
    </row>
    <row r="438">
      <c r="A438" s="14" t="inlineStr">
        <is>
          <t>나). 레미콘</t>
        </is>
      </c>
      <c r="B438" s="14" t="inlineStr">
        <is>
          <t>25-21- 8(Mpa)</t>
        </is>
      </c>
      <c r="C438" s="15" t="n">
        <v>35</v>
      </c>
      <c r="D438" s="16" t="inlineStr">
        <is>
          <t>㎥</t>
        </is>
      </c>
      <c r="E438" s="15" t="n">
        <v>76563</v>
      </c>
      <c r="F438" s="15">
        <f>E438*C438</f>
        <v/>
      </c>
      <c r="G438" s="15" t="n">
        <v>0</v>
      </c>
      <c r="H438" s="15">
        <f>G438*C438</f>
        <v/>
      </c>
      <c r="I438" s="15" t="n">
        <v>0</v>
      </c>
      <c r="J438" s="15">
        <f>I438*C438</f>
        <v/>
      </c>
      <c r="K438" s="15">
        <f>E438+G438+I438</f>
        <v/>
      </c>
      <c r="L438" s="15">
        <f>F438+H438+J438</f>
        <v/>
      </c>
      <c r="M438" s="18" t="n"/>
    </row>
    <row r="439">
      <c r="A439" s="14" t="inlineStr">
        <is>
          <t>다). 레미콘</t>
        </is>
      </c>
      <c r="B439" s="14" t="inlineStr">
        <is>
          <t>25-18-8(Mpa)</t>
        </is>
      </c>
      <c r="C439" s="15" t="n">
        <v>6</v>
      </c>
      <c r="D439" s="16" t="inlineStr">
        <is>
          <t>㎥</t>
        </is>
      </c>
      <c r="E439" s="15" t="n">
        <v>74997</v>
      </c>
      <c r="F439" s="15">
        <f>E439*C439</f>
        <v/>
      </c>
      <c r="G439" s="15" t="n">
        <v>0</v>
      </c>
      <c r="H439" s="15">
        <f>G439*C439</f>
        <v/>
      </c>
      <c r="I439" s="15" t="n">
        <v>0</v>
      </c>
      <c r="J439" s="15">
        <f>I439*C439</f>
        <v/>
      </c>
      <c r="K439" s="15">
        <f>E439+G439+I439</f>
        <v/>
      </c>
      <c r="L439" s="15">
        <f>F439+H439+J439</f>
        <v/>
      </c>
      <c r="M439" s="18" t="n"/>
    </row>
    <row r="440">
      <c r="A440" s="28" t="inlineStr">
        <is>
          <t>2). 철근</t>
        </is>
      </c>
      <c r="B440" s="28" t="n"/>
      <c r="C440" s="17" t="n"/>
      <c r="D440" s="16" t="n"/>
      <c r="E440" s="17" t="n"/>
      <c r="F440" s="29" t="n"/>
      <c r="G440" s="17" t="n"/>
      <c r="H440" s="29" t="n"/>
      <c r="I440" s="17" t="n"/>
      <c r="J440" s="29" t="n"/>
      <c r="K440" s="17" t="n"/>
      <c r="L440" s="29" t="n"/>
      <c r="M440" s="18" t="n"/>
    </row>
    <row r="441">
      <c r="A441" s="14" t="inlineStr">
        <is>
          <t>가). 이형철근</t>
        </is>
      </c>
      <c r="B441" s="14" t="inlineStr">
        <is>
          <t>D13M/M   0.995KG/M  SD30A</t>
        </is>
      </c>
      <c r="C441" s="61" t="n">
        <v>1.64</v>
      </c>
      <c r="D441" s="16" t="inlineStr">
        <is>
          <t>Ton</t>
        </is>
      </c>
      <c r="E441" s="15" t="n">
        <v>800795</v>
      </c>
      <c r="F441" s="15">
        <f>E441*C441</f>
        <v/>
      </c>
      <c r="G441" s="15" t="n">
        <v>0</v>
      </c>
      <c r="H441" s="15">
        <f>G441*C441</f>
        <v/>
      </c>
      <c r="I441" s="15" t="n">
        <v>0</v>
      </c>
      <c r="J441" s="15">
        <f>I441*C441</f>
        <v/>
      </c>
      <c r="K441" s="15">
        <f>E441+G441+I441</f>
        <v/>
      </c>
      <c r="L441" s="15">
        <f>F441+H441+J441</f>
        <v/>
      </c>
      <c r="M441" s="18" t="n"/>
    </row>
    <row r="442">
      <c r="A442" s="14" t="inlineStr">
        <is>
          <t>나). 이형철근</t>
        </is>
      </c>
      <c r="B442" s="14" t="inlineStr">
        <is>
          <t>D16M/M   1.560KG/M  SD30A</t>
        </is>
      </c>
      <c r="C442" s="61" t="n">
        <v>2.53</v>
      </c>
      <c r="D442" s="16" t="inlineStr">
        <is>
          <t>Ton</t>
        </is>
      </c>
      <c r="E442" s="15" t="n">
        <v>800320</v>
      </c>
      <c r="F442" s="15">
        <f>E442*C442</f>
        <v/>
      </c>
      <c r="G442" s="15" t="n">
        <v>0</v>
      </c>
      <c r="H442" s="15">
        <f>G442*C442</f>
        <v/>
      </c>
      <c r="I442" s="15" t="n">
        <v>0</v>
      </c>
      <c r="J442" s="15">
        <f>I442*C442</f>
        <v/>
      </c>
      <c r="K442" s="15">
        <f>E442+G442+I442</f>
        <v/>
      </c>
      <c r="L442" s="15">
        <f>F442+H442+J442</f>
        <v/>
      </c>
      <c r="M442" s="18" t="n"/>
    </row>
    <row r="443">
      <c r="A443" s="14" t="inlineStr">
        <is>
          <t>다). 철근운반비</t>
        </is>
      </c>
      <c r="B443" s="14" t="inlineStr">
        <is>
          <t>L=10km이내</t>
        </is>
      </c>
      <c r="C443" s="61" t="n">
        <v>4.16</v>
      </c>
      <c r="D443" s="16" t="inlineStr">
        <is>
          <t>Ton</t>
        </is>
      </c>
      <c r="E443" s="15" t="n">
        <v>0</v>
      </c>
      <c r="F443" s="15">
        <f>E443*C443</f>
        <v/>
      </c>
      <c r="G443" s="15" t="n">
        <v>0</v>
      </c>
      <c r="H443" s="15">
        <f>G443*C443</f>
        <v/>
      </c>
      <c r="I443" s="15" t="n">
        <v>18993</v>
      </c>
      <c r="J443" s="15">
        <f>I443*C443</f>
        <v/>
      </c>
      <c r="K443" s="15">
        <f>E443+G443+I443</f>
        <v/>
      </c>
      <c r="L443" s="15">
        <f>F443+H443+J443</f>
        <v/>
      </c>
      <c r="M443" s="18" t="n"/>
    </row>
    <row r="444">
      <c r="A444" s="14" t="inlineStr">
        <is>
          <t>라). 고철(고재)</t>
        </is>
      </c>
      <c r="B444" s="14" t="inlineStr">
        <is>
          <t>중량A</t>
        </is>
      </c>
      <c r="C444" s="61" t="n">
        <v>0.08</v>
      </c>
      <c r="D444" s="16" t="inlineStr">
        <is>
          <t>Ton</t>
        </is>
      </c>
      <c r="E444" s="15" t="n">
        <v>-344563</v>
      </c>
      <c r="F444" s="15">
        <f>E444*C444</f>
        <v/>
      </c>
      <c r="G444" s="15" t="n">
        <v>0</v>
      </c>
      <c r="H444" s="15">
        <f>G444*C444</f>
        <v/>
      </c>
      <c r="I444" s="15" t="n">
        <v>0</v>
      </c>
      <c r="J444" s="15">
        <f>I444*C444</f>
        <v/>
      </c>
      <c r="K444" s="15">
        <f>E444+G444+I444</f>
        <v/>
      </c>
      <c r="L444" s="15">
        <f>F444+H444+J444</f>
        <v/>
      </c>
      <c r="M444" s="18" t="n"/>
    </row>
    <row r="445">
      <c r="A445" s="28" t="inlineStr">
        <is>
          <t>3). 시멘트</t>
        </is>
      </c>
      <c r="B445" s="28" t="n"/>
      <c r="C445" s="17" t="n"/>
      <c r="D445" s="16" t="n"/>
      <c r="E445" s="17" t="n"/>
      <c r="F445" s="29" t="n"/>
      <c r="G445" s="17" t="n"/>
      <c r="H445" s="29" t="n"/>
      <c r="I445" s="17" t="n"/>
      <c r="J445" s="29" t="n"/>
      <c r="K445" s="17" t="n"/>
      <c r="L445" s="29" t="n"/>
      <c r="M445" s="18" t="n"/>
    </row>
    <row r="446">
      <c r="A446" s="14" t="inlineStr">
        <is>
          <t>가). 보통시멘트</t>
        </is>
      </c>
      <c r="B446" s="14" t="inlineStr">
        <is>
          <t>40kg/대 (포장품)</t>
        </is>
      </c>
      <c r="C446" s="15" t="n">
        <v>73</v>
      </c>
      <c r="D446" s="16" t="inlineStr">
        <is>
          <t>대</t>
        </is>
      </c>
      <c r="E446" s="15" t="n">
        <v>5133</v>
      </c>
      <c r="F446" s="15">
        <f>E446*C446</f>
        <v/>
      </c>
      <c r="G446" s="15" t="n">
        <v>0</v>
      </c>
      <c r="H446" s="15">
        <f>G446*C446</f>
        <v/>
      </c>
      <c r="I446" s="15" t="n">
        <v>0</v>
      </c>
      <c r="J446" s="15">
        <f>I446*C446</f>
        <v/>
      </c>
      <c r="K446" s="15">
        <f>E446+G446+I446</f>
        <v/>
      </c>
      <c r="L446" s="15">
        <f>F446+H446+J446</f>
        <v/>
      </c>
      <c r="M446" s="18" t="n"/>
    </row>
    <row r="447">
      <c r="A447" s="14" t="inlineStr">
        <is>
          <t>나). 시멘트운반</t>
        </is>
      </c>
      <c r="B447" s="14" t="inlineStr">
        <is>
          <t>L=30km이내</t>
        </is>
      </c>
      <c r="C447" s="15" t="n">
        <v>73</v>
      </c>
      <c r="D447" s="16" t="inlineStr">
        <is>
          <t>대</t>
        </is>
      </c>
      <c r="E447" s="15" t="n">
        <v>0</v>
      </c>
      <c r="F447" s="15">
        <f>E447*C447</f>
        <v/>
      </c>
      <c r="G447" s="15" t="n">
        <v>0</v>
      </c>
      <c r="H447" s="15">
        <f>G447*C447</f>
        <v/>
      </c>
      <c r="I447" s="15" t="n">
        <v>949</v>
      </c>
      <c r="J447" s="15">
        <f>I447*C447</f>
        <v/>
      </c>
      <c r="K447" s="15">
        <f>E447+G447+I447</f>
        <v/>
      </c>
      <c r="L447" s="15">
        <f>F447+H447+J447</f>
        <v/>
      </c>
      <c r="M447" s="18" t="n"/>
    </row>
    <row r="448">
      <c r="A448" s="28" t="inlineStr">
        <is>
          <t>4). 골재</t>
        </is>
      </c>
      <c r="B448" s="28" t="n"/>
      <c r="C448" s="17" t="n"/>
      <c r="D448" s="16" t="n"/>
      <c r="E448" s="17" t="n"/>
      <c r="F448" s="29" t="n"/>
      <c r="G448" s="17" t="n"/>
      <c r="H448" s="29" t="n"/>
      <c r="I448" s="17" t="n"/>
      <c r="J448" s="29" t="n"/>
      <c r="K448" s="17" t="n"/>
      <c r="L448" s="29" t="n"/>
      <c r="M448" s="18" t="n"/>
    </row>
    <row r="449">
      <c r="A449" s="14" t="inlineStr">
        <is>
          <t>가). 모래</t>
        </is>
      </c>
      <c r="B449" s="14" t="inlineStr">
        <is>
          <t>강모래, 현장도착도</t>
        </is>
      </c>
      <c r="C449" s="15" t="n">
        <v>4</v>
      </c>
      <c r="D449" s="16" t="inlineStr">
        <is>
          <t>㎥</t>
        </is>
      </c>
      <c r="E449" s="15" t="n">
        <v>22621</v>
      </c>
      <c r="F449" s="15">
        <f>E449*C449</f>
        <v/>
      </c>
      <c r="G449" s="15" t="n">
        <v>0</v>
      </c>
      <c r="H449" s="15">
        <f>G449*C449</f>
        <v/>
      </c>
      <c r="I449" s="15" t="n">
        <v>0</v>
      </c>
      <c r="J449" s="15">
        <f>I449*C449</f>
        <v/>
      </c>
      <c r="K449" s="15">
        <f>E449+G449+I449</f>
        <v/>
      </c>
      <c r="L449" s="15">
        <f>F449+H449+J449</f>
        <v/>
      </c>
      <c r="M449" s="18" t="n"/>
    </row>
    <row r="450">
      <c r="A450" s="14" t="inlineStr">
        <is>
          <t>나). 쇄석자갈</t>
        </is>
      </c>
      <c r="B450" s="14" t="inlineStr">
        <is>
          <t>Φ25mm, 현장도착도</t>
        </is>
      </c>
      <c r="C450" s="15" t="n">
        <v>5</v>
      </c>
      <c r="D450" s="16" t="inlineStr">
        <is>
          <t>㎥</t>
        </is>
      </c>
      <c r="E450" s="15" t="n">
        <v>22621</v>
      </c>
      <c r="F450" s="15">
        <f>E450*C450</f>
        <v/>
      </c>
      <c r="G450" s="15" t="n">
        <v>0</v>
      </c>
      <c r="H450" s="15">
        <f>G450*C450</f>
        <v/>
      </c>
      <c r="I450" s="15" t="n">
        <v>0</v>
      </c>
      <c r="J450" s="15">
        <f>I450*C450</f>
        <v/>
      </c>
      <c r="K450" s="15">
        <f>E450+G450+I450</f>
        <v/>
      </c>
      <c r="L450" s="15">
        <f>F450+H450+J450</f>
        <v/>
      </c>
      <c r="M450" s="18" t="n"/>
    </row>
    <row r="451">
      <c r="A451" s="14" t="inlineStr">
        <is>
          <t>다). 쇄석자갈</t>
        </is>
      </c>
      <c r="B451" s="14" t="inlineStr">
        <is>
          <t>Φ40mm, 현장도착도</t>
        </is>
      </c>
      <c r="C451" s="15" t="n">
        <v>1</v>
      </c>
      <c r="D451" s="16" t="inlineStr">
        <is>
          <t>㎥</t>
        </is>
      </c>
      <c r="E451" s="15" t="n">
        <v>22621</v>
      </c>
      <c r="F451" s="15">
        <f>E451*C451</f>
        <v/>
      </c>
      <c r="G451" s="15" t="n">
        <v>0</v>
      </c>
      <c r="H451" s="15">
        <f>G451*C451</f>
        <v/>
      </c>
      <c r="I451" s="15" t="n">
        <v>0</v>
      </c>
      <c r="J451" s="15">
        <f>I451*C451</f>
        <v/>
      </c>
      <c r="K451" s="15">
        <f>E451+G451+I451</f>
        <v/>
      </c>
      <c r="L451" s="15">
        <f>F451+H451+J451</f>
        <v/>
      </c>
      <c r="M451" s="18" t="n"/>
    </row>
    <row r="452">
      <c r="A452" s="14" t="inlineStr">
        <is>
          <t>라). 잡석</t>
        </is>
      </c>
      <c r="B452" s="14" t="inlineStr">
        <is>
          <t>Φ50mm, 현장도착도</t>
        </is>
      </c>
      <c r="C452" s="15" t="n">
        <v>5</v>
      </c>
      <c r="D452" s="16" t="inlineStr">
        <is>
          <t>㎥</t>
        </is>
      </c>
      <c r="E452" s="15" t="n">
        <v>15661</v>
      </c>
      <c r="F452" s="15">
        <f>E452*C452</f>
        <v/>
      </c>
      <c r="G452" s="15" t="n">
        <v>0</v>
      </c>
      <c r="H452" s="15">
        <f>G452*C452</f>
        <v/>
      </c>
      <c r="I452" s="15" t="n">
        <v>0</v>
      </c>
      <c r="J452" s="15">
        <f>I452*C452</f>
        <v/>
      </c>
      <c r="K452" s="15">
        <f>E452+G452+I452</f>
        <v/>
      </c>
      <c r="L452" s="15">
        <f>F452+H452+J452</f>
        <v/>
      </c>
      <c r="M452" s="18" t="n"/>
    </row>
    <row r="453">
      <c r="A453" s="14" t="inlineStr">
        <is>
          <t>마). 잡석</t>
        </is>
      </c>
      <c r="B453" s="14" t="inlineStr">
        <is>
          <t>Φ150mm이하, 현장도착도</t>
        </is>
      </c>
      <c r="C453" s="15" t="n">
        <v>1</v>
      </c>
      <c r="D453" s="16" t="inlineStr">
        <is>
          <t>㎥</t>
        </is>
      </c>
      <c r="E453" s="15" t="n">
        <v>15661</v>
      </c>
      <c r="F453" s="15">
        <f>E453*C453</f>
        <v/>
      </c>
      <c r="G453" s="15" t="n">
        <v>0</v>
      </c>
      <c r="H453" s="15">
        <f>G453*C453</f>
        <v/>
      </c>
      <c r="I453" s="15" t="n">
        <v>0</v>
      </c>
      <c r="J453" s="15">
        <f>I453*C453</f>
        <v/>
      </c>
      <c r="K453" s="15">
        <f>E453+G453+I453</f>
        <v/>
      </c>
      <c r="L453" s="15">
        <f>F453+H453+J453</f>
        <v/>
      </c>
      <c r="M453" s="18" t="n"/>
    </row>
    <row r="454">
      <c r="A454" s="28" t="inlineStr">
        <is>
          <t>5). 주철관</t>
        </is>
      </c>
      <c r="B454" s="28" t="n"/>
      <c r="C454" s="17" t="n"/>
      <c r="D454" s="16" t="n"/>
      <c r="E454" s="17" t="n"/>
      <c r="F454" s="29" t="n"/>
      <c r="G454" s="17" t="n"/>
      <c r="H454" s="29" t="n"/>
      <c r="I454" s="17" t="n"/>
      <c r="J454" s="29" t="n"/>
      <c r="K454" s="17" t="n"/>
      <c r="L454" s="29" t="n"/>
      <c r="M454" s="18" t="n"/>
    </row>
    <row r="455">
      <c r="A455" s="14" t="inlineStr">
        <is>
          <t>가). 수도용닥타일주철관(직관)</t>
        </is>
      </c>
      <c r="B455" s="14" t="inlineStr">
        <is>
          <t>100㎜  x 5ｍ (KP시멘트,2종)</t>
        </is>
      </c>
      <c r="C455" s="15" t="n">
        <v>24</v>
      </c>
      <c r="D455" s="16" t="inlineStr">
        <is>
          <t>본</t>
        </is>
      </c>
      <c r="E455" s="15" t="n">
        <v>206198</v>
      </c>
      <c r="F455" s="15">
        <f>E455*C455</f>
        <v/>
      </c>
      <c r="G455" s="15" t="n">
        <v>0</v>
      </c>
      <c r="H455" s="15">
        <f>G455*C455</f>
        <v/>
      </c>
      <c r="I455" s="15" t="n">
        <v>0</v>
      </c>
      <c r="J455" s="15">
        <f>I455*C455</f>
        <v/>
      </c>
      <c r="K455" s="15">
        <f>E455+G455+I455</f>
        <v/>
      </c>
      <c r="L455" s="15">
        <f>F455+H455+J455</f>
        <v/>
      </c>
      <c r="M455" s="18" t="n"/>
    </row>
    <row r="456">
      <c r="A456" s="14" t="inlineStr">
        <is>
          <t>나). 수도용닥타일주철관(직관)</t>
        </is>
      </c>
      <c r="B456" s="14" t="inlineStr">
        <is>
          <t>150㎜  x 6ｍ (KP시멘트,2종)</t>
        </is>
      </c>
      <c r="C456" s="15" t="n">
        <v>135</v>
      </c>
      <c r="D456" s="16" t="inlineStr">
        <is>
          <t>본</t>
        </is>
      </c>
      <c r="E456" s="15" t="n">
        <v>318432</v>
      </c>
      <c r="F456" s="15">
        <f>E456*C456</f>
        <v/>
      </c>
      <c r="G456" s="15" t="n">
        <v>0</v>
      </c>
      <c r="H456" s="15">
        <f>G456*C456</f>
        <v/>
      </c>
      <c r="I456" s="15" t="n">
        <v>0</v>
      </c>
      <c r="J456" s="15">
        <f>I456*C456</f>
        <v/>
      </c>
      <c r="K456" s="15">
        <f>E456+G456+I456</f>
        <v/>
      </c>
      <c r="L456" s="15">
        <f>F456+H456+J456</f>
        <v/>
      </c>
      <c r="M456" s="18" t="n"/>
    </row>
    <row r="457">
      <c r="A457" s="14" t="inlineStr">
        <is>
          <t>다). 수도용닥타일이형관</t>
        </is>
      </c>
      <c r="B457" s="14" t="inlineStr">
        <is>
          <t>시멘트라이닝</t>
        </is>
      </c>
      <c r="C457" s="15" t="n">
        <v>1977</v>
      </c>
      <c r="D457" s="16" t="inlineStr">
        <is>
          <t>kg</t>
        </is>
      </c>
      <c r="E457" s="15" t="n">
        <v>3045</v>
      </c>
      <c r="F457" s="15">
        <f>E457*C457</f>
        <v/>
      </c>
      <c r="G457" s="15" t="n">
        <v>0</v>
      </c>
      <c r="H457" s="15">
        <f>G457*C457</f>
        <v/>
      </c>
      <c r="I457" s="15" t="n">
        <v>0</v>
      </c>
      <c r="J457" s="15">
        <f>I457*C457</f>
        <v/>
      </c>
      <c r="K457" s="15">
        <f>E457+G457+I457</f>
        <v/>
      </c>
      <c r="L457" s="15">
        <f>F457+H457+J457</f>
        <v/>
      </c>
      <c r="M457" s="18" t="n"/>
    </row>
    <row r="458">
      <c r="A458" s="14" t="inlineStr">
        <is>
          <t>라). 주철관운반비</t>
        </is>
      </c>
      <c r="B458" s="14" t="inlineStr">
        <is>
          <t>공장---&gt;현장, L=160KM</t>
        </is>
      </c>
      <c r="C458" s="15" t="n">
        <v>46</v>
      </c>
      <c r="D458" s="16" t="inlineStr">
        <is>
          <t>ton</t>
        </is>
      </c>
      <c r="E458" s="15" t="n">
        <v>0</v>
      </c>
      <c r="F458" s="15">
        <f>E458*C458</f>
        <v/>
      </c>
      <c r="G458" s="15" t="n">
        <v>0</v>
      </c>
      <c r="H458" s="15">
        <f>G458*C458</f>
        <v/>
      </c>
      <c r="I458" s="15" t="n">
        <v>18993</v>
      </c>
      <c r="J458" s="15">
        <f>I458*C458</f>
        <v/>
      </c>
      <c r="K458" s="15">
        <f>E458+G458+I458</f>
        <v/>
      </c>
      <c r="L458" s="15">
        <f>F458+H458+J458</f>
        <v/>
      </c>
      <c r="M458" s="18" t="n"/>
    </row>
    <row r="459">
      <c r="A459" s="28" t="inlineStr">
        <is>
          <t>6). 스테인리스강관</t>
        </is>
      </c>
      <c r="B459" s="28" t="n"/>
      <c r="C459" s="17" t="n"/>
      <c r="D459" s="16" t="n"/>
      <c r="E459" s="17" t="n"/>
      <c r="F459" s="29" t="n"/>
      <c r="G459" s="17" t="n"/>
      <c r="H459" s="29" t="n"/>
      <c r="I459" s="17" t="n"/>
      <c r="J459" s="29" t="n"/>
      <c r="K459" s="17" t="n"/>
      <c r="L459" s="29" t="n"/>
      <c r="M459" s="18" t="n"/>
    </row>
    <row r="460">
      <c r="A460" s="14" t="inlineStr">
        <is>
          <t>가). 스테인레스강관</t>
        </is>
      </c>
      <c r="B460" s="14" t="inlineStr">
        <is>
          <t>D25</t>
        </is>
      </c>
      <c r="C460" s="15" t="n">
        <v>39</v>
      </c>
      <c r="D460" s="16" t="inlineStr">
        <is>
          <t>m</t>
        </is>
      </c>
      <c r="E460" s="15" t="n">
        <v>3480</v>
      </c>
      <c r="F460" s="15">
        <f>E460*C460</f>
        <v/>
      </c>
      <c r="G460" s="15" t="n">
        <v>0</v>
      </c>
      <c r="H460" s="15">
        <f>G460*C460</f>
        <v/>
      </c>
      <c r="I460" s="15" t="n">
        <v>0</v>
      </c>
      <c r="J460" s="15">
        <f>I460*C460</f>
        <v/>
      </c>
      <c r="K460" s="15">
        <f>E460+G460+I460</f>
        <v/>
      </c>
      <c r="L460" s="15">
        <f>F460+H460+J460</f>
        <v/>
      </c>
      <c r="M460" s="18" t="n"/>
    </row>
    <row r="461">
      <c r="A461" s="14" t="inlineStr">
        <is>
          <t>나). 스테인레스강관</t>
        </is>
      </c>
      <c r="B461" s="14" t="inlineStr">
        <is>
          <t>D50</t>
        </is>
      </c>
      <c r="C461" s="15" t="n">
        <v>51</v>
      </c>
      <c r="D461" s="16" t="inlineStr">
        <is>
          <t>m</t>
        </is>
      </c>
      <c r="E461" s="15" t="n">
        <v>6090</v>
      </c>
      <c r="F461" s="15">
        <f>E461*C461</f>
        <v/>
      </c>
      <c r="G461" s="15" t="n">
        <v>0</v>
      </c>
      <c r="H461" s="15">
        <f>G461*C461</f>
        <v/>
      </c>
      <c r="I461" s="15" t="n">
        <v>0</v>
      </c>
      <c r="J461" s="15">
        <f>I461*C461</f>
        <v/>
      </c>
      <c r="K461" s="15">
        <f>E461+G461+I461</f>
        <v/>
      </c>
      <c r="L461" s="15">
        <f>F461+H461+J461</f>
        <v/>
      </c>
      <c r="M461" s="18" t="n"/>
    </row>
    <row r="462">
      <c r="A462" s="14" t="inlineStr">
        <is>
          <t>다). 분수전연결용주름마디강관(STS)</t>
        </is>
      </c>
      <c r="B462" s="14" t="inlineStr">
        <is>
          <t>D25 × 1.0</t>
        </is>
      </c>
      <c r="C462" s="15" t="n">
        <v>3</v>
      </c>
      <c r="D462" s="16" t="inlineStr">
        <is>
          <t>ea</t>
        </is>
      </c>
      <c r="E462" s="15" t="n">
        <v>15661</v>
      </c>
      <c r="F462" s="15">
        <f>E462*C462</f>
        <v/>
      </c>
      <c r="G462" s="15" t="n">
        <v>0</v>
      </c>
      <c r="H462" s="15">
        <f>G462*C462</f>
        <v/>
      </c>
      <c r="I462" s="15" t="n">
        <v>0</v>
      </c>
      <c r="J462" s="15">
        <f>I462*C462</f>
        <v/>
      </c>
      <c r="K462" s="15">
        <f>E462+G462+I462</f>
        <v/>
      </c>
      <c r="L462" s="15">
        <f>F462+H462+J462</f>
        <v/>
      </c>
      <c r="M462" s="18" t="n"/>
    </row>
    <row r="463">
      <c r="A463" s="14" t="inlineStr">
        <is>
          <t>라). 분수전연결용주름마디강관(STS)</t>
        </is>
      </c>
      <c r="B463" s="14" t="inlineStr">
        <is>
          <t>D50 × 1.0</t>
        </is>
      </c>
      <c r="C463" s="15" t="n">
        <v>8</v>
      </c>
      <c r="D463" s="16" t="inlineStr">
        <is>
          <t>ea</t>
        </is>
      </c>
      <c r="E463" s="15" t="n">
        <v>36541</v>
      </c>
      <c r="F463" s="15">
        <f>E463*C463</f>
        <v/>
      </c>
      <c r="G463" s="15" t="n">
        <v>0</v>
      </c>
      <c r="H463" s="15">
        <f>G463*C463</f>
        <v/>
      </c>
      <c r="I463" s="15" t="n">
        <v>0</v>
      </c>
      <c r="J463" s="15">
        <f>I463*C463</f>
        <v/>
      </c>
      <c r="K463" s="15">
        <f>E463+G463+I463</f>
        <v/>
      </c>
      <c r="L463" s="15">
        <f>F463+H463+J463</f>
        <v/>
      </c>
      <c r="M463" s="18" t="n"/>
    </row>
    <row r="464">
      <c r="A464" s="14" t="inlineStr">
        <is>
          <t>마). 밸브소켓(슬립인조인트)</t>
        </is>
      </c>
      <c r="B464" s="14" t="inlineStr">
        <is>
          <t>D25</t>
        </is>
      </c>
      <c r="C464" s="15" t="n">
        <v>3</v>
      </c>
      <c r="D464" s="16" t="inlineStr">
        <is>
          <t>ea</t>
        </is>
      </c>
      <c r="E464" s="15" t="n">
        <v>11310</v>
      </c>
      <c r="F464" s="15">
        <f>E464*C464</f>
        <v/>
      </c>
      <c r="G464" s="15" t="n">
        <v>0</v>
      </c>
      <c r="H464" s="15">
        <f>G464*C464</f>
        <v/>
      </c>
      <c r="I464" s="15" t="n">
        <v>0</v>
      </c>
      <c r="J464" s="15">
        <f>I464*C464</f>
        <v/>
      </c>
      <c r="K464" s="15">
        <f>E464+G464+I464</f>
        <v/>
      </c>
      <c r="L464" s="15">
        <f>F464+H464+J464</f>
        <v/>
      </c>
      <c r="M464" s="18" t="n"/>
    </row>
    <row r="465">
      <c r="A465" s="14" t="inlineStr">
        <is>
          <t>바). 밸브소켓(슬립인조인트)</t>
        </is>
      </c>
      <c r="B465" s="14" t="inlineStr">
        <is>
          <t>D50</t>
        </is>
      </c>
      <c r="C465" s="15" t="n">
        <v>8</v>
      </c>
      <c r="D465" s="16" t="inlineStr">
        <is>
          <t>ea</t>
        </is>
      </c>
      <c r="E465" s="15" t="n">
        <v>21751</v>
      </c>
      <c r="F465" s="15">
        <f>E465*C465</f>
        <v/>
      </c>
      <c r="G465" s="15" t="n">
        <v>0</v>
      </c>
      <c r="H465" s="15">
        <f>G465*C465</f>
        <v/>
      </c>
      <c r="I465" s="15" t="n">
        <v>0</v>
      </c>
      <c r="J465" s="15">
        <f>I465*C465</f>
        <v/>
      </c>
      <c r="K465" s="15">
        <f>E465+G465+I465</f>
        <v/>
      </c>
      <c r="L465" s="15">
        <f>F465+H465+J465</f>
        <v/>
      </c>
      <c r="M465" s="18" t="n"/>
    </row>
    <row r="466">
      <c r="A466" s="14" t="inlineStr">
        <is>
          <t>사). 연결유니온</t>
        </is>
      </c>
      <c r="B466" s="14" t="inlineStr">
        <is>
          <t>D25</t>
        </is>
      </c>
      <c r="C466" s="15" t="n">
        <v>3</v>
      </c>
      <c r="D466" s="16" t="inlineStr">
        <is>
          <t>ea</t>
        </is>
      </c>
      <c r="E466" s="15" t="n">
        <v>4350</v>
      </c>
      <c r="F466" s="15">
        <f>E466*C466</f>
        <v/>
      </c>
      <c r="G466" s="15" t="n">
        <v>0</v>
      </c>
      <c r="H466" s="15">
        <f>G466*C466</f>
        <v/>
      </c>
      <c r="I466" s="15" t="n">
        <v>0</v>
      </c>
      <c r="J466" s="15">
        <f>I466*C466</f>
        <v/>
      </c>
      <c r="K466" s="15">
        <f>E466+G466+I466</f>
        <v/>
      </c>
      <c r="L466" s="15">
        <f>F466+H466+J466</f>
        <v/>
      </c>
      <c r="M466" s="18" t="n"/>
    </row>
    <row r="467">
      <c r="A467" s="14" t="inlineStr">
        <is>
          <t>아). 연결유니온</t>
        </is>
      </c>
      <c r="B467" s="14" t="inlineStr">
        <is>
          <t>D50</t>
        </is>
      </c>
      <c r="C467" s="15" t="n">
        <v>8</v>
      </c>
      <c r="D467" s="16" t="inlineStr">
        <is>
          <t>ea</t>
        </is>
      </c>
      <c r="E467" s="15" t="n">
        <v>10440</v>
      </c>
      <c r="F467" s="15">
        <f>E467*C467</f>
        <v/>
      </c>
      <c r="G467" s="15" t="n">
        <v>0</v>
      </c>
      <c r="H467" s="15">
        <f>G467*C467</f>
        <v/>
      </c>
      <c r="I467" s="15" t="n">
        <v>0</v>
      </c>
      <c r="J467" s="15">
        <f>I467*C467</f>
        <v/>
      </c>
      <c r="K467" s="15">
        <f>E467+G467+I467</f>
        <v/>
      </c>
      <c r="L467" s="15">
        <f>F467+H467+J467</f>
        <v/>
      </c>
      <c r="M467" s="18" t="n"/>
    </row>
    <row r="468">
      <c r="A468" s="14" t="inlineStr">
        <is>
          <t>자). 프러그(슬립인조인트)</t>
        </is>
      </c>
      <c r="B468" s="14" t="inlineStr">
        <is>
          <t>D25</t>
        </is>
      </c>
      <c r="C468" s="15" t="n">
        <v>3</v>
      </c>
      <c r="D468" s="16" t="inlineStr">
        <is>
          <t>ea</t>
        </is>
      </c>
      <c r="E468" s="15" t="n">
        <v>9570</v>
      </c>
      <c r="F468" s="15">
        <f>E468*C468</f>
        <v/>
      </c>
      <c r="G468" s="15" t="n">
        <v>0</v>
      </c>
      <c r="H468" s="15">
        <f>G468*C468</f>
        <v/>
      </c>
      <c r="I468" s="15" t="n">
        <v>0</v>
      </c>
      <c r="J468" s="15">
        <f>I468*C468</f>
        <v/>
      </c>
      <c r="K468" s="15">
        <f>E468+G468+I468</f>
        <v/>
      </c>
      <c r="L468" s="15">
        <f>F468+H468+J468</f>
        <v/>
      </c>
      <c r="M468" s="18" t="n"/>
    </row>
    <row r="469">
      <c r="A469" s="14" t="inlineStr">
        <is>
          <t>차). 프러그(슬립인조인트)</t>
        </is>
      </c>
      <c r="B469" s="14" t="inlineStr">
        <is>
          <t>D50</t>
        </is>
      </c>
      <c r="C469" s="15" t="n">
        <v>8</v>
      </c>
      <c r="D469" s="16" t="inlineStr">
        <is>
          <t>ea</t>
        </is>
      </c>
      <c r="E469" s="15" t="n">
        <v>17401</v>
      </c>
      <c r="F469" s="15">
        <f>E469*C469</f>
        <v/>
      </c>
      <c r="G469" s="15" t="n">
        <v>0</v>
      </c>
      <c r="H469" s="15">
        <f>G469*C469</f>
        <v/>
      </c>
      <c r="I469" s="15" t="n">
        <v>0</v>
      </c>
      <c r="J469" s="15">
        <f>I469*C469</f>
        <v/>
      </c>
      <c r="K469" s="15">
        <f>E469+G469+I469</f>
        <v/>
      </c>
      <c r="L469" s="15">
        <f>F469+H469+J469</f>
        <v/>
      </c>
      <c r="M469" s="18" t="n"/>
    </row>
    <row r="470">
      <c r="A470" s="28" t="inlineStr">
        <is>
          <t>7). 제수밸브</t>
        </is>
      </c>
      <c r="B470" s="28" t="n"/>
      <c r="C470" s="17" t="n"/>
      <c r="D470" s="16" t="n"/>
      <c r="E470" s="17" t="n"/>
      <c r="F470" s="29" t="n"/>
      <c r="G470" s="17" t="n"/>
      <c r="H470" s="29" t="n"/>
      <c r="I470" s="17" t="n"/>
      <c r="J470" s="29" t="n"/>
      <c r="K470" s="17" t="n"/>
      <c r="L470" s="29" t="n"/>
      <c r="M470" s="18" t="n"/>
    </row>
    <row r="471">
      <c r="A471" s="14" t="inlineStr">
        <is>
          <t>가). 소프트실제수밸브</t>
        </is>
      </c>
      <c r="B471" s="14" t="inlineStr">
        <is>
          <t>100㎜</t>
        </is>
      </c>
      <c r="C471" s="15" t="n">
        <v>11</v>
      </c>
      <c r="D471" s="16" t="inlineStr">
        <is>
          <t>ea</t>
        </is>
      </c>
      <c r="E471" s="15" t="n">
        <v>147036</v>
      </c>
      <c r="F471" s="15">
        <f>E471*C471</f>
        <v/>
      </c>
      <c r="G471" s="15" t="n">
        <v>0</v>
      </c>
      <c r="H471" s="15">
        <f>G471*C471</f>
        <v/>
      </c>
      <c r="I471" s="15" t="n">
        <v>0</v>
      </c>
      <c r="J471" s="15">
        <f>I471*C471</f>
        <v/>
      </c>
      <c r="K471" s="15">
        <f>E471+G471+I471</f>
        <v/>
      </c>
      <c r="L471" s="15">
        <f>F471+H471+J471</f>
        <v/>
      </c>
      <c r="M471" s="18" t="n"/>
    </row>
    <row r="472">
      <c r="A472" s="14" t="inlineStr">
        <is>
          <t>나). 소프트실제수밸브</t>
        </is>
      </c>
      <c r="B472" s="14" t="inlineStr">
        <is>
          <t>150㎜</t>
        </is>
      </c>
      <c r="C472" s="15" t="n">
        <v>8</v>
      </c>
      <c r="D472" s="16" t="inlineStr">
        <is>
          <t>ea</t>
        </is>
      </c>
      <c r="E472" s="15" t="n">
        <v>289721</v>
      </c>
      <c r="F472" s="15">
        <f>E472*C472</f>
        <v/>
      </c>
      <c r="G472" s="15" t="n">
        <v>0</v>
      </c>
      <c r="H472" s="15">
        <f>G472*C472</f>
        <v/>
      </c>
      <c r="I472" s="15" t="n">
        <v>0</v>
      </c>
      <c r="J472" s="15">
        <f>I472*C472</f>
        <v/>
      </c>
      <c r="K472" s="15">
        <f>E472+G472+I472</f>
        <v/>
      </c>
      <c r="L472" s="15">
        <f>F472+H472+J472</f>
        <v/>
      </c>
      <c r="M472" s="18" t="n"/>
    </row>
    <row r="473">
      <c r="A473" s="14" t="inlineStr">
        <is>
          <t>다). 급속공기밸브(수도용)</t>
        </is>
      </c>
      <c r="B473" s="14" t="inlineStr">
        <is>
          <t>100A</t>
        </is>
      </c>
      <c r="C473" s="15" t="n">
        <v>1</v>
      </c>
      <c r="D473" s="16" t="inlineStr">
        <is>
          <t>ea</t>
        </is>
      </c>
      <c r="E473" s="15" t="n">
        <v>188798</v>
      </c>
      <c r="F473" s="15">
        <f>E473*C473</f>
        <v/>
      </c>
      <c r="G473" s="15" t="n">
        <v>0</v>
      </c>
      <c r="H473" s="15">
        <f>G473*C473</f>
        <v/>
      </c>
      <c r="I473" s="15" t="n">
        <v>0</v>
      </c>
      <c r="J473" s="15">
        <f>I473*C473</f>
        <v/>
      </c>
      <c r="K473" s="15">
        <f>E473+G473+I473</f>
        <v/>
      </c>
      <c r="L473" s="15">
        <f>F473+H473+J473</f>
        <v/>
      </c>
      <c r="M473" s="18" t="n"/>
    </row>
    <row r="474">
      <c r="A474" s="28" t="inlineStr">
        <is>
          <t>8). 맨홀뚜껑</t>
        </is>
      </c>
      <c r="B474" s="28" t="n"/>
      <c r="C474" s="17" t="n"/>
      <c r="D474" s="16" t="n"/>
      <c r="E474" s="17" t="n"/>
      <c r="F474" s="29" t="n"/>
      <c r="G474" s="17" t="n"/>
      <c r="H474" s="29" t="n"/>
      <c r="I474" s="17" t="n"/>
      <c r="J474" s="29" t="n"/>
      <c r="K474" s="17" t="n"/>
      <c r="L474" s="29" t="n"/>
      <c r="M474" s="18" t="n"/>
    </row>
    <row r="475">
      <c r="A475" s="14" t="inlineStr">
        <is>
          <t>가). 맨홀뚜껑(주철제)</t>
        </is>
      </c>
      <c r="B475" s="14" t="inlineStr">
        <is>
          <t>Φ648x250, KS, 상수도용</t>
        </is>
      </c>
      <c r="C475" s="15" t="n">
        <v>9</v>
      </c>
      <c r="D475" s="16" t="inlineStr">
        <is>
          <t>조</t>
        </is>
      </c>
      <c r="E475" s="15" t="n">
        <v>378465</v>
      </c>
      <c r="F475" s="15">
        <f>E475*C475</f>
        <v/>
      </c>
      <c r="G475" s="15" t="n">
        <v>0</v>
      </c>
      <c r="H475" s="15">
        <f>G475*C475</f>
        <v/>
      </c>
      <c r="I475" s="15" t="n">
        <v>0</v>
      </c>
      <c r="J475" s="15">
        <f>I475*C475</f>
        <v/>
      </c>
      <c r="K475" s="15">
        <f>E475+G475+I475</f>
        <v/>
      </c>
      <c r="L475" s="15">
        <f>F475+H475+J475</f>
        <v/>
      </c>
      <c r="M475" s="18" t="n"/>
    </row>
    <row r="476">
      <c r="A476" s="25" t="inlineStr">
        <is>
          <t>5. 포 장 공</t>
        </is>
      </c>
      <c r="B476" s="26" t="n"/>
      <c r="C476" s="21" t="n"/>
      <c r="D476" s="22" t="n"/>
      <c r="E476" s="21" t="n"/>
      <c r="F476" s="27" t="n"/>
      <c r="G476" s="21" t="n"/>
      <c r="H476" s="27" t="n"/>
      <c r="I476" s="21" t="n"/>
      <c r="J476" s="27" t="n"/>
      <c r="K476" s="21" t="n"/>
      <c r="L476" s="27" t="n"/>
      <c r="M476" s="24" t="n"/>
    </row>
    <row r="477">
      <c r="A477" s="28" t="inlineStr">
        <is>
          <t>가. 토     공</t>
        </is>
      </c>
      <c r="B477" s="28" t="n"/>
      <c r="C477" s="17" t="n"/>
      <c r="D477" s="16" t="n"/>
      <c r="E477" s="17" t="n"/>
      <c r="F477" s="29" t="n"/>
      <c r="G477" s="17" t="n"/>
      <c r="H477" s="29" t="n"/>
      <c r="I477" s="17" t="n"/>
      <c r="J477" s="29" t="n"/>
      <c r="K477" s="17" t="n"/>
      <c r="L477" s="29" t="n"/>
      <c r="M477" s="18" t="n"/>
    </row>
    <row r="478">
      <c r="A478" s="28" t="inlineStr">
        <is>
          <t>1). 터파기</t>
        </is>
      </c>
      <c r="B478" s="28" t="n"/>
      <c r="C478" s="17" t="n"/>
      <c r="D478" s="16" t="n"/>
      <c r="E478" s="17" t="n"/>
      <c r="F478" s="29" t="n"/>
      <c r="G478" s="17" t="n"/>
      <c r="H478" s="29" t="n"/>
      <c r="I478" s="17" t="n"/>
      <c r="J478" s="29" t="n"/>
      <c r="K478" s="17" t="n"/>
      <c r="L478" s="29" t="n"/>
      <c r="M478" s="18" t="n"/>
    </row>
    <row r="479">
      <c r="A479" s="14" t="inlineStr">
        <is>
          <t>가). 구조물터파기(토사)</t>
        </is>
      </c>
      <c r="B479" s="14" t="inlineStr">
        <is>
          <t>기계90%+인력10%, 보통토사</t>
        </is>
      </c>
      <c r="C479" s="15" t="n">
        <v>66</v>
      </c>
      <c r="D479" s="16" t="inlineStr">
        <is>
          <t>㎥</t>
        </is>
      </c>
      <c r="E479" s="15" t="n">
        <v>0</v>
      </c>
      <c r="F479" s="15">
        <f>E479*C479</f>
        <v/>
      </c>
      <c r="G479" s="15" t="n">
        <v>2133</v>
      </c>
      <c r="H479" s="15">
        <f>G479*C479</f>
        <v/>
      </c>
      <c r="I479" s="15" t="n">
        <v>3881</v>
      </c>
      <c r="J479" s="15">
        <f>I479*C479</f>
        <v/>
      </c>
      <c r="K479" s="15">
        <f>E479+G479+I479</f>
        <v/>
      </c>
      <c r="L479" s="15">
        <f>F479+H479+J479</f>
        <v/>
      </c>
      <c r="M479" s="18" t="n"/>
    </row>
    <row r="480">
      <c r="A480" s="28" t="inlineStr">
        <is>
          <t>2). 되메우기</t>
        </is>
      </c>
      <c r="B480" s="28" t="n"/>
      <c r="C480" s="17" t="n"/>
      <c r="D480" s="16" t="n"/>
      <c r="E480" s="17" t="n"/>
      <c r="F480" s="29" t="n"/>
      <c r="G480" s="17" t="n"/>
      <c r="H480" s="29" t="n"/>
      <c r="I480" s="17" t="n"/>
      <c r="J480" s="29" t="n"/>
      <c r="K480" s="17" t="n"/>
      <c r="L480" s="29" t="n"/>
      <c r="M480" s="18" t="n"/>
    </row>
    <row r="481">
      <c r="A481" s="14" t="inlineStr">
        <is>
          <t>가). 되메우기및다짐(토사)</t>
        </is>
      </c>
      <c r="B481" s="14" t="inlineStr">
        <is>
          <t>기계90%+인력10%,래머 80KG</t>
        </is>
      </c>
      <c r="C481" s="15" t="n">
        <v>60</v>
      </c>
      <c r="D481" s="16" t="inlineStr">
        <is>
          <t>㎥</t>
        </is>
      </c>
      <c r="E481" s="15" t="n">
        <v>0</v>
      </c>
      <c r="F481" s="15">
        <f>E481*C481</f>
        <v/>
      </c>
      <c r="G481" s="15" t="n">
        <v>2540</v>
      </c>
      <c r="H481" s="15">
        <f>G481*C481</f>
        <v/>
      </c>
      <c r="I481" s="15" t="n">
        <v>4990</v>
      </c>
      <c r="J481" s="15">
        <f>I481*C481</f>
        <v/>
      </c>
      <c r="K481" s="15">
        <f>E481+G481+I481</f>
        <v/>
      </c>
      <c r="L481" s="15">
        <f>F481+H481+J481</f>
        <v/>
      </c>
      <c r="M481" s="18" t="n"/>
    </row>
    <row r="482">
      <c r="A482" s="28" t="inlineStr">
        <is>
          <t>3). 잔토처리</t>
        </is>
      </c>
      <c r="B482" s="28" t="n"/>
      <c r="C482" s="17" t="n"/>
      <c r="D482" s="16" t="n"/>
      <c r="E482" s="17" t="n"/>
      <c r="F482" s="29" t="n"/>
      <c r="G482" s="17" t="n"/>
      <c r="H482" s="29" t="n"/>
      <c r="I482" s="17" t="n"/>
      <c r="J482" s="29" t="n"/>
      <c r="K482" s="17" t="n"/>
      <c r="L482" s="29" t="n"/>
      <c r="M482" s="18" t="n"/>
    </row>
    <row r="483">
      <c r="A483" s="14" t="inlineStr">
        <is>
          <t>가). 잔토처리(토사)</t>
        </is>
      </c>
      <c r="B483" s="14" t="inlineStr">
        <is>
          <t>기계100%</t>
        </is>
      </c>
      <c r="C483" s="15" t="n">
        <v>7</v>
      </c>
      <c r="D483" s="16" t="inlineStr">
        <is>
          <t>㎥</t>
        </is>
      </c>
      <c r="E483" s="15" t="n">
        <v>0</v>
      </c>
      <c r="F483" s="15">
        <f>E483*C483</f>
        <v/>
      </c>
      <c r="G483" s="15" t="n">
        <v>0</v>
      </c>
      <c r="H483" s="15">
        <f>G483*C483</f>
        <v/>
      </c>
      <c r="I483" s="15" t="n">
        <v>11088</v>
      </c>
      <c r="J483" s="15">
        <f>I483*C483</f>
        <v/>
      </c>
      <c r="K483" s="15">
        <f>E483+G483+I483</f>
        <v/>
      </c>
      <c r="L483" s="15">
        <f>F483+H483+J483</f>
        <v/>
      </c>
      <c r="M483" s="18" t="n"/>
    </row>
    <row r="484">
      <c r="A484" s="28" t="inlineStr">
        <is>
          <t>나. 아스콘포장</t>
        </is>
      </c>
      <c r="B484" s="28" t="n"/>
      <c r="C484" s="17" t="n"/>
      <c r="D484" s="16" t="n"/>
      <c r="E484" s="17" t="n"/>
      <c r="F484" s="29" t="n"/>
      <c r="G484" s="17" t="n"/>
      <c r="H484" s="29" t="n"/>
      <c r="I484" s="17" t="n"/>
      <c r="J484" s="29" t="n"/>
      <c r="K484" s="17" t="n"/>
      <c r="L484" s="29" t="n"/>
      <c r="M484" s="18" t="n"/>
    </row>
    <row r="485">
      <c r="A485" s="14" t="inlineStr">
        <is>
          <t>1). 아스팔트 표층 기계포설(대형장비)</t>
        </is>
      </c>
      <c r="B485" s="14" t="inlineStr">
        <is>
          <t>3.0m≤B, T=5cm</t>
        </is>
      </c>
      <c r="C485" s="15" t="n">
        <v>6959</v>
      </c>
      <c r="D485" s="16" t="inlineStr">
        <is>
          <t>㎡</t>
        </is>
      </c>
      <c r="E485" s="15" t="n">
        <v>0</v>
      </c>
      <c r="F485" s="15">
        <f>E485*C485</f>
        <v/>
      </c>
      <c r="G485" s="15" t="n">
        <v>254</v>
      </c>
      <c r="H485" s="15">
        <f>G485*C485</f>
        <v/>
      </c>
      <c r="I485" s="15" t="n">
        <v>3438</v>
      </c>
      <c r="J485" s="15">
        <f>I485*C485</f>
        <v/>
      </c>
      <c r="K485" s="15">
        <f>E485+G485+I485</f>
        <v/>
      </c>
      <c r="L485" s="15">
        <f>F485+H485+J485</f>
        <v/>
      </c>
      <c r="M485" s="18" t="n"/>
    </row>
    <row r="486">
      <c r="A486" s="14" t="inlineStr">
        <is>
          <t>2). 아스팔트 중간층 기계포설(대형장비)</t>
        </is>
      </c>
      <c r="B486" s="14" t="inlineStr">
        <is>
          <t>3.0m≤B, T=5cm</t>
        </is>
      </c>
      <c r="C486" s="15" t="n">
        <v>4880</v>
      </c>
      <c r="D486" s="16" t="inlineStr">
        <is>
          <t>㎡</t>
        </is>
      </c>
      <c r="E486" s="15" t="n">
        <v>0</v>
      </c>
      <c r="F486" s="15">
        <f>E486*C486</f>
        <v/>
      </c>
      <c r="G486" s="15" t="n">
        <v>254</v>
      </c>
      <c r="H486" s="15">
        <f>G486*C486</f>
        <v/>
      </c>
      <c r="I486" s="15" t="n">
        <v>3438</v>
      </c>
      <c r="J486" s="15">
        <f>I486*C486</f>
        <v/>
      </c>
      <c r="K486" s="15">
        <f>E486+G486+I486</f>
        <v/>
      </c>
      <c r="L486" s="15">
        <f>F486+H486+J486</f>
        <v/>
      </c>
      <c r="M486" s="18" t="n"/>
    </row>
    <row r="487">
      <c r="A487" s="14" t="inlineStr">
        <is>
          <t>3). 아스팔트 기층 기계포설(대형장비)</t>
        </is>
      </c>
      <c r="B487" s="14" t="inlineStr">
        <is>
          <t>3.0m≤B, T=15cm, 2회</t>
        </is>
      </c>
      <c r="C487" s="15" t="n">
        <v>6952</v>
      </c>
      <c r="D487" s="16" t="inlineStr">
        <is>
          <t>㎡</t>
        </is>
      </c>
      <c r="E487" s="15" t="n">
        <v>0</v>
      </c>
      <c r="F487" s="15">
        <f>E487*C487</f>
        <v/>
      </c>
      <c r="G487" s="15" t="n">
        <v>254</v>
      </c>
      <c r="H487" s="15">
        <f>G487*C487</f>
        <v/>
      </c>
      <c r="I487" s="15" t="n">
        <v>3438</v>
      </c>
      <c r="J487" s="15">
        <f>I487*C487</f>
        <v/>
      </c>
      <c r="K487" s="15">
        <f>E487+G487+I487</f>
        <v/>
      </c>
      <c r="L487" s="15">
        <f>F487+H487+J487</f>
        <v/>
      </c>
      <c r="M487" s="18" t="n"/>
    </row>
    <row r="488">
      <c r="A488" s="14" t="inlineStr">
        <is>
          <t>4). 텍코팅(기계식)</t>
        </is>
      </c>
      <c r="B488" s="14" t="inlineStr">
        <is>
          <t>RSC-4:45ℓ/a, 2회</t>
        </is>
      </c>
      <c r="C488" s="15" t="n">
        <v>4880</v>
      </c>
      <c r="D488" s="16" t="inlineStr">
        <is>
          <t>㎡</t>
        </is>
      </c>
      <c r="E488" s="15" t="n">
        <v>0</v>
      </c>
      <c r="F488" s="15">
        <f>E488*C488</f>
        <v/>
      </c>
      <c r="G488" s="15" t="n">
        <v>0</v>
      </c>
      <c r="H488" s="15">
        <f>G488*C488</f>
        <v/>
      </c>
      <c r="I488" s="15" t="n">
        <v>554</v>
      </c>
      <c r="J488" s="15">
        <f>I488*C488</f>
        <v/>
      </c>
      <c r="K488" s="15">
        <f>E488+G488+I488</f>
        <v/>
      </c>
      <c r="L488" s="15">
        <f>F488+H488+J488</f>
        <v/>
      </c>
      <c r="M488" s="18" t="n"/>
    </row>
    <row r="489">
      <c r="A489" s="14" t="inlineStr">
        <is>
          <t>5). 텍코팅(기계식)</t>
        </is>
      </c>
      <c r="B489" s="14" t="inlineStr">
        <is>
          <t>RSC-4:45ℓ/a</t>
        </is>
      </c>
      <c r="C489" s="15" t="n">
        <v>2079</v>
      </c>
      <c r="D489" s="16" t="inlineStr">
        <is>
          <t>㎡</t>
        </is>
      </c>
      <c r="E489" s="15" t="n">
        <v>0</v>
      </c>
      <c r="F489" s="15">
        <f>E489*C489</f>
        <v/>
      </c>
      <c r="G489" s="15" t="n">
        <v>0</v>
      </c>
      <c r="H489" s="15">
        <f>G489*C489</f>
        <v/>
      </c>
      <c r="I489" s="15" t="n">
        <v>554</v>
      </c>
      <c r="J489" s="15">
        <f>I489*C489</f>
        <v/>
      </c>
      <c r="K489" s="15">
        <f>E489+G489+I489</f>
        <v/>
      </c>
      <c r="L489" s="15">
        <f>F489+H489+J489</f>
        <v/>
      </c>
      <c r="M489" s="18" t="n"/>
    </row>
    <row r="490">
      <c r="A490" s="14" t="inlineStr">
        <is>
          <t>6). 프라임코팅(기계식)</t>
        </is>
      </c>
      <c r="B490" s="14" t="inlineStr">
        <is>
          <t>RSC-3:150ℓ/a</t>
        </is>
      </c>
      <c r="C490" s="15" t="n">
        <v>6945</v>
      </c>
      <c r="D490" s="16" t="inlineStr">
        <is>
          <t>㎡</t>
        </is>
      </c>
      <c r="E490" s="15" t="n">
        <v>0</v>
      </c>
      <c r="F490" s="15">
        <f>E490*C490</f>
        <v/>
      </c>
      <c r="G490" s="15" t="n">
        <v>0</v>
      </c>
      <c r="H490" s="15">
        <f>G490*C490</f>
        <v/>
      </c>
      <c r="I490" s="15" t="n">
        <v>554</v>
      </c>
      <c r="J490" s="15">
        <f>I490*C490</f>
        <v/>
      </c>
      <c r="K490" s="15">
        <f>E490+G490+I490</f>
        <v/>
      </c>
      <c r="L490" s="15">
        <f>F490+H490+J490</f>
        <v/>
      </c>
      <c r="M490" s="18" t="n"/>
    </row>
    <row r="491">
      <c r="A491" s="14" t="inlineStr">
        <is>
          <t>7). 보조기층(기계시공)</t>
        </is>
      </c>
      <c r="B491" s="14" t="inlineStr">
        <is>
          <t>본선포장, T=20cm</t>
        </is>
      </c>
      <c r="C491" s="15" t="n">
        <v>1625</v>
      </c>
      <c r="D491" s="16" t="inlineStr">
        <is>
          <t>㎥</t>
        </is>
      </c>
      <c r="E491" s="15" t="n">
        <v>0</v>
      </c>
      <c r="F491" s="15">
        <f>E491*C491</f>
        <v/>
      </c>
      <c r="G491" s="15" t="n">
        <v>1524</v>
      </c>
      <c r="H491" s="15">
        <f>G491*C491</f>
        <v/>
      </c>
      <c r="I491" s="15" t="n">
        <v>4990</v>
      </c>
      <c r="J491" s="15">
        <f>I491*C491</f>
        <v/>
      </c>
      <c r="K491" s="15">
        <f>E491+G491+I491</f>
        <v/>
      </c>
      <c r="L491" s="15">
        <f>F491+H491+J491</f>
        <v/>
      </c>
      <c r="M491" s="18" t="n"/>
    </row>
    <row r="492">
      <c r="A492" s="28" t="inlineStr">
        <is>
          <t>다. 보도포장</t>
        </is>
      </c>
      <c r="B492" s="28" t="n"/>
      <c r="C492" s="17" t="n"/>
      <c r="D492" s="16" t="n"/>
      <c r="E492" s="17" t="n"/>
      <c r="F492" s="29" t="n"/>
      <c r="G492" s="17" t="n"/>
      <c r="H492" s="29" t="n"/>
      <c r="I492" s="17" t="n"/>
      <c r="J492" s="29" t="n"/>
      <c r="K492" s="17" t="n"/>
      <c r="L492" s="29" t="n"/>
      <c r="M492" s="18" t="n"/>
    </row>
    <row r="493">
      <c r="A493" s="28" t="inlineStr">
        <is>
          <t>1). 보도포장(투수)</t>
        </is>
      </c>
      <c r="B493" s="28" t="n"/>
      <c r="C493" s="17" t="n"/>
      <c r="D493" s="16" t="n"/>
      <c r="E493" s="17" t="n"/>
      <c r="F493" s="29" t="n"/>
      <c r="G493" s="17" t="n"/>
      <c r="H493" s="29" t="n"/>
      <c r="I493" s="17" t="n"/>
      <c r="J493" s="29" t="n"/>
      <c r="K493" s="17" t="n"/>
      <c r="L493" s="29" t="n"/>
      <c r="M493" s="18" t="n"/>
    </row>
    <row r="494">
      <c r="A494" s="14" t="inlineStr">
        <is>
          <t>가). 보도용블럭포장(소형)</t>
        </is>
      </c>
      <c r="B494" s="14" t="inlineStr">
        <is>
          <t>A-TYPE, T=8㎝이하</t>
        </is>
      </c>
      <c r="C494" s="15" t="n">
        <v>2645</v>
      </c>
      <c r="D494" s="16" t="inlineStr">
        <is>
          <t>㎡</t>
        </is>
      </c>
      <c r="E494" s="15" t="n">
        <v>0</v>
      </c>
      <c r="F494" s="15">
        <f>E494*C494</f>
        <v/>
      </c>
      <c r="G494" s="15" t="n">
        <v>15238</v>
      </c>
      <c r="H494" s="15">
        <f>G494*C494</f>
        <v/>
      </c>
      <c r="I494" s="15" t="n">
        <v>2517</v>
      </c>
      <c r="J494" s="15">
        <f>I494*C494</f>
        <v/>
      </c>
      <c r="K494" s="15">
        <f>E494+G494+I494</f>
        <v/>
      </c>
      <c r="L494" s="15">
        <f>F494+H494+J494</f>
        <v/>
      </c>
      <c r="M494" s="18" t="n"/>
    </row>
    <row r="495">
      <c r="A495" s="14" t="inlineStr">
        <is>
          <t>나). 보조기층(인력식)</t>
        </is>
      </c>
      <c r="B495" s="14" t="inlineStr">
        <is>
          <t>소규모장비</t>
        </is>
      </c>
      <c r="C495" s="15" t="n">
        <v>290</v>
      </c>
      <c r="D495" s="16" t="inlineStr">
        <is>
          <t>㎥</t>
        </is>
      </c>
      <c r="E495" s="15" t="n">
        <v>0</v>
      </c>
      <c r="F495" s="15">
        <f>E495*C495</f>
        <v/>
      </c>
      <c r="G495" s="15" t="n">
        <v>1524</v>
      </c>
      <c r="H495" s="15">
        <f>G495*C495</f>
        <v/>
      </c>
      <c r="I495" s="15" t="n">
        <v>4990</v>
      </c>
      <c r="J495" s="15">
        <f>I495*C495</f>
        <v/>
      </c>
      <c r="K495" s="15">
        <f>E495+G495+I495</f>
        <v/>
      </c>
      <c r="L495" s="15">
        <f>F495+H495+J495</f>
        <v/>
      </c>
      <c r="M495" s="18" t="n"/>
    </row>
    <row r="496">
      <c r="A496" s="28" t="inlineStr">
        <is>
          <t>라. 장애자용블럭포장</t>
        </is>
      </c>
      <c r="B496" s="28" t="n"/>
      <c r="C496" s="17" t="n"/>
      <c r="D496" s="16" t="n"/>
      <c r="E496" s="17" t="n"/>
      <c r="F496" s="29" t="n"/>
      <c r="G496" s="17" t="n"/>
      <c r="H496" s="29" t="n"/>
      <c r="I496" s="17" t="n"/>
      <c r="J496" s="29" t="n"/>
      <c r="K496" s="17" t="n"/>
      <c r="L496" s="29" t="n"/>
      <c r="M496" s="18" t="n"/>
    </row>
    <row r="497">
      <c r="A497" s="28" t="inlineStr">
        <is>
          <t>1). 보도포장(장애인용블럭)</t>
        </is>
      </c>
      <c r="B497" s="28" t="n"/>
      <c r="C497" s="17" t="n"/>
      <c r="D497" s="16" t="n"/>
      <c r="E497" s="17" t="n"/>
      <c r="F497" s="29" t="n"/>
      <c r="G497" s="17" t="n"/>
      <c r="H497" s="29" t="n"/>
      <c r="I497" s="17" t="n"/>
      <c r="J497" s="29" t="n"/>
      <c r="K497" s="17" t="n"/>
      <c r="L497" s="29" t="n"/>
      <c r="M497" s="18" t="n"/>
    </row>
    <row r="498">
      <c r="A498" s="14" t="inlineStr">
        <is>
          <t>가). 보도용블럭포장(유도블록)</t>
        </is>
      </c>
      <c r="B498" s="14" t="inlineStr">
        <is>
          <t>A-TYPE, T=6㎝이하</t>
        </is>
      </c>
      <c r="C498" s="15" t="n">
        <v>26</v>
      </c>
      <c r="D498" s="16" t="inlineStr">
        <is>
          <t>㎡</t>
        </is>
      </c>
      <c r="E498" s="15" t="n">
        <v>0</v>
      </c>
      <c r="F498" s="15">
        <f>E498*C498</f>
        <v/>
      </c>
      <c r="G498" s="15" t="n">
        <v>13206</v>
      </c>
      <c r="H498" s="15">
        <f>G498*C498</f>
        <v/>
      </c>
      <c r="I498" s="15" t="n">
        <v>2517</v>
      </c>
      <c r="J498" s="15">
        <f>I498*C498</f>
        <v/>
      </c>
      <c r="K498" s="15">
        <f>E498+G498+I498</f>
        <v/>
      </c>
      <c r="L498" s="15">
        <f>F498+H498+J498</f>
        <v/>
      </c>
      <c r="M498" s="18" t="n"/>
    </row>
    <row r="499">
      <c r="A499" s="14" t="inlineStr">
        <is>
          <t>나). 보도용블럭포장(점자블록)</t>
        </is>
      </c>
      <c r="B499" s="14" t="inlineStr">
        <is>
          <t>A-TYPE, T=6㎝이하</t>
        </is>
      </c>
      <c r="C499" s="15" t="n">
        <v>57</v>
      </c>
      <c r="D499" s="16" t="inlineStr">
        <is>
          <t>㎡</t>
        </is>
      </c>
      <c r="E499" s="15" t="n">
        <v>0</v>
      </c>
      <c r="F499" s="15">
        <f>E499*C499</f>
        <v/>
      </c>
      <c r="G499" s="15" t="n">
        <v>13206</v>
      </c>
      <c r="H499" s="15">
        <f>G499*C499</f>
        <v/>
      </c>
      <c r="I499" s="15" t="n">
        <v>2517</v>
      </c>
      <c r="J499" s="15">
        <f>I499*C499</f>
        <v/>
      </c>
      <c r="K499" s="15">
        <f>E499+G499+I499</f>
        <v/>
      </c>
      <c r="L499" s="15">
        <f>F499+H499+J499</f>
        <v/>
      </c>
      <c r="M499" s="18" t="n"/>
    </row>
    <row r="500">
      <c r="A500" s="14" t="inlineStr">
        <is>
          <t>다). 보조기층(인력식)</t>
        </is>
      </c>
      <c r="B500" s="14" t="inlineStr">
        <is>
          <t>T=10cm, 소규모장비</t>
        </is>
      </c>
      <c r="C500" s="15" t="n">
        <v>9</v>
      </c>
      <c r="D500" s="16" t="inlineStr">
        <is>
          <t>㎥</t>
        </is>
      </c>
      <c r="E500" s="15" t="n">
        <v>0</v>
      </c>
      <c r="F500" s="15">
        <f>E500*C500</f>
        <v/>
      </c>
      <c r="G500" s="15" t="n">
        <v>1524</v>
      </c>
      <c r="H500" s="15">
        <f>G500*C500</f>
        <v/>
      </c>
      <c r="I500" s="15" t="n">
        <v>4990</v>
      </c>
      <c r="J500" s="15">
        <f>I500*C500</f>
        <v/>
      </c>
      <c r="K500" s="15">
        <f>E500+G500+I500</f>
        <v/>
      </c>
      <c r="L500" s="15">
        <f>F500+H500+J500</f>
        <v/>
      </c>
      <c r="M500" s="18" t="n"/>
    </row>
    <row r="501">
      <c r="A501" s="28" t="inlineStr">
        <is>
          <t>마. 미끄럼방지포장</t>
        </is>
      </c>
      <c r="B501" s="28" t="n"/>
      <c r="C501" s="17" t="n"/>
      <c r="D501" s="16" t="n"/>
      <c r="E501" s="17" t="n"/>
      <c r="F501" s="29" t="n"/>
      <c r="G501" s="17" t="n"/>
      <c r="H501" s="29" t="n"/>
      <c r="I501" s="17" t="n"/>
      <c r="J501" s="29" t="n"/>
      <c r="K501" s="17" t="n"/>
      <c r="L501" s="29" t="n"/>
      <c r="M501" s="18" t="n"/>
    </row>
    <row r="502">
      <c r="A502" s="14" t="inlineStr">
        <is>
          <t>1). 미끄럼방지공</t>
        </is>
      </c>
      <c r="B502" s="14" t="inlineStr">
        <is>
          <t>전면식</t>
        </is>
      </c>
      <c r="C502" s="15" t="n">
        <v>1612</v>
      </c>
      <c r="D502" s="16" t="inlineStr">
        <is>
          <t>㎡</t>
        </is>
      </c>
      <c r="E502" s="15" t="n">
        <v>6603</v>
      </c>
      <c r="F502" s="15">
        <f>E502*C502</f>
        <v/>
      </c>
      <c r="G502" s="15" t="n">
        <v>14222</v>
      </c>
      <c r="H502" s="15">
        <f>G502*C502</f>
        <v/>
      </c>
      <c r="I502" s="15" t="n">
        <v>3326</v>
      </c>
      <c r="J502" s="15">
        <f>I502*C502</f>
        <v/>
      </c>
      <c r="K502" s="15">
        <f>E502+G502+I502</f>
        <v/>
      </c>
      <c r="L502" s="15">
        <f>F502+H502+J502</f>
        <v/>
      </c>
      <c r="M502" s="18" t="n"/>
    </row>
    <row r="503">
      <c r="A503" s="28" t="inlineStr">
        <is>
          <t>바. 과속방지턱</t>
        </is>
      </c>
      <c r="B503" s="28" t="n"/>
      <c r="C503" s="17" t="n"/>
      <c r="D503" s="16" t="n"/>
      <c r="E503" s="17" t="n"/>
      <c r="F503" s="29" t="n"/>
      <c r="G503" s="17" t="n"/>
      <c r="H503" s="29" t="n"/>
      <c r="I503" s="17" t="n"/>
      <c r="J503" s="29" t="n"/>
      <c r="K503" s="17" t="n"/>
      <c r="L503" s="29" t="n"/>
      <c r="M503" s="18" t="n"/>
    </row>
    <row r="504">
      <c r="A504" s="14" t="inlineStr">
        <is>
          <t>1). 아스팔트 표층 기계포설(대형장비)</t>
        </is>
      </c>
      <c r="B504" s="14" t="inlineStr">
        <is>
          <t>3.0m≤B, T=10cm</t>
        </is>
      </c>
      <c r="C504" s="15" t="n">
        <v>79</v>
      </c>
      <c r="D504" s="16" t="inlineStr">
        <is>
          <t>㎡</t>
        </is>
      </c>
      <c r="E504" s="15" t="n">
        <v>0</v>
      </c>
      <c r="F504" s="15">
        <f>E504*C504</f>
        <v/>
      </c>
      <c r="G504" s="15" t="n">
        <v>10290</v>
      </c>
      <c r="H504" s="15">
        <f>G504*C504</f>
        <v/>
      </c>
      <c r="I504" s="15" t="n">
        <v>21755</v>
      </c>
      <c r="J504" s="15">
        <f>I504*C504</f>
        <v/>
      </c>
      <c r="K504" s="15">
        <f>E504+G504+I504</f>
        <v/>
      </c>
      <c r="L504" s="15">
        <f>F504+H504+J504</f>
        <v/>
      </c>
      <c r="M504" s="18" t="n"/>
    </row>
    <row r="505">
      <c r="A505" s="14" t="inlineStr">
        <is>
          <t>2). 텍코팅(기계식)</t>
        </is>
      </c>
      <c r="B505" s="14" t="inlineStr">
        <is>
          <t>RSC-4:45ℓ/a</t>
        </is>
      </c>
      <c r="C505" s="15" t="n">
        <v>256</v>
      </c>
      <c r="D505" s="16" t="inlineStr">
        <is>
          <t>㎡</t>
        </is>
      </c>
      <c r="E505" s="15" t="n">
        <v>0</v>
      </c>
      <c r="F505" s="15">
        <f>E505*C505</f>
        <v/>
      </c>
      <c r="G505" s="15" t="n">
        <v>0</v>
      </c>
      <c r="H505" s="15">
        <f>G505*C505</f>
        <v/>
      </c>
      <c r="I505" s="15" t="n">
        <v>554</v>
      </c>
      <c r="J505" s="15">
        <f>I505*C505</f>
        <v/>
      </c>
      <c r="K505" s="15">
        <f>E505+G505+I505</f>
        <v/>
      </c>
      <c r="L505" s="15">
        <f>F505+H505+J505</f>
        <v/>
      </c>
      <c r="M505" s="18" t="n"/>
    </row>
    <row r="506">
      <c r="A506" s="14" t="inlineStr">
        <is>
          <t>3). 차선도색(융착식,수동식),신설구간</t>
        </is>
      </c>
      <c r="B506" s="14" t="inlineStr">
        <is>
          <t>백색-실선</t>
        </is>
      </c>
      <c r="C506" s="15" t="n">
        <v>64</v>
      </c>
      <c r="D506" s="16" t="inlineStr">
        <is>
          <t>㎡</t>
        </is>
      </c>
      <c r="E506" s="15" t="n">
        <v>6603</v>
      </c>
      <c r="F506" s="15">
        <f>E506*C506</f>
        <v/>
      </c>
      <c r="G506" s="15" t="n">
        <v>8635</v>
      </c>
      <c r="H506" s="15">
        <f>G506*C506</f>
        <v/>
      </c>
      <c r="I506" s="15" t="n">
        <v>1108</v>
      </c>
      <c r="J506" s="15">
        <f>I506*C506</f>
        <v/>
      </c>
      <c r="K506" s="15">
        <f>E506+G506+I506</f>
        <v/>
      </c>
      <c r="L506" s="15">
        <f>F506+H506+J506</f>
        <v/>
      </c>
      <c r="M506" s="18" t="n"/>
    </row>
    <row r="507">
      <c r="A507" s="14" t="inlineStr">
        <is>
          <t>4). 차선도색(융착식,수동식),신설구간</t>
        </is>
      </c>
      <c r="B507" s="14" t="inlineStr">
        <is>
          <t>황색-실선</t>
        </is>
      </c>
      <c r="C507" s="15" t="n">
        <v>64</v>
      </c>
      <c r="D507" s="16" t="inlineStr">
        <is>
          <t>㎡</t>
        </is>
      </c>
      <c r="E507" s="15" t="n">
        <v>6603</v>
      </c>
      <c r="F507" s="15">
        <f>E507*C507</f>
        <v/>
      </c>
      <c r="G507" s="15" t="n">
        <v>8635</v>
      </c>
      <c r="H507" s="15">
        <f>G507*C507</f>
        <v/>
      </c>
      <c r="I507" s="15" t="n">
        <v>1108</v>
      </c>
      <c r="J507" s="15">
        <f>I507*C507</f>
        <v/>
      </c>
      <c r="K507" s="15">
        <f>E507+G507+I507</f>
        <v/>
      </c>
      <c r="L507" s="15">
        <f>F507+H507+J507</f>
        <v/>
      </c>
      <c r="M507" s="18" t="n"/>
    </row>
    <row r="508">
      <c r="A508" s="14" t="inlineStr">
        <is>
          <t>5). 차선도색(차로밑그림),신설구간</t>
        </is>
      </c>
      <c r="B508" s="14" t="inlineStr">
        <is>
          <t>실선</t>
        </is>
      </c>
      <c r="C508" s="15" t="n">
        <v>128</v>
      </c>
      <c r="D508" s="16" t="inlineStr">
        <is>
          <t>㎡</t>
        </is>
      </c>
      <c r="E508" s="15" t="n">
        <v>0</v>
      </c>
      <c r="F508" s="15">
        <f>E508*C508</f>
        <v/>
      </c>
      <c r="G508" s="15" t="n">
        <v>4571</v>
      </c>
      <c r="H508" s="15">
        <f>G508*C508</f>
        <v/>
      </c>
      <c r="I508" s="15" t="n">
        <v>1108</v>
      </c>
      <c r="J508" s="15">
        <f>I508*C508</f>
        <v/>
      </c>
      <c r="K508" s="15">
        <f>E508+G508+I508</f>
        <v/>
      </c>
      <c r="L508" s="15">
        <f>F508+H508+J508</f>
        <v/>
      </c>
      <c r="M508" s="18" t="n"/>
    </row>
    <row r="509">
      <c r="A509" s="28" t="inlineStr">
        <is>
          <t>사. 고원식횡단보도</t>
        </is>
      </c>
      <c r="B509" s="28" t="n"/>
      <c r="C509" s="17" t="n"/>
      <c r="D509" s="16" t="n"/>
      <c r="E509" s="17" t="n"/>
      <c r="F509" s="29" t="n"/>
      <c r="G509" s="17" t="n"/>
      <c r="H509" s="29" t="n"/>
      <c r="I509" s="17" t="n"/>
      <c r="J509" s="29" t="n"/>
      <c r="K509" s="17" t="n"/>
      <c r="L509" s="29" t="n"/>
      <c r="M509" s="18" t="n"/>
    </row>
    <row r="510">
      <c r="A510" s="14" t="inlineStr">
        <is>
          <t>1). 아스팔트 표층 기계포설(대형장비)</t>
        </is>
      </c>
      <c r="B510" s="14" t="inlineStr">
        <is>
          <t>3.0m≤B, T=5cm</t>
        </is>
      </c>
      <c r="C510" s="15" t="n">
        <v>96</v>
      </c>
      <c r="D510" s="16" t="inlineStr">
        <is>
          <t>㎡</t>
        </is>
      </c>
      <c r="E510" s="15" t="n">
        <v>0</v>
      </c>
      <c r="F510" s="15">
        <f>E510*C510</f>
        <v/>
      </c>
      <c r="G510" s="15" t="n">
        <v>10290</v>
      </c>
      <c r="H510" s="15">
        <f>G510*C510</f>
        <v/>
      </c>
      <c r="I510" s="15" t="n">
        <v>21755</v>
      </c>
      <c r="J510" s="15">
        <f>I510*C510</f>
        <v/>
      </c>
      <c r="K510" s="15">
        <f>E510+G510+I510</f>
        <v/>
      </c>
      <c r="L510" s="15">
        <f>F510+H510+J510</f>
        <v/>
      </c>
      <c r="M510" s="18" t="n"/>
    </row>
    <row r="511">
      <c r="A511" s="14" t="inlineStr">
        <is>
          <t>2). 텍코팅(기계식)</t>
        </is>
      </c>
      <c r="B511" s="14" t="inlineStr">
        <is>
          <t>RSC-4:45ℓ/a</t>
        </is>
      </c>
      <c r="C511" s="15" t="n">
        <v>193</v>
      </c>
      <c r="D511" s="16" t="inlineStr">
        <is>
          <t>㎡</t>
        </is>
      </c>
      <c r="E511" s="15" t="n">
        <v>0</v>
      </c>
      <c r="F511" s="15">
        <f>E511*C511</f>
        <v/>
      </c>
      <c r="G511" s="15" t="n">
        <v>0</v>
      </c>
      <c r="H511" s="15">
        <f>G511*C511</f>
        <v/>
      </c>
      <c r="I511" s="15" t="n">
        <v>554</v>
      </c>
      <c r="J511" s="15">
        <f>I511*C511</f>
        <v/>
      </c>
      <c r="K511" s="15">
        <f>E511+G511+I511</f>
        <v/>
      </c>
      <c r="L511" s="15">
        <f>F511+H511+J511</f>
        <v/>
      </c>
      <c r="M511" s="18" t="n"/>
    </row>
    <row r="512">
      <c r="A512" s="14" t="inlineStr">
        <is>
          <t>3). 미끄럼방지공</t>
        </is>
      </c>
      <c r="B512" s="14" t="inlineStr">
        <is>
          <t>전면식</t>
        </is>
      </c>
      <c r="C512" s="15" t="n">
        <v>48</v>
      </c>
      <c r="D512" s="16" t="inlineStr">
        <is>
          <t>㎡</t>
        </is>
      </c>
      <c r="E512" s="15" t="n">
        <v>6603</v>
      </c>
      <c r="F512" s="15">
        <f>E512*C512</f>
        <v/>
      </c>
      <c r="G512" s="15" t="n">
        <v>14222</v>
      </c>
      <c r="H512" s="15">
        <f>G512*C512</f>
        <v/>
      </c>
      <c r="I512" s="15" t="n">
        <v>3326</v>
      </c>
      <c r="J512" s="15">
        <f>I512*C512</f>
        <v/>
      </c>
      <c r="K512" s="15">
        <f>E512+G512+I512</f>
        <v/>
      </c>
      <c r="L512" s="15">
        <f>F512+H512+J512</f>
        <v/>
      </c>
      <c r="M512" s="18" t="n"/>
    </row>
    <row r="513">
      <c r="A513" s="14" t="inlineStr">
        <is>
          <t>4). 차선도색(융착식,수동식),신설구간</t>
        </is>
      </c>
      <c r="B513" s="14" t="inlineStr">
        <is>
          <t>횡단보도,주차장</t>
        </is>
      </c>
      <c r="C513" s="15" t="n">
        <v>24</v>
      </c>
      <c r="D513" s="16" t="inlineStr">
        <is>
          <t>㎡</t>
        </is>
      </c>
      <c r="E513" s="15" t="n">
        <v>6603</v>
      </c>
      <c r="F513" s="15">
        <f>E513*C513</f>
        <v/>
      </c>
      <c r="G513" s="15" t="n">
        <v>11174</v>
      </c>
      <c r="H513" s="15">
        <f>G513*C513</f>
        <v/>
      </c>
      <c r="I513" s="15" t="n">
        <v>1108</v>
      </c>
      <c r="J513" s="15">
        <f>I513*C513</f>
        <v/>
      </c>
      <c r="K513" s="15">
        <f>E513+G513+I513</f>
        <v/>
      </c>
      <c r="L513" s="15">
        <f>F513+H513+J513</f>
        <v/>
      </c>
      <c r="M513" s="18" t="n"/>
    </row>
    <row r="514">
      <c r="A514" s="14" t="inlineStr">
        <is>
          <t>5). 차선도색(융착식,수동식),신설구간</t>
        </is>
      </c>
      <c r="B514" s="14" t="inlineStr">
        <is>
          <t>문자,기호</t>
        </is>
      </c>
      <c r="C514" s="15" t="n">
        <v>2</v>
      </c>
      <c r="D514" s="16" t="inlineStr">
        <is>
          <t>㎡</t>
        </is>
      </c>
      <c r="E514" s="15" t="n">
        <v>6603</v>
      </c>
      <c r="F514" s="15">
        <f>E514*C514</f>
        <v/>
      </c>
      <c r="G514" s="15" t="n">
        <v>11175</v>
      </c>
      <c r="H514" s="15">
        <f>G514*C514</f>
        <v/>
      </c>
      <c r="I514" s="15" t="n">
        <v>1109</v>
      </c>
      <c r="J514" s="15">
        <f>I514*C514</f>
        <v/>
      </c>
      <c r="K514" s="15">
        <f>E514+G514+I514</f>
        <v/>
      </c>
      <c r="L514" s="15">
        <f>F514+H514+J514</f>
        <v/>
      </c>
      <c r="M514" s="18" t="n"/>
    </row>
    <row r="515">
      <c r="A515" s="14" t="inlineStr">
        <is>
          <t>6). 차선도색(차로밑그림),신설구간</t>
        </is>
      </c>
      <c r="B515" s="14" t="inlineStr">
        <is>
          <t>횡단보도,주차장</t>
        </is>
      </c>
      <c r="C515" s="15" t="n">
        <v>24</v>
      </c>
      <c r="D515" s="16" t="inlineStr">
        <is>
          <t>㎡</t>
        </is>
      </c>
      <c r="E515" s="15" t="n">
        <v>6603</v>
      </c>
      <c r="F515" s="15">
        <f>E515*C515</f>
        <v/>
      </c>
      <c r="G515" s="15" t="n">
        <v>11174</v>
      </c>
      <c r="H515" s="15">
        <f>G515*C515</f>
        <v/>
      </c>
      <c r="I515" s="15" t="n">
        <v>1108</v>
      </c>
      <c r="J515" s="15">
        <f>I515*C515</f>
        <v/>
      </c>
      <c r="K515" s="15">
        <f>E515+G515+I515</f>
        <v/>
      </c>
      <c r="L515" s="15">
        <f>F515+H515+J515</f>
        <v/>
      </c>
      <c r="M515" s="18" t="n"/>
    </row>
    <row r="516">
      <c r="A516" s="14" t="inlineStr">
        <is>
          <t>7). 차선도색(차로밑그림),신설구간</t>
        </is>
      </c>
      <c r="B516" s="14" t="inlineStr">
        <is>
          <t>문자,기호</t>
        </is>
      </c>
      <c r="C516" s="15" t="n">
        <v>2</v>
      </c>
      <c r="D516" s="16" t="inlineStr">
        <is>
          <t>㎡</t>
        </is>
      </c>
      <c r="E516" s="15" t="n">
        <v>0</v>
      </c>
      <c r="F516" s="15">
        <f>E516*C516</f>
        <v/>
      </c>
      <c r="G516" s="15" t="n">
        <v>4572</v>
      </c>
      <c r="H516" s="15">
        <f>G516*C516</f>
        <v/>
      </c>
      <c r="I516" s="15" t="n">
        <v>0</v>
      </c>
      <c r="J516" s="15">
        <f>I516*C516</f>
        <v/>
      </c>
      <c r="K516" s="15">
        <f>E516+G516+I516</f>
        <v/>
      </c>
      <c r="L516" s="15">
        <f>F516+H516+J516</f>
        <v/>
      </c>
      <c r="M516" s="18" t="n"/>
    </row>
    <row r="517">
      <c r="A517" s="28" t="inlineStr">
        <is>
          <t>아. 경계석설치</t>
        </is>
      </c>
      <c r="B517" s="28" t="n"/>
      <c r="C517" s="17" t="n"/>
      <c r="D517" s="16" t="n"/>
      <c r="E517" s="17" t="n"/>
      <c r="F517" s="29" t="n"/>
      <c r="G517" s="17" t="n"/>
      <c r="H517" s="29" t="n"/>
      <c r="I517" s="17" t="n"/>
      <c r="J517" s="29" t="n"/>
      <c r="K517" s="17" t="n"/>
      <c r="L517" s="29" t="n"/>
      <c r="M517" s="18" t="n"/>
    </row>
    <row r="518">
      <c r="A518" s="28" t="inlineStr">
        <is>
          <t>1). 보차도경계석(화강석)</t>
        </is>
      </c>
      <c r="B518" s="28" t="n"/>
      <c r="C518" s="17" t="n"/>
      <c r="D518" s="16" t="n"/>
      <c r="E518" s="17" t="n"/>
      <c r="F518" s="29" t="n"/>
      <c r="G518" s="17" t="n"/>
      <c r="H518" s="29" t="n"/>
      <c r="I518" s="17" t="n"/>
      <c r="J518" s="29" t="n"/>
      <c r="K518" s="17" t="n"/>
      <c r="L518" s="29" t="n"/>
      <c r="M518" s="18" t="n"/>
    </row>
    <row r="519">
      <c r="A519" s="14" t="inlineStr">
        <is>
          <t>가). 보차도경계석 설치</t>
        </is>
      </c>
      <c r="B519" s="14" t="inlineStr">
        <is>
          <t>180×200×1000, A-TYPE(직선구간)</t>
        </is>
      </c>
      <c r="C519" s="15" t="n">
        <v>1235</v>
      </c>
      <c r="D519" s="16" t="inlineStr">
        <is>
          <t>m</t>
        </is>
      </c>
      <c r="E519" s="15" t="n">
        <v>0</v>
      </c>
      <c r="F519" s="15">
        <f>E519*C519</f>
        <v/>
      </c>
      <c r="G519" s="15" t="n">
        <v>14222</v>
      </c>
      <c r="H519" s="15">
        <f>G519*C519</f>
        <v/>
      </c>
      <c r="I519" s="15" t="n">
        <v>5389</v>
      </c>
      <c r="J519" s="15">
        <f>I519*C519</f>
        <v/>
      </c>
      <c r="K519" s="15">
        <f>E519+G519+I519</f>
        <v/>
      </c>
      <c r="L519" s="15">
        <f>F519+H519+J519</f>
        <v/>
      </c>
      <c r="M519" s="18" t="n"/>
    </row>
    <row r="520">
      <c r="A520" s="14" t="inlineStr">
        <is>
          <t>나). 보차도경계석 설치</t>
        </is>
      </c>
      <c r="B520" s="14" t="inlineStr">
        <is>
          <t>180×200×1000, A-TYPE(곡선구간)</t>
        </is>
      </c>
      <c r="C520" s="15" t="n">
        <v>114</v>
      </c>
      <c r="D520" s="16" t="inlineStr">
        <is>
          <t>m</t>
        </is>
      </c>
      <c r="E520" s="15" t="n">
        <v>0</v>
      </c>
      <c r="F520" s="15">
        <f>E520*C520</f>
        <v/>
      </c>
      <c r="G520" s="15" t="n">
        <v>14222</v>
      </c>
      <c r="H520" s="15">
        <f>G520*C520</f>
        <v/>
      </c>
      <c r="I520" s="15" t="n">
        <v>5389</v>
      </c>
      <c r="J520" s="15">
        <f>I520*C520</f>
        <v/>
      </c>
      <c r="K520" s="15">
        <f>E520+G520+I520</f>
        <v/>
      </c>
      <c r="L520" s="15">
        <f>F520+H520+J520</f>
        <v/>
      </c>
      <c r="M520" s="18" t="n"/>
    </row>
    <row r="521">
      <c r="A521" s="14" t="inlineStr">
        <is>
          <t>다). 보차도경계석 설치(경사)</t>
        </is>
      </c>
      <c r="B521" s="14" t="inlineStr">
        <is>
          <t>180×200~100×1000, A-TYPE(곡선구간)</t>
        </is>
      </c>
      <c r="C521" s="15" t="n">
        <v>84</v>
      </c>
      <c r="D521" s="16" t="inlineStr">
        <is>
          <t>m</t>
        </is>
      </c>
      <c r="E521" s="15" t="n">
        <v>0</v>
      </c>
      <c r="F521" s="15">
        <f>E521*C521</f>
        <v/>
      </c>
      <c r="G521" s="15" t="n">
        <v>14222</v>
      </c>
      <c r="H521" s="15">
        <f>G521*C521</f>
        <v/>
      </c>
      <c r="I521" s="15" t="n">
        <v>5389</v>
      </c>
      <c r="J521" s="15">
        <f>I521*C521</f>
        <v/>
      </c>
      <c r="K521" s="15">
        <f>E521+G521+I521</f>
        <v/>
      </c>
      <c r="L521" s="15">
        <f>F521+H521+J521</f>
        <v/>
      </c>
      <c r="M521" s="18" t="n"/>
    </row>
    <row r="522">
      <c r="A522" s="14" t="inlineStr">
        <is>
          <t>라). 보차도경계석 설치(낮춤)</t>
        </is>
      </c>
      <c r="B522" s="14" t="inlineStr">
        <is>
          <t>180×100×1000, A-TYPE(곡선구간)</t>
        </is>
      </c>
      <c r="C522" s="15" t="n">
        <v>113</v>
      </c>
      <c r="D522" s="16" t="inlineStr">
        <is>
          <t>m</t>
        </is>
      </c>
      <c r="E522" s="15" t="n">
        <v>0</v>
      </c>
      <c r="F522" s="15">
        <f>E522*C522</f>
        <v/>
      </c>
      <c r="G522" s="15" t="n">
        <v>14222</v>
      </c>
      <c r="H522" s="15">
        <f>G522*C522</f>
        <v/>
      </c>
      <c r="I522" s="15" t="n">
        <v>5389</v>
      </c>
      <c r="J522" s="15">
        <f>I522*C522</f>
        <v/>
      </c>
      <c r="K522" s="15">
        <f>E522+G522+I522</f>
        <v/>
      </c>
      <c r="L522" s="15">
        <f>F522+H522+J522</f>
        <v/>
      </c>
      <c r="M522" s="18" t="n"/>
    </row>
    <row r="523">
      <c r="A523" s="28" t="inlineStr">
        <is>
          <t>2). 도로경계석(화강석)</t>
        </is>
      </c>
      <c r="B523" s="28" t="n"/>
      <c r="C523" s="17" t="n"/>
      <c r="D523" s="16" t="n"/>
      <c r="E523" s="17" t="n"/>
      <c r="F523" s="29" t="n"/>
      <c r="G523" s="17" t="n"/>
      <c r="H523" s="29" t="n"/>
      <c r="I523" s="17" t="n"/>
      <c r="J523" s="29" t="n"/>
      <c r="K523" s="17" t="n"/>
      <c r="L523" s="29" t="n"/>
      <c r="M523" s="18" t="n"/>
    </row>
    <row r="524">
      <c r="A524" s="14" t="inlineStr">
        <is>
          <t>가). 도로경계석 설치</t>
        </is>
      </c>
      <c r="B524" s="14" t="inlineStr">
        <is>
          <t>120×120×1000, A-TYPE(직선구간)</t>
        </is>
      </c>
      <c r="C524" s="15" t="n">
        <v>1297</v>
      </c>
      <c r="D524" s="16" t="inlineStr">
        <is>
          <t>m</t>
        </is>
      </c>
      <c r="E524" s="15" t="n">
        <v>0</v>
      </c>
      <c r="F524" s="15">
        <f>E524*C524</f>
        <v/>
      </c>
      <c r="G524" s="15" t="n">
        <v>12190</v>
      </c>
      <c r="H524" s="15">
        <f>G524*C524</f>
        <v/>
      </c>
      <c r="I524" s="15" t="n">
        <v>3881</v>
      </c>
      <c r="J524" s="15">
        <f>I524*C524</f>
        <v/>
      </c>
      <c r="K524" s="15">
        <f>E524+G524+I524</f>
        <v/>
      </c>
      <c r="L524" s="15">
        <f>F524+H524+J524</f>
        <v/>
      </c>
      <c r="M524" s="18" t="n"/>
    </row>
    <row r="525">
      <c r="A525" s="28" t="inlineStr">
        <is>
          <t>자. 교통시설공</t>
        </is>
      </c>
      <c r="B525" s="28" t="n"/>
      <c r="C525" s="17" t="n"/>
      <c r="D525" s="16" t="n"/>
      <c r="E525" s="17" t="n"/>
      <c r="F525" s="29" t="n"/>
      <c r="G525" s="17" t="n"/>
      <c r="H525" s="29" t="n"/>
      <c r="I525" s="17" t="n"/>
      <c r="J525" s="29" t="n"/>
      <c r="K525" s="17" t="n"/>
      <c r="L525" s="29" t="n"/>
      <c r="M525" s="18" t="n"/>
    </row>
    <row r="526">
      <c r="A526" s="28" t="inlineStr">
        <is>
          <t>1). 교통안전표지판</t>
        </is>
      </c>
      <c r="B526" s="28" t="n"/>
      <c r="C526" s="17" t="n"/>
      <c r="D526" s="16" t="n"/>
      <c r="E526" s="17" t="n"/>
      <c r="F526" s="29" t="n"/>
      <c r="G526" s="17" t="n"/>
      <c r="H526" s="29" t="n"/>
      <c r="I526" s="17" t="n"/>
      <c r="J526" s="29" t="n"/>
      <c r="K526" s="17" t="n"/>
      <c r="L526" s="29" t="n"/>
      <c r="M526" s="18" t="n"/>
    </row>
    <row r="527">
      <c r="A527" s="14" t="inlineStr">
        <is>
          <t>가). 교통안전표지판(삼각)(과속방지턱)</t>
        </is>
      </c>
      <c r="B527" s="14" t="inlineStr">
        <is>
          <t>1변 900 MM</t>
        </is>
      </c>
      <c r="C527" s="15" t="n">
        <v>6</v>
      </c>
      <c r="D527" s="16" t="inlineStr">
        <is>
          <t>개</t>
        </is>
      </c>
      <c r="E527" s="15" t="n">
        <v>89394</v>
      </c>
      <c r="F527" s="15">
        <f>E527*C527</f>
        <v/>
      </c>
      <c r="G527" s="15" t="n">
        <v>50792</v>
      </c>
      <c r="H527" s="15">
        <f>G527*C527</f>
        <v/>
      </c>
      <c r="I527" s="15" t="n">
        <v>0</v>
      </c>
      <c r="J527" s="15">
        <f>I527*C527</f>
        <v/>
      </c>
      <c r="K527" s="15">
        <f>E527+G527+I527</f>
        <v/>
      </c>
      <c r="L527" s="15">
        <f>F527+H527+J527</f>
        <v/>
      </c>
      <c r="M527" s="18" t="n"/>
    </row>
    <row r="528">
      <c r="A528" s="14" t="inlineStr">
        <is>
          <t>나). 교통안전표지판(오각)(횡단보도)</t>
        </is>
      </c>
      <c r="B528" s="14" t="inlineStr">
        <is>
          <t>600×200×600mm, 횡단보도</t>
        </is>
      </c>
      <c r="C528" s="15" t="n">
        <v>6</v>
      </c>
      <c r="D528" s="16" t="inlineStr">
        <is>
          <t>개</t>
        </is>
      </c>
      <c r="E528" s="15" t="n">
        <v>89394</v>
      </c>
      <c r="F528" s="15">
        <f>E528*C528</f>
        <v/>
      </c>
      <c r="G528" s="15" t="n">
        <v>50792</v>
      </c>
      <c r="H528" s="15">
        <f>G528*C528</f>
        <v/>
      </c>
      <c r="I528" s="15" t="n">
        <v>0</v>
      </c>
      <c r="J528" s="15">
        <f>I528*C528</f>
        <v/>
      </c>
      <c r="K528" s="15">
        <f>E528+G528+I528</f>
        <v/>
      </c>
      <c r="L528" s="15">
        <f>F528+H528+J528</f>
        <v/>
      </c>
      <c r="M528" s="18" t="n"/>
    </row>
    <row r="529">
      <c r="A529" s="14" t="inlineStr">
        <is>
          <t>다). 교통안전표지판(오각+삼각)(횡단보도+과속방지턱)</t>
        </is>
      </c>
      <c r="B529" s="14" t="inlineStr">
        <is>
          <t>1변 900mm+1변 900mm,600×200×600mm</t>
        </is>
      </c>
      <c r="C529" s="15" t="n">
        <v>1</v>
      </c>
      <c r="D529" s="16" t="inlineStr">
        <is>
          <t>개</t>
        </is>
      </c>
      <c r="E529" s="15" t="n">
        <v>89394</v>
      </c>
      <c r="F529" s="15">
        <f>E529*C529</f>
        <v/>
      </c>
      <c r="G529" s="15" t="n">
        <v>50792</v>
      </c>
      <c r="H529" s="15">
        <f>G529*C529</f>
        <v/>
      </c>
      <c r="I529" s="15" t="n">
        <v>0</v>
      </c>
      <c r="J529" s="15">
        <f>I529*C529</f>
        <v/>
      </c>
      <c r="K529" s="15">
        <f>E529+G529+I529</f>
        <v/>
      </c>
      <c r="L529" s="15">
        <f>F529+H529+J529</f>
        <v/>
      </c>
      <c r="M529" s="18" t="n"/>
    </row>
    <row r="530">
      <c r="A530" s="14" t="inlineStr">
        <is>
          <t>라). 교통안전표지판(사각)(주차장)</t>
        </is>
      </c>
      <c r="B530" s="14" t="inlineStr">
        <is>
          <t>600mmx600mm</t>
        </is>
      </c>
      <c r="C530" s="15" t="n">
        <v>2</v>
      </c>
      <c r="D530" s="16" t="inlineStr">
        <is>
          <t>개</t>
        </is>
      </c>
      <c r="E530" s="15" t="n">
        <v>81268</v>
      </c>
      <c r="F530" s="15">
        <f>E530*C530</f>
        <v/>
      </c>
      <c r="G530" s="15" t="n">
        <v>50793</v>
      </c>
      <c r="H530" s="15">
        <f>G530*C530</f>
        <v/>
      </c>
      <c r="I530" s="15" t="n">
        <v>-1</v>
      </c>
      <c r="J530" s="15">
        <f>I530*C530</f>
        <v/>
      </c>
      <c r="K530" s="15">
        <f>E530+G530+I530</f>
        <v/>
      </c>
      <c r="L530" s="15">
        <f>F530+H530+J530</f>
        <v/>
      </c>
      <c r="M530" s="18" t="n"/>
    </row>
    <row r="531">
      <c r="A531" s="14" t="inlineStr">
        <is>
          <t>마). 교통안전표지판(삼각)(오르막경사)</t>
        </is>
      </c>
      <c r="B531" s="14" t="inlineStr">
        <is>
          <t>1변 900 MM</t>
        </is>
      </c>
      <c r="C531" s="15" t="n">
        <v>1</v>
      </c>
      <c r="D531" s="16" t="inlineStr">
        <is>
          <t>개</t>
        </is>
      </c>
      <c r="E531" s="15" t="n">
        <v>89394</v>
      </c>
      <c r="F531" s="15">
        <f>E531*C531</f>
        <v/>
      </c>
      <c r="G531" s="15" t="n">
        <v>50792</v>
      </c>
      <c r="H531" s="15">
        <f>G531*C531</f>
        <v/>
      </c>
      <c r="I531" s="15" t="n">
        <v>0</v>
      </c>
      <c r="J531" s="15">
        <f>I531*C531</f>
        <v/>
      </c>
      <c r="K531" s="15">
        <f>E531+G531+I531</f>
        <v/>
      </c>
      <c r="L531" s="15">
        <f>F531+H531+J531</f>
        <v/>
      </c>
      <c r="M531" s="18" t="n"/>
    </row>
    <row r="532">
      <c r="A532" s="14" t="inlineStr">
        <is>
          <t>바). 교통안전표지판(삼각)(내리막경사)</t>
        </is>
      </c>
      <c r="B532" s="14" t="inlineStr">
        <is>
          <t>1변 900 MM</t>
        </is>
      </c>
      <c r="C532" s="15" t="n">
        <v>1</v>
      </c>
      <c r="D532" s="16" t="inlineStr">
        <is>
          <t>개</t>
        </is>
      </c>
      <c r="E532" s="15" t="n">
        <v>89394</v>
      </c>
      <c r="F532" s="15">
        <f>E532*C532</f>
        <v/>
      </c>
      <c r="G532" s="15" t="n">
        <v>50792</v>
      </c>
      <c r="H532" s="15">
        <f>G532*C532</f>
        <v/>
      </c>
      <c r="I532" s="15" t="n">
        <v>0</v>
      </c>
      <c r="J532" s="15">
        <f>I532*C532</f>
        <v/>
      </c>
      <c r="K532" s="15">
        <f>E532+G532+I532</f>
        <v/>
      </c>
      <c r="L532" s="15">
        <f>F532+H532+J532</f>
        <v/>
      </c>
      <c r="M532" s="18" t="n"/>
    </row>
    <row r="533">
      <c r="A533" s="14" t="inlineStr">
        <is>
          <t>사). 교통안전표지판(삼각+삼각)(우로굽은도로+과속방지턱)</t>
        </is>
      </c>
      <c r="B533" s="14" t="inlineStr">
        <is>
          <t>1변 900 MM+1변 900 MM</t>
        </is>
      </c>
      <c r="C533" s="15" t="n">
        <v>1</v>
      </c>
      <c r="D533" s="16" t="inlineStr">
        <is>
          <t>개</t>
        </is>
      </c>
      <c r="E533" s="15" t="n">
        <v>89394</v>
      </c>
      <c r="F533" s="15">
        <f>E533*C533</f>
        <v/>
      </c>
      <c r="G533" s="15" t="n">
        <v>50792</v>
      </c>
      <c r="H533" s="15">
        <f>G533*C533</f>
        <v/>
      </c>
      <c r="I533" s="15" t="n">
        <v>0</v>
      </c>
      <c r="J533" s="15">
        <f>I533*C533</f>
        <v/>
      </c>
      <c r="K533" s="15">
        <f>E533+G533+I533</f>
        <v/>
      </c>
      <c r="L533" s="15">
        <f>F533+H533+J533</f>
        <v/>
      </c>
      <c r="M533" s="18" t="n"/>
    </row>
    <row r="534">
      <c r="A534" s="14" t="inlineStr">
        <is>
          <t>아). 교통안전표지판(오각+삼각)(횡단보도+좌로굽은도로)</t>
        </is>
      </c>
      <c r="B534" s="14" t="inlineStr">
        <is>
          <t>1변 900mm+1변 900mm,600×200×600mm</t>
        </is>
      </c>
      <c r="C534" s="15" t="n">
        <v>1</v>
      </c>
      <c r="D534" s="16" t="inlineStr">
        <is>
          <t>개</t>
        </is>
      </c>
      <c r="E534" s="15" t="n">
        <v>89394</v>
      </c>
      <c r="F534" s="15">
        <f>E534*C534</f>
        <v/>
      </c>
      <c r="G534" s="15" t="n">
        <v>50792</v>
      </c>
      <c r="H534" s="15">
        <f>G534*C534</f>
        <v/>
      </c>
      <c r="I534" s="15" t="n">
        <v>0</v>
      </c>
      <c r="J534" s="15">
        <f>I534*C534</f>
        <v/>
      </c>
      <c r="K534" s="15">
        <f>E534+G534+I534</f>
        <v/>
      </c>
      <c r="L534" s="15">
        <f>F534+H534+J534</f>
        <v/>
      </c>
      <c r="M534" s="18" t="n"/>
    </row>
    <row r="535">
      <c r="A535" s="14" t="inlineStr">
        <is>
          <t>자). 갈매기표지판</t>
        </is>
      </c>
      <c r="B535" s="14" t="inlineStr">
        <is>
          <t>AL 450×600</t>
        </is>
      </c>
      <c r="C535" s="15" t="n">
        <v>4</v>
      </c>
      <c r="D535" s="16" t="inlineStr">
        <is>
          <t>개</t>
        </is>
      </c>
      <c r="E535" s="15" t="n">
        <v>86347</v>
      </c>
      <c r="F535" s="15">
        <f>E535*C535</f>
        <v/>
      </c>
      <c r="G535" s="15" t="n">
        <v>50792</v>
      </c>
      <c r="H535" s="15">
        <f>G535*C535</f>
        <v/>
      </c>
      <c r="I535" s="15" t="n">
        <v>0</v>
      </c>
      <c r="J535" s="15">
        <f>I535*C535</f>
        <v/>
      </c>
      <c r="K535" s="15">
        <f>E535+G535+I535</f>
        <v/>
      </c>
      <c r="L535" s="15">
        <f>F535+H535+J535</f>
        <v/>
      </c>
      <c r="M535" s="18" t="n"/>
    </row>
    <row r="536">
      <c r="A536" s="28" t="inlineStr">
        <is>
          <t>2). 노면표시</t>
        </is>
      </c>
      <c r="B536" s="28" t="n"/>
      <c r="C536" s="17" t="n"/>
      <c r="D536" s="16" t="n"/>
      <c r="E536" s="17" t="n"/>
      <c r="F536" s="29" t="n"/>
      <c r="G536" s="17" t="n"/>
      <c r="H536" s="29" t="n"/>
      <c r="I536" s="17" t="n"/>
      <c r="J536" s="29" t="n"/>
      <c r="K536" s="17" t="n"/>
      <c r="L536" s="29" t="n"/>
      <c r="M536" s="18" t="n"/>
    </row>
    <row r="537">
      <c r="A537" s="14" t="inlineStr">
        <is>
          <t>가). 차선도색(페인트,기계식),신설구간</t>
        </is>
      </c>
      <c r="B537" s="14" t="inlineStr">
        <is>
          <t>황색-실선</t>
        </is>
      </c>
      <c r="C537" s="15" t="n">
        <v>111</v>
      </c>
      <c r="D537" s="16" t="inlineStr">
        <is>
          <t>㎡</t>
        </is>
      </c>
      <c r="E537" s="15" t="n">
        <v>6603</v>
      </c>
      <c r="F537" s="15">
        <f>E537*C537</f>
        <v/>
      </c>
      <c r="G537" s="15" t="n">
        <v>8635</v>
      </c>
      <c r="H537" s="15">
        <f>G537*C537</f>
        <v/>
      </c>
      <c r="I537" s="15" t="n">
        <v>1108</v>
      </c>
      <c r="J537" s="15">
        <f>I537*C537</f>
        <v/>
      </c>
      <c r="K537" s="15">
        <f>E537+G537+I537</f>
        <v/>
      </c>
      <c r="L537" s="15">
        <f>F537+H537+J537</f>
        <v/>
      </c>
      <c r="M537" s="18" t="n"/>
    </row>
    <row r="538">
      <c r="A538" s="14" t="inlineStr">
        <is>
          <t>나). 차선도색(페인트,기계식),신설구간</t>
        </is>
      </c>
      <c r="B538" s="14" t="inlineStr">
        <is>
          <t>백색-실선</t>
        </is>
      </c>
      <c r="C538" s="15" t="n">
        <v>214</v>
      </c>
      <c r="D538" s="16" t="inlineStr">
        <is>
          <t>㎡</t>
        </is>
      </c>
      <c r="E538" s="15" t="n">
        <v>6603</v>
      </c>
      <c r="F538" s="15">
        <f>E538*C538</f>
        <v/>
      </c>
      <c r="G538" s="15" t="n">
        <v>8635</v>
      </c>
      <c r="H538" s="15">
        <f>G538*C538</f>
        <v/>
      </c>
      <c r="I538" s="15" t="n">
        <v>1108</v>
      </c>
      <c r="J538" s="15">
        <f>I538*C538</f>
        <v/>
      </c>
      <c r="K538" s="15">
        <f>E538+G538+I538</f>
        <v/>
      </c>
      <c r="L538" s="15">
        <f>F538+H538+J538</f>
        <v/>
      </c>
      <c r="M538" s="18" t="n"/>
    </row>
    <row r="539">
      <c r="A539" s="14" t="inlineStr">
        <is>
          <t>다). 차선도색(페인트,기계식),신설구간</t>
        </is>
      </c>
      <c r="B539" s="14" t="inlineStr">
        <is>
          <t>백색-파선</t>
        </is>
      </c>
      <c r="C539" s="15" t="n">
        <v>1</v>
      </c>
      <c r="D539" s="16" t="inlineStr">
        <is>
          <t>㎡</t>
        </is>
      </c>
      <c r="E539" s="15" t="n">
        <v>6603</v>
      </c>
      <c r="F539" s="15">
        <f>E539*C539</f>
        <v/>
      </c>
      <c r="G539" s="15" t="n">
        <v>8635</v>
      </c>
      <c r="H539" s="15">
        <f>G539*C539</f>
        <v/>
      </c>
      <c r="I539" s="15" t="n">
        <v>1108</v>
      </c>
      <c r="J539" s="15">
        <f>I539*C539</f>
        <v/>
      </c>
      <c r="K539" s="15">
        <f>E539+G539+I539</f>
        <v/>
      </c>
      <c r="L539" s="15">
        <f>F539+H539+J539</f>
        <v/>
      </c>
      <c r="M539" s="18" t="n"/>
    </row>
    <row r="540">
      <c r="A540" s="14" t="inlineStr">
        <is>
          <t>라). 차선도색(융착식,수동식),신설구간</t>
        </is>
      </c>
      <c r="B540" s="14" t="inlineStr">
        <is>
          <t>횡단보도,주차장</t>
        </is>
      </c>
      <c r="C540" s="15" t="n">
        <v>211</v>
      </c>
      <c r="D540" s="16" t="inlineStr">
        <is>
          <t>㎡</t>
        </is>
      </c>
      <c r="E540" s="15" t="n">
        <v>6603</v>
      </c>
      <c r="F540" s="15">
        <f>E540*C540</f>
        <v/>
      </c>
      <c r="G540" s="15" t="n">
        <v>8635</v>
      </c>
      <c r="H540" s="15">
        <f>G540*C540</f>
        <v/>
      </c>
      <c r="I540" s="15" t="n">
        <v>1108</v>
      </c>
      <c r="J540" s="15">
        <f>I540*C540</f>
        <v/>
      </c>
      <c r="K540" s="15">
        <f>E540+G540+I540</f>
        <v/>
      </c>
      <c r="L540" s="15">
        <f>F540+H540+J540</f>
        <v/>
      </c>
      <c r="M540" s="18" t="n"/>
    </row>
    <row r="541">
      <c r="A541" s="14" t="inlineStr">
        <is>
          <t>마). 차선도색(융착식,수동식),신설구간</t>
        </is>
      </c>
      <c r="B541" s="14" t="inlineStr">
        <is>
          <t>문자,기호</t>
        </is>
      </c>
      <c r="C541" s="15" t="n">
        <v>26</v>
      </c>
      <c r="D541" s="16" t="inlineStr">
        <is>
          <t>㎡</t>
        </is>
      </c>
      <c r="E541" s="15" t="n">
        <v>6603</v>
      </c>
      <c r="F541" s="15">
        <f>E541*C541</f>
        <v/>
      </c>
      <c r="G541" s="15" t="n">
        <v>8635</v>
      </c>
      <c r="H541" s="15">
        <f>G541*C541</f>
        <v/>
      </c>
      <c r="I541" s="15" t="n">
        <v>1108</v>
      </c>
      <c r="J541" s="15">
        <f>I541*C541</f>
        <v/>
      </c>
      <c r="K541" s="15">
        <f>E541+G541+I541</f>
        <v/>
      </c>
      <c r="L541" s="15">
        <f>F541+H541+J541</f>
        <v/>
      </c>
      <c r="M541" s="18" t="n"/>
    </row>
    <row r="542">
      <c r="A542" s="14" t="inlineStr">
        <is>
          <t>바). 차선도색(차로밑그림),신설구간</t>
        </is>
      </c>
      <c r="B542" s="14" t="inlineStr">
        <is>
          <t>실선</t>
        </is>
      </c>
      <c r="C542" s="15" t="n">
        <v>324</v>
      </c>
      <c r="D542" s="16" t="inlineStr">
        <is>
          <t>㎡</t>
        </is>
      </c>
      <c r="E542" s="15" t="n">
        <v>6603</v>
      </c>
      <c r="F542" s="15">
        <f>E542*C542</f>
        <v/>
      </c>
      <c r="G542" s="15" t="n">
        <v>4571</v>
      </c>
      <c r="H542" s="15">
        <f>G542*C542</f>
        <v/>
      </c>
      <c r="I542" s="15" t="n">
        <v>1108</v>
      </c>
      <c r="J542" s="15">
        <f>I542*C542</f>
        <v/>
      </c>
      <c r="K542" s="15">
        <f>E542+G542+I542</f>
        <v/>
      </c>
      <c r="L542" s="15">
        <f>F542+H542+J542</f>
        <v/>
      </c>
      <c r="M542" s="18" t="n"/>
    </row>
    <row r="543">
      <c r="A543" s="14" t="inlineStr">
        <is>
          <t>사). 차선도색(차로밑그림),신설구간</t>
        </is>
      </c>
      <c r="B543" s="14" t="inlineStr">
        <is>
          <t>파선</t>
        </is>
      </c>
      <c r="C543" s="15" t="n">
        <v>1</v>
      </c>
      <c r="D543" s="16" t="inlineStr">
        <is>
          <t>㎡</t>
        </is>
      </c>
      <c r="E543" s="15" t="n">
        <v>6603</v>
      </c>
      <c r="F543" s="15">
        <f>E543*C543</f>
        <v/>
      </c>
      <c r="G543" s="15" t="n">
        <v>4571</v>
      </c>
      <c r="H543" s="15">
        <f>G543*C543</f>
        <v/>
      </c>
      <c r="I543" s="15" t="n">
        <v>1108</v>
      </c>
      <c r="J543" s="15">
        <f>I543*C543</f>
        <v/>
      </c>
      <c r="K543" s="15">
        <f>E543+G543+I543</f>
        <v/>
      </c>
      <c r="L543" s="15">
        <f>F543+H543+J543</f>
        <v/>
      </c>
      <c r="M543" s="18" t="n"/>
    </row>
    <row r="544">
      <c r="A544" s="14" t="inlineStr">
        <is>
          <t>아). 차선도색(차로밑그림),신설구간</t>
        </is>
      </c>
      <c r="B544" s="14" t="inlineStr">
        <is>
          <t>횡단보도,주차장</t>
        </is>
      </c>
      <c r="C544" s="15" t="n">
        <v>211</v>
      </c>
      <c r="D544" s="16" t="inlineStr">
        <is>
          <t>㎡</t>
        </is>
      </c>
      <c r="E544" s="15" t="n">
        <v>6603</v>
      </c>
      <c r="F544" s="15">
        <f>E544*C544</f>
        <v/>
      </c>
      <c r="G544" s="15" t="n">
        <v>4571</v>
      </c>
      <c r="H544" s="15">
        <f>G544*C544</f>
        <v/>
      </c>
      <c r="I544" s="15" t="n">
        <v>1108</v>
      </c>
      <c r="J544" s="15">
        <f>I544*C544</f>
        <v/>
      </c>
      <c r="K544" s="15">
        <f>E544+G544+I544</f>
        <v/>
      </c>
      <c r="L544" s="15">
        <f>F544+H544+J544</f>
        <v/>
      </c>
      <c r="M544" s="18" t="n"/>
    </row>
    <row r="545">
      <c r="A545" s="14" t="inlineStr">
        <is>
          <t>자). 차선도색(차로밑그림),신설구간</t>
        </is>
      </c>
      <c r="B545" s="14" t="inlineStr">
        <is>
          <t>문자,기호</t>
        </is>
      </c>
      <c r="C545" s="15" t="n">
        <v>26</v>
      </c>
      <c r="D545" s="16" t="inlineStr">
        <is>
          <t>㎡</t>
        </is>
      </c>
      <c r="E545" s="15" t="n">
        <v>6603</v>
      </c>
      <c r="F545" s="15">
        <f>E545*C545</f>
        <v/>
      </c>
      <c r="G545" s="15" t="n">
        <v>4571</v>
      </c>
      <c r="H545" s="15">
        <f>G545*C545</f>
        <v/>
      </c>
      <c r="I545" s="15" t="n">
        <v>1108</v>
      </c>
      <c r="J545" s="15">
        <f>I545*C545</f>
        <v/>
      </c>
      <c r="K545" s="15">
        <f>E545+G545+I545</f>
        <v/>
      </c>
      <c r="L545" s="15">
        <f>F545+H545+J545</f>
        <v/>
      </c>
      <c r="M545" s="18" t="n"/>
    </row>
    <row r="546">
      <c r="A546" s="28" t="inlineStr">
        <is>
          <t>3). 부대공</t>
        </is>
      </c>
      <c r="B546" s="28" t="n"/>
      <c r="C546" s="17" t="n"/>
      <c r="D546" s="16" t="n"/>
      <c r="E546" s="17" t="n"/>
      <c r="F546" s="29" t="n"/>
      <c r="G546" s="17" t="n"/>
      <c r="H546" s="29" t="n"/>
      <c r="I546" s="17" t="n"/>
      <c r="J546" s="29" t="n"/>
      <c r="K546" s="17" t="n"/>
      <c r="L546" s="29" t="n"/>
      <c r="M546" s="18" t="n"/>
    </row>
    <row r="547">
      <c r="A547" s="14" t="inlineStr">
        <is>
          <t>가). 도로표지병설치</t>
        </is>
      </c>
      <c r="B547" s="14" t="inlineStr">
        <is>
          <t>양면</t>
        </is>
      </c>
      <c r="C547" s="15" t="n">
        <v>41</v>
      </c>
      <c r="D547" s="16" t="inlineStr">
        <is>
          <t>개</t>
        </is>
      </c>
      <c r="E547" s="15" t="n">
        <v>45713</v>
      </c>
      <c r="F547" s="15">
        <f>E547*C547</f>
        <v/>
      </c>
      <c r="G547" s="15" t="n">
        <v>35554</v>
      </c>
      <c r="H547" s="15">
        <f>G547*C547</f>
        <v/>
      </c>
      <c r="I547" s="15" t="n">
        <v>5544</v>
      </c>
      <c r="J547" s="15">
        <f>I547*C547</f>
        <v/>
      </c>
      <c r="K547" s="15">
        <f>E547+G547+I547</f>
        <v/>
      </c>
      <c r="L547" s="15">
        <f>F547+H547+J547</f>
        <v/>
      </c>
      <c r="M547" s="18" t="n"/>
    </row>
    <row r="548">
      <c r="A548" s="14" t="inlineStr">
        <is>
          <t>나). 도로반사경(1면)</t>
        </is>
      </c>
      <c r="B548" s="14" t="inlineStr">
        <is>
          <t>Ø 800 mm, STS</t>
        </is>
      </c>
      <c r="C548" s="15" t="n">
        <v>6</v>
      </c>
      <c r="D548" s="16" t="inlineStr">
        <is>
          <t>개</t>
        </is>
      </c>
      <c r="E548" s="15" t="n">
        <v>304753</v>
      </c>
      <c r="F548" s="15">
        <f>E548*C548</f>
        <v/>
      </c>
      <c r="G548" s="15" t="n">
        <v>152376</v>
      </c>
      <c r="H548" s="15">
        <f>G548*C548</f>
        <v/>
      </c>
      <c r="I548" s="15" t="n">
        <v>0</v>
      </c>
      <c r="J548" s="15">
        <f>I548*C548</f>
        <v/>
      </c>
      <c r="K548" s="15">
        <f>E548+G548+I548</f>
        <v/>
      </c>
      <c r="L548" s="15">
        <f>F548+H548+J548</f>
        <v/>
      </c>
      <c r="M548" s="18" t="n"/>
    </row>
    <row r="549">
      <c r="A549" s="14" t="inlineStr">
        <is>
          <t>다). 탄성볼라드</t>
        </is>
      </c>
      <c r="B549" s="14" t="inlineStr">
        <is>
          <t>Ø130×1,050mm</t>
        </is>
      </c>
      <c r="C549" s="15" t="n">
        <v>25</v>
      </c>
      <c r="D549" s="16" t="inlineStr">
        <is>
          <t>개소</t>
        </is>
      </c>
      <c r="E549" s="15" t="n">
        <v>253961</v>
      </c>
      <c r="F549" s="15">
        <f>E549*C549</f>
        <v/>
      </c>
      <c r="G549" s="15" t="n">
        <v>101584</v>
      </c>
      <c r="H549" s="15">
        <f>G549*C549</f>
        <v/>
      </c>
      <c r="I549" s="15" t="n">
        <v>55441</v>
      </c>
      <c r="J549" s="15">
        <f>I549*C549</f>
        <v/>
      </c>
      <c r="K549" s="15">
        <f>E549+G549+I549</f>
        <v/>
      </c>
      <c r="L549" s="15">
        <f>F549+H549+J549</f>
        <v/>
      </c>
      <c r="M549" s="18" t="n"/>
    </row>
    <row r="550">
      <c r="A550" s="14" t="inlineStr">
        <is>
          <t>라). 시멘트운반</t>
        </is>
      </c>
      <c r="B550" s="14" t="inlineStr">
        <is>
          <t>L=30km이내</t>
        </is>
      </c>
      <c r="C550" s="15" t="n">
        <v>10</v>
      </c>
      <c r="D550" s="16" t="inlineStr">
        <is>
          <t>대</t>
        </is>
      </c>
      <c r="E550" s="15" t="n">
        <v>0</v>
      </c>
      <c r="F550" s="15">
        <f>E550*C550</f>
        <v/>
      </c>
      <c r="G550" s="15" t="n">
        <v>0</v>
      </c>
      <c r="H550" s="15">
        <f>G550*C550</f>
        <v/>
      </c>
      <c r="I550" s="15" t="n">
        <v>1108</v>
      </c>
      <c r="J550" s="15">
        <f>I550*C550</f>
        <v/>
      </c>
      <c r="K550" s="15">
        <f>E550+G550+I550</f>
        <v/>
      </c>
      <c r="L550" s="15">
        <f>F550+H550+J550</f>
        <v/>
      </c>
      <c r="M550" s="18" t="n"/>
    </row>
    <row r="551">
      <c r="A551" s="28" t="inlineStr">
        <is>
          <t>차. 주요자재 구입</t>
        </is>
      </c>
      <c r="B551" s="28" t="n"/>
      <c r="C551" s="17" t="n"/>
      <c r="D551" s="16" t="n"/>
      <c r="E551" s="17" t="n"/>
      <c r="F551" s="29" t="n"/>
      <c r="G551" s="17" t="n"/>
      <c r="H551" s="29" t="n"/>
      <c r="I551" s="17" t="n"/>
      <c r="J551" s="29" t="n"/>
      <c r="K551" s="17" t="n"/>
      <c r="L551" s="29" t="n"/>
      <c r="M551" s="18" t="n"/>
    </row>
    <row r="552">
      <c r="A552" s="14" t="inlineStr">
        <is>
          <t>1). 레미콘</t>
        </is>
      </c>
      <c r="B552" s="14" t="inlineStr">
        <is>
          <t>25-21- 8(Mpa)</t>
        </is>
      </c>
      <c r="C552" s="15" t="n">
        <v>188</v>
      </c>
      <c r="D552" s="16" t="inlineStr">
        <is>
          <t>㎥</t>
        </is>
      </c>
      <c r="E552" s="15" t="n">
        <v>89394</v>
      </c>
      <c r="F552" s="15">
        <f>E552*C552</f>
        <v/>
      </c>
      <c r="G552" s="15" t="n">
        <v>0</v>
      </c>
      <c r="H552" s="15">
        <f>G552*C552</f>
        <v/>
      </c>
      <c r="I552" s="15" t="n">
        <v>0</v>
      </c>
      <c r="J552" s="15">
        <f>I552*C552</f>
        <v/>
      </c>
      <c r="K552" s="15">
        <f>E552+G552+I552</f>
        <v/>
      </c>
      <c r="L552" s="15">
        <f>F552+H552+J552</f>
        <v/>
      </c>
      <c r="M552" s="18" t="n"/>
    </row>
    <row r="553">
      <c r="A553" s="14" t="inlineStr">
        <is>
          <t>2). 레미콘</t>
        </is>
      </c>
      <c r="B553" s="14" t="inlineStr">
        <is>
          <t>25-18- 8(Mpa)</t>
        </is>
      </c>
      <c r="C553" s="15" t="n">
        <v>42</v>
      </c>
      <c r="D553" s="16" t="inlineStr">
        <is>
          <t>㎥</t>
        </is>
      </c>
      <c r="E553" s="15" t="n">
        <v>87566</v>
      </c>
      <c r="F553" s="15">
        <f>E553*C553</f>
        <v/>
      </c>
      <c r="G553" s="15" t="n">
        <v>0</v>
      </c>
      <c r="H553" s="15">
        <f>G553*C553</f>
        <v/>
      </c>
      <c r="I553" s="15" t="n">
        <v>0</v>
      </c>
      <c r="J553" s="15">
        <f>I553*C553</f>
        <v/>
      </c>
      <c r="K553" s="15">
        <f>E553+G553+I553</f>
        <v/>
      </c>
      <c r="L553" s="15">
        <f>F553+H553+J553</f>
        <v/>
      </c>
      <c r="M553" s="18" t="n"/>
    </row>
    <row r="554">
      <c r="A554" s="14" t="inlineStr">
        <is>
          <t>3). 보통시멘트</t>
        </is>
      </c>
      <c r="B554" s="14" t="inlineStr">
        <is>
          <t>40kg/대 (포장품)</t>
        </is>
      </c>
      <c r="C554" s="15" t="n">
        <v>10</v>
      </c>
      <c r="D554" s="16" t="inlineStr">
        <is>
          <t>대</t>
        </is>
      </c>
      <c r="E554" s="15" t="n">
        <v>5994</v>
      </c>
      <c r="F554" s="15">
        <f>E554*C554</f>
        <v/>
      </c>
      <c r="G554" s="15" t="n">
        <v>0</v>
      </c>
      <c r="H554" s="15">
        <f>G554*C554</f>
        <v/>
      </c>
      <c r="I554" s="15" t="n">
        <v>0</v>
      </c>
      <c r="J554" s="15">
        <f>I554*C554</f>
        <v/>
      </c>
      <c r="K554" s="15">
        <f>E554+G554+I554</f>
        <v/>
      </c>
      <c r="L554" s="15">
        <f>F554+H554+J554</f>
        <v/>
      </c>
      <c r="M554" s="18" t="n"/>
    </row>
    <row r="555">
      <c r="A555" s="14" t="inlineStr">
        <is>
          <t>4). 모래</t>
        </is>
      </c>
      <c r="B555" s="14" t="inlineStr">
        <is>
          <t>강모래, 현장도착도</t>
        </is>
      </c>
      <c r="C555" s="15" t="n">
        <v>88</v>
      </c>
      <c r="D555" s="16" t="inlineStr">
        <is>
          <t>㎥</t>
        </is>
      </c>
      <c r="E555" s="15" t="n">
        <v>26412</v>
      </c>
      <c r="F555" s="15">
        <f>E555*C555</f>
        <v/>
      </c>
      <c r="G555" s="15" t="n">
        <v>0</v>
      </c>
      <c r="H555" s="15">
        <f>G555*C555</f>
        <v/>
      </c>
      <c r="I555" s="15" t="n">
        <v>0</v>
      </c>
      <c r="J555" s="15">
        <f>I555*C555</f>
        <v/>
      </c>
      <c r="K555" s="15">
        <f>E555+G555+I555</f>
        <v/>
      </c>
      <c r="L555" s="15">
        <f>F555+H555+J555</f>
        <v/>
      </c>
      <c r="M555" s="18" t="n"/>
    </row>
    <row r="556">
      <c r="A556" s="14" t="inlineStr">
        <is>
          <t>5). 혼합골재(보조기층용)</t>
        </is>
      </c>
      <c r="B556" s="14" t="inlineStr">
        <is>
          <t>Φ40mm, 현장도착도</t>
        </is>
      </c>
      <c r="C556" s="15" t="n">
        <v>311</v>
      </c>
      <c r="D556" s="16" t="inlineStr">
        <is>
          <t>㎥</t>
        </is>
      </c>
      <c r="E556" s="15" t="n">
        <v>18285</v>
      </c>
      <c r="F556" s="15">
        <f>E556*C556</f>
        <v/>
      </c>
      <c r="G556" s="15" t="n">
        <v>0</v>
      </c>
      <c r="H556" s="15">
        <f>G556*C556</f>
        <v/>
      </c>
      <c r="I556" s="15" t="n">
        <v>0</v>
      </c>
      <c r="J556" s="15">
        <f>I556*C556</f>
        <v/>
      </c>
      <c r="K556" s="15">
        <f>E556+G556+I556</f>
        <v/>
      </c>
      <c r="L556" s="15">
        <f>F556+H556+J556</f>
        <v/>
      </c>
      <c r="M556" s="18" t="n"/>
    </row>
    <row r="557">
      <c r="A557" s="14" t="inlineStr">
        <is>
          <t>6). 혼합골재(보조기층용)</t>
        </is>
      </c>
      <c r="B557" s="14" t="inlineStr">
        <is>
          <t>Φ80mm이하, 현장도착도</t>
        </is>
      </c>
      <c r="C557" s="15" t="n">
        <v>1014</v>
      </c>
      <c r="D557" s="16" t="inlineStr">
        <is>
          <t>㎥</t>
        </is>
      </c>
      <c r="E557" s="15" t="n">
        <v>18285</v>
      </c>
      <c r="F557" s="15">
        <f>E557*C557</f>
        <v/>
      </c>
      <c r="G557" s="15" t="n">
        <v>0</v>
      </c>
      <c r="H557" s="15">
        <f>G557*C557</f>
        <v/>
      </c>
      <c r="I557" s="15" t="n">
        <v>0</v>
      </c>
      <c r="J557" s="15">
        <f>I557*C557</f>
        <v/>
      </c>
      <c r="K557" s="15">
        <f>E557+G557+I557</f>
        <v/>
      </c>
      <c r="L557" s="15">
        <f>F557+H557+J557</f>
        <v/>
      </c>
      <c r="M557" s="18" t="n"/>
    </row>
    <row r="558">
      <c r="A558" s="14" t="inlineStr">
        <is>
          <t>7). 혼합골재(보조기층용)(순환골재)</t>
        </is>
      </c>
      <c r="B558" s="14" t="inlineStr">
        <is>
          <t>Φ80mm이하, 현장도착도</t>
        </is>
      </c>
      <c r="C558" s="15" t="n">
        <v>676</v>
      </c>
      <c r="D558" s="16" t="inlineStr">
        <is>
          <t>㎥</t>
        </is>
      </c>
      <c r="E558" s="15" t="n">
        <v>18285</v>
      </c>
      <c r="F558" s="15">
        <f>E558*C558</f>
        <v/>
      </c>
      <c r="G558" s="15" t="n">
        <v>0</v>
      </c>
      <c r="H558" s="15">
        <f>G558*C558</f>
        <v/>
      </c>
      <c r="I558" s="15" t="n">
        <v>0</v>
      </c>
      <c r="J558" s="15">
        <f>I558*C558</f>
        <v/>
      </c>
      <c r="K558" s="15">
        <f>E558+G558+I558</f>
        <v/>
      </c>
      <c r="L558" s="15">
        <f>F558+H558+J558</f>
        <v/>
      </c>
      <c r="M558" s="18" t="n"/>
    </row>
    <row r="559">
      <c r="A559" s="14" t="inlineStr">
        <is>
          <t>8). 아스팔트(유제)</t>
        </is>
      </c>
      <c r="B559" s="14" t="inlineStr">
        <is>
          <t>RS(C)-3 (200ℓ)</t>
        </is>
      </c>
      <c r="C559" s="15" t="n">
        <v>54</v>
      </c>
      <c r="D559" s="16" t="inlineStr">
        <is>
          <t>D/M</t>
        </is>
      </c>
      <c r="E559" s="15" t="n">
        <v>274277</v>
      </c>
      <c r="F559" s="15">
        <f>E559*C559</f>
        <v/>
      </c>
      <c r="G559" s="15" t="n">
        <v>0</v>
      </c>
      <c r="H559" s="15">
        <f>G559*C559</f>
        <v/>
      </c>
      <c r="I559" s="15" t="n">
        <v>0</v>
      </c>
      <c r="J559" s="15">
        <f>I559*C559</f>
        <v/>
      </c>
      <c r="K559" s="15">
        <f>E559+G559+I559</f>
        <v/>
      </c>
      <c r="L559" s="15">
        <f>F559+H559+J559</f>
        <v/>
      </c>
      <c r="M559" s="18" t="n"/>
    </row>
    <row r="560">
      <c r="A560" s="14" t="inlineStr">
        <is>
          <t>9). 아스팔트(유제)</t>
        </is>
      </c>
      <c r="B560" s="14" t="inlineStr">
        <is>
          <t>RS(C)-4 (200ℓ)</t>
        </is>
      </c>
      <c r="C560" s="15" t="n">
        <v>46</v>
      </c>
      <c r="D560" s="16" t="inlineStr">
        <is>
          <t>D/M</t>
        </is>
      </c>
      <c r="E560" s="15" t="n">
        <v>274277</v>
      </c>
      <c r="F560" s="15">
        <f>E560*C560</f>
        <v/>
      </c>
      <c r="G560" s="15" t="n">
        <v>0</v>
      </c>
      <c r="H560" s="15">
        <f>G560*C560</f>
        <v/>
      </c>
      <c r="I560" s="15" t="n">
        <v>0</v>
      </c>
      <c r="J560" s="15">
        <f>I560*C560</f>
        <v/>
      </c>
      <c r="K560" s="15">
        <f>E560+G560+I560</f>
        <v/>
      </c>
      <c r="L560" s="15">
        <f>F560+H560+J560</f>
        <v/>
      </c>
      <c r="M560" s="18" t="n"/>
    </row>
    <row r="561">
      <c r="A561" s="14" t="inlineStr">
        <is>
          <t>10). 아스팔트콘크리트</t>
        </is>
      </c>
      <c r="B561" s="14" t="inlineStr">
        <is>
          <t>#78  표층용</t>
        </is>
      </c>
      <c r="C561" s="15" t="n">
        <v>880</v>
      </c>
      <c r="D561" s="16" t="inlineStr">
        <is>
          <t>Ton</t>
        </is>
      </c>
      <c r="E561" s="15" t="n">
        <v>102600</v>
      </c>
      <c r="F561" s="15">
        <f>E561*C561</f>
        <v/>
      </c>
      <c r="G561" s="15" t="n">
        <v>0</v>
      </c>
      <c r="H561" s="15">
        <f>G561*C561</f>
        <v/>
      </c>
      <c r="I561" s="15" t="n">
        <v>0</v>
      </c>
      <c r="J561" s="15">
        <f>I561*C561</f>
        <v/>
      </c>
      <c r="K561" s="15">
        <f>E561+G561+I561</f>
        <v/>
      </c>
      <c r="L561" s="15">
        <f>F561+H561+J561</f>
        <v/>
      </c>
      <c r="M561" s="18" t="n"/>
    </row>
    <row r="562">
      <c r="A562" s="14" t="inlineStr">
        <is>
          <t>11). 아스팔트콘크리트</t>
        </is>
      </c>
      <c r="B562" s="14" t="inlineStr">
        <is>
          <t>#67  중간층용</t>
        </is>
      </c>
      <c r="C562" s="15" t="n">
        <v>702</v>
      </c>
      <c r="D562" s="16" t="inlineStr">
        <is>
          <t>Ton</t>
        </is>
      </c>
      <c r="E562" s="15" t="n">
        <v>96505</v>
      </c>
      <c r="F562" s="15">
        <f>E562*C562</f>
        <v/>
      </c>
      <c r="G562" s="15" t="n">
        <v>0</v>
      </c>
      <c r="H562" s="15">
        <f>G562*C562</f>
        <v/>
      </c>
      <c r="I562" s="15" t="n">
        <v>0</v>
      </c>
      <c r="J562" s="15">
        <f>I562*C562</f>
        <v/>
      </c>
      <c r="K562" s="15">
        <f>E562+G562+I562</f>
        <v/>
      </c>
      <c r="L562" s="15">
        <f>F562+H562+J562</f>
        <v/>
      </c>
      <c r="M562" s="18" t="n"/>
    </row>
    <row r="563">
      <c r="A563" s="14" t="inlineStr">
        <is>
          <t>12). 아스팔트콘크리트</t>
        </is>
      </c>
      <c r="B563" s="14" t="inlineStr">
        <is>
          <t>#467 기층용</t>
        </is>
      </c>
      <c r="C563" s="15" t="n">
        <v>669</v>
      </c>
      <c r="D563" s="16" t="inlineStr">
        <is>
          <t>Ton</t>
        </is>
      </c>
      <c r="E563" s="15" t="n">
        <v>92442</v>
      </c>
      <c r="F563" s="15">
        <f>E563*C563</f>
        <v/>
      </c>
      <c r="G563" s="15" t="n">
        <v>0</v>
      </c>
      <c r="H563" s="15">
        <f>G563*C563</f>
        <v/>
      </c>
      <c r="I563" s="15" t="n">
        <v>0</v>
      </c>
      <c r="J563" s="15">
        <f>I563*C563</f>
        <v/>
      </c>
      <c r="K563" s="15">
        <f>E563+G563+I563</f>
        <v/>
      </c>
      <c r="L563" s="15">
        <f>F563+H563+J563</f>
        <v/>
      </c>
      <c r="M563" s="18" t="n"/>
    </row>
    <row r="564">
      <c r="A564" s="14" t="inlineStr">
        <is>
          <t>13). 아스팔트콘크리트(재생)</t>
        </is>
      </c>
      <c r="B564" s="14" t="inlineStr">
        <is>
          <t>#467 기층용(안정처리제)</t>
        </is>
      </c>
      <c r="C564" s="15" t="n">
        <v>1501</v>
      </c>
      <c r="D564" s="16" t="inlineStr">
        <is>
          <t>Ton</t>
        </is>
      </c>
      <c r="E564" s="15" t="n">
        <v>86347</v>
      </c>
      <c r="F564" s="15">
        <f>E564*C564</f>
        <v/>
      </c>
      <c r="G564" s="15" t="n">
        <v>0</v>
      </c>
      <c r="H564" s="15">
        <f>G564*C564</f>
        <v/>
      </c>
      <c r="I564" s="15" t="n">
        <v>0</v>
      </c>
      <c r="J564" s="15">
        <f>I564*C564</f>
        <v/>
      </c>
      <c r="K564" s="15">
        <f>E564+G564+I564</f>
        <v/>
      </c>
      <c r="L564" s="15">
        <f>F564+H564+J564</f>
        <v/>
      </c>
      <c r="M564" s="18" t="n"/>
    </row>
    <row r="565">
      <c r="A565" s="14" t="inlineStr">
        <is>
          <t>14). 보차도경계석(화강석)</t>
        </is>
      </c>
      <c r="B565" s="14" t="inlineStr">
        <is>
          <t>180x200x1000㎜ (직선)</t>
        </is>
      </c>
      <c r="C565" s="15" t="n">
        <v>1272</v>
      </c>
      <c r="D565" s="16" t="inlineStr">
        <is>
          <t>ea</t>
        </is>
      </c>
      <c r="E565" s="15" t="n">
        <v>18285</v>
      </c>
      <c r="F565" s="15">
        <f>E565*C565</f>
        <v/>
      </c>
      <c r="G565" s="15" t="n">
        <v>0</v>
      </c>
      <c r="H565" s="15">
        <f>G565*C565</f>
        <v/>
      </c>
      <c r="I565" s="15" t="n">
        <v>0</v>
      </c>
      <c r="J565" s="15">
        <f>I565*C565</f>
        <v/>
      </c>
      <c r="K565" s="15">
        <f>E565+G565+I565</f>
        <v/>
      </c>
      <c r="L565" s="15">
        <f>F565+H565+J565</f>
        <v/>
      </c>
      <c r="M565" s="18" t="n"/>
    </row>
    <row r="566">
      <c r="A566" s="14" t="inlineStr">
        <is>
          <t>15). 보차도경계석(화강석)</t>
        </is>
      </c>
      <c r="B566" s="14" t="inlineStr">
        <is>
          <t>180x200x1000㎜ (곡선)</t>
        </is>
      </c>
      <c r="C566" s="15" t="n">
        <v>117</v>
      </c>
      <c r="D566" s="16" t="inlineStr">
        <is>
          <t>ea</t>
        </is>
      </c>
      <c r="E566" s="15" t="n">
        <v>27428</v>
      </c>
      <c r="F566" s="15">
        <f>E566*C566</f>
        <v/>
      </c>
      <c r="G566" s="15" t="n">
        <v>0</v>
      </c>
      <c r="H566" s="15">
        <f>G566*C566</f>
        <v/>
      </c>
      <c r="I566" s="15" t="n">
        <v>0</v>
      </c>
      <c r="J566" s="15">
        <f>I566*C566</f>
        <v/>
      </c>
      <c r="K566" s="15">
        <f>E566+G566+I566</f>
        <v/>
      </c>
      <c r="L566" s="15">
        <f>F566+H566+J566</f>
        <v/>
      </c>
      <c r="M566" s="18" t="n"/>
    </row>
    <row r="567">
      <c r="A567" s="14" t="inlineStr">
        <is>
          <t>16). 횡단보도경계석(화강석)(경사)</t>
        </is>
      </c>
      <c r="B567" s="14" t="inlineStr">
        <is>
          <t>180x200∼100x1000㎜ (곡선경사)</t>
        </is>
      </c>
      <c r="C567" s="15" t="n">
        <v>87</v>
      </c>
      <c r="D567" s="16" t="inlineStr">
        <is>
          <t>ea</t>
        </is>
      </c>
      <c r="E567" s="15" t="n">
        <v>29459</v>
      </c>
      <c r="F567" s="15">
        <f>E567*C567</f>
        <v/>
      </c>
      <c r="G567" s="15" t="n">
        <v>0</v>
      </c>
      <c r="H567" s="15">
        <f>G567*C567</f>
        <v/>
      </c>
      <c r="I567" s="15" t="n">
        <v>0</v>
      </c>
      <c r="J567" s="15">
        <f>I567*C567</f>
        <v/>
      </c>
      <c r="K567" s="15">
        <f>E567+G567+I567</f>
        <v/>
      </c>
      <c r="L567" s="15">
        <f>F567+H567+J567</f>
        <v/>
      </c>
      <c r="M567" s="18" t="n"/>
    </row>
    <row r="568">
      <c r="A568" s="14" t="inlineStr">
        <is>
          <t>17). 횡단보도경계석(화강석)(낮춤)</t>
        </is>
      </c>
      <c r="B568" s="14" t="inlineStr">
        <is>
          <t>180x100x1000㎜ (곡선)</t>
        </is>
      </c>
      <c r="C568" s="15" t="n">
        <v>116</v>
      </c>
      <c r="D568" s="16" t="inlineStr">
        <is>
          <t>ea</t>
        </is>
      </c>
      <c r="E568" s="15" t="n">
        <v>17269</v>
      </c>
      <c r="F568" s="15">
        <f>E568*C568</f>
        <v/>
      </c>
      <c r="G568" s="15" t="n">
        <v>0</v>
      </c>
      <c r="H568" s="15">
        <f>G568*C568</f>
        <v/>
      </c>
      <c r="I568" s="15" t="n">
        <v>0</v>
      </c>
      <c r="J568" s="15">
        <f>I568*C568</f>
        <v/>
      </c>
      <c r="K568" s="15">
        <f>E568+G568+I568</f>
        <v/>
      </c>
      <c r="L568" s="15">
        <f>F568+H568+J568</f>
        <v/>
      </c>
      <c r="M568" s="18" t="n"/>
    </row>
    <row r="569">
      <c r="A569" s="14" t="inlineStr">
        <is>
          <t>18). 도로경계석(화강석)</t>
        </is>
      </c>
      <c r="B569" s="14" t="inlineStr">
        <is>
          <t>120x120x1000㎜ (직선), 국산</t>
        </is>
      </c>
      <c r="C569" s="15" t="n">
        <v>1336</v>
      </c>
      <c r="D569" s="16" t="inlineStr">
        <is>
          <t>ea</t>
        </is>
      </c>
      <c r="E569" s="15" t="n">
        <v>8635</v>
      </c>
      <c r="F569" s="15">
        <f>E569*C569</f>
        <v/>
      </c>
      <c r="G569" s="15" t="n">
        <v>0</v>
      </c>
      <c r="H569" s="15">
        <f>G569*C569</f>
        <v/>
      </c>
      <c r="I569" s="15" t="n">
        <v>0</v>
      </c>
      <c r="J569" s="15">
        <f>I569*C569</f>
        <v/>
      </c>
      <c r="K569" s="15">
        <f>E569+G569+I569</f>
        <v/>
      </c>
      <c r="L569" s="15">
        <f>F569+H569+J569</f>
        <v/>
      </c>
      <c r="M569" s="18" t="n"/>
    </row>
    <row r="570">
      <c r="A570" s="14" t="inlineStr">
        <is>
          <t>19). 보도블록(인조화강)</t>
        </is>
      </c>
      <c r="B570" s="14" t="inlineStr">
        <is>
          <t>200x200x60, 투수</t>
        </is>
      </c>
      <c r="C570" s="15" t="n">
        <v>2750</v>
      </c>
      <c r="D570" s="16" t="inlineStr">
        <is>
          <t>㎡</t>
        </is>
      </c>
      <c r="E570" s="15" t="n">
        <v>12800</v>
      </c>
      <c r="F570" s="15">
        <f>E570*C570</f>
        <v/>
      </c>
      <c r="G570" s="15" t="n">
        <v>0</v>
      </c>
      <c r="H570" s="15">
        <f>G570*C570</f>
        <v/>
      </c>
      <c r="I570" s="15" t="n">
        <v>0</v>
      </c>
      <c r="J570" s="15">
        <f>I570*C570</f>
        <v/>
      </c>
      <c r="K570" s="15">
        <f>E570+G570+I570</f>
        <v/>
      </c>
      <c r="L570" s="15">
        <f>F570+H570+J570</f>
        <v/>
      </c>
      <c r="M570" s="18" t="n"/>
    </row>
    <row r="571">
      <c r="A571" s="14" t="inlineStr">
        <is>
          <t>20). 장애인용보도 선형블록</t>
        </is>
      </c>
      <c r="B571" s="14" t="inlineStr">
        <is>
          <t>300x300x60, 고강도, 논슬립</t>
        </is>
      </c>
      <c r="C571" s="15" t="n">
        <v>300</v>
      </c>
      <c r="D571" s="16" t="inlineStr">
        <is>
          <t>ea</t>
        </is>
      </c>
      <c r="E571" s="15" t="n">
        <v>3860</v>
      </c>
      <c r="F571" s="15">
        <f>E571*C571</f>
        <v/>
      </c>
      <c r="G571" s="15" t="n">
        <v>0</v>
      </c>
      <c r="H571" s="15">
        <f>G571*C571</f>
        <v/>
      </c>
      <c r="I571" s="15" t="n">
        <v>0</v>
      </c>
      <c r="J571" s="15">
        <f>I571*C571</f>
        <v/>
      </c>
      <c r="K571" s="15">
        <f>E571+G571+I571</f>
        <v/>
      </c>
      <c r="L571" s="15">
        <f>F571+H571+J571</f>
        <v/>
      </c>
      <c r="M571" s="18" t="n"/>
    </row>
    <row r="572">
      <c r="A572" s="14" t="inlineStr">
        <is>
          <t>21). 장애인용보도 점형블록</t>
        </is>
      </c>
      <c r="B572" s="14" t="inlineStr">
        <is>
          <t>300x300x60, 고강도, 논슬립</t>
        </is>
      </c>
      <c r="C572" s="15" t="n">
        <v>657</v>
      </c>
      <c r="D572" s="16" t="inlineStr">
        <is>
          <t>ea</t>
        </is>
      </c>
      <c r="E572" s="15" t="n">
        <v>3860</v>
      </c>
      <c r="F572" s="15">
        <f>E572*C572</f>
        <v/>
      </c>
      <c r="G572" s="15" t="n">
        <v>0</v>
      </c>
      <c r="H572" s="15">
        <f>G572*C572</f>
        <v/>
      </c>
      <c r="I572" s="15" t="n">
        <v>0</v>
      </c>
      <c r="J572" s="15">
        <f>I572*C572</f>
        <v/>
      </c>
      <c r="K572" s="15">
        <f>E572+G572+I572</f>
        <v/>
      </c>
      <c r="L572" s="15">
        <f>F572+H572+J572</f>
        <v/>
      </c>
      <c r="M572" s="18" t="n"/>
    </row>
    <row r="573">
      <c r="A573" s="25" t="inlineStr">
        <is>
          <t>6. 구조물공</t>
        </is>
      </c>
      <c r="B573" s="26" t="n"/>
      <c r="C573" s="21" t="n"/>
      <c r="D573" s="22" t="n"/>
      <c r="E573" s="21" t="n"/>
      <c r="F573" s="27" t="n"/>
      <c r="G573" s="21" t="n"/>
      <c r="H573" s="27" t="n"/>
      <c r="I573" s="21" t="n"/>
      <c r="J573" s="27" t="n"/>
      <c r="K573" s="21" t="n"/>
      <c r="L573" s="27" t="n"/>
      <c r="M573" s="24" t="n"/>
    </row>
    <row r="574">
      <c r="A574" s="28" t="inlineStr">
        <is>
          <t>가. RC옹벽</t>
        </is>
      </c>
      <c r="B574" s="28" t="n"/>
      <c r="C574" s="17" t="n"/>
      <c r="D574" s="16" t="n"/>
      <c r="E574" s="17" t="n"/>
      <c r="F574" s="29" t="n"/>
      <c r="G574" s="17" t="n"/>
      <c r="H574" s="29" t="n"/>
      <c r="I574" s="17" t="n"/>
      <c r="J574" s="29" t="n"/>
      <c r="K574" s="17" t="n"/>
      <c r="L574" s="29" t="n"/>
      <c r="M574" s="18" t="n"/>
    </row>
    <row r="575">
      <c r="A575" s="14" t="inlineStr">
        <is>
          <t>1). 콘크리트타설</t>
        </is>
      </c>
      <c r="B575" s="14" t="inlineStr">
        <is>
          <t>장비사용, 철근구조물</t>
        </is>
      </c>
      <c r="C575" s="15" t="n">
        <v>131</v>
      </c>
      <c r="D575" s="16" t="inlineStr">
        <is>
          <t>㎥</t>
        </is>
      </c>
      <c r="E575" s="15" t="n">
        <v>0</v>
      </c>
      <c r="F575" s="15">
        <f>E575*C575</f>
        <v/>
      </c>
      <c r="G575" s="15" t="n">
        <v>13319</v>
      </c>
      <c r="H575" s="15">
        <f>G575*C575</f>
        <v/>
      </c>
      <c r="I575" s="15" t="n">
        <v>12773</v>
      </c>
      <c r="J575" s="15">
        <f>I575*C575</f>
        <v/>
      </c>
      <c r="K575" s="15">
        <f>E575+G575+I575</f>
        <v/>
      </c>
      <c r="L575" s="15">
        <f>F575+H575+J575</f>
        <v/>
      </c>
      <c r="M575" s="18" t="n"/>
    </row>
    <row r="576">
      <c r="A576" s="14" t="inlineStr">
        <is>
          <t>2). 콘크리트타설</t>
        </is>
      </c>
      <c r="B576" s="14" t="inlineStr">
        <is>
          <t>장비사용, 무근구조물</t>
        </is>
      </c>
      <c r="C576" s="15" t="n">
        <v>16</v>
      </c>
      <c r="D576" s="16" t="inlineStr">
        <is>
          <t>㎥</t>
        </is>
      </c>
      <c r="E576" s="15" t="n">
        <v>0</v>
      </c>
      <c r="F576" s="15">
        <f>E576*C576</f>
        <v/>
      </c>
      <c r="G576" s="15" t="n">
        <v>12368</v>
      </c>
      <c r="H576" s="15">
        <f>G576*C576</f>
        <v/>
      </c>
      <c r="I576" s="15" t="n">
        <v>11423</v>
      </c>
      <c r="J576" s="15">
        <f>I576*C576</f>
        <v/>
      </c>
      <c r="K576" s="15">
        <f>E576+G576+I576</f>
        <v/>
      </c>
      <c r="L576" s="15">
        <f>F576+H576+J576</f>
        <v/>
      </c>
      <c r="M576" s="18" t="n"/>
    </row>
    <row r="577">
      <c r="A577" s="14" t="inlineStr">
        <is>
          <t>3). 철근가공조립(현장)</t>
        </is>
      </c>
      <c r="B577" s="14" t="inlineStr">
        <is>
          <t>TYPE-1-1</t>
        </is>
      </c>
      <c r="C577" s="61" t="n">
        <v>9.622999999999999</v>
      </c>
      <c r="D577" s="16" t="inlineStr">
        <is>
          <t>ton</t>
        </is>
      </c>
      <c r="E577" s="15" t="n">
        <v>71354</v>
      </c>
      <c r="F577" s="15">
        <f>E577*C577</f>
        <v/>
      </c>
      <c r="G577" s="15" t="n">
        <v>523261</v>
      </c>
      <c r="H577" s="15">
        <f>G577*C577</f>
        <v/>
      </c>
      <c r="I577" s="15" t="n">
        <v>88270</v>
      </c>
      <c r="J577" s="15">
        <f>I577*C577</f>
        <v/>
      </c>
      <c r="K577" s="15">
        <f>E577+G577+I577</f>
        <v/>
      </c>
      <c r="L577" s="15">
        <f>F577+H577+J577</f>
        <v/>
      </c>
      <c r="M577" s="18" t="n"/>
    </row>
    <row r="578">
      <c r="A578" s="14" t="inlineStr">
        <is>
          <t>4). 문양거푸집</t>
        </is>
      </c>
      <c r="B578" s="14" t="inlineStr">
        <is>
          <t>판넬</t>
        </is>
      </c>
      <c r="C578" s="15" t="n">
        <v>136</v>
      </c>
      <c r="D578" s="16" t="inlineStr">
        <is>
          <t>㎡</t>
        </is>
      </c>
      <c r="E578" s="15" t="n">
        <v>5042</v>
      </c>
      <c r="F578" s="15">
        <f>E578*C578</f>
        <v/>
      </c>
      <c r="G578" s="15" t="n">
        <v>17125</v>
      </c>
      <c r="H578" s="15">
        <f>G578*C578</f>
        <v/>
      </c>
      <c r="I578" s="15" t="n">
        <v>2077</v>
      </c>
      <c r="J578" s="15">
        <f>I578*C578</f>
        <v/>
      </c>
      <c r="K578" s="15">
        <f>E578+G578+I578</f>
        <v/>
      </c>
      <c r="L578" s="15">
        <f>F578+H578+J578</f>
        <v/>
      </c>
      <c r="M578" s="18" t="n"/>
    </row>
    <row r="579">
      <c r="A579" s="14" t="inlineStr">
        <is>
          <t>5). 거푸집</t>
        </is>
      </c>
      <c r="B579" s="14" t="inlineStr">
        <is>
          <t>합판4회(보통)</t>
        </is>
      </c>
      <c r="C579" s="15" t="n">
        <v>244</v>
      </c>
      <c r="D579" s="16" t="inlineStr">
        <is>
          <t>㎡</t>
        </is>
      </c>
      <c r="E579" s="15" t="n">
        <v>9038</v>
      </c>
      <c r="F579" s="15">
        <f>E579*C579</f>
        <v/>
      </c>
      <c r="G579" s="15" t="n">
        <v>30444</v>
      </c>
      <c r="H579" s="15">
        <f>G579*C579</f>
        <v/>
      </c>
      <c r="I579" s="15" t="n">
        <v>2077</v>
      </c>
      <c r="J579" s="15">
        <f>I579*C579</f>
        <v/>
      </c>
      <c r="K579" s="15">
        <f>E579+G579+I579</f>
        <v/>
      </c>
      <c r="L579" s="15">
        <f>F579+H579+J579</f>
        <v/>
      </c>
      <c r="M579" s="18" t="n"/>
    </row>
    <row r="580">
      <c r="A580" s="14" t="inlineStr">
        <is>
          <t>6). 거푸집</t>
        </is>
      </c>
      <c r="B580" s="14" t="inlineStr">
        <is>
          <t>합판6회(간단)</t>
        </is>
      </c>
      <c r="C580" s="15" t="n">
        <v>6</v>
      </c>
      <c r="D580" s="16" t="inlineStr">
        <is>
          <t>㎡</t>
        </is>
      </c>
      <c r="E580" s="15" t="n">
        <v>7135</v>
      </c>
      <c r="F580" s="15">
        <f>E580*C580</f>
        <v/>
      </c>
      <c r="G580" s="15" t="n">
        <v>19028</v>
      </c>
      <c r="H580" s="15">
        <f>G580*C580</f>
        <v/>
      </c>
      <c r="I580" s="15" t="n">
        <v>3635</v>
      </c>
      <c r="J580" s="15">
        <f>I580*C580</f>
        <v/>
      </c>
      <c r="K580" s="15">
        <f>E580+G580+I580</f>
        <v/>
      </c>
      <c r="L580" s="15">
        <f>F580+H580+J580</f>
        <v/>
      </c>
      <c r="M580" s="18" t="n"/>
    </row>
    <row r="581">
      <c r="A581" s="14" t="inlineStr">
        <is>
          <t>7). 강관비계</t>
        </is>
      </c>
      <c r="B581" s="14" t="inlineStr">
        <is>
          <t>10m이하-3개월사용</t>
        </is>
      </c>
      <c r="C581" s="15" t="n">
        <v>127</v>
      </c>
      <c r="D581" s="16" t="inlineStr">
        <is>
          <t>㎡</t>
        </is>
      </c>
      <c r="E581" s="15" t="n">
        <v>4281</v>
      </c>
      <c r="F581" s="15">
        <f>E581*C581</f>
        <v/>
      </c>
      <c r="G581" s="15" t="n">
        <v>11417</v>
      </c>
      <c r="H581" s="15">
        <f>G581*C581</f>
        <v/>
      </c>
      <c r="I581" s="15" t="n">
        <v>2077</v>
      </c>
      <c r="J581" s="15">
        <f>I581*C581</f>
        <v/>
      </c>
      <c r="K581" s="15">
        <f>E581+G581+I581</f>
        <v/>
      </c>
      <c r="L581" s="15">
        <f>F581+H581+J581</f>
        <v/>
      </c>
      <c r="M581" s="18" t="n"/>
    </row>
    <row r="582">
      <c r="A582" s="14" t="inlineStr">
        <is>
          <t>8). 스페이셔설치</t>
        </is>
      </c>
      <c r="B582" s="14" t="inlineStr">
        <is>
          <t>수직</t>
        </is>
      </c>
      <c r="C582" s="15" t="n">
        <v>229</v>
      </c>
      <c r="D582" s="16" t="inlineStr">
        <is>
          <t>㎡</t>
        </is>
      </c>
      <c r="E582" s="15" t="n">
        <v>476</v>
      </c>
      <c r="F582" s="15">
        <f>E582*C582</f>
        <v/>
      </c>
      <c r="G582" s="15" t="n">
        <v>951</v>
      </c>
      <c r="H582" s="15">
        <f>G582*C582</f>
        <v/>
      </c>
      <c r="I582" s="15" t="n">
        <v>0</v>
      </c>
      <c r="J582" s="15">
        <f>I582*C582</f>
        <v/>
      </c>
      <c r="K582" s="15">
        <f>E582+G582+I582</f>
        <v/>
      </c>
      <c r="L582" s="15">
        <f>F582+H582+J582</f>
        <v/>
      </c>
      <c r="M582" s="18" t="n"/>
    </row>
    <row r="583">
      <c r="A583" s="14" t="inlineStr">
        <is>
          <t>9). 스페이셔설치</t>
        </is>
      </c>
      <c r="B583" s="14" t="inlineStr">
        <is>
          <t>수평</t>
        </is>
      </c>
      <c r="C583" s="15" t="n">
        <v>136</v>
      </c>
      <c r="D583" s="16" t="inlineStr">
        <is>
          <t>㎡</t>
        </is>
      </c>
      <c r="E583" s="15" t="n">
        <v>476</v>
      </c>
      <c r="F583" s="15">
        <f>E583*C583</f>
        <v/>
      </c>
      <c r="G583" s="15" t="n">
        <v>951</v>
      </c>
      <c r="H583" s="15">
        <f>G583*C583</f>
        <v/>
      </c>
      <c r="I583" s="15" t="n">
        <v>0</v>
      </c>
      <c r="J583" s="15">
        <f>I583*C583</f>
        <v/>
      </c>
      <c r="K583" s="15">
        <f>E583+G583+I583</f>
        <v/>
      </c>
      <c r="L583" s="15">
        <f>F583+H583+J583</f>
        <v/>
      </c>
      <c r="M583" s="18" t="n"/>
    </row>
    <row r="584">
      <c r="A584" s="14" t="inlineStr">
        <is>
          <t>10). PVC관 부설 및 접합</t>
        </is>
      </c>
      <c r="B584" s="14" t="inlineStr">
        <is>
          <t>Ø 100 MM - VG2 일반관</t>
        </is>
      </c>
      <c r="C584" s="15" t="n">
        <v>5</v>
      </c>
      <c r="D584" s="16" t="inlineStr">
        <is>
          <t>m</t>
        </is>
      </c>
      <c r="E584" s="15" t="n">
        <v>9514</v>
      </c>
      <c r="F584" s="15">
        <f>E584*C584</f>
        <v/>
      </c>
      <c r="G584" s="15" t="n">
        <v>4947</v>
      </c>
      <c r="H584" s="15">
        <f>G584*C584</f>
        <v/>
      </c>
      <c r="I584" s="15" t="n">
        <v>0</v>
      </c>
      <c r="J584" s="15">
        <f>I584*C584</f>
        <v/>
      </c>
      <c r="K584" s="15">
        <f>E584+G584+I584</f>
        <v/>
      </c>
      <c r="L584" s="15">
        <f>F584+H584+J584</f>
        <v/>
      </c>
      <c r="M584" s="18" t="n"/>
    </row>
    <row r="585">
      <c r="A585" s="14" t="inlineStr">
        <is>
          <t>11). 드레인보드 설치</t>
        </is>
      </c>
      <c r="B585" s="14" t="inlineStr">
        <is>
          <t>옹벽 배수용</t>
        </is>
      </c>
      <c r="C585" s="15" t="n">
        <v>113</v>
      </c>
      <c r="D585" s="16" t="inlineStr">
        <is>
          <t>㎡</t>
        </is>
      </c>
      <c r="E585" s="15" t="n">
        <v>4367</v>
      </c>
      <c r="F585" s="15">
        <f>E585*C585</f>
        <v/>
      </c>
      <c r="G585" s="15" t="n">
        <v>8753</v>
      </c>
      <c r="H585" s="15">
        <f>G585*C585</f>
        <v/>
      </c>
      <c r="I585" s="15" t="n">
        <v>623</v>
      </c>
      <c r="J585" s="15">
        <f>I585*C585</f>
        <v/>
      </c>
      <c r="K585" s="15">
        <f>E585+G585+I585</f>
        <v/>
      </c>
      <c r="L585" s="15">
        <f>F585+H585+J585</f>
        <v/>
      </c>
      <c r="M585" s="18" t="n"/>
    </row>
    <row r="586">
      <c r="A586" s="14" t="inlineStr">
        <is>
          <t>12). 부직포설치</t>
        </is>
      </c>
      <c r="B586" s="14" t="n"/>
      <c r="C586" s="15" t="n">
        <v>113</v>
      </c>
      <c r="D586" s="16" t="inlineStr">
        <is>
          <t>㎡</t>
        </is>
      </c>
      <c r="E586" s="15" t="n">
        <v>1142</v>
      </c>
      <c r="F586" s="15">
        <f>E586*C586</f>
        <v/>
      </c>
      <c r="G586" s="15" t="n">
        <v>951</v>
      </c>
      <c r="H586" s="15">
        <f>G586*C586</f>
        <v/>
      </c>
      <c r="I586" s="15" t="n">
        <v>0</v>
      </c>
      <c r="J586" s="15">
        <f>I586*C586</f>
        <v/>
      </c>
      <c r="K586" s="15">
        <f>E586+G586+I586</f>
        <v/>
      </c>
      <c r="L586" s="15">
        <f>F586+H586+J586</f>
        <v/>
      </c>
      <c r="M586" s="18" t="n"/>
    </row>
    <row r="587">
      <c r="A587" s="14" t="inlineStr">
        <is>
          <t>13). 신축이음(Joint filler)</t>
        </is>
      </c>
      <c r="B587" s="14" t="inlineStr">
        <is>
          <t>t=20mm</t>
        </is>
      </c>
      <c r="C587" s="15" t="n">
        <v>15</v>
      </c>
      <c r="D587" s="16" t="inlineStr">
        <is>
          <t>㎡</t>
        </is>
      </c>
      <c r="E587" s="15" t="n">
        <v>11892</v>
      </c>
      <c r="F587" s="15">
        <f>E587*C587</f>
        <v/>
      </c>
      <c r="G587" s="15" t="n">
        <v>9514</v>
      </c>
      <c r="H587" s="15">
        <f>G587*C587</f>
        <v/>
      </c>
      <c r="I587" s="15" t="n">
        <v>0</v>
      </c>
      <c r="J587" s="15">
        <f>I587*C587</f>
        <v/>
      </c>
      <c r="K587" s="15">
        <f>E587+G587+I587</f>
        <v/>
      </c>
      <c r="L587" s="15">
        <f>F587+H587+J587</f>
        <v/>
      </c>
      <c r="M587" s="18" t="n"/>
    </row>
    <row r="588">
      <c r="A588" s="14" t="inlineStr">
        <is>
          <t>14). DOWEL BAR(옹벽용)</t>
        </is>
      </c>
      <c r="B588" s="14" t="inlineStr">
        <is>
          <t>Ø32×800(기성품)</t>
        </is>
      </c>
      <c r="C588" s="15" t="n">
        <v>307</v>
      </c>
      <c r="D588" s="16" t="inlineStr">
        <is>
          <t>ea</t>
        </is>
      </c>
      <c r="E588" s="15" t="n">
        <v>12178</v>
      </c>
      <c r="F588" s="15">
        <f>E588*C588</f>
        <v/>
      </c>
      <c r="G588" s="15" t="n">
        <v>2378</v>
      </c>
      <c r="H588" s="15">
        <f>G588*C588</f>
        <v/>
      </c>
      <c r="I588" s="15" t="n">
        <v>0</v>
      </c>
      <c r="J588" s="15">
        <f>I588*C588</f>
        <v/>
      </c>
      <c r="K588" s="15">
        <f>E588+G588+I588</f>
        <v/>
      </c>
      <c r="L588" s="15">
        <f>F588+H588+J588</f>
        <v/>
      </c>
      <c r="M588" s="18" t="n"/>
    </row>
    <row r="589">
      <c r="A589" s="14" t="inlineStr">
        <is>
          <t>15). 실링마감(실런트)</t>
        </is>
      </c>
      <c r="B589" s="14" t="inlineStr">
        <is>
          <t>20×25</t>
        </is>
      </c>
      <c r="C589" s="15" t="n">
        <v>117</v>
      </c>
      <c r="D589" s="16" t="inlineStr">
        <is>
          <t>m</t>
        </is>
      </c>
      <c r="E589" s="15" t="n">
        <v>3044</v>
      </c>
      <c r="F589" s="15">
        <f>E589*C589</f>
        <v/>
      </c>
      <c r="G589" s="15" t="n">
        <v>6184</v>
      </c>
      <c r="H589" s="15">
        <f>G589*C589</f>
        <v/>
      </c>
      <c r="I589" s="15" t="n">
        <v>0</v>
      </c>
      <c r="J589" s="15">
        <f>I589*C589</f>
        <v/>
      </c>
      <c r="K589" s="15">
        <f>E589+G589+I589</f>
        <v/>
      </c>
      <c r="L589" s="15">
        <f>F589+H589+J589</f>
        <v/>
      </c>
      <c r="M589" s="18" t="n"/>
    </row>
    <row r="590">
      <c r="A590" s="14" t="inlineStr">
        <is>
          <t>16). 기초지정</t>
        </is>
      </c>
      <c r="B590" s="14" t="inlineStr">
        <is>
          <t>잡석지정, 재료비 제외</t>
        </is>
      </c>
      <c r="C590" s="15" t="n">
        <v>137</v>
      </c>
      <c r="D590" s="16" t="inlineStr">
        <is>
          <t>㎥</t>
        </is>
      </c>
      <c r="E590" s="15" t="n">
        <v>0</v>
      </c>
      <c r="F590" s="15">
        <f>E590*C590</f>
        <v/>
      </c>
      <c r="G590" s="15" t="n">
        <v>2378</v>
      </c>
      <c r="H590" s="15">
        <f>G590*C590</f>
        <v/>
      </c>
      <c r="I590" s="15" t="n">
        <v>3239</v>
      </c>
      <c r="J590" s="15">
        <f>I590*C590</f>
        <v/>
      </c>
      <c r="K590" s="15">
        <f>E590+G590+I590</f>
        <v/>
      </c>
      <c r="L590" s="15">
        <f>F590+H590+J590</f>
        <v/>
      </c>
      <c r="M590" s="18" t="n"/>
    </row>
    <row r="591">
      <c r="A591" s="28" t="inlineStr">
        <is>
          <t>17). 부대공</t>
        </is>
      </c>
      <c r="B591" s="28" t="n"/>
      <c r="C591" s="17" t="n"/>
      <c r="D591" s="16" t="n"/>
      <c r="E591" s="17" t="n"/>
      <c r="F591" s="29" t="n"/>
      <c r="G591" s="17" t="n"/>
      <c r="H591" s="29" t="n"/>
      <c r="I591" s="17" t="n"/>
      <c r="J591" s="29" t="n"/>
      <c r="K591" s="17" t="n"/>
      <c r="L591" s="29" t="n"/>
      <c r="M591" s="18" t="n"/>
    </row>
    <row r="592">
      <c r="A592" s="14" t="inlineStr">
        <is>
          <t>가). 철근운반비</t>
        </is>
      </c>
      <c r="B592" s="14" t="inlineStr">
        <is>
          <t>L=10km이내</t>
        </is>
      </c>
      <c r="C592" s="61" t="n">
        <v>14.018</v>
      </c>
      <c r="D592" s="16" t="inlineStr">
        <is>
          <t>Ton</t>
        </is>
      </c>
      <c r="E592" s="15" t="n">
        <v>0</v>
      </c>
      <c r="F592" s="15">
        <f>E592*C592</f>
        <v/>
      </c>
      <c r="G592" s="15" t="n">
        <v>0</v>
      </c>
      <c r="H592" s="15">
        <f>G592*C592</f>
        <v/>
      </c>
      <c r="I592" s="15" t="n">
        <v>20769</v>
      </c>
      <c r="J592" s="15">
        <f>I592*C592</f>
        <v/>
      </c>
      <c r="K592" s="15">
        <f>E592+G592+I592</f>
        <v/>
      </c>
      <c r="L592" s="15">
        <f>F592+H592+J592</f>
        <v/>
      </c>
      <c r="M592" s="18" t="n"/>
    </row>
    <row r="593">
      <c r="A593" s="14" t="inlineStr">
        <is>
          <t>나). 고철(고재)</t>
        </is>
      </c>
      <c r="B593" s="14" t="inlineStr">
        <is>
          <t>중량A</t>
        </is>
      </c>
      <c r="C593" s="61" t="n">
        <v>0.408</v>
      </c>
      <c r="D593" s="16" t="inlineStr">
        <is>
          <t>Ton</t>
        </is>
      </c>
      <c r="E593" s="15" t="n">
        <v>-376784</v>
      </c>
      <c r="F593" s="15">
        <f>E593*C593</f>
        <v/>
      </c>
      <c r="G593" s="15" t="n">
        <v>0</v>
      </c>
      <c r="H593" s="15">
        <f>G593*C593</f>
        <v/>
      </c>
      <c r="I593" s="15" t="n">
        <v>0</v>
      </c>
      <c r="J593" s="15">
        <f>I593*C593</f>
        <v/>
      </c>
      <c r="K593" s="15">
        <f>E593+G593+I593</f>
        <v/>
      </c>
      <c r="L593" s="15">
        <f>F593+H593+J593</f>
        <v/>
      </c>
      <c r="M593" s="18" t="n"/>
    </row>
    <row r="594">
      <c r="A594" s="28" t="inlineStr">
        <is>
          <t>18). 주요자재</t>
        </is>
      </c>
      <c r="B594" s="28" t="n"/>
      <c r="C594" s="17" t="n"/>
      <c r="D594" s="16" t="n"/>
      <c r="E594" s="17" t="n"/>
      <c r="F594" s="29" t="n"/>
      <c r="G594" s="17" t="n"/>
      <c r="H594" s="29" t="n"/>
      <c r="I594" s="17" t="n"/>
      <c r="J594" s="29" t="n"/>
      <c r="K594" s="17" t="n"/>
      <c r="L594" s="29" t="n"/>
      <c r="M594" s="18" t="n"/>
    </row>
    <row r="595">
      <c r="A595" s="14" t="inlineStr">
        <is>
          <t>가). 레미콘</t>
        </is>
      </c>
      <c r="B595" s="14" t="inlineStr">
        <is>
          <t>25-24-12(Mpa)</t>
        </is>
      </c>
      <c r="C595" s="15" t="n">
        <v>132</v>
      </c>
      <c r="D595" s="16" t="inlineStr">
        <is>
          <t>㎥</t>
        </is>
      </c>
      <c r="E595" s="15" t="n">
        <v>89906</v>
      </c>
      <c r="F595" s="15">
        <f>E595*C595</f>
        <v/>
      </c>
      <c r="G595" s="15" t="n">
        <v>0</v>
      </c>
      <c r="H595" s="15">
        <f>G595*C595</f>
        <v/>
      </c>
      <c r="I595" s="15" t="n">
        <v>0</v>
      </c>
      <c r="J595" s="15">
        <f>I595*C595</f>
        <v/>
      </c>
      <c r="K595" s="15">
        <f>E595+G595+I595</f>
        <v/>
      </c>
      <c r="L595" s="15">
        <f>F595+H595+J595</f>
        <v/>
      </c>
      <c r="M595" s="18" t="n"/>
    </row>
    <row r="596">
      <c r="A596" s="14" t="inlineStr">
        <is>
          <t>나). 레미콘</t>
        </is>
      </c>
      <c r="B596" s="14" t="inlineStr">
        <is>
          <t>25-21-8(Mpa)</t>
        </is>
      </c>
      <c r="C596" s="15" t="n">
        <v>16</v>
      </c>
      <c r="D596" s="16" t="inlineStr">
        <is>
          <t>㎥</t>
        </is>
      </c>
      <c r="E596" s="15" t="n">
        <v>83722</v>
      </c>
      <c r="F596" s="15">
        <f>E596*C596</f>
        <v/>
      </c>
      <c r="G596" s="15" t="n">
        <v>0</v>
      </c>
      <c r="H596" s="15">
        <f>G596*C596</f>
        <v/>
      </c>
      <c r="I596" s="15" t="n">
        <v>0</v>
      </c>
      <c r="J596" s="15">
        <f>I596*C596</f>
        <v/>
      </c>
      <c r="K596" s="15">
        <f>E596+G596+I596</f>
        <v/>
      </c>
      <c r="L596" s="15">
        <f>F596+H596+J596</f>
        <v/>
      </c>
      <c r="M596" s="18" t="n"/>
    </row>
    <row r="597">
      <c r="A597" s="14" t="inlineStr">
        <is>
          <t>다). 잡석</t>
        </is>
      </c>
      <c r="B597" s="14" t="inlineStr">
        <is>
          <t>Φ80mm이하, 현장도착도</t>
        </is>
      </c>
      <c r="C597" s="15" t="n">
        <v>143</v>
      </c>
      <c r="D597" s="16" t="inlineStr">
        <is>
          <t>㎥</t>
        </is>
      </c>
      <c r="E597" s="15" t="n">
        <v>17125</v>
      </c>
      <c r="F597" s="15">
        <f>E597*C597</f>
        <v/>
      </c>
      <c r="G597" s="15" t="n">
        <v>0</v>
      </c>
      <c r="H597" s="15">
        <f>G597*C597</f>
        <v/>
      </c>
      <c r="I597" s="15" t="n">
        <v>0</v>
      </c>
      <c r="J597" s="15">
        <f>I597*C597</f>
        <v/>
      </c>
      <c r="K597" s="15">
        <f>E597+G597+I597</f>
        <v/>
      </c>
      <c r="L597" s="15">
        <f>F597+H597+J597</f>
        <v/>
      </c>
      <c r="M597" s="18" t="n"/>
    </row>
    <row r="598">
      <c r="A598" s="14" t="inlineStr">
        <is>
          <t>라). 이형철근(고장력철근)</t>
        </is>
      </c>
      <c r="B598" s="14" t="inlineStr">
        <is>
          <t>HD13M/M 0.995KG/M  SD40</t>
        </is>
      </c>
      <c r="C598" s="61" t="n">
        <v>4.106</v>
      </c>
      <c r="D598" s="16" t="inlineStr">
        <is>
          <t>TON</t>
        </is>
      </c>
      <c r="E598" s="15" t="n">
        <v>846782</v>
      </c>
      <c r="F598" s="15">
        <f>E598*C598</f>
        <v/>
      </c>
      <c r="G598" s="15" t="n">
        <v>0</v>
      </c>
      <c r="H598" s="15">
        <f>G598*C598</f>
        <v/>
      </c>
      <c r="I598" s="15" t="n">
        <v>0</v>
      </c>
      <c r="J598" s="15">
        <f>I598*C598</f>
        <v/>
      </c>
      <c r="K598" s="15">
        <f>E598+G598+I598</f>
        <v/>
      </c>
      <c r="L598" s="15">
        <f>F598+H598+J598</f>
        <v/>
      </c>
      <c r="M598" s="18" t="n"/>
    </row>
    <row r="599">
      <c r="A599" s="14" t="inlineStr">
        <is>
          <t>마). 이형철근(고장력철근)</t>
        </is>
      </c>
      <c r="B599" s="14" t="inlineStr">
        <is>
          <t>HD16M/M 1.560KG/M  SD40</t>
        </is>
      </c>
      <c r="C599" s="61" t="n">
        <v>5.255</v>
      </c>
      <c r="D599" s="16" t="inlineStr">
        <is>
          <t>TON</t>
        </is>
      </c>
      <c r="E599" s="15" t="n">
        <v>846793</v>
      </c>
      <c r="F599" s="15">
        <f>E599*C599</f>
        <v/>
      </c>
      <c r="G599" s="15" t="n">
        <v>0</v>
      </c>
      <c r="H599" s="15">
        <f>G599*C599</f>
        <v/>
      </c>
      <c r="I599" s="15" t="n">
        <v>0</v>
      </c>
      <c r="J599" s="15">
        <f>I599*C599</f>
        <v/>
      </c>
      <c r="K599" s="15">
        <f>E599+G599+I599</f>
        <v/>
      </c>
      <c r="L599" s="15">
        <f>F599+H599+J599</f>
        <v/>
      </c>
      <c r="M599" s="18" t="n"/>
    </row>
    <row r="600">
      <c r="A600" s="14" t="inlineStr">
        <is>
          <t>바). 이형철근(고장력철근)</t>
        </is>
      </c>
      <c r="B600" s="14" t="inlineStr">
        <is>
          <t>HD19M/M 2.250KG/M  SD40</t>
        </is>
      </c>
      <c r="C600" s="61" t="n">
        <v>4.225</v>
      </c>
      <c r="D600" s="16" t="inlineStr">
        <is>
          <t>TON</t>
        </is>
      </c>
      <c r="E600" s="15" t="n">
        <v>846618</v>
      </c>
      <c r="F600" s="15">
        <f>E600*C600</f>
        <v/>
      </c>
      <c r="G600" s="15" t="n">
        <v>0</v>
      </c>
      <c r="H600" s="15">
        <f>G600*C600</f>
        <v/>
      </c>
      <c r="I600" s="15" t="n">
        <v>0</v>
      </c>
      <c r="J600" s="15">
        <f>I600*C600</f>
        <v/>
      </c>
      <c r="K600" s="15">
        <f>E600+G600+I600</f>
        <v/>
      </c>
      <c r="L600" s="15">
        <f>F600+H600+J600</f>
        <v/>
      </c>
      <c r="M600" s="18" t="n"/>
    </row>
    <row r="601">
      <c r="A601" s="14" t="inlineStr">
        <is>
          <t>사). 이형철근(고장력철근)</t>
        </is>
      </c>
      <c r="B601" s="14" t="inlineStr">
        <is>
          <t>HD22M/M 3.040KG/M  SD40</t>
        </is>
      </c>
      <c r="C601" s="61" t="n">
        <v>0.432</v>
      </c>
      <c r="D601" s="16" t="inlineStr">
        <is>
          <t>TON</t>
        </is>
      </c>
      <c r="E601" s="15" t="n">
        <v>846417</v>
      </c>
      <c r="F601" s="15">
        <f>E601*C601</f>
        <v/>
      </c>
      <c r="G601" s="15" t="n">
        <v>0</v>
      </c>
      <c r="H601" s="15">
        <f>G601*C601</f>
        <v/>
      </c>
      <c r="I601" s="15" t="n">
        <v>0</v>
      </c>
      <c r="J601" s="15">
        <f>I601*C601</f>
        <v/>
      </c>
      <c r="K601" s="15">
        <f>E601+G601+I601</f>
        <v/>
      </c>
      <c r="L601" s="15">
        <f>F601+H601+J601</f>
        <v/>
      </c>
      <c r="M601" s="18" t="n"/>
    </row>
    <row r="602">
      <c r="A602" s="28" t="inlineStr">
        <is>
          <t>나. 보강토옹벽</t>
        </is>
      </c>
      <c r="B602" s="28" t="n"/>
      <c r="C602" s="17" t="n"/>
      <c r="D602" s="16" t="n"/>
      <c r="E602" s="17" t="n"/>
      <c r="F602" s="29" t="n"/>
      <c r="G602" s="17" t="n"/>
      <c r="H602" s="29" t="n"/>
      <c r="I602" s="17" t="n"/>
      <c r="J602" s="29" t="n"/>
      <c r="K602" s="17" t="n"/>
      <c r="L602" s="29" t="n"/>
      <c r="M602" s="18" t="n"/>
    </row>
    <row r="603">
      <c r="A603" s="28" t="inlineStr">
        <is>
          <t>1). 토공 및 기초</t>
        </is>
      </c>
      <c r="B603" s="28" t="n"/>
      <c r="C603" s="17" t="n"/>
      <c r="D603" s="16" t="n"/>
      <c r="E603" s="17" t="n"/>
      <c r="F603" s="29" t="n"/>
      <c r="G603" s="17" t="n"/>
      <c r="H603" s="29" t="n"/>
      <c r="I603" s="17" t="n"/>
      <c r="J603" s="29" t="n"/>
      <c r="K603" s="17" t="n"/>
      <c r="L603" s="29" t="n"/>
      <c r="M603" s="18" t="n"/>
    </row>
    <row r="604">
      <c r="A604" s="14" t="inlineStr">
        <is>
          <t>가). 터파기(토사)</t>
        </is>
      </c>
      <c r="B604" s="14" t="inlineStr">
        <is>
          <t>TYPE-1, 백호1.0, 기계100%</t>
        </is>
      </c>
      <c r="C604" s="15" t="n">
        <v>449</v>
      </c>
      <c r="D604" s="16" t="inlineStr">
        <is>
          <t>㎥</t>
        </is>
      </c>
      <c r="E604" s="15" t="n">
        <v>0</v>
      </c>
      <c r="F604" s="15">
        <f>E604*C604</f>
        <v/>
      </c>
      <c r="G604" s="15" t="n">
        <v>0</v>
      </c>
      <c r="H604" s="15">
        <f>G604*C604</f>
        <v/>
      </c>
      <c r="I604" s="15" t="n">
        <v>1662</v>
      </c>
      <c r="J604" s="15">
        <f>I604*C604</f>
        <v/>
      </c>
      <c r="K604" s="15">
        <f>E604+G604+I604</f>
        <v/>
      </c>
      <c r="L604" s="15">
        <f>F604+H604+J604</f>
        <v/>
      </c>
      <c r="M604" s="18" t="n"/>
    </row>
    <row r="605">
      <c r="A605" s="14" t="inlineStr">
        <is>
          <t>나). 되메우기및다짐(토사)</t>
        </is>
      </c>
      <c r="B605" s="14" t="inlineStr">
        <is>
          <t>백호0.7+플레이트콤펙터1.5ton</t>
        </is>
      </c>
      <c r="C605" s="15" t="n">
        <v>34</v>
      </c>
      <c r="D605" s="16" t="inlineStr">
        <is>
          <t>㎥</t>
        </is>
      </c>
      <c r="E605" s="15" t="n">
        <v>0</v>
      </c>
      <c r="F605" s="15">
        <f>E605*C605</f>
        <v/>
      </c>
      <c r="G605" s="15" t="n">
        <v>2378</v>
      </c>
      <c r="H605" s="15">
        <f>G605*C605</f>
        <v/>
      </c>
      <c r="I605" s="15" t="n">
        <v>4673</v>
      </c>
      <c r="J605" s="15">
        <f>I605*C605</f>
        <v/>
      </c>
      <c r="K605" s="15">
        <f>E605+G605+I605</f>
        <v/>
      </c>
      <c r="L605" s="15">
        <f>F605+H605+J605</f>
        <v/>
      </c>
      <c r="M605" s="18" t="n"/>
    </row>
    <row r="606">
      <c r="A606" s="14" t="inlineStr">
        <is>
          <t>다). 잔토처리(토사)</t>
        </is>
      </c>
      <c r="B606" s="14" t="inlineStr">
        <is>
          <t>기계</t>
        </is>
      </c>
      <c r="C606" s="15" t="n">
        <v>415</v>
      </c>
      <c r="D606" s="16" t="inlineStr">
        <is>
          <t>㎥</t>
        </is>
      </c>
      <c r="E606" s="15" t="n">
        <v>0</v>
      </c>
      <c r="F606" s="15">
        <f>E606*C606</f>
        <v/>
      </c>
      <c r="G606" s="15" t="n">
        <v>0</v>
      </c>
      <c r="H606" s="15">
        <f>G606*C606</f>
        <v/>
      </c>
      <c r="I606" s="15" t="n">
        <v>10384</v>
      </c>
      <c r="J606" s="15">
        <f>I606*C606</f>
        <v/>
      </c>
      <c r="K606" s="15">
        <f>E606+G606+I606</f>
        <v/>
      </c>
      <c r="L606" s="15">
        <f>F606+H606+J606</f>
        <v/>
      </c>
      <c r="M606" s="18" t="n"/>
    </row>
    <row r="607">
      <c r="A607" s="14" t="inlineStr">
        <is>
          <t>라). 거푸집</t>
        </is>
      </c>
      <c r="B607" s="14" t="inlineStr">
        <is>
          <t>합판6회(간단)</t>
        </is>
      </c>
      <c r="C607" s="15" t="n">
        <v>43</v>
      </c>
      <c r="D607" s="16" t="inlineStr">
        <is>
          <t>㎡</t>
        </is>
      </c>
      <c r="E607" s="15" t="n">
        <v>7135</v>
      </c>
      <c r="F607" s="15">
        <f>E607*C607</f>
        <v/>
      </c>
      <c r="G607" s="15" t="n">
        <v>19028</v>
      </c>
      <c r="H607" s="15">
        <f>G607*C607</f>
        <v/>
      </c>
      <c r="I607" s="15" t="n">
        <v>3635</v>
      </c>
      <c r="J607" s="15">
        <f>I607*C607</f>
        <v/>
      </c>
      <c r="K607" s="15">
        <f>E607+G607+I607</f>
        <v/>
      </c>
      <c r="L607" s="15">
        <f>F607+H607+J607</f>
        <v/>
      </c>
      <c r="M607" s="18" t="n"/>
    </row>
    <row r="608">
      <c r="A608" s="14" t="inlineStr">
        <is>
          <t>마). 콘크리트타설</t>
        </is>
      </c>
      <c r="B608" s="14" t="inlineStr">
        <is>
          <t>장비사용, 무근구조물</t>
        </is>
      </c>
      <c r="C608" s="15" t="n">
        <v>21</v>
      </c>
      <c r="D608" s="16" t="inlineStr">
        <is>
          <t>㎥</t>
        </is>
      </c>
      <c r="E608" s="15" t="n">
        <v>0</v>
      </c>
      <c r="F608" s="15">
        <f>E608*C608</f>
        <v/>
      </c>
      <c r="G608" s="15" t="n">
        <v>12368</v>
      </c>
      <c r="H608" s="15">
        <f>G608*C608</f>
        <v/>
      </c>
      <c r="I608" s="15" t="n">
        <v>11423</v>
      </c>
      <c r="J608" s="15">
        <f>I608*C608</f>
        <v/>
      </c>
      <c r="K608" s="15">
        <f>E608+G608+I608</f>
        <v/>
      </c>
      <c r="L608" s="15">
        <f>F608+H608+J608</f>
        <v/>
      </c>
      <c r="M608" s="18" t="n"/>
    </row>
    <row r="609">
      <c r="A609" s="28" t="inlineStr">
        <is>
          <t>2). 보강토 옹벽설치</t>
        </is>
      </c>
      <c r="B609" s="28" t="n"/>
      <c r="C609" s="17" t="n"/>
      <c r="D609" s="16" t="n"/>
      <c r="E609" s="17" t="n"/>
      <c r="F609" s="29" t="n"/>
      <c r="G609" s="17" t="n"/>
      <c r="H609" s="29" t="n"/>
      <c r="I609" s="17" t="n"/>
      <c r="J609" s="29" t="n"/>
      <c r="K609" s="17" t="n"/>
      <c r="L609" s="29" t="n"/>
      <c r="M609" s="18" t="n"/>
    </row>
    <row r="610">
      <c r="A610" s="14" t="inlineStr">
        <is>
          <t>가). 보강토옹벽(마감형블럭)</t>
        </is>
      </c>
      <c r="B610" s="14" t="inlineStr">
        <is>
          <t>450x410x125</t>
        </is>
      </c>
      <c r="C610" s="15" t="n">
        <v>9</v>
      </c>
      <c r="D610" s="16" t="inlineStr">
        <is>
          <t>㎡</t>
        </is>
      </c>
      <c r="E610" s="15" t="n">
        <v>0</v>
      </c>
      <c r="F610" s="15">
        <f>E610*C610</f>
        <v/>
      </c>
      <c r="G610" s="15" t="n">
        <v>23785</v>
      </c>
      <c r="H610" s="15">
        <f>G610*C610</f>
        <v/>
      </c>
      <c r="I610" s="15" t="n">
        <v>10384</v>
      </c>
      <c r="J610" s="15">
        <f>I610*C610</f>
        <v/>
      </c>
      <c r="K610" s="15">
        <f>E610+G610+I610</f>
        <v/>
      </c>
      <c r="L610" s="15">
        <f>F610+H610+J610</f>
        <v/>
      </c>
      <c r="M610" s="18" t="n"/>
    </row>
    <row r="611">
      <c r="A611" s="14" t="inlineStr">
        <is>
          <t>나). 보강토옹벽(표준형블럭)</t>
        </is>
      </c>
      <c r="B611" s="14" t="inlineStr">
        <is>
          <t>550x420x250</t>
        </is>
      </c>
      <c r="C611" s="15" t="n">
        <v>166</v>
      </c>
      <c r="D611" s="16" t="inlineStr">
        <is>
          <t>㎡</t>
        </is>
      </c>
      <c r="E611" s="15" t="n">
        <v>0</v>
      </c>
      <c r="F611" s="15">
        <f>E611*C611</f>
        <v/>
      </c>
      <c r="G611" s="15" t="n">
        <v>23785</v>
      </c>
      <c r="H611" s="15">
        <f>G611*C611</f>
        <v/>
      </c>
      <c r="I611" s="15" t="n">
        <v>10384</v>
      </c>
      <c r="J611" s="15">
        <f>I611*C611</f>
        <v/>
      </c>
      <c r="K611" s="15">
        <f>E611+G611+I611</f>
        <v/>
      </c>
      <c r="L611" s="15">
        <f>F611+H611+J611</f>
        <v/>
      </c>
      <c r="M611" s="18" t="n"/>
    </row>
    <row r="612">
      <c r="A612" s="28" t="inlineStr">
        <is>
          <t>3). 뒷채움</t>
        </is>
      </c>
      <c r="B612" s="28" t="n"/>
      <c r="C612" s="17" t="n"/>
      <c r="D612" s="16" t="n"/>
      <c r="E612" s="17" t="n"/>
      <c r="F612" s="29" t="n"/>
      <c r="G612" s="17" t="n"/>
      <c r="H612" s="29" t="n"/>
      <c r="I612" s="17" t="n"/>
      <c r="J612" s="29" t="n"/>
      <c r="K612" s="17" t="n"/>
      <c r="L612" s="29" t="n"/>
      <c r="M612" s="18" t="n"/>
    </row>
    <row r="613">
      <c r="A613" s="14" t="inlineStr">
        <is>
          <t>가). 보강토옹벽 뒤채움및다짐</t>
        </is>
      </c>
      <c r="B613" s="14" t="n"/>
      <c r="C613" s="15" t="n">
        <v>1134</v>
      </c>
      <c r="D613" s="16" t="inlineStr">
        <is>
          <t>㎥</t>
        </is>
      </c>
      <c r="E613" s="15" t="n">
        <v>0</v>
      </c>
      <c r="F613" s="15">
        <f>E613*C613</f>
        <v/>
      </c>
      <c r="G613" s="15" t="n">
        <v>1903</v>
      </c>
      <c r="H613" s="15">
        <f>G613*C613</f>
        <v/>
      </c>
      <c r="I613" s="15" t="n">
        <v>5192</v>
      </c>
      <c r="J613" s="15">
        <f>I613*C613</f>
        <v/>
      </c>
      <c r="K613" s="15">
        <f>E613+G613+I613</f>
        <v/>
      </c>
      <c r="L613" s="15">
        <f>F613+H613+J613</f>
        <v/>
      </c>
      <c r="M613" s="18" t="n"/>
    </row>
    <row r="614">
      <c r="A614" s="28" t="inlineStr">
        <is>
          <t>4). 자재운반</t>
        </is>
      </c>
      <c r="B614" s="28" t="n"/>
      <c r="C614" s="17" t="n"/>
      <c r="D614" s="16" t="n"/>
      <c r="E614" s="17" t="n"/>
      <c r="F614" s="29" t="n"/>
      <c r="G614" s="17" t="n"/>
      <c r="H614" s="29" t="n"/>
      <c r="I614" s="17" t="n"/>
      <c r="J614" s="29" t="n"/>
      <c r="K614" s="17" t="n"/>
      <c r="L614" s="29" t="n"/>
      <c r="M614" s="18" t="n"/>
    </row>
    <row r="615">
      <c r="A615" s="14" t="inlineStr">
        <is>
          <t>가). 보강토옹벽(마감형) 운반비</t>
        </is>
      </c>
      <c r="B615" s="14" t="inlineStr">
        <is>
          <t>공장---&gt;현장, L=290KM</t>
        </is>
      </c>
      <c r="C615" s="15" t="n">
        <v>9</v>
      </c>
      <c r="D615" s="16" t="inlineStr">
        <is>
          <t>㎡</t>
        </is>
      </c>
      <c r="E615" s="15" t="n">
        <v>0</v>
      </c>
      <c r="F615" s="15">
        <f>E615*C615</f>
        <v/>
      </c>
      <c r="G615" s="15" t="n">
        <v>0</v>
      </c>
      <c r="H615" s="15">
        <f>G615*C615</f>
        <v/>
      </c>
      <c r="I615" s="15" t="n">
        <v>2596</v>
      </c>
      <c r="J615" s="15">
        <f>I615*C615</f>
        <v/>
      </c>
      <c r="K615" s="15">
        <f>E615+G615+I615</f>
        <v/>
      </c>
      <c r="L615" s="15">
        <f>F615+H615+J615</f>
        <v/>
      </c>
      <c r="M615" s="18" t="n"/>
    </row>
    <row r="616">
      <c r="A616" s="14" t="inlineStr">
        <is>
          <t>나). 보강토옹벽(표준형) 운반비</t>
        </is>
      </c>
      <c r="B616" s="14" t="inlineStr">
        <is>
          <t>공장---&gt;현장, L=290KM</t>
        </is>
      </c>
      <c r="C616" s="15" t="n">
        <v>171</v>
      </c>
      <c r="D616" s="16" t="inlineStr">
        <is>
          <t>㎡</t>
        </is>
      </c>
      <c r="E616" s="15" t="n">
        <v>0</v>
      </c>
      <c r="F616" s="15">
        <f>E616*C616</f>
        <v/>
      </c>
      <c r="G616" s="15" t="n">
        <v>0</v>
      </c>
      <c r="H616" s="15">
        <f>G616*C616</f>
        <v/>
      </c>
      <c r="I616" s="15" t="n">
        <v>2596</v>
      </c>
      <c r="J616" s="15">
        <f>I616*C616</f>
        <v/>
      </c>
      <c r="K616" s="15">
        <f>E616+G616+I616</f>
        <v/>
      </c>
      <c r="L616" s="15">
        <f>F616+H616+J616</f>
        <v/>
      </c>
      <c r="M616" s="18" t="n"/>
    </row>
    <row r="617">
      <c r="A617" s="28" t="inlineStr">
        <is>
          <t>5). 주요자재</t>
        </is>
      </c>
      <c r="B617" s="28" t="n"/>
      <c r="C617" s="17" t="n"/>
      <c r="D617" s="16" t="n"/>
      <c r="E617" s="17" t="n"/>
      <c r="F617" s="29" t="n"/>
      <c r="G617" s="17" t="n"/>
      <c r="H617" s="29" t="n"/>
      <c r="I617" s="17" t="n"/>
      <c r="J617" s="29" t="n"/>
      <c r="K617" s="17" t="n"/>
      <c r="L617" s="29" t="n"/>
      <c r="M617" s="18" t="n"/>
    </row>
    <row r="618">
      <c r="A618" s="14" t="inlineStr">
        <is>
          <t>가). 레미콘</t>
        </is>
      </c>
      <c r="B618" s="14" t="inlineStr">
        <is>
          <t>25-21-12(Mpa)</t>
        </is>
      </c>
      <c r="C618" s="15" t="n">
        <v>21</v>
      </c>
      <c r="D618" s="16" t="inlineStr">
        <is>
          <t>㎥</t>
        </is>
      </c>
      <c r="E618" s="15" t="n">
        <v>85815</v>
      </c>
      <c r="F618" s="15">
        <f>E618*C618</f>
        <v/>
      </c>
      <c r="G618" s="15" t="n">
        <v>0</v>
      </c>
      <c r="H618" s="15">
        <f>G618*C618</f>
        <v/>
      </c>
      <c r="I618" s="15" t="n">
        <v>0</v>
      </c>
      <c r="J618" s="15">
        <f>I618*C618</f>
        <v/>
      </c>
      <c r="K618" s="15">
        <f>E618+G618+I618</f>
        <v/>
      </c>
      <c r="L618" s="15">
        <f>F618+H618+J618</f>
        <v/>
      </c>
      <c r="M618" s="18" t="n"/>
    </row>
    <row r="619">
      <c r="A619" s="14" t="inlineStr">
        <is>
          <t>나). 쇄석자갈</t>
        </is>
      </c>
      <c r="B619" s="14" t="inlineStr">
        <is>
          <t>Φ25mm, 현장도착도</t>
        </is>
      </c>
      <c r="C619" s="15" t="n">
        <v>86</v>
      </c>
      <c r="D619" s="16" t="inlineStr">
        <is>
          <t>㎥</t>
        </is>
      </c>
      <c r="E619" s="15" t="n">
        <v>24736</v>
      </c>
      <c r="F619" s="15">
        <f>E619*C619</f>
        <v/>
      </c>
      <c r="G619" s="15" t="n">
        <v>0</v>
      </c>
      <c r="H619" s="15">
        <f>G619*C619</f>
        <v/>
      </c>
      <c r="I619" s="15" t="n">
        <v>0</v>
      </c>
      <c r="J619" s="15">
        <f>I619*C619</f>
        <v/>
      </c>
      <c r="K619" s="15">
        <f>E619+G619+I619</f>
        <v/>
      </c>
      <c r="L619" s="15">
        <f>F619+H619+J619</f>
        <v/>
      </c>
      <c r="M619" s="18" t="n"/>
    </row>
    <row r="620">
      <c r="A620" s="14" t="inlineStr">
        <is>
          <t>다). PE 유공관(배수유공관)</t>
        </is>
      </c>
      <c r="B620" s="14" t="inlineStr">
        <is>
          <t>D150mm</t>
        </is>
      </c>
      <c r="C620" s="15" t="n">
        <v>74</v>
      </c>
      <c r="D620" s="16" t="inlineStr">
        <is>
          <t>m</t>
        </is>
      </c>
      <c r="E620" s="15" t="n">
        <v>4947</v>
      </c>
      <c r="F620" s="15">
        <f>E620*C620</f>
        <v/>
      </c>
      <c r="G620" s="15" t="n">
        <v>0</v>
      </c>
      <c r="H620" s="15">
        <f>G620*C620</f>
        <v/>
      </c>
      <c r="I620" s="15" t="n">
        <v>0</v>
      </c>
      <c r="J620" s="15">
        <f>I620*C620</f>
        <v/>
      </c>
      <c r="K620" s="15">
        <f>E620+G620+I620</f>
        <v/>
      </c>
      <c r="L620" s="15">
        <f>F620+H620+J620</f>
        <v/>
      </c>
      <c r="M620" s="18" t="n"/>
    </row>
    <row r="621">
      <c r="A621" s="14" t="inlineStr">
        <is>
          <t>라). 부직포</t>
        </is>
      </c>
      <c r="B621" s="14" t="inlineStr">
        <is>
          <t>500g/cm2, 사면보호용</t>
        </is>
      </c>
      <c r="C621" s="15" t="n">
        <v>74</v>
      </c>
      <c r="D621" s="16" t="inlineStr">
        <is>
          <t>㎡</t>
        </is>
      </c>
      <c r="E621" s="15" t="n">
        <v>5708</v>
      </c>
      <c r="F621" s="15">
        <f>E621*C621</f>
        <v/>
      </c>
      <c r="G621" s="15" t="n">
        <v>0</v>
      </c>
      <c r="H621" s="15">
        <f>G621*C621</f>
        <v/>
      </c>
      <c r="I621" s="15" t="n">
        <v>0</v>
      </c>
      <c r="J621" s="15">
        <f>I621*C621</f>
        <v/>
      </c>
      <c r="K621" s="15">
        <f>E621+G621+I621</f>
        <v/>
      </c>
      <c r="L621" s="15">
        <f>F621+H621+J621</f>
        <v/>
      </c>
      <c r="M621" s="18" t="n"/>
    </row>
    <row r="622">
      <c r="A622" s="14" t="inlineStr">
        <is>
          <t>마). 보강토옹벽 - 마감블럭</t>
        </is>
      </c>
      <c r="B622" s="14" t="inlineStr">
        <is>
          <t>450x410x125</t>
        </is>
      </c>
      <c r="C622" s="15" t="n">
        <v>9</v>
      </c>
      <c r="D622" s="16" t="inlineStr">
        <is>
          <t>㎡</t>
        </is>
      </c>
      <c r="E622" s="15" t="n">
        <v>21882</v>
      </c>
      <c r="F622" s="15">
        <f>E622*C622</f>
        <v/>
      </c>
      <c r="G622" s="15" t="n">
        <v>0</v>
      </c>
      <c r="H622" s="15">
        <f>G622*C622</f>
        <v/>
      </c>
      <c r="I622" s="15" t="n">
        <v>0</v>
      </c>
      <c r="J622" s="15">
        <f>I622*C622</f>
        <v/>
      </c>
      <c r="K622" s="15">
        <f>E622+G622+I622</f>
        <v/>
      </c>
      <c r="L622" s="15">
        <f>F622+H622+J622</f>
        <v/>
      </c>
      <c r="M622" s="18" t="n"/>
    </row>
    <row r="623">
      <c r="A623" s="14" t="inlineStr">
        <is>
          <t>바). 보강토옹벽 - 기본블럭</t>
        </is>
      </c>
      <c r="B623" s="14" t="inlineStr">
        <is>
          <t>550x420x250</t>
        </is>
      </c>
      <c r="C623" s="15" t="n">
        <v>171</v>
      </c>
      <c r="D623" s="16" t="inlineStr">
        <is>
          <t>㎡</t>
        </is>
      </c>
      <c r="E623" s="15" t="n">
        <v>30444</v>
      </c>
      <c r="F623" s="15">
        <f>E623*C623</f>
        <v/>
      </c>
      <c r="G623" s="15" t="n">
        <v>0</v>
      </c>
      <c r="H623" s="15">
        <f>G623*C623</f>
        <v/>
      </c>
      <c r="I623" s="15" t="n">
        <v>0</v>
      </c>
      <c r="J623" s="15">
        <f>I623*C623</f>
        <v/>
      </c>
      <c r="K623" s="15">
        <f>E623+G623+I623</f>
        <v/>
      </c>
      <c r="L623" s="15">
        <f>F623+H623+J623</f>
        <v/>
      </c>
      <c r="M623" s="18" t="n"/>
    </row>
    <row r="624">
      <c r="A624" s="14" t="inlineStr">
        <is>
          <t>사). 보강토옹벽 그리드</t>
        </is>
      </c>
      <c r="B624" s="14" t="inlineStr">
        <is>
          <t>지오그리드 6T</t>
        </is>
      </c>
      <c r="C624" s="15" t="n">
        <v>1166</v>
      </c>
      <c r="D624" s="16" t="inlineStr">
        <is>
          <t>㎡</t>
        </is>
      </c>
      <c r="E624" s="15" t="n">
        <v>1522</v>
      </c>
      <c r="F624" s="15">
        <f>E624*C624</f>
        <v/>
      </c>
      <c r="G624" s="15" t="n">
        <v>0</v>
      </c>
      <c r="H624" s="15">
        <f>G624*C624</f>
        <v/>
      </c>
      <c r="I624" s="15" t="n">
        <v>0</v>
      </c>
      <c r="J624" s="15">
        <f>I624*C624</f>
        <v/>
      </c>
      <c r="K624" s="15">
        <f>E624+G624+I624</f>
        <v/>
      </c>
      <c r="L624" s="15">
        <f>F624+H624+J624</f>
        <v/>
      </c>
      <c r="M624" s="18" t="n"/>
    </row>
    <row r="625">
      <c r="A625" s="14" t="inlineStr">
        <is>
          <t>아). 보강토옹벽 그리드</t>
        </is>
      </c>
      <c r="B625" s="14" t="inlineStr">
        <is>
          <t>지오그리드 8T</t>
        </is>
      </c>
      <c r="C625" s="15" t="n">
        <v>203</v>
      </c>
      <c r="D625" s="16" t="inlineStr">
        <is>
          <t>㎡</t>
        </is>
      </c>
      <c r="E625" s="15" t="n">
        <v>1712</v>
      </c>
      <c r="F625" s="15">
        <f>E625*C625</f>
        <v/>
      </c>
      <c r="G625" s="15" t="n">
        <v>0</v>
      </c>
      <c r="H625" s="15">
        <f>G625*C625</f>
        <v/>
      </c>
      <c r="I625" s="15" t="n">
        <v>0</v>
      </c>
      <c r="J625" s="15">
        <f>I625*C625</f>
        <v/>
      </c>
      <c r="K625" s="15">
        <f>E625+G625+I625</f>
        <v/>
      </c>
      <c r="L625" s="15">
        <f>F625+H625+J625</f>
        <v/>
      </c>
      <c r="M625" s="18" t="n"/>
    </row>
    <row r="626">
      <c r="A626" s="25" t="inlineStr">
        <is>
          <t>7. 부 대 공</t>
        </is>
      </c>
      <c r="B626" s="26" t="n"/>
      <c r="C626" s="21" t="n"/>
      <c r="D626" s="22" t="n"/>
      <c r="E626" s="21" t="n"/>
      <c r="F626" s="27" t="n"/>
      <c r="G626" s="21" t="n"/>
      <c r="H626" s="27" t="n"/>
      <c r="I626" s="21" t="n"/>
      <c r="J626" s="27" t="n"/>
      <c r="K626" s="21" t="n"/>
      <c r="L626" s="27" t="n"/>
      <c r="M626" s="24" t="n"/>
    </row>
    <row r="627">
      <c r="A627" s="28" t="inlineStr">
        <is>
          <t>가. 토공</t>
        </is>
      </c>
      <c r="B627" s="28" t="n"/>
      <c r="C627" s="17" t="n"/>
      <c r="D627" s="16" t="n"/>
      <c r="E627" s="17" t="n"/>
      <c r="F627" s="29" t="n"/>
      <c r="G627" s="17" t="n"/>
      <c r="H627" s="29" t="n"/>
      <c r="I627" s="17" t="n"/>
      <c r="J627" s="29" t="n"/>
      <c r="K627" s="17" t="n"/>
      <c r="L627" s="29" t="n"/>
      <c r="M627" s="18" t="n"/>
    </row>
    <row r="628">
      <c r="A628" s="28" t="inlineStr">
        <is>
          <t>1). 터파기</t>
        </is>
      </c>
      <c r="B628" s="28" t="n"/>
      <c r="C628" s="17" t="n"/>
      <c r="D628" s="16" t="n"/>
      <c r="E628" s="17" t="n"/>
      <c r="F628" s="29" t="n"/>
      <c r="G628" s="17" t="n"/>
      <c r="H628" s="29" t="n"/>
      <c r="I628" s="17" t="n"/>
      <c r="J628" s="29" t="n"/>
      <c r="K628" s="17" t="n"/>
      <c r="L628" s="29" t="n"/>
      <c r="M628" s="18" t="n"/>
    </row>
    <row r="629">
      <c r="A629" s="14" t="inlineStr">
        <is>
          <t>가). 터파기(토사)</t>
        </is>
      </c>
      <c r="B629" s="14" t="inlineStr">
        <is>
          <t>인력100%</t>
        </is>
      </c>
      <c r="C629" s="15" t="n">
        <v>3</v>
      </c>
      <c r="D629" s="16" t="inlineStr">
        <is>
          <t>㎥</t>
        </is>
      </c>
      <c r="E629" s="15" t="n">
        <v>0</v>
      </c>
      <c r="F629" s="15">
        <f>E629*C629</f>
        <v/>
      </c>
      <c r="G629" s="15" t="n">
        <v>59745</v>
      </c>
      <c r="H629" s="15">
        <f>G629*C629</f>
        <v/>
      </c>
      <c r="I629" s="15" t="n">
        <v>0</v>
      </c>
      <c r="J629" s="15">
        <f>I629*C629</f>
        <v/>
      </c>
      <c r="K629" s="15">
        <f>E629+G629+I629</f>
        <v/>
      </c>
      <c r="L629" s="15">
        <f>F629+H629+J629</f>
        <v/>
      </c>
      <c r="M629" s="18" t="n"/>
    </row>
    <row r="630">
      <c r="A630" s="14" t="inlineStr">
        <is>
          <t>나). 터파기(토사)</t>
        </is>
      </c>
      <c r="B630" s="14" t="inlineStr">
        <is>
          <t>TYPE-1, 백호1.0, 기계100%</t>
        </is>
      </c>
      <c r="C630" s="15" t="n">
        <v>1040</v>
      </c>
      <c r="D630" s="16" t="inlineStr">
        <is>
          <t>㎥</t>
        </is>
      </c>
      <c r="E630" s="15" t="n">
        <v>0</v>
      </c>
      <c r="F630" s="15">
        <f>E630*C630</f>
        <v/>
      </c>
      <c r="G630" s="15" t="n">
        <v>0</v>
      </c>
      <c r="H630" s="15">
        <f>G630*C630</f>
        <v/>
      </c>
      <c r="I630" s="15" t="n">
        <v>1605</v>
      </c>
      <c r="J630" s="15">
        <f>I630*C630</f>
        <v/>
      </c>
      <c r="K630" s="15">
        <f>E630+G630+I630</f>
        <v/>
      </c>
      <c r="L630" s="15">
        <f>F630+H630+J630</f>
        <v/>
      </c>
      <c r="M630" s="18" t="n"/>
    </row>
    <row r="631">
      <c r="A631" s="28" t="inlineStr">
        <is>
          <t>2). 되메우기</t>
        </is>
      </c>
      <c r="B631" s="28" t="n"/>
      <c r="C631" s="17" t="n"/>
      <c r="D631" s="16" t="n"/>
      <c r="E631" s="17" t="n"/>
      <c r="F631" s="29" t="n"/>
      <c r="G631" s="17" t="n"/>
      <c r="H631" s="29" t="n"/>
      <c r="I631" s="17" t="n"/>
      <c r="J631" s="29" t="n"/>
      <c r="K631" s="17" t="n"/>
      <c r="L631" s="29" t="n"/>
      <c r="M631" s="18" t="n"/>
    </row>
    <row r="632">
      <c r="A632" s="14" t="inlineStr">
        <is>
          <t>가). 되메우기및다짐</t>
        </is>
      </c>
      <c r="B632" s="14" t="inlineStr">
        <is>
          <t>인력100%</t>
        </is>
      </c>
      <c r="C632" s="15" t="n">
        <v>2</v>
      </c>
      <c r="D632" s="16" t="inlineStr">
        <is>
          <t>㎥</t>
        </is>
      </c>
      <c r="E632" s="15" t="n">
        <v>0</v>
      </c>
      <c r="F632" s="15">
        <f>E632*C632</f>
        <v/>
      </c>
      <c r="G632" s="15" t="n">
        <v>26030</v>
      </c>
      <c r="H632" s="15">
        <f>G632*C632</f>
        <v/>
      </c>
      <c r="I632" s="15" t="n">
        <v>14247</v>
      </c>
      <c r="J632" s="15">
        <f>I632*C632</f>
        <v/>
      </c>
      <c r="K632" s="15">
        <f>E632+G632+I632</f>
        <v/>
      </c>
      <c r="L632" s="15">
        <f>F632+H632+J632</f>
        <v/>
      </c>
      <c r="M632" s="18" t="n"/>
    </row>
    <row r="633">
      <c r="A633" s="14" t="inlineStr">
        <is>
          <t>나). 되메우기(토사)</t>
        </is>
      </c>
      <c r="B633" s="14" t="inlineStr">
        <is>
          <t>백호0.7, 기계100%</t>
        </is>
      </c>
      <c r="C633" s="15" t="n">
        <v>1040</v>
      </c>
      <c r="D633" s="16" t="inlineStr">
        <is>
          <t>㎥</t>
        </is>
      </c>
      <c r="E633" s="15" t="n">
        <v>0</v>
      </c>
      <c r="F633" s="15">
        <f>E633*C633</f>
        <v/>
      </c>
      <c r="G633" s="15" t="n">
        <v>2298</v>
      </c>
      <c r="H633" s="15">
        <f>G633*C633</f>
        <v/>
      </c>
      <c r="I633" s="15" t="n">
        <v>4515</v>
      </c>
      <c r="J633" s="15">
        <f>I633*C633</f>
        <v/>
      </c>
      <c r="K633" s="15">
        <f>E633+G633+I633</f>
        <v/>
      </c>
      <c r="L633" s="15">
        <f>F633+H633+J633</f>
        <v/>
      </c>
      <c r="M633" s="18" t="n"/>
    </row>
    <row r="634">
      <c r="A634" s="28" t="inlineStr">
        <is>
          <t>3). 잔토처리</t>
        </is>
      </c>
      <c r="B634" s="28" t="n"/>
      <c r="C634" s="17" t="n"/>
      <c r="D634" s="16" t="n"/>
      <c r="E634" s="17" t="n"/>
      <c r="F634" s="29" t="n"/>
      <c r="G634" s="17" t="n"/>
      <c r="H634" s="29" t="n"/>
      <c r="I634" s="17" t="n"/>
      <c r="J634" s="29" t="n"/>
      <c r="K634" s="17" t="n"/>
      <c r="L634" s="29" t="n"/>
      <c r="M634" s="18" t="n"/>
    </row>
    <row r="635">
      <c r="A635" s="14" t="inlineStr">
        <is>
          <t>가). 잔토처리(토사)</t>
        </is>
      </c>
      <c r="B635" s="14" t="inlineStr">
        <is>
          <t>기계100%</t>
        </is>
      </c>
      <c r="C635" s="15" t="n">
        <v>1</v>
      </c>
      <c r="D635" s="16" t="inlineStr">
        <is>
          <t>㎥</t>
        </is>
      </c>
      <c r="E635" s="15" t="n">
        <v>0</v>
      </c>
      <c r="F635" s="15">
        <f>E635*C635</f>
        <v/>
      </c>
      <c r="G635" s="15" t="n">
        <v>0</v>
      </c>
      <c r="H635" s="15">
        <f>G635*C635</f>
        <v/>
      </c>
      <c r="I635" s="15" t="n">
        <v>10032</v>
      </c>
      <c r="J635" s="15">
        <f>I635*C635</f>
        <v/>
      </c>
      <c r="K635" s="15">
        <f>E635+G635+I635</f>
        <v/>
      </c>
      <c r="L635" s="15">
        <f>F635+H635+J635</f>
        <v/>
      </c>
      <c r="M635" s="18" t="n"/>
    </row>
    <row r="636">
      <c r="A636" s="28" t="inlineStr">
        <is>
          <t>나. 가설방음판넬</t>
        </is>
      </c>
      <c r="B636" s="28" t="n"/>
      <c r="C636" s="17" t="n"/>
      <c r="D636" s="16" t="n"/>
      <c r="E636" s="17" t="n"/>
      <c r="F636" s="29" t="n"/>
      <c r="G636" s="17" t="n"/>
      <c r="H636" s="29" t="n"/>
      <c r="I636" s="17" t="n"/>
      <c r="J636" s="29" t="n"/>
      <c r="K636" s="17" t="n"/>
      <c r="L636" s="29" t="n"/>
      <c r="M636" s="18" t="n"/>
    </row>
    <row r="637">
      <c r="A637" s="14" t="inlineStr">
        <is>
          <t>1). 가설방음판넬</t>
        </is>
      </c>
      <c r="B637" s="14" t="inlineStr">
        <is>
          <t>H=3.0+1.0m, 34개월</t>
        </is>
      </c>
      <c r="C637" s="15" t="n">
        <v>1242</v>
      </c>
      <c r="D637" s="16" t="inlineStr">
        <is>
          <t>m</t>
        </is>
      </c>
      <c r="E637" s="15" t="n">
        <v>48991</v>
      </c>
      <c r="F637" s="15">
        <f>E637*C637</f>
        <v/>
      </c>
      <c r="G637" s="15" t="n">
        <v>18383</v>
      </c>
      <c r="H637" s="15">
        <f>G637*C637</f>
        <v/>
      </c>
      <c r="I637" s="15" t="n">
        <v>13043</v>
      </c>
      <c r="J637" s="15">
        <f>I637*C637</f>
        <v/>
      </c>
      <c r="K637" s="15">
        <f>E637+G637+I637</f>
        <v/>
      </c>
      <c r="L637" s="15">
        <f>F637+H637+J637</f>
        <v/>
      </c>
      <c r="M637" s="18" t="n"/>
    </row>
    <row r="638">
      <c r="A638" s="28" t="inlineStr">
        <is>
          <t>다. 임시침사지</t>
        </is>
      </c>
      <c r="B638" s="28" t="n"/>
      <c r="C638" s="17" t="n"/>
      <c r="D638" s="16" t="n"/>
      <c r="E638" s="17" t="n"/>
      <c r="F638" s="29" t="n"/>
      <c r="G638" s="17" t="n"/>
      <c r="H638" s="29" t="n"/>
      <c r="I638" s="17" t="n"/>
      <c r="J638" s="29" t="n"/>
      <c r="K638" s="17" t="n"/>
      <c r="L638" s="29" t="n"/>
      <c r="M638" s="18" t="n"/>
    </row>
    <row r="639">
      <c r="A639" s="14" t="inlineStr">
        <is>
          <t>1). 비닐깔기(PE필름)</t>
        </is>
      </c>
      <c r="B639" s="14" t="inlineStr">
        <is>
          <t>t=0.1mm</t>
        </is>
      </c>
      <c r="C639" s="15" t="n">
        <v>272</v>
      </c>
      <c r="D639" s="16" t="inlineStr">
        <is>
          <t>㎡</t>
        </is>
      </c>
      <c r="E639" s="15" t="n">
        <v>303</v>
      </c>
      <c r="F639" s="15">
        <f>E639*C639</f>
        <v/>
      </c>
      <c r="G639" s="15" t="n">
        <v>1020</v>
      </c>
      <c r="H639" s="15">
        <f>G639*C639</f>
        <v/>
      </c>
      <c r="I639" s="15" t="n">
        <v>0</v>
      </c>
      <c r="J639" s="15">
        <f>I639*C639</f>
        <v/>
      </c>
      <c r="K639" s="15">
        <f>E639+G639+I639</f>
        <v/>
      </c>
      <c r="L639" s="15">
        <f>F639+H639+J639</f>
        <v/>
      </c>
      <c r="M639" s="18" t="n"/>
    </row>
    <row r="640">
      <c r="A640" s="14" t="inlineStr">
        <is>
          <t>2). 톤마대 쌓기 및 헐기</t>
        </is>
      </c>
      <c r="B640" s="14" t="inlineStr">
        <is>
          <t>0.7㎥/개</t>
        </is>
      </c>
      <c r="C640" s="15" t="n">
        <v>57</v>
      </c>
      <c r="D640" s="16" t="inlineStr">
        <is>
          <t>ea</t>
        </is>
      </c>
      <c r="E640" s="15" t="n">
        <v>9192</v>
      </c>
      <c r="F640" s="15">
        <f>E640*C640</f>
        <v/>
      </c>
      <c r="G640" s="15" t="n">
        <v>18383</v>
      </c>
      <c r="H640" s="15">
        <f>G640*C640</f>
        <v/>
      </c>
      <c r="I640" s="15" t="n">
        <v>16052</v>
      </c>
      <c r="J640" s="15">
        <f>I640*C640</f>
        <v/>
      </c>
      <c r="K640" s="15">
        <f>E640+G640+I640</f>
        <v/>
      </c>
      <c r="L640" s="15">
        <f>F640+H640+J640</f>
        <v/>
      </c>
      <c r="M640" s="18" t="n"/>
    </row>
    <row r="641">
      <c r="A641" s="14" t="inlineStr">
        <is>
          <t>3). 흄관 접합및부설(소켓식)</t>
        </is>
      </c>
      <c r="B641" s="14" t="inlineStr">
        <is>
          <t>Ø 700 MM</t>
        </is>
      </c>
      <c r="C641" s="15" t="n">
        <v>9</v>
      </c>
      <c r="D641" s="16" t="inlineStr">
        <is>
          <t>m</t>
        </is>
      </c>
      <c r="E641" s="15" t="n">
        <v>0</v>
      </c>
      <c r="F641" s="15">
        <f>E641*C641</f>
        <v/>
      </c>
      <c r="G641" s="15" t="n">
        <v>34376</v>
      </c>
      <c r="H641" s="15">
        <f>G641*C641</f>
        <v/>
      </c>
      <c r="I641" s="15" t="n">
        <v>38085</v>
      </c>
      <c r="J641" s="15">
        <f>I641*C641</f>
        <v/>
      </c>
      <c r="K641" s="15">
        <f>E641+G641+I641</f>
        <v/>
      </c>
      <c r="L641" s="15">
        <f>F641+H641+J641</f>
        <v/>
      </c>
      <c r="M641" s="18" t="n"/>
    </row>
    <row r="642">
      <c r="A642" s="14" t="inlineStr">
        <is>
          <t>4). 퇴적토준설</t>
        </is>
      </c>
      <c r="B642" s="14" t="inlineStr">
        <is>
          <t>백호0.7㎥, 수중</t>
        </is>
      </c>
      <c r="C642" s="15" t="n">
        <v>108</v>
      </c>
      <c r="D642" s="16" t="inlineStr">
        <is>
          <t>㎥</t>
        </is>
      </c>
      <c r="E642" s="15" t="n">
        <v>0</v>
      </c>
      <c r="F642" s="15">
        <f>E642*C642</f>
        <v/>
      </c>
      <c r="G642" s="15" t="n">
        <v>1379</v>
      </c>
      <c r="H642" s="15">
        <f>G642*C642</f>
        <v/>
      </c>
      <c r="I642" s="15" t="n">
        <v>5016</v>
      </c>
      <c r="J642" s="15">
        <f>I642*C642</f>
        <v/>
      </c>
      <c r="K642" s="15">
        <f>E642+G642+I642</f>
        <v/>
      </c>
      <c r="L642" s="15">
        <f>F642+H642+J642</f>
        <v/>
      </c>
      <c r="M642" s="18" t="n"/>
    </row>
    <row r="643">
      <c r="A643" s="28" t="inlineStr">
        <is>
          <t>라. 가배수로</t>
        </is>
      </c>
      <c r="B643" s="28" t="n"/>
      <c r="C643" s="17" t="n"/>
      <c r="D643" s="16" t="n"/>
      <c r="E643" s="17" t="n"/>
      <c r="F643" s="29" t="n"/>
      <c r="G643" s="17" t="n"/>
      <c r="H643" s="29" t="n"/>
      <c r="I643" s="17" t="n"/>
      <c r="J643" s="29" t="n"/>
      <c r="K643" s="17" t="n"/>
      <c r="L643" s="29" t="n"/>
      <c r="M643" s="18" t="n"/>
    </row>
    <row r="644">
      <c r="A644" s="14" t="inlineStr">
        <is>
          <t>1). 비닐깔기(PE필름)</t>
        </is>
      </c>
      <c r="B644" s="14" t="inlineStr">
        <is>
          <t>t=0.1mm</t>
        </is>
      </c>
      <c r="C644" s="15" t="n">
        <v>1895</v>
      </c>
      <c r="D644" s="16" t="inlineStr">
        <is>
          <t>㎡</t>
        </is>
      </c>
      <c r="E644" s="15" t="n">
        <v>303</v>
      </c>
      <c r="F644" s="15">
        <f>E644*C644</f>
        <v/>
      </c>
      <c r="G644" s="15" t="n">
        <v>1020</v>
      </c>
      <c r="H644" s="15">
        <f>G644*C644</f>
        <v/>
      </c>
      <c r="I644" s="15" t="n">
        <v>0</v>
      </c>
      <c r="J644" s="15">
        <f>I644*C644</f>
        <v/>
      </c>
      <c r="K644" s="15">
        <f>E644+G644+I644</f>
        <v/>
      </c>
      <c r="L644" s="15">
        <f>F644+H644+J644</f>
        <v/>
      </c>
      <c r="M644" s="18" t="n"/>
    </row>
    <row r="645">
      <c r="A645" s="14" t="inlineStr">
        <is>
          <t>2). PP마대 쌓기 및 헐기</t>
        </is>
      </c>
      <c r="B645" s="14" t="inlineStr">
        <is>
          <t>45×75cm(인력)</t>
        </is>
      </c>
      <c r="C645" s="15" t="n">
        <v>1178</v>
      </c>
      <c r="D645" s="16" t="inlineStr">
        <is>
          <t>ea</t>
        </is>
      </c>
      <c r="E645" s="15" t="n">
        <v>276</v>
      </c>
      <c r="F645" s="15">
        <f>E645*C645</f>
        <v/>
      </c>
      <c r="G645" s="15" t="n">
        <v>4669</v>
      </c>
      <c r="H645" s="15">
        <f>G645*C645</f>
        <v/>
      </c>
      <c r="I645" s="15" t="n">
        <v>0</v>
      </c>
      <c r="J645" s="15">
        <f>I645*C645</f>
        <v/>
      </c>
      <c r="K645" s="15">
        <f>E645+G645+I645</f>
        <v/>
      </c>
      <c r="L645" s="15">
        <f>F645+H645+J645</f>
        <v/>
      </c>
      <c r="M645" s="18" t="n"/>
    </row>
    <row r="646">
      <c r="A646" s="14" t="inlineStr">
        <is>
          <t>3). 퇴적토준설</t>
        </is>
      </c>
      <c r="B646" s="14" t="inlineStr">
        <is>
          <t>백호0.7㎥, 수중</t>
        </is>
      </c>
      <c r="C646" s="15" t="n">
        <v>259</v>
      </c>
      <c r="D646" s="16" t="inlineStr">
        <is>
          <t>㎥</t>
        </is>
      </c>
      <c r="E646" s="15" t="n">
        <v>0</v>
      </c>
      <c r="F646" s="15">
        <f>E646*C646</f>
        <v/>
      </c>
      <c r="G646" s="15" t="n">
        <v>1379</v>
      </c>
      <c r="H646" s="15">
        <f>G646*C646</f>
        <v/>
      </c>
      <c r="I646" s="15" t="n">
        <v>5016</v>
      </c>
      <c r="J646" s="15">
        <f>I646*C646</f>
        <v/>
      </c>
      <c r="K646" s="15">
        <f>E646+G646+I646</f>
        <v/>
      </c>
      <c r="L646" s="15">
        <f>F646+H646+J646</f>
        <v/>
      </c>
      <c r="M646" s="18" t="n"/>
    </row>
    <row r="647">
      <c r="A647" s="28" t="inlineStr">
        <is>
          <t>마. 세륜세차시설</t>
        </is>
      </c>
      <c r="B647" s="28" t="n"/>
      <c r="C647" s="17" t="n"/>
      <c r="D647" s="16" t="n"/>
      <c r="E647" s="17" t="n"/>
      <c r="F647" s="29" t="n"/>
      <c r="G647" s="17" t="n"/>
      <c r="H647" s="29" t="n"/>
      <c r="I647" s="17" t="n"/>
      <c r="J647" s="29" t="n"/>
      <c r="K647" s="17" t="n"/>
      <c r="L647" s="29" t="n"/>
      <c r="M647" s="18" t="n"/>
    </row>
    <row r="648">
      <c r="A648" s="14" t="inlineStr">
        <is>
          <t>1). 세륜세차시설 설치및해체</t>
        </is>
      </c>
      <c r="B648" s="14" t="inlineStr">
        <is>
          <t>자동세륜기, 34개월</t>
        </is>
      </c>
      <c r="C648" s="15" t="n">
        <v>1</v>
      </c>
      <c r="D648" s="16" t="inlineStr">
        <is>
          <t>개소</t>
        </is>
      </c>
      <c r="E648" s="15" t="n">
        <v>13787282</v>
      </c>
      <c r="F648" s="15">
        <f>E648*C648</f>
        <v/>
      </c>
      <c r="G648" s="15" t="n">
        <v>3217032</v>
      </c>
      <c r="H648" s="15">
        <f>G648*C648</f>
        <v/>
      </c>
      <c r="I648" s="15" t="n">
        <v>3210494</v>
      </c>
      <c r="J648" s="15">
        <f>I648*C648</f>
        <v/>
      </c>
      <c r="K648" s="15">
        <f>E648+G648+I648</f>
        <v/>
      </c>
      <c r="L648" s="15">
        <f>F648+H648+J648</f>
        <v/>
      </c>
      <c r="M648" s="18" t="n"/>
    </row>
    <row r="649">
      <c r="A649" s="14" t="inlineStr">
        <is>
          <t>2). 세륜세차시설 운영</t>
        </is>
      </c>
      <c r="B649" s="14" t="inlineStr">
        <is>
          <t>자동세륜기, 34개월</t>
        </is>
      </c>
      <c r="C649" s="15" t="n">
        <v>1</v>
      </c>
      <c r="D649" s="16" t="inlineStr">
        <is>
          <t>개소</t>
        </is>
      </c>
      <c r="E649" s="15" t="n">
        <v>25000938</v>
      </c>
      <c r="F649" s="15">
        <f>E649*C649</f>
        <v/>
      </c>
      <c r="G649" s="15" t="n">
        <v>109379105</v>
      </c>
      <c r="H649" s="15">
        <f>G649*C649</f>
        <v/>
      </c>
      <c r="I649" s="15" t="n">
        <v>0</v>
      </c>
      <c r="J649" s="15">
        <f>I649*C649</f>
        <v/>
      </c>
      <c r="K649" s="15">
        <f>E649+G649+I649</f>
        <v/>
      </c>
      <c r="L649" s="15">
        <f>F649+H649+J649</f>
        <v/>
      </c>
      <c r="M649" s="18" t="n"/>
    </row>
    <row r="650">
      <c r="A650" s="28" t="inlineStr">
        <is>
          <t>바. 폐유저장소</t>
        </is>
      </c>
      <c r="B650" s="28" t="n"/>
      <c r="C650" s="17" t="n"/>
      <c r="D650" s="16" t="n"/>
      <c r="E650" s="17" t="n"/>
      <c r="F650" s="29" t="n"/>
      <c r="G650" s="17" t="n"/>
      <c r="H650" s="29" t="n"/>
      <c r="I650" s="17" t="n"/>
      <c r="J650" s="29" t="n"/>
      <c r="K650" s="17" t="n"/>
      <c r="L650" s="29" t="n"/>
      <c r="M650" s="18" t="n"/>
    </row>
    <row r="651">
      <c r="A651" s="14" t="inlineStr">
        <is>
          <t>1). 폐유류저장소</t>
        </is>
      </c>
      <c r="B651" s="14" t="inlineStr">
        <is>
          <t>2.4MX2.4M</t>
        </is>
      </c>
      <c r="C651" s="15" t="n">
        <v>1</v>
      </c>
      <c r="D651" s="16" t="inlineStr">
        <is>
          <t>개소</t>
        </is>
      </c>
      <c r="E651" s="15" t="n">
        <v>1378728</v>
      </c>
      <c r="F651" s="15">
        <f>E651*C651</f>
        <v/>
      </c>
      <c r="G651" s="15" t="n">
        <v>0</v>
      </c>
      <c r="H651" s="15">
        <f>G651*C651</f>
        <v/>
      </c>
      <c r="I651" s="15" t="n">
        <v>0</v>
      </c>
      <c r="J651" s="15">
        <f>I651*C651</f>
        <v/>
      </c>
      <c r="K651" s="15">
        <f>E651+G651+I651</f>
        <v/>
      </c>
      <c r="L651" s="15">
        <f>F651+H651+J651</f>
        <v/>
      </c>
      <c r="M651" s="18" t="n"/>
    </row>
    <row r="652">
      <c r="A652" s="28" t="inlineStr">
        <is>
          <t>사. 현장사무실</t>
        </is>
      </c>
      <c r="B652" s="28" t="n"/>
      <c r="C652" s="17" t="n"/>
      <c r="D652" s="16" t="n"/>
      <c r="E652" s="17" t="n"/>
      <c r="F652" s="29" t="n"/>
      <c r="G652" s="17" t="n"/>
      <c r="H652" s="29" t="n"/>
      <c r="I652" s="17" t="n"/>
      <c r="J652" s="29" t="n"/>
      <c r="K652" s="17" t="n"/>
      <c r="L652" s="29" t="n"/>
      <c r="M652" s="18" t="n"/>
    </row>
    <row r="653">
      <c r="A653" s="28" t="inlineStr">
        <is>
          <t>1). 가설건물</t>
        </is>
      </c>
      <c r="B653" s="28" t="n"/>
      <c r="C653" s="17" t="n"/>
      <c r="D653" s="16" t="n"/>
      <c r="E653" s="17" t="n"/>
      <c r="F653" s="29" t="n"/>
      <c r="G653" s="17" t="n"/>
      <c r="H653" s="29" t="n"/>
      <c r="I653" s="17" t="n"/>
      <c r="J653" s="29" t="n"/>
      <c r="K653" s="17" t="n"/>
      <c r="L653" s="29" t="n"/>
      <c r="M653" s="18" t="n"/>
    </row>
    <row r="654">
      <c r="A654" s="14" t="inlineStr">
        <is>
          <t>가). 감리감독자 사무실</t>
        </is>
      </c>
      <c r="B654" s="14" t="inlineStr">
        <is>
          <t>조립식, 34개월</t>
        </is>
      </c>
      <c r="C654" s="15" t="n">
        <v>100</v>
      </c>
      <c r="D654" s="16" t="inlineStr">
        <is>
          <t>㎡</t>
        </is>
      </c>
      <c r="E654" s="15" t="n">
        <v>0</v>
      </c>
      <c r="F654" s="15">
        <f>E654*C654</f>
        <v/>
      </c>
      <c r="G654" s="15" t="n">
        <v>0</v>
      </c>
      <c r="H654" s="15">
        <f>G654*C654</f>
        <v/>
      </c>
      <c r="I654" s="15" t="n">
        <v>200656</v>
      </c>
      <c r="J654" s="15">
        <f>I654*C654</f>
        <v/>
      </c>
      <c r="K654" s="15">
        <f>E654+G654+I654</f>
        <v/>
      </c>
      <c r="L654" s="15">
        <f>F654+H654+J654</f>
        <v/>
      </c>
      <c r="M654" s="18" t="n"/>
    </row>
    <row r="655">
      <c r="A655" s="14" t="inlineStr">
        <is>
          <t>나). 공사도급자 사무실</t>
        </is>
      </c>
      <c r="B655" s="14" t="inlineStr">
        <is>
          <t>조립식, 34개월</t>
        </is>
      </c>
      <c r="C655" s="15" t="n">
        <v>130</v>
      </c>
      <c r="D655" s="16" t="inlineStr">
        <is>
          <t>㎡</t>
        </is>
      </c>
      <c r="E655" s="15" t="n">
        <v>0</v>
      </c>
      <c r="F655" s="15">
        <f>E655*C655</f>
        <v/>
      </c>
      <c r="G655" s="15" t="n">
        <v>0</v>
      </c>
      <c r="H655" s="15">
        <f>G655*C655</f>
        <v/>
      </c>
      <c r="I655" s="15" t="n">
        <v>200656</v>
      </c>
      <c r="J655" s="15">
        <f>I655*C655</f>
        <v/>
      </c>
      <c r="K655" s="15">
        <f>E655+G655+I655</f>
        <v/>
      </c>
      <c r="L655" s="15">
        <f>F655+H655+J655</f>
        <v/>
      </c>
      <c r="M655" s="18" t="n"/>
    </row>
    <row r="656">
      <c r="A656" s="14" t="inlineStr">
        <is>
          <t>다). 창고</t>
        </is>
      </c>
      <c r="B656" s="14" t="inlineStr">
        <is>
          <t>조립식, 34개월</t>
        </is>
      </c>
      <c r="C656" s="15" t="n">
        <v>80</v>
      </c>
      <c r="D656" s="16" t="inlineStr">
        <is>
          <t>㎡</t>
        </is>
      </c>
      <c r="E656" s="15" t="n">
        <v>0</v>
      </c>
      <c r="F656" s="15">
        <f>E656*C656</f>
        <v/>
      </c>
      <c r="G656" s="15" t="n">
        <v>0</v>
      </c>
      <c r="H656" s="15">
        <f>G656*C656</f>
        <v/>
      </c>
      <c r="I656" s="15" t="n">
        <v>200656</v>
      </c>
      <c r="J656" s="15">
        <f>I656*C656</f>
        <v/>
      </c>
      <c r="K656" s="15">
        <f>E656+G656+I656</f>
        <v/>
      </c>
      <c r="L656" s="15">
        <f>F656+H656+J656</f>
        <v/>
      </c>
      <c r="M656" s="18" t="n"/>
    </row>
    <row r="657">
      <c r="A657" s="14" t="inlineStr">
        <is>
          <t>라). 시험실</t>
        </is>
      </c>
      <c r="B657" s="14" t="inlineStr">
        <is>
          <t>조립식, 34개월</t>
        </is>
      </c>
      <c r="C657" s="15" t="n">
        <v>20</v>
      </c>
      <c r="D657" s="16" t="inlineStr">
        <is>
          <t>㎡</t>
        </is>
      </c>
      <c r="E657" s="15" t="n">
        <v>0</v>
      </c>
      <c r="F657" s="15">
        <f>E657*C657</f>
        <v/>
      </c>
      <c r="G657" s="15" t="n">
        <v>0</v>
      </c>
      <c r="H657" s="15">
        <f>G657*C657</f>
        <v/>
      </c>
      <c r="I657" s="15" t="n">
        <v>200656</v>
      </c>
      <c r="J657" s="15">
        <f>I657*C657</f>
        <v/>
      </c>
      <c r="K657" s="15">
        <f>E657+G657+I657</f>
        <v/>
      </c>
      <c r="L657" s="15">
        <f>F657+H657+J657</f>
        <v/>
      </c>
      <c r="M657" s="18" t="n"/>
    </row>
    <row r="658">
      <c r="A658" s="14" t="inlineStr">
        <is>
          <t>마). 도급자 숙소</t>
        </is>
      </c>
      <c r="B658" s="14" t="inlineStr">
        <is>
          <t>조립식, 34개월</t>
        </is>
      </c>
      <c r="C658" s="15" t="n">
        <v>100</v>
      </c>
      <c r="D658" s="16" t="inlineStr">
        <is>
          <t>㎡</t>
        </is>
      </c>
      <c r="E658" s="15" t="n">
        <v>0</v>
      </c>
      <c r="F658" s="15">
        <f>E658*C658</f>
        <v/>
      </c>
      <c r="G658" s="15" t="n">
        <v>0</v>
      </c>
      <c r="H658" s="15">
        <f>G658*C658</f>
        <v/>
      </c>
      <c r="I658" s="15" t="n">
        <v>200656</v>
      </c>
      <c r="J658" s="15">
        <f>I658*C658</f>
        <v/>
      </c>
      <c r="K658" s="15">
        <f>E658+G658+I658</f>
        <v/>
      </c>
      <c r="L658" s="15">
        <f>F658+H658+J658</f>
        <v/>
      </c>
      <c r="M658" s="18" t="n"/>
    </row>
    <row r="659">
      <c r="A659" s="14" t="inlineStr">
        <is>
          <t>바). 복지시설</t>
        </is>
      </c>
      <c r="B659" s="14" t="inlineStr">
        <is>
          <t>조립식, 34개월</t>
        </is>
      </c>
      <c r="C659" s="15" t="n">
        <v>120</v>
      </c>
      <c r="D659" s="16" t="inlineStr">
        <is>
          <t>㎡</t>
        </is>
      </c>
      <c r="E659" s="15" t="n">
        <v>0</v>
      </c>
      <c r="F659" s="15">
        <f>E659*C659</f>
        <v/>
      </c>
      <c r="G659" s="15" t="n">
        <v>0</v>
      </c>
      <c r="H659" s="15">
        <f>G659*C659</f>
        <v/>
      </c>
      <c r="I659" s="15" t="n">
        <v>200656</v>
      </c>
      <c r="J659" s="15">
        <f>I659*C659</f>
        <v/>
      </c>
      <c r="K659" s="15">
        <f>E659+G659+I659</f>
        <v/>
      </c>
      <c r="L659" s="15">
        <f>F659+H659+J659</f>
        <v/>
      </c>
      <c r="M659" s="18" t="n"/>
    </row>
    <row r="660">
      <c r="A660" s="14" t="inlineStr">
        <is>
          <t>사). 오수정화조</t>
        </is>
      </c>
      <c r="B660" s="14" t="inlineStr">
        <is>
          <t>8PPM, 50인용</t>
        </is>
      </c>
      <c r="C660" s="15" t="n">
        <v>1</v>
      </c>
      <c r="D660" s="16" t="inlineStr">
        <is>
          <t>개소</t>
        </is>
      </c>
      <c r="E660" s="15" t="n">
        <v>0</v>
      </c>
      <c r="F660" s="15">
        <f>E660*C660</f>
        <v/>
      </c>
      <c r="G660" s="15" t="n">
        <v>0</v>
      </c>
      <c r="H660" s="15">
        <f>G660*C660</f>
        <v/>
      </c>
      <c r="I660" s="15" t="n">
        <v>2508199</v>
      </c>
      <c r="J660" s="15">
        <f>I660*C660</f>
        <v/>
      </c>
      <c r="K660" s="15">
        <f>E660+G660+I660</f>
        <v/>
      </c>
      <c r="L660" s="15">
        <f>F660+H660+J660</f>
        <v/>
      </c>
      <c r="M660" s="18" t="n"/>
    </row>
    <row r="661">
      <c r="A661" s="28" t="inlineStr">
        <is>
          <t>아. 공사현장살수</t>
        </is>
      </c>
      <c r="B661" s="28" t="n"/>
      <c r="C661" s="17" t="n"/>
      <c r="D661" s="16" t="n"/>
      <c r="E661" s="17" t="n"/>
      <c r="F661" s="29" t="n"/>
      <c r="G661" s="17" t="n"/>
      <c r="H661" s="29" t="n"/>
      <c r="I661" s="17" t="n"/>
      <c r="J661" s="29" t="n"/>
      <c r="K661" s="17" t="n"/>
      <c r="L661" s="29" t="n"/>
      <c r="M661" s="18" t="n"/>
    </row>
    <row r="662">
      <c r="A662" s="14" t="inlineStr">
        <is>
          <t>1). 살수(물탱크 16000ℓ)</t>
        </is>
      </c>
      <c r="B662" s="14" t="inlineStr">
        <is>
          <t>32개월</t>
        </is>
      </c>
      <c r="C662" s="15" t="n">
        <v>64150</v>
      </c>
      <c r="D662" s="16" t="inlineStr">
        <is>
          <t>a</t>
        </is>
      </c>
      <c r="E662" s="15" t="n">
        <v>0</v>
      </c>
      <c r="F662" s="15">
        <f>E662*C662</f>
        <v/>
      </c>
      <c r="G662" s="15" t="n">
        <v>0</v>
      </c>
      <c r="H662" s="15">
        <f>G662*C662</f>
        <v/>
      </c>
      <c r="I662" s="15" t="n">
        <v>2127</v>
      </c>
      <c r="J662" s="15">
        <f>I662*C662</f>
        <v/>
      </c>
      <c r="K662" s="15">
        <f>E662+G662+I662</f>
        <v/>
      </c>
      <c r="L662" s="15">
        <f>F662+H662+J662</f>
        <v/>
      </c>
      <c r="M662" s="18" t="n"/>
    </row>
    <row r="663">
      <c r="A663" s="28" t="inlineStr">
        <is>
          <t>자). 소음측정기</t>
        </is>
      </c>
      <c r="B663" s="28" t="n"/>
      <c r="C663" s="17" t="n"/>
      <c r="D663" s="16" t="n"/>
      <c r="E663" s="17" t="n"/>
      <c r="F663" s="29" t="n"/>
      <c r="G663" s="17" t="n"/>
      <c r="H663" s="29" t="n"/>
      <c r="I663" s="17" t="n"/>
      <c r="J663" s="29" t="n"/>
      <c r="K663" s="17" t="n"/>
      <c r="L663" s="29" t="n"/>
      <c r="M663" s="18" t="n"/>
    </row>
    <row r="664">
      <c r="A664" s="14" t="inlineStr">
        <is>
          <t>1). 전광판 소음측정기</t>
        </is>
      </c>
      <c r="B664" s="14" t="inlineStr">
        <is>
          <t>800x1200, 현장설치도</t>
        </is>
      </c>
      <c r="C664" s="15" t="n">
        <v>1</v>
      </c>
      <c r="D664" s="16" t="inlineStr">
        <is>
          <t>개소</t>
        </is>
      </c>
      <c r="E664" s="15" t="n">
        <v>0</v>
      </c>
      <c r="F664" s="15">
        <f>E664*C664</f>
        <v/>
      </c>
      <c r="G664" s="15" t="n">
        <v>0</v>
      </c>
      <c r="H664" s="15">
        <f>G664*C664</f>
        <v/>
      </c>
      <c r="I664" s="15" t="n">
        <v>5016398</v>
      </c>
      <c r="J664" s="15">
        <f>I664*C664</f>
        <v/>
      </c>
      <c r="K664" s="15">
        <f>E664+G664+I664</f>
        <v/>
      </c>
      <c r="L664" s="15">
        <f>F664+H664+J664</f>
        <v/>
      </c>
      <c r="M664" s="18" t="n"/>
    </row>
    <row r="665">
      <c r="A665" s="28" t="inlineStr">
        <is>
          <t>차. 시공상세도</t>
        </is>
      </c>
      <c r="B665" s="28" t="n"/>
      <c r="C665" s="17" t="n"/>
      <c r="D665" s="16" t="n"/>
      <c r="E665" s="17" t="n"/>
      <c r="F665" s="29" t="n"/>
      <c r="G665" s="17" t="n"/>
      <c r="H665" s="29" t="n"/>
      <c r="I665" s="17" t="n"/>
      <c r="J665" s="29" t="n"/>
      <c r="K665" s="17" t="n"/>
      <c r="L665" s="29" t="n"/>
      <c r="M665" s="18" t="n"/>
    </row>
    <row r="666">
      <c r="A666" s="14" t="inlineStr">
        <is>
          <t>1). 시공상세도</t>
        </is>
      </c>
      <c r="B666" s="14" t="inlineStr">
        <is>
          <t>단순</t>
        </is>
      </c>
      <c r="C666" s="15" t="n">
        <v>38</v>
      </c>
      <c r="D666" s="16" t="inlineStr">
        <is>
          <t>매</t>
        </is>
      </c>
      <c r="E666" s="15" t="n">
        <v>0</v>
      </c>
      <c r="F666" s="15">
        <f>E666*C666</f>
        <v/>
      </c>
      <c r="G666" s="15" t="n">
        <v>0</v>
      </c>
      <c r="H666" s="15">
        <f>G666*C666</f>
        <v/>
      </c>
      <c r="I666" s="15" t="n">
        <v>10032</v>
      </c>
      <c r="J666" s="15">
        <f>I666*C666</f>
        <v/>
      </c>
      <c r="K666" s="15">
        <f>E666+G666+I666</f>
        <v/>
      </c>
      <c r="L666" s="15">
        <f>F666+H666+J666</f>
        <v/>
      </c>
      <c r="M666" s="18" t="n"/>
    </row>
    <row r="667">
      <c r="A667" s="14" t="inlineStr">
        <is>
          <t>2). 시공상세도</t>
        </is>
      </c>
      <c r="B667" s="14" t="inlineStr">
        <is>
          <t>보통</t>
        </is>
      </c>
      <c r="C667" s="15" t="n">
        <v>70</v>
      </c>
      <c r="D667" s="16" t="inlineStr">
        <is>
          <t>매</t>
        </is>
      </c>
      <c r="E667" s="15" t="n">
        <v>0</v>
      </c>
      <c r="F667" s="15">
        <f>E667*C667</f>
        <v/>
      </c>
      <c r="G667" s="15" t="n">
        <v>0</v>
      </c>
      <c r="H667" s="15">
        <f>G667*C667</f>
        <v/>
      </c>
      <c r="I667" s="15" t="n">
        <v>10032</v>
      </c>
      <c r="J667" s="15">
        <f>I667*C667</f>
        <v/>
      </c>
      <c r="K667" s="15">
        <f>E667+G667+I667</f>
        <v/>
      </c>
      <c r="L667" s="15">
        <f>F667+H667+J667</f>
        <v/>
      </c>
      <c r="M667" s="18" t="n"/>
    </row>
    <row r="668">
      <c r="A668" s="14" t="inlineStr">
        <is>
          <t>3). 시공상세도</t>
        </is>
      </c>
      <c r="B668" s="14" t="inlineStr">
        <is>
          <t>복잡</t>
        </is>
      </c>
      <c r="C668" s="15" t="n">
        <v>11</v>
      </c>
      <c r="D668" s="16" t="inlineStr">
        <is>
          <t>매</t>
        </is>
      </c>
      <c r="E668" s="15" t="n">
        <v>0</v>
      </c>
      <c r="F668" s="15">
        <f>E668*C668</f>
        <v/>
      </c>
      <c r="G668" s="15" t="n">
        <v>0</v>
      </c>
      <c r="H668" s="15">
        <f>G668*C668</f>
        <v/>
      </c>
      <c r="I668" s="15" t="n">
        <v>10032</v>
      </c>
      <c r="J668" s="15">
        <f>I668*C668</f>
        <v/>
      </c>
      <c r="K668" s="15">
        <f>E668+G668+I668</f>
        <v/>
      </c>
      <c r="L668" s="15">
        <f>F668+H668+J668</f>
        <v/>
      </c>
      <c r="M668" s="18" t="n"/>
    </row>
    <row r="669">
      <c r="A669" s="28" t="inlineStr">
        <is>
          <t>카. 주요자재 및 운반비</t>
        </is>
      </c>
      <c r="B669" s="28" t="n"/>
      <c r="C669" s="17" t="n"/>
      <c r="D669" s="16" t="n"/>
      <c r="E669" s="17" t="n"/>
      <c r="F669" s="29" t="n"/>
      <c r="G669" s="17" t="n"/>
      <c r="H669" s="29" t="n"/>
      <c r="I669" s="17" t="n"/>
      <c r="J669" s="29" t="n"/>
      <c r="K669" s="17" t="n"/>
      <c r="L669" s="29" t="n"/>
      <c r="M669" s="18" t="n"/>
    </row>
    <row r="670">
      <c r="A670" s="28" t="inlineStr">
        <is>
          <t>1). 골재</t>
        </is>
      </c>
      <c r="B670" s="28" t="n"/>
      <c r="C670" s="17" t="n"/>
      <c r="D670" s="16" t="n"/>
      <c r="E670" s="17" t="n"/>
      <c r="F670" s="29" t="n"/>
      <c r="G670" s="17" t="n"/>
      <c r="H670" s="29" t="n"/>
      <c r="I670" s="17" t="n"/>
      <c r="J670" s="29" t="n"/>
      <c r="K670" s="17" t="n"/>
      <c r="L670" s="29" t="n"/>
      <c r="M670" s="18" t="n"/>
    </row>
    <row r="671">
      <c r="A671" s="14" t="inlineStr">
        <is>
          <t>가). 혼합골재</t>
        </is>
      </c>
      <c r="B671" s="14" t="inlineStr">
        <is>
          <t>Φ40mm, 현장도착도</t>
        </is>
      </c>
      <c r="C671" s="15" t="n">
        <v>57</v>
      </c>
      <c r="D671" s="16" t="inlineStr">
        <is>
          <t>㎥</t>
        </is>
      </c>
      <c r="E671" s="15" t="n">
        <v>16545</v>
      </c>
      <c r="F671" s="15">
        <f>E671*C671</f>
        <v/>
      </c>
      <c r="G671" s="15" t="n">
        <v>0</v>
      </c>
      <c r="H671" s="15">
        <f>G671*C671</f>
        <v/>
      </c>
      <c r="I671" s="15" t="n">
        <v>0</v>
      </c>
      <c r="J671" s="15">
        <f>I671*C671</f>
        <v/>
      </c>
      <c r="K671" s="15">
        <f>E671+G671+I671</f>
        <v/>
      </c>
      <c r="L671" s="15">
        <f>F671+H671+J671</f>
        <v/>
      </c>
      <c r="M671" s="18" t="n"/>
    </row>
    <row r="672">
      <c r="A672" s="28" t="inlineStr">
        <is>
          <t>2). 철근</t>
        </is>
      </c>
      <c r="B672" s="28" t="n"/>
      <c r="C672" s="17" t="n"/>
      <c r="D672" s="16" t="n"/>
      <c r="E672" s="17" t="n"/>
      <c r="F672" s="29" t="n"/>
      <c r="G672" s="17" t="n"/>
      <c r="H672" s="29" t="n"/>
      <c r="I672" s="17" t="n"/>
      <c r="J672" s="29" t="n"/>
      <c r="K672" s="17" t="n"/>
      <c r="L672" s="29" t="n"/>
      <c r="M672" s="18" t="n"/>
    </row>
    <row r="673">
      <c r="A673" s="14" t="inlineStr">
        <is>
          <t>가). 이형철근</t>
        </is>
      </c>
      <c r="B673" s="14" t="inlineStr">
        <is>
          <t>D13M/M   0.995KG/M  SD30A</t>
        </is>
      </c>
      <c r="C673" s="61" t="n">
        <v>0.872</v>
      </c>
      <c r="D673" s="16" t="inlineStr">
        <is>
          <t>Ton</t>
        </is>
      </c>
      <c r="E673" s="15" t="n">
        <v>846006</v>
      </c>
      <c r="F673" s="15">
        <f>E673*C673</f>
        <v/>
      </c>
      <c r="G673" s="15" t="n">
        <v>0</v>
      </c>
      <c r="H673" s="15">
        <f>G673*C673</f>
        <v/>
      </c>
      <c r="I673" s="15" t="n">
        <v>0</v>
      </c>
      <c r="J673" s="15">
        <f>I673*C673</f>
        <v/>
      </c>
      <c r="K673" s="15">
        <f>E673+G673+I673</f>
        <v/>
      </c>
      <c r="L673" s="15">
        <f>F673+H673+J673</f>
        <v/>
      </c>
      <c r="M673" s="18" t="n"/>
    </row>
    <row r="674">
      <c r="A674" s="14" t="inlineStr">
        <is>
          <t>나). 철근운반비</t>
        </is>
      </c>
      <c r="B674" s="14" t="inlineStr">
        <is>
          <t>L=10Km</t>
        </is>
      </c>
      <c r="C674" s="61" t="n">
        <v>0.872</v>
      </c>
      <c r="D674" s="16" t="inlineStr">
        <is>
          <t>ton</t>
        </is>
      </c>
      <c r="E674" s="15" t="n">
        <v>0</v>
      </c>
      <c r="F674" s="15">
        <f>E674*C674</f>
        <v/>
      </c>
      <c r="G674" s="15" t="n">
        <v>0</v>
      </c>
      <c r="H674" s="15">
        <f>G674*C674</f>
        <v/>
      </c>
      <c r="I674" s="15" t="n">
        <v>20065</v>
      </c>
      <c r="J674" s="15">
        <f>I674*C674</f>
        <v/>
      </c>
      <c r="K674" s="15">
        <f>E674+G674+I674</f>
        <v/>
      </c>
      <c r="L674" s="15">
        <f>F674+H674+J674</f>
        <v/>
      </c>
      <c r="M674" s="18" t="n"/>
    </row>
    <row r="675">
      <c r="A675" s="14" t="inlineStr">
        <is>
          <t>다). 고철(고재)</t>
        </is>
      </c>
      <c r="B675" s="14" t="inlineStr">
        <is>
          <t>중량A</t>
        </is>
      </c>
      <c r="C675" s="61" t="n">
        <v>0.026</v>
      </c>
      <c r="D675" s="16" t="inlineStr">
        <is>
          <t>Ton</t>
        </is>
      </c>
      <c r="E675" s="15" t="n">
        <v>-364000</v>
      </c>
      <c r="F675" s="15">
        <f>E675*C675</f>
        <v/>
      </c>
      <c r="G675" s="15" t="n">
        <v>0</v>
      </c>
      <c r="H675" s="15">
        <f>G675*C675</f>
        <v/>
      </c>
      <c r="I675" s="15" t="n">
        <v>0</v>
      </c>
      <c r="J675" s="15">
        <f>I675*C675</f>
        <v/>
      </c>
      <c r="K675" s="15">
        <f>E675+G675+I675</f>
        <v/>
      </c>
      <c r="L675" s="15">
        <f>F675+H675+J675</f>
        <v/>
      </c>
      <c r="M675" s="18" t="n"/>
    </row>
    <row r="676">
      <c r="A676" s="28" t="inlineStr">
        <is>
          <t>3). 레미콘</t>
        </is>
      </c>
      <c r="B676" s="28" t="n"/>
      <c r="C676" s="17" t="n"/>
      <c r="D676" s="16" t="n"/>
      <c r="E676" s="17" t="n"/>
      <c r="F676" s="29" t="n"/>
      <c r="G676" s="17" t="n"/>
      <c r="H676" s="29" t="n"/>
      <c r="I676" s="17" t="n"/>
      <c r="J676" s="29" t="n"/>
      <c r="K676" s="17" t="n"/>
      <c r="L676" s="29" t="n"/>
      <c r="M676" s="18" t="n"/>
    </row>
    <row r="677">
      <c r="A677" s="14" t="inlineStr">
        <is>
          <t>가). 레미콘</t>
        </is>
      </c>
      <c r="B677" s="14" t="inlineStr">
        <is>
          <t>25-21-15(Mpa)</t>
        </is>
      </c>
      <c r="C677" s="15" t="n">
        <v>51</v>
      </c>
      <c r="D677" s="16" t="inlineStr">
        <is>
          <t>㎥</t>
        </is>
      </c>
      <c r="E677" s="15" t="n">
        <v>84654</v>
      </c>
      <c r="F677" s="15">
        <f>E677*C677</f>
        <v/>
      </c>
      <c r="G677" s="15" t="n">
        <v>0</v>
      </c>
      <c r="H677" s="15">
        <f>G677*C677</f>
        <v/>
      </c>
      <c r="I677" s="15" t="n">
        <v>0</v>
      </c>
      <c r="J677" s="15">
        <f>I677*C677</f>
        <v/>
      </c>
      <c r="K677" s="15">
        <f>E677+G677+I677</f>
        <v/>
      </c>
      <c r="L677" s="15">
        <f>F677+H677+J677</f>
        <v/>
      </c>
      <c r="M677" s="18" t="n"/>
    </row>
    <row r="678">
      <c r="A678" s="14" t="inlineStr">
        <is>
          <t>나). 레미콘</t>
        </is>
      </c>
      <c r="B678" s="14" t="inlineStr">
        <is>
          <t>25-18- 8(Mpa)</t>
        </is>
      </c>
      <c r="C678" s="15" t="n">
        <v>109</v>
      </c>
      <c r="D678" s="16" t="inlineStr">
        <is>
          <t>㎥</t>
        </is>
      </c>
      <c r="E678" s="15" t="n">
        <v>79231</v>
      </c>
      <c r="F678" s="15">
        <f>E678*C678</f>
        <v/>
      </c>
      <c r="G678" s="15" t="n">
        <v>0</v>
      </c>
      <c r="H678" s="15">
        <f>G678*C678</f>
        <v/>
      </c>
      <c r="I678" s="15" t="n">
        <v>0</v>
      </c>
      <c r="J678" s="15">
        <f>I678*C678</f>
        <v/>
      </c>
      <c r="K678" s="15">
        <f>E678+G678+I678</f>
        <v/>
      </c>
      <c r="L678" s="15">
        <f>F678+H678+J678</f>
        <v/>
      </c>
      <c r="M678" s="18" t="n"/>
    </row>
    <row r="679">
      <c r="A679" s="28" t="inlineStr">
        <is>
          <t>4). 흄관</t>
        </is>
      </c>
      <c r="B679" s="28" t="n"/>
      <c r="C679" s="17" t="n"/>
      <c r="D679" s="16" t="n"/>
      <c r="E679" s="17" t="n"/>
      <c r="F679" s="29" t="n"/>
      <c r="G679" s="17" t="n"/>
      <c r="H679" s="29" t="n"/>
      <c r="I679" s="17" t="n"/>
      <c r="J679" s="29" t="n"/>
      <c r="K679" s="17" t="n"/>
      <c r="L679" s="29" t="n"/>
      <c r="M679" s="18" t="n"/>
    </row>
    <row r="680">
      <c r="A680" s="14" t="inlineStr">
        <is>
          <t>가). 원심력철근콘크리트관(보통2종)</t>
        </is>
      </c>
      <c r="B680" s="14" t="inlineStr">
        <is>
          <t>700㎜ (소켓식,B형)</t>
        </is>
      </c>
      <c r="C680" s="15" t="n">
        <v>9</v>
      </c>
      <c r="D680" s="16" t="inlineStr">
        <is>
          <t>ｍ</t>
        </is>
      </c>
      <c r="E680" s="15" t="n">
        <v>69764</v>
      </c>
      <c r="F680" s="15">
        <f>E680*C680</f>
        <v/>
      </c>
      <c r="G680" s="15" t="n">
        <v>0</v>
      </c>
      <c r="H680" s="15">
        <f>G680*C680</f>
        <v/>
      </c>
      <c r="I680" s="15" t="n">
        <v>0</v>
      </c>
      <c r="J680" s="15">
        <f>I680*C680</f>
        <v/>
      </c>
      <c r="K680" s="15">
        <f>E680+G680+I680</f>
        <v/>
      </c>
      <c r="L680" s="15">
        <f>F680+H680+J680</f>
        <v/>
      </c>
      <c r="M680" s="18" t="n"/>
    </row>
    <row r="681">
      <c r="A681" s="14" t="inlineStr">
        <is>
          <t>나). 흄관하차비</t>
        </is>
      </c>
      <c r="B681" s="14" t="inlineStr">
        <is>
          <t>Ø 700 MM - 차상도</t>
        </is>
      </c>
      <c r="C681" s="15" t="n">
        <v>4</v>
      </c>
      <c r="D681" s="16" t="inlineStr">
        <is>
          <t>본</t>
        </is>
      </c>
      <c r="E681" s="15" t="n">
        <v>0</v>
      </c>
      <c r="F681" s="15">
        <f>E681*C681</f>
        <v/>
      </c>
      <c r="G681" s="15" t="n">
        <v>0</v>
      </c>
      <c r="H681" s="15">
        <f>G681*C681</f>
        <v/>
      </c>
      <c r="I681" s="15" t="n">
        <v>6693</v>
      </c>
      <c r="J681" s="15">
        <f>I681*C681</f>
        <v/>
      </c>
      <c r="K681" s="15">
        <f>E681+G681+I681</f>
        <v/>
      </c>
      <c r="L681" s="15">
        <f>F681+H681+J681</f>
        <v/>
      </c>
      <c r="M681" s="18" t="n"/>
    </row>
    <row r="682">
      <c r="A682" s="28" t="inlineStr">
        <is>
          <t>5). 운반비</t>
        </is>
      </c>
      <c r="B682" s="28" t="n"/>
      <c r="C682" s="17" t="n"/>
      <c r="D682" s="16" t="n"/>
      <c r="E682" s="17" t="n"/>
      <c r="F682" s="29" t="n"/>
      <c r="G682" s="17" t="n"/>
      <c r="H682" s="29" t="n"/>
      <c r="I682" s="17" t="n"/>
      <c r="J682" s="29" t="n"/>
      <c r="K682" s="17" t="n"/>
      <c r="L682" s="29" t="n"/>
      <c r="M682" s="18" t="n"/>
    </row>
    <row r="683">
      <c r="A683" s="25" t="inlineStr">
        <is>
          <t>8. 하수처리장</t>
        </is>
      </c>
      <c r="B683" s="26" t="n"/>
      <c r="C683" s="21" t="n"/>
      <c r="D683" s="22" t="n"/>
      <c r="E683" s="21" t="n"/>
      <c r="F683" s="27" t="n"/>
      <c r="G683" s="21" t="n"/>
      <c r="H683" s="27" t="n"/>
      <c r="I683" s="21" t="n"/>
      <c r="J683" s="27" t="n"/>
      <c r="K683" s="21" t="n"/>
      <c r="L683" s="27" t="n"/>
      <c r="M683" s="24" t="n"/>
    </row>
    <row r="684">
      <c r="A684" s="28" t="inlineStr">
        <is>
          <t>가. 토목공사</t>
        </is>
      </c>
      <c r="B684" s="28" t="n"/>
      <c r="C684" s="17" t="n"/>
      <c r="D684" s="16" t="n"/>
      <c r="E684" s="17" t="n"/>
      <c r="F684" s="29" t="n"/>
      <c r="G684" s="17" t="n"/>
      <c r="H684" s="29" t="n"/>
      <c r="I684" s="17" t="n"/>
      <c r="J684" s="29" t="n"/>
      <c r="K684" s="17" t="n"/>
      <c r="L684" s="29" t="n"/>
      <c r="M684" s="18" t="n"/>
    </row>
    <row r="685">
      <c r="A685" s="28" t="inlineStr">
        <is>
          <t>1). 토공</t>
        </is>
      </c>
      <c r="B685" s="28" t="n"/>
      <c r="C685" s="17" t="n"/>
      <c r="D685" s="16" t="n"/>
      <c r="E685" s="17" t="n"/>
      <c r="F685" s="29" t="n"/>
      <c r="G685" s="17" t="n"/>
      <c r="H685" s="29" t="n"/>
      <c r="I685" s="17" t="n"/>
      <c r="J685" s="29" t="n"/>
      <c r="K685" s="17" t="n"/>
      <c r="L685" s="29" t="n"/>
      <c r="M685" s="18" t="n"/>
    </row>
    <row r="686">
      <c r="A686" s="14" t="inlineStr">
        <is>
          <t>가). 터파기(토사)</t>
        </is>
      </c>
      <c r="B686" s="14" t="inlineStr">
        <is>
          <t>TYPE-1, 백호1.0, 기계100%</t>
        </is>
      </c>
      <c r="C686" s="15" t="n">
        <v>397</v>
      </c>
      <c r="D686" s="16" t="inlineStr">
        <is>
          <t>㎥</t>
        </is>
      </c>
      <c r="E686" s="15" t="n">
        <v>0</v>
      </c>
      <c r="F686" s="15">
        <f>E686*C686</f>
        <v/>
      </c>
      <c r="G686" s="15" t="n">
        <v>0</v>
      </c>
      <c r="H686" s="15">
        <f>G686*C686</f>
        <v/>
      </c>
      <c r="I686" s="15" t="n">
        <v>1682</v>
      </c>
      <c r="J686" s="15">
        <f>I686*C686</f>
        <v/>
      </c>
      <c r="K686" s="15">
        <f>E686+G686+I686</f>
        <v/>
      </c>
      <c r="L686" s="15">
        <f>F686+H686+J686</f>
        <v/>
      </c>
      <c r="M686" s="18" t="n"/>
    </row>
    <row r="687">
      <c r="A687" s="14" t="inlineStr">
        <is>
          <t>나). 뒤채움 및 다짐</t>
        </is>
      </c>
      <c r="B687" s="14" t="inlineStr">
        <is>
          <t>대형장비</t>
        </is>
      </c>
      <c r="C687" s="15" t="n">
        <v>264</v>
      </c>
      <c r="D687" s="16" t="inlineStr">
        <is>
          <t>㎥</t>
        </is>
      </c>
      <c r="E687" s="15" t="n">
        <v>0</v>
      </c>
      <c r="F687" s="15">
        <f>E687*C687</f>
        <v/>
      </c>
      <c r="G687" s="15" t="n">
        <v>2284</v>
      </c>
      <c r="H687" s="15">
        <f>G687*C687</f>
        <v/>
      </c>
      <c r="I687" s="15" t="n">
        <v>4759</v>
      </c>
      <c r="J687" s="15">
        <f>I687*C687</f>
        <v/>
      </c>
      <c r="K687" s="15">
        <f>E687+G687+I687</f>
        <v/>
      </c>
      <c r="L687" s="15">
        <f>F687+H687+J687</f>
        <v/>
      </c>
      <c r="M687" s="18" t="n"/>
    </row>
    <row r="688">
      <c r="A688" s="28" t="inlineStr">
        <is>
          <t>2). 구조물공</t>
        </is>
      </c>
      <c r="B688" s="28" t="n"/>
      <c r="C688" s="17" t="n"/>
      <c r="D688" s="16" t="n"/>
      <c r="E688" s="17" t="n"/>
      <c r="F688" s="29" t="n"/>
      <c r="G688" s="17" t="n"/>
      <c r="H688" s="29" t="n"/>
      <c r="I688" s="17" t="n"/>
      <c r="J688" s="29" t="n"/>
      <c r="K688" s="17" t="n"/>
      <c r="L688" s="29" t="n"/>
      <c r="M688" s="18" t="n"/>
    </row>
    <row r="689">
      <c r="A689" s="14" t="inlineStr">
        <is>
          <t>가). 콘크리트타설(펌프차,철근)</t>
        </is>
      </c>
      <c r="B689" s="14" t="inlineStr">
        <is>
          <t>S:15cm, TYPE-2</t>
        </is>
      </c>
      <c r="C689" s="15" t="n">
        <v>110</v>
      </c>
      <c r="D689" s="16" t="inlineStr">
        <is>
          <t>㎥</t>
        </is>
      </c>
      <c r="E689" s="15" t="n">
        <v>0</v>
      </c>
      <c r="F689" s="15">
        <f>E689*C689</f>
        <v/>
      </c>
      <c r="G689" s="15" t="n">
        <v>12788</v>
      </c>
      <c r="H689" s="15">
        <f>G689*C689</f>
        <v/>
      </c>
      <c r="I689" s="15" t="n">
        <v>13008</v>
      </c>
      <c r="J689" s="15">
        <f>I689*C689</f>
        <v/>
      </c>
      <c r="K689" s="15">
        <f>E689+G689+I689</f>
        <v/>
      </c>
      <c r="L689" s="15">
        <f>F689+H689+J689</f>
        <v/>
      </c>
      <c r="M689" s="18" t="n"/>
    </row>
    <row r="690">
      <c r="A690" s="14" t="inlineStr">
        <is>
          <t>나). 콘크리트타설</t>
        </is>
      </c>
      <c r="B690" s="14" t="inlineStr">
        <is>
          <t>장비사용, 무근구조물</t>
        </is>
      </c>
      <c r="C690" s="15" t="n">
        <v>6</v>
      </c>
      <c r="D690" s="16" t="inlineStr">
        <is>
          <t>㎥</t>
        </is>
      </c>
      <c r="E690" s="15" t="n">
        <v>0</v>
      </c>
      <c r="F690" s="15">
        <f>E690*C690</f>
        <v/>
      </c>
      <c r="G690" s="15" t="n">
        <v>11875</v>
      </c>
      <c r="H690" s="15">
        <f>G690*C690</f>
        <v/>
      </c>
      <c r="I690" s="15" t="n">
        <v>11634</v>
      </c>
      <c r="J690" s="15">
        <f>I690*C690</f>
        <v/>
      </c>
      <c r="K690" s="15">
        <f>E690+G690+I690</f>
        <v/>
      </c>
      <c r="L690" s="15">
        <f>F690+H690+J690</f>
        <v/>
      </c>
      <c r="M690" s="18" t="n"/>
    </row>
    <row r="691">
      <c r="A691" s="14" t="inlineStr">
        <is>
          <t>다). 거푸집</t>
        </is>
      </c>
      <c r="B691" s="14" t="inlineStr">
        <is>
          <t>합판3회(복잡)</t>
        </is>
      </c>
      <c r="C691" s="15" t="n">
        <v>47</v>
      </c>
      <c r="D691" s="16" t="inlineStr">
        <is>
          <t>㎡</t>
        </is>
      </c>
      <c r="E691" s="15" t="n">
        <v>9204</v>
      </c>
      <c r="F691" s="15">
        <f>E691*C691</f>
        <v/>
      </c>
      <c r="G691" s="15" t="n">
        <v>29230</v>
      </c>
      <c r="H691" s="15">
        <f>G691*C691</f>
        <v/>
      </c>
      <c r="I691" s="15" t="n">
        <v>12691</v>
      </c>
      <c r="J691" s="15">
        <f>I691*C691</f>
        <v/>
      </c>
      <c r="K691" s="15">
        <f>E691+G691+I691</f>
        <v/>
      </c>
      <c r="L691" s="15">
        <f>F691+H691+J691</f>
        <v/>
      </c>
      <c r="M691" s="18" t="n"/>
    </row>
    <row r="692">
      <c r="A692" s="14" t="inlineStr">
        <is>
          <t>라). 거푸집</t>
        </is>
      </c>
      <c r="B692" s="14" t="inlineStr">
        <is>
          <t>합판6회(간단)</t>
        </is>
      </c>
      <c r="C692" s="15" t="n">
        <v>3</v>
      </c>
      <c r="D692" s="16" t="inlineStr">
        <is>
          <t>㎡</t>
        </is>
      </c>
      <c r="E692" s="15" t="n">
        <v>7267</v>
      </c>
      <c r="F692" s="15">
        <f>E692*C692</f>
        <v/>
      </c>
      <c r="G692" s="15" t="n">
        <v>18269</v>
      </c>
      <c r="H692" s="15">
        <f>G692*C692</f>
        <v/>
      </c>
      <c r="I692" s="15" t="n">
        <v>3702</v>
      </c>
      <c r="J692" s="15">
        <f>I692*C692</f>
        <v/>
      </c>
      <c r="K692" s="15">
        <f>E692+G692+I692</f>
        <v/>
      </c>
      <c r="L692" s="15">
        <f>F692+H692+J692</f>
        <v/>
      </c>
      <c r="M692" s="18" t="n"/>
    </row>
    <row r="693">
      <c r="A693" s="14" t="inlineStr">
        <is>
          <t>마). 유로폼 조립.해체</t>
        </is>
      </c>
      <c r="B693" s="14" t="inlineStr">
        <is>
          <t>벽체</t>
        </is>
      </c>
      <c r="C693" s="15" t="n">
        <v>362</v>
      </c>
      <c r="D693" s="16" t="inlineStr">
        <is>
          <t>㎡</t>
        </is>
      </c>
      <c r="E693" s="15" t="n">
        <v>9204</v>
      </c>
      <c r="F693" s="15">
        <f>E693*C693</f>
        <v/>
      </c>
      <c r="G693" s="15" t="n">
        <v>28317</v>
      </c>
      <c r="H693" s="15">
        <f>G693*C693</f>
        <v/>
      </c>
      <c r="I693" s="15" t="n">
        <v>3702</v>
      </c>
      <c r="J693" s="15">
        <f>I693*C693</f>
        <v/>
      </c>
      <c r="K693" s="15">
        <f>E693+G693+I693</f>
        <v/>
      </c>
      <c r="L693" s="15">
        <f>F693+H693+J693</f>
        <v/>
      </c>
      <c r="M693" s="18" t="n"/>
    </row>
    <row r="694">
      <c r="A694" s="14" t="inlineStr">
        <is>
          <t>바). 철근가공조립(현장)</t>
        </is>
      </c>
      <c r="B694" s="14" t="inlineStr">
        <is>
          <t>TYPE-2-1</t>
        </is>
      </c>
      <c r="C694" s="61" t="n">
        <v>11.559</v>
      </c>
      <c r="D694" s="16" t="inlineStr">
        <is>
          <t>ton</t>
        </is>
      </c>
      <c r="E694" s="15" t="n">
        <v>69996</v>
      </c>
      <c r="F694" s="15">
        <f>E694*C694</f>
        <v/>
      </c>
      <c r="G694" s="15" t="n">
        <v>483930</v>
      </c>
      <c r="H694" s="15">
        <f>G694*C694</f>
        <v/>
      </c>
      <c r="I694" s="15" t="n">
        <v>86590</v>
      </c>
      <c r="J694" s="15">
        <f>I694*C694</f>
        <v/>
      </c>
      <c r="K694" s="15">
        <f>E694+G694+I694</f>
        <v/>
      </c>
      <c r="L694" s="15">
        <f>F694+H694+J694</f>
        <v/>
      </c>
      <c r="M694" s="18" t="n"/>
    </row>
    <row r="695">
      <c r="A695" s="14" t="inlineStr">
        <is>
          <t>사). 시스템비계</t>
        </is>
      </c>
      <c r="B695" s="14" t="inlineStr">
        <is>
          <t>10m이하-3개월사용</t>
        </is>
      </c>
      <c r="C695" s="15" t="n">
        <v>201</v>
      </c>
      <c r="D695" s="16" t="inlineStr">
        <is>
          <t>㎡</t>
        </is>
      </c>
      <c r="E695" s="15" t="n">
        <v>5813</v>
      </c>
      <c r="F695" s="15">
        <f>E695*C695</f>
        <v/>
      </c>
      <c r="G695" s="15" t="n">
        <v>7764</v>
      </c>
      <c r="H695" s="15">
        <f>G695*C695</f>
        <v/>
      </c>
      <c r="I695" s="15" t="n">
        <v>5288</v>
      </c>
      <c r="J695" s="15">
        <f>I695*C695</f>
        <v/>
      </c>
      <c r="K695" s="15">
        <f>E695+G695+I695</f>
        <v/>
      </c>
      <c r="L695" s="15">
        <f>F695+H695+J695</f>
        <v/>
      </c>
      <c r="M695" s="18" t="n"/>
    </row>
    <row r="696">
      <c r="A696" s="14" t="inlineStr">
        <is>
          <t>아). 시스템동바리</t>
        </is>
      </c>
      <c r="B696" s="14" t="inlineStr">
        <is>
          <t>10m이하-3개월사용</t>
        </is>
      </c>
      <c r="C696" s="15" t="n">
        <v>130</v>
      </c>
      <c r="D696" s="16" t="inlineStr">
        <is>
          <t>공/㎥</t>
        </is>
      </c>
      <c r="E696" s="15" t="n">
        <v>5038</v>
      </c>
      <c r="F696" s="15">
        <f>E696*C696</f>
        <v/>
      </c>
      <c r="G696" s="15" t="n">
        <v>6942</v>
      </c>
      <c r="H696" s="15">
        <f>G696*C696</f>
        <v/>
      </c>
      <c r="I696" s="15" t="n">
        <v>3172</v>
      </c>
      <c r="J696" s="15">
        <f>I696*C696</f>
        <v/>
      </c>
      <c r="K696" s="15">
        <f>E696+G696+I696</f>
        <v/>
      </c>
      <c r="L696" s="15">
        <f>F696+H696+J696</f>
        <v/>
      </c>
      <c r="M696" s="18" t="n"/>
    </row>
    <row r="697">
      <c r="A697" s="14" t="inlineStr">
        <is>
          <t>자). 스페이셔설치</t>
        </is>
      </c>
      <c r="B697" s="14" t="inlineStr">
        <is>
          <t>수평</t>
        </is>
      </c>
      <c r="C697" s="15" t="n">
        <v>47</v>
      </c>
      <c r="D697" s="16" t="inlineStr">
        <is>
          <t>㎡</t>
        </is>
      </c>
      <c r="E697" s="15" t="n">
        <v>484</v>
      </c>
      <c r="F697" s="15">
        <f>E697*C697</f>
        <v/>
      </c>
      <c r="G697" s="15" t="n">
        <v>913</v>
      </c>
      <c r="H697" s="15">
        <f>G697*C697</f>
        <v/>
      </c>
      <c r="I697" s="15" t="n">
        <v>0</v>
      </c>
      <c r="J697" s="15">
        <f>I697*C697</f>
        <v/>
      </c>
      <c r="K697" s="15">
        <f>E697+G697+I697</f>
        <v/>
      </c>
      <c r="L697" s="15">
        <f>F697+H697+J697</f>
        <v/>
      </c>
      <c r="M697" s="18" t="n"/>
    </row>
    <row r="698">
      <c r="A698" s="14" t="inlineStr">
        <is>
          <t>차). 스페이셔설치</t>
        </is>
      </c>
      <c r="B698" s="14" t="inlineStr">
        <is>
          <t>수직</t>
        </is>
      </c>
      <c r="C698" s="15" t="n">
        <v>362</v>
      </c>
      <c r="D698" s="16" t="inlineStr">
        <is>
          <t>㎡</t>
        </is>
      </c>
      <c r="E698" s="15" t="n">
        <v>484</v>
      </c>
      <c r="F698" s="15">
        <f>E698*C698</f>
        <v/>
      </c>
      <c r="G698" s="15" t="n">
        <v>913</v>
      </c>
      <c r="H698" s="15">
        <f>G698*C698</f>
        <v/>
      </c>
      <c r="I698" s="15" t="n">
        <v>0</v>
      </c>
      <c r="J698" s="15">
        <f>I698*C698</f>
        <v/>
      </c>
      <c r="K698" s="15">
        <f>E698+G698+I698</f>
        <v/>
      </c>
      <c r="L698" s="15">
        <f>F698+H698+J698</f>
        <v/>
      </c>
      <c r="M698" s="18" t="n"/>
    </row>
    <row r="699">
      <c r="A699" s="14" t="inlineStr">
        <is>
          <t>카). 콘크리트치핑</t>
        </is>
      </c>
      <c r="B699" s="14" t="n"/>
      <c r="C699" s="15" t="n">
        <v>30</v>
      </c>
      <c r="D699" s="16" t="inlineStr">
        <is>
          <t>㎡</t>
        </is>
      </c>
      <c r="E699" s="15" t="n">
        <v>0</v>
      </c>
      <c r="F699" s="15">
        <f>E699*C699</f>
        <v/>
      </c>
      <c r="G699" s="15" t="n">
        <v>27653</v>
      </c>
      <c r="H699" s="15">
        <f>G699*C699</f>
        <v/>
      </c>
      <c r="I699" s="15" t="n">
        <v>2561</v>
      </c>
      <c r="J699" s="15">
        <f>I699*C699</f>
        <v/>
      </c>
      <c r="K699" s="15">
        <f>E699+G699+I699</f>
        <v/>
      </c>
      <c r="L699" s="15">
        <f>F699+H699+J699</f>
        <v/>
      </c>
      <c r="M699" s="18" t="n"/>
    </row>
    <row r="700">
      <c r="A700" s="14" t="inlineStr">
        <is>
          <t>타). 지수판 설치(PVC 용접)</t>
        </is>
      </c>
      <c r="B700" s="14" t="inlineStr">
        <is>
          <t>200×5t</t>
        </is>
      </c>
      <c r="C700" s="15" t="n">
        <v>80</v>
      </c>
      <c r="D700" s="16" t="inlineStr">
        <is>
          <t>m</t>
        </is>
      </c>
      <c r="E700" s="15" t="n">
        <v>4360</v>
      </c>
      <c r="F700" s="15">
        <f>E700*C700</f>
        <v/>
      </c>
      <c r="G700" s="15" t="n">
        <v>13702</v>
      </c>
      <c r="H700" s="15">
        <f>G700*C700</f>
        <v/>
      </c>
      <c r="I700" s="15" t="n">
        <v>0</v>
      </c>
      <c r="J700" s="15">
        <f>I700*C700</f>
        <v/>
      </c>
      <c r="K700" s="15">
        <f>E700+G700+I700</f>
        <v/>
      </c>
      <c r="L700" s="15">
        <f>F700+H700+J700</f>
        <v/>
      </c>
      <c r="M700" s="18" t="n"/>
    </row>
    <row r="701">
      <c r="A701" s="14" t="inlineStr">
        <is>
          <t>파). 외부방수(폴리우레아도막방수)</t>
        </is>
      </c>
      <c r="B701" s="14" t="inlineStr">
        <is>
          <t>t=2.0mm, 현장설치도</t>
        </is>
      </c>
      <c r="C701" s="15" t="n">
        <v>166</v>
      </c>
      <c r="D701" s="16" t="inlineStr">
        <is>
          <t>m2</t>
        </is>
      </c>
      <c r="E701" s="15" t="n">
        <v>0</v>
      </c>
      <c r="F701" s="15">
        <f>E701*C701</f>
        <v/>
      </c>
      <c r="G701" s="15" t="n">
        <v>0</v>
      </c>
      <c r="H701" s="15">
        <f>G701*C701</f>
        <v/>
      </c>
      <c r="I701" s="15" t="n">
        <v>16921</v>
      </c>
      <c r="J701" s="15">
        <f>I701*C701</f>
        <v/>
      </c>
      <c r="K701" s="15">
        <f>E701+G701+I701</f>
        <v/>
      </c>
      <c r="L701" s="15">
        <f>F701+H701+J701</f>
        <v/>
      </c>
      <c r="M701" s="18" t="n"/>
    </row>
    <row r="702">
      <c r="A702" s="14" t="inlineStr">
        <is>
          <t>하). 내부방수(세라믹코팅제)</t>
        </is>
      </c>
      <c r="B702" s="14" t="inlineStr">
        <is>
          <t>현장설치도</t>
        </is>
      </c>
      <c r="C702" s="15" t="n">
        <v>252</v>
      </c>
      <c r="D702" s="16" t="inlineStr">
        <is>
          <t>m2</t>
        </is>
      </c>
      <c r="E702" s="15" t="n">
        <v>0</v>
      </c>
      <c r="F702" s="15">
        <f>E702*C702</f>
        <v/>
      </c>
      <c r="G702" s="15" t="n">
        <v>0</v>
      </c>
      <c r="H702" s="15">
        <f>G702*C702</f>
        <v/>
      </c>
      <c r="I702" s="15" t="n">
        <v>15864</v>
      </c>
      <c r="J702" s="15">
        <f>I702*C702</f>
        <v/>
      </c>
      <c r="K702" s="15">
        <f>E702+G702+I702</f>
        <v/>
      </c>
      <c r="L702" s="15">
        <f>F702+H702+J702</f>
        <v/>
      </c>
      <c r="M702" s="18" t="n"/>
    </row>
    <row r="703">
      <c r="A703" s="14" t="inlineStr">
        <is>
          <t>갸). 바닥방수(에폭시)</t>
        </is>
      </c>
      <c r="B703" s="14" t="inlineStr">
        <is>
          <t>t=2.0mm, 현장설치도</t>
        </is>
      </c>
      <c r="C703" s="15" t="n">
        <v>57</v>
      </c>
      <c r="D703" s="16" t="inlineStr">
        <is>
          <t>m2</t>
        </is>
      </c>
      <c r="E703" s="15" t="n">
        <v>0</v>
      </c>
      <c r="F703" s="15">
        <f>E703*C703</f>
        <v/>
      </c>
      <c r="G703" s="15" t="n">
        <v>0</v>
      </c>
      <c r="H703" s="15">
        <f>G703*C703</f>
        <v/>
      </c>
      <c r="I703" s="15" t="n">
        <v>16921</v>
      </c>
      <c r="J703" s="15">
        <f>I703*C703</f>
        <v/>
      </c>
      <c r="K703" s="15">
        <f>E703+G703+I703</f>
        <v/>
      </c>
      <c r="L703" s="15">
        <f>F703+H703+J703</f>
        <v/>
      </c>
      <c r="M703" s="18" t="n"/>
    </row>
    <row r="704">
      <c r="A704" s="28" t="inlineStr">
        <is>
          <t>3). 주요자재 및 운반</t>
        </is>
      </c>
      <c r="B704" s="28" t="n"/>
      <c r="C704" s="17" t="n"/>
      <c r="D704" s="16" t="n"/>
      <c r="E704" s="17" t="n"/>
      <c r="F704" s="29" t="n"/>
      <c r="G704" s="17" t="n"/>
      <c r="H704" s="29" t="n"/>
      <c r="I704" s="17" t="n"/>
      <c r="J704" s="29" t="n"/>
      <c r="K704" s="17" t="n"/>
      <c r="L704" s="29" t="n"/>
      <c r="M704" s="18" t="n"/>
    </row>
    <row r="705">
      <c r="A705" s="14" t="inlineStr">
        <is>
          <t>가). 레미콘</t>
        </is>
      </c>
      <c r="B705" s="14" t="inlineStr">
        <is>
          <t>25-27-15(Mpa)</t>
        </is>
      </c>
      <c r="C705" s="15" t="n">
        <v>111</v>
      </c>
      <c r="D705" s="16" t="inlineStr">
        <is>
          <t>㎥</t>
        </is>
      </c>
      <c r="E705" s="15" t="n">
        <v>93982</v>
      </c>
      <c r="F705" s="15">
        <f>E705*C705</f>
        <v/>
      </c>
      <c r="G705" s="15" t="n">
        <v>0</v>
      </c>
      <c r="H705" s="15">
        <f>G705*C705</f>
        <v/>
      </c>
      <c r="I705" s="15" t="n">
        <v>0</v>
      </c>
      <c r="J705" s="15">
        <f>I705*C705</f>
        <v/>
      </c>
      <c r="K705" s="15">
        <f>E705+G705+I705</f>
        <v/>
      </c>
      <c r="L705" s="15">
        <f>F705+H705+J705</f>
        <v/>
      </c>
      <c r="M705" s="18" t="n"/>
    </row>
    <row r="706">
      <c r="A706" s="14" t="inlineStr">
        <is>
          <t>나). 레미콘</t>
        </is>
      </c>
      <c r="B706" s="14" t="inlineStr">
        <is>
          <t>25-18- 8(Mpa)</t>
        </is>
      </c>
      <c r="C706" s="15" t="n">
        <v>6</v>
      </c>
      <c r="D706" s="16" t="inlineStr">
        <is>
          <t>㎥</t>
        </is>
      </c>
      <c r="E706" s="15" t="n">
        <v>83518</v>
      </c>
      <c r="F706" s="15">
        <f>E706*C706</f>
        <v/>
      </c>
      <c r="G706" s="15" t="n">
        <v>0</v>
      </c>
      <c r="H706" s="15">
        <f>G706*C706</f>
        <v/>
      </c>
      <c r="I706" s="15" t="n">
        <v>0</v>
      </c>
      <c r="J706" s="15">
        <f>I706*C706</f>
        <v/>
      </c>
      <c r="K706" s="15">
        <f>E706+G706+I706</f>
        <v/>
      </c>
      <c r="L706" s="15">
        <f>F706+H706+J706</f>
        <v/>
      </c>
      <c r="M706" s="18" t="n"/>
    </row>
    <row r="707">
      <c r="A707" s="14" t="inlineStr">
        <is>
          <t>다). 이형철근(고장력철근)</t>
        </is>
      </c>
      <c r="B707" s="14" t="inlineStr">
        <is>
          <t>HD13M/M 0.995KG/M  SD40</t>
        </is>
      </c>
      <c r="C707" s="61" t="n">
        <v>3.9</v>
      </c>
      <c r="D707" s="16" t="inlineStr">
        <is>
          <t>TON</t>
        </is>
      </c>
      <c r="E707" s="15" t="n">
        <v>840802</v>
      </c>
      <c r="F707" s="15">
        <f>E707*C707</f>
        <v/>
      </c>
      <c r="G707" s="15" t="n">
        <v>0</v>
      </c>
      <c r="H707" s="15">
        <f>G707*C707</f>
        <v/>
      </c>
      <c r="I707" s="15" t="n">
        <v>0</v>
      </c>
      <c r="J707" s="15">
        <f>I707*C707</f>
        <v/>
      </c>
      <c r="K707" s="15">
        <f>E707+G707+I707</f>
        <v/>
      </c>
      <c r="L707" s="15">
        <f>F707+H707+J707</f>
        <v/>
      </c>
      <c r="M707" s="18" t="n"/>
    </row>
    <row r="708">
      <c r="A708" s="14" t="inlineStr">
        <is>
          <t>라). 이형철근(고장력철근)</t>
        </is>
      </c>
      <c r="B708" s="14" t="inlineStr">
        <is>
          <t>HD16M/M 1.560KG/M  SD40</t>
        </is>
      </c>
      <c r="C708" s="61" t="n">
        <v>7.381</v>
      </c>
      <c r="D708" s="16" t="inlineStr">
        <is>
          <t>TON</t>
        </is>
      </c>
      <c r="E708" s="15" t="n">
        <v>909309</v>
      </c>
      <c r="F708" s="15">
        <f>E708*C708</f>
        <v/>
      </c>
      <c r="G708" s="15" t="n">
        <v>0</v>
      </c>
      <c r="H708" s="15">
        <f>G708*C708</f>
        <v/>
      </c>
      <c r="I708" s="15" t="n">
        <v>0</v>
      </c>
      <c r="J708" s="15">
        <f>I708*C708</f>
        <v/>
      </c>
      <c r="K708" s="15">
        <f>E708+G708+I708</f>
        <v/>
      </c>
      <c r="L708" s="15">
        <f>F708+H708+J708</f>
        <v/>
      </c>
      <c r="M708" s="18" t="n"/>
    </row>
    <row r="709">
      <c r="A709" s="14" t="inlineStr">
        <is>
          <t>마). 이형철근(고장력철근)</t>
        </is>
      </c>
      <c r="B709" s="14" t="inlineStr">
        <is>
          <t>HD19M/M 2.250KG/M  SD40</t>
        </is>
      </c>
      <c r="C709" s="61" t="n">
        <v>0.625</v>
      </c>
      <c r="D709" s="16" t="inlineStr">
        <is>
          <t>TON</t>
        </is>
      </c>
      <c r="E709" s="15" t="n">
        <v>538872</v>
      </c>
      <c r="F709" s="15">
        <f>E709*C709</f>
        <v/>
      </c>
      <c r="G709" s="15" t="n">
        <v>0</v>
      </c>
      <c r="H709" s="15">
        <f>G709*C709</f>
        <v/>
      </c>
      <c r="I709" s="15" t="n">
        <v>0</v>
      </c>
      <c r="J709" s="15">
        <f>I709*C709</f>
        <v/>
      </c>
      <c r="K709" s="15">
        <f>E709+G709+I709</f>
        <v/>
      </c>
      <c r="L709" s="15">
        <f>F709+H709+J709</f>
        <v/>
      </c>
      <c r="M709" s="18" t="n"/>
    </row>
    <row r="710">
      <c r="A710" s="14" t="inlineStr">
        <is>
          <t>바). 철근운반비</t>
        </is>
      </c>
      <c r="B710" s="14" t="inlineStr">
        <is>
          <t>L=10Km 이내</t>
        </is>
      </c>
      <c r="C710" s="61" t="n">
        <v>11.906</v>
      </c>
      <c r="D710" s="16" t="inlineStr">
        <is>
          <t>ton</t>
        </is>
      </c>
      <c r="E710" s="15" t="n">
        <v>0</v>
      </c>
      <c r="F710" s="15">
        <f>E710*C710</f>
        <v/>
      </c>
      <c r="G710" s="15" t="n">
        <v>0</v>
      </c>
      <c r="H710" s="15">
        <f>G710*C710</f>
        <v/>
      </c>
      <c r="I710" s="15" t="n">
        <v>20985</v>
      </c>
      <c r="J710" s="15">
        <f>I710*C710</f>
        <v/>
      </c>
      <c r="K710" s="15">
        <f>E710+G710+I710</f>
        <v/>
      </c>
      <c r="L710" s="15">
        <f>F710+H710+J710</f>
        <v/>
      </c>
      <c r="M710" s="18" t="n"/>
    </row>
    <row r="711">
      <c r="A711" s="14" t="inlineStr">
        <is>
          <t>사). 고철(고재)</t>
        </is>
      </c>
      <c r="B711" s="14" t="inlineStr">
        <is>
          <t>중량A</t>
        </is>
      </c>
      <c r="C711" s="61" t="n">
        <v>0.347</v>
      </c>
      <c r="D711" s="16" t="inlineStr">
        <is>
          <t>Ton</t>
        </is>
      </c>
      <c r="E711" s="15" t="n">
        <v>-383718</v>
      </c>
      <c r="F711" s="15">
        <f>E711*C711</f>
        <v/>
      </c>
      <c r="G711" s="15" t="n">
        <v>0</v>
      </c>
      <c r="H711" s="15">
        <f>G711*C711</f>
        <v/>
      </c>
      <c r="I711" s="15" t="n">
        <v>0</v>
      </c>
      <c r="J711" s="15">
        <f>I711*C711</f>
        <v/>
      </c>
      <c r="K711" s="15">
        <f>E711+G711+I711</f>
        <v/>
      </c>
      <c r="L711" s="15">
        <f>F711+H711+J711</f>
        <v/>
      </c>
      <c r="M711" s="18" t="n"/>
    </row>
    <row r="712">
      <c r="A712" s="28" t="inlineStr">
        <is>
          <t>나. 건축공사</t>
        </is>
      </c>
      <c r="B712" s="28" t="n"/>
      <c r="C712" s="17" t="n"/>
      <c r="D712" s="16" t="n"/>
      <c r="E712" s="17" t="n"/>
      <c r="F712" s="29" t="n"/>
      <c r="G712" s="17" t="n"/>
      <c r="H712" s="29" t="n"/>
      <c r="I712" s="17" t="n"/>
      <c r="J712" s="29" t="n"/>
      <c r="K712" s="17" t="n"/>
      <c r="L712" s="29" t="n"/>
      <c r="M712" s="18" t="n"/>
    </row>
    <row r="713">
      <c r="A713" s="28" t="inlineStr">
        <is>
          <t>다. 기계설비공사</t>
        </is>
      </c>
      <c r="B713" s="28" t="n"/>
      <c r="C713" s="17" t="n"/>
      <c r="D713" s="16" t="n"/>
      <c r="E713" s="17" t="n"/>
      <c r="F713" s="29" t="n"/>
      <c r="G713" s="17" t="n"/>
      <c r="H713" s="29" t="n"/>
      <c r="I713" s="17" t="n"/>
      <c r="J713" s="29" t="n"/>
      <c r="K713" s="17" t="n"/>
      <c r="L713" s="29" t="n"/>
      <c r="M713" s="18" t="n"/>
    </row>
    <row r="714">
      <c r="A714" s="28" t="inlineStr">
        <is>
          <t>라. 전기 및 계측 공사</t>
        </is>
      </c>
      <c r="B714" s="28" t="n"/>
      <c r="C714" s="17" t="n"/>
      <c r="D714" s="16" t="n"/>
      <c r="E714" s="17" t="n"/>
      <c r="F714" s="29" t="n"/>
      <c r="G714" s="17" t="n"/>
      <c r="H714" s="29" t="n"/>
      <c r="I714" s="17" t="n"/>
      <c r="J714" s="29" t="n"/>
      <c r="K714" s="17" t="n"/>
      <c r="L714" s="29" t="n"/>
      <c r="M714" s="18" t="n"/>
    </row>
    <row r="715">
      <c r="A715" s="28" t="inlineStr">
        <is>
          <t>마. 처리장 시운전비</t>
        </is>
      </c>
      <c r="B715" s="28" t="n"/>
      <c r="C715" s="17" t="n"/>
      <c r="D715" s="16" t="n"/>
      <c r="E715" s="17" t="n"/>
      <c r="F715" s="29" t="n"/>
      <c r="G715" s="17" t="n"/>
      <c r="H715" s="29" t="n"/>
      <c r="I715" s="17" t="n"/>
      <c r="J715" s="29" t="n"/>
      <c r="K715" s="17" t="n"/>
      <c r="L715" s="29" t="n"/>
      <c r="M715" s="18" t="n"/>
    </row>
    <row r="716">
      <c r="A716" s="28" t="inlineStr">
        <is>
          <t>바. 부대공사</t>
        </is>
      </c>
      <c r="B716" s="28" t="n"/>
      <c r="C716" s="17" t="n"/>
      <c r="D716" s="16" t="n"/>
      <c r="E716" s="17" t="n"/>
      <c r="F716" s="29" t="n"/>
      <c r="G716" s="17" t="n"/>
      <c r="H716" s="29" t="n"/>
      <c r="I716" s="17" t="n"/>
      <c r="J716" s="29" t="n"/>
      <c r="K716" s="17" t="n"/>
      <c r="L716" s="29" t="n"/>
      <c r="M716" s="18" t="n"/>
    </row>
    <row r="717">
      <c r="A717" s="28" t="inlineStr">
        <is>
          <t>1). 토공</t>
        </is>
      </c>
      <c r="B717" s="28" t="n"/>
      <c r="C717" s="17" t="n"/>
      <c r="D717" s="16" t="n"/>
      <c r="E717" s="17" t="n"/>
      <c r="F717" s="29" t="n"/>
      <c r="G717" s="17" t="n"/>
      <c r="H717" s="29" t="n"/>
      <c r="I717" s="17" t="n"/>
      <c r="J717" s="29" t="n"/>
      <c r="K717" s="17" t="n"/>
      <c r="L717" s="29" t="n"/>
      <c r="M717" s="18" t="n"/>
    </row>
    <row r="718">
      <c r="A718" s="14" t="inlineStr">
        <is>
          <t>가). 구조물터파기(토사)</t>
        </is>
      </c>
      <c r="B718" s="14" t="inlineStr">
        <is>
          <t>TYPE-1, 굴착기1.0, 기계100%</t>
        </is>
      </c>
      <c r="C718" s="15" t="n">
        <v>63</v>
      </c>
      <c r="D718" s="16" t="inlineStr">
        <is>
          <t>㎥</t>
        </is>
      </c>
      <c r="E718" s="15" t="n">
        <v>0</v>
      </c>
      <c r="F718" s="15">
        <f>E718*C718</f>
        <v/>
      </c>
      <c r="G718" s="15" t="n">
        <v>0</v>
      </c>
      <c r="H718" s="15">
        <f>G718*C718</f>
        <v/>
      </c>
      <c r="I718" s="15" t="n">
        <v>1692</v>
      </c>
      <c r="J718" s="15">
        <f>I718*C718</f>
        <v/>
      </c>
      <c r="K718" s="15">
        <f>E718+G718+I718</f>
        <v/>
      </c>
      <c r="L718" s="15">
        <f>F718+H718+J718</f>
        <v/>
      </c>
      <c r="M718" s="18" t="n"/>
    </row>
    <row r="719">
      <c r="A719" s="14" t="inlineStr">
        <is>
          <t>나). 구조물터파기(토사)</t>
        </is>
      </c>
      <c r="B719" s="14" t="inlineStr">
        <is>
          <t>기계90%+인력10%, 보통토사</t>
        </is>
      </c>
      <c r="C719" s="15" t="n">
        <v>16</v>
      </c>
      <c r="D719" s="16" t="inlineStr">
        <is>
          <t>㎥</t>
        </is>
      </c>
      <c r="E719" s="15" t="n">
        <v>0</v>
      </c>
      <c r="F719" s="15">
        <f>E719*C719</f>
        <v/>
      </c>
      <c r="G719" s="15" t="n">
        <v>2832</v>
      </c>
      <c r="H719" s="15">
        <f>G719*C719</f>
        <v/>
      </c>
      <c r="I719" s="15" t="n">
        <v>4231</v>
      </c>
      <c r="J719" s="15">
        <f>I719*C719</f>
        <v/>
      </c>
      <c r="K719" s="15">
        <f>E719+G719+I719</f>
        <v/>
      </c>
      <c r="L719" s="15">
        <f>F719+H719+J719</f>
        <v/>
      </c>
      <c r="M719" s="18" t="n"/>
    </row>
    <row r="720">
      <c r="A720" s="14" t="inlineStr">
        <is>
          <t>다). 터파기(토사)</t>
        </is>
      </c>
      <c r="B720" s="14" t="inlineStr">
        <is>
          <t>인력100%</t>
        </is>
      </c>
      <c r="C720" s="15" t="n">
        <v>18</v>
      </c>
      <c r="D720" s="16" t="inlineStr">
        <is>
          <t>㎥</t>
        </is>
      </c>
      <c r="E720" s="15" t="n">
        <v>0</v>
      </c>
      <c r="F720" s="15">
        <f>E720*C720</f>
        <v/>
      </c>
      <c r="G720" s="15" t="n">
        <v>59374</v>
      </c>
      <c r="H720" s="15">
        <f>G720*C720</f>
        <v/>
      </c>
      <c r="I720" s="15" t="n">
        <v>0</v>
      </c>
      <c r="J720" s="15">
        <f>I720*C720</f>
        <v/>
      </c>
      <c r="K720" s="15">
        <f>E720+G720+I720</f>
        <v/>
      </c>
      <c r="L720" s="15">
        <f>F720+H720+J720</f>
        <v/>
      </c>
      <c r="M720" s="18" t="n"/>
    </row>
    <row r="721">
      <c r="A721" s="14" t="inlineStr">
        <is>
          <t>라). 되메우기 및 다짐(토사)</t>
        </is>
      </c>
      <c r="B721" s="14" t="inlineStr">
        <is>
          <t>백호0.7+플레이트콤펙터1.5ton</t>
        </is>
      </c>
      <c r="C721" s="15" t="n">
        <v>92</v>
      </c>
      <c r="D721" s="16" t="inlineStr">
        <is>
          <t>㎥</t>
        </is>
      </c>
      <c r="E721" s="15" t="n">
        <v>0</v>
      </c>
      <c r="F721" s="15">
        <f>E721*C721</f>
        <v/>
      </c>
      <c r="G721" s="15" t="n">
        <v>2284</v>
      </c>
      <c r="H721" s="15">
        <f>G721*C721</f>
        <v/>
      </c>
      <c r="I721" s="15" t="n">
        <v>4759</v>
      </c>
      <c r="J721" s="15">
        <f>I721*C721</f>
        <v/>
      </c>
      <c r="K721" s="15">
        <f>E721+G721+I721</f>
        <v/>
      </c>
      <c r="L721" s="15">
        <f>F721+H721+J721</f>
        <v/>
      </c>
      <c r="M721" s="18" t="n"/>
    </row>
    <row r="722">
      <c r="A722" s="14" t="inlineStr">
        <is>
          <t>마). 잔토처리(토사)</t>
        </is>
      </c>
      <c r="B722" s="14" t="inlineStr">
        <is>
          <t>기계100%</t>
        </is>
      </c>
      <c r="C722" s="15" t="n">
        <v>5</v>
      </c>
      <c r="D722" s="16" t="inlineStr">
        <is>
          <t>㎥</t>
        </is>
      </c>
      <c r="E722" s="15" t="n">
        <v>0</v>
      </c>
      <c r="F722" s="15">
        <f>E722*C722</f>
        <v/>
      </c>
      <c r="G722" s="15" t="n">
        <v>0</v>
      </c>
      <c r="H722" s="15">
        <f>G722*C722</f>
        <v/>
      </c>
      <c r="I722" s="15" t="n">
        <v>10575</v>
      </c>
      <c r="J722" s="15">
        <f>I722*C722</f>
        <v/>
      </c>
      <c r="K722" s="15">
        <f>E722+G722+I722</f>
        <v/>
      </c>
      <c r="L722" s="15">
        <f>F722+H722+J722</f>
        <v/>
      </c>
      <c r="M722" s="18" t="n"/>
    </row>
    <row r="723">
      <c r="A723" s="28" t="inlineStr">
        <is>
          <t>2). 아스콘포장</t>
        </is>
      </c>
      <c r="B723" s="28" t="n"/>
      <c r="C723" s="17" t="n"/>
      <c r="D723" s="16" t="n"/>
      <c r="E723" s="17" t="n"/>
      <c r="F723" s="29" t="n"/>
      <c r="G723" s="17" t="n"/>
      <c r="H723" s="29" t="n"/>
      <c r="I723" s="17" t="n"/>
      <c r="J723" s="29" t="n"/>
      <c r="K723" s="17" t="n"/>
      <c r="L723" s="29" t="n"/>
      <c r="M723" s="18" t="n"/>
    </row>
    <row r="724">
      <c r="A724" s="14" t="inlineStr">
        <is>
          <t>가). 아스팔트 표층 기계포설(대형장비)</t>
        </is>
      </c>
      <c r="B724" s="14" t="inlineStr">
        <is>
          <t>3.0m≤B, T=5cm</t>
        </is>
      </c>
      <c r="C724" s="15" t="n">
        <v>142</v>
      </c>
      <c r="D724" s="16" t="inlineStr">
        <is>
          <t>㎡</t>
        </is>
      </c>
      <c r="E724" s="15" t="n">
        <v>0</v>
      </c>
      <c r="F724" s="15">
        <f>E724*C724</f>
        <v/>
      </c>
      <c r="G724" s="15" t="n">
        <v>9253</v>
      </c>
      <c r="H724" s="15">
        <f>G724*C724</f>
        <v/>
      </c>
      <c r="I724" s="15" t="n">
        <v>34900</v>
      </c>
      <c r="J724" s="15">
        <f>I724*C724</f>
        <v/>
      </c>
      <c r="K724" s="15">
        <f>E724+G724+I724</f>
        <v/>
      </c>
      <c r="L724" s="15">
        <f>F724+H724+J724</f>
        <v/>
      </c>
      <c r="M724" s="18" t="n"/>
    </row>
    <row r="725">
      <c r="A725" s="14" t="inlineStr">
        <is>
          <t>나). 아스팔트 기층 기계포설(대형장비)</t>
        </is>
      </c>
      <c r="B725" s="14" t="inlineStr">
        <is>
          <t>3.0m≤B, T=13cm</t>
        </is>
      </c>
      <c r="C725" s="15" t="n">
        <v>142</v>
      </c>
      <c r="D725" s="16" t="inlineStr">
        <is>
          <t>㎡</t>
        </is>
      </c>
      <c r="E725" s="15" t="n">
        <v>0</v>
      </c>
      <c r="F725" s="15">
        <f>E725*C725</f>
        <v/>
      </c>
      <c r="G725" s="15" t="n">
        <v>9253</v>
      </c>
      <c r="H725" s="15">
        <f>G725*C725</f>
        <v/>
      </c>
      <c r="I725" s="15" t="n">
        <v>34900</v>
      </c>
      <c r="J725" s="15">
        <f>I725*C725</f>
        <v/>
      </c>
      <c r="K725" s="15">
        <f>E725+G725+I725</f>
        <v/>
      </c>
      <c r="L725" s="15">
        <f>F725+H725+J725</f>
        <v/>
      </c>
      <c r="M725" s="18" t="n"/>
    </row>
    <row r="726">
      <c r="A726" s="14" t="inlineStr">
        <is>
          <t>다). 텍코팅(기계식)</t>
        </is>
      </c>
      <c r="B726" s="14" t="inlineStr">
        <is>
          <t>RSC-4:45ℓ/a</t>
        </is>
      </c>
      <c r="C726" s="15" t="n">
        <v>142</v>
      </c>
      <c r="D726" s="16" t="inlineStr">
        <is>
          <t>㎡</t>
        </is>
      </c>
      <c r="E726" s="15" t="n">
        <v>0</v>
      </c>
      <c r="F726" s="15">
        <f>E726*C726</f>
        <v/>
      </c>
      <c r="G726" s="15" t="n">
        <v>0</v>
      </c>
      <c r="H726" s="15">
        <f>G726*C726</f>
        <v/>
      </c>
      <c r="I726" s="15" t="n">
        <v>529</v>
      </c>
      <c r="J726" s="15">
        <f>I726*C726</f>
        <v/>
      </c>
      <c r="K726" s="15">
        <f>E726+G726+I726</f>
        <v/>
      </c>
      <c r="L726" s="15">
        <f>F726+H726+J726</f>
        <v/>
      </c>
      <c r="M726" s="18" t="n"/>
    </row>
    <row r="727">
      <c r="A727" s="14" t="inlineStr">
        <is>
          <t>라). 프라임코팅(기계식)</t>
        </is>
      </c>
      <c r="B727" s="14" t="inlineStr">
        <is>
          <t>RSC-3:150ℓ/a</t>
        </is>
      </c>
      <c r="C727" s="15" t="n">
        <v>142</v>
      </c>
      <c r="D727" s="16" t="inlineStr">
        <is>
          <t>㎡</t>
        </is>
      </c>
      <c r="E727" s="15" t="n">
        <v>0</v>
      </c>
      <c r="F727" s="15">
        <f>E727*C727</f>
        <v/>
      </c>
      <c r="G727" s="15" t="n">
        <v>0</v>
      </c>
      <c r="H727" s="15">
        <f>G727*C727</f>
        <v/>
      </c>
      <c r="I727" s="15" t="n">
        <v>529</v>
      </c>
      <c r="J727" s="15">
        <f>I727*C727</f>
        <v/>
      </c>
      <c r="K727" s="15">
        <f>E727+G727+I727</f>
        <v/>
      </c>
      <c r="L727" s="15">
        <f>F727+H727+J727</f>
        <v/>
      </c>
      <c r="M727" s="18" t="n"/>
    </row>
    <row r="728">
      <c r="A728" s="14" t="inlineStr">
        <is>
          <t>마). 보조기층(기계시공)</t>
        </is>
      </c>
      <c r="B728" s="14" t="inlineStr">
        <is>
          <t>본선포장, T=22cm</t>
        </is>
      </c>
      <c r="C728" s="15" t="n">
        <v>36</v>
      </c>
      <c r="D728" s="16" t="inlineStr">
        <is>
          <t>㎥</t>
        </is>
      </c>
      <c r="E728" s="15" t="n">
        <v>0</v>
      </c>
      <c r="F728" s="15">
        <f>E728*C728</f>
        <v/>
      </c>
      <c r="G728" s="15" t="n">
        <v>2284</v>
      </c>
      <c r="H728" s="15">
        <f>G728*C728</f>
        <v/>
      </c>
      <c r="I728" s="15" t="n">
        <v>4759</v>
      </c>
      <c r="J728" s="15">
        <f>I728*C728</f>
        <v/>
      </c>
      <c r="K728" s="15">
        <f>E728+G728+I728</f>
        <v/>
      </c>
      <c r="L728" s="15">
        <f>F728+H728+J728</f>
        <v/>
      </c>
      <c r="M728" s="18" t="n"/>
    </row>
    <row r="729">
      <c r="A729" s="28" t="inlineStr">
        <is>
          <t>3). 보차도경계석(화강석)</t>
        </is>
      </c>
      <c r="B729" s="28" t="n"/>
      <c r="C729" s="17" t="n"/>
      <c r="D729" s="16" t="n"/>
      <c r="E729" s="17" t="n"/>
      <c r="F729" s="29" t="n"/>
      <c r="G729" s="17" t="n"/>
      <c r="H729" s="29" t="n"/>
      <c r="I729" s="17" t="n"/>
      <c r="J729" s="29" t="n"/>
      <c r="K729" s="17" t="n"/>
      <c r="L729" s="29" t="n"/>
      <c r="M729" s="18" t="n"/>
    </row>
    <row r="730">
      <c r="A730" s="14" t="inlineStr">
        <is>
          <t>가). 보차도경계석 설치</t>
        </is>
      </c>
      <c r="B730" s="14" t="inlineStr">
        <is>
          <t>180×200×1000, A-TYPE(직선구간)</t>
        </is>
      </c>
      <c r="C730" s="15" t="n">
        <v>63</v>
      </c>
      <c r="D730" s="16" t="inlineStr">
        <is>
          <t>m</t>
        </is>
      </c>
      <c r="E730" s="15" t="n">
        <v>0</v>
      </c>
      <c r="F730" s="15">
        <f>E730*C730</f>
        <v/>
      </c>
      <c r="G730" s="15" t="n">
        <v>12788</v>
      </c>
      <c r="H730" s="15">
        <f>G730*C730</f>
        <v/>
      </c>
      <c r="I730" s="15" t="n">
        <v>5140</v>
      </c>
      <c r="J730" s="15">
        <f>I730*C730</f>
        <v/>
      </c>
      <c r="K730" s="15">
        <f>E730+G730+I730</f>
        <v/>
      </c>
      <c r="L730" s="15">
        <f>F730+H730+J730</f>
        <v/>
      </c>
      <c r="M730" s="18" t="n"/>
    </row>
    <row r="731">
      <c r="A731" s="28" t="inlineStr">
        <is>
          <t>4). 노면표시</t>
        </is>
      </c>
      <c r="B731" s="28" t="n"/>
      <c r="C731" s="17" t="n"/>
      <c r="D731" s="16" t="n"/>
      <c r="E731" s="17" t="n"/>
      <c r="F731" s="29" t="n"/>
      <c r="G731" s="17" t="n"/>
      <c r="H731" s="29" t="n"/>
      <c r="I731" s="17" t="n"/>
      <c r="J731" s="29" t="n"/>
      <c r="K731" s="17" t="n"/>
      <c r="L731" s="29" t="n"/>
      <c r="M731" s="18" t="n"/>
    </row>
    <row r="732">
      <c r="A732" s="14" t="inlineStr">
        <is>
          <t>가). 차선도색(페인트,기계식),신설구간</t>
        </is>
      </c>
      <c r="B732" s="14" t="inlineStr">
        <is>
          <t>백색-실선</t>
        </is>
      </c>
      <c r="C732" s="15" t="n">
        <v>11</v>
      </c>
      <c r="D732" s="16" t="inlineStr">
        <is>
          <t>㎡</t>
        </is>
      </c>
      <c r="E732" s="15" t="n">
        <v>6298</v>
      </c>
      <c r="F732" s="15">
        <f>E732*C732</f>
        <v/>
      </c>
      <c r="G732" s="15" t="n">
        <v>7764</v>
      </c>
      <c r="H732" s="15">
        <f>G732*C732</f>
        <v/>
      </c>
      <c r="I732" s="15" t="n">
        <v>1057</v>
      </c>
      <c r="J732" s="15">
        <f>I732*C732</f>
        <v/>
      </c>
      <c r="K732" s="15">
        <f>E732+G732+I732</f>
        <v/>
      </c>
      <c r="L732" s="15">
        <f>F732+H732+J732</f>
        <v/>
      </c>
      <c r="M732" s="18" t="n"/>
    </row>
    <row r="733">
      <c r="A733" s="28" t="inlineStr">
        <is>
          <t>5). 우수공</t>
        </is>
      </c>
      <c r="B733" s="28" t="n"/>
      <c r="C733" s="17" t="n"/>
      <c r="D733" s="16" t="n"/>
      <c r="E733" s="17" t="n"/>
      <c r="F733" s="29" t="n"/>
      <c r="G733" s="17" t="n"/>
      <c r="H733" s="29" t="n"/>
      <c r="I733" s="17" t="n"/>
      <c r="J733" s="29" t="n"/>
      <c r="K733" s="17" t="n"/>
      <c r="L733" s="29" t="n"/>
      <c r="M733" s="18" t="n"/>
    </row>
    <row r="734">
      <c r="A734" s="14" t="inlineStr">
        <is>
          <t>가). 원심력철근콘크리트관 접합및부설(소켓식)</t>
        </is>
      </c>
      <c r="B734" s="14" t="inlineStr">
        <is>
          <t>Ø 250mm, 시공조건 B</t>
        </is>
      </c>
      <c r="C734" s="15" t="n">
        <v>44</v>
      </c>
      <c r="D734" s="16" t="inlineStr">
        <is>
          <t>m</t>
        </is>
      </c>
      <c r="E734" s="15" t="n">
        <v>2035</v>
      </c>
      <c r="F734" s="15">
        <f>E734*C734</f>
        <v/>
      </c>
      <c r="G734" s="15" t="n">
        <v>28499</v>
      </c>
      <c r="H734" s="15">
        <f>G734*C734</f>
        <v/>
      </c>
      <c r="I734" s="15" t="n">
        <v>36486</v>
      </c>
      <c r="J734" s="15">
        <f>I734*C734</f>
        <v/>
      </c>
      <c r="K734" s="15">
        <f>E734+G734+I734</f>
        <v/>
      </c>
      <c r="L734" s="15">
        <f>F734+H734+J734</f>
        <v/>
      </c>
      <c r="M734" s="18" t="n"/>
    </row>
    <row r="735">
      <c r="A735" s="14" t="inlineStr">
        <is>
          <t>나). 원심력철근콘크리트관 절단</t>
        </is>
      </c>
      <c r="B735" s="14" t="inlineStr">
        <is>
          <t>Ø 250 MM</t>
        </is>
      </c>
      <c r="C735" s="15" t="n">
        <v>6</v>
      </c>
      <c r="D735" s="16" t="inlineStr">
        <is>
          <t>개소</t>
        </is>
      </c>
      <c r="E735" s="15" t="n">
        <v>0</v>
      </c>
      <c r="F735" s="15">
        <f>E735*C735</f>
        <v/>
      </c>
      <c r="G735" s="15" t="n">
        <v>58415</v>
      </c>
      <c r="H735" s="15">
        <f>G735*C735</f>
        <v/>
      </c>
      <c r="I735" s="15" t="n">
        <v>20306</v>
      </c>
      <c r="J735" s="15">
        <f>I735*C735</f>
        <v/>
      </c>
      <c r="K735" s="15">
        <f>E735+G735+I735</f>
        <v/>
      </c>
      <c r="L735" s="15">
        <f>F735+H735+J735</f>
        <v/>
      </c>
      <c r="M735" s="18" t="n"/>
    </row>
    <row r="736">
      <c r="A736" s="14" t="inlineStr">
        <is>
          <t>다). 1호 우수받이</t>
        </is>
      </c>
      <c r="B736" s="14" t="inlineStr">
        <is>
          <t>0.3×0.4×0.9m, 스틸그레이팅포함</t>
        </is>
      </c>
      <c r="C736" s="15" t="n">
        <v>5</v>
      </c>
      <c r="D736" s="16" t="inlineStr">
        <is>
          <t>개소</t>
        </is>
      </c>
      <c r="E736" s="15" t="n">
        <v>63462</v>
      </c>
      <c r="F736" s="15">
        <f>E736*C736</f>
        <v/>
      </c>
      <c r="G736" s="15" t="n">
        <v>49326</v>
      </c>
      <c r="H736" s="15">
        <f>G736*C736</f>
        <v/>
      </c>
      <c r="I736" s="15" t="n">
        <v>70815</v>
      </c>
      <c r="J736" s="15">
        <f>I736*C736</f>
        <v/>
      </c>
      <c r="K736" s="15">
        <f>E736+G736+I736</f>
        <v/>
      </c>
      <c r="L736" s="15">
        <f>F736+H736+J736</f>
        <v/>
      </c>
      <c r="M736" s="18" t="n"/>
    </row>
    <row r="737">
      <c r="A737" s="14" t="inlineStr">
        <is>
          <t>라). 집수정</t>
        </is>
      </c>
      <c r="B737" s="14" t="inlineStr">
        <is>
          <t>0.6x0.6, H=1.70, 스틸그레이팅</t>
        </is>
      </c>
      <c r="C737" s="15" t="n">
        <v>1</v>
      </c>
      <c r="D737" s="16" t="inlineStr">
        <is>
          <t>개소</t>
        </is>
      </c>
      <c r="E737" s="15" t="n">
        <v>435999</v>
      </c>
      <c r="F737" s="15">
        <f>E737*C737</f>
        <v/>
      </c>
      <c r="G737" s="15" t="n">
        <v>94770</v>
      </c>
      <c r="H737" s="15">
        <f>G737*C737</f>
        <v/>
      </c>
      <c r="I737" s="15" t="n">
        <v>125588</v>
      </c>
      <c r="J737" s="15">
        <f>I737*C737</f>
        <v/>
      </c>
      <c r="K737" s="15">
        <f>E737+G737+I737</f>
        <v/>
      </c>
      <c r="L737" s="15">
        <f>F737+H737+J737</f>
        <v/>
      </c>
      <c r="M737" s="18" t="n"/>
    </row>
    <row r="738">
      <c r="A738" s="28" t="inlineStr">
        <is>
          <t>6). 메쉬휀스</t>
        </is>
      </c>
      <c r="B738" s="28" t="n"/>
      <c r="C738" s="17" t="n"/>
      <c r="D738" s="16" t="n"/>
      <c r="E738" s="17" t="n"/>
      <c r="F738" s="29" t="n"/>
      <c r="G738" s="17" t="n"/>
      <c r="H738" s="29" t="n"/>
      <c r="I738" s="17" t="n"/>
      <c r="J738" s="29" t="n"/>
      <c r="K738" s="17" t="n"/>
      <c r="L738" s="29" t="n"/>
      <c r="M738" s="18" t="n"/>
    </row>
    <row r="739">
      <c r="A739" s="14" t="inlineStr">
        <is>
          <t>가). 메쉬I휀스</t>
        </is>
      </c>
      <c r="B739" s="14" t="inlineStr">
        <is>
          <t>W2.0×H1.5m, 기초형, 현장설치도</t>
        </is>
      </c>
      <c r="C739" s="15" t="n">
        <v>86</v>
      </c>
      <c r="D739" s="16" t="inlineStr">
        <is>
          <t>m</t>
        </is>
      </c>
      <c r="E739" s="15" t="n">
        <v>14292</v>
      </c>
      <c r="F739" s="15">
        <f>E739*C739</f>
        <v/>
      </c>
      <c r="G739" s="15" t="n">
        <v>25576</v>
      </c>
      <c r="H739" s="15">
        <f>G739*C739</f>
        <v/>
      </c>
      <c r="I739" s="15" t="n">
        <v>5288</v>
      </c>
      <c r="J739" s="15">
        <f>I739*C739</f>
        <v/>
      </c>
      <c r="K739" s="15">
        <f>E739+G739+I739</f>
        <v/>
      </c>
      <c r="L739" s="15">
        <f>F739+H739+J739</f>
        <v/>
      </c>
      <c r="M739" s="18" t="n"/>
    </row>
    <row r="740">
      <c r="A740" s="28" t="inlineStr">
        <is>
          <t>7). 메쉬휀스 출입문</t>
        </is>
      </c>
      <c r="B740" s="28" t="n"/>
      <c r="C740" s="17" t="n"/>
      <c r="D740" s="16" t="n"/>
      <c r="E740" s="17" t="n"/>
      <c r="F740" s="29" t="n"/>
      <c r="G740" s="17" t="n"/>
      <c r="H740" s="29" t="n"/>
      <c r="I740" s="17" t="n"/>
      <c r="J740" s="29" t="n"/>
      <c r="K740" s="17" t="n"/>
      <c r="L740" s="29" t="n"/>
      <c r="M740" s="18" t="n"/>
    </row>
    <row r="741">
      <c r="A741" s="14" t="inlineStr">
        <is>
          <t>가). 메쉬I휀스 출입문</t>
        </is>
      </c>
      <c r="B741" s="14" t="inlineStr">
        <is>
          <t>W2.0×H1.8m(쌍문), 기초형, 현장설치도</t>
        </is>
      </c>
      <c r="C741" s="15" t="n">
        <v>2</v>
      </c>
      <c r="D741" s="16" t="inlineStr">
        <is>
          <t>개소</t>
        </is>
      </c>
      <c r="E741" s="15" t="n">
        <v>116267</v>
      </c>
      <c r="F741" s="15">
        <f>E741*C741</f>
        <v/>
      </c>
      <c r="G741" s="15" t="n">
        <v>233841</v>
      </c>
      <c r="H741" s="15">
        <f>G741*C741</f>
        <v/>
      </c>
      <c r="I741" s="15" t="n">
        <v>47591</v>
      </c>
      <c r="J741" s="15">
        <f>I741*C741</f>
        <v/>
      </c>
      <c r="K741" s="15">
        <f>E741+G741+I741</f>
        <v/>
      </c>
      <c r="L741" s="15">
        <f>F741+H741+J741</f>
        <v/>
      </c>
      <c r="M741" s="18" t="n"/>
    </row>
    <row r="742">
      <c r="A742" s="28" t="inlineStr">
        <is>
          <t>8). 주요자재 및 운반</t>
        </is>
      </c>
      <c r="B742" s="28" t="n"/>
      <c r="C742" s="17" t="n"/>
      <c r="D742" s="16" t="n"/>
      <c r="E742" s="17" t="n"/>
      <c r="F742" s="29" t="n"/>
      <c r="G742" s="17" t="n"/>
      <c r="H742" s="29" t="n"/>
      <c r="I742" s="17" t="n"/>
      <c r="J742" s="29" t="n"/>
      <c r="K742" s="17" t="n"/>
      <c r="L742" s="29" t="n"/>
      <c r="M742" s="18" t="n"/>
    </row>
    <row r="743">
      <c r="A743" s="14" t="inlineStr">
        <is>
          <t>가). 레미콘</t>
        </is>
      </c>
      <c r="B743" s="14" t="inlineStr">
        <is>
          <t>25-18- 8(Mpa)</t>
        </is>
      </c>
      <c r="C743" s="15" t="n">
        <v>10</v>
      </c>
      <c r="D743" s="16" t="inlineStr">
        <is>
          <t>㎥</t>
        </is>
      </c>
      <c r="E743" s="15" t="n">
        <v>83518</v>
      </c>
      <c r="F743" s="15">
        <f>E743*C743</f>
        <v/>
      </c>
      <c r="G743" s="15" t="n">
        <v>0</v>
      </c>
      <c r="H743" s="15">
        <f>G743*C743</f>
        <v/>
      </c>
      <c r="I743" s="15" t="n">
        <v>0</v>
      </c>
      <c r="J743" s="15">
        <f>I743*C743</f>
        <v/>
      </c>
      <c r="K743" s="15">
        <f>E743+G743+I743</f>
        <v/>
      </c>
      <c r="L743" s="15">
        <f>F743+H743+J743</f>
        <v/>
      </c>
      <c r="M743" s="18" t="n"/>
    </row>
    <row r="744">
      <c r="A744" s="14" t="inlineStr">
        <is>
          <t>나). 혼합골재(보조기층용)(순환골재)</t>
        </is>
      </c>
      <c r="B744" s="14" t="inlineStr">
        <is>
          <t>Φ80mm이하, 현장도착도</t>
        </is>
      </c>
      <c r="C744" s="15" t="n">
        <v>37</v>
      </c>
      <c r="D744" s="16" t="inlineStr">
        <is>
          <t>㎥</t>
        </is>
      </c>
      <c r="E744" s="15" t="n">
        <v>17440</v>
      </c>
      <c r="F744" s="15">
        <f>E744*C744</f>
        <v/>
      </c>
      <c r="G744" s="15" t="n">
        <v>0</v>
      </c>
      <c r="H744" s="15">
        <f>G744*C744</f>
        <v/>
      </c>
      <c r="I744" s="15" t="n">
        <v>0</v>
      </c>
      <c r="J744" s="15">
        <f>I744*C744</f>
        <v/>
      </c>
      <c r="K744" s="15">
        <f>E744+G744+I744</f>
        <v/>
      </c>
      <c r="L744" s="15">
        <f>F744+H744+J744</f>
        <v/>
      </c>
      <c r="M744" s="18" t="n"/>
    </row>
    <row r="745">
      <c r="A745" s="14" t="inlineStr">
        <is>
          <t>다). 아스팔트(유제)</t>
        </is>
      </c>
      <c r="B745" s="14" t="inlineStr">
        <is>
          <t>RS(C)-3 (200ℓ)</t>
        </is>
      </c>
      <c r="C745" s="15" t="n">
        <v>1</v>
      </c>
      <c r="D745" s="16" t="inlineStr">
        <is>
          <t>D/M</t>
        </is>
      </c>
      <c r="E745" s="15" t="n">
        <v>261600</v>
      </c>
      <c r="F745" s="15">
        <f>E745*C745</f>
        <v/>
      </c>
      <c r="G745" s="15" t="n">
        <v>0</v>
      </c>
      <c r="H745" s="15">
        <f>G745*C745</f>
        <v/>
      </c>
      <c r="I745" s="15" t="n">
        <v>0</v>
      </c>
      <c r="J745" s="15">
        <f>I745*C745</f>
        <v/>
      </c>
      <c r="K745" s="15">
        <f>E745+G745+I745</f>
        <v/>
      </c>
      <c r="L745" s="15">
        <f>F745+H745+J745</f>
        <v/>
      </c>
      <c r="M745" s="18" t="n"/>
    </row>
    <row r="746">
      <c r="A746" s="14" t="inlineStr">
        <is>
          <t>라). 아스팔트(유제)</t>
        </is>
      </c>
      <c r="B746" s="14" t="inlineStr">
        <is>
          <t>RS(C)-4 (200ℓ)</t>
        </is>
      </c>
      <c r="C746" s="15" t="n">
        <v>1</v>
      </c>
      <c r="D746" s="16" t="inlineStr">
        <is>
          <t>D/M</t>
        </is>
      </c>
      <c r="E746" s="15" t="n">
        <v>261600</v>
      </c>
      <c r="F746" s="15">
        <f>E746*C746</f>
        <v/>
      </c>
      <c r="G746" s="15" t="n">
        <v>0</v>
      </c>
      <c r="H746" s="15">
        <f>G746*C746</f>
        <v/>
      </c>
      <c r="I746" s="15" t="n">
        <v>0</v>
      </c>
      <c r="J746" s="15">
        <f>I746*C746</f>
        <v/>
      </c>
      <c r="K746" s="15">
        <f>E746+G746+I746</f>
        <v/>
      </c>
      <c r="L746" s="15">
        <f>F746+H746+J746</f>
        <v/>
      </c>
      <c r="M746" s="18" t="n"/>
    </row>
    <row r="747">
      <c r="A747" s="14" t="inlineStr">
        <is>
          <t>마). 아스팔트콘크리트</t>
        </is>
      </c>
      <c r="B747" s="14" t="inlineStr">
        <is>
          <t>#78  표층용</t>
        </is>
      </c>
      <c r="C747" s="15" t="n">
        <v>17</v>
      </c>
      <c r="D747" s="16" t="inlineStr">
        <is>
          <t>Ton</t>
        </is>
      </c>
      <c r="E747" s="15" t="n">
        <v>97858</v>
      </c>
      <c r="F747" s="15">
        <f>E747*C747</f>
        <v/>
      </c>
      <c r="G747" s="15" t="n">
        <v>0</v>
      </c>
      <c r="H747" s="15">
        <f>G747*C747</f>
        <v/>
      </c>
      <c r="I747" s="15" t="n">
        <v>0</v>
      </c>
      <c r="J747" s="15">
        <f>I747*C747</f>
        <v/>
      </c>
      <c r="K747" s="15">
        <f>E747+G747+I747</f>
        <v/>
      </c>
      <c r="L747" s="15">
        <f>F747+H747+J747</f>
        <v/>
      </c>
      <c r="M747" s="18" t="n"/>
    </row>
    <row r="748">
      <c r="A748" s="14" t="inlineStr">
        <is>
          <t>바). 아스팔트콘크리트</t>
        </is>
      </c>
      <c r="B748" s="14" t="inlineStr">
        <is>
          <t>#467 기층용</t>
        </is>
      </c>
      <c r="C748" s="15" t="n">
        <v>44</v>
      </c>
      <c r="D748" s="16" t="inlineStr">
        <is>
          <t>Ton</t>
        </is>
      </c>
      <c r="E748" s="15" t="n">
        <v>88169</v>
      </c>
      <c r="F748" s="15">
        <f>E748*C748</f>
        <v/>
      </c>
      <c r="G748" s="15" t="n">
        <v>0</v>
      </c>
      <c r="H748" s="15">
        <f>G748*C748</f>
        <v/>
      </c>
      <c r="I748" s="15" t="n">
        <v>0</v>
      </c>
      <c r="J748" s="15">
        <f>I748*C748</f>
        <v/>
      </c>
      <c r="K748" s="15">
        <f>E748+G748+I748</f>
        <v/>
      </c>
      <c r="L748" s="15">
        <f>F748+H748+J748</f>
        <v/>
      </c>
      <c r="M748" s="18" t="n"/>
    </row>
    <row r="749">
      <c r="A749" s="14" t="inlineStr">
        <is>
          <t>사). 보차도경계석(화강석)</t>
        </is>
      </c>
      <c r="B749" s="14" t="inlineStr">
        <is>
          <t>180x200x1000㎜ (직선)</t>
        </is>
      </c>
      <c r="C749" s="15" t="n">
        <v>65</v>
      </c>
      <c r="D749" s="16" t="inlineStr">
        <is>
          <t>ea</t>
        </is>
      </c>
      <c r="E749" s="15" t="n">
        <v>17440</v>
      </c>
      <c r="F749" s="15">
        <f>E749*C749</f>
        <v/>
      </c>
      <c r="G749" s="15" t="n">
        <v>0</v>
      </c>
      <c r="H749" s="15">
        <f>G749*C749</f>
        <v/>
      </c>
      <c r="I749" s="15" t="n">
        <v>0</v>
      </c>
      <c r="J749" s="15">
        <f>I749*C749</f>
        <v/>
      </c>
      <c r="K749" s="15">
        <f>E749+G749+I749</f>
        <v/>
      </c>
      <c r="L749" s="15">
        <f>F749+H749+J749</f>
        <v/>
      </c>
      <c r="M749" s="18" t="n"/>
    </row>
    <row r="750">
      <c r="A750" s="14" t="inlineStr">
        <is>
          <t>아). 보통시멘트</t>
        </is>
      </c>
      <c r="B750" s="14" t="inlineStr">
        <is>
          <t>40kg/대 (포장품)</t>
        </is>
      </c>
      <c r="C750" s="15" t="n">
        <v>1</v>
      </c>
      <c r="D750" s="16" t="inlineStr">
        <is>
          <t>대</t>
        </is>
      </c>
      <c r="E750" s="15" t="n">
        <v>5717</v>
      </c>
      <c r="F750" s="15">
        <f>E750*C750</f>
        <v/>
      </c>
      <c r="G750" s="15" t="n">
        <v>0</v>
      </c>
      <c r="H750" s="15">
        <f>G750*C750</f>
        <v/>
      </c>
      <c r="I750" s="15" t="n">
        <v>0</v>
      </c>
      <c r="J750" s="15">
        <f>I750*C750</f>
        <v/>
      </c>
      <c r="K750" s="15">
        <f>E750+G750+I750</f>
        <v/>
      </c>
      <c r="L750" s="15">
        <f>F750+H750+J750</f>
        <v/>
      </c>
      <c r="M750" s="18" t="n"/>
    </row>
    <row r="751">
      <c r="A751" s="14" t="inlineStr">
        <is>
          <t>자). 시멘트운반</t>
        </is>
      </c>
      <c r="B751" s="14" t="inlineStr">
        <is>
          <t>L=30km이내</t>
        </is>
      </c>
      <c r="C751" s="15" t="n">
        <v>1</v>
      </c>
      <c r="D751" s="16" t="inlineStr">
        <is>
          <t>대</t>
        </is>
      </c>
      <c r="E751" s="15" t="n">
        <v>0</v>
      </c>
      <c r="F751" s="15">
        <f>E751*C751</f>
        <v/>
      </c>
      <c r="G751" s="15" t="n">
        <v>0</v>
      </c>
      <c r="H751" s="15">
        <f>G751*C751</f>
        <v/>
      </c>
      <c r="I751" s="15" t="n">
        <v>1057</v>
      </c>
      <c r="J751" s="15">
        <f>I751*C751</f>
        <v/>
      </c>
      <c r="K751" s="15">
        <f>E751+G751+I751</f>
        <v/>
      </c>
      <c r="L751" s="15">
        <f>F751+H751+J751</f>
        <v/>
      </c>
      <c r="M751" s="18" t="n"/>
    </row>
    <row r="752">
      <c r="A752" s="14" t="inlineStr">
        <is>
          <t>차). 원심력철근콘크리트관(보통2종)</t>
        </is>
      </c>
      <c r="B752" s="14" t="inlineStr">
        <is>
          <t>250㎜ (소켓식,B형)</t>
        </is>
      </c>
      <c r="C752" s="15" t="n">
        <v>46</v>
      </c>
      <c r="D752" s="16" t="inlineStr">
        <is>
          <t>ｍ</t>
        </is>
      </c>
      <c r="E752" s="15" t="n">
        <v>17966</v>
      </c>
      <c r="F752" s="15">
        <f>E752*C752</f>
        <v/>
      </c>
      <c r="G752" s="15" t="n">
        <v>0</v>
      </c>
      <c r="H752" s="15">
        <f>G752*C752</f>
        <v/>
      </c>
      <c r="I752" s="15" t="n">
        <v>0</v>
      </c>
      <c r="J752" s="15">
        <f>I752*C752</f>
        <v/>
      </c>
      <c r="K752" s="15">
        <f>E752+G752+I752</f>
        <v/>
      </c>
      <c r="L752" s="15">
        <f>F752+H752+J752</f>
        <v/>
      </c>
      <c r="M752" s="18" t="n"/>
    </row>
    <row r="753">
      <c r="A753" s="14" t="inlineStr">
        <is>
          <t>카). 흄관하차비</t>
        </is>
      </c>
      <c r="B753" s="14" t="inlineStr">
        <is>
          <t>Ø 250 MM - 차상도</t>
        </is>
      </c>
      <c r="C753" s="15" t="n">
        <v>19</v>
      </c>
      <c r="D753" s="16" t="inlineStr">
        <is>
          <t>본</t>
        </is>
      </c>
      <c r="E753" s="15" t="n">
        <v>0</v>
      </c>
      <c r="F753" s="15">
        <f>E753*C753</f>
        <v/>
      </c>
      <c r="G753" s="15" t="n">
        <v>0</v>
      </c>
      <c r="H753" s="15">
        <f>G753*C753</f>
        <v/>
      </c>
      <c r="I753" s="15" t="n">
        <v>1862</v>
      </c>
      <c r="J753" s="15">
        <f>I753*C753</f>
        <v/>
      </c>
      <c r="K753" s="15">
        <f>E753+G753+I753</f>
        <v/>
      </c>
      <c r="L753" s="15">
        <f>F753+H753+J753</f>
        <v/>
      </c>
      <c r="M753" s="18" t="n"/>
    </row>
    <row r="754">
      <c r="A754" s="14" t="inlineStr">
        <is>
          <t>1). 오수처리시설 건축공사</t>
        </is>
      </c>
      <c r="B754" s="14" t="n"/>
      <c r="C754" s="15" t="n">
        <v>1</v>
      </c>
      <c r="D754" s="16" t="inlineStr">
        <is>
          <t>식</t>
        </is>
      </c>
      <c r="E754" s="15" t="n">
        <v>0</v>
      </c>
      <c r="F754" s="15">
        <f>E754*C754</f>
        <v/>
      </c>
      <c r="G754" s="15" t="n">
        <v>0</v>
      </c>
      <c r="H754" s="15">
        <f>G754*C754</f>
        <v/>
      </c>
      <c r="I754" s="15" t="n">
        <v>89893204</v>
      </c>
      <c r="J754" s="15">
        <f>I754*C754</f>
        <v/>
      </c>
      <c r="K754" s="15">
        <f>E754+G754+I754</f>
        <v/>
      </c>
      <c r="L754" s="15">
        <f>F754+H754+J754</f>
        <v/>
      </c>
      <c r="M754" s="18" t="n"/>
    </row>
    <row r="755">
      <c r="A755" s="14" t="inlineStr">
        <is>
          <t>1). 하수처리시설 기자재설치비</t>
        </is>
      </c>
      <c r="B755" s="14" t="n"/>
      <c r="C755" s="15" t="n">
        <v>1</v>
      </c>
      <c r="D755" s="16" t="inlineStr">
        <is>
          <t>식</t>
        </is>
      </c>
      <c r="E755" s="15" t="n">
        <v>0</v>
      </c>
      <c r="F755" s="15">
        <f>E755*C755</f>
        <v/>
      </c>
      <c r="G755" s="15" t="n">
        <v>0</v>
      </c>
      <c r="H755" s="15">
        <f>G755*C755</f>
        <v/>
      </c>
      <c r="I755" s="15" t="n">
        <v>15863507</v>
      </c>
      <c r="J755" s="15">
        <f>I755*C755</f>
        <v/>
      </c>
      <c r="K755" s="15">
        <f>E755+G755+I755</f>
        <v/>
      </c>
      <c r="L755" s="15">
        <f>F755+H755+J755</f>
        <v/>
      </c>
      <c r="M755" s="18" t="n"/>
    </row>
    <row r="756">
      <c r="A756" s="14" t="inlineStr">
        <is>
          <t>2). 하수처리시설 기자재비</t>
        </is>
      </c>
      <c r="B756" s="14" t="n"/>
      <c r="C756" s="15" t="n">
        <v>1</v>
      </c>
      <c r="D756" s="16" t="inlineStr">
        <is>
          <t>식</t>
        </is>
      </c>
      <c r="E756" s="15" t="n">
        <v>0</v>
      </c>
      <c r="F756" s="15">
        <f>E756*C756</f>
        <v/>
      </c>
      <c r="G756" s="15" t="n">
        <v>0</v>
      </c>
      <c r="H756" s="15">
        <f>G756*C756</f>
        <v/>
      </c>
      <c r="I756" s="15" t="n">
        <v>21151342</v>
      </c>
      <c r="J756" s="15">
        <f>I756*C756</f>
        <v/>
      </c>
      <c r="K756" s="15">
        <f>E756+G756+I756</f>
        <v/>
      </c>
      <c r="L756" s="15">
        <f>F756+H756+J756</f>
        <v/>
      </c>
      <c r="M756" s="18" t="n"/>
    </row>
    <row r="757">
      <c r="A757" s="14" t="inlineStr">
        <is>
          <t>3). 하수처리시설 배관설치비</t>
        </is>
      </c>
      <c r="B757" s="14" t="inlineStr">
        <is>
          <t>배관지지대포함</t>
        </is>
      </c>
      <c r="C757" s="15" t="n">
        <v>1</v>
      </c>
      <c r="D757" s="16" t="inlineStr">
        <is>
          <t>식</t>
        </is>
      </c>
      <c r="E757" s="15" t="n">
        <v>0</v>
      </c>
      <c r="F757" s="15">
        <f>E757*C757</f>
        <v/>
      </c>
      <c r="G757" s="15" t="n">
        <v>0</v>
      </c>
      <c r="H757" s="15">
        <f>G757*C757</f>
        <v/>
      </c>
      <c r="I757" s="15" t="n">
        <v>15863507</v>
      </c>
      <c r="J757" s="15">
        <f>I757*C757</f>
        <v/>
      </c>
      <c r="K757" s="15">
        <f>E757+G757+I757</f>
        <v/>
      </c>
      <c r="L757" s="15">
        <f>F757+H757+J757</f>
        <v/>
      </c>
      <c r="M757" s="18" t="n"/>
    </row>
    <row r="758">
      <c r="A758" s="14" t="inlineStr">
        <is>
          <t>4). 하수처리시설 배관자재비</t>
        </is>
      </c>
      <c r="B758" s="14" t="inlineStr">
        <is>
          <t>배관지지대포함</t>
        </is>
      </c>
      <c r="C758" s="15" t="n">
        <v>1</v>
      </c>
      <c r="D758" s="16" t="inlineStr">
        <is>
          <t>식</t>
        </is>
      </c>
      <c r="E758" s="15" t="n">
        <v>0</v>
      </c>
      <c r="F758" s="15">
        <f>E758*C758</f>
        <v/>
      </c>
      <c r="G758" s="15" t="n">
        <v>0</v>
      </c>
      <c r="H758" s="15">
        <f>G758*C758</f>
        <v/>
      </c>
      <c r="I758" s="15" t="n">
        <v>15863507</v>
      </c>
      <c r="J758" s="15">
        <f>I758*C758</f>
        <v/>
      </c>
      <c r="K758" s="15">
        <f>E758+G758+I758</f>
        <v/>
      </c>
      <c r="L758" s="15">
        <f>F758+H758+J758</f>
        <v/>
      </c>
      <c r="M758" s="18" t="n"/>
    </row>
    <row r="759">
      <c r="A759" s="14" t="inlineStr">
        <is>
          <t>5). 하수처리시설 사급자재비</t>
        </is>
      </c>
      <c r="B759" s="14" t="n"/>
      <c r="C759" s="15" t="n">
        <v>1</v>
      </c>
      <c r="D759" s="16" t="inlineStr">
        <is>
          <t>식</t>
        </is>
      </c>
      <c r="E759" s="15" t="n">
        <v>0</v>
      </c>
      <c r="F759" s="15">
        <f>E759*C759</f>
        <v/>
      </c>
      <c r="G759" s="15" t="n">
        <v>0</v>
      </c>
      <c r="H759" s="15">
        <f>G759*C759</f>
        <v/>
      </c>
      <c r="I759" s="15" t="n">
        <v>31727014</v>
      </c>
      <c r="J759" s="15">
        <f>I759*C759</f>
        <v/>
      </c>
      <c r="K759" s="15">
        <f>E759+G759+I759</f>
        <v/>
      </c>
      <c r="L759" s="15">
        <f>F759+H759+J759</f>
        <v/>
      </c>
      <c r="M759" s="18" t="n"/>
    </row>
    <row r="760">
      <c r="A760" s="14" t="inlineStr">
        <is>
          <t>1). 전기 및 계측 공사</t>
        </is>
      </c>
      <c r="B760" s="14" t="n"/>
      <c r="C760" s="15" t="n">
        <v>1</v>
      </c>
      <c r="D760" s="16" t="inlineStr">
        <is>
          <t>식</t>
        </is>
      </c>
      <c r="E760" s="15" t="n">
        <v>0</v>
      </c>
      <c r="F760" s="15">
        <f>E760*C760</f>
        <v/>
      </c>
      <c r="G760" s="15" t="n">
        <v>0</v>
      </c>
      <c r="H760" s="15">
        <f>G760*C760</f>
        <v/>
      </c>
      <c r="I760" s="15" t="n">
        <v>10575671</v>
      </c>
      <c r="J760" s="15">
        <f>I760*C760</f>
        <v/>
      </c>
      <c r="K760" s="15">
        <f>E760+G760+I760</f>
        <v/>
      </c>
      <c r="L760" s="15">
        <f>F760+H760+J760</f>
        <v/>
      </c>
      <c r="M760" s="18" t="n"/>
    </row>
    <row r="761">
      <c r="A761" s="14" t="inlineStr">
        <is>
          <t>2). 계측제어설비 및 영상감시설비</t>
        </is>
      </c>
      <c r="B761" s="14" t="n"/>
      <c r="C761" s="15" t="n">
        <v>1</v>
      </c>
      <c r="D761" s="16" t="inlineStr">
        <is>
          <t>식</t>
        </is>
      </c>
      <c r="E761" s="15" t="n">
        <v>0</v>
      </c>
      <c r="F761" s="15">
        <f>E761*C761</f>
        <v/>
      </c>
      <c r="G761" s="15" t="n">
        <v>0</v>
      </c>
      <c r="H761" s="15">
        <f>G761*C761</f>
        <v/>
      </c>
      <c r="I761" s="15" t="n">
        <v>8460537</v>
      </c>
      <c r="J761" s="15">
        <f>I761*C761</f>
        <v/>
      </c>
      <c r="K761" s="15">
        <f>E761+G761+I761</f>
        <v/>
      </c>
      <c r="L761" s="15">
        <f>F761+H761+J761</f>
        <v/>
      </c>
      <c r="M761" s="18" t="n"/>
    </row>
    <row r="762">
      <c r="A762" s="14" t="inlineStr">
        <is>
          <t>1). 하수처리시설 시운전비</t>
        </is>
      </c>
      <c r="B762" s="14" t="inlineStr">
        <is>
          <t>4개월</t>
        </is>
      </c>
      <c r="C762" s="15" t="n">
        <v>1</v>
      </c>
      <c r="D762" s="16" t="inlineStr">
        <is>
          <t>식</t>
        </is>
      </c>
      <c r="E762" s="15" t="n">
        <v>0</v>
      </c>
      <c r="F762" s="15">
        <f>E762*C762</f>
        <v/>
      </c>
      <c r="G762" s="15" t="n">
        <v>0</v>
      </c>
      <c r="H762" s="15">
        <f>G762*C762</f>
        <v/>
      </c>
      <c r="I762" s="15" t="n">
        <v>63454027</v>
      </c>
      <c r="J762" s="15">
        <f>I762*C762</f>
        <v/>
      </c>
      <c r="K762" s="15">
        <f>E762+G762+I762</f>
        <v/>
      </c>
      <c r="L762" s="15">
        <f>F762+H762+J762</f>
        <v/>
      </c>
      <c r="M762" s="18" t="n"/>
    </row>
    <row r="763">
      <c r="A763" s="25" t="inlineStr">
        <is>
          <t>9. 지하저류조</t>
        </is>
      </c>
      <c r="B763" s="26" t="n"/>
      <c r="C763" s="21" t="n"/>
      <c r="D763" s="22" t="n"/>
      <c r="E763" s="21" t="n"/>
      <c r="F763" s="27" t="n"/>
      <c r="G763" s="21" t="n"/>
      <c r="H763" s="27" t="n"/>
      <c r="I763" s="21" t="n"/>
      <c r="J763" s="27" t="n"/>
      <c r="K763" s="21" t="n"/>
      <c r="L763" s="27" t="n"/>
      <c r="M763" s="24" t="n"/>
    </row>
    <row r="764">
      <c r="A764" s="28" t="inlineStr">
        <is>
          <t>가. 토     공</t>
        </is>
      </c>
      <c r="B764" s="28" t="n"/>
      <c r="C764" s="17" t="n"/>
      <c r="D764" s="16" t="n"/>
      <c r="E764" s="17" t="n"/>
      <c r="F764" s="29" t="n"/>
      <c r="G764" s="17" t="n"/>
      <c r="H764" s="29" t="n"/>
      <c r="I764" s="17" t="n"/>
      <c r="J764" s="29" t="n"/>
      <c r="K764" s="17" t="n"/>
      <c r="L764" s="29" t="n"/>
      <c r="M764" s="18" t="n"/>
    </row>
    <row r="765">
      <c r="A765" s="28" t="inlineStr">
        <is>
          <t>1). 터파기</t>
        </is>
      </c>
      <c r="B765" s="28" t="n"/>
      <c r="C765" s="17" t="n"/>
      <c r="D765" s="16" t="n"/>
      <c r="E765" s="17" t="n"/>
      <c r="F765" s="29" t="n"/>
      <c r="G765" s="17" t="n"/>
      <c r="H765" s="29" t="n"/>
      <c r="I765" s="17" t="n"/>
      <c r="J765" s="29" t="n"/>
      <c r="K765" s="17" t="n"/>
      <c r="L765" s="29" t="n"/>
      <c r="M765" s="18" t="n"/>
    </row>
    <row r="766">
      <c r="A766" s="14" t="inlineStr">
        <is>
          <t>가). 터파기(토사)</t>
        </is>
      </c>
      <c r="B766" s="14" t="inlineStr">
        <is>
          <t>TYPE-1, 백호1.0, 기계100%</t>
        </is>
      </c>
      <c r="C766" s="15" t="n">
        <v>6487</v>
      </c>
      <c r="D766" s="16" t="inlineStr">
        <is>
          <t>㎥</t>
        </is>
      </c>
      <c r="E766" s="15" t="n">
        <v>0</v>
      </c>
      <c r="F766" s="15">
        <f>E766*C766</f>
        <v/>
      </c>
      <c r="G766" s="15" t="n">
        <v>235</v>
      </c>
      <c r="H766" s="15">
        <f>G766*C766</f>
        <v/>
      </c>
      <c r="I766" s="15" t="n">
        <v>1322</v>
      </c>
      <c r="J766" s="15">
        <f>I766*C766</f>
        <v/>
      </c>
      <c r="K766" s="15">
        <f>E766+G766+I766</f>
        <v/>
      </c>
      <c r="L766" s="15">
        <f>F766+H766+J766</f>
        <v/>
      </c>
      <c r="M766" s="18" t="n"/>
    </row>
    <row r="767">
      <c r="A767" s="28" t="inlineStr">
        <is>
          <t>2). 되메우기</t>
        </is>
      </c>
      <c r="B767" s="28" t="n"/>
      <c r="C767" s="17" t="n"/>
      <c r="D767" s="16" t="n"/>
      <c r="E767" s="17" t="n"/>
      <c r="F767" s="29" t="n"/>
      <c r="G767" s="17" t="n"/>
      <c r="H767" s="29" t="n"/>
      <c r="I767" s="17" t="n"/>
      <c r="J767" s="29" t="n"/>
      <c r="K767" s="17" t="n"/>
      <c r="L767" s="29" t="n"/>
      <c r="M767" s="18" t="n"/>
    </row>
    <row r="768">
      <c r="A768" s="14" t="inlineStr">
        <is>
          <t>가). 되메우기및다짐(토사)</t>
        </is>
      </c>
      <c r="B768" s="14" t="inlineStr">
        <is>
          <t>백호0.7+플레이트콤펙터1.5ton</t>
        </is>
      </c>
      <c r="C768" s="15" t="n">
        <v>1834</v>
      </c>
      <c r="D768" s="16" t="inlineStr">
        <is>
          <t>㎥</t>
        </is>
      </c>
      <c r="E768" s="15" t="n">
        <v>0</v>
      </c>
      <c r="F768" s="15">
        <f>E768*C768</f>
        <v/>
      </c>
      <c r="G768" s="15" t="n">
        <v>657</v>
      </c>
      <c r="H768" s="15">
        <f>G768*C768</f>
        <v/>
      </c>
      <c r="I768" s="15" t="n">
        <v>2604</v>
      </c>
      <c r="J768" s="15">
        <f>I768*C768</f>
        <v/>
      </c>
      <c r="K768" s="15">
        <f>E768+G768+I768</f>
        <v/>
      </c>
      <c r="L768" s="15">
        <f>F768+H768+J768</f>
        <v/>
      </c>
      <c r="M768" s="18" t="n"/>
    </row>
    <row r="769">
      <c r="A769" s="28" t="inlineStr">
        <is>
          <t>3). 잔토처리</t>
        </is>
      </c>
      <c r="B769" s="28" t="n"/>
      <c r="C769" s="17" t="n"/>
      <c r="D769" s="16" t="n"/>
      <c r="E769" s="17" t="n"/>
      <c r="F769" s="29" t="n"/>
      <c r="G769" s="17" t="n"/>
      <c r="H769" s="29" t="n"/>
      <c r="I769" s="17" t="n"/>
      <c r="J769" s="29" t="n"/>
      <c r="K769" s="17" t="n"/>
      <c r="L769" s="29" t="n"/>
      <c r="M769" s="18" t="n"/>
    </row>
    <row r="770">
      <c r="A770" s="14" t="inlineStr">
        <is>
          <t>가). 잔토처리(토사)</t>
        </is>
      </c>
      <c r="B770" s="14" t="inlineStr">
        <is>
          <t>기계</t>
        </is>
      </c>
      <c r="C770" s="15" t="n">
        <v>4653</v>
      </c>
      <c r="D770" s="16" t="inlineStr">
        <is>
          <t>㎥</t>
        </is>
      </c>
      <c r="E770" s="15" t="n">
        <v>0</v>
      </c>
      <c r="F770" s="15">
        <f>E770*C770</f>
        <v/>
      </c>
      <c r="G770" s="15" t="n">
        <v>0</v>
      </c>
      <c r="H770" s="15">
        <f>G770*C770</f>
        <v/>
      </c>
      <c r="I770" s="15" t="n">
        <v>10544</v>
      </c>
      <c r="J770" s="15">
        <f>I770*C770</f>
        <v/>
      </c>
      <c r="K770" s="15">
        <f>E770+G770+I770</f>
        <v/>
      </c>
      <c r="L770" s="15">
        <f>F770+H770+J770</f>
        <v/>
      </c>
      <c r="M770" s="18" t="n"/>
    </row>
    <row r="771">
      <c r="A771" s="28" t="inlineStr">
        <is>
          <t>나. 블록공사</t>
        </is>
      </c>
      <c r="B771" s="28" t="n"/>
      <c r="C771" s="17" t="n"/>
      <c r="D771" s="16" t="n"/>
      <c r="E771" s="17" t="n"/>
      <c r="F771" s="29" t="n"/>
      <c r="G771" s="17" t="n"/>
      <c r="H771" s="29" t="n"/>
      <c r="I771" s="17" t="n"/>
      <c r="J771" s="29" t="n"/>
      <c r="K771" s="17" t="n"/>
      <c r="L771" s="29" t="n"/>
      <c r="M771" s="18" t="n"/>
    </row>
    <row r="772">
      <c r="A772" s="14" t="inlineStr">
        <is>
          <t>1). 석분깔기</t>
        </is>
      </c>
      <c r="B772" s="14" t="inlineStr">
        <is>
          <t>T100</t>
        </is>
      </c>
      <c r="C772" s="15" t="n">
        <v>45</v>
      </c>
      <c r="D772" s="16" t="inlineStr">
        <is>
          <t>m2</t>
        </is>
      </c>
      <c r="E772" s="15" t="n">
        <v>3091</v>
      </c>
      <c r="F772" s="15">
        <f>E772*C772</f>
        <v/>
      </c>
      <c r="G772" s="15" t="n">
        <v>4250</v>
      </c>
      <c r="H772" s="15">
        <f>G772*C772</f>
        <v/>
      </c>
      <c r="I772" s="15" t="n">
        <v>1054</v>
      </c>
      <c r="J772" s="15">
        <f>I772*C772</f>
        <v/>
      </c>
      <c r="K772" s="15">
        <f>E772+G772+I772</f>
        <v/>
      </c>
      <c r="L772" s="15">
        <f>F772+H772+J772</f>
        <v/>
      </c>
      <c r="M772" s="18" t="n"/>
    </row>
    <row r="773">
      <c r="A773" s="14" t="inlineStr">
        <is>
          <t>2). 조립식 블록형 빗물저류시설</t>
        </is>
      </c>
      <c r="B773" s="14" t="n"/>
      <c r="C773" s="15" t="n">
        <v>1693</v>
      </c>
      <c r="D773" s="16" t="inlineStr">
        <is>
          <t>m3</t>
        </is>
      </c>
      <c r="E773" s="15" t="n">
        <v>203438</v>
      </c>
      <c r="F773" s="15">
        <f>E773*C773</f>
        <v/>
      </c>
      <c r="G773" s="15" t="n">
        <v>75541</v>
      </c>
      <c r="H773" s="15">
        <f>G773*C773</f>
        <v/>
      </c>
      <c r="I773" s="15" t="n">
        <v>16343</v>
      </c>
      <c r="J773" s="15">
        <f>I773*C773</f>
        <v/>
      </c>
      <c r="K773" s="15">
        <f>E773+G773+I773</f>
        <v/>
      </c>
      <c r="L773" s="15">
        <f>F773+H773+J773</f>
        <v/>
      </c>
      <c r="M773" s="18" t="n"/>
    </row>
    <row r="774">
      <c r="A774" s="14" t="inlineStr">
        <is>
          <t>3). 매트부설</t>
        </is>
      </c>
      <c r="B774" s="14" t="inlineStr">
        <is>
          <t>1차 200g/m2</t>
        </is>
      </c>
      <c r="C774" s="15" t="n">
        <v>1250</v>
      </c>
      <c r="D774" s="16" t="inlineStr">
        <is>
          <t>m2</t>
        </is>
      </c>
      <c r="E774" s="15" t="n">
        <v>869</v>
      </c>
      <c r="F774" s="15">
        <f>E774*C774</f>
        <v/>
      </c>
      <c r="G774" s="15" t="n">
        <v>193</v>
      </c>
      <c r="H774" s="15">
        <f>G774*C774</f>
        <v/>
      </c>
      <c r="I774" s="15" t="n">
        <v>0</v>
      </c>
      <c r="J774" s="15">
        <f>I774*C774</f>
        <v/>
      </c>
      <c r="K774" s="15">
        <f>E774+G774+I774</f>
        <v/>
      </c>
      <c r="L774" s="15">
        <f>F774+H774+J774</f>
        <v/>
      </c>
      <c r="M774" s="18" t="n"/>
    </row>
    <row r="775">
      <c r="A775" s="14" t="inlineStr">
        <is>
          <t>4). 유지관리용 PC 점검구 설치</t>
        </is>
      </c>
      <c r="B775" s="14" t="inlineStr">
        <is>
          <t>1000x1000x1000</t>
        </is>
      </c>
      <c r="C775" s="15" t="n">
        <v>1</v>
      </c>
      <c r="D775" s="16" t="inlineStr">
        <is>
          <t>개소</t>
        </is>
      </c>
      <c r="E775" s="15" t="n">
        <v>450733</v>
      </c>
      <c r="F775" s="15">
        <f>E775*C775</f>
        <v/>
      </c>
      <c r="G775" s="15" t="n">
        <v>151468</v>
      </c>
      <c r="H775" s="15">
        <f>G775*C775</f>
        <v/>
      </c>
      <c r="I775" s="15" t="n">
        <v>87199</v>
      </c>
      <c r="J775" s="15">
        <f>I775*C775</f>
        <v/>
      </c>
      <c r="K775" s="15">
        <f>E775+G775+I775</f>
        <v/>
      </c>
      <c r="L775" s="15">
        <f>F775+H775+J775</f>
        <v/>
      </c>
      <c r="M775" s="18" t="n"/>
    </row>
    <row r="776">
      <c r="A776" s="14" t="inlineStr">
        <is>
          <t>5). PC 슬래브 설치</t>
        </is>
      </c>
      <c r="B776" s="14" t="inlineStr">
        <is>
          <t>1000x1500xT200</t>
        </is>
      </c>
      <c r="C776" s="15" t="n">
        <v>87</v>
      </c>
      <c r="D776" s="16" t="inlineStr">
        <is>
          <t>개소</t>
        </is>
      </c>
      <c r="E776" s="15" t="n">
        <v>134853</v>
      </c>
      <c r="F776" s="15">
        <f>E776*C776</f>
        <v/>
      </c>
      <c r="G776" s="15" t="n">
        <v>17871</v>
      </c>
      <c r="H776" s="15">
        <f>G776*C776</f>
        <v/>
      </c>
      <c r="I776" s="15" t="n">
        <v>4428</v>
      </c>
      <c r="J776" s="15">
        <f>I776*C776</f>
        <v/>
      </c>
      <c r="K776" s="15">
        <f>E776+G776+I776</f>
        <v/>
      </c>
      <c r="L776" s="15">
        <f>F776+H776+J776</f>
        <v/>
      </c>
      <c r="M776" s="18" t="n"/>
    </row>
    <row r="777">
      <c r="A777" s="28" t="inlineStr">
        <is>
          <t>다. 하차비</t>
        </is>
      </c>
      <c r="B777" s="28" t="n"/>
      <c r="C777" s="17" t="n"/>
      <c r="D777" s="16" t="n"/>
      <c r="E777" s="17" t="n"/>
      <c r="F777" s="29" t="n"/>
      <c r="G777" s="17" t="n"/>
      <c r="H777" s="29" t="n"/>
      <c r="I777" s="17" t="n"/>
      <c r="J777" s="29" t="n"/>
      <c r="K777" s="17" t="n"/>
      <c r="L777" s="29" t="n"/>
      <c r="M777" s="18" t="n"/>
    </row>
    <row r="778">
      <c r="A778" s="14" t="inlineStr">
        <is>
          <t>1). 빗물저류블록 하차비</t>
        </is>
      </c>
      <c r="B778" s="14" t="inlineStr">
        <is>
          <t>1000x1000x1160</t>
        </is>
      </c>
      <c r="C778" s="61" t="n">
        <v>3115.12</v>
      </c>
      <c r="D778" s="16" t="inlineStr">
        <is>
          <t>Ton</t>
        </is>
      </c>
      <c r="E778" s="15" t="n">
        <v>0</v>
      </c>
      <c r="F778" s="15">
        <f>E778*C778</f>
        <v/>
      </c>
      <c r="G778" s="15" t="n">
        <v>0</v>
      </c>
      <c r="H778" s="15">
        <f>G778*C778</f>
        <v/>
      </c>
      <c r="I778" s="15" t="n">
        <v>3374</v>
      </c>
      <c r="J778" s="15">
        <f>I778*C778</f>
        <v/>
      </c>
      <c r="K778" s="15">
        <f>E778+G778+I778</f>
        <v/>
      </c>
      <c r="L778" s="15">
        <f>F778+H778+J778</f>
        <v/>
      </c>
      <c r="M778" s="18" t="n"/>
    </row>
    <row r="779">
      <c r="A779" s="25" t="inlineStr">
        <is>
          <t>10. 조 경 공</t>
        </is>
      </c>
      <c r="B779" s="26" t="n"/>
      <c r="C779" s="21" t="n"/>
      <c r="D779" s="22" t="n"/>
      <c r="E779" s="21" t="n"/>
      <c r="F779" s="27" t="n"/>
      <c r="G779" s="21" t="n"/>
      <c r="H779" s="27" t="n"/>
      <c r="I779" s="21" t="n"/>
      <c r="J779" s="27" t="n"/>
      <c r="K779" s="21" t="n"/>
      <c r="L779" s="27" t="n"/>
      <c r="M779" s="24" t="n"/>
    </row>
    <row r="780">
      <c r="A780" s="28" t="inlineStr">
        <is>
          <t>가. 소공원 1</t>
        </is>
      </c>
      <c r="B780" s="28" t="n"/>
      <c r="C780" s="17" t="n"/>
      <c r="D780" s="16" t="n"/>
      <c r="E780" s="17" t="n"/>
      <c r="F780" s="29" t="n"/>
      <c r="G780" s="17" t="n"/>
      <c r="H780" s="29" t="n"/>
      <c r="I780" s="17" t="n"/>
      <c r="J780" s="29" t="n"/>
      <c r="K780" s="17" t="n"/>
      <c r="L780" s="29" t="n"/>
      <c r="M780" s="18" t="n"/>
    </row>
    <row r="781">
      <c r="A781" s="28" t="inlineStr">
        <is>
          <t>1). 식재</t>
        </is>
      </c>
      <c r="B781" s="28" t="n"/>
      <c r="C781" s="17" t="n"/>
      <c r="D781" s="16" t="n"/>
      <c r="E781" s="17" t="n"/>
      <c r="F781" s="29" t="n"/>
      <c r="G781" s="17" t="n"/>
      <c r="H781" s="29" t="n"/>
      <c r="I781" s="17" t="n"/>
      <c r="J781" s="29" t="n"/>
      <c r="K781" s="17" t="n"/>
      <c r="L781" s="29" t="n"/>
      <c r="M781" s="18" t="n"/>
    </row>
    <row r="782">
      <c r="A782" s="14" t="inlineStr">
        <is>
          <t>가). 소나무</t>
        </is>
      </c>
      <c r="B782" s="14" t="inlineStr">
        <is>
          <t>H4.0xW2.0xR15</t>
        </is>
      </c>
      <c r="C782" s="15" t="n">
        <v>10</v>
      </c>
      <c r="D782" s="16" t="inlineStr">
        <is>
          <t>주</t>
        </is>
      </c>
      <c r="E782" s="15" t="n">
        <v>0</v>
      </c>
      <c r="F782" s="15">
        <f>E782*C782</f>
        <v/>
      </c>
      <c r="G782" s="15" t="n">
        <v>0</v>
      </c>
      <c r="H782" s="15">
        <f>G782*C782</f>
        <v/>
      </c>
      <c r="I782" s="15" t="n">
        <v>643148</v>
      </c>
      <c r="J782" s="15">
        <f>I782*C782</f>
        <v/>
      </c>
      <c r="K782" s="15">
        <f>E782+G782+I782</f>
        <v/>
      </c>
      <c r="L782" s="15">
        <f>F782+H782+J782</f>
        <v/>
      </c>
      <c r="M782" s="18" t="n"/>
    </row>
    <row r="783">
      <c r="A783" s="14" t="inlineStr">
        <is>
          <t>나). 스트로브잣</t>
        </is>
      </c>
      <c r="B783" s="14" t="inlineStr">
        <is>
          <t>H3.5xW1.8</t>
        </is>
      </c>
      <c r="C783" s="15" t="n">
        <v>55</v>
      </c>
      <c r="D783" s="16" t="inlineStr">
        <is>
          <t>주</t>
        </is>
      </c>
      <c r="E783" s="15" t="n">
        <v>0</v>
      </c>
      <c r="F783" s="15">
        <f>E783*C783</f>
        <v/>
      </c>
      <c r="G783" s="15" t="n">
        <v>0</v>
      </c>
      <c r="H783" s="15">
        <f>G783*C783</f>
        <v/>
      </c>
      <c r="I783" s="15" t="n">
        <v>993957</v>
      </c>
      <c r="J783" s="15">
        <f>I783*C783</f>
        <v/>
      </c>
      <c r="K783" s="15">
        <f>E783+G783+I783</f>
        <v/>
      </c>
      <c r="L783" s="15">
        <f>F783+H783+J783</f>
        <v/>
      </c>
      <c r="M783" s="18" t="n"/>
    </row>
    <row r="784">
      <c r="A784" s="14" t="inlineStr">
        <is>
          <t>다). 느티나무</t>
        </is>
      </c>
      <c r="B784" s="14" t="inlineStr">
        <is>
          <t>H4.0xR15</t>
        </is>
      </c>
      <c r="C784" s="15" t="n">
        <v>7</v>
      </c>
      <c r="D784" s="16" t="inlineStr">
        <is>
          <t>주</t>
        </is>
      </c>
      <c r="E784" s="15" t="n">
        <v>0</v>
      </c>
      <c r="F784" s="15">
        <f>E784*C784</f>
        <v/>
      </c>
      <c r="G784" s="15" t="n">
        <v>0</v>
      </c>
      <c r="H784" s="15">
        <f>G784*C784</f>
        <v/>
      </c>
      <c r="I784" s="15" t="n">
        <v>175404</v>
      </c>
      <c r="J784" s="15">
        <f>I784*C784</f>
        <v/>
      </c>
      <c r="K784" s="15">
        <f>E784+G784+I784</f>
        <v/>
      </c>
      <c r="L784" s="15">
        <f>F784+H784+J784</f>
        <v/>
      </c>
      <c r="M784" s="18" t="n"/>
    </row>
    <row r="785">
      <c r="A785" s="14" t="inlineStr">
        <is>
          <t>라). 배롱나무</t>
        </is>
      </c>
      <c r="B785" s="14" t="inlineStr">
        <is>
          <t>H3.0xR10</t>
        </is>
      </c>
      <c r="C785" s="15" t="n">
        <v>3</v>
      </c>
      <c r="D785" s="16" t="inlineStr">
        <is>
          <t>주</t>
        </is>
      </c>
      <c r="E785" s="15" t="n">
        <v>0</v>
      </c>
      <c r="F785" s="15">
        <f>E785*C785</f>
        <v/>
      </c>
      <c r="G785" s="15" t="n">
        <v>0</v>
      </c>
      <c r="H785" s="15">
        <f>G785*C785</f>
        <v/>
      </c>
      <c r="I785" s="15" t="n">
        <v>140323</v>
      </c>
      <c r="J785" s="15">
        <f>I785*C785</f>
        <v/>
      </c>
      <c r="K785" s="15">
        <f>E785+G785+I785</f>
        <v/>
      </c>
      <c r="L785" s="15">
        <f>F785+H785+J785</f>
        <v/>
      </c>
      <c r="M785" s="18" t="n"/>
    </row>
    <row r="786">
      <c r="A786" s="14" t="inlineStr">
        <is>
          <t>마). 왕벚나무</t>
        </is>
      </c>
      <c r="B786" s="14" t="inlineStr">
        <is>
          <t>H3.5xB8</t>
        </is>
      </c>
      <c r="C786" s="15" t="n">
        <v>8</v>
      </c>
      <c r="D786" s="16" t="inlineStr">
        <is>
          <t>주</t>
        </is>
      </c>
      <c r="E786" s="15" t="n">
        <v>0</v>
      </c>
      <c r="F786" s="15">
        <f>E786*C786</f>
        <v/>
      </c>
      <c r="G786" s="15" t="n">
        <v>0</v>
      </c>
      <c r="H786" s="15">
        <f>G786*C786</f>
        <v/>
      </c>
      <c r="I786" s="15" t="n">
        <v>175404</v>
      </c>
      <c r="J786" s="15">
        <f>I786*C786</f>
        <v/>
      </c>
      <c r="K786" s="15">
        <f>E786+G786+I786</f>
        <v/>
      </c>
      <c r="L786" s="15">
        <f>F786+H786+J786</f>
        <v/>
      </c>
      <c r="M786" s="18" t="n"/>
    </row>
    <row r="787">
      <c r="A787" s="14" t="inlineStr">
        <is>
          <t>바). 청단풍</t>
        </is>
      </c>
      <c r="B787" s="14" t="inlineStr">
        <is>
          <t>H3.0xR8</t>
        </is>
      </c>
      <c r="C787" s="15" t="n">
        <v>15</v>
      </c>
      <c r="D787" s="16" t="inlineStr">
        <is>
          <t>주</t>
        </is>
      </c>
      <c r="E787" s="15" t="n">
        <v>0</v>
      </c>
      <c r="F787" s="15">
        <f>E787*C787</f>
        <v/>
      </c>
      <c r="G787" s="15" t="n">
        <v>0</v>
      </c>
      <c r="H787" s="15">
        <f>G787*C787</f>
        <v/>
      </c>
      <c r="I787" s="15" t="n">
        <v>140323</v>
      </c>
      <c r="J787" s="15">
        <f>I787*C787</f>
        <v/>
      </c>
      <c r="K787" s="15">
        <f>E787+G787+I787</f>
        <v/>
      </c>
      <c r="L787" s="15">
        <f>F787+H787+J787</f>
        <v/>
      </c>
      <c r="M787" s="18" t="n"/>
    </row>
    <row r="788">
      <c r="A788" s="14" t="inlineStr">
        <is>
          <t>사). 이팝나무</t>
        </is>
      </c>
      <c r="B788" s="14" t="inlineStr">
        <is>
          <t>H3.0xR8</t>
        </is>
      </c>
      <c r="C788" s="15" t="n">
        <v>21</v>
      </c>
      <c r="D788" s="16" t="inlineStr">
        <is>
          <t>주</t>
        </is>
      </c>
      <c r="E788" s="15" t="n">
        <v>0</v>
      </c>
      <c r="F788" s="15">
        <f>E788*C788</f>
        <v/>
      </c>
      <c r="G788" s="15" t="n">
        <v>0</v>
      </c>
      <c r="H788" s="15">
        <f>G788*C788</f>
        <v/>
      </c>
      <c r="I788" s="15" t="n">
        <v>140323</v>
      </c>
      <c r="J788" s="15">
        <f>I788*C788</f>
        <v/>
      </c>
      <c r="K788" s="15">
        <f>E788+G788+I788</f>
        <v/>
      </c>
      <c r="L788" s="15">
        <f>F788+H788+J788</f>
        <v/>
      </c>
      <c r="M788" s="18" t="n"/>
    </row>
    <row r="789">
      <c r="A789" s="14" t="inlineStr">
        <is>
          <t>아). 복자기</t>
        </is>
      </c>
      <c r="B789" s="14" t="inlineStr">
        <is>
          <t>H3.5xR8</t>
        </is>
      </c>
      <c r="C789" s="15" t="n">
        <v>20</v>
      </c>
      <c r="D789" s="16" t="inlineStr">
        <is>
          <t>주</t>
        </is>
      </c>
      <c r="E789" s="15" t="n">
        <v>0</v>
      </c>
      <c r="F789" s="15">
        <f>E789*C789</f>
        <v/>
      </c>
      <c r="G789" s="15" t="n">
        <v>0</v>
      </c>
      <c r="H789" s="15">
        <f>G789*C789</f>
        <v/>
      </c>
      <c r="I789" s="15" t="n">
        <v>157864</v>
      </c>
      <c r="J789" s="15">
        <f>I789*C789</f>
        <v/>
      </c>
      <c r="K789" s="15">
        <f>E789+G789+I789</f>
        <v/>
      </c>
      <c r="L789" s="15">
        <f>F789+H789+J789</f>
        <v/>
      </c>
      <c r="M789" s="18" t="n"/>
    </row>
    <row r="790">
      <c r="A790" s="14" t="inlineStr">
        <is>
          <t>자). 영산홍</t>
        </is>
      </c>
      <c r="B790" s="14" t="inlineStr">
        <is>
          <t>H0.3xW0.3</t>
        </is>
      </c>
      <c r="C790" s="15" t="n">
        <v>1770</v>
      </c>
      <c r="D790" s="16" t="inlineStr">
        <is>
          <t>주</t>
        </is>
      </c>
      <c r="E790" s="15" t="n">
        <v>0</v>
      </c>
      <c r="F790" s="15">
        <f>E790*C790</f>
        <v/>
      </c>
      <c r="G790" s="15" t="n">
        <v>0</v>
      </c>
      <c r="H790" s="15">
        <f>G790*C790</f>
        <v/>
      </c>
      <c r="I790" s="15" t="n">
        <v>4093</v>
      </c>
      <c r="J790" s="15">
        <f>I790*C790</f>
        <v/>
      </c>
      <c r="K790" s="15">
        <f>E790+G790+I790</f>
        <v/>
      </c>
      <c r="L790" s="15">
        <f>F790+H790+J790</f>
        <v/>
      </c>
      <c r="M790" s="18" t="n"/>
    </row>
    <row r="791">
      <c r="A791" s="14" t="inlineStr">
        <is>
          <t>차). 산철쭉</t>
        </is>
      </c>
      <c r="B791" s="14" t="inlineStr">
        <is>
          <t>H0.3xW0.3</t>
        </is>
      </c>
      <c r="C791" s="15" t="n">
        <v>1250</v>
      </c>
      <c r="D791" s="16" t="inlineStr">
        <is>
          <t>주</t>
        </is>
      </c>
      <c r="E791" s="15" t="n">
        <v>0</v>
      </c>
      <c r="F791" s="15">
        <f>E791*C791</f>
        <v/>
      </c>
      <c r="G791" s="15" t="n">
        <v>0</v>
      </c>
      <c r="H791" s="15">
        <f>G791*C791</f>
        <v/>
      </c>
      <c r="I791" s="15" t="n">
        <v>4093</v>
      </c>
      <c r="J791" s="15">
        <f>I791*C791</f>
        <v/>
      </c>
      <c r="K791" s="15">
        <f>E791+G791+I791</f>
        <v/>
      </c>
      <c r="L791" s="15">
        <f>F791+H791+J791</f>
        <v/>
      </c>
      <c r="M791" s="18" t="n"/>
    </row>
    <row r="792">
      <c r="A792" s="14" t="inlineStr">
        <is>
          <t>카). 잔디(평떼)</t>
        </is>
      </c>
      <c r="B792" s="14" t="inlineStr">
        <is>
          <t>0.3x0.3x0.03</t>
        </is>
      </c>
      <c r="C792" s="15" t="n">
        <v>1100</v>
      </c>
      <c r="D792" s="16" t="inlineStr">
        <is>
          <t>m2</t>
        </is>
      </c>
      <c r="E792" s="15" t="n">
        <v>0</v>
      </c>
      <c r="F792" s="15">
        <f>E792*C792</f>
        <v/>
      </c>
      <c r="G792" s="15" t="n">
        <v>0</v>
      </c>
      <c r="H792" s="15">
        <f>G792*C792</f>
        <v/>
      </c>
      <c r="I792" s="15" t="n">
        <v>19880</v>
      </c>
      <c r="J792" s="15">
        <f>I792*C792</f>
        <v/>
      </c>
      <c r="K792" s="15">
        <f>E792+G792+I792</f>
        <v/>
      </c>
      <c r="L792" s="15">
        <f>F792+H792+J792</f>
        <v/>
      </c>
      <c r="M792" s="18" t="n"/>
    </row>
    <row r="793">
      <c r="A793" s="28" t="inlineStr">
        <is>
          <t>2). 시설물</t>
        </is>
      </c>
      <c r="B793" s="28" t="n"/>
      <c r="C793" s="17" t="n"/>
      <c r="D793" s="16" t="n"/>
      <c r="E793" s="17" t="n"/>
      <c r="F793" s="29" t="n"/>
      <c r="G793" s="17" t="n"/>
      <c r="H793" s="29" t="n"/>
      <c r="I793" s="17" t="n"/>
      <c r="J793" s="29" t="n"/>
      <c r="K793" s="17" t="n"/>
      <c r="L793" s="29" t="n"/>
      <c r="M793" s="18" t="n"/>
    </row>
    <row r="794">
      <c r="A794" s="14" t="inlineStr">
        <is>
          <t>가). 생활체육시설A</t>
        </is>
      </c>
      <c r="B794" s="14" t="inlineStr">
        <is>
          <t>1850*840*H1760</t>
        </is>
      </c>
      <c r="C794" s="15" t="n">
        <v>1</v>
      </c>
      <c r="D794" s="16" t="inlineStr">
        <is>
          <t>EA</t>
        </is>
      </c>
      <c r="E794" s="15" t="n">
        <v>0</v>
      </c>
      <c r="F794" s="15">
        <f>E794*C794</f>
        <v/>
      </c>
      <c r="G794" s="15" t="n">
        <v>0</v>
      </c>
      <c r="H794" s="15">
        <f>G794*C794</f>
        <v/>
      </c>
      <c r="I794" s="15" t="n">
        <v>2923402</v>
      </c>
      <c r="J794" s="15">
        <f>I794*C794</f>
        <v/>
      </c>
      <c r="K794" s="15">
        <f>E794+G794+I794</f>
        <v/>
      </c>
      <c r="L794" s="15">
        <f>F794+H794+J794</f>
        <v/>
      </c>
      <c r="M794" s="18" t="n"/>
    </row>
    <row r="795">
      <c r="A795" s="14" t="inlineStr">
        <is>
          <t>나). 생활체육시설B</t>
        </is>
      </c>
      <c r="B795" s="14" t="inlineStr">
        <is>
          <t>2836*600*H1760</t>
        </is>
      </c>
      <c r="C795" s="15" t="n">
        <v>1</v>
      </c>
      <c r="D795" s="16" t="inlineStr">
        <is>
          <t>EA</t>
        </is>
      </c>
      <c r="E795" s="15" t="n">
        <v>0</v>
      </c>
      <c r="F795" s="15">
        <f>E795*C795</f>
        <v/>
      </c>
      <c r="G795" s="15" t="n">
        <v>0</v>
      </c>
      <c r="H795" s="15">
        <f>G795*C795</f>
        <v/>
      </c>
      <c r="I795" s="15" t="n">
        <v>4677443</v>
      </c>
      <c r="J795" s="15">
        <f>I795*C795</f>
        <v/>
      </c>
      <c r="K795" s="15">
        <f>E795+G795+I795</f>
        <v/>
      </c>
      <c r="L795" s="15">
        <f>F795+H795+J795</f>
        <v/>
      </c>
      <c r="M795" s="18" t="n"/>
    </row>
    <row r="796">
      <c r="A796" s="14" t="inlineStr">
        <is>
          <t>다). 생활체육시설C</t>
        </is>
      </c>
      <c r="B796" s="14" t="inlineStr">
        <is>
          <t>2200*750*H1760</t>
        </is>
      </c>
      <c r="C796" s="15" t="n">
        <v>1</v>
      </c>
      <c r="D796" s="16" t="inlineStr">
        <is>
          <t>EA</t>
        </is>
      </c>
      <c r="E796" s="15" t="n">
        <v>0</v>
      </c>
      <c r="F796" s="15">
        <f>E796*C796</f>
        <v/>
      </c>
      <c r="G796" s="15" t="n">
        <v>0</v>
      </c>
      <c r="H796" s="15">
        <f>G796*C796</f>
        <v/>
      </c>
      <c r="I796" s="15" t="n">
        <v>4092763</v>
      </c>
      <c r="J796" s="15">
        <f>I796*C796</f>
        <v/>
      </c>
      <c r="K796" s="15">
        <f>E796+G796+I796</f>
        <v/>
      </c>
      <c r="L796" s="15">
        <f>F796+H796+J796</f>
        <v/>
      </c>
      <c r="M796" s="18" t="n"/>
    </row>
    <row r="797">
      <c r="A797" s="14" t="inlineStr">
        <is>
          <t>라). 생활체육시설D</t>
        </is>
      </c>
      <c r="B797" s="14" t="inlineStr">
        <is>
          <t>2470*750*H1760</t>
        </is>
      </c>
      <c r="C797" s="15" t="n">
        <v>1</v>
      </c>
      <c r="D797" s="16" t="inlineStr">
        <is>
          <t>EA</t>
        </is>
      </c>
      <c r="E797" s="15" t="n">
        <v>0</v>
      </c>
      <c r="F797" s="15">
        <f>E797*C797</f>
        <v/>
      </c>
      <c r="G797" s="15" t="n">
        <v>0</v>
      </c>
      <c r="H797" s="15">
        <f>G797*C797</f>
        <v/>
      </c>
      <c r="I797" s="15" t="n">
        <v>4092763</v>
      </c>
      <c r="J797" s="15">
        <f>I797*C797</f>
        <v/>
      </c>
      <c r="K797" s="15">
        <f>E797+G797+I797</f>
        <v/>
      </c>
      <c r="L797" s="15">
        <f>F797+H797+J797</f>
        <v/>
      </c>
      <c r="M797" s="18" t="n"/>
    </row>
    <row r="798">
      <c r="A798" s="14" t="inlineStr">
        <is>
          <t>마). 파고라A</t>
        </is>
      </c>
      <c r="B798" s="14" t="inlineStr">
        <is>
          <t>5000*3200*H2700</t>
        </is>
      </c>
      <c r="C798" s="15" t="n">
        <v>1</v>
      </c>
      <c r="D798" s="16" t="inlineStr">
        <is>
          <t>개소</t>
        </is>
      </c>
      <c r="E798" s="15" t="n">
        <v>0</v>
      </c>
      <c r="F798" s="15">
        <f>E798*C798</f>
        <v/>
      </c>
      <c r="G798" s="15" t="n">
        <v>0</v>
      </c>
      <c r="H798" s="15">
        <f>G798*C798</f>
        <v/>
      </c>
      <c r="I798" s="15" t="n">
        <v>14617010</v>
      </c>
      <c r="J798" s="15">
        <f>I798*C798</f>
        <v/>
      </c>
      <c r="K798" s="15">
        <f>E798+G798+I798</f>
        <v/>
      </c>
      <c r="L798" s="15">
        <f>F798+H798+J798</f>
        <v/>
      </c>
      <c r="M798" s="18" t="n"/>
    </row>
    <row r="799">
      <c r="A799" s="14" t="inlineStr">
        <is>
          <t>바). 등의자</t>
        </is>
      </c>
      <c r="B799" s="14" t="inlineStr">
        <is>
          <t>1600*533*H766</t>
        </is>
      </c>
      <c r="C799" s="15" t="n">
        <v>9</v>
      </c>
      <c r="D799" s="16" t="inlineStr">
        <is>
          <t>EA</t>
        </is>
      </c>
      <c r="E799" s="15" t="n">
        <v>0</v>
      </c>
      <c r="F799" s="15">
        <f>E799*C799</f>
        <v/>
      </c>
      <c r="G799" s="15" t="n">
        <v>0</v>
      </c>
      <c r="H799" s="15">
        <f>G799*C799</f>
        <v/>
      </c>
      <c r="I799" s="15" t="n">
        <v>1578637</v>
      </c>
      <c r="J799" s="15">
        <f>I799*C799</f>
        <v/>
      </c>
      <c r="K799" s="15">
        <f>E799+G799+I799</f>
        <v/>
      </c>
      <c r="L799" s="15">
        <f>F799+H799+J799</f>
        <v/>
      </c>
      <c r="M799" s="18" t="n"/>
    </row>
    <row r="800">
      <c r="A800" s="14" t="inlineStr">
        <is>
          <t>사). 플랜터형의자</t>
        </is>
      </c>
      <c r="B800" s="14" t="inlineStr">
        <is>
          <t>2200*2200*H700</t>
        </is>
      </c>
      <c r="C800" s="15" t="n">
        <v>3</v>
      </c>
      <c r="D800" s="16" t="inlineStr">
        <is>
          <t>EA</t>
        </is>
      </c>
      <c r="E800" s="15" t="n">
        <v>0</v>
      </c>
      <c r="F800" s="15">
        <f>E800*C800</f>
        <v/>
      </c>
      <c r="G800" s="15" t="n">
        <v>0</v>
      </c>
      <c r="H800" s="15">
        <f>G800*C800</f>
        <v/>
      </c>
      <c r="I800" s="15" t="n">
        <v>2455657</v>
      </c>
      <c r="J800" s="15">
        <f>I800*C800</f>
        <v/>
      </c>
      <c r="K800" s="15">
        <f>E800+G800+I800</f>
        <v/>
      </c>
      <c r="L800" s="15">
        <f>F800+H800+J800</f>
        <v/>
      </c>
      <c r="M800" s="18" t="n"/>
    </row>
    <row r="801">
      <c r="A801" s="28" t="inlineStr">
        <is>
          <t>3). 포장</t>
        </is>
      </c>
      <c r="B801" s="28" t="n"/>
      <c r="C801" s="17" t="n"/>
      <c r="D801" s="16" t="n"/>
      <c r="E801" s="17" t="n"/>
      <c r="F801" s="29" t="n"/>
      <c r="G801" s="17" t="n"/>
      <c r="H801" s="29" t="n"/>
      <c r="I801" s="17" t="n"/>
      <c r="J801" s="29" t="n"/>
      <c r="K801" s="17" t="n"/>
      <c r="L801" s="29" t="n"/>
      <c r="M801" s="18" t="n"/>
    </row>
    <row r="802">
      <c r="A802" s="14" t="inlineStr">
        <is>
          <t>가). 투수블럭포장 A</t>
        </is>
      </c>
      <c r="B802" s="14" t="inlineStr">
        <is>
          <t>T60</t>
        </is>
      </c>
      <c r="C802" s="15" t="n">
        <v>68</v>
      </c>
      <c r="D802" s="16" t="inlineStr">
        <is>
          <t>m2</t>
        </is>
      </c>
      <c r="E802" s="15" t="n">
        <v>0</v>
      </c>
      <c r="F802" s="15">
        <f>E802*C802</f>
        <v/>
      </c>
      <c r="G802" s="15" t="n">
        <v>0</v>
      </c>
      <c r="H802" s="15">
        <f>G802*C802</f>
        <v/>
      </c>
      <c r="I802" s="15" t="n">
        <v>22803</v>
      </c>
      <c r="J802" s="15">
        <f>I802*C802</f>
        <v/>
      </c>
      <c r="K802" s="15">
        <f>E802+G802+I802</f>
        <v/>
      </c>
      <c r="L802" s="15">
        <f>F802+H802+J802</f>
        <v/>
      </c>
      <c r="M802" s="18" t="n"/>
    </row>
    <row r="803">
      <c r="A803" s="14" t="inlineStr">
        <is>
          <t>나). 투수블럭포장 B</t>
        </is>
      </c>
      <c r="B803" s="14" t="inlineStr">
        <is>
          <t>T80</t>
        </is>
      </c>
      <c r="C803" s="15" t="n">
        <v>143</v>
      </c>
      <c r="D803" s="16" t="inlineStr">
        <is>
          <t>m2</t>
        </is>
      </c>
      <c r="E803" s="15" t="n">
        <v>0</v>
      </c>
      <c r="F803" s="15">
        <f>E803*C803</f>
        <v/>
      </c>
      <c r="G803" s="15" t="n">
        <v>0</v>
      </c>
      <c r="H803" s="15">
        <f>G803*C803</f>
        <v/>
      </c>
      <c r="I803" s="15" t="n">
        <v>34496</v>
      </c>
      <c r="J803" s="15">
        <f>I803*C803</f>
        <v/>
      </c>
      <c r="K803" s="15">
        <f>E803+G803+I803</f>
        <v/>
      </c>
      <c r="L803" s="15">
        <f>F803+H803+J803</f>
        <v/>
      </c>
      <c r="M803" s="18" t="n"/>
    </row>
    <row r="804">
      <c r="A804" s="14" t="inlineStr">
        <is>
          <t>다). 흙콘크리트포장</t>
        </is>
      </c>
      <c r="B804" s="14" t="inlineStr">
        <is>
          <t>T150</t>
        </is>
      </c>
      <c r="C804" s="15" t="n">
        <v>224</v>
      </c>
      <c r="D804" s="16" t="inlineStr">
        <is>
          <t>m2</t>
        </is>
      </c>
      <c r="E804" s="15" t="n">
        <v>0</v>
      </c>
      <c r="F804" s="15">
        <f>E804*C804</f>
        <v/>
      </c>
      <c r="G804" s="15" t="n">
        <v>0</v>
      </c>
      <c r="H804" s="15">
        <f>G804*C804</f>
        <v/>
      </c>
      <c r="I804" s="15" t="n">
        <v>49114</v>
      </c>
      <c r="J804" s="15">
        <f>I804*C804</f>
        <v/>
      </c>
      <c r="K804" s="15">
        <f>E804+G804+I804</f>
        <v/>
      </c>
      <c r="L804" s="15">
        <f>F804+H804+J804</f>
        <v/>
      </c>
      <c r="M804" s="18" t="n"/>
    </row>
    <row r="805">
      <c r="A805" s="14" t="inlineStr">
        <is>
          <t>라). 흙콘크리트거푸집</t>
        </is>
      </c>
      <c r="B805" s="14" t="inlineStr">
        <is>
          <t>H150</t>
        </is>
      </c>
      <c r="C805" s="15" t="n">
        <v>315</v>
      </c>
      <c r="D805" s="16" t="inlineStr">
        <is>
          <t>m</t>
        </is>
      </c>
      <c r="E805" s="15" t="n">
        <v>0</v>
      </c>
      <c r="F805" s="15">
        <f>E805*C805</f>
        <v/>
      </c>
      <c r="G805" s="15" t="n">
        <v>0</v>
      </c>
      <c r="H805" s="15">
        <f>G805*C805</f>
        <v/>
      </c>
      <c r="I805" s="15" t="n">
        <v>29234</v>
      </c>
      <c r="J805" s="15">
        <f>I805*C805</f>
        <v/>
      </c>
      <c r="K805" s="15">
        <f>E805+G805+I805</f>
        <v/>
      </c>
      <c r="L805" s="15">
        <f>F805+H805+J805</f>
        <v/>
      </c>
      <c r="M805" s="18" t="n"/>
    </row>
    <row r="806">
      <c r="A806" s="14" t="inlineStr">
        <is>
          <t>마). 야자매트</t>
        </is>
      </c>
      <c r="B806" s="14" t="inlineStr">
        <is>
          <t>T35</t>
        </is>
      </c>
      <c r="C806" s="15" t="n">
        <v>17</v>
      </c>
      <c r="D806" s="16" t="inlineStr">
        <is>
          <t>m2</t>
        </is>
      </c>
      <c r="E806" s="15" t="n">
        <v>0</v>
      </c>
      <c r="F806" s="15">
        <f>E806*C806</f>
        <v/>
      </c>
      <c r="G806" s="15" t="n">
        <v>0</v>
      </c>
      <c r="H806" s="15">
        <f>G806*C806</f>
        <v/>
      </c>
      <c r="I806" s="15" t="n">
        <v>40927</v>
      </c>
      <c r="J806" s="15">
        <f>I806*C806</f>
        <v/>
      </c>
      <c r="K806" s="15">
        <f>E806+G806+I806</f>
        <v/>
      </c>
      <c r="L806" s="15">
        <f>F806+H806+J806</f>
        <v/>
      </c>
      <c r="M806" s="18" t="n"/>
    </row>
    <row r="807">
      <c r="A807" s="14" t="inlineStr">
        <is>
          <t>바). 녹지경계석(직선)</t>
        </is>
      </c>
      <c r="B807" s="14" t="inlineStr">
        <is>
          <t>150x150x1000</t>
        </is>
      </c>
      <c r="C807" s="15" t="n">
        <v>459</v>
      </c>
      <c r="D807" s="16" t="inlineStr">
        <is>
          <t>m</t>
        </is>
      </c>
      <c r="E807" s="15" t="n">
        <v>0</v>
      </c>
      <c r="F807" s="15">
        <f>E807*C807</f>
        <v/>
      </c>
      <c r="G807" s="15" t="n">
        <v>0</v>
      </c>
      <c r="H807" s="15">
        <f>G807*C807</f>
        <v/>
      </c>
      <c r="I807" s="15" t="n">
        <v>22217</v>
      </c>
      <c r="J807" s="15">
        <f>I807*C807</f>
        <v/>
      </c>
      <c r="K807" s="15">
        <f>E807+G807+I807</f>
        <v/>
      </c>
      <c r="L807" s="15">
        <f>F807+H807+J807</f>
        <v/>
      </c>
      <c r="M807" s="18" t="n"/>
    </row>
    <row r="808">
      <c r="A808" s="14" t="inlineStr">
        <is>
          <t>사). 포장경계석(직선)</t>
        </is>
      </c>
      <c r="B808" s="14" t="inlineStr">
        <is>
          <t>100x100x1000</t>
        </is>
      </c>
      <c r="C808" s="15" t="n">
        <v>10</v>
      </c>
      <c r="D808" s="16" t="inlineStr">
        <is>
          <t>m</t>
        </is>
      </c>
      <c r="E808" s="15" t="n">
        <v>0</v>
      </c>
      <c r="F808" s="15">
        <f>E808*C808</f>
        <v/>
      </c>
      <c r="G808" s="15" t="n">
        <v>0</v>
      </c>
      <c r="H808" s="15">
        <f>G808*C808</f>
        <v/>
      </c>
      <c r="I808" s="15" t="n">
        <v>19880</v>
      </c>
      <c r="J808" s="15">
        <f>I808*C808</f>
        <v/>
      </c>
      <c r="K808" s="15">
        <f>E808+G808+I808</f>
        <v/>
      </c>
      <c r="L808" s="15">
        <f>F808+H808+J808</f>
        <v/>
      </c>
      <c r="M808" s="18" t="n"/>
    </row>
    <row r="809">
      <c r="A809" s="28" t="inlineStr">
        <is>
          <t>4). 우수</t>
        </is>
      </c>
      <c r="B809" s="28" t="n"/>
      <c r="C809" s="17" t="n"/>
      <c r="D809" s="16" t="n"/>
      <c r="E809" s="17" t="n"/>
      <c r="F809" s="29" t="n"/>
      <c r="G809" s="17" t="n"/>
      <c r="H809" s="29" t="n"/>
      <c r="I809" s="17" t="n"/>
      <c r="J809" s="29" t="n"/>
      <c r="K809" s="17" t="n"/>
      <c r="L809" s="29" t="n"/>
      <c r="M809" s="18" t="n"/>
    </row>
    <row r="810">
      <c r="A810" s="14" t="inlineStr">
        <is>
          <t>가). 집수정</t>
        </is>
      </c>
      <c r="B810" s="14" t="inlineStr">
        <is>
          <t>600*600*H900</t>
        </is>
      </c>
      <c r="C810" s="15" t="n">
        <v>4</v>
      </c>
      <c r="D810" s="16" t="inlineStr">
        <is>
          <t>EA</t>
        </is>
      </c>
      <c r="E810" s="15" t="n">
        <v>0</v>
      </c>
      <c r="F810" s="15">
        <f>E810*C810</f>
        <v/>
      </c>
      <c r="G810" s="15" t="n">
        <v>0</v>
      </c>
      <c r="H810" s="15">
        <f>G810*C810</f>
        <v/>
      </c>
      <c r="I810" s="15" t="n">
        <v>409277</v>
      </c>
      <c r="J810" s="15">
        <f>I810*C810</f>
        <v/>
      </c>
      <c r="K810" s="15">
        <f>E810+G810+I810</f>
        <v/>
      </c>
      <c r="L810" s="15">
        <f>F810+H810+J810</f>
        <v/>
      </c>
      <c r="M810" s="18" t="n"/>
    </row>
    <row r="811">
      <c r="A811" s="14" t="inlineStr">
        <is>
          <t>나). 맹암거(간선)</t>
        </is>
      </c>
      <c r="B811" s="14" t="inlineStr">
        <is>
          <t>D300</t>
        </is>
      </c>
      <c r="C811" s="15" t="n">
        <v>24</v>
      </c>
      <c r="D811" s="16" t="inlineStr">
        <is>
          <t>M</t>
        </is>
      </c>
      <c r="E811" s="15" t="n">
        <v>0</v>
      </c>
      <c r="F811" s="15">
        <f>E811*C811</f>
        <v/>
      </c>
      <c r="G811" s="15" t="n">
        <v>0</v>
      </c>
      <c r="H811" s="15">
        <f>G811*C811</f>
        <v/>
      </c>
      <c r="I811" s="15" t="n">
        <v>18710</v>
      </c>
      <c r="J811" s="15">
        <f>I811*C811</f>
        <v/>
      </c>
      <c r="K811" s="15">
        <f>E811+G811+I811</f>
        <v/>
      </c>
      <c r="L811" s="15">
        <f>F811+H811+J811</f>
        <v/>
      </c>
      <c r="M811" s="18" t="n"/>
    </row>
    <row r="812">
      <c r="A812" s="14" t="inlineStr">
        <is>
          <t>다). 맹암거(지선)</t>
        </is>
      </c>
      <c r="B812" s="14" t="inlineStr">
        <is>
          <t>D150</t>
        </is>
      </c>
      <c r="C812" s="15" t="n">
        <v>32</v>
      </c>
      <c r="D812" s="16" t="inlineStr">
        <is>
          <t>M</t>
        </is>
      </c>
      <c r="E812" s="15" t="n">
        <v>0</v>
      </c>
      <c r="F812" s="15">
        <f>E812*C812</f>
        <v/>
      </c>
      <c r="G812" s="15" t="n">
        <v>0</v>
      </c>
      <c r="H812" s="15">
        <f>G812*C812</f>
        <v/>
      </c>
      <c r="I812" s="15" t="n">
        <v>15202</v>
      </c>
      <c r="J812" s="15">
        <f>I812*C812</f>
        <v/>
      </c>
      <c r="K812" s="15">
        <f>E812+G812+I812</f>
        <v/>
      </c>
      <c r="L812" s="15">
        <f>F812+H812+J812</f>
        <v/>
      </c>
      <c r="M812" s="18" t="n"/>
    </row>
    <row r="813">
      <c r="A813" s="14" t="inlineStr">
        <is>
          <t>라). 우수관</t>
        </is>
      </c>
      <c r="B813" s="14" t="inlineStr">
        <is>
          <t>D300</t>
        </is>
      </c>
      <c r="C813" s="15" t="n">
        <v>61</v>
      </c>
      <c r="D813" s="16" t="inlineStr">
        <is>
          <t>m</t>
        </is>
      </c>
      <c r="E813" s="15" t="n">
        <v>0</v>
      </c>
      <c r="F813" s="15">
        <f>E813*C813</f>
        <v/>
      </c>
      <c r="G813" s="15" t="n">
        <v>0</v>
      </c>
      <c r="H813" s="15">
        <f>G813*C813</f>
        <v/>
      </c>
      <c r="I813" s="15" t="n">
        <v>40927</v>
      </c>
      <c r="J813" s="15">
        <f>I813*C813</f>
        <v/>
      </c>
      <c r="K813" s="15">
        <f>E813+G813+I813</f>
        <v/>
      </c>
      <c r="L813" s="15">
        <f>F813+H813+J813</f>
        <v/>
      </c>
      <c r="M813" s="18" t="n"/>
    </row>
    <row r="814">
      <c r="A814" s="14" t="inlineStr">
        <is>
          <t>마). 산마루측구</t>
        </is>
      </c>
      <c r="B814" s="14" t="inlineStr">
        <is>
          <t>W300</t>
        </is>
      </c>
      <c r="C814" s="15" t="n">
        <v>48</v>
      </c>
      <c r="D814" s="16" t="inlineStr">
        <is>
          <t>m</t>
        </is>
      </c>
      <c r="E814" s="15" t="n">
        <v>0</v>
      </c>
      <c r="F814" s="15">
        <f>E814*C814</f>
        <v/>
      </c>
      <c r="G814" s="15" t="n">
        <v>0</v>
      </c>
      <c r="H814" s="15">
        <f>G814*C814</f>
        <v/>
      </c>
      <c r="I814" s="15" t="n">
        <v>146170</v>
      </c>
      <c r="J814" s="15">
        <f>I814*C814</f>
        <v/>
      </c>
      <c r="K814" s="15">
        <f>E814+G814+I814</f>
        <v/>
      </c>
      <c r="L814" s="15">
        <f>F814+H814+J814</f>
        <v/>
      </c>
      <c r="M814" s="18" t="n"/>
    </row>
    <row r="815">
      <c r="A815" s="28" t="inlineStr">
        <is>
          <t>나. 소공원 2</t>
        </is>
      </c>
      <c r="B815" s="28" t="n"/>
      <c r="C815" s="17" t="n"/>
      <c r="D815" s="16" t="n"/>
      <c r="E815" s="17" t="n"/>
      <c r="F815" s="29" t="n"/>
      <c r="G815" s="17" t="n"/>
      <c r="H815" s="29" t="n"/>
      <c r="I815" s="17" t="n"/>
      <c r="J815" s="29" t="n"/>
      <c r="K815" s="17" t="n"/>
      <c r="L815" s="29" t="n"/>
      <c r="M815" s="18" t="n"/>
    </row>
    <row r="816">
      <c r="A816" s="28" t="inlineStr">
        <is>
          <t>1). 식재</t>
        </is>
      </c>
      <c r="B816" s="28" t="n"/>
      <c r="C816" s="17" t="n"/>
      <c r="D816" s="16" t="n"/>
      <c r="E816" s="17" t="n"/>
      <c r="F816" s="29" t="n"/>
      <c r="G816" s="17" t="n"/>
      <c r="H816" s="29" t="n"/>
      <c r="I816" s="17" t="n"/>
      <c r="J816" s="29" t="n"/>
      <c r="K816" s="17" t="n"/>
      <c r="L816" s="29" t="n"/>
      <c r="M816" s="18" t="n"/>
    </row>
    <row r="817">
      <c r="A817" s="14" t="inlineStr">
        <is>
          <t>가). 소나무</t>
        </is>
      </c>
      <c r="B817" s="14" t="inlineStr">
        <is>
          <t>H4.0xW2.0xR15</t>
        </is>
      </c>
      <c r="C817" s="15" t="n">
        <v>9</v>
      </c>
      <c r="D817" s="16" t="inlineStr">
        <is>
          <t>주</t>
        </is>
      </c>
      <c r="E817" s="15" t="n">
        <v>0</v>
      </c>
      <c r="F817" s="15">
        <f>E817*C817</f>
        <v/>
      </c>
      <c r="G817" s="15" t="n">
        <v>0</v>
      </c>
      <c r="H817" s="15">
        <f>G817*C817</f>
        <v/>
      </c>
      <c r="I817" s="15" t="n">
        <v>643148</v>
      </c>
      <c r="J817" s="15">
        <f>I817*C817</f>
        <v/>
      </c>
      <c r="K817" s="15">
        <f>E817+G817+I817</f>
        <v/>
      </c>
      <c r="L817" s="15">
        <f>F817+H817+J817</f>
        <v/>
      </c>
      <c r="M817" s="18" t="n"/>
    </row>
    <row r="818">
      <c r="A818" s="14" t="inlineStr">
        <is>
          <t>나). 스트로브잣</t>
        </is>
      </c>
      <c r="B818" s="14" t="inlineStr">
        <is>
          <t>H3.5xW1.8</t>
        </is>
      </c>
      <c r="C818" s="15" t="n">
        <v>27</v>
      </c>
      <c r="D818" s="16" t="inlineStr">
        <is>
          <t>주</t>
        </is>
      </c>
      <c r="E818" s="15" t="n">
        <v>0</v>
      </c>
      <c r="F818" s="15">
        <f>E818*C818</f>
        <v/>
      </c>
      <c r="G818" s="15" t="n">
        <v>0</v>
      </c>
      <c r="H818" s="15">
        <f>G818*C818</f>
        <v/>
      </c>
      <c r="I818" s="15" t="n">
        <v>993957</v>
      </c>
      <c r="J818" s="15">
        <f>I818*C818</f>
        <v/>
      </c>
      <c r="K818" s="15">
        <f>E818+G818+I818</f>
        <v/>
      </c>
      <c r="L818" s="15">
        <f>F818+H818+J818</f>
        <v/>
      </c>
      <c r="M818" s="18" t="n"/>
    </row>
    <row r="819">
      <c r="A819" s="14" t="inlineStr">
        <is>
          <t>다). 느티나무</t>
        </is>
      </c>
      <c r="B819" s="14" t="inlineStr">
        <is>
          <t>H4.0xR15</t>
        </is>
      </c>
      <c r="C819" s="15" t="n">
        <v>11</v>
      </c>
      <c r="D819" s="16" t="inlineStr">
        <is>
          <t>주</t>
        </is>
      </c>
      <c r="E819" s="15" t="n">
        <v>0</v>
      </c>
      <c r="F819" s="15">
        <f>E819*C819</f>
        <v/>
      </c>
      <c r="G819" s="15" t="n">
        <v>0</v>
      </c>
      <c r="H819" s="15">
        <f>G819*C819</f>
        <v/>
      </c>
      <c r="I819" s="15" t="n">
        <v>175404</v>
      </c>
      <c r="J819" s="15">
        <f>I819*C819</f>
        <v/>
      </c>
      <c r="K819" s="15">
        <f>E819+G819+I819</f>
        <v/>
      </c>
      <c r="L819" s="15">
        <f>F819+H819+J819</f>
        <v/>
      </c>
      <c r="M819" s="18" t="n"/>
    </row>
    <row r="820">
      <c r="A820" s="14" t="inlineStr">
        <is>
          <t>라). 배롱나무</t>
        </is>
      </c>
      <c r="B820" s="14" t="inlineStr">
        <is>
          <t>H3.0xR10</t>
        </is>
      </c>
      <c r="C820" s="15" t="n">
        <v>3</v>
      </c>
      <c r="D820" s="16" t="inlineStr">
        <is>
          <t>주</t>
        </is>
      </c>
      <c r="E820" s="15" t="n">
        <v>0</v>
      </c>
      <c r="F820" s="15">
        <f>E820*C820</f>
        <v/>
      </c>
      <c r="G820" s="15" t="n">
        <v>0</v>
      </c>
      <c r="H820" s="15">
        <f>G820*C820</f>
        <v/>
      </c>
      <c r="I820" s="15" t="n">
        <v>140323</v>
      </c>
      <c r="J820" s="15">
        <f>I820*C820</f>
        <v/>
      </c>
      <c r="K820" s="15">
        <f>E820+G820+I820</f>
        <v/>
      </c>
      <c r="L820" s="15">
        <f>F820+H820+J820</f>
        <v/>
      </c>
      <c r="M820" s="18" t="n"/>
    </row>
    <row r="821">
      <c r="A821" s="14" t="inlineStr">
        <is>
          <t>마). 왕벚나무</t>
        </is>
      </c>
      <c r="B821" s="14" t="inlineStr">
        <is>
          <t>H3.5xB8</t>
        </is>
      </c>
      <c r="C821" s="15" t="n">
        <v>14</v>
      </c>
      <c r="D821" s="16" t="inlineStr">
        <is>
          <t>주</t>
        </is>
      </c>
      <c r="E821" s="15" t="n">
        <v>0</v>
      </c>
      <c r="F821" s="15">
        <f>E821*C821</f>
        <v/>
      </c>
      <c r="G821" s="15" t="n">
        <v>0</v>
      </c>
      <c r="H821" s="15">
        <f>G821*C821</f>
        <v/>
      </c>
      <c r="I821" s="15" t="n">
        <v>175404</v>
      </c>
      <c r="J821" s="15">
        <f>I821*C821</f>
        <v/>
      </c>
      <c r="K821" s="15">
        <f>E821+G821+I821</f>
        <v/>
      </c>
      <c r="L821" s="15">
        <f>F821+H821+J821</f>
        <v/>
      </c>
      <c r="M821" s="18" t="n"/>
    </row>
    <row r="822">
      <c r="A822" s="14" t="inlineStr">
        <is>
          <t>바). 청단풍</t>
        </is>
      </c>
      <c r="B822" s="14" t="inlineStr">
        <is>
          <t>H3.0xR8</t>
        </is>
      </c>
      <c r="C822" s="15" t="n">
        <v>5</v>
      </c>
      <c r="D822" s="16" t="inlineStr">
        <is>
          <t>주</t>
        </is>
      </c>
      <c r="E822" s="15" t="n">
        <v>0</v>
      </c>
      <c r="F822" s="15">
        <f>E822*C822</f>
        <v/>
      </c>
      <c r="G822" s="15" t="n">
        <v>0</v>
      </c>
      <c r="H822" s="15">
        <f>G822*C822</f>
        <v/>
      </c>
      <c r="I822" s="15" t="n">
        <v>140323</v>
      </c>
      <c r="J822" s="15">
        <f>I822*C822</f>
        <v/>
      </c>
      <c r="K822" s="15">
        <f>E822+G822+I822</f>
        <v/>
      </c>
      <c r="L822" s="15">
        <f>F822+H822+J822</f>
        <v/>
      </c>
      <c r="M822" s="18" t="n"/>
    </row>
    <row r="823">
      <c r="A823" s="14" t="inlineStr">
        <is>
          <t>사). 이팝나무</t>
        </is>
      </c>
      <c r="B823" s="14" t="inlineStr">
        <is>
          <t>H3.0xR8</t>
        </is>
      </c>
      <c r="C823" s="15" t="n">
        <v>6</v>
      </c>
      <c r="D823" s="16" t="inlineStr">
        <is>
          <t>주</t>
        </is>
      </c>
      <c r="E823" s="15" t="n">
        <v>0</v>
      </c>
      <c r="F823" s="15">
        <f>E823*C823</f>
        <v/>
      </c>
      <c r="G823" s="15" t="n">
        <v>0</v>
      </c>
      <c r="H823" s="15">
        <f>G823*C823</f>
        <v/>
      </c>
      <c r="I823" s="15" t="n">
        <v>140323</v>
      </c>
      <c r="J823" s="15">
        <f>I823*C823</f>
        <v/>
      </c>
      <c r="K823" s="15">
        <f>E823+G823+I823</f>
        <v/>
      </c>
      <c r="L823" s="15">
        <f>F823+H823+J823</f>
        <v/>
      </c>
      <c r="M823" s="18" t="n"/>
    </row>
    <row r="824">
      <c r="A824" s="14" t="inlineStr">
        <is>
          <t>아). 꽃사과</t>
        </is>
      </c>
      <c r="B824" s="14" t="inlineStr">
        <is>
          <t>H3.5xR8</t>
        </is>
      </c>
      <c r="C824" s="15" t="n">
        <v>6</v>
      </c>
      <c r="D824" s="16" t="inlineStr">
        <is>
          <t>주</t>
        </is>
      </c>
      <c r="E824" s="15" t="n">
        <v>0</v>
      </c>
      <c r="F824" s="15">
        <f>E824*C824</f>
        <v/>
      </c>
      <c r="G824" s="15" t="n">
        <v>0</v>
      </c>
      <c r="H824" s="15">
        <f>G824*C824</f>
        <v/>
      </c>
      <c r="I824" s="15" t="n">
        <v>175404</v>
      </c>
      <c r="J824" s="15">
        <f>I824*C824</f>
        <v/>
      </c>
      <c r="K824" s="15">
        <f>E824+G824+I824</f>
        <v/>
      </c>
      <c r="L824" s="15">
        <f>F824+H824+J824</f>
        <v/>
      </c>
      <c r="M824" s="18" t="n"/>
    </row>
    <row r="825">
      <c r="A825" s="14" t="inlineStr">
        <is>
          <t>자). 복자기</t>
        </is>
      </c>
      <c r="B825" s="14" t="inlineStr">
        <is>
          <t>H3.5xR8</t>
        </is>
      </c>
      <c r="C825" s="15" t="n">
        <v>5</v>
      </c>
      <c r="D825" s="16" t="inlineStr">
        <is>
          <t>주</t>
        </is>
      </c>
      <c r="E825" s="15" t="n">
        <v>0</v>
      </c>
      <c r="F825" s="15">
        <f>E825*C825</f>
        <v/>
      </c>
      <c r="G825" s="15" t="n">
        <v>0</v>
      </c>
      <c r="H825" s="15">
        <f>G825*C825</f>
        <v/>
      </c>
      <c r="I825" s="15" t="n">
        <v>175404</v>
      </c>
      <c r="J825" s="15">
        <f>I825*C825</f>
        <v/>
      </c>
      <c r="K825" s="15">
        <f>E825+G825+I825</f>
        <v/>
      </c>
      <c r="L825" s="15">
        <f>F825+H825+J825</f>
        <v/>
      </c>
      <c r="M825" s="18" t="n"/>
    </row>
    <row r="826">
      <c r="A826" s="14" t="inlineStr">
        <is>
          <t>차). 모감주나무</t>
        </is>
      </c>
      <c r="B826" s="14" t="inlineStr">
        <is>
          <t>H3.5xR8</t>
        </is>
      </c>
      <c r="C826" s="15" t="n">
        <v>5</v>
      </c>
      <c r="D826" s="16" t="inlineStr">
        <is>
          <t>주</t>
        </is>
      </c>
      <c r="E826" s="15" t="n">
        <v>0</v>
      </c>
      <c r="F826" s="15">
        <f>E826*C826</f>
        <v/>
      </c>
      <c r="G826" s="15" t="n">
        <v>0</v>
      </c>
      <c r="H826" s="15">
        <f>G826*C826</f>
        <v/>
      </c>
      <c r="I826" s="15" t="n">
        <v>175404</v>
      </c>
      <c r="J826" s="15">
        <f>I826*C826</f>
        <v/>
      </c>
      <c r="K826" s="15">
        <f>E826+G826+I826</f>
        <v/>
      </c>
      <c r="L826" s="15">
        <f>F826+H826+J826</f>
        <v/>
      </c>
      <c r="M826" s="18" t="n"/>
    </row>
    <row r="827">
      <c r="A827" s="14" t="inlineStr">
        <is>
          <t>카). 영산홍</t>
        </is>
      </c>
      <c r="B827" s="14" t="inlineStr">
        <is>
          <t>H0.3xW0.3</t>
        </is>
      </c>
      <c r="C827" s="15" t="n">
        <v>160</v>
      </c>
      <c r="D827" s="16" t="inlineStr">
        <is>
          <t>주</t>
        </is>
      </c>
      <c r="E827" s="15" t="n">
        <v>0</v>
      </c>
      <c r="F827" s="15">
        <f>E827*C827</f>
        <v/>
      </c>
      <c r="G827" s="15" t="n">
        <v>0</v>
      </c>
      <c r="H827" s="15">
        <f>G827*C827</f>
        <v/>
      </c>
      <c r="I827" s="15" t="n">
        <v>4093</v>
      </c>
      <c r="J827" s="15">
        <f>I827*C827</f>
        <v/>
      </c>
      <c r="K827" s="15">
        <f>E827+G827+I827</f>
        <v/>
      </c>
      <c r="L827" s="15">
        <f>F827+H827+J827</f>
        <v/>
      </c>
      <c r="M827" s="18" t="n"/>
    </row>
    <row r="828">
      <c r="A828" s="14" t="inlineStr">
        <is>
          <t>타). 산철쭉</t>
        </is>
      </c>
      <c r="B828" s="14" t="inlineStr">
        <is>
          <t>H0.3xW0.3</t>
        </is>
      </c>
      <c r="C828" s="15" t="n">
        <v>800</v>
      </c>
      <c r="D828" s="16" t="inlineStr">
        <is>
          <t>주</t>
        </is>
      </c>
      <c r="E828" s="15" t="n">
        <v>0</v>
      </c>
      <c r="F828" s="15">
        <f>E828*C828</f>
        <v/>
      </c>
      <c r="G828" s="15" t="n">
        <v>0</v>
      </c>
      <c r="H828" s="15">
        <f>G828*C828</f>
        <v/>
      </c>
      <c r="I828" s="15" t="n">
        <v>4093</v>
      </c>
      <c r="J828" s="15">
        <f>I828*C828</f>
        <v/>
      </c>
      <c r="K828" s="15">
        <f>E828+G828+I828</f>
        <v/>
      </c>
      <c r="L828" s="15">
        <f>F828+H828+J828</f>
        <v/>
      </c>
      <c r="M828" s="18" t="n"/>
    </row>
    <row r="829">
      <c r="A829" s="14" t="inlineStr">
        <is>
          <t>파). 조팝나무</t>
        </is>
      </c>
      <c r="B829" s="14" t="inlineStr">
        <is>
          <t>H0.3xW0.3</t>
        </is>
      </c>
      <c r="C829" s="15" t="n">
        <v>330</v>
      </c>
      <c r="D829" s="16" t="inlineStr">
        <is>
          <t>주</t>
        </is>
      </c>
      <c r="E829" s="15" t="n">
        <v>0</v>
      </c>
      <c r="F829" s="15">
        <f>E829*C829</f>
        <v/>
      </c>
      <c r="G829" s="15" t="n">
        <v>0</v>
      </c>
      <c r="H829" s="15">
        <f>G829*C829</f>
        <v/>
      </c>
      <c r="I829" s="15" t="n">
        <v>4093</v>
      </c>
      <c r="J829" s="15">
        <f>I829*C829</f>
        <v/>
      </c>
      <c r="K829" s="15">
        <f>E829+G829+I829</f>
        <v/>
      </c>
      <c r="L829" s="15">
        <f>F829+H829+J829</f>
        <v/>
      </c>
      <c r="M829" s="18" t="n"/>
    </row>
    <row r="830">
      <c r="A830" s="14" t="inlineStr">
        <is>
          <t>하). 쥐똥나무</t>
        </is>
      </c>
      <c r="B830" s="14" t="inlineStr">
        <is>
          <t>H1.2xW0.3</t>
        </is>
      </c>
      <c r="C830" s="15" t="n">
        <v>720</v>
      </c>
      <c r="D830" s="16" t="inlineStr">
        <is>
          <t>주</t>
        </is>
      </c>
      <c r="E830" s="15" t="n">
        <v>0</v>
      </c>
      <c r="F830" s="15">
        <f>E830*C830</f>
        <v/>
      </c>
      <c r="G830" s="15" t="n">
        <v>0</v>
      </c>
      <c r="H830" s="15">
        <f>G830*C830</f>
        <v/>
      </c>
      <c r="I830" s="15" t="n">
        <v>4093</v>
      </c>
      <c r="J830" s="15">
        <f>I830*C830</f>
        <v/>
      </c>
      <c r="K830" s="15">
        <f>E830+G830+I830</f>
        <v/>
      </c>
      <c r="L830" s="15">
        <f>F830+H830+J830</f>
        <v/>
      </c>
      <c r="M830" s="18" t="n"/>
    </row>
    <row r="831">
      <c r="A831" s="14" t="inlineStr">
        <is>
          <t>갸). 잔디(평떼)</t>
        </is>
      </c>
      <c r="B831" s="14" t="inlineStr">
        <is>
          <t>0.3x0.3x0.03</t>
        </is>
      </c>
      <c r="C831" s="15" t="n">
        <v>1100</v>
      </c>
      <c r="D831" s="16" t="inlineStr">
        <is>
          <t>m2</t>
        </is>
      </c>
      <c r="E831" s="15" t="n">
        <v>0</v>
      </c>
      <c r="F831" s="15">
        <f>E831*C831</f>
        <v/>
      </c>
      <c r="G831" s="15" t="n">
        <v>0</v>
      </c>
      <c r="H831" s="15">
        <f>G831*C831</f>
        <v/>
      </c>
      <c r="I831" s="15" t="n">
        <v>19880</v>
      </c>
      <c r="J831" s="15">
        <f>I831*C831</f>
        <v/>
      </c>
      <c r="K831" s="15">
        <f>E831+G831+I831</f>
        <v/>
      </c>
      <c r="L831" s="15">
        <f>F831+H831+J831</f>
        <v/>
      </c>
      <c r="M831" s="18" t="n"/>
    </row>
    <row r="832">
      <c r="A832" s="28" t="inlineStr">
        <is>
          <t>2). 시설물</t>
        </is>
      </c>
      <c r="B832" s="28" t="n"/>
      <c r="C832" s="17" t="n"/>
      <c r="D832" s="16" t="n"/>
      <c r="E832" s="17" t="n"/>
      <c r="F832" s="29" t="n"/>
      <c r="G832" s="17" t="n"/>
      <c r="H832" s="29" t="n"/>
      <c r="I832" s="17" t="n"/>
      <c r="J832" s="29" t="n"/>
      <c r="K832" s="17" t="n"/>
      <c r="L832" s="29" t="n"/>
      <c r="M832" s="18" t="n"/>
    </row>
    <row r="833">
      <c r="A833" s="14" t="inlineStr">
        <is>
          <t>가). 생활체육시설E</t>
        </is>
      </c>
      <c r="B833" s="14" t="inlineStr">
        <is>
          <t>1860*1730*H1760</t>
        </is>
      </c>
      <c r="C833" s="15" t="n">
        <v>1</v>
      </c>
      <c r="D833" s="16" t="inlineStr">
        <is>
          <t>EA</t>
        </is>
      </c>
      <c r="E833" s="15" t="n">
        <v>0</v>
      </c>
      <c r="F833" s="15">
        <f>E833*C833</f>
        <v/>
      </c>
      <c r="G833" s="15" t="n">
        <v>0</v>
      </c>
      <c r="H833" s="15">
        <f>G833*C833</f>
        <v/>
      </c>
      <c r="I833" s="15" t="n">
        <v>4092763</v>
      </c>
      <c r="J833" s="15">
        <f>I833*C833</f>
        <v/>
      </c>
      <c r="K833" s="15">
        <f>E833+G833+I833</f>
        <v/>
      </c>
      <c r="L833" s="15">
        <f>F833+H833+J833</f>
        <v/>
      </c>
      <c r="M833" s="18" t="n"/>
    </row>
    <row r="834">
      <c r="A834" s="14" t="inlineStr">
        <is>
          <t>나). 생활체육시설F</t>
        </is>
      </c>
      <c r="B834" s="14" t="inlineStr">
        <is>
          <t>2870*860*H1760</t>
        </is>
      </c>
      <c r="C834" s="15" t="n">
        <v>1</v>
      </c>
      <c r="D834" s="16" t="inlineStr">
        <is>
          <t>EA</t>
        </is>
      </c>
      <c r="E834" s="15" t="n">
        <v>0</v>
      </c>
      <c r="F834" s="15">
        <f>E834*C834</f>
        <v/>
      </c>
      <c r="G834" s="15" t="n">
        <v>0</v>
      </c>
      <c r="H834" s="15">
        <f>G834*C834</f>
        <v/>
      </c>
      <c r="I834" s="15" t="n">
        <v>4677443</v>
      </c>
      <c r="J834" s="15">
        <f>I834*C834</f>
        <v/>
      </c>
      <c r="K834" s="15">
        <f>E834+G834+I834</f>
        <v/>
      </c>
      <c r="L834" s="15">
        <f>F834+H834+J834</f>
        <v/>
      </c>
      <c r="M834" s="18" t="n"/>
    </row>
    <row r="835">
      <c r="A835" s="14" t="inlineStr">
        <is>
          <t>다). 생활체육시설G</t>
        </is>
      </c>
      <c r="B835" s="14" t="inlineStr">
        <is>
          <t>1850*560*H1760</t>
        </is>
      </c>
      <c r="C835" s="15" t="n">
        <v>1</v>
      </c>
      <c r="D835" s="16" t="inlineStr">
        <is>
          <t>EA</t>
        </is>
      </c>
      <c r="E835" s="15" t="n">
        <v>0</v>
      </c>
      <c r="F835" s="15">
        <f>E835*C835</f>
        <v/>
      </c>
      <c r="G835" s="15" t="n">
        <v>0</v>
      </c>
      <c r="H835" s="15">
        <f>G835*C835</f>
        <v/>
      </c>
      <c r="I835" s="15" t="n">
        <v>4092763</v>
      </c>
      <c r="J835" s="15">
        <f>I835*C835</f>
        <v/>
      </c>
      <c r="K835" s="15">
        <f>E835+G835+I835</f>
        <v/>
      </c>
      <c r="L835" s="15">
        <f>F835+H835+J835</f>
        <v/>
      </c>
      <c r="M835" s="18" t="n"/>
    </row>
    <row r="836">
      <c r="A836" s="14" t="inlineStr">
        <is>
          <t>라). 파고라B</t>
        </is>
      </c>
      <c r="B836" s="14" t="inlineStr">
        <is>
          <t>4000*4000*H3200</t>
        </is>
      </c>
      <c r="C836" s="15" t="n">
        <v>1</v>
      </c>
      <c r="D836" s="16" t="inlineStr">
        <is>
          <t>개소</t>
        </is>
      </c>
      <c r="E836" s="15" t="n">
        <v>0</v>
      </c>
      <c r="F836" s="15">
        <f>E836*C836</f>
        <v/>
      </c>
      <c r="G836" s="15" t="n">
        <v>0</v>
      </c>
      <c r="H836" s="15">
        <f>G836*C836</f>
        <v/>
      </c>
      <c r="I836" s="15" t="n">
        <v>14617010</v>
      </c>
      <c r="J836" s="15">
        <f>I836*C836</f>
        <v/>
      </c>
      <c r="K836" s="15">
        <f>E836+G836+I836</f>
        <v/>
      </c>
      <c r="L836" s="15">
        <f>F836+H836+J836</f>
        <v/>
      </c>
      <c r="M836" s="18" t="n"/>
    </row>
    <row r="837">
      <c r="A837" s="14" t="inlineStr">
        <is>
          <t>마). 평의자</t>
        </is>
      </c>
      <c r="B837" s="14" t="inlineStr">
        <is>
          <t>1600*440*H430</t>
        </is>
      </c>
      <c r="C837" s="15" t="n">
        <v>3</v>
      </c>
      <c r="D837" s="16" t="inlineStr">
        <is>
          <t>EA</t>
        </is>
      </c>
      <c r="E837" s="15" t="n">
        <v>0</v>
      </c>
      <c r="F837" s="15">
        <f>E837*C837</f>
        <v/>
      </c>
      <c r="G837" s="15" t="n">
        <v>0</v>
      </c>
      <c r="H837" s="15">
        <f>G837*C837</f>
        <v/>
      </c>
      <c r="I837" s="15" t="n">
        <v>1578637</v>
      </c>
      <c r="J837" s="15">
        <f>I837*C837</f>
        <v/>
      </c>
      <c r="K837" s="15">
        <f>E837+G837+I837</f>
        <v/>
      </c>
      <c r="L837" s="15">
        <f>F837+H837+J837</f>
        <v/>
      </c>
      <c r="M837" s="18" t="n"/>
    </row>
    <row r="838">
      <c r="A838" s="14" t="inlineStr">
        <is>
          <t>바). 등의자</t>
        </is>
      </c>
      <c r="B838" s="14" t="inlineStr">
        <is>
          <t>1600*533*H766</t>
        </is>
      </c>
      <c r="C838" s="15" t="n">
        <v>4</v>
      </c>
      <c r="D838" s="16" t="inlineStr">
        <is>
          <t>EA</t>
        </is>
      </c>
      <c r="E838" s="15" t="n">
        <v>0</v>
      </c>
      <c r="F838" s="15">
        <f>E838*C838</f>
        <v/>
      </c>
      <c r="G838" s="15" t="n">
        <v>0</v>
      </c>
      <c r="H838" s="15">
        <f>G838*C838</f>
        <v/>
      </c>
      <c r="I838" s="15" t="n">
        <v>1578637</v>
      </c>
      <c r="J838" s="15">
        <f>I838*C838</f>
        <v/>
      </c>
      <c r="K838" s="15">
        <f>E838+G838+I838</f>
        <v/>
      </c>
      <c r="L838" s="15">
        <f>F838+H838+J838</f>
        <v/>
      </c>
      <c r="M838" s="18" t="n"/>
    </row>
    <row r="839">
      <c r="A839" s="14" t="inlineStr">
        <is>
          <t>사). 플랜터형의자</t>
        </is>
      </c>
      <c r="B839" s="14" t="inlineStr">
        <is>
          <t>2200*2200*H700</t>
        </is>
      </c>
      <c r="C839" s="15" t="n">
        <v>3</v>
      </c>
      <c r="D839" s="16" t="inlineStr">
        <is>
          <t>EA</t>
        </is>
      </c>
      <c r="E839" s="15" t="n">
        <v>0</v>
      </c>
      <c r="F839" s="15">
        <f>E839*C839</f>
        <v/>
      </c>
      <c r="G839" s="15" t="n">
        <v>0</v>
      </c>
      <c r="H839" s="15">
        <f>G839*C839</f>
        <v/>
      </c>
      <c r="I839" s="15" t="n">
        <v>2455657</v>
      </c>
      <c r="J839" s="15">
        <f>I839*C839</f>
        <v/>
      </c>
      <c r="K839" s="15">
        <f>E839+G839+I839</f>
        <v/>
      </c>
      <c r="L839" s="15">
        <f>F839+H839+J839</f>
        <v/>
      </c>
      <c r="M839" s="18" t="n"/>
    </row>
    <row r="840">
      <c r="A840" s="14" t="inlineStr">
        <is>
          <t>아). 안전휀스</t>
        </is>
      </c>
      <c r="B840" s="14" t="inlineStr">
        <is>
          <t>2200*2200*H700</t>
        </is>
      </c>
      <c r="C840" s="15" t="n">
        <v>23</v>
      </c>
      <c r="D840" s="16" t="inlineStr">
        <is>
          <t>경간</t>
        </is>
      </c>
      <c r="E840" s="15" t="n">
        <v>0</v>
      </c>
      <c r="F840" s="15">
        <f>E840*C840</f>
        <v/>
      </c>
      <c r="G840" s="15" t="n">
        <v>0</v>
      </c>
      <c r="H840" s="15">
        <f>G840*C840</f>
        <v/>
      </c>
      <c r="I840" s="15" t="n">
        <v>55545</v>
      </c>
      <c r="J840" s="15">
        <f>I840*C840</f>
        <v/>
      </c>
      <c r="K840" s="15">
        <f>E840+G840+I840</f>
        <v/>
      </c>
      <c r="L840" s="15">
        <f>F840+H840+J840</f>
        <v/>
      </c>
      <c r="M840" s="18" t="n"/>
    </row>
    <row r="841">
      <c r="A841" s="28" t="inlineStr">
        <is>
          <t>3). 포장</t>
        </is>
      </c>
      <c r="B841" s="28" t="n"/>
      <c r="C841" s="17" t="n"/>
      <c r="D841" s="16" t="n"/>
      <c r="E841" s="17" t="n"/>
      <c r="F841" s="29" t="n"/>
      <c r="G841" s="17" t="n"/>
      <c r="H841" s="29" t="n"/>
      <c r="I841" s="17" t="n"/>
      <c r="J841" s="29" t="n"/>
      <c r="K841" s="17" t="n"/>
      <c r="L841" s="29" t="n"/>
      <c r="M841" s="18" t="n"/>
    </row>
    <row r="842">
      <c r="A842" s="14" t="inlineStr">
        <is>
          <t>가). 투수블럭포장 A</t>
        </is>
      </c>
      <c r="B842" s="14" t="inlineStr">
        <is>
          <t>T60</t>
        </is>
      </c>
      <c r="C842" s="15" t="n">
        <v>122</v>
      </c>
      <c r="D842" s="16" t="inlineStr">
        <is>
          <t>m2</t>
        </is>
      </c>
      <c r="E842" s="15" t="n">
        <v>0</v>
      </c>
      <c r="F842" s="15">
        <f>E842*C842</f>
        <v/>
      </c>
      <c r="G842" s="15" t="n">
        <v>0</v>
      </c>
      <c r="H842" s="15">
        <f>G842*C842</f>
        <v/>
      </c>
      <c r="I842" s="15" t="n">
        <v>22803</v>
      </c>
      <c r="J842" s="15">
        <f>I842*C842</f>
        <v/>
      </c>
      <c r="K842" s="15">
        <f>E842+G842+I842</f>
        <v/>
      </c>
      <c r="L842" s="15">
        <f>F842+H842+J842</f>
        <v/>
      </c>
      <c r="M842" s="18" t="n"/>
    </row>
    <row r="843">
      <c r="A843" s="14" t="inlineStr">
        <is>
          <t>나). 투수블럭포장 B</t>
        </is>
      </c>
      <c r="B843" s="14" t="inlineStr">
        <is>
          <t>T80</t>
        </is>
      </c>
      <c r="C843" s="15" t="n">
        <v>21</v>
      </c>
      <c r="D843" s="16" t="inlineStr">
        <is>
          <t>m2</t>
        </is>
      </c>
      <c r="E843" s="15" t="n">
        <v>0</v>
      </c>
      <c r="F843" s="15">
        <f>E843*C843</f>
        <v/>
      </c>
      <c r="G843" s="15" t="n">
        <v>0</v>
      </c>
      <c r="H843" s="15">
        <f>G843*C843</f>
        <v/>
      </c>
      <c r="I843" s="15" t="n">
        <v>34496</v>
      </c>
      <c r="J843" s="15">
        <f>I843*C843</f>
        <v/>
      </c>
      <c r="K843" s="15">
        <f>E843+G843+I843</f>
        <v/>
      </c>
      <c r="L843" s="15">
        <f>F843+H843+J843</f>
        <v/>
      </c>
      <c r="M843" s="18" t="n"/>
    </row>
    <row r="844">
      <c r="A844" s="14" t="inlineStr">
        <is>
          <t>다). 흙콘크리트포장</t>
        </is>
      </c>
      <c r="B844" s="14" t="inlineStr">
        <is>
          <t>T150</t>
        </is>
      </c>
      <c r="C844" s="15" t="n">
        <v>169</v>
      </c>
      <c r="D844" s="16" t="inlineStr">
        <is>
          <t>m2</t>
        </is>
      </c>
      <c r="E844" s="15" t="n">
        <v>0</v>
      </c>
      <c r="F844" s="15">
        <f>E844*C844</f>
        <v/>
      </c>
      <c r="G844" s="15" t="n">
        <v>0</v>
      </c>
      <c r="H844" s="15">
        <f>G844*C844</f>
        <v/>
      </c>
      <c r="I844" s="15" t="n">
        <v>49114</v>
      </c>
      <c r="J844" s="15">
        <f>I844*C844</f>
        <v/>
      </c>
      <c r="K844" s="15">
        <f>E844+G844+I844</f>
        <v/>
      </c>
      <c r="L844" s="15">
        <f>F844+H844+J844</f>
        <v/>
      </c>
      <c r="M844" s="18" t="n"/>
    </row>
    <row r="845">
      <c r="A845" s="14" t="inlineStr">
        <is>
          <t>라). 흙콘크리트거푸집</t>
        </is>
      </c>
      <c r="B845" s="14" t="inlineStr">
        <is>
          <t>H150</t>
        </is>
      </c>
      <c r="C845" s="15" t="n">
        <v>225</v>
      </c>
      <c r="D845" s="16" t="inlineStr">
        <is>
          <t>m</t>
        </is>
      </c>
      <c r="E845" s="15" t="n">
        <v>0</v>
      </c>
      <c r="F845" s="15">
        <f>E845*C845</f>
        <v/>
      </c>
      <c r="G845" s="15" t="n">
        <v>0</v>
      </c>
      <c r="H845" s="15">
        <f>G845*C845</f>
        <v/>
      </c>
      <c r="I845" s="15" t="n">
        <v>29234</v>
      </c>
      <c r="J845" s="15">
        <f>I845*C845</f>
        <v/>
      </c>
      <c r="K845" s="15">
        <f>E845+G845+I845</f>
        <v/>
      </c>
      <c r="L845" s="15">
        <f>F845+H845+J845</f>
        <v/>
      </c>
      <c r="M845" s="18" t="n"/>
    </row>
    <row r="846">
      <c r="A846" s="14" t="inlineStr">
        <is>
          <t>마). 녹지경계석(직선)</t>
        </is>
      </c>
      <c r="B846" s="14" t="inlineStr">
        <is>
          <t>150x150x1000</t>
        </is>
      </c>
      <c r="C846" s="15" t="n">
        <v>243</v>
      </c>
      <c r="D846" s="16" t="inlineStr">
        <is>
          <t>m</t>
        </is>
      </c>
      <c r="E846" s="15" t="n">
        <v>0</v>
      </c>
      <c r="F846" s="15">
        <f>E846*C846</f>
        <v/>
      </c>
      <c r="G846" s="15" t="n">
        <v>0</v>
      </c>
      <c r="H846" s="15">
        <f>G846*C846</f>
        <v/>
      </c>
      <c r="I846" s="15" t="n">
        <v>22217</v>
      </c>
      <c r="J846" s="15">
        <f>I846*C846</f>
        <v/>
      </c>
      <c r="K846" s="15">
        <f>E846+G846+I846</f>
        <v/>
      </c>
      <c r="L846" s="15">
        <f>F846+H846+J846</f>
        <v/>
      </c>
      <c r="M846" s="18" t="n"/>
    </row>
    <row r="847">
      <c r="A847" s="14" t="inlineStr">
        <is>
          <t>바). 포장경계석(직선)</t>
        </is>
      </c>
      <c r="B847" s="14" t="inlineStr">
        <is>
          <t>100x100x1000</t>
        </is>
      </c>
      <c r="C847" s="15" t="n">
        <v>29</v>
      </c>
      <c r="D847" s="16" t="inlineStr">
        <is>
          <t>m</t>
        </is>
      </c>
      <c r="E847" s="15" t="n">
        <v>0</v>
      </c>
      <c r="F847" s="15">
        <f>E847*C847</f>
        <v/>
      </c>
      <c r="G847" s="15" t="n">
        <v>0</v>
      </c>
      <c r="H847" s="15">
        <f>G847*C847</f>
        <v/>
      </c>
      <c r="I847" s="15" t="n">
        <v>19880</v>
      </c>
      <c r="J847" s="15">
        <f>I847*C847</f>
        <v/>
      </c>
      <c r="K847" s="15">
        <f>E847+G847+I847</f>
        <v/>
      </c>
      <c r="L847" s="15">
        <f>F847+H847+J847</f>
        <v/>
      </c>
      <c r="M847" s="18" t="n"/>
    </row>
    <row r="848">
      <c r="A848" s="28" t="inlineStr">
        <is>
          <t>4). 우수</t>
        </is>
      </c>
      <c r="B848" s="28" t="n"/>
      <c r="C848" s="17" t="n"/>
      <c r="D848" s="16" t="n"/>
      <c r="E848" s="17" t="n"/>
      <c r="F848" s="29" t="n"/>
      <c r="G848" s="17" t="n"/>
      <c r="H848" s="29" t="n"/>
      <c r="I848" s="17" t="n"/>
      <c r="J848" s="29" t="n"/>
      <c r="K848" s="17" t="n"/>
      <c r="L848" s="29" t="n"/>
      <c r="M848" s="18" t="n"/>
    </row>
    <row r="849">
      <c r="A849" s="14" t="inlineStr">
        <is>
          <t>가). 집수정</t>
        </is>
      </c>
      <c r="B849" s="14" t="inlineStr">
        <is>
          <t>600*600*H900</t>
        </is>
      </c>
      <c r="C849" s="15" t="n">
        <v>8</v>
      </c>
      <c r="D849" s="16" t="inlineStr">
        <is>
          <t>EA</t>
        </is>
      </c>
      <c r="E849" s="15" t="n">
        <v>0</v>
      </c>
      <c r="F849" s="15">
        <f>E849*C849</f>
        <v/>
      </c>
      <c r="G849" s="15" t="n">
        <v>0</v>
      </c>
      <c r="H849" s="15">
        <f>G849*C849</f>
        <v/>
      </c>
      <c r="I849" s="15" t="n">
        <v>409276</v>
      </c>
      <c r="J849" s="15">
        <f>I849*C849</f>
        <v/>
      </c>
      <c r="K849" s="15">
        <f>E849+G849+I849</f>
        <v/>
      </c>
      <c r="L849" s="15">
        <f>F849+H849+J849</f>
        <v/>
      </c>
      <c r="M849" s="18" t="n"/>
    </row>
    <row r="850">
      <c r="A850" s="14" t="inlineStr">
        <is>
          <t>나). 맹암거(간선)</t>
        </is>
      </c>
      <c r="B850" s="14" t="inlineStr">
        <is>
          <t>D300</t>
        </is>
      </c>
      <c r="C850" s="15" t="n">
        <v>20</v>
      </c>
      <c r="D850" s="16" t="inlineStr">
        <is>
          <t>M</t>
        </is>
      </c>
      <c r="E850" s="15" t="n">
        <v>0</v>
      </c>
      <c r="F850" s="15">
        <f>E850*C850</f>
        <v/>
      </c>
      <c r="G850" s="15" t="n">
        <v>0</v>
      </c>
      <c r="H850" s="15">
        <f>G850*C850</f>
        <v/>
      </c>
      <c r="I850" s="15" t="n">
        <v>18710</v>
      </c>
      <c r="J850" s="15">
        <f>I850*C850</f>
        <v/>
      </c>
      <c r="K850" s="15">
        <f>E850+G850+I850</f>
        <v/>
      </c>
      <c r="L850" s="15">
        <f>F850+H850+J850</f>
        <v/>
      </c>
      <c r="M850" s="18" t="n"/>
    </row>
    <row r="851">
      <c r="A851" s="14" t="inlineStr">
        <is>
          <t>다). 맹암거(지선)</t>
        </is>
      </c>
      <c r="B851" s="14" t="inlineStr">
        <is>
          <t>D150</t>
        </is>
      </c>
      <c r="C851" s="15" t="n">
        <v>82</v>
      </c>
      <c r="D851" s="16" t="inlineStr">
        <is>
          <t>M</t>
        </is>
      </c>
      <c r="E851" s="15" t="n">
        <v>0</v>
      </c>
      <c r="F851" s="15">
        <f>E851*C851</f>
        <v/>
      </c>
      <c r="G851" s="15" t="n">
        <v>0</v>
      </c>
      <c r="H851" s="15">
        <f>G851*C851</f>
        <v/>
      </c>
      <c r="I851" s="15" t="n">
        <v>15202</v>
      </c>
      <c r="J851" s="15">
        <f>I851*C851</f>
        <v/>
      </c>
      <c r="K851" s="15">
        <f>E851+G851+I851</f>
        <v/>
      </c>
      <c r="L851" s="15">
        <f>F851+H851+J851</f>
        <v/>
      </c>
      <c r="M851" s="18" t="n"/>
    </row>
    <row r="852">
      <c r="A852" s="14" t="inlineStr">
        <is>
          <t>라). 우수관</t>
        </is>
      </c>
      <c r="B852" s="14" t="inlineStr">
        <is>
          <t>D300</t>
        </is>
      </c>
      <c r="C852" s="15" t="n">
        <v>88</v>
      </c>
      <c r="D852" s="16" t="inlineStr">
        <is>
          <t>m</t>
        </is>
      </c>
      <c r="E852" s="15" t="n">
        <v>0</v>
      </c>
      <c r="F852" s="15">
        <f>E852*C852</f>
        <v/>
      </c>
      <c r="G852" s="15" t="n">
        <v>0</v>
      </c>
      <c r="H852" s="15">
        <f>G852*C852</f>
        <v/>
      </c>
      <c r="I852" s="15" t="n">
        <v>40927</v>
      </c>
      <c r="J852" s="15">
        <f>I852*C852</f>
        <v/>
      </c>
      <c r="K852" s="15">
        <f>E852+G852+I852</f>
        <v/>
      </c>
      <c r="L852" s="15">
        <f>F852+H852+J852</f>
        <v/>
      </c>
      <c r="M852" s="18" t="n"/>
    </row>
    <row r="853">
      <c r="A853" s="28" t="inlineStr">
        <is>
          <t>다. 경관녹지 1</t>
        </is>
      </c>
      <c r="B853" s="28" t="n"/>
      <c r="C853" s="17" t="n"/>
      <c r="D853" s="16" t="n"/>
      <c r="E853" s="17" t="n"/>
      <c r="F853" s="29" t="n"/>
      <c r="G853" s="17" t="n"/>
      <c r="H853" s="29" t="n"/>
      <c r="I853" s="17" t="n"/>
      <c r="J853" s="29" t="n"/>
      <c r="K853" s="17" t="n"/>
      <c r="L853" s="29" t="n"/>
      <c r="M853" s="18" t="n"/>
    </row>
    <row r="854">
      <c r="A854" s="28" t="inlineStr">
        <is>
          <t>1). 식재</t>
        </is>
      </c>
      <c r="B854" s="28" t="n"/>
      <c r="C854" s="17" t="n"/>
      <c r="D854" s="16" t="n"/>
      <c r="E854" s="17" t="n"/>
      <c r="F854" s="29" t="n"/>
      <c r="G854" s="17" t="n"/>
      <c r="H854" s="29" t="n"/>
      <c r="I854" s="17" t="n"/>
      <c r="J854" s="29" t="n"/>
      <c r="K854" s="17" t="n"/>
      <c r="L854" s="29" t="n"/>
      <c r="M854" s="18" t="n"/>
    </row>
    <row r="855">
      <c r="A855" s="14" t="inlineStr">
        <is>
          <t>가). 상수리나무(이식)</t>
        </is>
      </c>
      <c r="B855" s="14" t="inlineStr">
        <is>
          <t>R31</t>
        </is>
      </c>
      <c r="C855" s="15" t="n">
        <v>55</v>
      </c>
      <c r="D855" s="16" t="inlineStr">
        <is>
          <t>주</t>
        </is>
      </c>
      <c r="E855" s="15" t="n">
        <v>152126</v>
      </c>
      <c r="F855" s="15">
        <f>E855*C855</f>
        <v/>
      </c>
      <c r="G855" s="15" t="n">
        <v>141413</v>
      </c>
      <c r="H855" s="15">
        <f>G855*C855</f>
        <v/>
      </c>
      <c r="I855" s="15" t="n">
        <v>24556</v>
      </c>
      <c r="J855" s="15">
        <f>I855*C855</f>
        <v/>
      </c>
      <c r="K855" s="15">
        <f>E855+G855+I855</f>
        <v/>
      </c>
      <c r="L855" s="15">
        <f>F855+H855+J855</f>
        <v/>
      </c>
      <c r="M855" s="18" t="n"/>
    </row>
    <row r="856">
      <c r="A856" s="14" t="inlineStr">
        <is>
          <t>나). 소나무(이식)</t>
        </is>
      </c>
      <c r="B856" s="14" t="inlineStr">
        <is>
          <t>R29</t>
        </is>
      </c>
      <c r="C856" s="15" t="n">
        <v>5</v>
      </c>
      <c r="D856" s="16" t="inlineStr">
        <is>
          <t>주</t>
        </is>
      </c>
      <c r="E856" s="15" t="n">
        <v>257114</v>
      </c>
      <c r="F856" s="15">
        <f>E856*C856</f>
        <v/>
      </c>
      <c r="G856" s="15" t="n">
        <v>267827</v>
      </c>
      <c r="H856" s="15">
        <f>G856*C856</f>
        <v/>
      </c>
      <c r="I856" s="15" t="n">
        <v>70162</v>
      </c>
      <c r="J856" s="15">
        <f>I856*C856</f>
        <v/>
      </c>
      <c r="K856" s="15">
        <f>E856+G856+I856</f>
        <v/>
      </c>
      <c r="L856" s="15">
        <f>F856+H856+J856</f>
        <v/>
      </c>
      <c r="M856" s="18" t="n"/>
    </row>
    <row r="857">
      <c r="A857" s="14" t="inlineStr">
        <is>
          <t>다). 스트로브잣</t>
        </is>
      </c>
      <c r="B857" s="14" t="inlineStr">
        <is>
          <t>H3.5xW1.8</t>
        </is>
      </c>
      <c r="C857" s="15" t="n">
        <v>45</v>
      </c>
      <c r="D857" s="16" t="inlineStr">
        <is>
          <t>주</t>
        </is>
      </c>
      <c r="E857" s="15" t="n">
        <v>0</v>
      </c>
      <c r="F857" s="15">
        <f>E857*C857</f>
        <v/>
      </c>
      <c r="G857" s="15" t="n">
        <v>0</v>
      </c>
      <c r="H857" s="15">
        <f>G857*C857</f>
        <v/>
      </c>
      <c r="I857" s="15" t="n">
        <v>993957</v>
      </c>
      <c r="J857" s="15">
        <f>I857*C857</f>
        <v/>
      </c>
      <c r="K857" s="15">
        <f>E857+G857+I857</f>
        <v/>
      </c>
      <c r="L857" s="15">
        <f>F857+H857+J857</f>
        <v/>
      </c>
      <c r="M857" s="18" t="n"/>
    </row>
    <row r="858">
      <c r="A858" s="14" t="inlineStr">
        <is>
          <t>라). 복자기</t>
        </is>
      </c>
      <c r="B858" s="14" t="inlineStr">
        <is>
          <t>H3.5xR8</t>
        </is>
      </c>
      <c r="C858" s="15" t="n">
        <v>35</v>
      </c>
      <c r="D858" s="16" t="inlineStr">
        <is>
          <t>주</t>
        </is>
      </c>
      <c r="E858" s="15" t="n">
        <v>0</v>
      </c>
      <c r="F858" s="15">
        <f>E858*C858</f>
        <v/>
      </c>
      <c r="G858" s="15" t="n">
        <v>0</v>
      </c>
      <c r="H858" s="15">
        <f>G858*C858</f>
        <v/>
      </c>
      <c r="I858" s="15" t="n">
        <v>175404</v>
      </c>
      <c r="J858" s="15">
        <f>I858*C858</f>
        <v/>
      </c>
      <c r="K858" s="15">
        <f>E858+G858+I858</f>
        <v/>
      </c>
      <c r="L858" s="15">
        <f>F858+H858+J858</f>
        <v/>
      </c>
      <c r="M858" s="18" t="n"/>
    </row>
    <row r="859">
      <c r="A859" s="14" t="inlineStr">
        <is>
          <t>마). 청단풍</t>
        </is>
      </c>
      <c r="B859" s="14" t="inlineStr">
        <is>
          <t>H3.0xR8</t>
        </is>
      </c>
      <c r="C859" s="15" t="n">
        <v>35</v>
      </c>
      <c r="D859" s="16" t="inlineStr">
        <is>
          <t>주</t>
        </is>
      </c>
      <c r="E859" s="15" t="n">
        <v>0</v>
      </c>
      <c r="F859" s="15">
        <f>E859*C859</f>
        <v/>
      </c>
      <c r="G859" s="15" t="n">
        <v>0</v>
      </c>
      <c r="H859" s="15">
        <f>G859*C859</f>
        <v/>
      </c>
      <c r="I859" s="15" t="n">
        <v>175404</v>
      </c>
      <c r="J859" s="15">
        <f>I859*C859</f>
        <v/>
      </c>
      <c r="K859" s="15">
        <f>E859+G859+I859</f>
        <v/>
      </c>
      <c r="L859" s="15">
        <f>F859+H859+J859</f>
        <v/>
      </c>
      <c r="M859" s="18" t="n"/>
    </row>
    <row r="860">
      <c r="A860" s="14" t="inlineStr">
        <is>
          <t>바). 산철쭉</t>
        </is>
      </c>
      <c r="B860" s="14" t="inlineStr">
        <is>
          <t>H0.3xW0.3</t>
        </is>
      </c>
      <c r="C860" s="15" t="n">
        <v>1470</v>
      </c>
      <c r="D860" s="16" t="inlineStr">
        <is>
          <t>주</t>
        </is>
      </c>
      <c r="E860" s="15" t="n">
        <v>0</v>
      </c>
      <c r="F860" s="15">
        <f>E860*C860</f>
        <v/>
      </c>
      <c r="G860" s="15" t="n">
        <v>0</v>
      </c>
      <c r="H860" s="15">
        <f>G860*C860</f>
        <v/>
      </c>
      <c r="I860" s="15" t="n">
        <v>4093</v>
      </c>
      <c r="J860" s="15">
        <f>I860*C860</f>
        <v/>
      </c>
      <c r="K860" s="15">
        <f>E860+G860+I860</f>
        <v/>
      </c>
      <c r="L860" s="15">
        <f>F860+H860+J860</f>
        <v/>
      </c>
      <c r="M860" s="18" t="n"/>
    </row>
    <row r="861">
      <c r="A861" s="14" t="inlineStr">
        <is>
          <t>사). 법면보호공</t>
        </is>
      </c>
      <c r="B861" s="14" t="inlineStr">
        <is>
          <t>잔디붙임(줄떼)</t>
        </is>
      </c>
      <c r="C861" s="15" t="n">
        <v>2900</v>
      </c>
      <c r="D861" s="16" t="inlineStr">
        <is>
          <t>㎡</t>
        </is>
      </c>
      <c r="E861" s="15" t="n">
        <v>0</v>
      </c>
      <c r="F861" s="15">
        <f>E861*C861</f>
        <v/>
      </c>
      <c r="G861" s="15" t="n">
        <v>0</v>
      </c>
      <c r="H861" s="15">
        <f>G861*C861</f>
        <v/>
      </c>
      <c r="I861" s="15" t="n">
        <v>8770</v>
      </c>
      <c r="J861" s="15">
        <f>I861*C861</f>
        <v/>
      </c>
      <c r="K861" s="15">
        <f>E861+G861+I861</f>
        <v/>
      </c>
      <c r="L861" s="15">
        <f>F861+H861+J861</f>
        <v/>
      </c>
      <c r="M861" s="18" t="n"/>
    </row>
    <row r="862">
      <c r="A862" s="28" t="inlineStr">
        <is>
          <t>라. 경관녹지 2</t>
        </is>
      </c>
      <c r="B862" s="28" t="n"/>
      <c r="C862" s="17" t="n"/>
      <c r="D862" s="16" t="n"/>
      <c r="E862" s="17" t="n"/>
      <c r="F862" s="29" t="n"/>
      <c r="G862" s="17" t="n"/>
      <c r="H862" s="29" t="n"/>
      <c r="I862" s="17" t="n"/>
      <c r="J862" s="29" t="n"/>
      <c r="K862" s="17" t="n"/>
      <c r="L862" s="29" t="n"/>
      <c r="M862" s="18" t="n"/>
    </row>
    <row r="863">
      <c r="A863" s="28" t="inlineStr">
        <is>
          <t>1). 식재</t>
        </is>
      </c>
      <c r="B863" s="28" t="n"/>
      <c r="C863" s="17" t="n"/>
      <c r="D863" s="16" t="n"/>
      <c r="E863" s="17" t="n"/>
      <c r="F863" s="29" t="n"/>
      <c r="G863" s="17" t="n"/>
      <c r="H863" s="29" t="n"/>
      <c r="I863" s="17" t="n"/>
      <c r="J863" s="29" t="n"/>
      <c r="K863" s="17" t="n"/>
      <c r="L863" s="29" t="n"/>
      <c r="M863" s="18" t="n"/>
    </row>
    <row r="864">
      <c r="A864" s="14" t="inlineStr">
        <is>
          <t>가). 상수리나무(이식)</t>
        </is>
      </c>
      <c r="B864" s="14" t="inlineStr">
        <is>
          <t>R27</t>
        </is>
      </c>
      <c r="C864" s="15" t="n">
        <v>300</v>
      </c>
      <c r="D864" s="16" t="inlineStr">
        <is>
          <t>주</t>
        </is>
      </c>
      <c r="E864" s="15" t="n">
        <v>152126</v>
      </c>
      <c r="F864" s="15">
        <f>E864*C864</f>
        <v/>
      </c>
      <c r="G864" s="15" t="n">
        <v>141413</v>
      </c>
      <c r="H864" s="15">
        <f>G864*C864</f>
        <v/>
      </c>
      <c r="I864" s="15" t="n">
        <v>24556</v>
      </c>
      <c r="J864" s="15">
        <f>I864*C864</f>
        <v/>
      </c>
      <c r="K864" s="15">
        <f>E864+G864+I864</f>
        <v/>
      </c>
      <c r="L864" s="15">
        <f>F864+H864+J864</f>
        <v/>
      </c>
      <c r="M864" s="18" t="n"/>
    </row>
    <row r="865">
      <c r="A865" s="14" t="inlineStr">
        <is>
          <t>나). 상수리나무(이식)</t>
        </is>
      </c>
      <c r="B865" s="14" t="inlineStr">
        <is>
          <t>R29</t>
        </is>
      </c>
      <c r="C865" s="15" t="n">
        <v>26</v>
      </c>
      <c r="D865" s="16" t="inlineStr">
        <is>
          <t>주</t>
        </is>
      </c>
      <c r="E865" s="15" t="n">
        <v>152126</v>
      </c>
      <c r="F865" s="15">
        <f>E865*C865</f>
        <v/>
      </c>
      <c r="G865" s="15" t="n">
        <v>141413</v>
      </c>
      <c r="H865" s="15">
        <f>G865*C865</f>
        <v/>
      </c>
      <c r="I865" s="15" t="n">
        <v>24556</v>
      </c>
      <c r="J865" s="15">
        <f>I865*C865</f>
        <v/>
      </c>
      <c r="K865" s="15">
        <f>E865+G865+I865</f>
        <v/>
      </c>
      <c r="L865" s="15">
        <f>F865+H865+J865</f>
        <v/>
      </c>
      <c r="M865" s="18" t="n"/>
    </row>
    <row r="866">
      <c r="A866" s="14" t="inlineStr">
        <is>
          <t>다). 소나무(이식)</t>
        </is>
      </c>
      <c r="B866" s="14" t="inlineStr">
        <is>
          <t>R25</t>
        </is>
      </c>
      <c r="C866" s="15" t="n">
        <v>5</v>
      </c>
      <c r="D866" s="16" t="inlineStr">
        <is>
          <t>주</t>
        </is>
      </c>
      <c r="E866" s="15" t="n">
        <v>257114</v>
      </c>
      <c r="F866" s="15">
        <f>E866*C866</f>
        <v/>
      </c>
      <c r="G866" s="15" t="n">
        <v>267827</v>
      </c>
      <c r="H866" s="15">
        <f>G866*C866</f>
        <v/>
      </c>
      <c r="I866" s="15" t="n">
        <v>70162</v>
      </c>
      <c r="J866" s="15">
        <f>I866*C866</f>
        <v/>
      </c>
      <c r="K866" s="15">
        <f>E866+G866+I866</f>
        <v/>
      </c>
      <c r="L866" s="15">
        <f>F866+H866+J866</f>
        <v/>
      </c>
      <c r="M866" s="18" t="n"/>
    </row>
    <row r="867">
      <c r="A867" s="14" t="inlineStr">
        <is>
          <t>라). 스트로브잣</t>
        </is>
      </c>
      <c r="B867" s="14" t="inlineStr">
        <is>
          <t>H3.5xW1.8</t>
        </is>
      </c>
      <c r="C867" s="15" t="n">
        <v>141</v>
      </c>
      <c r="D867" s="16" t="inlineStr">
        <is>
          <t>주</t>
        </is>
      </c>
      <c r="E867" s="15" t="n">
        <v>0</v>
      </c>
      <c r="F867" s="15">
        <f>E867*C867</f>
        <v/>
      </c>
      <c r="G867" s="15" t="n">
        <v>0</v>
      </c>
      <c r="H867" s="15">
        <f>G867*C867</f>
        <v/>
      </c>
      <c r="I867" s="15" t="n">
        <v>993957</v>
      </c>
      <c r="J867" s="15">
        <f>I867*C867</f>
        <v/>
      </c>
      <c r="K867" s="15">
        <f>E867+G867+I867</f>
        <v/>
      </c>
      <c r="L867" s="15">
        <f>F867+H867+J867</f>
        <v/>
      </c>
      <c r="M867" s="18" t="n"/>
    </row>
    <row r="868">
      <c r="A868" s="14" t="inlineStr">
        <is>
          <t>마). 복자기</t>
        </is>
      </c>
      <c r="B868" s="14" t="inlineStr">
        <is>
          <t>H3.5xR8</t>
        </is>
      </c>
      <c r="C868" s="15" t="n">
        <v>50</v>
      </c>
      <c r="D868" s="16" t="inlineStr">
        <is>
          <t>주</t>
        </is>
      </c>
      <c r="E868" s="15" t="n">
        <v>0</v>
      </c>
      <c r="F868" s="15">
        <f>E868*C868</f>
        <v/>
      </c>
      <c r="G868" s="15" t="n">
        <v>0</v>
      </c>
      <c r="H868" s="15">
        <f>G868*C868</f>
        <v/>
      </c>
      <c r="I868" s="15" t="n">
        <v>175404</v>
      </c>
      <c r="J868" s="15">
        <f>I868*C868</f>
        <v/>
      </c>
      <c r="K868" s="15">
        <f>E868+G868+I868</f>
        <v/>
      </c>
      <c r="L868" s="15">
        <f>F868+H868+J868</f>
        <v/>
      </c>
      <c r="M868" s="18" t="n"/>
    </row>
    <row r="869">
      <c r="A869" s="14" t="inlineStr">
        <is>
          <t>바). 청단풍</t>
        </is>
      </c>
      <c r="B869" s="14" t="inlineStr">
        <is>
          <t>H3.0xR8</t>
        </is>
      </c>
      <c r="C869" s="15" t="n">
        <v>45</v>
      </c>
      <c r="D869" s="16" t="inlineStr">
        <is>
          <t>주</t>
        </is>
      </c>
      <c r="E869" s="15" t="n">
        <v>0</v>
      </c>
      <c r="F869" s="15">
        <f>E869*C869</f>
        <v/>
      </c>
      <c r="G869" s="15" t="n">
        <v>0</v>
      </c>
      <c r="H869" s="15">
        <f>G869*C869</f>
        <v/>
      </c>
      <c r="I869" s="15" t="n">
        <v>175404</v>
      </c>
      <c r="J869" s="15">
        <f>I869*C869</f>
        <v/>
      </c>
      <c r="K869" s="15">
        <f>E869+G869+I869</f>
        <v/>
      </c>
      <c r="L869" s="15">
        <f>F869+H869+J869</f>
        <v/>
      </c>
      <c r="M869" s="18" t="n"/>
    </row>
    <row r="870">
      <c r="A870" s="14" t="inlineStr">
        <is>
          <t>사). 산철쭉</t>
        </is>
      </c>
      <c r="B870" s="14" t="inlineStr">
        <is>
          <t>H0.3xW0.3</t>
        </is>
      </c>
      <c r="C870" s="15" t="n">
        <v>2670</v>
      </c>
      <c r="D870" s="16" t="inlineStr">
        <is>
          <t>주</t>
        </is>
      </c>
      <c r="E870" s="15" t="n">
        <v>0</v>
      </c>
      <c r="F870" s="15">
        <f>E870*C870</f>
        <v/>
      </c>
      <c r="G870" s="15" t="n">
        <v>0</v>
      </c>
      <c r="H870" s="15">
        <f>G870*C870</f>
        <v/>
      </c>
      <c r="I870" s="15" t="n">
        <v>4093</v>
      </c>
      <c r="J870" s="15">
        <f>I870*C870</f>
        <v/>
      </c>
      <c r="K870" s="15">
        <f>E870+G870+I870</f>
        <v/>
      </c>
      <c r="L870" s="15">
        <f>F870+H870+J870</f>
        <v/>
      </c>
      <c r="M870" s="18" t="n"/>
    </row>
    <row r="871">
      <c r="A871" s="14" t="inlineStr">
        <is>
          <t>아). 법면보호공</t>
        </is>
      </c>
      <c r="B871" s="14" t="inlineStr">
        <is>
          <t>잔디붙임(줄떼)</t>
        </is>
      </c>
      <c r="C871" s="15" t="n">
        <v>7300</v>
      </c>
      <c r="D871" s="16" t="inlineStr">
        <is>
          <t>㎡</t>
        </is>
      </c>
      <c r="E871" s="15" t="n">
        <v>0</v>
      </c>
      <c r="F871" s="15">
        <f>E871*C871</f>
        <v/>
      </c>
      <c r="G871" s="15" t="n">
        <v>0</v>
      </c>
      <c r="H871" s="15">
        <f>G871*C871</f>
        <v/>
      </c>
      <c r="I871" s="15" t="n">
        <v>8770</v>
      </c>
      <c r="J871" s="15">
        <f>I871*C871</f>
        <v/>
      </c>
      <c r="K871" s="15">
        <f>E871+G871+I871</f>
        <v/>
      </c>
      <c r="L871" s="15">
        <f>F871+H871+J871</f>
        <v/>
      </c>
      <c r="M871" s="18" t="n"/>
    </row>
    <row r="872">
      <c r="A872" s="28" t="inlineStr">
        <is>
          <t>마. 가로수</t>
        </is>
      </c>
      <c r="B872" s="28" t="n"/>
      <c r="C872" s="17" t="n"/>
      <c r="D872" s="16" t="n"/>
      <c r="E872" s="17" t="n"/>
      <c r="F872" s="29" t="n"/>
      <c r="G872" s="17" t="n"/>
      <c r="H872" s="29" t="n"/>
      <c r="I872" s="17" t="n"/>
      <c r="J872" s="29" t="n"/>
      <c r="K872" s="17" t="n"/>
      <c r="L872" s="29" t="n"/>
      <c r="M872" s="18" t="n"/>
    </row>
    <row r="873">
      <c r="A873" s="28" t="inlineStr">
        <is>
          <t>1). 식재</t>
        </is>
      </c>
      <c r="B873" s="28" t="n"/>
      <c r="C873" s="17" t="n"/>
      <c r="D873" s="16" t="n"/>
      <c r="E873" s="17" t="n"/>
      <c r="F873" s="29" t="n"/>
      <c r="G873" s="17" t="n"/>
      <c r="H873" s="29" t="n"/>
      <c r="I873" s="17" t="n"/>
      <c r="J873" s="29" t="n"/>
      <c r="K873" s="17" t="n"/>
      <c r="L873" s="29" t="n"/>
      <c r="M873" s="18" t="n"/>
    </row>
    <row r="874">
      <c r="A874" s="14" t="inlineStr">
        <is>
          <t>가). 목백합(튜립)</t>
        </is>
      </c>
      <c r="B874" s="14" t="inlineStr">
        <is>
          <t>H5.0xR15</t>
        </is>
      </c>
      <c r="C874" s="15" t="n">
        <v>144</v>
      </c>
      <c r="D874" s="16" t="inlineStr">
        <is>
          <t>주</t>
        </is>
      </c>
      <c r="E874" s="15" t="n">
        <v>0</v>
      </c>
      <c r="F874" s="15">
        <f>E874*C874</f>
        <v/>
      </c>
      <c r="G874" s="15" t="n">
        <v>0</v>
      </c>
      <c r="H874" s="15">
        <f>G874*C874</f>
        <v/>
      </c>
      <c r="I874" s="15" t="n">
        <v>4093</v>
      </c>
      <c r="J874" s="15">
        <f>I874*C874</f>
        <v/>
      </c>
      <c r="K874" s="15">
        <f>E874+G874+I874</f>
        <v/>
      </c>
      <c r="L874" s="15">
        <f>F874+H874+J874</f>
        <v/>
      </c>
      <c r="M874" s="18" t="n"/>
    </row>
    <row r="875">
      <c r="A875" s="28" t="inlineStr">
        <is>
          <t>2). 시설물</t>
        </is>
      </c>
      <c r="B875" s="28" t="n"/>
      <c r="C875" s="17" t="n"/>
      <c r="D875" s="16" t="n"/>
      <c r="E875" s="17" t="n"/>
      <c r="F875" s="29" t="n"/>
      <c r="G875" s="17" t="n"/>
      <c r="H875" s="29" t="n"/>
      <c r="I875" s="17" t="n"/>
      <c r="J875" s="29" t="n"/>
      <c r="K875" s="17" t="n"/>
      <c r="L875" s="29" t="n"/>
      <c r="M875" s="18" t="n"/>
    </row>
    <row r="876">
      <c r="A876" s="14" t="inlineStr">
        <is>
          <t>가). 수목보호판</t>
        </is>
      </c>
      <c r="B876" s="14" t="inlineStr">
        <is>
          <t>800*800</t>
        </is>
      </c>
      <c r="C876" s="15" t="n">
        <v>144</v>
      </c>
      <c r="D876" s="16" t="inlineStr">
        <is>
          <t>EA</t>
        </is>
      </c>
      <c r="E876" s="15" t="n">
        <v>117844</v>
      </c>
      <c r="F876" s="15">
        <f>E876*C876</f>
        <v/>
      </c>
      <c r="G876" s="15" t="n">
        <v>3214</v>
      </c>
      <c r="H876" s="15">
        <f>G876*C876</f>
        <v/>
      </c>
      <c r="I876" s="15" t="n">
        <v>0</v>
      </c>
      <c r="J876" s="15">
        <f>I876*C876</f>
        <v/>
      </c>
      <c r="K876" s="15">
        <f>E876+G876+I876</f>
        <v/>
      </c>
      <c r="L876" s="15">
        <f>F876+H876+J876</f>
        <v/>
      </c>
      <c r="M876" s="18" t="n"/>
    </row>
    <row r="877">
      <c r="A877" s="14" t="inlineStr">
        <is>
          <t>1). 안전관리계획작성 및 검토비</t>
        </is>
      </c>
      <c r="B877" s="14" t="n"/>
      <c r="C877" s="15" t="n">
        <v>1</v>
      </c>
      <c r="D877" s="16" t="inlineStr">
        <is>
          <t>P.S</t>
        </is>
      </c>
      <c r="E877" s="15" t="n">
        <v>0</v>
      </c>
      <c r="F877" s="15">
        <f>E877*C877</f>
        <v/>
      </c>
      <c r="G877" s="15" t="n">
        <v>0</v>
      </c>
      <c r="H877" s="15">
        <f>G877*C877</f>
        <v/>
      </c>
      <c r="I877" s="15" t="n">
        <v>0</v>
      </c>
      <c r="J877" s="15">
        <f>I877*C877</f>
        <v/>
      </c>
      <c r="K877" s="15">
        <f>E877+G877+I877</f>
        <v/>
      </c>
      <c r="L877" s="15">
        <f>F877+H877+J877</f>
        <v/>
      </c>
      <c r="M877" s="18" t="n"/>
    </row>
    <row r="878">
      <c r="A878" s="14" t="inlineStr">
        <is>
          <t>2). 안전점검비</t>
        </is>
      </c>
      <c r="B878" s="14" t="n"/>
      <c r="C878" s="15" t="n">
        <v>1</v>
      </c>
      <c r="D878" s="16" t="inlineStr">
        <is>
          <t>P.S</t>
        </is>
      </c>
      <c r="E878" s="15" t="n">
        <v>0</v>
      </c>
      <c r="F878" s="15">
        <f>E878*C878</f>
        <v/>
      </c>
      <c r="G878" s="15" t="n">
        <v>0</v>
      </c>
      <c r="H878" s="15">
        <f>G878*C878</f>
        <v/>
      </c>
      <c r="I878" s="15" t="n">
        <v>0</v>
      </c>
      <c r="J878" s="15">
        <f>I878*C878</f>
        <v/>
      </c>
      <c r="K878" s="15">
        <f>E878+G878+I878</f>
        <v/>
      </c>
      <c r="L878" s="15">
        <f>F878+H878+J878</f>
        <v/>
      </c>
      <c r="M878" s="18" t="n"/>
    </row>
    <row r="879">
      <c r="A879" s="14" t="inlineStr">
        <is>
          <t>1). 품질시험</t>
        </is>
      </c>
      <c r="B879" s="14" t="n"/>
      <c r="C879" s="15" t="n">
        <v>1</v>
      </c>
      <c r="D879" s="16" t="inlineStr">
        <is>
          <t>sum</t>
        </is>
      </c>
      <c r="E879" s="15" t="n">
        <v>0</v>
      </c>
      <c r="F879" s="15">
        <f>E879*C879</f>
        <v/>
      </c>
      <c r="G879" s="15" t="n">
        <v>0</v>
      </c>
      <c r="H879" s="15">
        <f>G879*C879</f>
        <v/>
      </c>
      <c r="I879" s="15" t="n">
        <v>0</v>
      </c>
      <c r="J879" s="15">
        <f>I879*C879</f>
        <v/>
      </c>
      <c r="K879" s="15">
        <f>E879+G879+I879</f>
        <v/>
      </c>
      <c r="L879" s="15">
        <f>F879+H879+J879</f>
        <v/>
      </c>
      <c r="M879" s="18" t="n"/>
    </row>
    <row r="880">
      <c r="A880" s="28" t="inlineStr">
        <is>
          <t>2). 품질관리활동비</t>
        </is>
      </c>
      <c r="B880" s="28" t="n"/>
      <c r="C880" s="17" t="n"/>
      <c r="D880" s="16" t="n"/>
      <c r="E880" s="17" t="n"/>
      <c r="F880" s="29" t="n"/>
      <c r="G880" s="17" t="n"/>
      <c r="H880" s="29" t="n"/>
      <c r="I880" s="17" t="n"/>
      <c r="J880" s="29" t="n"/>
      <c r="K880" s="17" t="n"/>
      <c r="L880" s="29" t="n"/>
      <c r="M880" s="18" t="n"/>
    </row>
    <row r="881">
      <c r="A881" s="14" t="inlineStr">
        <is>
          <t>가). 품질관리자인건비</t>
        </is>
      </c>
      <c r="B881" s="14" t="inlineStr">
        <is>
          <t>중급품질관리대상</t>
        </is>
      </c>
      <c r="C881" s="15" t="n">
        <v>14</v>
      </c>
      <c r="D881" s="16" t="inlineStr">
        <is>
          <t>개월</t>
        </is>
      </c>
      <c r="E881" s="15" t="n">
        <v>0</v>
      </c>
      <c r="F881" s="15">
        <f>E881*C881</f>
        <v/>
      </c>
      <c r="G881" s="15" t="n">
        <v>0</v>
      </c>
      <c r="H881" s="15">
        <f>G881*C881</f>
        <v/>
      </c>
      <c r="I881" s="15" t="n">
        <v>0</v>
      </c>
      <c r="J881" s="15">
        <f>I881*C881</f>
        <v/>
      </c>
      <c r="K881" s="15">
        <f>E881+G881+I881</f>
        <v/>
      </c>
      <c r="L881" s="15">
        <f>F881+H881+J881</f>
        <v/>
      </c>
      <c r="M881" s="18" t="n"/>
    </row>
    <row r="882">
      <c r="A882" s="25" t="inlineStr">
        <is>
          <t>1. GIS DB 구축  (부속 · 대공종율 적용)</t>
        </is>
      </c>
      <c r="B882" s="26" t="n"/>
      <c r="C882" s="21" t="n"/>
      <c r="D882" s="22" t="n"/>
      <c r="E882" s="21" t="n"/>
      <c r="F882" s="27" t="n"/>
      <c r="G882" s="21" t="n"/>
      <c r="H882" s="27" t="n"/>
      <c r="I882" s="21" t="n"/>
      <c r="J882" s="27" t="n"/>
      <c r="K882" s="21" t="n"/>
      <c r="L882" s="27" t="n"/>
      <c r="M882" s="24" t="n"/>
    </row>
    <row r="883">
      <c r="A883" s="25" t="inlineStr">
        <is>
          <t>2. 구조검토비  (부속 · 대공종율 적용)</t>
        </is>
      </c>
      <c r="B883" s="26" t="n"/>
      <c r="C883" s="21" t="n"/>
      <c r="D883" s="22" t="n"/>
      <c r="E883" s="21" t="n"/>
      <c r="F883" s="27" t="n"/>
      <c r="G883" s="21" t="n"/>
      <c r="H883" s="27" t="n"/>
      <c r="I883" s="21" t="n"/>
      <c r="J883" s="27" t="n"/>
      <c r="K883" s="21" t="n"/>
      <c r="L883" s="27" t="n"/>
      <c r="M883" s="24" t="n"/>
    </row>
    <row r="884">
      <c r="A884" s="25" t="inlineStr">
        <is>
          <t>1. GIS DB 구축  (부속 · 대공종율 적용)</t>
        </is>
      </c>
      <c r="B884" s="26" t="n"/>
      <c r="C884" s="21" t="n"/>
      <c r="D884" s="22" t="n"/>
      <c r="E884" s="21" t="n"/>
      <c r="F884" s="27" t="n"/>
      <c r="G884" s="21" t="n"/>
      <c r="H884" s="27" t="n"/>
      <c r="I884" s="21" t="n"/>
      <c r="J884" s="27" t="n"/>
      <c r="K884" s="21" t="n"/>
      <c r="L884" s="27" t="n"/>
      <c r="M884" s="24" t="n"/>
    </row>
    <row r="885">
      <c r="A885" s="28" t="inlineStr">
        <is>
          <t>가. GIS DB 구축</t>
        </is>
      </c>
      <c r="B885" s="28" t="n"/>
      <c r="C885" s="17" t="n"/>
      <c r="D885" s="16" t="n"/>
      <c r="E885" s="17" t="n"/>
      <c r="F885" s="29" t="n"/>
      <c r="G885" s="17" t="n"/>
      <c r="H885" s="29" t="n"/>
      <c r="I885" s="17" t="n"/>
      <c r="J885" s="29" t="n"/>
      <c r="K885" s="17" t="n"/>
      <c r="L885" s="29" t="n"/>
      <c r="M885" s="18" t="n"/>
    </row>
    <row r="886">
      <c r="A886" s="25" t="inlineStr">
        <is>
          <t>2. 구조검토비  (부속 · 대공종율 적용)</t>
        </is>
      </c>
      <c r="B886" s="26" t="n"/>
      <c r="C886" s="21" t="n"/>
      <c r="D886" s="22" t="n"/>
      <c r="E886" s="21" t="n"/>
      <c r="F886" s="27" t="n"/>
      <c r="G886" s="21" t="n"/>
      <c r="H886" s="27" t="n"/>
      <c r="I886" s="21" t="n"/>
      <c r="J886" s="27" t="n"/>
      <c r="K886" s="21" t="n"/>
      <c r="L886" s="27" t="n"/>
      <c r="M886" s="24" t="n"/>
    </row>
    <row r="887">
      <c r="A887" s="28" t="n"/>
      <c r="B887" s="28" t="n"/>
      <c r="C887" s="17" t="n"/>
      <c r="D887" s="16" t="n"/>
      <c r="E887" s="17" t="n"/>
      <c r="F887" s="29" t="n"/>
      <c r="G887" s="17" t="n"/>
      <c r="H887" s="29" t="n"/>
      <c r="I887" s="17" t="n"/>
      <c r="J887" s="29" t="n"/>
      <c r="K887" s="17" t="n"/>
      <c r="L887" s="29" t="n"/>
      <c r="M887" s="18" t="n"/>
    </row>
    <row r="888">
      <c r="A888" s="28" t="n"/>
      <c r="B888" s="28" t="n"/>
      <c r="C888" s="17" t="n"/>
      <c r="D888" s="16" t="n"/>
      <c r="E888" s="17" t="n"/>
      <c r="F888" s="29" t="n"/>
      <c r="G888" s="17" t="n"/>
      <c r="H888" s="29" t="n"/>
      <c r="I888" s="17" t="n"/>
      <c r="J888" s="29" t="n"/>
      <c r="K888" s="17" t="n"/>
      <c r="L888" s="29" t="n"/>
      <c r="M888" s="18" t="n"/>
    </row>
    <row r="889">
      <c r="A889" s="25" t="inlineStr">
        <is>
          <t>1. 토     공</t>
        </is>
      </c>
      <c r="B889" s="26" t="n"/>
      <c r="C889" s="21" t="n"/>
      <c r="D889" s="22" t="n"/>
      <c r="E889" s="21" t="n"/>
      <c r="F889" s="27" t="n"/>
      <c r="G889" s="21" t="n"/>
      <c r="H889" s="27" t="n"/>
      <c r="I889" s="21" t="n"/>
      <c r="J889" s="27" t="n"/>
      <c r="K889" s="21" t="n"/>
      <c r="L889" s="27" t="n"/>
      <c r="M889" s="24" t="n"/>
    </row>
    <row r="890">
      <c r="A890" s="28" t="inlineStr">
        <is>
          <t>가 노상준비공</t>
        </is>
      </c>
      <c r="B890" s="28" t="n"/>
      <c r="C890" s="17" t="n"/>
      <c r="D890" s="16" t="n"/>
      <c r="E890" s="17" t="n"/>
      <c r="F890" s="29" t="n"/>
      <c r="G890" s="17" t="n"/>
      <c r="H890" s="29" t="n"/>
      <c r="I890" s="17" t="n"/>
      <c r="J890" s="29" t="n"/>
      <c r="K890" s="17" t="n"/>
      <c r="L890" s="29" t="n"/>
      <c r="M890" s="18" t="n"/>
    </row>
    <row r="891">
      <c r="A891" s="14" t="inlineStr">
        <is>
          <t>1). 노상준비공</t>
        </is>
      </c>
      <c r="B891" s="14" t="inlineStr">
        <is>
          <t>깍기부</t>
        </is>
      </c>
      <c r="C891" s="15" t="n">
        <v>1418</v>
      </c>
      <c r="D891" s="16" t="inlineStr">
        <is>
          <t>m2</t>
        </is>
      </c>
      <c r="E891" s="15" t="n">
        <v>0</v>
      </c>
      <c r="F891" s="15">
        <f>E891*C891</f>
        <v/>
      </c>
      <c r="G891" s="15" t="n">
        <v>496</v>
      </c>
      <c r="H891" s="15">
        <f>G891*C891</f>
        <v/>
      </c>
      <c r="I891" s="15" t="n">
        <v>774</v>
      </c>
      <c r="J891" s="15">
        <f>I891*C891</f>
        <v/>
      </c>
      <c r="K891" s="15">
        <f>E891+G891+I891</f>
        <v/>
      </c>
      <c r="L891" s="15">
        <f>F891+H891+J891</f>
        <v/>
      </c>
      <c r="M891" s="18" t="n"/>
    </row>
    <row r="892">
      <c r="A892" s="28" t="inlineStr">
        <is>
          <t>나. 법면보호공</t>
        </is>
      </c>
      <c r="B892" s="28" t="n"/>
      <c r="C892" s="17" t="n"/>
      <c r="D892" s="16" t="n"/>
      <c r="E892" s="17" t="n"/>
      <c r="F892" s="29" t="n"/>
      <c r="G892" s="17" t="n"/>
      <c r="H892" s="29" t="n"/>
      <c r="I892" s="17" t="n"/>
      <c r="J892" s="29" t="n"/>
      <c r="K892" s="17" t="n"/>
      <c r="L892" s="29" t="n"/>
      <c r="M892" s="18" t="n"/>
    </row>
    <row r="893">
      <c r="A893" s="14" t="inlineStr">
        <is>
          <t>1). 법면보호공</t>
        </is>
      </c>
      <c r="B893" s="14" t="inlineStr">
        <is>
          <t>잔디붙임(줄떼)</t>
        </is>
      </c>
      <c r="C893" s="15" t="n">
        <v>1640</v>
      </c>
      <c r="D893" s="16" t="inlineStr">
        <is>
          <t>㎡</t>
        </is>
      </c>
      <c r="E893" s="15" t="n">
        <v>4395</v>
      </c>
      <c r="F893" s="15">
        <f>E893*C893</f>
        <v/>
      </c>
      <c r="G893" s="15" t="n">
        <v>922</v>
      </c>
      <c r="H893" s="15">
        <f>G893*C893</f>
        <v/>
      </c>
      <c r="I893" s="15" t="n">
        <v>0</v>
      </c>
      <c r="J893" s="15">
        <f>I893*C893</f>
        <v/>
      </c>
      <c r="K893" s="15">
        <f>E893+G893+I893</f>
        <v/>
      </c>
      <c r="L893" s="15">
        <f>F893+H893+J893</f>
        <v/>
      </c>
      <c r="M893" s="18" t="n"/>
    </row>
    <row r="894">
      <c r="A894" s="14" t="inlineStr">
        <is>
          <t>2). 법면보호공</t>
        </is>
      </c>
      <c r="B894" s="14" t="inlineStr">
        <is>
          <t>잔디붙임(평떼)</t>
        </is>
      </c>
      <c r="C894" s="15" t="n">
        <v>0</v>
      </c>
      <c r="D894" s="16" t="inlineStr">
        <is>
          <t>㎡</t>
        </is>
      </c>
      <c r="E894" s="17" t="n"/>
      <c r="F894" s="15" t="n">
        <v>0</v>
      </c>
      <c r="G894" s="17" t="n"/>
      <c r="H894" s="15" t="n">
        <v>0</v>
      </c>
      <c r="I894" s="17" t="n"/>
      <c r="J894" s="15" t="n">
        <v>0</v>
      </c>
      <c r="K894" s="17" t="n"/>
      <c r="L894" s="15" t="n">
        <v>0</v>
      </c>
      <c r="M894" s="18" t="n"/>
    </row>
    <row r="895">
      <c r="A895" s="28" t="inlineStr">
        <is>
          <t>다. 흙깎기</t>
        </is>
      </c>
      <c r="B895" s="28" t="n"/>
      <c r="C895" s="17" t="n"/>
      <c r="D895" s="16" t="n"/>
      <c r="E895" s="17" t="n"/>
      <c r="F895" s="29" t="n"/>
      <c r="G895" s="17" t="n"/>
      <c r="H895" s="29" t="n"/>
      <c r="I895" s="17" t="n"/>
      <c r="J895" s="29" t="n"/>
      <c r="K895" s="17" t="n"/>
      <c r="L895" s="29" t="n"/>
      <c r="M895" s="18" t="n"/>
    </row>
    <row r="896">
      <c r="A896" s="28" t="inlineStr">
        <is>
          <t>1). 토사</t>
        </is>
      </c>
      <c r="B896" s="28" t="n"/>
      <c r="C896" s="17" t="n"/>
      <c r="D896" s="16" t="n"/>
      <c r="E896" s="17" t="n"/>
      <c r="F896" s="29" t="n"/>
      <c r="G896" s="17" t="n"/>
      <c r="H896" s="29" t="n"/>
      <c r="I896" s="17" t="n"/>
      <c r="J896" s="29" t="n"/>
      <c r="K896" s="17" t="n"/>
      <c r="L896" s="29" t="n"/>
      <c r="M896" s="18" t="n"/>
    </row>
    <row r="897">
      <c r="A897" s="14" t="inlineStr">
        <is>
          <t>나). 흙깍기(토사)</t>
        </is>
      </c>
      <c r="B897" s="14" t="inlineStr">
        <is>
          <t>굴삭기1.0㎥</t>
        </is>
      </c>
      <c r="C897" s="15" t="n">
        <v>725</v>
      </c>
      <c r="D897" s="16" t="inlineStr">
        <is>
          <t>㎥</t>
        </is>
      </c>
      <c r="E897" s="15" t="n">
        <v>0</v>
      </c>
      <c r="F897" s="15">
        <f>E897*C897</f>
        <v/>
      </c>
      <c r="G897" s="15" t="n">
        <v>258</v>
      </c>
      <c r="H897" s="15">
        <f>G897*C897</f>
        <v/>
      </c>
      <c r="I897" s="15" t="n">
        <v>1445</v>
      </c>
      <c r="J897" s="15">
        <f>I897*C897</f>
        <v/>
      </c>
      <c r="K897" s="15">
        <f>E897+G897+I897</f>
        <v/>
      </c>
      <c r="L897" s="15">
        <f>F897+H897+J897</f>
        <v/>
      </c>
      <c r="M897" s="18" t="n"/>
    </row>
    <row r="898">
      <c r="A898" s="28" t="inlineStr">
        <is>
          <t>라. 터파기</t>
        </is>
      </c>
      <c r="B898" s="28" t="n"/>
      <c r="C898" s="17" t="n"/>
      <c r="D898" s="16" t="n"/>
      <c r="E898" s="17" t="n"/>
      <c r="F898" s="29" t="n"/>
      <c r="G898" s="17" t="n"/>
      <c r="H898" s="29" t="n"/>
      <c r="I898" s="17" t="n"/>
      <c r="J898" s="29" t="n"/>
      <c r="K898" s="17" t="n"/>
      <c r="L898" s="29" t="n"/>
      <c r="M898" s="18" t="n"/>
    </row>
    <row r="899">
      <c r="A899" s="14" t="inlineStr">
        <is>
          <t>1). 터파기(토사)</t>
        </is>
      </c>
      <c r="B899" s="14" t="inlineStr">
        <is>
          <t>TYPE-1, 굴착기1.0, 기계100%</t>
        </is>
      </c>
      <c r="C899" s="15" t="n">
        <v>142</v>
      </c>
      <c r="D899" s="16" t="inlineStr">
        <is>
          <t>㎥</t>
        </is>
      </c>
      <c r="E899" s="15" t="n">
        <v>0</v>
      </c>
      <c r="F899" s="15">
        <f>E899*C899</f>
        <v/>
      </c>
      <c r="G899" s="15" t="n">
        <v>220</v>
      </c>
      <c r="H899" s="15">
        <f>G899*C899</f>
        <v/>
      </c>
      <c r="I899" s="15" t="n">
        <v>1230</v>
      </c>
      <c r="J899" s="15">
        <f>I899*C899</f>
        <v/>
      </c>
      <c r="K899" s="15">
        <f>E899+G899+I899</f>
        <v/>
      </c>
      <c r="L899" s="15">
        <f>F899+H899+J899</f>
        <v/>
      </c>
      <c r="M899" s="18" t="n"/>
    </row>
    <row r="900">
      <c r="A900" s="28" t="inlineStr">
        <is>
          <t>마. 흙쌓기</t>
        </is>
      </c>
      <c r="B900" s="28" t="n"/>
      <c r="C900" s="17" t="n"/>
      <c r="D900" s="16" t="n"/>
      <c r="E900" s="17" t="n"/>
      <c r="F900" s="29" t="n"/>
      <c r="G900" s="17" t="n"/>
      <c r="H900" s="29" t="n"/>
      <c r="I900" s="17" t="n"/>
      <c r="J900" s="29" t="n"/>
      <c r="K900" s="17" t="n"/>
      <c r="L900" s="29" t="n"/>
      <c r="M900" s="18" t="n"/>
    </row>
    <row r="901">
      <c r="A901" s="28" t="inlineStr">
        <is>
          <t>1). 노상</t>
        </is>
      </c>
      <c r="B901" s="28" t="n"/>
      <c r="C901" s="17" t="n"/>
      <c r="D901" s="16" t="n"/>
      <c r="E901" s="17" t="n"/>
      <c r="F901" s="29" t="n"/>
      <c r="G901" s="17" t="n"/>
      <c r="H901" s="29" t="n"/>
      <c r="I901" s="17" t="n"/>
      <c r="J901" s="29" t="n"/>
      <c r="K901" s="17" t="n"/>
      <c r="L901" s="29" t="n"/>
      <c r="M901" s="18" t="n"/>
    </row>
    <row r="902">
      <c r="A902" s="14" t="inlineStr">
        <is>
          <t>가). 흙쌓기</t>
        </is>
      </c>
      <c r="B902" s="14" t="inlineStr">
        <is>
          <t>노상, 두께20cm, 다짐도95%이상</t>
        </is>
      </c>
      <c r="C902" s="15" t="n">
        <v>1710</v>
      </c>
      <c r="D902" s="16" t="inlineStr">
        <is>
          <t>㎥</t>
        </is>
      </c>
      <c r="E902" s="15" t="n">
        <v>0</v>
      </c>
      <c r="F902" s="15">
        <f>E902*C902</f>
        <v/>
      </c>
      <c r="G902" s="15" t="n">
        <v>340</v>
      </c>
      <c r="H902" s="15">
        <f>G902*C902</f>
        <v/>
      </c>
      <c r="I902" s="15" t="n">
        <v>2156</v>
      </c>
      <c r="J902" s="15">
        <f>I902*C902</f>
        <v/>
      </c>
      <c r="K902" s="15">
        <f>E902+G902+I902</f>
        <v/>
      </c>
      <c r="L902" s="15">
        <f>F902+H902+J902</f>
        <v/>
      </c>
      <c r="M902" s="18" t="n"/>
    </row>
    <row r="903">
      <c r="A903" s="28" t="inlineStr">
        <is>
          <t>2). 노체</t>
        </is>
      </c>
      <c r="B903" s="28" t="n"/>
      <c r="C903" s="17" t="n"/>
      <c r="D903" s="16" t="n"/>
      <c r="E903" s="17" t="n"/>
      <c r="F903" s="29" t="n"/>
      <c r="G903" s="17" t="n"/>
      <c r="H903" s="29" t="n"/>
      <c r="I903" s="17" t="n"/>
      <c r="J903" s="29" t="n"/>
      <c r="K903" s="17" t="n"/>
      <c r="L903" s="29" t="n"/>
      <c r="M903" s="18" t="n"/>
    </row>
    <row r="904">
      <c r="A904" s="14" t="inlineStr">
        <is>
          <t>가). 흙쌓기</t>
        </is>
      </c>
      <c r="B904" s="14" t="inlineStr">
        <is>
          <t>노체, 두께30cm, 다짐도90%이상</t>
        </is>
      </c>
      <c r="C904" s="15" t="n">
        <v>25732</v>
      </c>
      <c r="D904" s="16" t="inlineStr">
        <is>
          <t>㎥</t>
        </is>
      </c>
      <c r="E904" s="15" t="n">
        <v>0</v>
      </c>
      <c r="F904" s="15">
        <f>E904*C904</f>
        <v/>
      </c>
      <c r="G904" s="15" t="n">
        <v>340</v>
      </c>
      <c r="H904" s="15">
        <f>G904*C904</f>
        <v/>
      </c>
      <c r="I904" s="15" t="n">
        <v>1288</v>
      </c>
      <c r="J904" s="15">
        <f>I904*C904</f>
        <v/>
      </c>
      <c r="K904" s="15">
        <f>E904+G904+I904</f>
        <v/>
      </c>
      <c r="L904" s="15">
        <f>F904+H904+J904</f>
        <v/>
      </c>
      <c r="M904" s="18" t="n"/>
    </row>
    <row r="905">
      <c r="A905" s="28" t="inlineStr">
        <is>
          <t>3). 되메우기</t>
        </is>
      </c>
      <c r="B905" s="28" t="n"/>
      <c r="C905" s="17" t="n"/>
      <c r="D905" s="16" t="n"/>
      <c r="E905" s="17" t="n"/>
      <c r="F905" s="29" t="n"/>
      <c r="G905" s="17" t="n"/>
      <c r="H905" s="29" t="n"/>
      <c r="I905" s="17" t="n"/>
      <c r="J905" s="29" t="n"/>
      <c r="K905" s="17" t="n"/>
      <c r="L905" s="29" t="n"/>
      <c r="M905" s="18" t="n"/>
    </row>
    <row r="906">
      <c r="A906" s="14" t="inlineStr">
        <is>
          <t>가). 흙쌓기</t>
        </is>
      </c>
      <c r="B906" s="14" t="inlineStr">
        <is>
          <t>노체, 두께30cm, 다짐도90%이상</t>
        </is>
      </c>
      <c r="C906" s="15" t="n">
        <v>34</v>
      </c>
      <c r="D906" s="16" t="inlineStr">
        <is>
          <t>㎥</t>
        </is>
      </c>
      <c r="E906" s="15" t="n">
        <v>0</v>
      </c>
      <c r="F906" s="15">
        <f>E906*C906</f>
        <v/>
      </c>
      <c r="G906" s="15" t="n">
        <v>340</v>
      </c>
      <c r="H906" s="15">
        <f>G906*C906</f>
        <v/>
      </c>
      <c r="I906" s="15" t="n">
        <v>1288</v>
      </c>
      <c r="J906" s="15">
        <f>I906*C906</f>
        <v/>
      </c>
      <c r="K906" s="15">
        <f>E906+G906+I906</f>
        <v/>
      </c>
      <c r="L906" s="15">
        <f>F906+H906+J906</f>
        <v/>
      </c>
      <c r="M906" s="18" t="n"/>
    </row>
    <row r="907">
      <c r="A907" s="28" t="inlineStr">
        <is>
          <t>바 층따기</t>
        </is>
      </c>
      <c r="B907" s="28" t="n"/>
      <c r="C907" s="17" t="n"/>
      <c r="D907" s="16" t="n"/>
      <c r="E907" s="17" t="n"/>
      <c r="F907" s="29" t="n"/>
      <c r="G907" s="17" t="n"/>
      <c r="H907" s="29" t="n"/>
      <c r="I907" s="17" t="n"/>
      <c r="J907" s="29" t="n"/>
      <c r="K907" s="17" t="n"/>
      <c r="L907" s="29" t="n"/>
      <c r="M907" s="18" t="n"/>
    </row>
    <row r="908">
      <c r="A908" s="14" t="inlineStr">
        <is>
          <t>1). 층따기</t>
        </is>
      </c>
      <c r="B908" s="14" t="n"/>
      <c r="C908" s="15" t="n">
        <v>774</v>
      </c>
      <c r="D908" s="16" t="inlineStr">
        <is>
          <t>m3</t>
        </is>
      </c>
      <c r="E908" s="15" t="n">
        <v>0</v>
      </c>
      <c r="F908" s="15">
        <f>E908*C908</f>
        <v/>
      </c>
      <c r="G908" s="15" t="n">
        <v>242</v>
      </c>
      <c r="H908" s="15">
        <f>G908*C908</f>
        <v/>
      </c>
      <c r="I908" s="15" t="n">
        <v>1355</v>
      </c>
      <c r="J908" s="15">
        <f>I908*C908</f>
        <v/>
      </c>
      <c r="K908" s="15">
        <f>E908+G908+I908</f>
        <v/>
      </c>
      <c r="L908" s="15">
        <f>F908+H908+J908</f>
        <v/>
      </c>
      <c r="M908" s="18" t="n"/>
    </row>
    <row r="909">
      <c r="A909" s="28" t="inlineStr">
        <is>
          <t>사. 흙운반</t>
        </is>
      </c>
      <c r="B909" s="28" t="n"/>
      <c r="C909" s="17" t="n"/>
      <c r="D909" s="16" t="n"/>
      <c r="E909" s="17" t="n"/>
      <c r="F909" s="29" t="n"/>
      <c r="G909" s="17" t="n"/>
      <c r="H909" s="29" t="n"/>
      <c r="I909" s="17" t="n"/>
      <c r="J909" s="29" t="n"/>
      <c r="K909" s="17" t="n"/>
      <c r="L909" s="29" t="n"/>
      <c r="M909" s="18" t="n"/>
    </row>
    <row r="910">
      <c r="A910" s="28" t="inlineStr">
        <is>
          <t>1). 무대(1, 2차)</t>
        </is>
      </c>
      <c r="B910" s="28" t="n"/>
      <c r="C910" s="17" t="n"/>
      <c r="D910" s="16" t="n"/>
      <c r="E910" s="17" t="n"/>
      <c r="F910" s="29" t="n"/>
      <c r="G910" s="17" t="n"/>
      <c r="H910" s="29" t="n"/>
      <c r="I910" s="17" t="n"/>
      <c r="J910" s="29" t="n"/>
      <c r="K910" s="17" t="n"/>
      <c r="L910" s="29" t="n"/>
      <c r="M910" s="18" t="n"/>
    </row>
    <row r="911">
      <c r="A911" s="14" t="inlineStr">
        <is>
          <t>가). 토사</t>
        </is>
      </c>
      <c r="B911" s="14" t="n"/>
      <c r="C911" s="15" t="n">
        <v>1266</v>
      </c>
      <c r="D911" s="16" t="inlineStr">
        <is>
          <t>㎥</t>
        </is>
      </c>
      <c r="E911" s="15" t="n">
        <v>0</v>
      </c>
      <c r="F911" s="15">
        <f>E911*C911</f>
        <v/>
      </c>
      <c r="G911" s="15" t="n">
        <v>50</v>
      </c>
      <c r="H911" s="15">
        <f>G911*C911</f>
        <v/>
      </c>
      <c r="I911" s="15" t="n">
        <v>335</v>
      </c>
      <c r="J911" s="15">
        <f>I911*C911</f>
        <v/>
      </c>
      <c r="K911" s="15">
        <f>E911+G911+I911</f>
        <v/>
      </c>
      <c r="L911" s="15">
        <f>F911+H911+J911</f>
        <v/>
      </c>
      <c r="M911" s="18" t="n"/>
    </row>
    <row r="912">
      <c r="A912" s="28" t="inlineStr">
        <is>
          <t>2). 도쟈운반</t>
        </is>
      </c>
      <c r="B912" s="28" t="n"/>
      <c r="C912" s="17" t="n"/>
      <c r="D912" s="16" t="n"/>
      <c r="E912" s="17" t="n"/>
      <c r="F912" s="29" t="n"/>
      <c r="G912" s="17" t="n"/>
      <c r="H912" s="29" t="n"/>
      <c r="I912" s="17" t="n"/>
      <c r="J912" s="29" t="n"/>
      <c r="K912" s="17" t="n"/>
      <c r="L912" s="29" t="n"/>
      <c r="M912" s="18" t="n"/>
    </row>
    <row r="913">
      <c r="A913" s="14" t="inlineStr">
        <is>
          <t>가). 흙운반(토사)</t>
        </is>
      </c>
      <c r="B913" s="14" t="inlineStr">
        <is>
          <t>불도저 32톤, L=39.8m</t>
        </is>
      </c>
      <c r="C913" s="15" t="n">
        <v>185</v>
      </c>
      <c r="D913" s="16" t="inlineStr">
        <is>
          <t>㎥</t>
        </is>
      </c>
      <c r="E913" s="15" t="n">
        <v>0</v>
      </c>
      <c r="F913" s="15">
        <f>E913*C913</f>
        <v/>
      </c>
      <c r="G913" s="15" t="n">
        <v>169</v>
      </c>
      <c r="H913" s="15">
        <f>G913*C913</f>
        <v/>
      </c>
      <c r="I913" s="15" t="n">
        <v>1147</v>
      </c>
      <c r="J913" s="15">
        <f>I913*C913</f>
        <v/>
      </c>
      <c r="K913" s="15">
        <f>E913+G913+I913</f>
        <v/>
      </c>
      <c r="L913" s="15">
        <f>F913+H913+J913</f>
        <v/>
      </c>
      <c r="M913" s="18" t="n"/>
    </row>
    <row r="914">
      <c r="A914" s="28" t="inlineStr">
        <is>
          <t>3). 덤프운반(지구내)</t>
        </is>
      </c>
      <c r="B914" s="28" t="n"/>
      <c r="C914" s="17" t="n"/>
      <c r="D914" s="16" t="n"/>
      <c r="E914" s="17" t="n"/>
      <c r="F914" s="29" t="n"/>
      <c r="G914" s="17" t="n"/>
      <c r="H914" s="29" t="n"/>
      <c r="I914" s="17" t="n"/>
      <c r="J914" s="29" t="n"/>
      <c r="K914" s="17" t="n"/>
      <c r="L914" s="29" t="n"/>
      <c r="M914" s="18" t="n"/>
    </row>
    <row r="915">
      <c r="A915" s="14" t="inlineStr">
        <is>
          <t>가). 흙 운반(토사)(지구내)</t>
        </is>
      </c>
      <c r="B915" s="14" t="inlineStr">
        <is>
          <t>굴삭기1.0㎥+덤프24톤, L=0.090Km</t>
        </is>
      </c>
      <c r="C915" s="15" t="n">
        <v>136</v>
      </c>
      <c r="D915" s="16" t="inlineStr">
        <is>
          <t>㎥</t>
        </is>
      </c>
      <c r="E915" s="15" t="n">
        <v>0</v>
      </c>
      <c r="F915" s="15">
        <f>E915*C915</f>
        <v/>
      </c>
      <c r="G915" s="15" t="n">
        <v>458</v>
      </c>
      <c r="H915" s="15">
        <f>G915*C915</f>
        <v/>
      </c>
      <c r="I915" s="15" t="n">
        <v>2301</v>
      </c>
      <c r="J915" s="15">
        <f>I915*C915</f>
        <v/>
      </c>
      <c r="K915" s="15">
        <f>E915+G915+I915</f>
        <v/>
      </c>
      <c r="L915" s="15">
        <f>F915+H915+J915</f>
        <v/>
      </c>
      <c r="M915" s="18" t="n"/>
    </row>
    <row r="916">
      <c r="A916" s="28" t="inlineStr">
        <is>
          <t>아. 규준틀</t>
        </is>
      </c>
      <c r="B916" s="28" t="n"/>
      <c r="C916" s="17" t="n"/>
      <c r="D916" s="16" t="n"/>
      <c r="E916" s="17" t="n"/>
      <c r="F916" s="29" t="n"/>
      <c r="G916" s="17" t="n"/>
      <c r="H916" s="29" t="n"/>
      <c r="I916" s="17" t="n"/>
      <c r="J916" s="29" t="n"/>
      <c r="K916" s="17" t="n"/>
      <c r="L916" s="29" t="n"/>
      <c r="M916" s="18" t="n"/>
    </row>
    <row r="917">
      <c r="A917" s="14" t="inlineStr">
        <is>
          <t>1). 목재규준틀</t>
        </is>
      </c>
      <c r="B917" s="14" t="inlineStr">
        <is>
          <t>비탈규준틀</t>
        </is>
      </c>
      <c r="C917" s="15" t="n">
        <v>36</v>
      </c>
      <c r="D917" s="16" t="inlineStr">
        <is>
          <t>개</t>
        </is>
      </c>
      <c r="E917" s="15" t="n">
        <v>7089</v>
      </c>
      <c r="F917" s="15">
        <f>E917*C917</f>
        <v/>
      </c>
      <c r="G917" s="15" t="n">
        <v>49908</v>
      </c>
      <c r="H917" s="15">
        <f>G917*C917</f>
        <v/>
      </c>
      <c r="I917" s="15" t="n">
        <v>0</v>
      </c>
      <c r="J917" s="15">
        <f>I917*C917</f>
        <v/>
      </c>
      <c r="K917" s="15">
        <f>E917+G917+I917</f>
        <v/>
      </c>
      <c r="L917" s="15">
        <f>F917+H917+J917</f>
        <v/>
      </c>
      <c r="M917" s="18" t="n"/>
    </row>
    <row r="918">
      <c r="A918" s="14" t="inlineStr">
        <is>
          <t>2). 목재규준틀</t>
        </is>
      </c>
      <c r="B918" s="14" t="inlineStr">
        <is>
          <t>수평규준틀</t>
        </is>
      </c>
      <c r="C918" s="15" t="n">
        <v>6</v>
      </c>
      <c r="D918" s="16" t="inlineStr">
        <is>
          <t>개</t>
        </is>
      </c>
      <c r="E918" s="15" t="n">
        <v>22686</v>
      </c>
      <c r="F918" s="15">
        <f>E918*C918</f>
        <v/>
      </c>
      <c r="G918" s="15" t="n">
        <v>66285</v>
      </c>
      <c r="H918" s="15">
        <f>G918*C918</f>
        <v/>
      </c>
      <c r="I918" s="15" t="n">
        <v>0</v>
      </c>
      <c r="J918" s="15">
        <f>I918*C918</f>
        <v/>
      </c>
      <c r="K918" s="15">
        <f>E918+G918+I918</f>
        <v/>
      </c>
      <c r="L918" s="15">
        <f>F918+H918+J918</f>
        <v/>
      </c>
      <c r="M918" s="18" t="n"/>
    </row>
    <row r="919">
      <c r="A919" s="28" t="inlineStr">
        <is>
          <t>자. 지장물철거</t>
        </is>
      </c>
      <c r="B919" s="28" t="n"/>
      <c r="C919" s="17" t="n"/>
      <c r="D919" s="16" t="n"/>
      <c r="E919" s="17" t="n"/>
      <c r="F919" s="29" t="n"/>
      <c r="G919" s="17" t="n"/>
      <c r="H919" s="29" t="n"/>
      <c r="I919" s="17" t="n"/>
      <c r="J919" s="29" t="n"/>
      <c r="K919" s="17" t="n"/>
      <c r="L919" s="29" t="n"/>
      <c r="M919" s="18" t="n"/>
    </row>
    <row r="920">
      <c r="A920" s="28" t="inlineStr">
        <is>
          <t>1). 콘크리트깨기</t>
        </is>
      </c>
      <c r="B920" s="28" t="n"/>
      <c r="C920" s="17" t="n"/>
      <c r="D920" s="16" t="n"/>
      <c r="E920" s="17" t="n"/>
      <c r="F920" s="29" t="n"/>
      <c r="G920" s="17" t="n"/>
      <c r="H920" s="29" t="n"/>
      <c r="I920" s="17" t="n"/>
      <c r="J920" s="29" t="n"/>
      <c r="K920" s="17" t="n"/>
      <c r="L920" s="29" t="n"/>
      <c r="M920" s="18" t="n"/>
    </row>
    <row r="921">
      <c r="A921" s="14" t="inlineStr">
        <is>
          <t>가). 구조물헐기(철근)</t>
        </is>
      </c>
      <c r="B921" s="14" t="inlineStr">
        <is>
          <t>대형30CM미만</t>
        </is>
      </c>
      <c r="C921" s="15" t="n">
        <v>20</v>
      </c>
      <c r="D921" s="16" t="inlineStr">
        <is>
          <t>㎥</t>
        </is>
      </c>
      <c r="E921" s="15" t="n">
        <v>0</v>
      </c>
      <c r="F921" s="15">
        <f>E921*C921</f>
        <v/>
      </c>
      <c r="G921" s="15" t="n">
        <v>6239</v>
      </c>
      <c r="H921" s="15">
        <f>G921*C921</f>
        <v/>
      </c>
      <c r="I921" s="15" t="n">
        <v>22595</v>
      </c>
      <c r="J921" s="15">
        <f>I921*C921</f>
        <v/>
      </c>
      <c r="K921" s="15">
        <f>E921+G921+I921</f>
        <v/>
      </c>
      <c r="L921" s="15">
        <f>F921+H921+J921</f>
        <v/>
      </c>
      <c r="M921" s="18" t="n"/>
    </row>
    <row r="922">
      <c r="A922" s="14" t="inlineStr">
        <is>
          <t>나). 구조물헐기(무근)</t>
        </is>
      </c>
      <c r="B922" s="14" t="inlineStr">
        <is>
          <t>대형30CM미만</t>
        </is>
      </c>
      <c r="C922" s="15" t="n">
        <v>10</v>
      </c>
      <c r="D922" s="16" t="inlineStr">
        <is>
          <t>㎥</t>
        </is>
      </c>
      <c r="E922" s="15" t="n">
        <v>0</v>
      </c>
      <c r="F922" s="15">
        <f>E922*C922</f>
        <v/>
      </c>
      <c r="G922" s="15" t="n">
        <v>3119</v>
      </c>
      <c r="H922" s="15">
        <f>G922*C922</f>
        <v/>
      </c>
      <c r="I922" s="15" t="n">
        <v>18262</v>
      </c>
      <c r="J922" s="15">
        <f>I922*C922</f>
        <v/>
      </c>
      <c r="K922" s="15">
        <f>E922+G922+I922</f>
        <v/>
      </c>
      <c r="L922" s="15">
        <f>F922+H922+J922</f>
        <v/>
      </c>
      <c r="M922" s="18" t="n"/>
    </row>
    <row r="923">
      <c r="A923" s="14" t="inlineStr">
        <is>
          <t>다). 포장절단/아스팔트</t>
        </is>
      </c>
      <c r="B923" s="14" t="n"/>
      <c r="C923" s="15" t="n">
        <v>30</v>
      </c>
      <c r="D923" s="16" t="inlineStr">
        <is>
          <t>m</t>
        </is>
      </c>
      <c r="E923" s="15" t="n">
        <v>2623</v>
      </c>
      <c r="F923" s="15">
        <f>E923*C923</f>
        <v/>
      </c>
      <c r="G923" s="15" t="n">
        <v>993</v>
      </c>
      <c r="H923" s="15">
        <f>G923*C923</f>
        <v/>
      </c>
      <c r="I923" s="15" t="n">
        <v>0</v>
      </c>
      <c r="J923" s="15">
        <f>I923*C923</f>
        <v/>
      </c>
      <c r="K923" s="15">
        <f>E923+G923+I923</f>
        <v/>
      </c>
      <c r="L923" s="15">
        <f>F923+H923+J923</f>
        <v/>
      </c>
      <c r="M923" s="18" t="n"/>
    </row>
    <row r="924">
      <c r="A924" s="14" t="inlineStr">
        <is>
          <t>라). 아스팔트포장깨기</t>
        </is>
      </c>
      <c r="B924" s="14" t="inlineStr">
        <is>
          <t>T=30cm 미만</t>
        </is>
      </c>
      <c r="C924" s="15" t="n">
        <v>162</v>
      </c>
      <c r="D924" s="16" t="inlineStr">
        <is>
          <t>m3</t>
        </is>
      </c>
      <c r="E924" s="15" t="n">
        <v>0</v>
      </c>
      <c r="F924" s="15">
        <f>E924*C924</f>
        <v/>
      </c>
      <c r="G924" s="15" t="n">
        <v>1063</v>
      </c>
      <c r="H924" s="15">
        <f>G924*C924</f>
        <v/>
      </c>
      <c r="I924" s="15" t="n">
        <v>3869</v>
      </c>
      <c r="J924" s="15">
        <f>I924*C924</f>
        <v/>
      </c>
      <c r="K924" s="15">
        <f>E924+G924+I924</f>
        <v/>
      </c>
      <c r="L924" s="15">
        <f>F924+H924+J924</f>
        <v/>
      </c>
      <c r="M924" s="18" t="n"/>
    </row>
    <row r="925">
      <c r="A925" s="14" t="inlineStr">
        <is>
          <t>마). 콘크리트포장깨기</t>
        </is>
      </c>
      <c r="B925" s="14" t="inlineStr">
        <is>
          <t>T=30cm 미만</t>
        </is>
      </c>
      <c r="C925" s="15" t="n">
        <v>22</v>
      </c>
      <c r="D925" s="16" t="inlineStr">
        <is>
          <t>m3</t>
        </is>
      </c>
      <c r="E925" s="15" t="n">
        <v>0</v>
      </c>
      <c r="F925" s="15">
        <f>E925*C925</f>
        <v/>
      </c>
      <c r="G925" s="15" t="n">
        <v>1063</v>
      </c>
      <c r="H925" s="15">
        <f>G925*C925</f>
        <v/>
      </c>
      <c r="I925" s="15" t="n">
        <v>3095</v>
      </c>
      <c r="J925" s="15">
        <f>I925*C925</f>
        <v/>
      </c>
      <c r="K925" s="15">
        <f>E925+G925+I925</f>
        <v/>
      </c>
      <c r="L925" s="15">
        <f>F925+H925+J925</f>
        <v/>
      </c>
      <c r="M925" s="18" t="n"/>
    </row>
    <row r="926">
      <c r="A926" s="28" t="inlineStr">
        <is>
          <t>2). 폐기물상차</t>
        </is>
      </c>
      <c r="B926" s="28" t="n"/>
      <c r="C926" s="17" t="n"/>
      <c r="D926" s="16" t="n"/>
      <c r="E926" s="17" t="n"/>
      <c r="F926" s="29" t="n"/>
      <c r="G926" s="17" t="n"/>
      <c r="H926" s="29" t="n"/>
      <c r="I926" s="17" t="n"/>
      <c r="J926" s="29" t="n"/>
      <c r="K926" s="17" t="n"/>
      <c r="L926" s="29" t="n"/>
      <c r="M926" s="18" t="n"/>
    </row>
    <row r="927">
      <c r="A927" s="14" t="inlineStr">
        <is>
          <t>가). 폐기물상차</t>
        </is>
      </c>
      <c r="B927" s="14" t="inlineStr">
        <is>
          <t>굴삭기 0.7㎥</t>
        </is>
      </c>
      <c r="C927" s="15" t="n">
        <v>214</v>
      </c>
      <c r="D927" s="16" t="inlineStr">
        <is>
          <t>㎥</t>
        </is>
      </c>
      <c r="E927" s="15" t="n">
        <v>0</v>
      </c>
      <c r="F927" s="15">
        <f>E927*C927</f>
        <v/>
      </c>
      <c r="G927" s="15" t="n">
        <v>709</v>
      </c>
      <c r="H927" s="15">
        <f>G927*C927</f>
        <v/>
      </c>
      <c r="I927" s="15" t="n">
        <v>1548</v>
      </c>
      <c r="J927" s="15">
        <f>I927*C927</f>
        <v/>
      </c>
      <c r="K927" s="15">
        <f>E927+G927+I927</f>
        <v/>
      </c>
      <c r="L927" s="15">
        <f>F927+H927+J927</f>
        <v/>
      </c>
      <c r="M927" s="18" t="n"/>
    </row>
    <row r="928">
      <c r="A928" s="25" t="inlineStr">
        <is>
          <t>2. 우 수 공</t>
        </is>
      </c>
      <c r="B928" s="26" t="n"/>
      <c r="C928" s="21" t="n"/>
      <c r="D928" s="22" t="n"/>
      <c r="E928" s="21" t="n"/>
      <c r="F928" s="27" t="n"/>
      <c r="G928" s="21" t="n"/>
      <c r="H928" s="27" t="n"/>
      <c r="I928" s="21" t="n"/>
      <c r="J928" s="27" t="n"/>
      <c r="K928" s="21" t="n"/>
      <c r="L928" s="27" t="n"/>
      <c r="M928" s="24" t="n"/>
    </row>
    <row r="929">
      <c r="A929" s="28" t="inlineStr">
        <is>
          <t>가. 토     공</t>
        </is>
      </c>
      <c r="B929" s="28" t="n"/>
      <c r="C929" s="17" t="n"/>
      <c r="D929" s="16" t="n"/>
      <c r="E929" s="17" t="n"/>
      <c r="F929" s="29" t="n"/>
      <c r="G929" s="17" t="n"/>
      <c r="H929" s="29" t="n"/>
      <c r="I929" s="17" t="n"/>
      <c r="J929" s="29" t="n"/>
      <c r="K929" s="17" t="n"/>
      <c r="L929" s="29" t="n"/>
      <c r="M929" s="18" t="n"/>
    </row>
    <row r="930">
      <c r="A930" s="28" t="inlineStr">
        <is>
          <t>1). 터파기</t>
        </is>
      </c>
      <c r="B930" s="28" t="n"/>
      <c r="C930" s="17" t="n"/>
      <c r="D930" s="16" t="n"/>
      <c r="E930" s="17" t="n"/>
      <c r="F930" s="29" t="n"/>
      <c r="G930" s="17" t="n"/>
      <c r="H930" s="29" t="n"/>
      <c r="I930" s="17" t="n"/>
      <c r="J930" s="29" t="n"/>
      <c r="K930" s="17" t="n"/>
      <c r="L930" s="29" t="n"/>
      <c r="M930" s="18" t="n"/>
    </row>
    <row r="931">
      <c r="A931" s="28" t="inlineStr">
        <is>
          <t>가). 토사</t>
        </is>
      </c>
      <c r="B931" s="28" t="n"/>
      <c r="C931" s="17" t="n"/>
      <c r="D931" s="16" t="n"/>
      <c r="E931" s="17" t="n"/>
      <c r="F931" s="29" t="n"/>
      <c r="G931" s="17" t="n"/>
      <c r="H931" s="29" t="n"/>
      <c r="I931" s="17" t="n"/>
      <c r="J931" s="29" t="n"/>
      <c r="K931" s="17" t="n"/>
      <c r="L931" s="29" t="n"/>
      <c r="M931" s="18" t="n"/>
    </row>
    <row r="932">
      <c r="A932" s="14" t="inlineStr">
        <is>
          <t>(1). 터파기(토사)</t>
        </is>
      </c>
      <c r="B932" s="14" t="inlineStr">
        <is>
          <t>TYPE-1, 백호1.0, 기계100%</t>
        </is>
      </c>
      <c r="C932" s="15" t="n">
        <v>2694</v>
      </c>
      <c r="D932" s="16" t="inlineStr">
        <is>
          <t>㎥</t>
        </is>
      </c>
      <c r="E932" s="15" t="n">
        <v>0</v>
      </c>
      <c r="F932" s="15">
        <f>E932*C932</f>
        <v/>
      </c>
      <c r="G932" s="15" t="n">
        <v>1918</v>
      </c>
      <c r="H932" s="15">
        <f>G932*C932</f>
        <v/>
      </c>
      <c r="I932" s="15" t="n">
        <v>4709</v>
      </c>
      <c r="J932" s="15">
        <f>I932*C932</f>
        <v/>
      </c>
      <c r="K932" s="15">
        <f>E932+G932+I932</f>
        <v/>
      </c>
      <c r="L932" s="15">
        <f>F932+H932+J932</f>
        <v/>
      </c>
      <c r="M932" s="18" t="n"/>
    </row>
    <row r="933">
      <c r="A933" s="28" t="inlineStr">
        <is>
          <t>2). 되메우기</t>
        </is>
      </c>
      <c r="B933" s="28" t="n"/>
      <c r="C933" s="17" t="n"/>
      <c r="D933" s="16" t="n"/>
      <c r="E933" s="17" t="n"/>
      <c r="F933" s="29" t="n"/>
      <c r="G933" s="17" t="n"/>
      <c r="H933" s="29" t="n"/>
      <c r="I933" s="17" t="n"/>
      <c r="J933" s="29" t="n"/>
      <c r="K933" s="17" t="n"/>
      <c r="L933" s="29" t="n"/>
      <c r="M933" s="18" t="n"/>
    </row>
    <row r="934">
      <c r="A934" s="14" t="inlineStr">
        <is>
          <t>가). 되메우기및다짐(토사)</t>
        </is>
      </c>
      <c r="B934" s="14" t="inlineStr">
        <is>
          <t>백호0.7+플레이트콤펙터1.5ton</t>
        </is>
      </c>
      <c r="C934" s="15" t="n">
        <v>2103</v>
      </c>
      <c r="D934" s="16" t="inlineStr">
        <is>
          <t>㎥</t>
        </is>
      </c>
      <c r="E934" s="15" t="n">
        <v>0</v>
      </c>
      <c r="F934" s="15">
        <f>E934*C934</f>
        <v/>
      </c>
      <c r="G934" s="15" t="n">
        <v>1918</v>
      </c>
      <c r="H934" s="15">
        <f>G934*C934</f>
        <v/>
      </c>
      <c r="I934" s="15" t="n">
        <v>5233</v>
      </c>
      <c r="J934" s="15">
        <f>I934*C934</f>
        <v/>
      </c>
      <c r="K934" s="15">
        <f>E934+G934+I934</f>
        <v/>
      </c>
      <c r="L934" s="15">
        <f>F934+H934+J934</f>
        <v/>
      </c>
      <c r="M934" s="18" t="n"/>
    </row>
    <row r="935">
      <c r="A935" s="28" t="inlineStr">
        <is>
          <t>3). 잔토처리</t>
        </is>
      </c>
      <c r="B935" s="28" t="n"/>
      <c r="C935" s="17" t="n"/>
      <c r="D935" s="16" t="n"/>
      <c r="E935" s="17" t="n"/>
      <c r="F935" s="29" t="n"/>
      <c r="G935" s="17" t="n"/>
      <c r="H935" s="29" t="n"/>
      <c r="I935" s="17" t="n"/>
      <c r="J935" s="29" t="n"/>
      <c r="K935" s="17" t="n"/>
      <c r="L935" s="29" t="n"/>
      <c r="M935" s="18" t="n"/>
    </row>
    <row r="936">
      <c r="A936" s="14" t="inlineStr">
        <is>
          <t>가). 잔토처리(토사)</t>
        </is>
      </c>
      <c r="B936" s="14" t="inlineStr">
        <is>
          <t>기계</t>
        </is>
      </c>
      <c r="C936" s="15" t="n">
        <v>591</v>
      </c>
      <c r="D936" s="16" t="inlineStr">
        <is>
          <t>㎥</t>
        </is>
      </c>
      <c r="E936" s="15" t="n">
        <v>0</v>
      </c>
      <c r="F936" s="15">
        <f>E936*C936</f>
        <v/>
      </c>
      <c r="G936" s="15" t="n">
        <v>0</v>
      </c>
      <c r="H936" s="15">
        <f>G936*C936</f>
        <v/>
      </c>
      <c r="I936" s="15" t="n">
        <v>10466</v>
      </c>
      <c r="J936" s="15">
        <f>I936*C936</f>
        <v/>
      </c>
      <c r="K936" s="15">
        <f>E936+G936+I936</f>
        <v/>
      </c>
      <c r="L936" s="15">
        <f>F936+H936+J936</f>
        <v/>
      </c>
      <c r="M936" s="18" t="n"/>
    </row>
    <row r="937">
      <c r="A937" s="28" t="inlineStr">
        <is>
          <t>나. 관 로 공</t>
        </is>
      </c>
      <c r="B937" s="28" t="n"/>
      <c r="C937" s="17" t="n"/>
      <c r="D937" s="16" t="n"/>
      <c r="E937" s="17" t="n"/>
      <c r="F937" s="29" t="n"/>
      <c r="G937" s="17" t="n"/>
      <c r="H937" s="29" t="n"/>
      <c r="I937" s="17" t="n"/>
      <c r="J937" s="29" t="n"/>
      <c r="K937" s="17" t="n"/>
      <c r="L937" s="29" t="n"/>
      <c r="M937" s="18" t="n"/>
    </row>
    <row r="938">
      <c r="A938" s="28" t="inlineStr">
        <is>
          <t>1). 원심력철근콘크리트관 접합 및 부설</t>
        </is>
      </c>
      <c r="B938" s="28" t="n"/>
      <c r="C938" s="17" t="n"/>
      <c r="D938" s="16" t="n"/>
      <c r="E938" s="17" t="n"/>
      <c r="F938" s="29" t="n"/>
      <c r="G938" s="17" t="n"/>
      <c r="H938" s="29" t="n"/>
      <c r="I938" s="17" t="n"/>
      <c r="J938" s="29" t="n"/>
      <c r="K938" s="17" t="n"/>
      <c r="L938" s="29" t="n"/>
      <c r="M938" s="18" t="n"/>
    </row>
    <row r="939">
      <c r="A939" s="14" t="inlineStr">
        <is>
          <t>가). 원심력철근콘크리트관 접합및부설(소켓식)</t>
        </is>
      </c>
      <c r="B939" s="14" t="inlineStr">
        <is>
          <t>Ø 250mm, 시공조건 B</t>
        </is>
      </c>
      <c r="C939" s="15" t="n">
        <v>107</v>
      </c>
      <c r="D939" s="16" t="inlineStr">
        <is>
          <t>m</t>
        </is>
      </c>
      <c r="E939" s="15" t="n">
        <v>0</v>
      </c>
      <c r="F939" s="15">
        <f>E939*C939</f>
        <v/>
      </c>
      <c r="G939" s="15" t="n">
        <v>13174</v>
      </c>
      <c r="H939" s="15">
        <f>G939*C939</f>
        <v/>
      </c>
      <c r="I939" s="15" t="n">
        <v>13209</v>
      </c>
      <c r="J939" s="15">
        <f>I939*C939</f>
        <v/>
      </c>
      <c r="K939" s="15">
        <f>E939+G939+I939</f>
        <v/>
      </c>
      <c r="L939" s="15">
        <f>F939+H939+J939</f>
        <v/>
      </c>
      <c r="M939" s="18" t="n"/>
    </row>
    <row r="940">
      <c r="A940" s="14" t="inlineStr">
        <is>
          <t>다). 원심력철근콘크리트관 접합및부설(소켓식)</t>
        </is>
      </c>
      <c r="B940" s="14" t="inlineStr">
        <is>
          <t>Ø 600mm, 시공조건 B</t>
        </is>
      </c>
      <c r="C940" s="15" t="n">
        <v>275</v>
      </c>
      <c r="D940" s="16" t="inlineStr">
        <is>
          <t>m</t>
        </is>
      </c>
      <c r="E940" s="15" t="n">
        <v>0</v>
      </c>
      <c r="F940" s="15">
        <f>E940*C940</f>
        <v/>
      </c>
      <c r="G940" s="15" t="n">
        <v>17087</v>
      </c>
      <c r="H940" s="15">
        <f>G940*C940</f>
        <v/>
      </c>
      <c r="I940" s="15" t="n">
        <v>17164</v>
      </c>
      <c r="J940" s="15">
        <f>I940*C940</f>
        <v/>
      </c>
      <c r="K940" s="15">
        <f>E940+G940+I940</f>
        <v/>
      </c>
      <c r="L940" s="15">
        <f>F940+H940+J940</f>
        <v/>
      </c>
      <c r="M940" s="18" t="n"/>
    </row>
    <row r="941">
      <c r="A941" s="28" t="inlineStr">
        <is>
          <t>2). 관기초공</t>
        </is>
      </c>
      <c r="B941" s="28" t="n"/>
      <c r="C941" s="17" t="n"/>
      <c r="D941" s="16" t="n"/>
      <c r="E941" s="17" t="n"/>
      <c r="F941" s="29" t="n"/>
      <c r="G941" s="17" t="n"/>
      <c r="H941" s="29" t="n"/>
      <c r="I941" s="17" t="n"/>
      <c r="J941" s="29" t="n"/>
      <c r="K941" s="17" t="n"/>
      <c r="L941" s="29" t="n"/>
      <c r="M941" s="18" t="n"/>
    </row>
    <row r="942">
      <c r="A942" s="28" t="inlineStr">
        <is>
          <t>가). 콘크리트기초(90°)</t>
        </is>
      </c>
      <c r="B942" s="28" t="n"/>
      <c r="C942" s="17" t="n"/>
      <c r="D942" s="16" t="n"/>
      <c r="E942" s="17" t="n"/>
      <c r="F942" s="29" t="n"/>
      <c r="G942" s="17" t="n"/>
      <c r="H942" s="29" t="n"/>
      <c r="I942" s="17" t="n"/>
      <c r="J942" s="29" t="n"/>
      <c r="K942" s="17" t="n"/>
      <c r="L942" s="29" t="n"/>
      <c r="M942" s="18" t="n"/>
    </row>
    <row r="943">
      <c r="A943" s="14" t="inlineStr">
        <is>
          <t>(1) 콘크리트타설</t>
        </is>
      </c>
      <c r="B943" s="14" t="inlineStr">
        <is>
          <t>장비사용, 무근구조물</t>
        </is>
      </c>
      <c r="C943" s="15" t="n">
        <v>134</v>
      </c>
      <c r="D943" s="16" t="inlineStr">
        <is>
          <t>㎥</t>
        </is>
      </c>
      <c r="E943" s="15" t="n">
        <v>0</v>
      </c>
      <c r="F943" s="15">
        <f>E943*C943</f>
        <v/>
      </c>
      <c r="G943" s="15" t="n">
        <v>9588</v>
      </c>
      <c r="H943" s="15">
        <f>G943*C943</f>
        <v/>
      </c>
      <c r="I943" s="15" t="n">
        <v>18839</v>
      </c>
      <c r="J943" s="15">
        <f>I943*C943</f>
        <v/>
      </c>
      <c r="K943" s="15">
        <f>E943+G943+I943</f>
        <v/>
      </c>
      <c r="L943" s="15">
        <f>F943+H943+J943</f>
        <v/>
      </c>
      <c r="M943" s="18" t="n"/>
    </row>
    <row r="944">
      <c r="A944" s="14" t="inlineStr">
        <is>
          <t>(2) 거푸집</t>
        </is>
      </c>
      <c r="B944" s="14" t="inlineStr">
        <is>
          <t>합판6회(간단)</t>
        </is>
      </c>
      <c r="C944" s="15" t="n">
        <v>508</v>
      </c>
      <c r="D944" s="16" t="inlineStr">
        <is>
          <t>㎡</t>
        </is>
      </c>
      <c r="E944" s="15" t="n">
        <v>7191</v>
      </c>
      <c r="F944" s="15">
        <f>E944*C944</f>
        <v/>
      </c>
      <c r="G944" s="15" t="n">
        <v>27327</v>
      </c>
      <c r="H944" s="15">
        <f>G944*C944</f>
        <v/>
      </c>
      <c r="I944" s="15" t="n">
        <v>2094</v>
      </c>
      <c r="J944" s="15">
        <f>I944*C944</f>
        <v/>
      </c>
      <c r="K944" s="15">
        <f>E944+G944+I944</f>
        <v/>
      </c>
      <c r="L944" s="15">
        <f>F944+H944+J944</f>
        <v/>
      </c>
      <c r="M944" s="18" t="n"/>
    </row>
    <row r="945">
      <c r="A945" s="28" t="inlineStr">
        <is>
          <t>3). 원심력철근콘크리트관 천공 및 접합</t>
        </is>
      </c>
      <c r="B945" s="28" t="n"/>
      <c r="C945" s="17" t="n"/>
      <c r="D945" s="16" t="n"/>
      <c r="E945" s="17" t="n"/>
      <c r="F945" s="29" t="n"/>
      <c r="G945" s="17" t="n"/>
      <c r="H945" s="29" t="n"/>
      <c r="I945" s="17" t="n"/>
      <c r="J945" s="29" t="n"/>
      <c r="K945" s="17" t="n"/>
      <c r="L945" s="29" t="n"/>
      <c r="M945" s="18" t="n"/>
    </row>
    <row r="946">
      <c r="A946" s="14" t="inlineStr">
        <is>
          <t>가). 하수관 천공 및 접합</t>
        </is>
      </c>
      <c r="B946" s="14" t="inlineStr">
        <is>
          <t>D600X250</t>
        </is>
      </c>
      <c r="C946" s="15" t="n">
        <v>28</v>
      </c>
      <c r="D946" s="16" t="inlineStr">
        <is>
          <t>개소</t>
        </is>
      </c>
      <c r="E946" s="15" t="n">
        <v>0</v>
      </c>
      <c r="F946" s="15">
        <f>E946*C946</f>
        <v/>
      </c>
      <c r="G946" s="15" t="n">
        <v>56571</v>
      </c>
      <c r="H946" s="15">
        <f>G946*C946</f>
        <v/>
      </c>
      <c r="I946" s="15" t="n">
        <v>28049</v>
      </c>
      <c r="J946" s="15">
        <f>I946*C946</f>
        <v/>
      </c>
      <c r="K946" s="15">
        <f>E946+G946+I946</f>
        <v/>
      </c>
      <c r="L946" s="15">
        <f>F946+H946+J946</f>
        <v/>
      </c>
      <c r="M946" s="18" t="n"/>
    </row>
    <row r="947">
      <c r="A947" s="28" t="inlineStr">
        <is>
          <t>4). 원심력철근콘크리트관 절단</t>
        </is>
      </c>
      <c r="B947" s="28" t="n"/>
      <c r="C947" s="17" t="n"/>
      <c r="D947" s="16" t="n"/>
      <c r="E947" s="17" t="n"/>
      <c r="F947" s="29" t="n"/>
      <c r="G947" s="17" t="n"/>
      <c r="H947" s="29" t="n"/>
      <c r="I947" s="17" t="n"/>
      <c r="J947" s="29" t="n"/>
      <c r="K947" s="17" t="n"/>
      <c r="L947" s="29" t="n"/>
      <c r="M947" s="18" t="n"/>
    </row>
    <row r="948">
      <c r="A948" s="14" t="inlineStr">
        <is>
          <t>가). 원심력철근콘크리트관 절단</t>
        </is>
      </c>
      <c r="B948" s="14" t="inlineStr">
        <is>
          <t>Ø 250 MM</t>
        </is>
      </c>
      <c r="C948" s="15" t="n">
        <v>28</v>
      </c>
      <c r="D948" s="16" t="inlineStr">
        <is>
          <t>개소</t>
        </is>
      </c>
      <c r="E948" s="15" t="n">
        <v>0</v>
      </c>
      <c r="F948" s="15">
        <f>E948*C948</f>
        <v/>
      </c>
      <c r="G948" s="15" t="n">
        <v>36302</v>
      </c>
      <c r="H948" s="15">
        <f>G948*C948</f>
        <v/>
      </c>
      <c r="I948" s="15" t="n">
        <v>18693</v>
      </c>
      <c r="J948" s="15">
        <f>I948*C948</f>
        <v/>
      </c>
      <c r="K948" s="15">
        <f>E948+G948+I948</f>
        <v/>
      </c>
      <c r="L948" s="15">
        <f>F948+H948+J948</f>
        <v/>
      </c>
      <c r="M948" s="18" t="n"/>
    </row>
    <row r="949">
      <c r="A949" s="14" t="inlineStr">
        <is>
          <t>나). 원심력철근콘크리트관 절단</t>
        </is>
      </c>
      <c r="B949" s="14" t="inlineStr">
        <is>
          <t>Ø 600 MM</t>
        </is>
      </c>
      <c r="C949" s="15" t="n">
        <v>5</v>
      </c>
      <c r="D949" s="16" t="inlineStr">
        <is>
          <t>개소</t>
        </is>
      </c>
      <c r="E949" s="15" t="n">
        <v>0</v>
      </c>
      <c r="F949" s="15">
        <f>E949*C949</f>
        <v/>
      </c>
      <c r="G949" s="15" t="n">
        <v>52736</v>
      </c>
      <c r="H949" s="15">
        <f>G949*C949</f>
        <v/>
      </c>
      <c r="I949" s="15" t="n">
        <v>26165</v>
      </c>
      <c r="J949" s="15">
        <f>I949*C949</f>
        <v/>
      </c>
      <c r="K949" s="15">
        <f>E949+G949+I949</f>
        <v/>
      </c>
      <c r="L949" s="15">
        <f>F949+H949+J949</f>
        <v/>
      </c>
      <c r="M949" s="18" t="n"/>
    </row>
    <row r="950">
      <c r="A950" s="28" t="inlineStr">
        <is>
          <t>5). 관거내부조사 및 경고용테이프</t>
        </is>
      </c>
      <c r="B950" s="28" t="n"/>
      <c r="C950" s="17" t="n"/>
      <c r="D950" s="16" t="n"/>
      <c r="E950" s="17" t="n"/>
      <c r="F950" s="29" t="n"/>
      <c r="G950" s="17" t="n"/>
      <c r="H950" s="29" t="n"/>
      <c r="I950" s="17" t="n"/>
      <c r="J950" s="29" t="n"/>
      <c r="K950" s="17" t="n"/>
      <c r="L950" s="29" t="n"/>
      <c r="M950" s="18" t="n"/>
    </row>
    <row r="951">
      <c r="A951" s="14" t="inlineStr">
        <is>
          <t>가). 관로경고용테이프</t>
        </is>
      </c>
      <c r="B951" s="14" t="inlineStr">
        <is>
          <t>200mmx1m</t>
        </is>
      </c>
      <c r="C951" s="15" t="n">
        <v>275</v>
      </c>
      <c r="D951" s="16" t="inlineStr">
        <is>
          <t>m</t>
        </is>
      </c>
      <c r="E951" s="15" t="n">
        <v>479</v>
      </c>
      <c r="F951" s="15">
        <f>E951*C951</f>
        <v/>
      </c>
      <c r="G951" s="15" t="n">
        <v>479</v>
      </c>
      <c r="H951" s="15">
        <f>G951*C951</f>
        <v/>
      </c>
      <c r="I951" s="15" t="n">
        <v>0</v>
      </c>
      <c r="J951" s="15">
        <f>I951*C951</f>
        <v/>
      </c>
      <c r="K951" s="15">
        <f>E951+G951+I951</f>
        <v/>
      </c>
      <c r="L951" s="15">
        <f>F951+H951+J951</f>
        <v/>
      </c>
      <c r="M951" s="18" t="n"/>
    </row>
    <row r="952">
      <c r="A952" s="28" t="inlineStr">
        <is>
          <t>다. 우수맨홀</t>
        </is>
      </c>
      <c r="B952" s="28" t="n"/>
      <c r="C952" s="17" t="n"/>
      <c r="D952" s="16" t="n"/>
      <c r="E952" s="17" t="n"/>
      <c r="F952" s="29" t="n"/>
      <c r="G952" s="17" t="n"/>
      <c r="H952" s="29" t="n"/>
      <c r="I952" s="17" t="n"/>
      <c r="J952" s="29" t="n"/>
      <c r="K952" s="17" t="n"/>
      <c r="L952" s="29" t="n"/>
      <c r="M952" s="18" t="n"/>
    </row>
    <row r="953">
      <c r="A953" s="28" t="inlineStr">
        <is>
          <t>1). 원형맨홀</t>
        </is>
      </c>
      <c r="B953" s="28" t="n"/>
      <c r="C953" s="17" t="n"/>
      <c r="D953" s="16" t="n"/>
      <c r="E953" s="17" t="n"/>
      <c r="F953" s="29" t="n"/>
      <c r="G953" s="17" t="n"/>
      <c r="H953" s="29" t="n"/>
      <c r="I953" s="17" t="n"/>
      <c r="J953" s="29" t="n"/>
      <c r="K953" s="17" t="n"/>
      <c r="L953" s="29" t="n"/>
      <c r="M953" s="18" t="n"/>
    </row>
    <row r="954">
      <c r="A954" s="14" t="inlineStr">
        <is>
          <t>가). 우수 원형2호 맨홀</t>
        </is>
      </c>
      <c r="B954" s="14" t="inlineStr">
        <is>
          <t>D1200, H=1.7m, 차도</t>
        </is>
      </c>
      <c r="C954" s="15" t="n">
        <v>5</v>
      </c>
      <c r="D954" s="16" t="inlineStr">
        <is>
          <t>개소</t>
        </is>
      </c>
      <c r="E954" s="15" t="n">
        <v>815008</v>
      </c>
      <c r="F954" s="15">
        <f>E954*C954</f>
        <v/>
      </c>
      <c r="G954" s="15" t="n">
        <v>159166</v>
      </c>
      <c r="H954" s="15">
        <f>G954*C954</f>
        <v/>
      </c>
      <c r="I954" s="15" t="n">
        <v>180590</v>
      </c>
      <c r="J954" s="15">
        <f>I954*C954</f>
        <v/>
      </c>
      <c r="K954" s="15">
        <f>E954+G954+I954</f>
        <v/>
      </c>
      <c r="L954" s="15">
        <f>F954+H954+J954</f>
        <v/>
      </c>
      <c r="M954" s="18" t="n"/>
    </row>
    <row r="955">
      <c r="A955" s="28" t="inlineStr">
        <is>
          <t>2). 맨홀접합부</t>
        </is>
      </c>
      <c r="B955" s="28" t="n"/>
      <c r="C955" s="17" t="n"/>
      <c r="D955" s="16" t="n"/>
      <c r="E955" s="17" t="n"/>
      <c r="F955" s="29" t="n"/>
      <c r="G955" s="17" t="n"/>
      <c r="H955" s="29" t="n"/>
      <c r="I955" s="17" t="n"/>
      <c r="J955" s="29" t="n"/>
      <c r="K955" s="17" t="n"/>
      <c r="L955" s="29" t="n"/>
      <c r="M955" s="18" t="n"/>
    </row>
    <row r="956">
      <c r="A956" s="14" t="inlineStr">
        <is>
          <t>가). 무수축몰탈</t>
        </is>
      </c>
      <c r="B956" s="14" t="inlineStr">
        <is>
          <t>1:1, 자재비별산</t>
        </is>
      </c>
      <c r="C956" s="61" t="n">
        <v>1.158</v>
      </c>
      <c r="D956" s="16" t="inlineStr">
        <is>
          <t>㎥</t>
        </is>
      </c>
      <c r="E956" s="15" t="n">
        <v>0</v>
      </c>
      <c r="F956" s="15">
        <f>E956*C956</f>
        <v/>
      </c>
      <c r="G956" s="15" t="n">
        <v>166549</v>
      </c>
      <c r="H956" s="15">
        <f>G956*C956</f>
        <v/>
      </c>
      <c r="I956" s="15" t="n">
        <v>0</v>
      </c>
      <c r="J956" s="15">
        <f>I956*C956</f>
        <v/>
      </c>
      <c r="K956" s="15">
        <f>E956+G956+I956</f>
        <v/>
      </c>
      <c r="L956" s="15">
        <f>F956+H956+J956</f>
        <v/>
      </c>
      <c r="M956" s="18" t="n"/>
    </row>
    <row r="957">
      <c r="A957" s="28" t="inlineStr">
        <is>
          <t>라. 빗물받이</t>
        </is>
      </c>
      <c r="B957" s="28" t="n"/>
      <c r="C957" s="17" t="n"/>
      <c r="D957" s="16" t="n"/>
      <c r="E957" s="17" t="n"/>
      <c r="F957" s="29" t="n"/>
      <c r="G957" s="17" t="n"/>
      <c r="H957" s="29" t="n"/>
      <c r="I957" s="17" t="n"/>
      <c r="J957" s="29" t="n"/>
      <c r="K957" s="17" t="n"/>
      <c r="L957" s="29" t="n"/>
      <c r="M957" s="18" t="n"/>
    </row>
    <row r="958">
      <c r="A958" s="28" t="inlineStr">
        <is>
          <t>1). 1호 우수받이</t>
        </is>
      </c>
      <c r="B958" s="28" t="n"/>
      <c r="C958" s="17" t="n"/>
      <c r="D958" s="16" t="n"/>
      <c r="E958" s="17" t="n"/>
      <c r="F958" s="29" t="n"/>
      <c r="G958" s="17" t="n"/>
      <c r="H958" s="29" t="n"/>
      <c r="I958" s="17" t="n"/>
      <c r="J958" s="29" t="n"/>
      <c r="K958" s="17" t="n"/>
      <c r="L958" s="29" t="n"/>
      <c r="M958" s="18" t="n"/>
    </row>
    <row r="959">
      <c r="A959" s="14" t="inlineStr">
        <is>
          <t>가). 1호 우수받이</t>
        </is>
      </c>
      <c r="B959" s="14" t="inlineStr">
        <is>
          <t>0.3×0.4×0.9m, 스틸그레이팅포함</t>
        </is>
      </c>
      <c r="C959" s="15" t="n">
        <v>28</v>
      </c>
      <c r="D959" s="16" t="inlineStr">
        <is>
          <t>개소</t>
        </is>
      </c>
      <c r="E959" s="15" t="n">
        <v>69995</v>
      </c>
      <c r="F959" s="15">
        <f>E959*C959</f>
        <v/>
      </c>
      <c r="G959" s="15" t="n">
        <v>47942</v>
      </c>
      <c r="H959" s="15">
        <f>G959*C959</f>
        <v/>
      </c>
      <c r="I959" s="15" t="n">
        <v>65412</v>
      </c>
      <c r="J959" s="15">
        <f>I959*C959</f>
        <v/>
      </c>
      <c r="K959" s="15">
        <f>E959+G959+I959</f>
        <v/>
      </c>
      <c r="L959" s="15">
        <f>F959+H959+J959</f>
        <v/>
      </c>
      <c r="M959" s="18" t="n"/>
    </row>
    <row r="960">
      <c r="A960" s="28" t="inlineStr">
        <is>
          <t>마. PC암거</t>
        </is>
      </c>
      <c r="B960" s="28" t="n"/>
      <c r="C960" s="17" t="n"/>
      <c r="D960" s="16" t="n"/>
      <c r="E960" s="17" t="n"/>
      <c r="F960" s="29" t="n"/>
      <c r="G960" s="17" t="n"/>
      <c r="H960" s="29" t="n"/>
      <c r="I960" s="17" t="n"/>
      <c r="J960" s="29" t="n"/>
      <c r="K960" s="17" t="n"/>
      <c r="L960" s="29" t="n"/>
      <c r="M960" s="18" t="n"/>
    </row>
    <row r="961">
      <c r="A961" s="28" t="inlineStr">
        <is>
          <t>1). PC암거 설치</t>
        </is>
      </c>
      <c r="B961" s="28" t="n"/>
      <c r="C961" s="17" t="n"/>
      <c r="D961" s="16" t="n"/>
      <c r="E961" s="17" t="n"/>
      <c r="F961" s="29" t="n"/>
      <c r="G961" s="17" t="n"/>
      <c r="H961" s="29" t="n"/>
      <c r="I961" s="17" t="n"/>
      <c r="J961" s="29" t="n"/>
      <c r="K961" s="17" t="n"/>
      <c r="L961" s="29" t="n"/>
      <c r="M961" s="18" t="n"/>
    </row>
    <row r="962">
      <c r="A962" s="14" t="inlineStr">
        <is>
          <t>가). PC BOX</t>
        </is>
      </c>
      <c r="B962" s="14" t="inlineStr">
        <is>
          <t>1@2.0X1.5, 토피 H=1.0m이하</t>
        </is>
      </c>
      <c r="C962" s="15" t="n">
        <v>72</v>
      </c>
      <c r="D962" s="16" t="inlineStr">
        <is>
          <t>m</t>
        </is>
      </c>
      <c r="E962" s="15" t="n">
        <v>841855</v>
      </c>
      <c r="F962" s="15">
        <f>E962*C962</f>
        <v/>
      </c>
      <c r="G962" s="15" t="n">
        <v>172590</v>
      </c>
      <c r="H962" s="15">
        <f>G962*C962</f>
        <v/>
      </c>
      <c r="I962" s="15" t="n">
        <v>57563</v>
      </c>
      <c r="J962" s="15">
        <f>I962*C962</f>
        <v/>
      </c>
      <c r="K962" s="15">
        <f>E962+G962+I962</f>
        <v/>
      </c>
      <c r="L962" s="15">
        <f>F962+H962+J962</f>
        <v/>
      </c>
      <c r="M962" s="18" t="n"/>
    </row>
    <row r="963">
      <c r="A963" s="28" t="inlineStr">
        <is>
          <t>2). 접속부</t>
        </is>
      </c>
      <c r="B963" s="28" t="n"/>
      <c r="C963" s="17" t="n"/>
      <c r="D963" s="16" t="n"/>
      <c r="E963" s="17" t="n"/>
      <c r="F963" s="29" t="n"/>
      <c r="G963" s="17" t="n"/>
      <c r="H963" s="29" t="n"/>
      <c r="I963" s="17" t="n"/>
      <c r="J963" s="29" t="n"/>
      <c r="K963" s="17" t="n"/>
      <c r="L963" s="29" t="n"/>
      <c r="M963" s="18" t="n"/>
    </row>
    <row r="964">
      <c r="A964" s="14" t="inlineStr">
        <is>
          <t>가). 콘크리트타설</t>
        </is>
      </c>
      <c r="B964" s="14" t="inlineStr">
        <is>
          <t>장비사용, 무근구조물</t>
        </is>
      </c>
      <c r="C964" s="15" t="n">
        <v>18</v>
      </c>
      <c r="D964" s="16" t="inlineStr">
        <is>
          <t>㎥</t>
        </is>
      </c>
      <c r="E964" s="15" t="n">
        <v>0</v>
      </c>
      <c r="F964" s="15">
        <f>E964*C964</f>
        <v/>
      </c>
      <c r="G964" s="15" t="n">
        <v>12465</v>
      </c>
      <c r="H964" s="15">
        <f>G964*C964</f>
        <v/>
      </c>
      <c r="I964" s="15" t="n">
        <v>11513</v>
      </c>
      <c r="J964" s="15">
        <f>I964*C964</f>
        <v/>
      </c>
      <c r="K964" s="15">
        <f>E964+G964+I964</f>
        <v/>
      </c>
      <c r="L964" s="15">
        <f>F964+H964+J964</f>
        <v/>
      </c>
      <c r="M964" s="18" t="n"/>
    </row>
    <row r="965">
      <c r="A965" s="14" t="inlineStr">
        <is>
          <t>나). 거푸집</t>
        </is>
      </c>
      <c r="B965" s="14" t="inlineStr">
        <is>
          <t>합판6회(간단)</t>
        </is>
      </c>
      <c r="C965" s="15" t="n">
        <v>30</v>
      </c>
      <c r="D965" s="16" t="inlineStr">
        <is>
          <t>㎡</t>
        </is>
      </c>
      <c r="E965" s="15" t="n">
        <v>7191</v>
      </c>
      <c r="F965" s="15">
        <f>E965*C965</f>
        <v/>
      </c>
      <c r="G965" s="15" t="n">
        <v>26847</v>
      </c>
      <c r="H965" s="15">
        <f>G965*C965</f>
        <v/>
      </c>
      <c r="I965" s="15" t="n">
        <v>1570</v>
      </c>
      <c r="J965" s="15">
        <f>I965*C965</f>
        <v/>
      </c>
      <c r="K965" s="15">
        <f>E965+G965+I965</f>
        <v/>
      </c>
      <c r="L965" s="15">
        <f>F965+H965+J965</f>
        <v/>
      </c>
      <c r="M965" s="18" t="n"/>
    </row>
    <row r="966">
      <c r="A966" s="28" t="inlineStr">
        <is>
          <t>바. 주요자재 구입 및 운반</t>
        </is>
      </c>
      <c r="B966" s="28" t="n"/>
      <c r="C966" s="17" t="n"/>
      <c r="D966" s="16" t="n"/>
      <c r="E966" s="17" t="n"/>
      <c r="F966" s="29" t="n"/>
      <c r="G966" s="17" t="n"/>
      <c r="H966" s="29" t="n"/>
      <c r="I966" s="17" t="n"/>
      <c r="J966" s="29" t="n"/>
      <c r="K966" s="17" t="n"/>
      <c r="L966" s="29" t="n"/>
      <c r="M966" s="18" t="n"/>
    </row>
    <row r="967">
      <c r="A967" s="28" t="inlineStr">
        <is>
          <t>1). 시멘트</t>
        </is>
      </c>
      <c r="B967" s="28" t="n"/>
      <c r="C967" s="17" t="n"/>
      <c r="D967" s="16" t="n"/>
      <c r="E967" s="17" t="n"/>
      <c r="F967" s="29" t="n"/>
      <c r="G967" s="17" t="n"/>
      <c r="H967" s="29" t="n"/>
      <c r="I967" s="17" t="n"/>
      <c r="J967" s="29" t="n"/>
      <c r="K967" s="17" t="n"/>
      <c r="L967" s="29" t="n"/>
      <c r="M967" s="18" t="n"/>
    </row>
    <row r="968">
      <c r="A968" s="14" t="inlineStr">
        <is>
          <t>가). 보통시멘트</t>
        </is>
      </c>
      <c r="B968" s="14" t="inlineStr">
        <is>
          <t>40kg/대 (포장품)</t>
        </is>
      </c>
      <c r="C968" s="15" t="n">
        <v>17</v>
      </c>
      <c r="D968" s="16" t="inlineStr">
        <is>
          <t>대</t>
        </is>
      </c>
      <c r="E968" s="15" t="n">
        <v>6042</v>
      </c>
      <c r="F968" s="15">
        <f>E968*C968</f>
        <v/>
      </c>
      <c r="G968" s="15" t="n">
        <v>0</v>
      </c>
      <c r="H968" s="15">
        <f>G968*C968</f>
        <v/>
      </c>
      <c r="I968" s="15" t="n">
        <v>0</v>
      </c>
      <c r="J968" s="15">
        <f>I968*C968</f>
        <v/>
      </c>
      <c r="K968" s="15">
        <f>E968+G968+I968</f>
        <v/>
      </c>
      <c r="L968" s="15">
        <f>F968+H968+J968</f>
        <v/>
      </c>
      <c r="M968" s="18" t="n"/>
    </row>
    <row r="969">
      <c r="A969" s="14" t="inlineStr">
        <is>
          <t>나). 시멘트운반</t>
        </is>
      </c>
      <c r="B969" s="14" t="inlineStr">
        <is>
          <t>L=30km이내</t>
        </is>
      </c>
      <c r="C969" s="15" t="n">
        <v>17</v>
      </c>
      <c r="D969" s="16" t="inlineStr">
        <is>
          <t>대</t>
        </is>
      </c>
      <c r="E969" s="15" t="n">
        <v>0</v>
      </c>
      <c r="F969" s="15">
        <f>E969*C969</f>
        <v/>
      </c>
      <c r="G969" s="15" t="n">
        <v>0</v>
      </c>
      <c r="H969" s="15">
        <f>G969*C969</f>
        <v/>
      </c>
      <c r="I969" s="15" t="n">
        <v>1118</v>
      </c>
      <c r="J969" s="15">
        <f>I969*C969</f>
        <v/>
      </c>
      <c r="K969" s="15">
        <f>E969+G969+I969</f>
        <v/>
      </c>
      <c r="L969" s="15">
        <f>F969+H969+J969</f>
        <v/>
      </c>
      <c r="M969" s="18" t="n"/>
    </row>
    <row r="970">
      <c r="A970" s="28" t="inlineStr">
        <is>
          <t>2). 골재</t>
        </is>
      </c>
      <c r="B970" s="28" t="n"/>
      <c r="C970" s="17" t="n"/>
      <c r="D970" s="16" t="n"/>
      <c r="E970" s="17" t="n"/>
      <c r="F970" s="29" t="n"/>
      <c r="G970" s="17" t="n"/>
      <c r="H970" s="29" t="n"/>
      <c r="I970" s="17" t="n"/>
      <c r="J970" s="29" t="n"/>
      <c r="K970" s="17" t="n"/>
      <c r="L970" s="29" t="n"/>
      <c r="M970" s="18" t="n"/>
    </row>
    <row r="971">
      <c r="A971" s="14" t="inlineStr">
        <is>
          <t>가). 모래</t>
        </is>
      </c>
      <c r="B971" s="14" t="inlineStr">
        <is>
          <t>강모래, 현장도착도</t>
        </is>
      </c>
      <c r="C971" s="15" t="n">
        <v>18</v>
      </c>
      <c r="D971" s="16" t="inlineStr">
        <is>
          <t>㎥</t>
        </is>
      </c>
      <c r="E971" s="15" t="n">
        <v>24930</v>
      </c>
      <c r="F971" s="15">
        <f>E971*C971</f>
        <v/>
      </c>
      <c r="G971" s="15" t="n">
        <v>0</v>
      </c>
      <c r="H971" s="15">
        <f>G971*C971</f>
        <v/>
      </c>
      <c r="I971" s="15" t="n">
        <v>0</v>
      </c>
      <c r="J971" s="15">
        <f>I971*C971</f>
        <v/>
      </c>
      <c r="K971" s="15">
        <f>E971+G971+I971</f>
        <v/>
      </c>
      <c r="L971" s="15">
        <f>F971+H971+J971</f>
        <v/>
      </c>
      <c r="M971" s="18" t="n"/>
    </row>
    <row r="972">
      <c r="A972" s="14" t="inlineStr">
        <is>
          <t>나). 잡석</t>
        </is>
      </c>
      <c r="B972" s="14" t="inlineStr">
        <is>
          <t>Φ150mm이하, 현장도착도</t>
        </is>
      </c>
      <c r="C972" s="15" t="n">
        <v>3</v>
      </c>
      <c r="D972" s="16" t="inlineStr">
        <is>
          <t>㎥</t>
        </is>
      </c>
      <c r="E972" s="15" t="n">
        <v>17259</v>
      </c>
      <c r="F972" s="15">
        <f>E972*C972</f>
        <v/>
      </c>
      <c r="G972" s="15" t="n">
        <v>0</v>
      </c>
      <c r="H972" s="15">
        <f>G972*C972</f>
        <v/>
      </c>
      <c r="I972" s="15" t="n">
        <v>0</v>
      </c>
      <c r="J972" s="15">
        <f>I972*C972</f>
        <v/>
      </c>
      <c r="K972" s="15">
        <f>E972+G972+I972</f>
        <v/>
      </c>
      <c r="L972" s="15">
        <f>F972+H972+J972</f>
        <v/>
      </c>
      <c r="M972" s="18" t="n"/>
    </row>
    <row r="973">
      <c r="A973" s="28" t="inlineStr">
        <is>
          <t>3). 레미콘</t>
        </is>
      </c>
      <c r="B973" s="28" t="n"/>
      <c r="C973" s="17" t="n"/>
      <c r="D973" s="16" t="n"/>
      <c r="E973" s="17" t="n"/>
      <c r="F973" s="29" t="n"/>
      <c r="G973" s="17" t="n"/>
      <c r="H973" s="29" t="n"/>
      <c r="I973" s="17" t="n"/>
      <c r="J973" s="29" t="n"/>
      <c r="K973" s="17" t="n"/>
      <c r="L973" s="29" t="n"/>
      <c r="M973" s="18" t="n"/>
    </row>
    <row r="974">
      <c r="A974" s="14" t="inlineStr">
        <is>
          <t>가). 레미콘</t>
        </is>
      </c>
      <c r="B974" s="14" t="inlineStr">
        <is>
          <t>25-21- 8(Mpa)</t>
        </is>
      </c>
      <c r="C974" s="15" t="n">
        <v>134</v>
      </c>
      <c r="D974" s="16" t="inlineStr">
        <is>
          <t>㎥</t>
        </is>
      </c>
      <c r="E974" s="15" t="n">
        <v>84377</v>
      </c>
      <c r="F974" s="15">
        <f>E974*C974</f>
        <v/>
      </c>
      <c r="G974" s="15" t="n">
        <v>0</v>
      </c>
      <c r="H974" s="15">
        <f>G974*C974</f>
        <v/>
      </c>
      <c r="I974" s="15" t="n">
        <v>0</v>
      </c>
      <c r="J974" s="15">
        <f>I974*C974</f>
        <v/>
      </c>
      <c r="K974" s="15">
        <f>E974+G974+I974</f>
        <v/>
      </c>
      <c r="L974" s="15">
        <f>F974+H974+J974</f>
        <v/>
      </c>
      <c r="M974" s="18" t="n"/>
    </row>
    <row r="975">
      <c r="A975" s="14" t="inlineStr">
        <is>
          <t>나). 레미콘</t>
        </is>
      </c>
      <c r="B975" s="14" t="inlineStr">
        <is>
          <t>25-18-8(Mpa)</t>
        </is>
      </c>
      <c r="C975" s="15" t="n">
        <v>18</v>
      </c>
      <c r="D975" s="16" t="inlineStr">
        <is>
          <t>㎥</t>
        </is>
      </c>
      <c r="E975" s="15" t="n">
        <v>82651</v>
      </c>
      <c r="F975" s="15">
        <f>E975*C975</f>
        <v/>
      </c>
      <c r="G975" s="15" t="n">
        <v>0</v>
      </c>
      <c r="H975" s="15">
        <f>G975*C975</f>
        <v/>
      </c>
      <c r="I975" s="15" t="n">
        <v>0</v>
      </c>
      <c r="J975" s="15">
        <f>I975*C975</f>
        <v/>
      </c>
      <c r="K975" s="15">
        <f>E975+G975+I975</f>
        <v/>
      </c>
      <c r="L975" s="15">
        <f>F975+H975+J975</f>
        <v/>
      </c>
      <c r="M975" s="18" t="n"/>
    </row>
    <row r="976">
      <c r="A976" s="28" t="inlineStr">
        <is>
          <t>4). 원심력철근콘크리트관</t>
        </is>
      </c>
      <c r="B976" s="28" t="n"/>
      <c r="C976" s="17" t="n"/>
      <c r="D976" s="16" t="n"/>
      <c r="E976" s="17" t="n"/>
      <c r="F976" s="29" t="n"/>
      <c r="G976" s="17" t="n"/>
      <c r="H976" s="29" t="n"/>
      <c r="I976" s="17" t="n"/>
      <c r="J976" s="29" t="n"/>
      <c r="K976" s="17" t="n"/>
      <c r="L976" s="29" t="n"/>
      <c r="M976" s="18" t="n"/>
    </row>
    <row r="977">
      <c r="A977" s="14" t="inlineStr">
        <is>
          <t>가). 원심력철근콘크리트관(보통2종)</t>
        </is>
      </c>
      <c r="B977" s="14" t="inlineStr">
        <is>
          <t>250㎜ (소켓식,B형)</t>
        </is>
      </c>
      <c r="C977" s="15" t="n">
        <v>107</v>
      </c>
      <c r="D977" s="16" t="inlineStr">
        <is>
          <t>ｍ</t>
        </is>
      </c>
      <c r="E977" s="15" t="n">
        <v>17779</v>
      </c>
      <c r="F977" s="15">
        <f>E977*C977</f>
        <v/>
      </c>
      <c r="G977" s="15" t="n">
        <v>0</v>
      </c>
      <c r="H977" s="15">
        <f>G977*C977</f>
        <v/>
      </c>
      <c r="I977" s="15" t="n">
        <v>4500</v>
      </c>
      <c r="J977" s="15">
        <f>I977*C977</f>
        <v/>
      </c>
      <c r="K977" s="15">
        <f>E977+G977+I977</f>
        <v/>
      </c>
      <c r="L977" s="15">
        <f>F977+H977+J977</f>
        <v/>
      </c>
      <c r="M977" s="18" t="n"/>
    </row>
    <row r="978">
      <c r="A978" s="14" t="inlineStr">
        <is>
          <t>나). 원심력철근콘크리트관(보통2종)</t>
        </is>
      </c>
      <c r="B978" s="14" t="inlineStr">
        <is>
          <t>600㎜ (소켓식,B형)</t>
        </is>
      </c>
      <c r="C978" s="15" t="n">
        <v>275</v>
      </c>
      <c r="D978" s="16" t="inlineStr">
        <is>
          <t>ｍ</t>
        </is>
      </c>
      <c r="E978" s="15" t="n">
        <v>45353</v>
      </c>
      <c r="F978" s="15">
        <f>E978*C978</f>
        <v/>
      </c>
      <c r="G978" s="15" t="n">
        <v>0</v>
      </c>
      <c r="H978" s="15">
        <f>G978*C978</f>
        <v/>
      </c>
      <c r="I978" s="15" t="n">
        <v>8582</v>
      </c>
      <c r="J978" s="15">
        <f>I978*C978</f>
        <v/>
      </c>
      <c r="K978" s="15">
        <f>E978+G978+I978</f>
        <v/>
      </c>
      <c r="L978" s="15">
        <f>F978+H978+J978</f>
        <v/>
      </c>
      <c r="M978" s="18" t="n"/>
    </row>
    <row r="979">
      <c r="A979" s="14" t="inlineStr">
        <is>
          <t>다). 흄관하차비</t>
        </is>
      </c>
      <c r="B979" s="14" t="inlineStr">
        <is>
          <t>Ø 250 MM - 차상도</t>
        </is>
      </c>
      <c r="C979" s="15" t="n">
        <v>43</v>
      </c>
      <c r="D979" s="16" t="inlineStr">
        <is>
          <t>본</t>
        </is>
      </c>
      <c r="E979" s="15" t="n">
        <v>0</v>
      </c>
      <c r="F979" s="15">
        <f>E979*C979</f>
        <v/>
      </c>
      <c r="G979" s="15" t="n">
        <v>0</v>
      </c>
      <c r="H979" s="15">
        <f>G979*C979</f>
        <v/>
      </c>
      <c r="I979" s="15" t="n">
        <v>2198</v>
      </c>
      <c r="J979" s="15">
        <f>I979*C979</f>
        <v/>
      </c>
      <c r="K979" s="15">
        <f>E979+G979+I979</f>
        <v/>
      </c>
      <c r="L979" s="15">
        <f>F979+H979+J979</f>
        <v/>
      </c>
      <c r="M979" s="18" t="n"/>
    </row>
    <row r="980">
      <c r="A980" s="14" t="inlineStr">
        <is>
          <t>라). 흄관하차비</t>
        </is>
      </c>
      <c r="B980" s="14" t="inlineStr">
        <is>
          <t>Ø 600 MM - 차상도</t>
        </is>
      </c>
      <c r="C980" s="15" t="n">
        <v>110</v>
      </c>
      <c r="D980" s="16" t="inlineStr">
        <is>
          <t>본</t>
        </is>
      </c>
      <c r="E980" s="15" t="n">
        <v>0</v>
      </c>
      <c r="F980" s="15">
        <f>E980*C980</f>
        <v/>
      </c>
      <c r="G980" s="15" t="n">
        <v>0</v>
      </c>
      <c r="H980" s="15">
        <f>G980*C980</f>
        <v/>
      </c>
      <c r="I980" s="15" t="n">
        <v>3422</v>
      </c>
      <c r="J980" s="15">
        <f>I980*C980</f>
        <v/>
      </c>
      <c r="K980" s="15">
        <f>E980+G980+I980</f>
        <v/>
      </c>
      <c r="L980" s="15">
        <f>F980+H980+J980</f>
        <v/>
      </c>
      <c r="M980" s="18" t="n"/>
    </row>
    <row r="981">
      <c r="A981" s="28" t="inlineStr">
        <is>
          <t>5). 맨홀뚜껑</t>
        </is>
      </c>
      <c r="B981" s="28" t="n"/>
      <c r="C981" s="17" t="n"/>
      <c r="D981" s="16" t="n"/>
      <c r="E981" s="17" t="n"/>
      <c r="F981" s="29" t="n"/>
      <c r="G981" s="17" t="n"/>
      <c r="H981" s="29" t="n"/>
      <c r="I981" s="17" t="n"/>
      <c r="J981" s="29" t="n"/>
      <c r="K981" s="17" t="n"/>
      <c r="L981" s="29" t="n"/>
      <c r="M981" s="18" t="n"/>
    </row>
    <row r="982">
      <c r="A982" s="14" t="inlineStr">
        <is>
          <t>가). 맨홀뚜껑(주철제)</t>
        </is>
      </c>
      <c r="B982" s="14" t="inlineStr">
        <is>
          <t>Φ648KS, 하수도용(잠금식)</t>
        </is>
      </c>
      <c r="C982" s="15" t="n">
        <v>5</v>
      </c>
      <c r="D982" s="16" t="inlineStr">
        <is>
          <t>조</t>
        </is>
      </c>
      <c r="E982" s="15" t="n">
        <v>306827</v>
      </c>
      <c r="F982" s="15">
        <f>E982*C982</f>
        <v/>
      </c>
      <c r="G982" s="15" t="n">
        <v>0</v>
      </c>
      <c r="H982" s="15">
        <f>G982*C982</f>
        <v/>
      </c>
      <c r="I982" s="15" t="n">
        <v>18839</v>
      </c>
      <c r="J982" s="15">
        <f>I982*C982</f>
        <v/>
      </c>
      <c r="K982" s="15">
        <f>E982+G982+I982</f>
        <v/>
      </c>
      <c r="L982" s="15">
        <f>F982+H982+J982</f>
        <v/>
      </c>
      <c r="M982" s="18" t="n"/>
    </row>
    <row r="983">
      <c r="A983" s="25" t="inlineStr">
        <is>
          <t>3. 상 수 공</t>
        </is>
      </c>
      <c r="B983" s="26" t="n"/>
      <c r="C983" s="21" t="n"/>
      <c r="D983" s="22" t="n"/>
      <c r="E983" s="21" t="n"/>
      <c r="F983" s="27" t="n"/>
      <c r="G983" s="21" t="n"/>
      <c r="H983" s="27" t="n"/>
      <c r="I983" s="21" t="n"/>
      <c r="J983" s="27" t="n"/>
      <c r="K983" s="21" t="n"/>
      <c r="L983" s="27" t="n"/>
      <c r="M983" s="24" t="n"/>
    </row>
    <row r="984">
      <c r="A984" s="28" t="inlineStr">
        <is>
          <t>가. 토공사</t>
        </is>
      </c>
      <c r="B984" s="28" t="n"/>
      <c r="C984" s="17" t="n"/>
      <c r="D984" s="16" t="n"/>
      <c r="E984" s="17" t="n"/>
      <c r="F984" s="29" t="n"/>
      <c r="G984" s="17" t="n"/>
      <c r="H984" s="29" t="n"/>
      <c r="I984" s="17" t="n"/>
      <c r="J984" s="29" t="n"/>
      <c r="K984" s="17" t="n"/>
      <c r="L984" s="29" t="n"/>
      <c r="M984" s="18" t="n"/>
    </row>
    <row r="985">
      <c r="A985" s="28" t="inlineStr">
        <is>
          <t>1). 터파기</t>
        </is>
      </c>
      <c r="B985" s="28" t="n"/>
      <c r="C985" s="17" t="n"/>
      <c r="D985" s="16" t="n"/>
      <c r="E985" s="17" t="n"/>
      <c r="F985" s="29" t="n"/>
      <c r="G985" s="17" t="n"/>
      <c r="H985" s="29" t="n"/>
      <c r="I985" s="17" t="n"/>
      <c r="J985" s="29" t="n"/>
      <c r="K985" s="17" t="n"/>
      <c r="L985" s="29" t="n"/>
      <c r="M985" s="18" t="n"/>
    </row>
    <row r="986">
      <c r="A986" s="28" t="inlineStr">
        <is>
          <t>가). 토사</t>
        </is>
      </c>
      <c r="B986" s="28" t="n"/>
      <c r="C986" s="17" t="n"/>
      <c r="D986" s="16" t="n"/>
      <c r="E986" s="17" t="n"/>
      <c r="F986" s="29" t="n"/>
      <c r="G986" s="17" t="n"/>
      <c r="H986" s="29" t="n"/>
      <c r="I986" s="17" t="n"/>
      <c r="J986" s="29" t="n"/>
      <c r="K986" s="17" t="n"/>
      <c r="L986" s="29" t="n"/>
      <c r="M986" s="18" t="n"/>
    </row>
    <row r="987">
      <c r="A987" s="14" t="inlineStr">
        <is>
          <t>(1). 터파기(토사)</t>
        </is>
      </c>
      <c r="B987" s="14" t="inlineStr">
        <is>
          <t>기계70%+인력30%, 보통토사</t>
        </is>
      </c>
      <c r="C987" s="15" t="n">
        <v>328</v>
      </c>
      <c r="D987" s="16" t="inlineStr">
        <is>
          <t>㎥</t>
        </is>
      </c>
      <c r="E987" s="15" t="n">
        <v>789</v>
      </c>
      <c r="F987" s="15">
        <f>E987*C987</f>
        <v/>
      </c>
      <c r="G987" s="15" t="n">
        <v>4731</v>
      </c>
      <c r="H987" s="15">
        <f>G987*C987</f>
        <v/>
      </c>
      <c r="I987" s="15" t="n">
        <v>861</v>
      </c>
      <c r="J987" s="15">
        <f>I987*C987</f>
        <v/>
      </c>
      <c r="K987" s="15">
        <f>E987+G987+I987</f>
        <v/>
      </c>
      <c r="L987" s="15">
        <f>F987+H987+J987</f>
        <v/>
      </c>
      <c r="M987" s="18" t="n"/>
    </row>
    <row r="988">
      <c r="A988" s="28" t="inlineStr">
        <is>
          <t>2). 되메우기</t>
        </is>
      </c>
      <c r="B988" s="28" t="n"/>
      <c r="C988" s="17" t="n"/>
      <c r="D988" s="16" t="n"/>
      <c r="E988" s="17" t="n"/>
      <c r="F988" s="29" t="n"/>
      <c r="G988" s="17" t="n"/>
      <c r="H988" s="29" t="n"/>
      <c r="I988" s="17" t="n"/>
      <c r="J988" s="29" t="n"/>
      <c r="K988" s="17" t="n"/>
      <c r="L988" s="29" t="n"/>
      <c r="M988" s="18" t="n"/>
    </row>
    <row r="989">
      <c r="A989" s="14" t="inlineStr">
        <is>
          <t>가). 되메우기 및 다짐(토사)</t>
        </is>
      </c>
      <c r="B989" s="14" t="inlineStr">
        <is>
          <t>기계90%,인력10%,래머 80KG</t>
        </is>
      </c>
      <c r="C989" s="15" t="n">
        <v>320</v>
      </c>
      <c r="D989" s="16" t="inlineStr">
        <is>
          <t>㎥</t>
        </is>
      </c>
      <c r="E989" s="15" t="n">
        <v>789</v>
      </c>
      <c r="F989" s="15">
        <f>E989*C989</f>
        <v/>
      </c>
      <c r="G989" s="15" t="n">
        <v>2366</v>
      </c>
      <c r="H989" s="15">
        <f>G989*C989</f>
        <v/>
      </c>
      <c r="I989" s="15" t="n">
        <v>2582</v>
      </c>
      <c r="J989" s="15">
        <f>I989*C989</f>
        <v/>
      </c>
      <c r="K989" s="15">
        <f>E989+G989+I989</f>
        <v/>
      </c>
      <c r="L989" s="15">
        <f>F989+H989+J989</f>
        <v/>
      </c>
      <c r="M989" s="18" t="n"/>
    </row>
    <row r="990">
      <c r="A990" s="28" t="inlineStr">
        <is>
          <t>3). 잔토처리</t>
        </is>
      </c>
      <c r="B990" s="28" t="n"/>
      <c r="C990" s="17" t="n"/>
      <c r="D990" s="16" t="n"/>
      <c r="E990" s="17" t="n"/>
      <c r="F990" s="29" t="n"/>
      <c r="G990" s="17" t="n"/>
      <c r="H990" s="29" t="n"/>
      <c r="I990" s="17" t="n"/>
      <c r="J990" s="29" t="n"/>
      <c r="K990" s="17" t="n"/>
      <c r="L990" s="29" t="n"/>
      <c r="M990" s="18" t="n"/>
    </row>
    <row r="991">
      <c r="A991" s="14" t="inlineStr">
        <is>
          <t>가). 잔토처리(토사)</t>
        </is>
      </c>
      <c r="B991" s="14" t="inlineStr">
        <is>
          <t>기계100%</t>
        </is>
      </c>
      <c r="C991" s="15" t="n">
        <v>8</v>
      </c>
      <c r="D991" s="16" t="inlineStr">
        <is>
          <t>㎥</t>
        </is>
      </c>
      <c r="E991" s="15" t="n">
        <v>0</v>
      </c>
      <c r="F991" s="15">
        <f>E991*C991</f>
        <v/>
      </c>
      <c r="G991" s="15" t="n">
        <v>0</v>
      </c>
      <c r="H991" s="15">
        <f>G991*C991</f>
        <v/>
      </c>
      <c r="I991" s="15" t="n">
        <v>8607</v>
      </c>
      <c r="J991" s="15">
        <f>I991*C991</f>
        <v/>
      </c>
      <c r="K991" s="15">
        <f>E991+G991+I991</f>
        <v/>
      </c>
      <c r="L991" s="15">
        <f>F991+H991+J991</f>
        <v/>
      </c>
      <c r="M991" s="18" t="n"/>
    </row>
    <row r="992">
      <c r="A992" s="28" t="inlineStr">
        <is>
          <t>나. 관로</t>
        </is>
      </c>
      <c r="B992" s="28" t="n"/>
      <c r="C992" s="17" t="n"/>
      <c r="D992" s="16" t="n"/>
      <c r="E992" s="17" t="n"/>
      <c r="F992" s="29" t="n"/>
      <c r="G992" s="17" t="n"/>
      <c r="H992" s="29" t="n"/>
      <c r="I992" s="17" t="n"/>
      <c r="J992" s="29" t="n"/>
      <c r="K992" s="17" t="n"/>
      <c r="L992" s="29" t="n"/>
      <c r="M992" s="18" t="n"/>
    </row>
    <row r="993">
      <c r="A993" s="28" t="inlineStr">
        <is>
          <t>1). 주철관 접합 및 부설</t>
        </is>
      </c>
      <c r="B993" s="28" t="n"/>
      <c r="C993" s="17" t="n"/>
      <c r="D993" s="16" t="n"/>
      <c r="E993" s="17" t="n"/>
      <c r="F993" s="29" t="n"/>
      <c r="G993" s="17" t="n"/>
      <c r="H993" s="29" t="n"/>
      <c r="I993" s="17" t="n"/>
      <c r="J993" s="29" t="n"/>
      <c r="K993" s="17" t="n"/>
      <c r="L993" s="29" t="n"/>
      <c r="M993" s="18" t="n"/>
    </row>
    <row r="994">
      <c r="A994" s="14" t="inlineStr">
        <is>
          <t>가). 주철관 부설 및 접합(KP접합)</t>
        </is>
      </c>
      <c r="B994" s="14" t="inlineStr">
        <is>
          <t>D100mm, 시공조건 B</t>
        </is>
      </c>
      <c r="C994" s="15" t="n">
        <v>312</v>
      </c>
      <c r="D994" s="16" t="inlineStr">
        <is>
          <t>m</t>
        </is>
      </c>
      <c r="E994" s="15" t="n">
        <v>2366</v>
      </c>
      <c r="F994" s="15">
        <f>E994*C994</f>
        <v/>
      </c>
      <c r="G994" s="15" t="n">
        <v>12617</v>
      </c>
      <c r="H994" s="15">
        <f>G994*C994</f>
        <v/>
      </c>
      <c r="I994" s="15" t="n">
        <v>861</v>
      </c>
      <c r="J994" s="15">
        <f>I994*C994</f>
        <v/>
      </c>
      <c r="K994" s="15">
        <f>E994+G994+I994</f>
        <v/>
      </c>
      <c r="L994" s="15">
        <f>F994+H994+J994</f>
        <v/>
      </c>
      <c r="M994" s="18" t="n"/>
    </row>
    <row r="995">
      <c r="A995" s="28" t="inlineStr">
        <is>
          <t>2). 주철관 이형관 접합</t>
        </is>
      </c>
      <c r="B995" s="28" t="n"/>
      <c r="C995" s="17" t="n"/>
      <c r="D995" s="16" t="n"/>
      <c r="E995" s="17" t="n"/>
      <c r="F995" s="29" t="n"/>
      <c r="G995" s="17" t="n"/>
      <c r="H995" s="29" t="n"/>
      <c r="I995" s="17" t="n"/>
      <c r="J995" s="29" t="n"/>
      <c r="K995" s="17" t="n"/>
      <c r="L995" s="29" t="n"/>
      <c r="M995" s="18" t="n"/>
    </row>
    <row r="996">
      <c r="A996" s="14" t="inlineStr">
        <is>
          <t>가). 주철 이형관 접합(KP접합)</t>
        </is>
      </c>
      <c r="B996" s="14" t="inlineStr">
        <is>
          <t>D100mm</t>
        </is>
      </c>
      <c r="C996" s="15" t="n">
        <v>6</v>
      </c>
      <c r="D996" s="16" t="inlineStr">
        <is>
          <t>개소</t>
        </is>
      </c>
      <c r="E996" s="15" t="n">
        <v>13957</v>
      </c>
      <c r="F996" s="15">
        <f>E996*C996</f>
        <v/>
      </c>
      <c r="G996" s="15" t="n">
        <v>39427</v>
      </c>
      <c r="H996" s="15">
        <f>G996*C996</f>
        <v/>
      </c>
      <c r="I996" s="15" t="n">
        <v>0</v>
      </c>
      <c r="J996" s="15">
        <f>I996*C996</f>
        <v/>
      </c>
      <c r="K996" s="15">
        <f>E996+G996+I996</f>
        <v/>
      </c>
      <c r="L996" s="15">
        <f>F996+H996+J996</f>
        <v/>
      </c>
      <c r="M996" s="18" t="n"/>
    </row>
    <row r="997">
      <c r="A997" s="14" t="inlineStr">
        <is>
          <t>나). 주철 이형관 접합(이탈방지압륜)</t>
        </is>
      </c>
      <c r="B997" s="14" t="inlineStr">
        <is>
          <t>D100mm</t>
        </is>
      </c>
      <c r="C997" s="15" t="n">
        <v>6</v>
      </c>
      <c r="D997" s="16" t="inlineStr">
        <is>
          <t>개소</t>
        </is>
      </c>
      <c r="E997" s="15" t="n">
        <v>20897</v>
      </c>
      <c r="F997" s="15">
        <f>E997*C997</f>
        <v/>
      </c>
      <c r="G997" s="15" t="n">
        <v>47313</v>
      </c>
      <c r="H997" s="15">
        <f>G997*C997</f>
        <v/>
      </c>
      <c r="I997" s="15" t="n">
        <v>0</v>
      </c>
      <c r="J997" s="15">
        <f>I997*C997</f>
        <v/>
      </c>
      <c r="K997" s="15">
        <f>E997+G997+I997</f>
        <v/>
      </c>
      <c r="L997" s="15">
        <f>F997+H997+J997</f>
        <v/>
      </c>
      <c r="M997" s="18" t="n"/>
    </row>
    <row r="998">
      <c r="A998" s="28" t="inlineStr">
        <is>
          <t>3). 플랜지 접합</t>
        </is>
      </c>
      <c r="B998" s="28" t="n"/>
      <c r="C998" s="17" t="n"/>
      <c r="D998" s="16" t="n"/>
      <c r="E998" s="17" t="n"/>
      <c r="F998" s="29" t="n"/>
      <c r="G998" s="17" t="n"/>
      <c r="H998" s="29" t="n"/>
      <c r="I998" s="17" t="n"/>
      <c r="J998" s="29" t="n"/>
      <c r="K998" s="17" t="n"/>
      <c r="L998" s="29" t="n"/>
      <c r="M998" s="18" t="n"/>
    </row>
    <row r="999">
      <c r="A999" s="14" t="inlineStr">
        <is>
          <t>가). 플랜지 접합</t>
        </is>
      </c>
      <c r="B999" s="14" t="inlineStr">
        <is>
          <t>D100mm</t>
        </is>
      </c>
      <c r="C999" s="15" t="n">
        <v>1</v>
      </c>
      <c r="D999" s="16" t="inlineStr">
        <is>
          <t>개소</t>
        </is>
      </c>
      <c r="E999" s="15" t="n">
        <v>5599</v>
      </c>
      <c r="F999" s="15">
        <f>E999*C999</f>
        <v/>
      </c>
      <c r="G999" s="15" t="n">
        <v>15771</v>
      </c>
      <c r="H999" s="15">
        <f>G999*C999</f>
        <v/>
      </c>
      <c r="I999" s="15" t="n">
        <v>-1</v>
      </c>
      <c r="J999" s="15">
        <f>I999*C999</f>
        <v/>
      </c>
      <c r="K999" s="15">
        <f>E999+G999+I999</f>
        <v/>
      </c>
      <c r="L999" s="15">
        <f>F999+H999+J999</f>
        <v/>
      </c>
      <c r="M999" s="18" t="n"/>
    </row>
    <row r="1000">
      <c r="A1000" s="28" t="inlineStr">
        <is>
          <t>4). 주철관 절단</t>
        </is>
      </c>
      <c r="B1000" s="28" t="n"/>
      <c r="C1000" s="17" t="n"/>
      <c r="D1000" s="16" t="n"/>
      <c r="E1000" s="17" t="n"/>
      <c r="F1000" s="29" t="n"/>
      <c r="G1000" s="17" t="n"/>
      <c r="H1000" s="29" t="n"/>
      <c r="I1000" s="17" t="n"/>
      <c r="J1000" s="29" t="n"/>
      <c r="K1000" s="17" t="n"/>
      <c r="L1000" s="29" t="n"/>
      <c r="M1000" s="18" t="n"/>
    </row>
    <row r="1001">
      <c r="A1001" s="14" t="inlineStr">
        <is>
          <t>가). 주철관 절단</t>
        </is>
      </c>
      <c r="B1001" s="14" t="inlineStr">
        <is>
          <t>D100mm</t>
        </is>
      </c>
      <c r="C1001" s="15" t="n">
        <v>6</v>
      </c>
      <c r="D1001" s="16" t="inlineStr">
        <is>
          <t>개소</t>
        </is>
      </c>
      <c r="E1001" s="15" t="n">
        <v>0</v>
      </c>
      <c r="F1001" s="15">
        <f>E1001*C1001</f>
        <v/>
      </c>
      <c r="G1001" s="15" t="n">
        <v>15771</v>
      </c>
      <c r="H1001" s="15">
        <f>G1001*C1001</f>
        <v/>
      </c>
      <c r="I1001" s="15" t="n">
        <v>0</v>
      </c>
      <c r="J1001" s="15">
        <f>I1001*C1001</f>
        <v/>
      </c>
      <c r="K1001" s="15">
        <f>E1001+G1001+I1001</f>
        <v/>
      </c>
      <c r="L1001" s="15">
        <f>F1001+H1001+J1001</f>
        <v/>
      </c>
      <c r="M1001" s="18" t="n"/>
    </row>
    <row r="1002">
      <c r="A1002" s="28" t="inlineStr">
        <is>
          <t>다. 밸브 부설 및 접합</t>
        </is>
      </c>
      <c r="B1002" s="28" t="n"/>
      <c r="C1002" s="17" t="n"/>
      <c r="D1002" s="16" t="n"/>
      <c r="E1002" s="17" t="n"/>
      <c r="F1002" s="29" t="n"/>
      <c r="G1002" s="17" t="n"/>
      <c r="H1002" s="29" t="n"/>
      <c r="I1002" s="17" t="n"/>
      <c r="J1002" s="29" t="n"/>
      <c r="K1002" s="17" t="n"/>
      <c r="L1002" s="29" t="n"/>
      <c r="M1002" s="18" t="n"/>
    </row>
    <row r="1003">
      <c r="A1003" s="28" t="inlineStr">
        <is>
          <t>1). 제수밸브</t>
        </is>
      </c>
      <c r="B1003" s="28" t="n"/>
      <c r="C1003" s="17" t="n"/>
      <c r="D1003" s="16" t="n"/>
      <c r="E1003" s="17" t="n"/>
      <c r="F1003" s="29" t="n"/>
      <c r="G1003" s="17" t="n"/>
      <c r="H1003" s="29" t="n"/>
      <c r="I1003" s="17" t="n"/>
      <c r="J1003" s="29" t="n"/>
      <c r="K1003" s="17" t="n"/>
      <c r="L1003" s="29" t="n"/>
      <c r="M1003" s="18" t="n"/>
    </row>
    <row r="1004">
      <c r="A1004" s="14" t="inlineStr">
        <is>
          <t>가). 제수변 접합 및 부설</t>
        </is>
      </c>
      <c r="B1004" s="14" t="inlineStr">
        <is>
          <t>100㎜</t>
        </is>
      </c>
      <c r="C1004" s="15" t="n">
        <v>2</v>
      </c>
      <c r="D1004" s="16" t="inlineStr">
        <is>
          <t>개소</t>
        </is>
      </c>
      <c r="E1004" s="15" t="n">
        <v>7886</v>
      </c>
      <c r="F1004" s="15">
        <f>E1004*C1004</f>
        <v/>
      </c>
      <c r="G1004" s="15" t="n">
        <v>47313</v>
      </c>
      <c r="H1004" s="15">
        <f>G1004*C1004</f>
        <v/>
      </c>
      <c r="I1004" s="15" t="n">
        <v>8607</v>
      </c>
      <c r="J1004" s="15">
        <f>I1004*C1004</f>
        <v/>
      </c>
      <c r="K1004" s="15">
        <f>E1004+G1004+I1004</f>
        <v/>
      </c>
      <c r="L1004" s="15">
        <f>F1004+H1004+J1004</f>
        <v/>
      </c>
      <c r="M1004" s="18" t="n"/>
    </row>
    <row r="1005">
      <c r="A1005" s="28" t="inlineStr">
        <is>
          <t>라. 변실</t>
        </is>
      </c>
      <c r="B1005" s="28" t="n"/>
      <c r="C1005" s="17" t="n"/>
      <c r="D1005" s="16" t="n"/>
      <c r="E1005" s="17" t="n"/>
      <c r="F1005" s="29" t="n"/>
      <c r="G1005" s="17" t="n"/>
      <c r="H1005" s="29" t="n"/>
      <c r="I1005" s="17" t="n"/>
      <c r="J1005" s="29" t="n"/>
      <c r="K1005" s="17" t="n"/>
      <c r="L1005" s="29" t="n"/>
      <c r="M1005" s="18" t="n"/>
    </row>
    <row r="1006">
      <c r="A1006" s="28" t="inlineStr">
        <is>
          <t>1). 제수변실</t>
        </is>
      </c>
      <c r="B1006" s="28" t="n"/>
      <c r="C1006" s="17" t="n"/>
      <c r="D1006" s="16" t="n"/>
      <c r="E1006" s="17" t="n"/>
      <c r="F1006" s="29" t="n"/>
      <c r="G1006" s="17" t="n"/>
      <c r="H1006" s="29" t="n"/>
      <c r="I1006" s="17" t="n"/>
      <c r="J1006" s="29" t="n"/>
      <c r="K1006" s="17" t="n"/>
      <c r="L1006" s="29" t="n"/>
      <c r="M1006" s="18" t="n"/>
    </row>
    <row r="1007">
      <c r="A1007" s="14" t="inlineStr">
        <is>
          <t>가). 제수변실</t>
        </is>
      </c>
      <c r="B1007" s="14" t="inlineStr">
        <is>
          <t>2.50×2.00</t>
        </is>
      </c>
      <c r="C1007" s="15" t="n">
        <v>1</v>
      </c>
      <c r="D1007" s="16" t="inlineStr">
        <is>
          <t>개소</t>
        </is>
      </c>
      <c r="E1007" s="15" t="n">
        <v>788544</v>
      </c>
      <c r="F1007" s="15">
        <f>E1007*C1007</f>
        <v/>
      </c>
      <c r="G1007" s="15" t="n">
        <v>3154177</v>
      </c>
      <c r="H1007" s="15">
        <f>G1007*C1007</f>
        <v/>
      </c>
      <c r="I1007" s="15" t="n">
        <v>860717</v>
      </c>
      <c r="J1007" s="15">
        <f>I1007*C1007</f>
        <v/>
      </c>
      <c r="K1007" s="15">
        <f>E1007+G1007+I1007</f>
        <v/>
      </c>
      <c r="L1007" s="15">
        <f>F1007+H1007+J1007</f>
        <v/>
      </c>
      <c r="M1007" s="18" t="n"/>
    </row>
    <row r="1008">
      <c r="A1008" s="14" t="inlineStr">
        <is>
          <t>나). 원형제수변실(D100mm)</t>
        </is>
      </c>
      <c r="B1008" s="14" t="inlineStr">
        <is>
          <t>D800, 흄관</t>
        </is>
      </c>
      <c r="C1008" s="15" t="n">
        <v>2</v>
      </c>
      <c r="D1008" s="16" t="inlineStr">
        <is>
          <t>개소</t>
        </is>
      </c>
      <c r="E1008" s="15" t="n">
        <v>236564</v>
      </c>
      <c r="F1008" s="15">
        <f>E1008*C1008</f>
        <v/>
      </c>
      <c r="G1008" s="15" t="n">
        <v>78855</v>
      </c>
      <c r="H1008" s="15">
        <f>G1008*C1008</f>
        <v/>
      </c>
      <c r="I1008" s="15" t="n">
        <v>86072</v>
      </c>
      <c r="J1008" s="15">
        <f>I1008*C1008</f>
        <v/>
      </c>
      <c r="K1008" s="15">
        <f>E1008+G1008+I1008</f>
        <v/>
      </c>
      <c r="L1008" s="15">
        <f>F1008+H1008+J1008</f>
        <v/>
      </c>
      <c r="M1008" s="18" t="n"/>
    </row>
    <row r="1009">
      <c r="A1009" s="28" t="inlineStr">
        <is>
          <t>다). 제수변 보호통</t>
        </is>
      </c>
      <c r="B1009" s="28" t="n"/>
      <c r="C1009" s="17" t="n"/>
      <c r="D1009" s="16" t="n"/>
      <c r="E1009" s="17" t="n"/>
      <c r="F1009" s="29" t="n"/>
      <c r="G1009" s="17" t="n"/>
      <c r="H1009" s="29" t="n"/>
      <c r="I1009" s="17" t="n"/>
      <c r="J1009" s="29" t="n"/>
      <c r="K1009" s="17" t="n"/>
      <c r="L1009" s="29" t="n"/>
      <c r="M1009" s="18" t="n"/>
    </row>
    <row r="1010">
      <c r="A1010" s="14" t="inlineStr">
        <is>
          <t>(1). 제수변보호통설치</t>
        </is>
      </c>
      <c r="B1010" s="14" t="inlineStr">
        <is>
          <t>D100mm</t>
        </is>
      </c>
      <c r="C1010" s="15" t="n">
        <v>2</v>
      </c>
      <c r="D1010" s="16" t="inlineStr">
        <is>
          <t>개소</t>
        </is>
      </c>
      <c r="E1010" s="15" t="n">
        <v>13406</v>
      </c>
      <c r="F1010" s="15">
        <f>E1010*C1010</f>
        <v/>
      </c>
      <c r="G1010" s="15" t="n">
        <v>39427</v>
      </c>
      <c r="H1010" s="15">
        <f>G1010*C1010</f>
        <v/>
      </c>
      <c r="I1010" s="15" t="n">
        <v>8608</v>
      </c>
      <c r="J1010" s="15">
        <f>I1010*C1010</f>
        <v/>
      </c>
      <c r="K1010" s="15">
        <f>E1010+G1010+I1010</f>
        <v/>
      </c>
      <c r="L1010" s="15">
        <f>F1010+H1010+J1010</f>
        <v/>
      </c>
      <c r="M1010" s="18" t="n"/>
    </row>
    <row r="1011">
      <c r="A1011" s="28" t="inlineStr">
        <is>
          <t>마. 부대공</t>
        </is>
      </c>
      <c r="B1011" s="28" t="n"/>
      <c r="C1011" s="17" t="n"/>
      <c r="D1011" s="16" t="n"/>
      <c r="E1011" s="17" t="n"/>
      <c r="F1011" s="29" t="n"/>
      <c r="G1011" s="17" t="n"/>
      <c r="H1011" s="29" t="n"/>
      <c r="I1011" s="17" t="n"/>
      <c r="J1011" s="29" t="n"/>
      <c r="K1011" s="17" t="n"/>
      <c r="L1011" s="29" t="n"/>
      <c r="M1011" s="18" t="n"/>
    </row>
    <row r="1012">
      <c r="A1012" s="28" t="inlineStr">
        <is>
          <t>1). 표식</t>
        </is>
      </c>
      <c r="B1012" s="28" t="n"/>
      <c r="C1012" s="17" t="n"/>
      <c r="D1012" s="16" t="n"/>
      <c r="E1012" s="17" t="n"/>
      <c r="F1012" s="29" t="n"/>
      <c r="G1012" s="17" t="n"/>
      <c r="H1012" s="29" t="n"/>
      <c r="I1012" s="17" t="n"/>
      <c r="J1012" s="29" t="n"/>
      <c r="K1012" s="17" t="n"/>
      <c r="L1012" s="29" t="n"/>
      <c r="M1012" s="18" t="n"/>
    </row>
    <row r="1013">
      <c r="A1013" s="14" t="inlineStr">
        <is>
          <t>가). 관로경고용테이프</t>
        </is>
      </c>
      <c r="B1013" s="14" t="inlineStr">
        <is>
          <t>200mmx1m</t>
        </is>
      </c>
      <c r="C1013" s="15" t="n">
        <v>311</v>
      </c>
      <c r="D1013" s="16" t="inlineStr">
        <is>
          <t>m</t>
        </is>
      </c>
      <c r="E1013" s="15" t="n">
        <v>394</v>
      </c>
      <c r="F1013" s="15">
        <f>E1013*C1013</f>
        <v/>
      </c>
      <c r="G1013" s="15" t="n">
        <v>394</v>
      </c>
      <c r="H1013" s="15">
        <f>G1013*C1013</f>
        <v/>
      </c>
      <c r="I1013" s="15" t="n">
        <v>0</v>
      </c>
      <c r="J1013" s="15">
        <f>I1013*C1013</f>
        <v/>
      </c>
      <c r="K1013" s="15">
        <f>E1013+G1013+I1013</f>
        <v/>
      </c>
      <c r="L1013" s="15">
        <f>F1013+H1013+J1013</f>
        <v/>
      </c>
      <c r="M1013" s="18" t="n"/>
    </row>
    <row r="1014">
      <c r="A1014" s="28" t="inlineStr">
        <is>
          <t>바. 주요자재 구입 및 운반</t>
        </is>
      </c>
      <c r="B1014" s="28" t="n"/>
      <c r="C1014" s="17" t="n"/>
      <c r="D1014" s="16" t="n"/>
      <c r="E1014" s="17" t="n"/>
      <c r="F1014" s="29" t="n"/>
      <c r="G1014" s="17" t="n"/>
      <c r="H1014" s="29" t="n"/>
      <c r="I1014" s="17" t="n"/>
      <c r="J1014" s="29" t="n"/>
      <c r="K1014" s="17" t="n"/>
      <c r="L1014" s="29" t="n"/>
      <c r="M1014" s="18" t="n"/>
    </row>
    <row r="1015">
      <c r="A1015" s="28" t="inlineStr">
        <is>
          <t>1). 레미콘</t>
        </is>
      </c>
      <c r="B1015" s="28" t="n"/>
      <c r="C1015" s="17" t="n"/>
      <c r="D1015" s="16" t="n"/>
      <c r="E1015" s="17" t="n"/>
      <c r="F1015" s="29" t="n"/>
      <c r="G1015" s="17" t="n"/>
      <c r="H1015" s="29" t="n"/>
      <c r="I1015" s="17" t="n"/>
      <c r="J1015" s="29" t="n"/>
      <c r="K1015" s="17" t="n"/>
      <c r="L1015" s="29" t="n"/>
      <c r="M1015" s="18" t="n"/>
    </row>
    <row r="1016">
      <c r="A1016" s="14" t="inlineStr">
        <is>
          <t>가). 레미콘</t>
        </is>
      </c>
      <c r="B1016" s="14" t="inlineStr">
        <is>
          <t>25-18-8(Mpa)</t>
        </is>
      </c>
      <c r="C1016" s="15" t="n">
        <v>1</v>
      </c>
      <c r="D1016" s="16" t="inlineStr">
        <is>
          <t>㎥</t>
        </is>
      </c>
      <c r="E1016" s="15" t="n">
        <v>72592</v>
      </c>
      <c r="F1016" s="15">
        <f>E1016*C1016</f>
        <v/>
      </c>
      <c r="G1016" s="15" t="n">
        <v>0</v>
      </c>
      <c r="H1016" s="15">
        <f>G1016*C1016</f>
        <v/>
      </c>
      <c r="I1016" s="15" t="n">
        <v>0</v>
      </c>
      <c r="J1016" s="15">
        <f>I1016*C1016</f>
        <v/>
      </c>
      <c r="K1016" s="15">
        <f>E1016+G1016+I1016</f>
        <v/>
      </c>
      <c r="L1016" s="15">
        <f>F1016+H1016+J1016</f>
        <v/>
      </c>
      <c r="M1016" s="18" t="n"/>
    </row>
    <row r="1017">
      <c r="A1017" s="28" t="inlineStr">
        <is>
          <t>2). 주철관</t>
        </is>
      </c>
      <c r="B1017" s="28" t="n"/>
      <c r="C1017" s="17" t="n"/>
      <c r="D1017" s="16" t="n"/>
      <c r="E1017" s="17" t="n"/>
      <c r="F1017" s="29" t="n"/>
      <c r="G1017" s="17" t="n"/>
      <c r="H1017" s="29" t="n"/>
      <c r="I1017" s="17" t="n"/>
      <c r="J1017" s="29" t="n"/>
      <c r="K1017" s="17" t="n"/>
      <c r="L1017" s="29" t="n"/>
      <c r="M1017" s="18" t="n"/>
    </row>
    <row r="1018">
      <c r="A1018" s="14" t="inlineStr">
        <is>
          <t>가). 수도용닥타일주철관(직관)</t>
        </is>
      </c>
      <c r="B1018" s="14" t="inlineStr">
        <is>
          <t>100㎜  x 5ｍ (KP시멘트,2종)</t>
        </is>
      </c>
      <c r="C1018" s="15" t="n">
        <v>54</v>
      </c>
      <c r="D1018" s="16" t="inlineStr">
        <is>
          <t>본</t>
        </is>
      </c>
      <c r="E1018" s="15" t="n">
        <v>186885</v>
      </c>
      <c r="F1018" s="15">
        <f>E1018*C1018</f>
        <v/>
      </c>
      <c r="G1018" s="15" t="n">
        <v>0</v>
      </c>
      <c r="H1018" s="15">
        <f>G1018*C1018</f>
        <v/>
      </c>
      <c r="I1018" s="15" t="n">
        <v>0</v>
      </c>
      <c r="J1018" s="15">
        <f>I1018*C1018</f>
        <v/>
      </c>
      <c r="K1018" s="15">
        <f>E1018+G1018+I1018</f>
        <v/>
      </c>
      <c r="L1018" s="15">
        <f>F1018+H1018+J1018</f>
        <v/>
      </c>
      <c r="M1018" s="18" t="n"/>
    </row>
    <row r="1019">
      <c r="A1019" s="14" t="inlineStr">
        <is>
          <t>다). 수도용닥타일이형관</t>
        </is>
      </c>
      <c r="B1019" s="14" t="inlineStr">
        <is>
          <t>시멘트라이닝</t>
        </is>
      </c>
      <c r="C1019" s="15" t="n">
        <v>141</v>
      </c>
      <c r="D1019" s="16" t="inlineStr">
        <is>
          <t>kg</t>
        </is>
      </c>
      <c r="E1019" s="15" t="n">
        <v>2760</v>
      </c>
      <c r="F1019" s="15">
        <f>E1019*C1019</f>
        <v/>
      </c>
      <c r="G1019" s="15" t="n">
        <v>0</v>
      </c>
      <c r="H1019" s="15">
        <f>G1019*C1019</f>
        <v/>
      </c>
      <c r="I1019" s="15" t="n">
        <v>0</v>
      </c>
      <c r="J1019" s="15">
        <f>I1019*C1019</f>
        <v/>
      </c>
      <c r="K1019" s="15">
        <f>E1019+G1019+I1019</f>
        <v/>
      </c>
      <c r="L1019" s="15">
        <f>F1019+H1019+J1019</f>
        <v/>
      </c>
      <c r="M1019" s="18" t="n"/>
    </row>
    <row r="1020">
      <c r="A1020" s="14" t="inlineStr">
        <is>
          <t>라). 주철관운반비</t>
        </is>
      </c>
      <c r="B1020" s="14" t="inlineStr">
        <is>
          <t>공장---&gt;현장, L=160KM</t>
        </is>
      </c>
      <c r="C1020" s="15" t="n">
        <v>7</v>
      </c>
      <c r="D1020" s="16" t="inlineStr">
        <is>
          <t>ton</t>
        </is>
      </c>
      <c r="E1020" s="15" t="n">
        <v>0</v>
      </c>
      <c r="F1020" s="15">
        <f>E1020*C1020</f>
        <v/>
      </c>
      <c r="G1020" s="15" t="n">
        <v>0</v>
      </c>
      <c r="H1020" s="15">
        <f>G1020*C1020</f>
        <v/>
      </c>
      <c r="I1020" s="15" t="n">
        <v>17214</v>
      </c>
      <c r="J1020" s="15">
        <f>I1020*C1020</f>
        <v/>
      </c>
      <c r="K1020" s="15">
        <f>E1020+G1020+I1020</f>
        <v/>
      </c>
      <c r="L1020" s="15">
        <f>F1020+H1020+J1020</f>
        <v/>
      </c>
      <c r="M1020" s="18" t="n"/>
    </row>
    <row r="1021">
      <c r="A1021" s="28" t="inlineStr">
        <is>
          <t>3). 제수밸브</t>
        </is>
      </c>
      <c r="B1021" s="28" t="n"/>
      <c r="C1021" s="17" t="n"/>
      <c r="D1021" s="16" t="n"/>
      <c r="E1021" s="17" t="n"/>
      <c r="F1021" s="29" t="n"/>
      <c r="G1021" s="17" t="n"/>
      <c r="H1021" s="29" t="n"/>
      <c r="I1021" s="17" t="n"/>
      <c r="J1021" s="29" t="n"/>
      <c r="K1021" s="17" t="n"/>
      <c r="L1021" s="29" t="n"/>
      <c r="M1021" s="18" t="n"/>
    </row>
    <row r="1022">
      <c r="A1022" s="14" t="inlineStr">
        <is>
          <t>가). 소프트실제수밸브</t>
        </is>
      </c>
      <c r="B1022" s="14" t="inlineStr">
        <is>
          <t>100㎜</t>
        </is>
      </c>
      <c r="C1022" s="15" t="n">
        <v>2</v>
      </c>
      <c r="D1022" s="16" t="inlineStr">
        <is>
          <t>ea</t>
        </is>
      </c>
      <c r="E1022" s="15" t="n">
        <v>133264</v>
      </c>
      <c r="F1022" s="15">
        <f>E1022*C1022</f>
        <v/>
      </c>
      <c r="G1022" s="15" t="n">
        <v>0</v>
      </c>
      <c r="H1022" s="15">
        <f>G1022*C1022</f>
        <v/>
      </c>
      <c r="I1022" s="15" t="n">
        <v>0</v>
      </c>
      <c r="J1022" s="15">
        <f>I1022*C1022</f>
        <v/>
      </c>
      <c r="K1022" s="15">
        <f>E1022+G1022+I1022</f>
        <v/>
      </c>
      <c r="L1022" s="15">
        <f>F1022+H1022+J1022</f>
        <v/>
      </c>
      <c r="M1022" s="18" t="n"/>
    </row>
    <row r="1023">
      <c r="A1023" s="28" t="inlineStr">
        <is>
          <t>4). 맨홀뚜껑</t>
        </is>
      </c>
      <c r="B1023" s="28" t="n"/>
      <c r="C1023" s="17" t="n"/>
      <c r="D1023" s="16" t="n"/>
      <c r="E1023" s="17" t="n"/>
      <c r="F1023" s="29" t="n"/>
      <c r="G1023" s="17" t="n"/>
      <c r="H1023" s="29" t="n"/>
      <c r="I1023" s="17" t="n"/>
      <c r="J1023" s="29" t="n"/>
      <c r="K1023" s="17" t="n"/>
      <c r="L1023" s="29" t="n"/>
      <c r="M1023" s="18" t="n"/>
    </row>
    <row r="1024">
      <c r="A1024" s="14" t="inlineStr">
        <is>
          <t>가). 맨홀뚜껑(주철제)</t>
        </is>
      </c>
      <c r="B1024" s="14" t="inlineStr">
        <is>
          <t>Φ648x250, KS, 상수도용</t>
        </is>
      </c>
      <c r="C1024" s="15" t="n">
        <v>1</v>
      </c>
      <c r="D1024" s="16" t="inlineStr">
        <is>
          <t>조</t>
        </is>
      </c>
      <c r="E1024" s="15" t="n">
        <v>343017</v>
      </c>
      <c r="F1024" s="15">
        <f>E1024*C1024</f>
        <v/>
      </c>
      <c r="G1024" s="15" t="n">
        <v>0</v>
      </c>
      <c r="H1024" s="15">
        <f>G1024*C1024</f>
        <v/>
      </c>
      <c r="I1024" s="15" t="n">
        <v>0</v>
      </c>
      <c r="J1024" s="15">
        <f>I1024*C1024</f>
        <v/>
      </c>
      <c r="K1024" s="15">
        <f>E1024+G1024+I1024</f>
        <v/>
      </c>
      <c r="L1024" s="15">
        <f>F1024+H1024+J1024</f>
        <v/>
      </c>
      <c r="M1024" s="18" t="n"/>
    </row>
    <row r="1025">
      <c r="A1025" s="25" t="inlineStr">
        <is>
          <t>4. 포 장 공</t>
        </is>
      </c>
      <c r="B1025" s="26" t="n"/>
      <c r="C1025" s="21" t="n"/>
      <c r="D1025" s="22" t="n"/>
      <c r="E1025" s="21" t="n"/>
      <c r="F1025" s="27" t="n"/>
      <c r="G1025" s="21" t="n"/>
      <c r="H1025" s="27" t="n"/>
      <c r="I1025" s="21" t="n"/>
      <c r="J1025" s="27" t="n"/>
      <c r="K1025" s="21" t="n"/>
      <c r="L1025" s="27" t="n"/>
      <c r="M1025" s="24" t="n"/>
    </row>
    <row r="1026">
      <c r="A1026" s="28" t="inlineStr">
        <is>
          <t>가. 아스콘포장</t>
        </is>
      </c>
      <c r="B1026" s="28" t="n"/>
      <c r="C1026" s="17" t="n"/>
      <c r="D1026" s="16" t="n"/>
      <c r="E1026" s="17" t="n"/>
      <c r="F1026" s="29" t="n"/>
      <c r="G1026" s="17" t="n"/>
      <c r="H1026" s="29" t="n"/>
      <c r="I1026" s="17" t="n"/>
      <c r="J1026" s="29" t="n"/>
      <c r="K1026" s="17" t="n"/>
      <c r="L1026" s="29" t="n"/>
      <c r="M1026" s="18" t="n"/>
    </row>
    <row r="1027">
      <c r="A1027" s="14" t="inlineStr">
        <is>
          <t>1). 아스팔트 표층 기계포설(대형장비)</t>
        </is>
      </c>
      <c r="B1027" s="14" t="inlineStr">
        <is>
          <t>3.0m≤B, T=5cm</t>
        </is>
      </c>
      <c r="C1027" s="15" t="n">
        <v>2180</v>
      </c>
      <c r="D1027" s="16" t="inlineStr">
        <is>
          <t>㎡</t>
        </is>
      </c>
      <c r="E1027" s="15" t="n">
        <v>0</v>
      </c>
      <c r="F1027" s="15">
        <f>E1027*C1027</f>
        <v/>
      </c>
      <c r="G1027" s="15" t="n">
        <v>363</v>
      </c>
      <c r="H1027" s="15">
        <f>G1027*C1027</f>
        <v/>
      </c>
      <c r="I1027" s="15" t="n">
        <v>2788</v>
      </c>
      <c r="J1027" s="15">
        <f>I1027*C1027</f>
        <v/>
      </c>
      <c r="K1027" s="15">
        <f>E1027+G1027+I1027</f>
        <v/>
      </c>
      <c r="L1027" s="15">
        <f>F1027+H1027+J1027</f>
        <v/>
      </c>
      <c r="M1027" s="18" t="n"/>
    </row>
    <row r="1028">
      <c r="A1028" s="14" t="inlineStr">
        <is>
          <t>2). 아스팔트 중간층 기계포설(대형장비)</t>
        </is>
      </c>
      <c r="B1028" s="14" t="inlineStr">
        <is>
          <t>3.0m≤B, T=5cm</t>
        </is>
      </c>
      <c r="C1028" s="15" t="n">
        <v>2180</v>
      </c>
      <c r="D1028" s="16" t="inlineStr">
        <is>
          <t>㎡</t>
        </is>
      </c>
      <c r="E1028" s="15" t="n">
        <v>0</v>
      </c>
      <c r="F1028" s="15">
        <f>E1028*C1028</f>
        <v/>
      </c>
      <c r="G1028" s="15" t="n">
        <v>363</v>
      </c>
      <c r="H1028" s="15">
        <f>G1028*C1028</f>
        <v/>
      </c>
      <c r="I1028" s="15" t="n">
        <v>2788</v>
      </c>
      <c r="J1028" s="15">
        <f>I1028*C1028</f>
        <v/>
      </c>
      <c r="K1028" s="15">
        <f>E1028+G1028+I1028</f>
        <v/>
      </c>
      <c r="L1028" s="15">
        <f>F1028+H1028+J1028</f>
        <v/>
      </c>
      <c r="M1028" s="18" t="n"/>
    </row>
    <row r="1029">
      <c r="A1029" s="14" t="inlineStr">
        <is>
          <t>3). 아스팔트 기층 기계포설(대형장비)</t>
        </is>
      </c>
      <c r="B1029" s="14" t="inlineStr">
        <is>
          <t>3.0m≤B, T=15cm, 2회</t>
        </is>
      </c>
      <c r="C1029" s="15" t="n">
        <v>2180</v>
      </c>
      <c r="D1029" s="16" t="inlineStr">
        <is>
          <t>㎡</t>
        </is>
      </c>
      <c r="E1029" s="15" t="n">
        <v>0</v>
      </c>
      <c r="F1029" s="15">
        <f>E1029*C1029</f>
        <v/>
      </c>
      <c r="G1029" s="15" t="n">
        <v>727</v>
      </c>
      <c r="H1029" s="15">
        <f>G1029*C1029</f>
        <v/>
      </c>
      <c r="I1029" s="15" t="n">
        <v>5576</v>
      </c>
      <c r="J1029" s="15">
        <f>I1029*C1029</f>
        <v/>
      </c>
      <c r="K1029" s="15">
        <f>E1029+G1029+I1029</f>
        <v/>
      </c>
      <c r="L1029" s="15">
        <f>F1029+H1029+J1029</f>
        <v/>
      </c>
      <c r="M1029" s="18" t="n"/>
    </row>
    <row r="1030">
      <c r="A1030" s="14" t="inlineStr">
        <is>
          <t>4). 텍코팅(기계식)</t>
        </is>
      </c>
      <c r="B1030" s="14" t="inlineStr">
        <is>
          <t>RSC-4:45ℓ/a, 2회</t>
        </is>
      </c>
      <c r="C1030" s="15" t="n">
        <v>2180</v>
      </c>
      <c r="D1030" s="16" t="inlineStr">
        <is>
          <t>㎡</t>
        </is>
      </c>
      <c r="E1030" s="15" t="n">
        <v>0</v>
      </c>
      <c r="F1030" s="15">
        <f>E1030*C1030</f>
        <v/>
      </c>
      <c r="G1030" s="15" t="n">
        <v>0</v>
      </c>
      <c r="H1030" s="15">
        <f>G1030*C1030</f>
        <v/>
      </c>
      <c r="I1030" s="15" t="n">
        <v>215</v>
      </c>
      <c r="J1030" s="15">
        <f>I1030*C1030</f>
        <v/>
      </c>
      <c r="K1030" s="15">
        <f>E1030+G1030+I1030</f>
        <v/>
      </c>
      <c r="L1030" s="15">
        <f>F1030+H1030+J1030</f>
        <v/>
      </c>
      <c r="M1030" s="18" t="n"/>
    </row>
    <row r="1031">
      <c r="A1031" s="14" t="inlineStr">
        <is>
          <t>5). 텍코팅(기계식)</t>
        </is>
      </c>
      <c r="B1031" s="14" t="inlineStr">
        <is>
          <t>RSC-4:45ℓ/a</t>
        </is>
      </c>
      <c r="C1031" s="15" t="n">
        <v>2180</v>
      </c>
      <c r="D1031" s="16" t="inlineStr">
        <is>
          <t>㎡</t>
        </is>
      </c>
      <c r="E1031" s="15" t="n">
        <v>0</v>
      </c>
      <c r="F1031" s="15">
        <f>E1031*C1031</f>
        <v/>
      </c>
      <c r="G1031" s="15" t="n">
        <v>0</v>
      </c>
      <c r="H1031" s="15">
        <f>G1031*C1031</f>
        <v/>
      </c>
      <c r="I1031" s="15" t="n">
        <v>215</v>
      </c>
      <c r="J1031" s="15">
        <f>I1031*C1031</f>
        <v/>
      </c>
      <c r="K1031" s="15">
        <f>E1031+G1031+I1031</f>
        <v/>
      </c>
      <c r="L1031" s="15">
        <f>F1031+H1031+J1031</f>
        <v/>
      </c>
      <c r="M1031" s="18" t="n"/>
    </row>
    <row r="1032">
      <c r="A1032" s="14" t="inlineStr">
        <is>
          <t>6). 프라임코팅(기계식)</t>
        </is>
      </c>
      <c r="B1032" s="14" t="inlineStr">
        <is>
          <t>RSC-3:150ℓ/a</t>
        </is>
      </c>
      <c r="C1032" s="15" t="n">
        <v>4360</v>
      </c>
      <c r="D1032" s="16" t="inlineStr">
        <is>
          <t>㎡</t>
        </is>
      </c>
      <c r="E1032" s="15" t="n">
        <v>0</v>
      </c>
      <c r="F1032" s="15">
        <f>E1032*C1032</f>
        <v/>
      </c>
      <c r="G1032" s="15" t="n">
        <v>0</v>
      </c>
      <c r="H1032" s="15">
        <f>G1032*C1032</f>
        <v/>
      </c>
      <c r="I1032" s="15" t="n">
        <v>321</v>
      </c>
      <c r="J1032" s="15">
        <f>I1032*C1032</f>
        <v/>
      </c>
      <c r="K1032" s="15">
        <f>E1032+G1032+I1032</f>
        <v/>
      </c>
      <c r="L1032" s="15">
        <f>F1032+H1032+J1032</f>
        <v/>
      </c>
      <c r="M1032" s="18" t="n"/>
    </row>
    <row r="1033">
      <c r="A1033" s="14" t="inlineStr">
        <is>
          <t>7). 보조기층(기계시공)</t>
        </is>
      </c>
      <c r="B1033" s="14" t="inlineStr">
        <is>
          <t>본선포장, T=20cm</t>
        </is>
      </c>
      <c r="C1033" s="15" t="n">
        <v>678</v>
      </c>
      <c r="D1033" s="16" t="inlineStr">
        <is>
          <t>㎥</t>
        </is>
      </c>
      <c r="E1033" s="15" t="n">
        <v>0</v>
      </c>
      <c r="F1033" s="15">
        <f>E1033*C1033</f>
        <v/>
      </c>
      <c r="G1033" s="15" t="n">
        <v>1474</v>
      </c>
      <c r="H1033" s="15">
        <f>G1033*C1033</f>
        <v/>
      </c>
      <c r="I1033" s="15" t="n">
        <v>4847</v>
      </c>
      <c r="J1033" s="15">
        <f>I1033*C1033</f>
        <v/>
      </c>
      <c r="K1033" s="15">
        <f>E1033+G1033+I1033</f>
        <v/>
      </c>
      <c r="L1033" s="15">
        <f>F1033+H1033+J1033</f>
        <v/>
      </c>
      <c r="M1033" s="18" t="n"/>
    </row>
    <row r="1034">
      <c r="A1034" s="28" t="inlineStr">
        <is>
          <t>다. 보도포장</t>
        </is>
      </c>
      <c r="B1034" s="28" t="n"/>
      <c r="C1034" s="17" t="n"/>
      <c r="D1034" s="16" t="n"/>
      <c r="E1034" s="17" t="n"/>
      <c r="F1034" s="29" t="n"/>
      <c r="G1034" s="17" t="n"/>
      <c r="H1034" s="29" t="n"/>
      <c r="I1034" s="17" t="n"/>
      <c r="J1034" s="29" t="n"/>
      <c r="K1034" s="17" t="n"/>
      <c r="L1034" s="29" t="n"/>
      <c r="M1034" s="18" t="n"/>
    </row>
    <row r="1035">
      <c r="A1035" s="28" t="inlineStr">
        <is>
          <t>1). 보도포장(투수)</t>
        </is>
      </c>
      <c r="B1035" s="28" t="n"/>
      <c r="C1035" s="17" t="n"/>
      <c r="D1035" s="16" t="n"/>
      <c r="E1035" s="17" t="n"/>
      <c r="F1035" s="29" t="n"/>
      <c r="G1035" s="17" t="n"/>
      <c r="H1035" s="29" t="n"/>
      <c r="I1035" s="17" t="n"/>
      <c r="J1035" s="29" t="n"/>
      <c r="K1035" s="17" t="n"/>
      <c r="L1035" s="29" t="n"/>
      <c r="M1035" s="18" t="n"/>
    </row>
    <row r="1036">
      <c r="A1036" s="14" t="inlineStr">
        <is>
          <t>가). 보도용블럭포장(소형)</t>
        </is>
      </c>
      <c r="B1036" s="14" t="inlineStr">
        <is>
          <t>A-TYPE, T=8㎝이하</t>
        </is>
      </c>
      <c r="C1036" s="15" t="n">
        <v>840</v>
      </c>
      <c r="D1036" s="16" t="inlineStr">
        <is>
          <t>㎡</t>
        </is>
      </c>
      <c r="E1036" s="15" t="n">
        <v>0</v>
      </c>
      <c r="F1036" s="15">
        <f>E1036*C1036</f>
        <v/>
      </c>
      <c r="G1036" s="15" t="n">
        <v>14735</v>
      </c>
      <c r="H1036" s="15">
        <f>G1036*C1036</f>
        <v/>
      </c>
      <c r="I1036" s="15" t="n">
        <v>3067</v>
      </c>
      <c r="J1036" s="15">
        <f>I1036*C1036</f>
        <v/>
      </c>
      <c r="K1036" s="15">
        <f>E1036+G1036+I1036</f>
        <v/>
      </c>
      <c r="L1036" s="15">
        <f>F1036+H1036+J1036</f>
        <v/>
      </c>
      <c r="M1036" s="18" t="n"/>
    </row>
    <row r="1037">
      <c r="A1037" s="14" t="inlineStr">
        <is>
          <t>나). 보조기층(인력식)</t>
        </is>
      </c>
      <c r="B1037" s="14" t="inlineStr">
        <is>
          <t>소규모장비</t>
        </is>
      </c>
      <c r="C1037" s="15" t="n">
        <v>84</v>
      </c>
      <c r="D1037" s="16" t="inlineStr">
        <is>
          <t>㎥</t>
        </is>
      </c>
      <c r="E1037" s="15" t="n">
        <v>0</v>
      </c>
      <c r="F1037" s="15">
        <f>E1037*C1037</f>
        <v/>
      </c>
      <c r="G1037" s="15" t="n">
        <v>1474</v>
      </c>
      <c r="H1037" s="15">
        <f>G1037*C1037</f>
        <v/>
      </c>
      <c r="I1037" s="15" t="n">
        <v>4847</v>
      </c>
      <c r="J1037" s="15">
        <f>I1037*C1037</f>
        <v/>
      </c>
      <c r="K1037" s="15">
        <f>E1037+G1037+I1037</f>
        <v/>
      </c>
      <c r="L1037" s="15">
        <f>F1037+H1037+J1037</f>
        <v/>
      </c>
      <c r="M1037" s="18" t="n"/>
    </row>
    <row r="1038">
      <c r="A1038" s="28" t="inlineStr">
        <is>
          <t>라. 장애자용블럭포장</t>
        </is>
      </c>
      <c r="B1038" s="28" t="n"/>
      <c r="C1038" s="17" t="n"/>
      <c r="D1038" s="16" t="n"/>
      <c r="E1038" s="17" t="n"/>
      <c r="F1038" s="29" t="n"/>
      <c r="G1038" s="17" t="n"/>
      <c r="H1038" s="29" t="n"/>
      <c r="I1038" s="17" t="n"/>
      <c r="J1038" s="29" t="n"/>
      <c r="K1038" s="17" t="n"/>
      <c r="L1038" s="29" t="n"/>
      <c r="M1038" s="18" t="n"/>
    </row>
    <row r="1039">
      <c r="A1039" s="28" t="inlineStr">
        <is>
          <t>1). 보도포장(장애인용블럭)</t>
        </is>
      </c>
      <c r="B1039" s="28" t="n"/>
      <c r="C1039" s="17" t="n"/>
      <c r="D1039" s="16" t="n"/>
      <c r="E1039" s="17" t="n"/>
      <c r="F1039" s="29" t="n"/>
      <c r="G1039" s="17" t="n"/>
      <c r="H1039" s="29" t="n"/>
      <c r="I1039" s="17" t="n"/>
      <c r="J1039" s="29" t="n"/>
      <c r="K1039" s="17" t="n"/>
      <c r="L1039" s="29" t="n"/>
      <c r="M1039" s="18" t="n"/>
    </row>
    <row r="1040">
      <c r="A1040" s="14" t="inlineStr">
        <is>
          <t>가). 보도용블럭포장(유도블록)</t>
        </is>
      </c>
      <c r="B1040" s="14" t="inlineStr">
        <is>
          <t>A-TYPE, T=6㎝이하</t>
        </is>
      </c>
      <c r="C1040" s="15" t="n">
        <v>184</v>
      </c>
      <c r="D1040" s="16" t="inlineStr">
        <is>
          <t>㎡</t>
        </is>
      </c>
      <c r="E1040" s="15" t="n">
        <v>0</v>
      </c>
      <c r="F1040" s="15">
        <f>E1040*C1040</f>
        <v/>
      </c>
      <c r="G1040" s="15" t="n">
        <v>12771</v>
      </c>
      <c r="H1040" s="15">
        <f>G1040*C1040</f>
        <v/>
      </c>
      <c r="I1040" s="15" t="n">
        <v>4665</v>
      </c>
      <c r="J1040" s="15">
        <f>I1040*C1040</f>
        <v/>
      </c>
      <c r="K1040" s="15">
        <f>E1040+G1040+I1040</f>
        <v/>
      </c>
      <c r="L1040" s="15">
        <f>F1040+H1040+J1040</f>
        <v/>
      </c>
      <c r="M1040" s="18" t="n"/>
    </row>
    <row r="1041">
      <c r="A1041" s="14" t="inlineStr">
        <is>
          <t>나). 보도용블럭포장(점자블록)</t>
        </is>
      </c>
      <c r="B1041" s="14" t="inlineStr">
        <is>
          <t>A-TYPE, T=6㎝이하</t>
        </is>
      </c>
      <c r="C1041" s="15" t="n">
        <v>11</v>
      </c>
      <c r="D1041" s="16" t="inlineStr">
        <is>
          <t>㎡</t>
        </is>
      </c>
      <c r="E1041" s="15" t="n">
        <v>0</v>
      </c>
      <c r="F1041" s="15">
        <f>E1041*C1041</f>
        <v/>
      </c>
      <c r="G1041" s="15" t="n">
        <v>12771</v>
      </c>
      <c r="H1041" s="15">
        <f>G1041*C1041</f>
        <v/>
      </c>
      <c r="I1041" s="15" t="n">
        <v>4665</v>
      </c>
      <c r="J1041" s="15">
        <f>I1041*C1041</f>
        <v/>
      </c>
      <c r="K1041" s="15">
        <f>E1041+G1041+I1041</f>
        <v/>
      </c>
      <c r="L1041" s="15">
        <f>F1041+H1041+J1041</f>
        <v/>
      </c>
      <c r="M1041" s="18" t="n"/>
    </row>
    <row r="1042">
      <c r="A1042" s="14" t="inlineStr">
        <is>
          <t>다). 보조기층(인력식)</t>
        </is>
      </c>
      <c r="B1042" s="14" t="inlineStr">
        <is>
          <t>T=10cm, 소규모장비</t>
        </is>
      </c>
      <c r="C1042" s="15" t="n">
        <v>20</v>
      </c>
      <c r="D1042" s="16" t="inlineStr">
        <is>
          <t>㎥</t>
        </is>
      </c>
      <c r="E1042" s="15" t="n">
        <v>0</v>
      </c>
      <c r="F1042" s="15">
        <f>E1042*C1042</f>
        <v/>
      </c>
      <c r="G1042" s="15" t="n">
        <v>1474</v>
      </c>
      <c r="H1042" s="15">
        <f>G1042*C1042</f>
        <v/>
      </c>
      <c r="I1042" s="15" t="n">
        <v>4847</v>
      </c>
      <c r="J1042" s="15">
        <f>I1042*C1042</f>
        <v/>
      </c>
      <c r="K1042" s="15">
        <f>E1042+G1042+I1042</f>
        <v/>
      </c>
      <c r="L1042" s="15">
        <f>F1042+H1042+J1042</f>
        <v/>
      </c>
      <c r="M1042" s="18" t="n"/>
    </row>
    <row r="1043">
      <c r="A1043" s="28" t="inlineStr">
        <is>
          <t>마. 미끄럼방지포장</t>
        </is>
      </c>
      <c r="B1043" s="28" t="n"/>
      <c r="C1043" s="17" t="n"/>
      <c r="D1043" s="16" t="n"/>
      <c r="E1043" s="17" t="n"/>
      <c r="F1043" s="29" t="n"/>
      <c r="G1043" s="17" t="n"/>
      <c r="H1043" s="29" t="n"/>
      <c r="I1043" s="17" t="n"/>
      <c r="J1043" s="29" t="n"/>
      <c r="K1043" s="17" t="n"/>
      <c r="L1043" s="29" t="n"/>
      <c r="M1043" s="18" t="n"/>
    </row>
    <row r="1044">
      <c r="A1044" s="14" t="inlineStr">
        <is>
          <t>1). 미끄럼방지공</t>
        </is>
      </c>
      <c r="B1044" s="14" t="inlineStr">
        <is>
          <t>전면식</t>
        </is>
      </c>
      <c r="C1044" s="15" t="n">
        <v>420</v>
      </c>
      <c r="D1044" s="16" t="inlineStr">
        <is>
          <t>㎡</t>
        </is>
      </c>
      <c r="E1044" s="15" t="n">
        <v>5894</v>
      </c>
      <c r="F1044" s="15">
        <f>E1044*C1044</f>
        <v/>
      </c>
      <c r="G1044" s="15" t="n">
        <v>13753</v>
      </c>
      <c r="H1044" s="15">
        <f>G1044*C1044</f>
        <v/>
      </c>
      <c r="I1044" s="15" t="n">
        <v>4289</v>
      </c>
      <c r="J1044" s="15">
        <f>I1044*C1044</f>
        <v/>
      </c>
      <c r="K1044" s="15">
        <f>E1044+G1044+I1044</f>
        <v/>
      </c>
      <c r="L1044" s="15">
        <f>F1044+H1044+J1044</f>
        <v/>
      </c>
      <c r="M1044" s="18" t="n"/>
    </row>
    <row r="1045">
      <c r="A1045" s="28" t="inlineStr">
        <is>
          <t>바. 과속방지턱</t>
        </is>
      </c>
      <c r="B1045" s="28" t="n"/>
      <c r="C1045" s="17" t="n"/>
      <c r="D1045" s="16" t="n"/>
      <c r="E1045" s="17" t="n"/>
      <c r="F1045" s="29" t="n"/>
      <c r="G1045" s="17" t="n"/>
      <c r="H1045" s="29" t="n"/>
      <c r="I1045" s="17" t="n"/>
      <c r="J1045" s="29" t="n"/>
      <c r="K1045" s="17" t="n"/>
      <c r="L1045" s="29" t="n"/>
      <c r="M1045" s="18" t="n"/>
    </row>
    <row r="1046">
      <c r="A1046" s="14" t="inlineStr">
        <is>
          <t>1). 아스팔트 표층 기계포설(대형장비)</t>
        </is>
      </c>
      <c r="B1046" s="14" t="inlineStr">
        <is>
          <t>3.0m≤B, T=10cm</t>
        </is>
      </c>
      <c r="C1046" s="15" t="n">
        <v>76</v>
      </c>
      <c r="D1046" s="16" t="inlineStr">
        <is>
          <t>㎡</t>
        </is>
      </c>
      <c r="E1046" s="15" t="n">
        <v>0</v>
      </c>
      <c r="F1046" s="15">
        <f>E1046*C1046</f>
        <v/>
      </c>
      <c r="G1046" s="15" t="n">
        <v>4912</v>
      </c>
      <c r="H1046" s="15">
        <f>G1046*C1046</f>
        <v/>
      </c>
      <c r="I1046" s="15" t="n">
        <v>31096</v>
      </c>
      <c r="J1046" s="15">
        <f>I1046*C1046</f>
        <v/>
      </c>
      <c r="K1046" s="15">
        <f>E1046+G1046+I1046</f>
        <v/>
      </c>
      <c r="L1046" s="15">
        <f>F1046+H1046+J1046</f>
        <v/>
      </c>
      <c r="M1046" s="18" t="n"/>
    </row>
    <row r="1047">
      <c r="A1047" s="14" t="inlineStr">
        <is>
          <t>2). 텍코팅(기계식)</t>
        </is>
      </c>
      <c r="B1047" s="14" t="inlineStr">
        <is>
          <t>RSC-4:45ℓ/a</t>
        </is>
      </c>
      <c r="C1047" s="15" t="n">
        <v>152</v>
      </c>
      <c r="D1047" s="16" t="inlineStr">
        <is>
          <t>㎡</t>
        </is>
      </c>
      <c r="E1047" s="15" t="n">
        <v>0</v>
      </c>
      <c r="F1047" s="15">
        <f>E1047*C1047</f>
        <v/>
      </c>
      <c r="G1047" s="15" t="n">
        <v>0</v>
      </c>
      <c r="H1047" s="15">
        <f>G1047*C1047</f>
        <v/>
      </c>
      <c r="I1047" s="15" t="n">
        <v>536</v>
      </c>
      <c r="J1047" s="15">
        <f>I1047*C1047</f>
        <v/>
      </c>
      <c r="K1047" s="15">
        <f>E1047+G1047+I1047</f>
        <v/>
      </c>
      <c r="L1047" s="15">
        <f>F1047+H1047+J1047</f>
        <v/>
      </c>
      <c r="M1047" s="18" t="n"/>
    </row>
    <row r="1048">
      <c r="A1048" s="14" t="inlineStr">
        <is>
          <t>3). 차선도색(융착식,수동식),신설구간</t>
        </is>
      </c>
      <c r="B1048" s="14" t="inlineStr">
        <is>
          <t>백색-실선</t>
        </is>
      </c>
      <c r="C1048" s="15" t="n">
        <v>38</v>
      </c>
      <c r="D1048" s="16" t="inlineStr">
        <is>
          <t>㎡</t>
        </is>
      </c>
      <c r="E1048" s="15" t="n">
        <v>6385</v>
      </c>
      <c r="F1048" s="15">
        <f>E1048*C1048</f>
        <v/>
      </c>
      <c r="G1048" s="15" t="n">
        <v>9332</v>
      </c>
      <c r="H1048" s="15">
        <f>G1048*C1048</f>
        <v/>
      </c>
      <c r="I1048" s="15" t="n">
        <v>2145</v>
      </c>
      <c r="J1048" s="15">
        <f>I1048*C1048</f>
        <v/>
      </c>
      <c r="K1048" s="15">
        <f>E1048+G1048+I1048</f>
        <v/>
      </c>
      <c r="L1048" s="15">
        <f>F1048+H1048+J1048</f>
        <v/>
      </c>
      <c r="M1048" s="18" t="n"/>
    </row>
    <row r="1049">
      <c r="A1049" s="14" t="inlineStr">
        <is>
          <t>4). 차선도색(융착식,수동식),신설구간</t>
        </is>
      </c>
      <c r="B1049" s="14" t="inlineStr">
        <is>
          <t>황색-실선</t>
        </is>
      </c>
      <c r="C1049" s="15" t="n">
        <v>38</v>
      </c>
      <c r="D1049" s="16" t="inlineStr">
        <is>
          <t>㎡</t>
        </is>
      </c>
      <c r="E1049" s="15" t="n">
        <v>6385</v>
      </c>
      <c r="F1049" s="15">
        <f>E1049*C1049</f>
        <v/>
      </c>
      <c r="G1049" s="15" t="n">
        <v>9332</v>
      </c>
      <c r="H1049" s="15">
        <f>G1049*C1049</f>
        <v/>
      </c>
      <c r="I1049" s="15" t="n">
        <v>2145</v>
      </c>
      <c r="J1049" s="15">
        <f>I1049*C1049</f>
        <v/>
      </c>
      <c r="K1049" s="15">
        <f>E1049+G1049+I1049</f>
        <v/>
      </c>
      <c r="L1049" s="15">
        <f>F1049+H1049+J1049</f>
        <v/>
      </c>
      <c r="M1049" s="18" t="n"/>
    </row>
    <row r="1050">
      <c r="A1050" s="14" t="inlineStr">
        <is>
          <t>5). 차선도색(차로밑그림),신설구간</t>
        </is>
      </c>
      <c r="B1050" s="14" t="inlineStr">
        <is>
          <t>실선</t>
        </is>
      </c>
      <c r="C1050" s="15" t="n">
        <v>76</v>
      </c>
      <c r="D1050" s="16" t="inlineStr">
        <is>
          <t>㎡</t>
        </is>
      </c>
      <c r="E1050" s="15" t="n">
        <v>0</v>
      </c>
      <c r="F1050" s="15">
        <f>E1050*C1050</f>
        <v/>
      </c>
      <c r="G1050" s="15" t="n">
        <v>0</v>
      </c>
      <c r="H1050" s="15">
        <f>G1050*C1050</f>
        <v/>
      </c>
      <c r="I1050" s="15" t="n">
        <v>5361</v>
      </c>
      <c r="J1050" s="15">
        <f>I1050*C1050</f>
        <v/>
      </c>
      <c r="K1050" s="15">
        <f>E1050+G1050+I1050</f>
        <v/>
      </c>
      <c r="L1050" s="15">
        <f>F1050+H1050+J1050</f>
        <v/>
      </c>
      <c r="M1050" s="18" t="n"/>
    </row>
    <row r="1051">
      <c r="A1051" s="28" t="inlineStr">
        <is>
          <t>사. 경계석설치</t>
        </is>
      </c>
      <c r="B1051" s="28" t="n"/>
      <c r="C1051" s="17" t="n"/>
      <c r="D1051" s="16" t="n"/>
      <c r="E1051" s="17" t="n"/>
      <c r="F1051" s="29" t="n"/>
      <c r="G1051" s="17" t="n"/>
      <c r="H1051" s="29" t="n"/>
      <c r="I1051" s="17" t="n"/>
      <c r="J1051" s="29" t="n"/>
      <c r="K1051" s="17" t="n"/>
      <c r="L1051" s="29" t="n"/>
      <c r="M1051" s="18" t="n"/>
    </row>
    <row r="1052">
      <c r="A1052" s="28" t="inlineStr">
        <is>
          <t>1). 보차도경계석(화강석)</t>
        </is>
      </c>
      <c r="B1052" s="28" t="n"/>
      <c r="C1052" s="17" t="n"/>
      <c r="D1052" s="16" t="n"/>
      <c r="E1052" s="17" t="n"/>
      <c r="F1052" s="29" t="n"/>
      <c r="G1052" s="17" t="n"/>
      <c r="H1052" s="29" t="n"/>
      <c r="I1052" s="17" t="n"/>
      <c r="J1052" s="29" t="n"/>
      <c r="K1052" s="17" t="n"/>
      <c r="L1052" s="29" t="n"/>
      <c r="M1052" s="18" t="n"/>
    </row>
    <row r="1053">
      <c r="A1053" s="14" t="inlineStr">
        <is>
          <t>가). 보차도경계석 설치</t>
        </is>
      </c>
      <c r="B1053" s="14" t="inlineStr">
        <is>
          <t>180×200×1000, A-TYPE(직선구간)</t>
        </is>
      </c>
      <c r="C1053" s="15" t="n">
        <v>623</v>
      </c>
      <c r="D1053" s="16" t="inlineStr">
        <is>
          <t>m</t>
        </is>
      </c>
      <c r="E1053" s="15" t="n">
        <v>0</v>
      </c>
      <c r="F1053" s="15">
        <f>E1053*C1053</f>
        <v/>
      </c>
      <c r="G1053" s="15" t="n">
        <v>12771</v>
      </c>
      <c r="H1053" s="15">
        <f>G1053*C1053</f>
        <v/>
      </c>
      <c r="I1053" s="15" t="n">
        <v>5619</v>
      </c>
      <c r="J1053" s="15">
        <f>I1053*C1053</f>
        <v/>
      </c>
      <c r="K1053" s="15">
        <f>E1053+G1053+I1053</f>
        <v/>
      </c>
      <c r="L1053" s="15">
        <f>F1053+H1053+J1053</f>
        <v/>
      </c>
      <c r="M1053" s="18" t="n"/>
    </row>
    <row r="1054">
      <c r="A1054" s="14" t="inlineStr">
        <is>
          <t>나). 보차도경계석 설치(경사)</t>
        </is>
      </c>
      <c r="B1054" s="14" t="inlineStr">
        <is>
          <t>180×200~100×1000, A-TYPE(곡선구간)</t>
        </is>
      </c>
      <c r="C1054" s="15" t="n">
        <v>11</v>
      </c>
      <c r="D1054" s="16" t="inlineStr">
        <is>
          <t>m</t>
        </is>
      </c>
      <c r="E1054" s="15" t="n">
        <v>0</v>
      </c>
      <c r="F1054" s="15">
        <f>E1054*C1054</f>
        <v/>
      </c>
      <c r="G1054" s="15" t="n">
        <v>12771</v>
      </c>
      <c r="H1054" s="15">
        <f>G1054*C1054</f>
        <v/>
      </c>
      <c r="I1054" s="15" t="n">
        <v>5619</v>
      </c>
      <c r="J1054" s="15">
        <f>I1054*C1054</f>
        <v/>
      </c>
      <c r="K1054" s="15">
        <f>E1054+G1054+I1054</f>
        <v/>
      </c>
      <c r="L1054" s="15">
        <f>F1054+H1054+J1054</f>
        <v/>
      </c>
      <c r="M1054" s="18" t="n"/>
    </row>
    <row r="1055">
      <c r="A1055" s="14" t="inlineStr">
        <is>
          <t>다). 보차도경계석 설치(낮춤)</t>
        </is>
      </c>
      <c r="B1055" s="14" t="inlineStr">
        <is>
          <t>180×100×1000, A-TYPE(곡선구간)</t>
        </is>
      </c>
      <c r="C1055" s="15" t="n">
        <v>26</v>
      </c>
      <c r="D1055" s="16" t="inlineStr">
        <is>
          <t>m</t>
        </is>
      </c>
      <c r="E1055" s="15" t="n">
        <v>0</v>
      </c>
      <c r="F1055" s="15">
        <f>E1055*C1055</f>
        <v/>
      </c>
      <c r="G1055" s="15" t="n">
        <v>12771</v>
      </c>
      <c r="H1055" s="15">
        <f>G1055*C1055</f>
        <v/>
      </c>
      <c r="I1055" s="15" t="n">
        <v>5619</v>
      </c>
      <c r="J1055" s="15">
        <f>I1055*C1055</f>
        <v/>
      </c>
      <c r="K1055" s="15">
        <f>E1055+G1055+I1055</f>
        <v/>
      </c>
      <c r="L1055" s="15">
        <f>F1055+H1055+J1055</f>
        <v/>
      </c>
      <c r="M1055" s="18" t="n"/>
    </row>
    <row r="1056">
      <c r="A1056" s="28" t="inlineStr">
        <is>
          <t>2). 도로경계석(화강석)</t>
        </is>
      </c>
      <c r="B1056" s="28" t="n"/>
      <c r="C1056" s="17" t="n"/>
      <c r="D1056" s="16" t="n"/>
      <c r="E1056" s="17" t="n"/>
      <c r="F1056" s="29" t="n"/>
      <c r="G1056" s="17" t="n"/>
      <c r="H1056" s="29" t="n"/>
      <c r="I1056" s="17" t="n"/>
      <c r="J1056" s="29" t="n"/>
      <c r="K1056" s="17" t="n"/>
      <c r="L1056" s="29" t="n"/>
      <c r="M1056" s="18" t="n"/>
    </row>
    <row r="1057">
      <c r="A1057" s="14" t="inlineStr">
        <is>
          <t>가). 도로경계석 설치</t>
        </is>
      </c>
      <c r="B1057" s="14" t="inlineStr">
        <is>
          <t>120×120×1000, A-TYPE(직선구간)</t>
        </is>
      </c>
      <c r="C1057" s="15" t="n">
        <v>385</v>
      </c>
      <c r="D1057" s="16" t="inlineStr">
        <is>
          <t>m</t>
        </is>
      </c>
      <c r="E1057" s="15" t="n">
        <v>0</v>
      </c>
      <c r="F1057" s="15">
        <f>E1057*C1057</f>
        <v/>
      </c>
      <c r="G1057" s="15" t="n">
        <v>11788</v>
      </c>
      <c r="H1057" s="15">
        <f>G1057*C1057</f>
        <v/>
      </c>
      <c r="I1057" s="15" t="n">
        <v>4504</v>
      </c>
      <c r="J1057" s="15">
        <f>I1057*C1057</f>
        <v/>
      </c>
      <c r="K1057" s="15">
        <f>E1057+G1057+I1057</f>
        <v/>
      </c>
      <c r="L1057" s="15">
        <f>F1057+H1057+J1057</f>
        <v/>
      </c>
      <c r="M1057" s="18" t="n"/>
    </row>
    <row r="1058">
      <c r="A1058" s="28" t="inlineStr">
        <is>
          <t>아. 아스팔트절삭 및 덧교통시설공</t>
        </is>
      </c>
      <c r="B1058" s="28" t="n"/>
      <c r="C1058" s="17" t="n"/>
      <c r="D1058" s="16" t="n"/>
      <c r="E1058" s="17" t="n"/>
      <c r="F1058" s="29" t="n"/>
      <c r="G1058" s="17" t="n"/>
      <c r="H1058" s="29" t="n"/>
      <c r="I1058" s="17" t="n"/>
      <c r="J1058" s="29" t="n"/>
      <c r="K1058" s="17" t="n"/>
      <c r="L1058" s="29" t="n"/>
      <c r="M1058" s="18" t="n"/>
    </row>
    <row r="1059">
      <c r="A1059" s="14" t="inlineStr">
        <is>
          <t>1). 아스팔트절삭및덧씌우기</t>
        </is>
      </c>
      <c r="B1059" s="14" t="n"/>
      <c r="C1059" s="15" t="n">
        <v>552</v>
      </c>
      <c r="D1059" s="16" t="inlineStr">
        <is>
          <t>m2</t>
        </is>
      </c>
      <c r="E1059" s="15" t="n">
        <v>0</v>
      </c>
      <c r="F1059" s="15">
        <f>E1059*C1059</f>
        <v/>
      </c>
      <c r="G1059" s="15" t="n">
        <v>1965</v>
      </c>
      <c r="H1059" s="15">
        <f>G1059*C1059</f>
        <v/>
      </c>
      <c r="I1059" s="15" t="n">
        <v>15012</v>
      </c>
      <c r="J1059" s="15">
        <f>I1059*C1059</f>
        <v/>
      </c>
      <c r="K1059" s="15">
        <f>E1059+G1059+I1059</f>
        <v/>
      </c>
      <c r="L1059" s="15">
        <f>F1059+H1059+J1059</f>
        <v/>
      </c>
      <c r="M1059" s="18" t="n"/>
    </row>
    <row r="1060">
      <c r="A1060" s="28" t="inlineStr">
        <is>
          <t>자. 교통시설공</t>
        </is>
      </c>
      <c r="B1060" s="28" t="n"/>
      <c r="C1060" s="17" t="n"/>
      <c r="D1060" s="16" t="n"/>
      <c r="E1060" s="17" t="n"/>
      <c r="F1060" s="29" t="n"/>
      <c r="G1060" s="17" t="n"/>
      <c r="H1060" s="29" t="n"/>
      <c r="I1060" s="17" t="n"/>
      <c r="J1060" s="29" t="n"/>
      <c r="K1060" s="17" t="n"/>
      <c r="L1060" s="29" t="n"/>
      <c r="M1060" s="18" t="n"/>
    </row>
    <row r="1061">
      <c r="A1061" s="28" t="inlineStr">
        <is>
          <t>1). 교통안전표지판</t>
        </is>
      </c>
      <c r="B1061" s="28" t="n"/>
      <c r="C1061" s="17" t="n"/>
      <c r="D1061" s="16" t="n"/>
      <c r="E1061" s="17" t="n"/>
      <c r="F1061" s="29" t="n"/>
      <c r="G1061" s="17" t="n"/>
      <c r="H1061" s="29" t="n"/>
      <c r="I1061" s="17" t="n"/>
      <c r="J1061" s="29" t="n"/>
      <c r="K1061" s="17" t="n"/>
      <c r="L1061" s="29" t="n"/>
      <c r="M1061" s="18" t="n"/>
    </row>
    <row r="1062">
      <c r="A1062" s="14" t="inlineStr">
        <is>
          <t>가). 교통안전표지판(삼각)(과속방지턱)</t>
        </is>
      </c>
      <c r="B1062" s="14" t="inlineStr">
        <is>
          <t>1변 900 MM</t>
        </is>
      </c>
      <c r="C1062" s="15" t="n">
        <v>4</v>
      </c>
      <c r="D1062" s="16" t="inlineStr">
        <is>
          <t>개</t>
        </is>
      </c>
      <c r="E1062" s="15" t="n">
        <v>86447</v>
      </c>
      <c r="F1062" s="15">
        <f>E1062*C1062</f>
        <v/>
      </c>
      <c r="G1062" s="15" t="n">
        <v>49118</v>
      </c>
      <c r="H1062" s="15">
        <f>G1062*C1062</f>
        <v/>
      </c>
      <c r="I1062" s="15" t="n">
        <v>0</v>
      </c>
      <c r="J1062" s="15">
        <f>I1062*C1062</f>
        <v/>
      </c>
      <c r="K1062" s="15">
        <f>E1062+G1062+I1062</f>
        <v/>
      </c>
      <c r="L1062" s="15">
        <f>F1062+H1062+J1062</f>
        <v/>
      </c>
      <c r="M1062" s="18" t="n"/>
    </row>
    <row r="1063">
      <c r="A1063" s="14" t="inlineStr">
        <is>
          <t>나). 교통안전표지판(오각)(횡단보도)</t>
        </is>
      </c>
      <c r="B1063" s="14" t="inlineStr">
        <is>
          <t>600×200×600mm, 횡단보도</t>
        </is>
      </c>
      <c r="C1063" s="15" t="n">
        <v>2</v>
      </c>
      <c r="D1063" s="16" t="inlineStr">
        <is>
          <t>개</t>
        </is>
      </c>
      <c r="E1063" s="15" t="n">
        <v>86448</v>
      </c>
      <c r="F1063" s="15">
        <f>E1063*C1063</f>
        <v/>
      </c>
      <c r="G1063" s="15" t="n">
        <v>49118</v>
      </c>
      <c r="H1063" s="15">
        <f>G1063*C1063</f>
        <v/>
      </c>
      <c r="I1063" s="15" t="n">
        <v>0</v>
      </c>
      <c r="J1063" s="15">
        <f>I1063*C1063</f>
        <v/>
      </c>
      <c r="K1063" s="15">
        <f>E1063+G1063+I1063</f>
        <v/>
      </c>
      <c r="L1063" s="15">
        <f>F1063+H1063+J1063</f>
        <v/>
      </c>
      <c r="M1063" s="18" t="n"/>
    </row>
    <row r="1064">
      <c r="A1064" s="14" t="inlineStr">
        <is>
          <t>다). 교통안전표지판(원형)</t>
        </is>
      </c>
      <c r="B1064" s="14" t="inlineStr">
        <is>
          <t>속도제한</t>
        </is>
      </c>
      <c r="C1064" s="15" t="n">
        <v>2</v>
      </c>
      <c r="D1064" s="16" t="inlineStr">
        <is>
          <t>개</t>
        </is>
      </c>
      <c r="E1064" s="15" t="n">
        <v>86448</v>
      </c>
      <c r="F1064" s="15">
        <f>E1064*C1064</f>
        <v/>
      </c>
      <c r="G1064" s="15" t="n">
        <v>49118</v>
      </c>
      <c r="H1064" s="15">
        <f>G1064*C1064</f>
        <v/>
      </c>
      <c r="I1064" s="15" t="n">
        <v>0</v>
      </c>
      <c r="J1064" s="15">
        <f>I1064*C1064</f>
        <v/>
      </c>
      <c r="K1064" s="15">
        <f>E1064+G1064+I1064</f>
        <v/>
      </c>
      <c r="L1064" s="15">
        <f>F1064+H1064+J1064</f>
        <v/>
      </c>
      <c r="M1064" s="18" t="n"/>
    </row>
    <row r="1065">
      <c r="A1065" s="28" t="inlineStr">
        <is>
          <t>2). 노면표시</t>
        </is>
      </c>
      <c r="B1065" s="28" t="n"/>
      <c r="C1065" s="17" t="n"/>
      <c r="D1065" s="16" t="n"/>
      <c r="E1065" s="17" t="n"/>
      <c r="F1065" s="29" t="n"/>
      <c r="G1065" s="17" t="n"/>
      <c r="H1065" s="29" t="n"/>
      <c r="I1065" s="17" t="n"/>
      <c r="J1065" s="29" t="n"/>
      <c r="K1065" s="17" t="n"/>
      <c r="L1065" s="29" t="n"/>
      <c r="M1065" s="18" t="n"/>
    </row>
    <row r="1066">
      <c r="A1066" s="14" t="inlineStr">
        <is>
          <t>가). 차선도색(페인트,기계식),신설구간</t>
        </is>
      </c>
      <c r="B1066" s="14" t="inlineStr">
        <is>
          <t>황색-실선</t>
        </is>
      </c>
      <c r="C1066" s="15" t="n">
        <v>149</v>
      </c>
      <c r="D1066" s="16" t="inlineStr">
        <is>
          <t>㎡</t>
        </is>
      </c>
      <c r="E1066" s="15" t="n">
        <v>6385</v>
      </c>
      <c r="F1066" s="15">
        <f>E1066*C1066</f>
        <v/>
      </c>
      <c r="G1066" s="15" t="n">
        <v>9332</v>
      </c>
      <c r="H1066" s="15">
        <f>G1066*C1066</f>
        <v/>
      </c>
      <c r="I1066" s="15" t="n">
        <v>2145</v>
      </c>
      <c r="J1066" s="15">
        <f>I1066*C1066</f>
        <v/>
      </c>
      <c r="K1066" s="15">
        <f>E1066+G1066+I1066</f>
        <v/>
      </c>
      <c r="L1066" s="15">
        <f>F1066+H1066+J1066</f>
        <v/>
      </c>
      <c r="M1066" s="18" t="n"/>
    </row>
    <row r="1067">
      <c r="A1067" s="14" t="inlineStr">
        <is>
          <t>나). 차선도색(페인트,기계식),신설구간</t>
        </is>
      </c>
      <c r="B1067" s="14" t="inlineStr">
        <is>
          <t>황색-파선</t>
        </is>
      </c>
      <c r="C1067" s="15" t="n">
        <v>2</v>
      </c>
      <c r="D1067" s="16" t="inlineStr">
        <is>
          <t>㎡</t>
        </is>
      </c>
      <c r="E1067" s="15" t="n">
        <v>6386</v>
      </c>
      <c r="F1067" s="15">
        <f>E1067*C1067</f>
        <v/>
      </c>
      <c r="G1067" s="15" t="n">
        <v>9333</v>
      </c>
      <c r="H1067" s="15">
        <f>G1067*C1067</f>
        <v/>
      </c>
      <c r="I1067" s="15" t="n">
        <v>2145</v>
      </c>
      <c r="J1067" s="15">
        <f>I1067*C1067</f>
        <v/>
      </c>
      <c r="K1067" s="15">
        <f>E1067+G1067+I1067</f>
        <v/>
      </c>
      <c r="L1067" s="15">
        <f>F1067+H1067+J1067</f>
        <v/>
      </c>
      <c r="M1067" s="18" t="n"/>
    </row>
    <row r="1068">
      <c r="A1068" s="14" t="inlineStr">
        <is>
          <t>다). 차선도색(융착식,수동식),신설구간</t>
        </is>
      </c>
      <c r="B1068" s="14" t="inlineStr">
        <is>
          <t>횡단보도,주차장</t>
        </is>
      </c>
      <c r="C1068" s="15" t="n">
        <v>59</v>
      </c>
      <c r="D1068" s="16" t="inlineStr">
        <is>
          <t>㎡</t>
        </is>
      </c>
      <c r="E1068" s="15" t="n">
        <v>6385</v>
      </c>
      <c r="F1068" s="15">
        <f>E1068*C1068</f>
        <v/>
      </c>
      <c r="G1068" s="15" t="n">
        <v>9332</v>
      </c>
      <c r="H1068" s="15">
        <f>G1068*C1068</f>
        <v/>
      </c>
      <c r="I1068" s="15" t="n">
        <v>2145</v>
      </c>
      <c r="J1068" s="15">
        <f>I1068*C1068</f>
        <v/>
      </c>
      <c r="K1068" s="15">
        <f>E1068+G1068+I1068</f>
        <v/>
      </c>
      <c r="L1068" s="15">
        <f>F1068+H1068+J1068</f>
        <v/>
      </c>
      <c r="M1068" s="18" t="n"/>
    </row>
    <row r="1069">
      <c r="A1069" s="14" t="inlineStr">
        <is>
          <t>라). 차선도색(융착식,수동식),신설구간</t>
        </is>
      </c>
      <c r="B1069" s="14" t="inlineStr">
        <is>
          <t>문자,기호</t>
        </is>
      </c>
      <c r="C1069" s="15" t="n">
        <v>7</v>
      </c>
      <c r="D1069" s="16" t="inlineStr">
        <is>
          <t>㎡</t>
        </is>
      </c>
      <c r="E1069" s="15" t="n">
        <v>6385</v>
      </c>
      <c r="F1069" s="15">
        <f>E1069*C1069</f>
        <v/>
      </c>
      <c r="G1069" s="15" t="n">
        <v>9332</v>
      </c>
      <c r="H1069" s="15">
        <f>G1069*C1069</f>
        <v/>
      </c>
      <c r="I1069" s="15" t="n">
        <v>2145</v>
      </c>
      <c r="J1069" s="15">
        <f>I1069*C1069</f>
        <v/>
      </c>
      <c r="K1069" s="15">
        <f>E1069+G1069+I1069</f>
        <v/>
      </c>
      <c r="L1069" s="15">
        <f>F1069+H1069+J1069</f>
        <v/>
      </c>
      <c r="M1069" s="18" t="n"/>
    </row>
    <row r="1070">
      <c r="A1070" s="14" t="inlineStr">
        <is>
          <t>마). 차선도색(차로밑그림),신설구간</t>
        </is>
      </c>
      <c r="B1070" s="14" t="inlineStr">
        <is>
          <t>실선</t>
        </is>
      </c>
      <c r="C1070" s="15" t="n">
        <v>149</v>
      </c>
      <c r="D1070" s="16" t="inlineStr">
        <is>
          <t>㎡</t>
        </is>
      </c>
      <c r="E1070" s="15" t="n">
        <v>6385</v>
      </c>
      <c r="F1070" s="15">
        <f>E1070*C1070</f>
        <v/>
      </c>
      <c r="G1070" s="15" t="n">
        <v>9332</v>
      </c>
      <c r="H1070" s="15">
        <f>G1070*C1070</f>
        <v/>
      </c>
      <c r="I1070" s="15" t="n">
        <v>2145</v>
      </c>
      <c r="J1070" s="15">
        <f>I1070*C1070</f>
        <v/>
      </c>
      <c r="K1070" s="15">
        <f>E1070+G1070+I1070</f>
        <v/>
      </c>
      <c r="L1070" s="15">
        <f>F1070+H1070+J1070</f>
        <v/>
      </c>
      <c r="M1070" s="18" t="n"/>
    </row>
    <row r="1071">
      <c r="A1071" s="14" t="inlineStr">
        <is>
          <t>바). 차선도색(차로밑그림),신설구간</t>
        </is>
      </c>
      <c r="B1071" s="14" t="inlineStr">
        <is>
          <t>파선</t>
        </is>
      </c>
      <c r="C1071" s="15" t="n">
        <v>2</v>
      </c>
      <c r="D1071" s="16" t="inlineStr">
        <is>
          <t>㎡</t>
        </is>
      </c>
      <c r="E1071" s="15" t="n">
        <v>6386</v>
      </c>
      <c r="F1071" s="15">
        <f>E1071*C1071</f>
        <v/>
      </c>
      <c r="G1071" s="15" t="n">
        <v>9333</v>
      </c>
      <c r="H1071" s="15">
        <f>G1071*C1071</f>
        <v/>
      </c>
      <c r="I1071" s="15" t="n">
        <v>2145</v>
      </c>
      <c r="J1071" s="15">
        <f>I1071*C1071</f>
        <v/>
      </c>
      <c r="K1071" s="15">
        <f>E1071+G1071+I1071</f>
        <v/>
      </c>
      <c r="L1071" s="15">
        <f>F1071+H1071+J1071</f>
        <v/>
      </c>
      <c r="M1071" s="18" t="n"/>
    </row>
    <row r="1072">
      <c r="A1072" s="14" t="inlineStr">
        <is>
          <t>사). 차선도색(차로밑그림),신설구간</t>
        </is>
      </c>
      <c r="B1072" s="14" t="inlineStr">
        <is>
          <t>횡단보도,주차장</t>
        </is>
      </c>
      <c r="C1072" s="15" t="n">
        <v>59</v>
      </c>
      <c r="D1072" s="16" t="inlineStr">
        <is>
          <t>㎡</t>
        </is>
      </c>
      <c r="E1072" s="15" t="n">
        <v>6385</v>
      </c>
      <c r="F1072" s="15">
        <f>E1072*C1072</f>
        <v/>
      </c>
      <c r="G1072" s="15" t="n">
        <v>9332</v>
      </c>
      <c r="H1072" s="15">
        <f>G1072*C1072</f>
        <v/>
      </c>
      <c r="I1072" s="15" t="n">
        <v>2145</v>
      </c>
      <c r="J1072" s="15">
        <f>I1072*C1072</f>
        <v/>
      </c>
      <c r="K1072" s="15">
        <f>E1072+G1072+I1072</f>
        <v/>
      </c>
      <c r="L1072" s="15">
        <f>F1072+H1072+J1072</f>
        <v/>
      </c>
      <c r="M1072" s="18" t="n"/>
    </row>
    <row r="1073">
      <c r="A1073" s="14" t="inlineStr">
        <is>
          <t>아). 차선도색(차로밑그림),신설구간</t>
        </is>
      </c>
      <c r="B1073" s="14" t="inlineStr">
        <is>
          <t>문자,기호</t>
        </is>
      </c>
      <c r="C1073" s="15" t="n">
        <v>7</v>
      </c>
      <c r="D1073" s="16" t="inlineStr">
        <is>
          <t>㎡</t>
        </is>
      </c>
      <c r="E1073" s="15" t="n">
        <v>6385</v>
      </c>
      <c r="F1073" s="15">
        <f>E1073*C1073</f>
        <v/>
      </c>
      <c r="G1073" s="15" t="n">
        <v>9332</v>
      </c>
      <c r="H1073" s="15">
        <f>G1073*C1073</f>
        <v/>
      </c>
      <c r="I1073" s="15" t="n">
        <v>2145</v>
      </c>
      <c r="J1073" s="15">
        <f>I1073*C1073</f>
        <v/>
      </c>
      <c r="K1073" s="15">
        <f>E1073+G1073+I1073</f>
        <v/>
      </c>
      <c r="L1073" s="15">
        <f>F1073+H1073+J1073</f>
        <v/>
      </c>
      <c r="M1073" s="18" t="n"/>
    </row>
    <row r="1074">
      <c r="A1074" s="28" t="inlineStr">
        <is>
          <t>3). 부대공</t>
        </is>
      </c>
      <c r="B1074" s="28" t="n"/>
      <c r="C1074" s="17" t="n"/>
      <c r="D1074" s="16" t="n"/>
      <c r="E1074" s="17" t="n"/>
      <c r="F1074" s="29" t="n"/>
      <c r="G1074" s="17" t="n"/>
      <c r="H1074" s="29" t="n"/>
      <c r="I1074" s="17" t="n"/>
      <c r="J1074" s="29" t="n"/>
      <c r="K1074" s="17" t="n"/>
      <c r="L1074" s="29" t="n"/>
      <c r="M1074" s="18" t="n"/>
    </row>
    <row r="1075">
      <c r="A1075" s="14" t="inlineStr">
        <is>
          <t>가). 도로표지병설치</t>
        </is>
      </c>
      <c r="B1075" s="14" t="inlineStr">
        <is>
          <t>양면</t>
        </is>
      </c>
      <c r="C1075" s="15" t="n">
        <v>36</v>
      </c>
      <c r="D1075" s="16" t="inlineStr">
        <is>
          <t>개</t>
        </is>
      </c>
      <c r="E1075" s="15" t="n">
        <v>63853</v>
      </c>
      <c r="F1075" s="15">
        <f>E1075*C1075</f>
        <v/>
      </c>
      <c r="G1075" s="15" t="n">
        <v>14735</v>
      </c>
      <c r="H1075" s="15">
        <f>G1075*C1075</f>
        <v/>
      </c>
      <c r="I1075" s="15" t="n">
        <v>0</v>
      </c>
      <c r="J1075" s="15">
        <f>I1075*C1075</f>
        <v/>
      </c>
      <c r="K1075" s="15">
        <f>E1075+G1075+I1075</f>
        <v/>
      </c>
      <c r="L1075" s="15">
        <f>F1075+H1075+J1075</f>
        <v/>
      </c>
      <c r="M1075" s="18" t="n"/>
    </row>
    <row r="1076">
      <c r="A1076" s="14" t="inlineStr">
        <is>
          <t>나). 도로반사경(1면)</t>
        </is>
      </c>
      <c r="B1076" s="14" t="inlineStr">
        <is>
          <t>Ø 800 mm, STS</t>
        </is>
      </c>
      <c r="C1076" s="15" t="n">
        <v>1</v>
      </c>
      <c r="D1076" s="16" t="inlineStr">
        <is>
          <t>개</t>
        </is>
      </c>
      <c r="E1076" s="15" t="n">
        <v>176824</v>
      </c>
      <c r="F1076" s="15">
        <f>E1076*C1076</f>
        <v/>
      </c>
      <c r="G1076" s="15" t="n">
        <v>51082</v>
      </c>
      <c r="H1076" s="15">
        <f>G1076*C1076</f>
        <v/>
      </c>
      <c r="I1076" s="15" t="n">
        <v>1</v>
      </c>
      <c r="J1076" s="15">
        <f>I1076*C1076</f>
        <v/>
      </c>
      <c r="K1076" s="15">
        <f>E1076+G1076+I1076</f>
        <v/>
      </c>
      <c r="L1076" s="15">
        <f>F1076+H1076+J1076</f>
        <v/>
      </c>
      <c r="M1076" s="18" t="n"/>
    </row>
    <row r="1077">
      <c r="A1077" s="14" t="inlineStr">
        <is>
          <t>다). 탄성볼라드</t>
        </is>
      </c>
      <c r="B1077" s="14" t="inlineStr">
        <is>
          <t>Ø130×1,050mm</t>
        </is>
      </c>
      <c r="C1077" s="15" t="n">
        <v>20</v>
      </c>
      <c r="D1077" s="16" t="inlineStr">
        <is>
          <t>개소</t>
        </is>
      </c>
      <c r="E1077" s="15" t="n">
        <v>314354</v>
      </c>
      <c r="F1077" s="15">
        <f>E1077*C1077</f>
        <v/>
      </c>
      <c r="G1077" s="15" t="n">
        <v>98236</v>
      </c>
      <c r="H1077" s="15">
        <f>G1077*C1077</f>
        <v/>
      </c>
      <c r="I1077" s="15" t="n">
        <v>53614</v>
      </c>
      <c r="J1077" s="15">
        <f>I1077*C1077</f>
        <v/>
      </c>
      <c r="K1077" s="15">
        <f>E1077+G1077+I1077</f>
        <v/>
      </c>
      <c r="L1077" s="15">
        <f>F1077+H1077+J1077</f>
        <v/>
      </c>
      <c r="M1077" s="18" t="n"/>
    </row>
    <row r="1078">
      <c r="A1078" s="14" t="inlineStr">
        <is>
          <t>라). 시멘트운반</t>
        </is>
      </c>
      <c r="B1078" s="14" t="inlineStr">
        <is>
          <t>L=30km이내</t>
        </is>
      </c>
      <c r="C1078" s="15" t="n">
        <v>21</v>
      </c>
      <c r="D1078" s="16" t="inlineStr">
        <is>
          <t>대</t>
        </is>
      </c>
      <c r="E1078" s="15" t="n">
        <v>0</v>
      </c>
      <c r="F1078" s="15">
        <f>E1078*C1078</f>
        <v/>
      </c>
      <c r="G1078" s="15" t="n">
        <v>0</v>
      </c>
      <c r="H1078" s="15">
        <f>G1078*C1078</f>
        <v/>
      </c>
      <c r="I1078" s="15" t="n">
        <v>1145</v>
      </c>
      <c r="J1078" s="15">
        <f>I1078*C1078</f>
        <v/>
      </c>
      <c r="K1078" s="15">
        <f>E1078+G1078+I1078</f>
        <v/>
      </c>
      <c r="L1078" s="15">
        <f>F1078+H1078+J1078</f>
        <v/>
      </c>
      <c r="M1078" s="18" t="n"/>
    </row>
    <row r="1079">
      <c r="A1079" s="28" t="inlineStr">
        <is>
          <t>4). 가드레일</t>
        </is>
      </c>
      <c r="B1079" s="28" t="n"/>
      <c r="C1079" s="17" t="n"/>
      <c r="D1079" s="16" t="n"/>
      <c r="E1079" s="17" t="n"/>
      <c r="F1079" s="29" t="n"/>
      <c r="G1079" s="17" t="n"/>
      <c r="H1079" s="29" t="n"/>
      <c r="I1079" s="17" t="n"/>
      <c r="J1079" s="29" t="n"/>
      <c r="K1079" s="17" t="n"/>
      <c r="L1079" s="29" t="n"/>
      <c r="M1079" s="18" t="n"/>
    </row>
    <row r="1080">
      <c r="A1080" s="14" t="inlineStr">
        <is>
          <t>가). 철제가드레일</t>
        </is>
      </c>
      <c r="B1080" s="14" t="inlineStr">
        <is>
          <t>W3000*H910</t>
        </is>
      </c>
      <c r="C1080" s="15" t="n">
        <v>63</v>
      </c>
      <c r="D1080" s="16" t="inlineStr">
        <is>
          <t>경간</t>
        </is>
      </c>
      <c r="E1080" s="15" t="n">
        <v>289795</v>
      </c>
      <c r="F1080" s="15">
        <f>E1080*C1080</f>
        <v/>
      </c>
      <c r="G1080" s="15" t="n">
        <v>54030</v>
      </c>
      <c r="H1080" s="15">
        <f>G1080*C1080</f>
        <v/>
      </c>
      <c r="I1080" s="15" t="n">
        <v>30560</v>
      </c>
      <c r="J1080" s="15">
        <f>I1080*C1080</f>
        <v/>
      </c>
      <c r="K1080" s="15">
        <f>E1080+G1080+I1080</f>
        <v/>
      </c>
      <c r="L1080" s="15">
        <f>F1080+H1080+J1080</f>
        <v/>
      </c>
      <c r="M1080" s="18" t="n"/>
    </row>
    <row r="1081">
      <c r="A1081" s="28" t="inlineStr">
        <is>
          <t>차. 주요자재 구입</t>
        </is>
      </c>
      <c r="B1081" s="28" t="n"/>
      <c r="C1081" s="17" t="n"/>
      <c r="D1081" s="16" t="n"/>
      <c r="E1081" s="17" t="n"/>
      <c r="F1081" s="29" t="n"/>
      <c r="G1081" s="17" t="n"/>
      <c r="H1081" s="29" t="n"/>
      <c r="I1081" s="17" t="n"/>
      <c r="J1081" s="29" t="n"/>
      <c r="K1081" s="17" t="n"/>
      <c r="L1081" s="29" t="n"/>
      <c r="M1081" s="18" t="n"/>
    </row>
    <row r="1082">
      <c r="A1082" s="14" t="inlineStr">
        <is>
          <t>1). 레미콘</t>
        </is>
      </c>
      <c r="B1082" s="14" t="inlineStr">
        <is>
          <t>25-21- 8(Mpa)</t>
        </is>
      </c>
      <c r="C1082" s="15" t="n">
        <v>66</v>
      </c>
      <c r="D1082" s="16" t="inlineStr">
        <is>
          <t>㎥</t>
        </is>
      </c>
      <c r="E1082" s="15" t="n">
        <v>92322</v>
      </c>
      <c r="F1082" s="15">
        <f>E1082*C1082</f>
        <v/>
      </c>
      <c r="G1082" s="15" t="n">
        <v>0</v>
      </c>
      <c r="H1082" s="15">
        <f>G1082*C1082</f>
        <v/>
      </c>
      <c r="I1082" s="15" t="n">
        <v>0</v>
      </c>
      <c r="J1082" s="15">
        <f>I1082*C1082</f>
        <v/>
      </c>
      <c r="K1082" s="15">
        <f>E1082+G1082+I1082</f>
        <v/>
      </c>
      <c r="L1082" s="15">
        <f>F1082+H1082+J1082</f>
        <v/>
      </c>
      <c r="M1082" s="18" t="n"/>
    </row>
    <row r="1083">
      <c r="A1083" s="14" t="inlineStr">
        <is>
          <t>2). 레미콘</t>
        </is>
      </c>
      <c r="B1083" s="14" t="inlineStr">
        <is>
          <t>25-18- 8(Mpa)</t>
        </is>
      </c>
      <c r="C1083" s="15" t="n">
        <v>46</v>
      </c>
      <c r="D1083" s="16" t="inlineStr">
        <is>
          <t>㎥</t>
        </is>
      </c>
      <c r="E1083" s="15" t="n">
        <v>90434</v>
      </c>
      <c r="F1083" s="15">
        <f>E1083*C1083</f>
        <v/>
      </c>
      <c r="G1083" s="15" t="n">
        <v>0</v>
      </c>
      <c r="H1083" s="15">
        <f>G1083*C1083</f>
        <v/>
      </c>
      <c r="I1083" s="15" t="n">
        <v>0</v>
      </c>
      <c r="J1083" s="15">
        <f>I1083*C1083</f>
        <v/>
      </c>
      <c r="K1083" s="15">
        <f>E1083+G1083+I1083</f>
        <v/>
      </c>
      <c r="L1083" s="15">
        <f>F1083+H1083+J1083</f>
        <v/>
      </c>
      <c r="M1083" s="18" t="n"/>
    </row>
    <row r="1084">
      <c r="A1084" s="14" t="inlineStr">
        <is>
          <t>3). 보통시멘트</t>
        </is>
      </c>
      <c r="B1084" s="14" t="inlineStr">
        <is>
          <t>40kg/대 (포장품)</t>
        </is>
      </c>
      <c r="C1084" s="15" t="n">
        <v>5</v>
      </c>
      <c r="D1084" s="16" t="inlineStr">
        <is>
          <t>대</t>
        </is>
      </c>
      <c r="E1084" s="15" t="n">
        <v>6190</v>
      </c>
      <c r="F1084" s="15">
        <f>E1084*C1084</f>
        <v/>
      </c>
      <c r="G1084" s="15" t="n">
        <v>0</v>
      </c>
      <c r="H1084" s="15">
        <f>G1084*C1084</f>
        <v/>
      </c>
      <c r="I1084" s="15" t="n">
        <v>0</v>
      </c>
      <c r="J1084" s="15">
        <f>I1084*C1084</f>
        <v/>
      </c>
      <c r="K1084" s="15">
        <f>E1084+G1084+I1084</f>
        <v/>
      </c>
      <c r="L1084" s="15">
        <f>F1084+H1084+J1084</f>
        <v/>
      </c>
      <c r="M1084" s="18" t="n"/>
    </row>
    <row r="1085">
      <c r="A1085" s="14" t="inlineStr">
        <is>
          <t>4). 모래</t>
        </is>
      </c>
      <c r="B1085" s="14" t="inlineStr">
        <is>
          <t>강모래, 현장도착도</t>
        </is>
      </c>
      <c r="C1085" s="15" t="n">
        <v>42</v>
      </c>
      <c r="D1085" s="16" t="inlineStr">
        <is>
          <t>㎥</t>
        </is>
      </c>
      <c r="E1085" s="15" t="n">
        <v>25541</v>
      </c>
      <c r="F1085" s="15">
        <f>E1085*C1085</f>
        <v/>
      </c>
      <c r="G1085" s="15" t="n">
        <v>0</v>
      </c>
      <c r="H1085" s="15">
        <f>G1085*C1085</f>
        <v/>
      </c>
      <c r="I1085" s="15" t="n">
        <v>0</v>
      </c>
      <c r="J1085" s="15">
        <f>I1085*C1085</f>
        <v/>
      </c>
      <c r="K1085" s="15">
        <f>E1085+G1085+I1085</f>
        <v/>
      </c>
      <c r="L1085" s="15">
        <f>F1085+H1085+J1085</f>
        <v/>
      </c>
      <c r="M1085" s="18" t="n"/>
    </row>
    <row r="1086">
      <c r="A1086" s="14" t="inlineStr">
        <is>
          <t>5). 혼합골재(보조기층용)</t>
        </is>
      </c>
      <c r="B1086" s="14" t="inlineStr">
        <is>
          <t>Φ40mm, 현장도착도</t>
        </is>
      </c>
      <c r="C1086" s="15" t="n">
        <v>1004</v>
      </c>
      <c r="D1086" s="16" t="inlineStr">
        <is>
          <t>㎥</t>
        </is>
      </c>
      <c r="E1086" s="15" t="n">
        <v>17682</v>
      </c>
      <c r="F1086" s="15">
        <f>E1086*C1086</f>
        <v/>
      </c>
      <c r="G1086" s="15" t="n">
        <v>0</v>
      </c>
      <c r="H1086" s="15">
        <f>G1086*C1086</f>
        <v/>
      </c>
      <c r="I1086" s="15" t="n">
        <v>0</v>
      </c>
      <c r="J1086" s="15">
        <f>I1086*C1086</f>
        <v/>
      </c>
      <c r="K1086" s="15">
        <f>E1086+G1086+I1086</f>
        <v/>
      </c>
      <c r="L1086" s="15">
        <f>F1086+H1086+J1086</f>
        <v/>
      </c>
      <c r="M1086" s="18" t="n"/>
    </row>
    <row r="1087">
      <c r="A1087" s="14" t="inlineStr">
        <is>
          <t>6). 아스팔트(유제)</t>
        </is>
      </c>
      <c r="B1087" s="14" t="inlineStr">
        <is>
          <t>RS(C)-3 (200ℓ)</t>
        </is>
      </c>
      <c r="C1087" s="15" t="n">
        <v>9</v>
      </c>
      <c r="D1087" s="16" t="inlineStr">
        <is>
          <t>D/M</t>
        </is>
      </c>
      <c r="E1087" s="15" t="n">
        <v>265236</v>
      </c>
      <c r="F1087" s="15">
        <f>E1087*C1087</f>
        <v/>
      </c>
      <c r="G1087" s="15" t="n">
        <v>0</v>
      </c>
      <c r="H1087" s="15">
        <f>G1087*C1087</f>
        <v/>
      </c>
      <c r="I1087" s="15" t="n">
        <v>0</v>
      </c>
      <c r="J1087" s="15">
        <f>I1087*C1087</f>
        <v/>
      </c>
      <c r="K1087" s="15">
        <f>E1087+G1087+I1087</f>
        <v/>
      </c>
      <c r="L1087" s="15">
        <f>F1087+H1087+J1087</f>
        <v/>
      </c>
      <c r="M1087" s="18" t="n"/>
    </row>
    <row r="1088">
      <c r="A1088" s="14" t="inlineStr">
        <is>
          <t>7). 아스팔트(유제)</t>
        </is>
      </c>
      <c r="B1088" s="14" t="inlineStr">
        <is>
          <t>RS(C)-4 (200ℓ)</t>
        </is>
      </c>
      <c r="C1088" s="15" t="n">
        <v>8</v>
      </c>
      <c r="D1088" s="16" t="inlineStr">
        <is>
          <t>D/M</t>
        </is>
      </c>
      <c r="E1088" s="15" t="n">
        <v>265236</v>
      </c>
      <c r="F1088" s="15">
        <f>E1088*C1088</f>
        <v/>
      </c>
      <c r="G1088" s="15" t="n">
        <v>0</v>
      </c>
      <c r="H1088" s="15">
        <f>G1088*C1088</f>
        <v/>
      </c>
      <c r="I1088" s="15" t="n">
        <v>0</v>
      </c>
      <c r="J1088" s="15">
        <f>I1088*C1088</f>
        <v/>
      </c>
      <c r="K1088" s="15">
        <f>E1088+G1088+I1088</f>
        <v/>
      </c>
      <c r="L1088" s="15">
        <f>F1088+H1088+J1088</f>
        <v/>
      </c>
      <c r="M1088" s="18" t="n"/>
    </row>
    <row r="1089">
      <c r="A1089" s="14" t="inlineStr">
        <is>
          <t>8). 아스팔트콘크리트</t>
        </is>
      </c>
      <c r="B1089" s="14" t="inlineStr">
        <is>
          <t>#78  표층용</t>
        </is>
      </c>
      <c r="C1089" s="15" t="n">
        <v>339</v>
      </c>
      <c r="D1089" s="16" t="inlineStr">
        <is>
          <t>Ton</t>
        </is>
      </c>
      <c r="E1089" s="15" t="n">
        <v>105961</v>
      </c>
      <c r="F1089" s="15">
        <f>E1089*C1089</f>
        <v/>
      </c>
      <c r="G1089" s="15" t="n">
        <v>0</v>
      </c>
      <c r="H1089" s="15">
        <f>G1089*C1089</f>
        <v/>
      </c>
      <c r="I1089" s="15" t="n">
        <v>0</v>
      </c>
      <c r="J1089" s="15">
        <f>I1089*C1089</f>
        <v/>
      </c>
      <c r="K1089" s="15">
        <f>E1089+G1089+I1089</f>
        <v/>
      </c>
      <c r="L1089" s="15">
        <f>F1089+H1089+J1089</f>
        <v/>
      </c>
      <c r="M1089" s="18" t="n"/>
    </row>
    <row r="1090">
      <c r="A1090" s="14" t="inlineStr">
        <is>
          <t>9). 아스팔트콘크리트</t>
        </is>
      </c>
      <c r="B1090" s="14" t="inlineStr">
        <is>
          <t>#67  중간층용</t>
        </is>
      </c>
      <c r="C1090" s="15" t="n">
        <v>339</v>
      </c>
      <c r="D1090" s="16" t="inlineStr">
        <is>
          <t>Ton</t>
        </is>
      </c>
      <c r="E1090" s="15" t="n">
        <v>99666</v>
      </c>
      <c r="F1090" s="15">
        <f>E1090*C1090</f>
        <v/>
      </c>
      <c r="G1090" s="15" t="n">
        <v>0</v>
      </c>
      <c r="H1090" s="15">
        <f>G1090*C1090</f>
        <v/>
      </c>
      <c r="I1090" s="15" t="n">
        <v>0</v>
      </c>
      <c r="J1090" s="15">
        <f>I1090*C1090</f>
        <v/>
      </c>
      <c r="K1090" s="15">
        <f>E1090+G1090+I1090</f>
        <v/>
      </c>
      <c r="L1090" s="15">
        <f>F1090+H1090+J1090</f>
        <v/>
      </c>
      <c r="M1090" s="18" t="n"/>
    </row>
    <row r="1091">
      <c r="A1091" s="14" t="inlineStr">
        <is>
          <t>10). 아스팔트콘크리트</t>
        </is>
      </c>
      <c r="B1091" s="14" t="inlineStr">
        <is>
          <t>#467 기층용</t>
        </is>
      </c>
      <c r="C1091" s="15" t="n">
        <v>774</v>
      </c>
      <c r="D1091" s="16" t="inlineStr">
        <is>
          <t>Ton</t>
        </is>
      </c>
      <c r="E1091" s="15" t="n">
        <v>95470</v>
      </c>
      <c r="F1091" s="15">
        <f>E1091*C1091</f>
        <v/>
      </c>
      <c r="G1091" s="15" t="n">
        <v>0</v>
      </c>
      <c r="H1091" s="15">
        <f>G1091*C1091</f>
        <v/>
      </c>
      <c r="I1091" s="15" t="n">
        <v>0</v>
      </c>
      <c r="J1091" s="15">
        <f>I1091*C1091</f>
        <v/>
      </c>
      <c r="K1091" s="15">
        <f>E1091+G1091+I1091</f>
        <v/>
      </c>
      <c r="L1091" s="15">
        <f>F1091+H1091+J1091</f>
        <v/>
      </c>
      <c r="M1091" s="18" t="n"/>
    </row>
    <row r="1092">
      <c r="A1092" s="14" t="inlineStr">
        <is>
          <t>11). 보차도경계석(화강석)</t>
        </is>
      </c>
      <c r="B1092" s="14" t="inlineStr">
        <is>
          <t>180x200x1000㎜ (직선)</t>
        </is>
      </c>
      <c r="C1092" s="15" t="n">
        <v>642</v>
      </c>
      <c r="D1092" s="16" t="inlineStr">
        <is>
          <t>ea</t>
        </is>
      </c>
      <c r="E1092" s="15" t="n">
        <v>17682</v>
      </c>
      <c r="F1092" s="15">
        <f>E1092*C1092</f>
        <v/>
      </c>
      <c r="G1092" s="15" t="n">
        <v>0</v>
      </c>
      <c r="H1092" s="15">
        <f>G1092*C1092</f>
        <v/>
      </c>
      <c r="I1092" s="15" t="n">
        <v>0</v>
      </c>
      <c r="J1092" s="15">
        <f>I1092*C1092</f>
        <v/>
      </c>
      <c r="K1092" s="15">
        <f>E1092+G1092+I1092</f>
        <v/>
      </c>
      <c r="L1092" s="15">
        <f>F1092+H1092+J1092</f>
        <v/>
      </c>
      <c r="M1092" s="18" t="n"/>
    </row>
    <row r="1093">
      <c r="A1093" s="14" t="inlineStr">
        <is>
          <t>12). 횡단보도경계석(화강석)(경사)</t>
        </is>
      </c>
      <c r="B1093" s="14" t="inlineStr">
        <is>
          <t>180x200∼100x1000㎜ (곡선경사)</t>
        </is>
      </c>
      <c r="C1093" s="15" t="n">
        <v>11</v>
      </c>
      <c r="D1093" s="16" t="inlineStr">
        <is>
          <t>ea</t>
        </is>
      </c>
      <c r="E1093" s="15" t="n">
        <v>26524</v>
      </c>
      <c r="F1093" s="15">
        <f>E1093*C1093</f>
        <v/>
      </c>
      <c r="G1093" s="15" t="n">
        <v>0</v>
      </c>
      <c r="H1093" s="15">
        <f>G1093*C1093</f>
        <v/>
      </c>
      <c r="I1093" s="15" t="n">
        <v>0</v>
      </c>
      <c r="J1093" s="15">
        <f>I1093*C1093</f>
        <v/>
      </c>
      <c r="K1093" s="15">
        <f>E1093+G1093+I1093</f>
        <v/>
      </c>
      <c r="L1093" s="15">
        <f>F1093+H1093+J1093</f>
        <v/>
      </c>
      <c r="M1093" s="18" t="n"/>
    </row>
    <row r="1094">
      <c r="A1094" s="14" t="inlineStr">
        <is>
          <t>13). 횡단보도경계석(화강석)(낮춤)</t>
        </is>
      </c>
      <c r="B1094" s="14" t="inlineStr">
        <is>
          <t>180x100x1000㎜ (곡선)</t>
        </is>
      </c>
      <c r="C1094" s="15" t="n">
        <v>30</v>
      </c>
      <c r="D1094" s="16" t="inlineStr">
        <is>
          <t>ea</t>
        </is>
      </c>
      <c r="E1094" s="15" t="n">
        <v>28488</v>
      </c>
      <c r="F1094" s="15">
        <f>E1094*C1094</f>
        <v/>
      </c>
      <c r="G1094" s="15" t="n">
        <v>0</v>
      </c>
      <c r="H1094" s="15">
        <f>G1094*C1094</f>
        <v/>
      </c>
      <c r="I1094" s="15" t="n">
        <v>0</v>
      </c>
      <c r="J1094" s="15">
        <f>I1094*C1094</f>
        <v/>
      </c>
      <c r="K1094" s="15">
        <f>E1094+G1094+I1094</f>
        <v/>
      </c>
      <c r="L1094" s="15">
        <f>F1094+H1094+J1094</f>
        <v/>
      </c>
      <c r="M1094" s="18" t="n"/>
    </row>
    <row r="1095">
      <c r="A1095" s="14" t="inlineStr">
        <is>
          <t>14). 도로경계석(화강석)</t>
        </is>
      </c>
      <c r="B1095" s="14" t="inlineStr">
        <is>
          <t>120x120x1000㎜ (직선), 국산</t>
        </is>
      </c>
      <c r="C1095" s="15" t="n">
        <v>397</v>
      </c>
      <c r="D1095" s="16" t="inlineStr">
        <is>
          <t>ea</t>
        </is>
      </c>
      <c r="E1095" s="15" t="n">
        <v>8350</v>
      </c>
      <c r="F1095" s="15">
        <f>E1095*C1095</f>
        <v/>
      </c>
      <c r="G1095" s="15" t="n">
        <v>0</v>
      </c>
      <c r="H1095" s="15">
        <f>G1095*C1095</f>
        <v/>
      </c>
      <c r="I1095" s="15" t="n">
        <v>0</v>
      </c>
      <c r="J1095" s="15">
        <f>I1095*C1095</f>
        <v/>
      </c>
      <c r="K1095" s="15">
        <f>E1095+G1095+I1095</f>
        <v/>
      </c>
      <c r="L1095" s="15">
        <f>F1095+H1095+J1095</f>
        <v/>
      </c>
      <c r="M1095" s="18" t="n"/>
    </row>
    <row r="1096">
      <c r="A1096" s="14" t="inlineStr">
        <is>
          <t>15). 보도블록(인조화강)</t>
        </is>
      </c>
      <c r="B1096" s="14" t="inlineStr">
        <is>
          <t>200x200x60, 투수</t>
        </is>
      </c>
      <c r="C1096" s="15" t="n">
        <v>865</v>
      </c>
      <c r="D1096" s="16" t="inlineStr">
        <is>
          <t>㎡</t>
        </is>
      </c>
      <c r="E1096" s="15" t="n">
        <v>12378</v>
      </c>
      <c r="F1096" s="15">
        <f>E1096*C1096</f>
        <v/>
      </c>
      <c r="G1096" s="15" t="n">
        <v>0</v>
      </c>
      <c r="H1096" s="15">
        <f>G1096*C1096</f>
        <v/>
      </c>
      <c r="I1096" s="15" t="n">
        <v>0</v>
      </c>
      <c r="J1096" s="15">
        <f>I1096*C1096</f>
        <v/>
      </c>
      <c r="K1096" s="15">
        <f>E1096+G1096+I1096</f>
        <v/>
      </c>
      <c r="L1096" s="15">
        <f>F1096+H1096+J1096</f>
        <v/>
      </c>
      <c r="M1096" s="18" t="n"/>
    </row>
    <row r="1097">
      <c r="A1097" s="14" t="inlineStr">
        <is>
          <t>16). 장애인용보도 선형블록</t>
        </is>
      </c>
      <c r="B1097" s="14" t="inlineStr">
        <is>
          <t>300x300x60, 고강도, 논슬립</t>
        </is>
      </c>
      <c r="C1097" s="15" t="n">
        <v>190</v>
      </c>
      <c r="D1097" s="16" t="inlineStr">
        <is>
          <t>ea</t>
        </is>
      </c>
      <c r="E1097" s="15" t="n">
        <v>3733</v>
      </c>
      <c r="F1097" s="15">
        <f>E1097*C1097</f>
        <v/>
      </c>
      <c r="G1097" s="15" t="n">
        <v>0</v>
      </c>
      <c r="H1097" s="15">
        <f>G1097*C1097</f>
        <v/>
      </c>
      <c r="I1097" s="15" t="n">
        <v>0</v>
      </c>
      <c r="J1097" s="15">
        <f>I1097*C1097</f>
        <v/>
      </c>
      <c r="K1097" s="15">
        <f>E1097+G1097+I1097</f>
        <v/>
      </c>
      <c r="L1097" s="15">
        <f>F1097+H1097+J1097</f>
        <v/>
      </c>
      <c r="M1097" s="18" t="n"/>
    </row>
    <row r="1098">
      <c r="A1098" s="14" t="inlineStr">
        <is>
          <t>17). 장애인용보도 점형블록</t>
        </is>
      </c>
      <c r="B1098" s="14" t="inlineStr">
        <is>
          <t>300x300x60, 고강도, 논슬립</t>
        </is>
      </c>
      <c r="C1098" s="15" t="n">
        <v>11</v>
      </c>
      <c r="D1098" s="16" t="inlineStr">
        <is>
          <t>ea</t>
        </is>
      </c>
      <c r="E1098" s="15" t="n">
        <v>3733</v>
      </c>
      <c r="F1098" s="15">
        <f>E1098*C1098</f>
        <v/>
      </c>
      <c r="G1098" s="15" t="n">
        <v>0</v>
      </c>
      <c r="H1098" s="15">
        <f>G1098*C1098</f>
        <v/>
      </c>
      <c r="I1098" s="15" t="n">
        <v>0</v>
      </c>
      <c r="J1098" s="15">
        <f>I1098*C1098</f>
        <v/>
      </c>
      <c r="K1098" s="15">
        <f>E1098+G1098+I1098</f>
        <v/>
      </c>
      <c r="L1098" s="15">
        <f>F1098+H1098+J1098</f>
        <v/>
      </c>
      <c r="M1098" s="18" t="n"/>
    </row>
    <row r="1099">
      <c r="A1099" s="25" t="inlineStr">
        <is>
          <t>5. 구조물공</t>
        </is>
      </c>
      <c r="B1099" s="26" t="n"/>
      <c r="C1099" s="21" t="n"/>
      <c r="D1099" s="22" t="n"/>
      <c r="E1099" s="21" t="n"/>
      <c r="F1099" s="27" t="n"/>
      <c r="G1099" s="21" t="n"/>
      <c r="H1099" s="27" t="n"/>
      <c r="I1099" s="21" t="n"/>
      <c r="J1099" s="27" t="n"/>
      <c r="K1099" s="21" t="n"/>
      <c r="L1099" s="27" t="n"/>
      <c r="M1099" s="24" t="n"/>
    </row>
    <row r="1100">
      <c r="A1100" s="28" t="inlineStr">
        <is>
          <t>가. RC옹벽(L형옹벽)</t>
        </is>
      </c>
      <c r="B1100" s="28" t="n"/>
      <c r="C1100" s="17" t="n"/>
      <c r="D1100" s="16" t="n"/>
      <c r="E1100" s="17" t="n"/>
      <c r="F1100" s="29" t="n"/>
      <c r="G1100" s="17" t="n"/>
      <c r="H1100" s="29" t="n"/>
      <c r="I1100" s="17" t="n"/>
      <c r="J1100" s="29" t="n"/>
      <c r="K1100" s="17" t="n"/>
      <c r="L1100" s="29" t="n"/>
      <c r="M1100" s="18" t="n"/>
    </row>
    <row r="1101">
      <c r="A1101" s="14" t="inlineStr">
        <is>
          <t>1). 콘크리트타설</t>
        </is>
      </c>
      <c r="B1101" s="14" t="inlineStr">
        <is>
          <t>장비사용, 철근구조물</t>
        </is>
      </c>
      <c r="C1101" s="15" t="n">
        <v>247</v>
      </c>
      <c r="D1101" s="16" t="inlineStr">
        <is>
          <t>㎥</t>
        </is>
      </c>
      <c r="E1101" s="15" t="n">
        <v>0</v>
      </c>
      <c r="F1101" s="15">
        <f>E1101*C1101</f>
        <v/>
      </c>
      <c r="G1101" s="15" t="n">
        <v>12451</v>
      </c>
      <c r="H1101" s="15">
        <f>G1101*C1101</f>
        <v/>
      </c>
      <c r="I1101" s="15" t="n">
        <v>11941</v>
      </c>
      <c r="J1101" s="15">
        <f>I1101*C1101</f>
        <v/>
      </c>
      <c r="K1101" s="15">
        <f>E1101+G1101+I1101</f>
        <v/>
      </c>
      <c r="L1101" s="15">
        <f>F1101+H1101+J1101</f>
        <v/>
      </c>
      <c r="M1101" s="18" t="n"/>
    </row>
    <row r="1102">
      <c r="A1102" s="14" t="inlineStr">
        <is>
          <t>2). 콘크리트타설</t>
        </is>
      </c>
      <c r="B1102" s="14" t="inlineStr">
        <is>
          <t>장비사용, 무근구조물</t>
        </is>
      </c>
      <c r="C1102" s="15" t="n">
        <v>36</v>
      </c>
      <c r="D1102" s="16" t="inlineStr">
        <is>
          <t>㎥</t>
        </is>
      </c>
      <c r="E1102" s="15" t="n">
        <v>0</v>
      </c>
      <c r="F1102" s="15">
        <f>E1102*C1102</f>
        <v/>
      </c>
      <c r="G1102" s="15" t="n">
        <v>11562</v>
      </c>
      <c r="H1102" s="15">
        <f>G1102*C1102</f>
        <v/>
      </c>
      <c r="I1102" s="15" t="n">
        <v>10678</v>
      </c>
      <c r="J1102" s="15">
        <f>I1102*C1102</f>
        <v/>
      </c>
      <c r="K1102" s="15">
        <f>E1102+G1102+I1102</f>
        <v/>
      </c>
      <c r="L1102" s="15">
        <f>F1102+H1102+J1102</f>
        <v/>
      </c>
      <c r="M1102" s="18" t="n"/>
    </row>
    <row r="1103">
      <c r="A1103" s="14" t="inlineStr">
        <is>
          <t>3). 철근가공조립(현장)</t>
        </is>
      </c>
      <c r="B1103" s="14" t="inlineStr">
        <is>
          <t>TYPE-1-1</t>
        </is>
      </c>
      <c r="C1103" s="61" t="n">
        <v>22.33</v>
      </c>
      <c r="D1103" s="16" t="inlineStr">
        <is>
          <t>ton</t>
        </is>
      </c>
      <c r="E1103" s="15" t="n">
        <v>75595</v>
      </c>
      <c r="F1103" s="15">
        <f>E1103*C1103</f>
        <v/>
      </c>
      <c r="G1103" s="15" t="n">
        <v>480253</v>
      </c>
      <c r="H1103" s="15">
        <f>G1103*C1103</f>
        <v/>
      </c>
      <c r="I1103" s="15" t="n">
        <v>92222</v>
      </c>
      <c r="J1103" s="15">
        <f>I1103*C1103</f>
        <v/>
      </c>
      <c r="K1103" s="15">
        <f>E1103+G1103+I1103</f>
        <v/>
      </c>
      <c r="L1103" s="15">
        <f>F1103+H1103+J1103</f>
        <v/>
      </c>
      <c r="M1103" s="18" t="n"/>
    </row>
    <row r="1104">
      <c r="A1104" s="14" t="inlineStr">
        <is>
          <t>4). 문양거푸집</t>
        </is>
      </c>
      <c r="B1104" s="14" t="inlineStr">
        <is>
          <t>판넬</t>
        </is>
      </c>
      <c r="C1104" s="15" t="n">
        <v>370</v>
      </c>
      <c r="D1104" s="16" t="inlineStr">
        <is>
          <t>㎡</t>
        </is>
      </c>
      <c r="E1104" s="15" t="n">
        <v>5781</v>
      </c>
      <c r="F1104" s="15">
        <f>E1104*C1104</f>
        <v/>
      </c>
      <c r="G1104" s="15" t="n">
        <v>13340</v>
      </c>
      <c r="H1104" s="15">
        <f>G1104*C1104</f>
        <v/>
      </c>
      <c r="I1104" s="15" t="n">
        <v>1942</v>
      </c>
      <c r="J1104" s="15">
        <f>I1104*C1104</f>
        <v/>
      </c>
      <c r="K1104" s="15">
        <f>E1104+G1104+I1104</f>
        <v/>
      </c>
      <c r="L1104" s="15">
        <f>F1104+H1104+J1104</f>
        <v/>
      </c>
      <c r="M1104" s="18" t="n"/>
    </row>
    <row r="1105">
      <c r="A1105" s="14" t="inlineStr">
        <is>
          <t>5). 거푸집</t>
        </is>
      </c>
      <c r="B1105" s="14" t="inlineStr">
        <is>
          <t>합판4회(보통)</t>
        </is>
      </c>
      <c r="C1105" s="15" t="n">
        <v>727</v>
      </c>
      <c r="D1105" s="16" t="inlineStr">
        <is>
          <t>㎡</t>
        </is>
      </c>
      <c r="E1105" s="15" t="n">
        <v>8449</v>
      </c>
      <c r="F1105" s="15">
        <f>E1105*C1105</f>
        <v/>
      </c>
      <c r="G1105" s="15" t="n">
        <v>28459</v>
      </c>
      <c r="H1105" s="15">
        <f>G1105*C1105</f>
        <v/>
      </c>
      <c r="I1105" s="15" t="n">
        <v>1456</v>
      </c>
      <c r="J1105" s="15">
        <f>I1105*C1105</f>
        <v/>
      </c>
      <c r="K1105" s="15">
        <f>E1105+G1105+I1105</f>
        <v/>
      </c>
      <c r="L1105" s="15">
        <f>F1105+H1105+J1105</f>
        <v/>
      </c>
      <c r="M1105" s="18" t="n"/>
    </row>
    <row r="1106">
      <c r="A1106" s="14" t="inlineStr">
        <is>
          <t>6). 거푸집</t>
        </is>
      </c>
      <c r="B1106" s="14" t="inlineStr">
        <is>
          <t>합판6회(간단)</t>
        </is>
      </c>
      <c r="C1106" s="15" t="n">
        <v>35</v>
      </c>
      <c r="D1106" s="16" t="inlineStr">
        <is>
          <t>㎡</t>
        </is>
      </c>
      <c r="E1106" s="15" t="n">
        <v>6670</v>
      </c>
      <c r="F1106" s="15">
        <f>E1106*C1106</f>
        <v/>
      </c>
      <c r="G1106" s="15" t="n">
        <v>24902</v>
      </c>
      <c r="H1106" s="15">
        <f>G1106*C1106</f>
        <v/>
      </c>
      <c r="I1106" s="15" t="n">
        <v>1456</v>
      </c>
      <c r="J1106" s="15">
        <f>I1106*C1106</f>
        <v/>
      </c>
      <c r="K1106" s="15">
        <f>E1106+G1106+I1106</f>
        <v/>
      </c>
      <c r="L1106" s="15">
        <f>F1106+H1106+J1106</f>
        <v/>
      </c>
      <c r="M1106" s="18" t="n"/>
    </row>
    <row r="1107">
      <c r="A1107" s="14" t="inlineStr">
        <is>
          <t>7). 강관비계</t>
        </is>
      </c>
      <c r="B1107" s="14" t="inlineStr">
        <is>
          <t>10m이하-3개월사용</t>
        </is>
      </c>
      <c r="C1107" s="15" t="n">
        <v>281</v>
      </c>
      <c r="D1107" s="16" t="inlineStr">
        <is>
          <t>㎡</t>
        </is>
      </c>
      <c r="E1107" s="15" t="n">
        <v>6670</v>
      </c>
      <c r="F1107" s="15">
        <f>E1107*C1107</f>
        <v/>
      </c>
      <c r="G1107" s="15" t="n">
        <v>13340</v>
      </c>
      <c r="H1107" s="15">
        <f>G1107*C1107</f>
        <v/>
      </c>
      <c r="I1107" s="15" t="n">
        <v>1942</v>
      </c>
      <c r="J1107" s="15">
        <f>I1107*C1107</f>
        <v/>
      </c>
      <c r="K1107" s="15">
        <f>E1107+G1107+I1107</f>
        <v/>
      </c>
      <c r="L1107" s="15">
        <f>F1107+H1107+J1107</f>
        <v/>
      </c>
      <c r="M1107" s="18" t="n"/>
    </row>
    <row r="1108">
      <c r="A1108" s="14" t="inlineStr">
        <is>
          <t>8). 스페이셔설치</t>
        </is>
      </c>
      <c r="B1108" s="14" t="inlineStr">
        <is>
          <t>수직</t>
        </is>
      </c>
      <c r="C1108" s="15" t="n">
        <v>2802</v>
      </c>
      <c r="D1108" s="16" t="inlineStr">
        <is>
          <t>㎡</t>
        </is>
      </c>
      <c r="E1108" s="15" t="n">
        <v>445</v>
      </c>
      <c r="F1108" s="15">
        <f>E1108*C1108</f>
        <v/>
      </c>
      <c r="G1108" s="15" t="n">
        <v>889</v>
      </c>
      <c r="H1108" s="15">
        <f>G1108*C1108</f>
        <v/>
      </c>
      <c r="I1108" s="15" t="n">
        <v>0</v>
      </c>
      <c r="J1108" s="15">
        <f>I1108*C1108</f>
        <v/>
      </c>
      <c r="K1108" s="15">
        <f>E1108+G1108+I1108</f>
        <v/>
      </c>
      <c r="L1108" s="15">
        <f>F1108+H1108+J1108</f>
        <v/>
      </c>
      <c r="M1108" s="18" t="n"/>
    </row>
    <row r="1109">
      <c r="A1109" s="14" t="inlineStr">
        <is>
          <t>9). 스페이셔설치</t>
        </is>
      </c>
      <c r="B1109" s="14" t="inlineStr">
        <is>
          <t>수평</t>
        </is>
      </c>
      <c r="C1109" s="15" t="n">
        <v>2000</v>
      </c>
      <c r="D1109" s="16" t="inlineStr">
        <is>
          <t>㎡</t>
        </is>
      </c>
      <c r="E1109" s="15" t="n">
        <v>445</v>
      </c>
      <c r="F1109" s="15">
        <f>E1109*C1109</f>
        <v/>
      </c>
      <c r="G1109" s="15" t="n">
        <v>889</v>
      </c>
      <c r="H1109" s="15">
        <f>G1109*C1109</f>
        <v/>
      </c>
      <c r="I1109" s="15" t="n">
        <v>0</v>
      </c>
      <c r="J1109" s="15">
        <f>I1109*C1109</f>
        <v/>
      </c>
      <c r="K1109" s="15">
        <f>E1109+G1109+I1109</f>
        <v/>
      </c>
      <c r="L1109" s="15">
        <f>F1109+H1109+J1109</f>
        <v/>
      </c>
      <c r="M1109" s="18" t="n"/>
    </row>
    <row r="1110">
      <c r="A1110" s="14" t="inlineStr">
        <is>
          <t>10). PVC관 부설 및 접합</t>
        </is>
      </c>
      <c r="B1110" s="14" t="inlineStr">
        <is>
          <t>Ø 100 MM - VG2 일반관</t>
        </is>
      </c>
      <c r="C1110" s="15" t="n">
        <v>23</v>
      </c>
      <c r="D1110" s="16" t="inlineStr">
        <is>
          <t>m</t>
        </is>
      </c>
      <c r="E1110" s="15" t="n">
        <v>8894</v>
      </c>
      <c r="F1110" s="15">
        <f>E1110*C1110</f>
        <v/>
      </c>
      <c r="G1110" s="15" t="n">
        <v>4625</v>
      </c>
      <c r="H1110" s="15">
        <f>G1110*C1110</f>
        <v/>
      </c>
      <c r="I1110" s="15" t="n">
        <v>0</v>
      </c>
      <c r="J1110" s="15">
        <f>I1110*C1110</f>
        <v/>
      </c>
      <c r="K1110" s="15">
        <f>E1110+G1110+I1110</f>
        <v/>
      </c>
      <c r="L1110" s="15">
        <f>F1110+H1110+J1110</f>
        <v/>
      </c>
      <c r="M1110" s="18" t="n"/>
    </row>
    <row r="1111">
      <c r="A1111" s="14" t="inlineStr">
        <is>
          <t>11). 드레인보드 설치</t>
        </is>
      </c>
      <c r="B1111" s="14" t="inlineStr">
        <is>
          <t>옹벽 배수용</t>
        </is>
      </c>
      <c r="C1111" s="15" t="n">
        <v>254</v>
      </c>
      <c r="D1111" s="16" t="inlineStr">
        <is>
          <t>㎡</t>
        </is>
      </c>
      <c r="E1111" s="15" t="n">
        <v>3059</v>
      </c>
      <c r="F1111" s="15">
        <f>E1111*C1111</f>
        <v/>
      </c>
      <c r="G1111" s="15" t="n">
        <v>7560</v>
      </c>
      <c r="H1111" s="15">
        <f>G1111*C1111</f>
        <v/>
      </c>
      <c r="I1111" s="15" t="n">
        <v>291</v>
      </c>
      <c r="J1111" s="15">
        <f>I1111*C1111</f>
        <v/>
      </c>
      <c r="K1111" s="15">
        <f>E1111+G1111+I1111</f>
        <v/>
      </c>
      <c r="L1111" s="15">
        <f>F1111+H1111+J1111</f>
        <v/>
      </c>
      <c r="M1111" s="18" t="n"/>
    </row>
    <row r="1112">
      <c r="A1112" s="14" t="inlineStr">
        <is>
          <t>12). 부직포설치</t>
        </is>
      </c>
      <c r="B1112" s="14" t="n"/>
      <c r="C1112" s="15" t="n">
        <v>254</v>
      </c>
      <c r="D1112" s="16" t="inlineStr">
        <is>
          <t>㎡</t>
        </is>
      </c>
      <c r="E1112" s="15" t="n">
        <v>1023</v>
      </c>
      <c r="F1112" s="15">
        <f>E1112*C1112</f>
        <v/>
      </c>
      <c r="G1112" s="15" t="n">
        <v>889</v>
      </c>
      <c r="H1112" s="15">
        <f>G1112*C1112</f>
        <v/>
      </c>
      <c r="I1112" s="15" t="n">
        <v>485</v>
      </c>
      <c r="J1112" s="15">
        <f>I1112*C1112</f>
        <v/>
      </c>
      <c r="K1112" s="15">
        <f>E1112+G1112+I1112</f>
        <v/>
      </c>
      <c r="L1112" s="15">
        <f>F1112+H1112+J1112</f>
        <v/>
      </c>
      <c r="M1112" s="18" t="n"/>
    </row>
    <row r="1113">
      <c r="A1113" s="14" t="inlineStr">
        <is>
          <t>13). 신축이음(Joint filler)</t>
        </is>
      </c>
      <c r="B1113" s="14" t="inlineStr">
        <is>
          <t>t=20mm</t>
        </is>
      </c>
      <c r="C1113" s="15" t="n">
        <v>39</v>
      </c>
      <c r="D1113" s="16" t="inlineStr">
        <is>
          <t>㎡</t>
        </is>
      </c>
      <c r="E1113" s="15" t="n">
        <v>8004</v>
      </c>
      <c r="F1113" s="15">
        <f>E1113*C1113</f>
        <v/>
      </c>
      <c r="G1113" s="15" t="n">
        <v>10672</v>
      </c>
      <c r="H1113" s="15">
        <f>G1113*C1113</f>
        <v/>
      </c>
      <c r="I1113" s="15" t="n">
        <v>0</v>
      </c>
      <c r="J1113" s="15">
        <f>I1113*C1113</f>
        <v/>
      </c>
      <c r="K1113" s="15">
        <f>E1113+G1113+I1113</f>
        <v/>
      </c>
      <c r="L1113" s="15">
        <f>F1113+H1113+J1113</f>
        <v/>
      </c>
      <c r="M1113" s="18" t="n"/>
    </row>
    <row r="1114">
      <c r="A1114" s="14" t="inlineStr">
        <is>
          <t>14). DOWEL BAR(옹벽용)</t>
        </is>
      </c>
      <c r="B1114" s="14" t="inlineStr">
        <is>
          <t>Ø32×800(기성품)</t>
        </is>
      </c>
      <c r="C1114" s="15" t="n">
        <v>795</v>
      </c>
      <c r="D1114" s="16" t="inlineStr">
        <is>
          <t>ea</t>
        </is>
      </c>
      <c r="E1114" s="15" t="n">
        <v>12273</v>
      </c>
      <c r="F1114" s="15">
        <f>E1114*C1114</f>
        <v/>
      </c>
      <c r="G1114" s="15" t="n">
        <v>4732</v>
      </c>
      <c r="H1114" s="15">
        <f>G1114*C1114</f>
        <v/>
      </c>
      <c r="I1114" s="15" t="n">
        <v>0</v>
      </c>
      <c r="J1114" s="15">
        <f>I1114*C1114</f>
        <v/>
      </c>
      <c r="K1114" s="15">
        <f>E1114+G1114+I1114</f>
        <v/>
      </c>
      <c r="L1114" s="15">
        <f>F1114+H1114+J1114</f>
        <v/>
      </c>
      <c r="M1114" s="18" t="n"/>
    </row>
    <row r="1115">
      <c r="A1115" s="14" t="inlineStr">
        <is>
          <t>15). 실링마감(실런트)</t>
        </is>
      </c>
      <c r="B1115" s="14" t="inlineStr">
        <is>
          <t>20×25</t>
        </is>
      </c>
      <c r="C1115" s="15" t="n">
        <v>322</v>
      </c>
      <c r="D1115" s="16" t="inlineStr">
        <is>
          <t>m</t>
        </is>
      </c>
      <c r="E1115" s="15" t="n">
        <v>1779</v>
      </c>
      <c r="F1115" s="15">
        <f>E1115*C1115</f>
        <v/>
      </c>
      <c r="G1115" s="15" t="n">
        <v>4447</v>
      </c>
      <c r="H1115" s="15">
        <f>G1115*C1115</f>
        <v/>
      </c>
      <c r="I1115" s="15" t="n">
        <v>0</v>
      </c>
      <c r="J1115" s="15">
        <f>I1115*C1115</f>
        <v/>
      </c>
      <c r="K1115" s="15">
        <f>E1115+G1115+I1115</f>
        <v/>
      </c>
      <c r="L1115" s="15">
        <f>F1115+H1115+J1115</f>
        <v/>
      </c>
      <c r="M1115" s="18" t="n"/>
    </row>
    <row r="1116">
      <c r="A1116" s="14" t="inlineStr">
        <is>
          <t>16). 기초지정</t>
        </is>
      </c>
      <c r="B1116" s="14" t="inlineStr">
        <is>
          <t>잡석지정, 재료비 제외</t>
        </is>
      </c>
      <c r="C1116" s="15" t="n">
        <v>70</v>
      </c>
      <c r="D1116" s="16" t="inlineStr">
        <is>
          <t>㎥</t>
        </is>
      </c>
      <c r="E1116" s="15" t="n">
        <v>0</v>
      </c>
      <c r="F1116" s="15">
        <f>E1116*C1116</f>
        <v/>
      </c>
      <c r="G1116" s="15" t="n">
        <v>1779</v>
      </c>
      <c r="H1116" s="15">
        <f>G1116*C1116</f>
        <v/>
      </c>
      <c r="I1116" s="15" t="n">
        <v>3786</v>
      </c>
      <c r="J1116" s="15">
        <f>I1116*C1116</f>
        <v/>
      </c>
      <c r="K1116" s="15">
        <f>E1116+G1116+I1116</f>
        <v/>
      </c>
      <c r="L1116" s="15">
        <f>F1116+H1116+J1116</f>
        <v/>
      </c>
      <c r="M1116" s="18" t="n"/>
    </row>
    <row r="1117">
      <c r="A1117" s="28" t="inlineStr">
        <is>
          <t>17). 부대공</t>
        </is>
      </c>
      <c r="B1117" s="28" t="n"/>
      <c r="C1117" s="17" t="n"/>
      <c r="D1117" s="16" t="n"/>
      <c r="E1117" s="17" t="n"/>
      <c r="F1117" s="29" t="n"/>
      <c r="G1117" s="17" t="n"/>
      <c r="H1117" s="29" t="n"/>
      <c r="I1117" s="17" t="n"/>
      <c r="J1117" s="29" t="n"/>
      <c r="K1117" s="17" t="n"/>
      <c r="L1117" s="29" t="n"/>
      <c r="M1117" s="18" t="n"/>
    </row>
    <row r="1118">
      <c r="A1118" s="14" t="inlineStr">
        <is>
          <t>가). 철근운반비</t>
        </is>
      </c>
      <c r="B1118" s="14" t="inlineStr">
        <is>
          <t>L=10km이내</t>
        </is>
      </c>
      <c r="C1118" s="15" t="n">
        <v>23</v>
      </c>
      <c r="D1118" s="16" t="inlineStr">
        <is>
          <t>Ton</t>
        </is>
      </c>
      <c r="E1118" s="15" t="n">
        <v>0</v>
      </c>
      <c r="F1118" s="15">
        <f>E1118*C1118</f>
        <v/>
      </c>
      <c r="G1118" s="15" t="n">
        <v>0</v>
      </c>
      <c r="H1118" s="15">
        <f>G1118*C1118</f>
        <v/>
      </c>
      <c r="I1118" s="15" t="n">
        <v>19415</v>
      </c>
      <c r="J1118" s="15">
        <f>I1118*C1118</f>
        <v/>
      </c>
      <c r="K1118" s="15">
        <f>E1118+G1118+I1118</f>
        <v/>
      </c>
      <c r="L1118" s="15">
        <f>F1118+H1118+J1118</f>
        <v/>
      </c>
      <c r="M1118" s="18" t="n"/>
    </row>
    <row r="1119">
      <c r="A1119" s="14" t="inlineStr">
        <is>
          <t>나). 고철(고재)</t>
        </is>
      </c>
      <c r="B1119" s="14" t="inlineStr">
        <is>
          <t>중량A</t>
        </is>
      </c>
      <c r="C1119" s="61" t="n">
        <v>0.469</v>
      </c>
      <c r="D1119" s="16" t="inlineStr">
        <is>
          <t>Ton</t>
        </is>
      </c>
      <c r="E1119" s="15" t="n">
        <v>-379919</v>
      </c>
      <c r="F1119" s="15">
        <f>E1119*C1119</f>
        <v/>
      </c>
      <c r="G1119" s="15" t="n">
        <v>0</v>
      </c>
      <c r="H1119" s="15">
        <f>G1119*C1119</f>
        <v/>
      </c>
      <c r="I1119" s="15" t="n">
        <v>0</v>
      </c>
      <c r="J1119" s="15">
        <f>I1119*C1119</f>
        <v/>
      </c>
      <c r="K1119" s="15">
        <f>E1119+G1119+I1119</f>
        <v/>
      </c>
      <c r="L1119" s="15">
        <f>F1119+H1119+J1119</f>
        <v/>
      </c>
      <c r="M1119" s="18" t="n"/>
    </row>
    <row r="1120">
      <c r="A1120" s="28" t="inlineStr">
        <is>
          <t>18). 주요자재</t>
        </is>
      </c>
      <c r="B1120" s="28" t="n"/>
      <c r="C1120" s="17" t="n"/>
      <c r="D1120" s="16" t="n"/>
      <c r="E1120" s="17" t="n"/>
      <c r="F1120" s="29" t="n"/>
      <c r="G1120" s="17" t="n"/>
      <c r="H1120" s="29" t="n"/>
      <c r="I1120" s="17" t="n"/>
      <c r="J1120" s="29" t="n"/>
      <c r="K1120" s="17" t="n"/>
      <c r="L1120" s="29" t="n"/>
      <c r="M1120" s="18" t="n"/>
    </row>
    <row r="1121">
      <c r="A1121" s="14" t="inlineStr">
        <is>
          <t>가). 레미콘</t>
        </is>
      </c>
      <c r="B1121" s="14" t="inlineStr">
        <is>
          <t>25-24-12(Mpa)</t>
        </is>
      </c>
      <c r="C1121" s="15" t="n">
        <v>250</v>
      </c>
      <c r="D1121" s="16" t="inlineStr">
        <is>
          <t>㎥</t>
        </is>
      </c>
      <c r="E1121" s="15" t="n">
        <v>89756</v>
      </c>
      <c r="F1121" s="15">
        <f>E1121*C1121</f>
        <v/>
      </c>
      <c r="G1121" s="15" t="n">
        <v>0</v>
      </c>
      <c r="H1121" s="15">
        <f>G1121*C1121</f>
        <v/>
      </c>
      <c r="I1121" s="15" t="n">
        <v>0</v>
      </c>
      <c r="J1121" s="15">
        <f>I1121*C1121</f>
        <v/>
      </c>
      <c r="K1121" s="15">
        <f>E1121+G1121+I1121</f>
        <v/>
      </c>
      <c r="L1121" s="15">
        <f>F1121+H1121+J1121</f>
        <v/>
      </c>
      <c r="M1121" s="18" t="n"/>
    </row>
    <row r="1122">
      <c r="A1122" s="14" t="inlineStr">
        <is>
          <t>나). 레미콘</t>
        </is>
      </c>
      <c r="B1122" s="14" t="inlineStr">
        <is>
          <t>25-21-8(Mpa)</t>
        </is>
      </c>
      <c r="C1122" s="15" t="n">
        <v>36</v>
      </c>
      <c r="D1122" s="16" t="inlineStr">
        <is>
          <t>㎥</t>
        </is>
      </c>
      <c r="E1122" s="15" t="n">
        <v>83582</v>
      </c>
      <c r="F1122" s="15">
        <f>E1122*C1122</f>
        <v/>
      </c>
      <c r="G1122" s="15" t="n">
        <v>0</v>
      </c>
      <c r="H1122" s="15">
        <f>G1122*C1122</f>
        <v/>
      </c>
      <c r="I1122" s="15" t="n">
        <v>0</v>
      </c>
      <c r="J1122" s="15">
        <f>I1122*C1122</f>
        <v/>
      </c>
      <c r="K1122" s="15">
        <f>E1122+G1122+I1122</f>
        <v/>
      </c>
      <c r="L1122" s="15">
        <f>F1122+H1122+J1122</f>
        <v/>
      </c>
      <c r="M1122" s="18" t="n"/>
    </row>
    <row r="1123">
      <c r="A1123" s="14" t="inlineStr">
        <is>
          <t>다). 잡석</t>
        </is>
      </c>
      <c r="B1123" s="14" t="inlineStr">
        <is>
          <t>Φ80mm이하, 현장도착도</t>
        </is>
      </c>
      <c r="C1123" s="15" t="n">
        <v>73</v>
      </c>
      <c r="D1123" s="16" t="inlineStr">
        <is>
          <t>㎥</t>
        </is>
      </c>
      <c r="E1123" s="15" t="n">
        <v>16008</v>
      </c>
      <c r="F1123" s="15">
        <f>E1123*C1123</f>
        <v/>
      </c>
      <c r="G1123" s="15" t="n">
        <v>0</v>
      </c>
      <c r="H1123" s="15">
        <f>G1123*C1123</f>
        <v/>
      </c>
      <c r="I1123" s="15" t="n">
        <v>0</v>
      </c>
      <c r="J1123" s="15">
        <f>I1123*C1123</f>
        <v/>
      </c>
      <c r="K1123" s="15">
        <f>E1123+G1123+I1123</f>
        <v/>
      </c>
      <c r="L1123" s="15">
        <f>F1123+H1123+J1123</f>
        <v/>
      </c>
      <c r="M1123" s="18" t="n"/>
    </row>
    <row r="1124">
      <c r="A1124" s="14" t="inlineStr">
        <is>
          <t>라). 이형철근(고장력철근)</t>
        </is>
      </c>
      <c r="B1124" s="14" t="inlineStr">
        <is>
          <t>HD13M/M 0.995KG/M  SD40</t>
        </is>
      </c>
      <c r="C1124" s="15" t="n">
        <v>23</v>
      </c>
      <c r="D1124" s="16" t="inlineStr">
        <is>
          <t>TON</t>
        </is>
      </c>
      <c r="E1124" s="15" t="n">
        <v>845370</v>
      </c>
      <c r="F1124" s="15">
        <f>E1124*C1124</f>
        <v/>
      </c>
      <c r="G1124" s="15" t="n">
        <v>0</v>
      </c>
      <c r="H1124" s="15">
        <f>G1124*C1124</f>
        <v/>
      </c>
      <c r="I1124" s="15" t="n">
        <v>0</v>
      </c>
      <c r="J1124" s="15">
        <f>I1124*C1124</f>
        <v/>
      </c>
      <c r="K1124" s="15">
        <f>E1124+G1124+I1124</f>
        <v/>
      </c>
      <c r="L1124" s="15">
        <f>F1124+H1124+J1124</f>
        <v/>
      </c>
      <c r="M1124" s="18" t="n"/>
    </row>
    <row r="1125">
      <c r="A1125" s="14" t="inlineStr">
        <is>
          <t>마). 이형철근(고장력철근)</t>
        </is>
      </c>
      <c r="B1125" s="14" t="inlineStr">
        <is>
          <t>HD16M/M 1.560KG/M  SD40</t>
        </is>
      </c>
      <c r="C1125" s="15" t="n">
        <v>0</v>
      </c>
      <c r="D1125" s="16" t="inlineStr">
        <is>
          <t>TON</t>
        </is>
      </c>
      <c r="E1125" s="17" t="n"/>
      <c r="F1125" s="15" t="n">
        <v>0</v>
      </c>
      <c r="G1125" s="17" t="n"/>
      <c r="H1125" s="15" t="n">
        <v>0</v>
      </c>
      <c r="I1125" s="17" t="n"/>
      <c r="J1125" s="15" t="n">
        <v>0</v>
      </c>
      <c r="K1125" s="17" t="n"/>
      <c r="L1125" s="15" t="n">
        <v>0</v>
      </c>
      <c r="M1125" s="18" t="n"/>
    </row>
    <row r="1126">
      <c r="A1126" s="14" t="inlineStr">
        <is>
          <t>바). 이형철근(고장력철근)</t>
        </is>
      </c>
      <c r="B1126" s="14" t="inlineStr">
        <is>
          <t>HD19M/M 2.250KG/M  SD40</t>
        </is>
      </c>
      <c r="C1126" s="15" t="n">
        <v>0</v>
      </c>
      <c r="D1126" s="16" t="inlineStr">
        <is>
          <t>TON</t>
        </is>
      </c>
      <c r="E1126" s="17" t="n"/>
      <c r="F1126" s="15" t="n">
        <v>0</v>
      </c>
      <c r="G1126" s="17" t="n"/>
      <c r="H1126" s="15" t="n">
        <v>0</v>
      </c>
      <c r="I1126" s="17" t="n"/>
      <c r="J1126" s="15" t="n">
        <v>0</v>
      </c>
      <c r="K1126" s="17" t="n"/>
      <c r="L1126" s="15" t="n">
        <v>0</v>
      </c>
      <c r="M1126" s="18" t="n"/>
    </row>
    <row r="1127">
      <c r="A1127" s="14" t="inlineStr">
        <is>
          <t>사). 이형철근(고장력철근)</t>
        </is>
      </c>
      <c r="B1127" s="14" t="inlineStr">
        <is>
          <t>HD22M/M 3.040KG/M  SD40</t>
        </is>
      </c>
      <c r="C1127" s="15" t="n">
        <v>0</v>
      </c>
      <c r="D1127" s="16" t="inlineStr">
        <is>
          <t>TON</t>
        </is>
      </c>
      <c r="E1127" s="17" t="n"/>
      <c r="F1127" s="15" t="n">
        <v>0</v>
      </c>
      <c r="G1127" s="17" t="n"/>
      <c r="H1127" s="15" t="n">
        <v>0</v>
      </c>
      <c r="I1127" s="17" t="n"/>
      <c r="J1127" s="15" t="n">
        <v>0</v>
      </c>
      <c r="K1127" s="17" t="n"/>
      <c r="L1127" s="15" t="n">
        <v>0</v>
      </c>
      <c r="M1127" s="18" t="n"/>
    </row>
    <row r="1128">
      <c r="A1128" s="25" t="inlineStr">
        <is>
          <t>6. 부 대 공</t>
        </is>
      </c>
      <c r="B1128" s="26" t="n"/>
      <c r="C1128" s="21" t="n"/>
      <c r="D1128" s="22" t="n"/>
      <c r="E1128" s="21" t="n"/>
      <c r="F1128" s="27" t="n"/>
      <c r="G1128" s="21" t="n"/>
      <c r="H1128" s="27" t="n"/>
      <c r="I1128" s="21" t="n"/>
      <c r="J1128" s="27" t="n"/>
      <c r="K1128" s="21" t="n"/>
      <c r="L1128" s="27" t="n"/>
      <c r="M1128" s="24" t="n"/>
    </row>
    <row r="1129">
      <c r="A1129" s="28" t="inlineStr">
        <is>
          <t>가. 토공</t>
        </is>
      </c>
      <c r="B1129" s="28" t="n"/>
      <c r="C1129" s="17" t="n"/>
      <c r="D1129" s="16" t="n"/>
      <c r="E1129" s="17" t="n"/>
      <c r="F1129" s="29" t="n"/>
      <c r="G1129" s="17" t="n"/>
      <c r="H1129" s="29" t="n"/>
      <c r="I1129" s="17" t="n"/>
      <c r="J1129" s="29" t="n"/>
      <c r="K1129" s="17" t="n"/>
      <c r="L1129" s="29" t="n"/>
      <c r="M1129" s="18" t="n"/>
    </row>
    <row r="1130">
      <c r="A1130" s="28" t="inlineStr">
        <is>
          <t>1). 터파기</t>
        </is>
      </c>
      <c r="B1130" s="28" t="n"/>
      <c r="C1130" s="17" t="n"/>
      <c r="D1130" s="16" t="n"/>
      <c r="E1130" s="17" t="n"/>
      <c r="F1130" s="29" t="n"/>
      <c r="G1130" s="17" t="n"/>
      <c r="H1130" s="29" t="n"/>
      <c r="I1130" s="17" t="n"/>
      <c r="J1130" s="29" t="n"/>
      <c r="K1130" s="17" t="n"/>
      <c r="L1130" s="29" t="n"/>
      <c r="M1130" s="18" t="n"/>
    </row>
    <row r="1131">
      <c r="A1131" s="14" t="inlineStr">
        <is>
          <t>가). 터파기(토사)</t>
        </is>
      </c>
      <c r="B1131" s="14" t="inlineStr">
        <is>
          <t>인력100%</t>
        </is>
      </c>
      <c r="C1131" s="15" t="n">
        <v>19</v>
      </c>
      <c r="D1131" s="16" t="inlineStr">
        <is>
          <t>㎥</t>
        </is>
      </c>
      <c r="E1131" s="15" t="n">
        <v>0</v>
      </c>
      <c r="F1131" s="15">
        <f>E1131*C1131</f>
        <v/>
      </c>
      <c r="G1131" s="15" t="n">
        <v>40225</v>
      </c>
      <c r="H1131" s="15">
        <f>G1131*C1131</f>
        <v/>
      </c>
      <c r="I1131" s="15" t="n">
        <v>11708</v>
      </c>
      <c r="J1131" s="15">
        <f>I1131*C1131</f>
        <v/>
      </c>
      <c r="K1131" s="15">
        <f>E1131+G1131+I1131</f>
        <v/>
      </c>
      <c r="L1131" s="15">
        <f>F1131+H1131+J1131</f>
        <v/>
      </c>
      <c r="M1131" s="18" t="n"/>
    </row>
    <row r="1132">
      <c r="A1132" s="28" t="inlineStr">
        <is>
          <t>2). 되메우기</t>
        </is>
      </c>
      <c r="B1132" s="28" t="n"/>
      <c r="C1132" s="17" t="n"/>
      <c r="D1132" s="16" t="n"/>
      <c r="E1132" s="17" t="n"/>
      <c r="F1132" s="29" t="n"/>
      <c r="G1132" s="17" t="n"/>
      <c r="H1132" s="29" t="n"/>
      <c r="I1132" s="17" t="n"/>
      <c r="J1132" s="29" t="n"/>
      <c r="K1132" s="17" t="n"/>
      <c r="L1132" s="29" t="n"/>
      <c r="M1132" s="18" t="n"/>
    </row>
    <row r="1133">
      <c r="A1133" s="14" t="inlineStr">
        <is>
          <t>가). 되메우기및다짐</t>
        </is>
      </c>
      <c r="B1133" s="14" t="inlineStr">
        <is>
          <t>인력100%</t>
        </is>
      </c>
      <c r="C1133" s="15" t="n">
        <v>14</v>
      </c>
      <c r="D1133" s="16" t="inlineStr">
        <is>
          <t>㎥</t>
        </is>
      </c>
      <c r="E1133" s="15" t="n">
        <v>0</v>
      </c>
      <c r="F1133" s="15">
        <f>E1133*C1133</f>
        <v/>
      </c>
      <c r="G1133" s="15" t="n">
        <v>35755</v>
      </c>
      <c r="H1133" s="15">
        <f>G1133*C1133</f>
        <v/>
      </c>
      <c r="I1133" s="15" t="n">
        <v>11708</v>
      </c>
      <c r="J1133" s="15">
        <f>I1133*C1133</f>
        <v/>
      </c>
      <c r="K1133" s="15">
        <f>E1133+G1133+I1133</f>
        <v/>
      </c>
      <c r="L1133" s="15">
        <f>F1133+H1133+J1133</f>
        <v/>
      </c>
      <c r="M1133" s="18" t="n"/>
    </row>
    <row r="1134">
      <c r="A1134" s="28" t="inlineStr">
        <is>
          <t>3). 잔토처리</t>
        </is>
      </c>
      <c r="B1134" s="28" t="n"/>
      <c r="C1134" s="17" t="n"/>
      <c r="D1134" s="16" t="n"/>
      <c r="E1134" s="17" t="n"/>
      <c r="F1134" s="29" t="n"/>
      <c r="G1134" s="17" t="n"/>
      <c r="H1134" s="29" t="n"/>
      <c r="I1134" s="17" t="n"/>
      <c r="J1134" s="29" t="n"/>
      <c r="K1134" s="17" t="n"/>
      <c r="L1134" s="29" t="n"/>
      <c r="M1134" s="18" t="n"/>
    </row>
    <row r="1135">
      <c r="A1135" s="14" t="inlineStr">
        <is>
          <t>가). 잔토처리(토사)</t>
        </is>
      </c>
      <c r="B1135" s="14" t="inlineStr">
        <is>
          <t>기계100%</t>
        </is>
      </c>
      <c r="C1135" s="15" t="n">
        <v>5</v>
      </c>
      <c r="D1135" s="16" t="inlineStr">
        <is>
          <t>㎥</t>
        </is>
      </c>
      <c r="E1135" s="15" t="n">
        <v>0</v>
      </c>
      <c r="F1135" s="15">
        <f>E1135*C1135</f>
        <v/>
      </c>
      <c r="G1135" s="15" t="n">
        <v>0</v>
      </c>
      <c r="H1135" s="15">
        <f>G1135*C1135</f>
        <v/>
      </c>
      <c r="I1135" s="15" t="n">
        <v>9757</v>
      </c>
      <c r="J1135" s="15">
        <f>I1135*C1135</f>
        <v/>
      </c>
      <c r="K1135" s="15">
        <f>E1135+G1135+I1135</f>
        <v/>
      </c>
      <c r="L1135" s="15">
        <f>F1135+H1135+J1135</f>
        <v/>
      </c>
      <c r="M1135" s="18" t="n"/>
    </row>
    <row r="1136">
      <c r="A1136" s="28" t="inlineStr">
        <is>
          <t>나. 중기운반</t>
        </is>
      </c>
      <c r="B1136" s="28" t="n"/>
      <c r="C1136" s="17" t="n"/>
      <c r="D1136" s="16" t="n"/>
      <c r="E1136" s="17" t="n"/>
      <c r="F1136" s="29" t="n"/>
      <c r="G1136" s="17" t="n"/>
      <c r="H1136" s="29" t="n"/>
      <c r="I1136" s="17" t="n"/>
      <c r="J1136" s="29" t="n"/>
      <c r="K1136" s="17" t="n"/>
      <c r="L1136" s="29" t="n"/>
      <c r="M1136" s="18" t="n"/>
    </row>
    <row r="1137">
      <c r="A1137" s="14" t="inlineStr">
        <is>
          <t>1). 안전관리계획작성 및 검토비</t>
        </is>
      </c>
      <c r="B1137" s="14" t="n"/>
      <c r="C1137" s="15" t="n">
        <v>1</v>
      </c>
      <c r="D1137" s="16" t="inlineStr">
        <is>
          <t>P.S</t>
        </is>
      </c>
      <c r="E1137" s="15" t="n">
        <v>0</v>
      </c>
      <c r="F1137" s="15">
        <f>E1137*C1137</f>
        <v/>
      </c>
      <c r="G1137" s="15" t="n">
        <v>0</v>
      </c>
      <c r="H1137" s="15">
        <f>G1137*C1137</f>
        <v/>
      </c>
      <c r="I1137" s="15" t="n">
        <v>0</v>
      </c>
      <c r="J1137" s="15">
        <f>I1137*C1137</f>
        <v/>
      </c>
      <c r="K1137" s="15">
        <f>E1137+G1137+I1137</f>
        <v/>
      </c>
      <c r="L1137" s="15">
        <f>F1137+H1137+J1137</f>
        <v/>
      </c>
      <c r="M1137" s="18" t="n"/>
    </row>
    <row r="1138">
      <c r="A1138" s="14" t="inlineStr">
        <is>
          <t>2). 안전점검비</t>
        </is>
      </c>
      <c r="B1138" s="14" t="n"/>
      <c r="C1138" s="15" t="n">
        <v>1</v>
      </c>
      <c r="D1138" s="16" t="inlineStr">
        <is>
          <t>P.S</t>
        </is>
      </c>
      <c r="E1138" s="15" t="n">
        <v>0</v>
      </c>
      <c r="F1138" s="15">
        <f>E1138*C1138</f>
        <v/>
      </c>
      <c r="G1138" s="15" t="n">
        <v>0</v>
      </c>
      <c r="H1138" s="15">
        <f>G1138*C1138</f>
        <v/>
      </c>
      <c r="I1138" s="15" t="n">
        <v>0</v>
      </c>
      <c r="J1138" s="15">
        <f>I1138*C1138</f>
        <v/>
      </c>
      <c r="K1138" s="15">
        <f>E1138+G1138+I1138</f>
        <v/>
      </c>
      <c r="L1138" s="15">
        <f>F1138+H1138+J1138</f>
        <v/>
      </c>
      <c r="M1138" s="18" t="n"/>
    </row>
    <row r="1139">
      <c r="A1139" s="14" t="inlineStr">
        <is>
          <t>1). 품질시험</t>
        </is>
      </c>
      <c r="B1139" s="14" t="n"/>
      <c r="C1139" s="15" t="n">
        <v>1</v>
      </c>
      <c r="D1139" s="16" t="inlineStr">
        <is>
          <t>sum</t>
        </is>
      </c>
      <c r="E1139" s="15" t="n">
        <v>0</v>
      </c>
      <c r="F1139" s="15">
        <f>E1139*C1139</f>
        <v/>
      </c>
      <c r="G1139" s="15" t="n">
        <v>0</v>
      </c>
      <c r="H1139" s="15">
        <f>G1139*C1139</f>
        <v/>
      </c>
      <c r="I1139" s="15" t="n">
        <v>0</v>
      </c>
      <c r="J1139" s="15">
        <f>I1139*C1139</f>
        <v/>
      </c>
      <c r="K1139" s="15">
        <f>E1139+G1139+I1139</f>
        <v/>
      </c>
      <c r="L1139" s="15">
        <f>F1139+H1139+J1139</f>
        <v/>
      </c>
      <c r="M1139" s="18" t="n"/>
    </row>
    <row r="1140">
      <c r="A1140" s="28" t="n"/>
      <c r="B1140" s="28" t="n"/>
      <c r="C1140" s="17" t="n"/>
      <c r="D1140" s="16" t="n"/>
      <c r="E1140" s="17" t="n"/>
      <c r="F1140" s="29" t="n"/>
      <c r="G1140" s="17" t="n"/>
      <c r="H1140" s="29" t="n"/>
      <c r="I1140" s="17" t="n"/>
      <c r="J1140" s="29" t="n"/>
      <c r="K1140" s="17" t="n"/>
      <c r="L1140" s="29" t="n"/>
      <c r="M1140" s="18" t="n"/>
    </row>
    <row r="1141">
      <c r="A1141" s="28" t="n"/>
      <c r="B1141" s="28" t="n"/>
      <c r="C1141" s="17" t="n"/>
      <c r="D1141" s="16" t="n"/>
      <c r="E1141" s="17" t="n"/>
      <c r="F1141" s="29" t="n"/>
      <c r="G1141" s="17" t="n"/>
      <c r="H1141" s="29" t="n"/>
      <c r="I1141" s="17" t="n"/>
      <c r="J1141" s="29" t="n"/>
      <c r="K1141" s="17" t="n"/>
      <c r="L1141" s="29" t="n"/>
      <c r="M1141" s="18" t="n"/>
    </row>
    <row r="1142">
      <c r="A1142" s="25" t="inlineStr">
        <is>
          <t>1. 토     공</t>
        </is>
      </c>
      <c r="B1142" s="26" t="n"/>
      <c r="C1142" s="21" t="n"/>
      <c r="D1142" s="22" t="n"/>
      <c r="E1142" s="21" t="n"/>
      <c r="F1142" s="27" t="n"/>
      <c r="G1142" s="21" t="n"/>
      <c r="H1142" s="27" t="n"/>
      <c r="I1142" s="21" t="n"/>
      <c r="J1142" s="27" t="n"/>
      <c r="K1142" s="21" t="n"/>
      <c r="L1142" s="27" t="n"/>
      <c r="M1142" s="24" t="n"/>
    </row>
    <row r="1143">
      <c r="A1143" s="28" t="inlineStr">
        <is>
          <t>가 노상준비공</t>
        </is>
      </c>
      <c r="B1143" s="28" t="n"/>
      <c r="C1143" s="17" t="n"/>
      <c r="D1143" s="16" t="n"/>
      <c r="E1143" s="17" t="n"/>
      <c r="F1143" s="29" t="n"/>
      <c r="G1143" s="17" t="n"/>
      <c r="H1143" s="29" t="n"/>
      <c r="I1143" s="17" t="n"/>
      <c r="J1143" s="29" t="n"/>
      <c r="K1143" s="17" t="n"/>
      <c r="L1143" s="29" t="n"/>
      <c r="M1143" s="18" t="n"/>
    </row>
    <row r="1144">
      <c r="A1144" s="14" t="inlineStr">
        <is>
          <t>1). 노상준비공</t>
        </is>
      </c>
      <c r="B1144" s="14" t="inlineStr">
        <is>
          <t>깍기부</t>
        </is>
      </c>
      <c r="C1144" s="15" t="n">
        <v>3022</v>
      </c>
      <c r="D1144" s="16" t="inlineStr">
        <is>
          <t>m2</t>
        </is>
      </c>
      <c r="E1144" s="15" t="n">
        <v>0</v>
      </c>
      <c r="F1144" s="15">
        <f>E1144*C1144</f>
        <v/>
      </c>
      <c r="G1144" s="15" t="n">
        <v>207</v>
      </c>
      <c r="H1144" s="15">
        <f>G1144*C1144</f>
        <v/>
      </c>
      <c r="I1144" s="15" t="n">
        <v>1160</v>
      </c>
      <c r="J1144" s="15">
        <f>I1144*C1144</f>
        <v/>
      </c>
      <c r="K1144" s="15">
        <f>E1144+G1144+I1144</f>
        <v/>
      </c>
      <c r="L1144" s="15">
        <f>F1144+H1144+J1144</f>
        <v/>
      </c>
      <c r="M1144" s="18" t="n"/>
    </row>
    <row r="1145">
      <c r="A1145" s="28" t="inlineStr">
        <is>
          <t>나. 법면보호공</t>
        </is>
      </c>
      <c r="B1145" s="28" t="n"/>
      <c r="C1145" s="17" t="n"/>
      <c r="D1145" s="16" t="n"/>
      <c r="E1145" s="17" t="n"/>
      <c r="F1145" s="29" t="n"/>
      <c r="G1145" s="17" t="n"/>
      <c r="H1145" s="29" t="n"/>
      <c r="I1145" s="17" t="n"/>
      <c r="J1145" s="29" t="n"/>
      <c r="K1145" s="17" t="n"/>
      <c r="L1145" s="29" t="n"/>
      <c r="M1145" s="18" t="n"/>
    </row>
    <row r="1146">
      <c r="A1146" s="14" t="inlineStr">
        <is>
          <t>1). 법면보호공</t>
        </is>
      </c>
      <c r="B1146" s="14" t="inlineStr">
        <is>
          <t>잔디붙임(줄떼)</t>
        </is>
      </c>
      <c r="C1146" s="15" t="n">
        <v>245</v>
      </c>
      <c r="D1146" s="16" t="inlineStr">
        <is>
          <t>㎡</t>
        </is>
      </c>
      <c r="E1146" s="15" t="n">
        <v>4903</v>
      </c>
      <c r="F1146" s="15">
        <f>E1146*C1146</f>
        <v/>
      </c>
      <c r="G1146" s="15" t="n">
        <v>1028</v>
      </c>
      <c r="H1146" s="15">
        <f>G1146*C1146</f>
        <v/>
      </c>
      <c r="I1146" s="15" t="n">
        <v>0</v>
      </c>
      <c r="J1146" s="15">
        <f>I1146*C1146</f>
        <v/>
      </c>
      <c r="K1146" s="15">
        <f>E1146+G1146+I1146</f>
        <v/>
      </c>
      <c r="L1146" s="15">
        <f>F1146+H1146+J1146</f>
        <v/>
      </c>
      <c r="M1146" s="18" t="n"/>
    </row>
    <row r="1147">
      <c r="A1147" s="28" t="inlineStr">
        <is>
          <t>다. 흙깎기</t>
        </is>
      </c>
      <c r="B1147" s="28" t="n"/>
      <c r="C1147" s="17" t="n"/>
      <c r="D1147" s="16" t="n"/>
      <c r="E1147" s="17" t="n"/>
      <c r="F1147" s="29" t="n"/>
      <c r="G1147" s="17" t="n"/>
      <c r="H1147" s="29" t="n"/>
      <c r="I1147" s="17" t="n"/>
      <c r="J1147" s="29" t="n"/>
      <c r="K1147" s="17" t="n"/>
      <c r="L1147" s="29" t="n"/>
      <c r="M1147" s="18" t="n"/>
    </row>
    <row r="1148">
      <c r="A1148" s="28" t="inlineStr">
        <is>
          <t>1). 토사</t>
        </is>
      </c>
      <c r="B1148" s="28" t="n"/>
      <c r="C1148" s="17" t="n"/>
      <c r="D1148" s="16" t="n"/>
      <c r="E1148" s="17" t="n"/>
      <c r="F1148" s="29" t="n"/>
      <c r="G1148" s="17" t="n"/>
      <c r="H1148" s="29" t="n"/>
      <c r="I1148" s="17" t="n"/>
      <c r="J1148" s="29" t="n"/>
      <c r="K1148" s="17" t="n"/>
      <c r="L1148" s="29" t="n"/>
      <c r="M1148" s="18" t="n"/>
    </row>
    <row r="1149">
      <c r="A1149" s="14" t="inlineStr">
        <is>
          <t>나). 흙깍기(토사)</t>
        </is>
      </c>
      <c r="B1149" s="14" t="inlineStr">
        <is>
          <t>굴삭기1.0㎥</t>
        </is>
      </c>
      <c r="C1149" s="15" t="n">
        <v>578</v>
      </c>
      <c r="D1149" s="16" t="inlineStr">
        <is>
          <t>㎥</t>
        </is>
      </c>
      <c r="E1149" s="15" t="n">
        <v>0</v>
      </c>
      <c r="F1149" s="15">
        <f>E1149*C1149</f>
        <v/>
      </c>
      <c r="G1149" s="15" t="n">
        <v>240</v>
      </c>
      <c r="H1149" s="15">
        <f>G1149*C1149</f>
        <v/>
      </c>
      <c r="I1149" s="15" t="n">
        <v>1349</v>
      </c>
      <c r="J1149" s="15">
        <f>I1149*C1149</f>
        <v/>
      </c>
      <c r="K1149" s="15">
        <f>E1149+G1149+I1149</f>
        <v/>
      </c>
      <c r="L1149" s="15">
        <f>F1149+H1149+J1149</f>
        <v/>
      </c>
      <c r="M1149" s="18" t="n"/>
    </row>
    <row r="1150">
      <c r="A1150" s="28" t="inlineStr">
        <is>
          <t>라. 터파기</t>
        </is>
      </c>
      <c r="B1150" s="28" t="n"/>
      <c r="C1150" s="17" t="n"/>
      <c r="D1150" s="16" t="n"/>
      <c r="E1150" s="17" t="n"/>
      <c r="F1150" s="29" t="n"/>
      <c r="G1150" s="17" t="n"/>
      <c r="H1150" s="29" t="n"/>
      <c r="I1150" s="17" t="n"/>
      <c r="J1150" s="29" t="n"/>
      <c r="K1150" s="17" t="n"/>
      <c r="L1150" s="29" t="n"/>
      <c r="M1150" s="18" t="n"/>
    </row>
    <row r="1151">
      <c r="A1151" s="14" t="inlineStr">
        <is>
          <t>1). 터파기(토사)</t>
        </is>
      </c>
      <c r="B1151" s="14" t="inlineStr">
        <is>
          <t>TYPE-1, 굴착기1.0, 기계100%</t>
        </is>
      </c>
      <c r="C1151" s="15" t="n">
        <v>2132</v>
      </c>
      <c r="D1151" s="16" t="inlineStr">
        <is>
          <t>㎥</t>
        </is>
      </c>
      <c r="E1151" s="15" t="n">
        <v>0</v>
      </c>
      <c r="F1151" s="15">
        <f>E1151*C1151</f>
        <v/>
      </c>
      <c r="G1151" s="15" t="n">
        <v>490</v>
      </c>
      <c r="H1151" s="15">
        <f>G1151*C1151</f>
        <v/>
      </c>
      <c r="I1151" s="15" t="n">
        <v>2744</v>
      </c>
      <c r="J1151" s="15">
        <f>I1151*C1151</f>
        <v/>
      </c>
      <c r="K1151" s="15">
        <f>E1151+G1151+I1151</f>
        <v/>
      </c>
      <c r="L1151" s="15">
        <f>F1151+H1151+J1151</f>
        <v/>
      </c>
      <c r="M1151" s="18" t="n"/>
    </row>
    <row r="1152">
      <c r="A1152" s="28" t="inlineStr">
        <is>
          <t>마. 흙쌓기</t>
        </is>
      </c>
      <c r="B1152" s="28" t="n"/>
      <c r="C1152" s="17" t="n"/>
      <c r="D1152" s="16" t="n"/>
      <c r="E1152" s="17" t="n"/>
      <c r="F1152" s="29" t="n"/>
      <c r="G1152" s="17" t="n"/>
      <c r="H1152" s="29" t="n"/>
      <c r="I1152" s="17" t="n"/>
      <c r="J1152" s="29" t="n"/>
      <c r="K1152" s="17" t="n"/>
      <c r="L1152" s="29" t="n"/>
      <c r="M1152" s="18" t="n"/>
    </row>
    <row r="1153">
      <c r="A1153" s="28" t="inlineStr">
        <is>
          <t>1). 노상</t>
        </is>
      </c>
      <c r="B1153" s="28" t="n"/>
      <c r="C1153" s="17" t="n"/>
      <c r="D1153" s="16" t="n"/>
      <c r="E1153" s="17" t="n"/>
      <c r="F1153" s="29" t="n"/>
      <c r="G1153" s="17" t="n"/>
      <c r="H1153" s="29" t="n"/>
      <c r="I1153" s="17" t="n"/>
      <c r="J1153" s="29" t="n"/>
      <c r="K1153" s="17" t="n"/>
      <c r="L1153" s="29" t="n"/>
      <c r="M1153" s="18" t="n"/>
    </row>
    <row r="1154">
      <c r="A1154" s="14" t="inlineStr">
        <is>
          <t>가). 흙쌓기</t>
        </is>
      </c>
      <c r="B1154" s="14" t="inlineStr">
        <is>
          <t>노상, 두께20cm, 다짐도95%이상</t>
        </is>
      </c>
      <c r="C1154" s="15" t="n">
        <v>1216</v>
      </c>
      <c r="D1154" s="16" t="inlineStr">
        <is>
          <t>㎥</t>
        </is>
      </c>
      <c r="E1154" s="15" t="n">
        <v>0</v>
      </c>
      <c r="F1154" s="15">
        <f>E1154*C1154</f>
        <v/>
      </c>
      <c r="G1154" s="15" t="n">
        <v>475</v>
      </c>
      <c r="H1154" s="15">
        <f>G1154*C1154</f>
        <v/>
      </c>
      <c r="I1154" s="15" t="n">
        <v>2705</v>
      </c>
      <c r="J1154" s="15">
        <f>I1154*C1154</f>
        <v/>
      </c>
      <c r="K1154" s="15">
        <f>E1154+G1154+I1154</f>
        <v/>
      </c>
      <c r="L1154" s="15">
        <f>F1154+H1154+J1154</f>
        <v/>
      </c>
      <c r="M1154" s="18" t="n"/>
    </row>
    <row r="1155">
      <c r="A1155" s="28" t="inlineStr">
        <is>
          <t>2). 노체</t>
        </is>
      </c>
      <c r="B1155" s="28" t="n"/>
      <c r="C1155" s="17" t="n"/>
      <c r="D1155" s="16" t="n"/>
      <c r="E1155" s="17" t="n"/>
      <c r="F1155" s="29" t="n"/>
      <c r="G1155" s="17" t="n"/>
      <c r="H1155" s="29" t="n"/>
      <c r="I1155" s="17" t="n"/>
      <c r="J1155" s="29" t="n"/>
      <c r="K1155" s="17" t="n"/>
      <c r="L1155" s="29" t="n"/>
      <c r="M1155" s="18" t="n"/>
    </row>
    <row r="1156">
      <c r="A1156" s="14" t="inlineStr">
        <is>
          <t>가). 흙쌓기</t>
        </is>
      </c>
      <c r="B1156" s="14" t="inlineStr">
        <is>
          <t>노체, 두께30cm, 다짐도90%이상</t>
        </is>
      </c>
      <c r="C1156" s="15" t="n">
        <v>1406</v>
      </c>
      <c r="D1156" s="16" t="inlineStr">
        <is>
          <t>㎥</t>
        </is>
      </c>
      <c r="E1156" s="15" t="n">
        <v>0</v>
      </c>
      <c r="F1156" s="15">
        <f>E1156*C1156</f>
        <v/>
      </c>
      <c r="G1156" s="15" t="n">
        <v>475</v>
      </c>
      <c r="H1156" s="15">
        <f>G1156*C1156</f>
        <v/>
      </c>
      <c r="I1156" s="15" t="n">
        <v>1545</v>
      </c>
      <c r="J1156" s="15">
        <f>I1156*C1156</f>
        <v/>
      </c>
      <c r="K1156" s="15">
        <f>E1156+G1156+I1156</f>
        <v/>
      </c>
      <c r="L1156" s="15">
        <f>F1156+H1156+J1156</f>
        <v/>
      </c>
      <c r="M1156" s="18" t="n"/>
    </row>
    <row r="1157">
      <c r="A1157" s="28" t="inlineStr">
        <is>
          <t>3). 되메우기</t>
        </is>
      </c>
      <c r="B1157" s="28" t="n"/>
      <c r="C1157" s="17" t="n"/>
      <c r="D1157" s="16" t="n"/>
      <c r="E1157" s="17" t="n"/>
      <c r="F1157" s="29" t="n"/>
      <c r="G1157" s="17" t="n"/>
      <c r="H1157" s="29" t="n"/>
      <c r="I1157" s="17" t="n"/>
      <c r="J1157" s="29" t="n"/>
      <c r="K1157" s="17" t="n"/>
      <c r="L1157" s="29" t="n"/>
      <c r="M1157" s="18" t="n"/>
    </row>
    <row r="1158">
      <c r="A1158" s="14" t="inlineStr">
        <is>
          <t>가). 흙쌓기</t>
        </is>
      </c>
      <c r="B1158" s="14" t="inlineStr">
        <is>
          <t>노체, 두께30cm, 다짐도90%이상</t>
        </is>
      </c>
      <c r="C1158" s="15" t="n">
        <v>1787</v>
      </c>
      <c r="D1158" s="16" t="inlineStr">
        <is>
          <t>㎥</t>
        </is>
      </c>
      <c r="E1158" s="15" t="n">
        <v>0</v>
      </c>
      <c r="F1158" s="15">
        <f>E1158*C1158</f>
        <v/>
      </c>
      <c r="G1158" s="15" t="n">
        <v>475</v>
      </c>
      <c r="H1158" s="15">
        <f>G1158*C1158</f>
        <v/>
      </c>
      <c r="I1158" s="15" t="n">
        <v>1545</v>
      </c>
      <c r="J1158" s="15">
        <f>I1158*C1158</f>
        <v/>
      </c>
      <c r="K1158" s="15">
        <f>E1158+G1158+I1158</f>
        <v/>
      </c>
      <c r="L1158" s="15">
        <f>F1158+H1158+J1158</f>
        <v/>
      </c>
      <c r="M1158" s="18" t="n"/>
    </row>
    <row r="1159">
      <c r="A1159" s="28" t="inlineStr">
        <is>
          <t>바 층따기</t>
        </is>
      </c>
      <c r="B1159" s="28" t="n"/>
      <c r="C1159" s="17" t="n"/>
      <c r="D1159" s="16" t="n"/>
      <c r="E1159" s="17" t="n"/>
      <c r="F1159" s="29" t="n"/>
      <c r="G1159" s="17" t="n"/>
      <c r="H1159" s="29" t="n"/>
      <c r="I1159" s="17" t="n"/>
      <c r="J1159" s="29" t="n"/>
      <c r="K1159" s="17" t="n"/>
      <c r="L1159" s="29" t="n"/>
      <c r="M1159" s="18" t="n"/>
    </row>
    <row r="1160">
      <c r="A1160" s="14" t="inlineStr">
        <is>
          <t>1). 층따기</t>
        </is>
      </c>
      <c r="B1160" s="14" t="n"/>
      <c r="C1160" s="15" t="n">
        <v>161</v>
      </c>
      <c r="D1160" s="16" t="inlineStr">
        <is>
          <t>m3</t>
        </is>
      </c>
      <c r="E1160" s="15" t="n">
        <v>0</v>
      </c>
      <c r="F1160" s="15">
        <f>E1160*C1160</f>
        <v/>
      </c>
      <c r="G1160" s="15" t="n">
        <v>433</v>
      </c>
      <c r="H1160" s="15">
        <f>G1160*C1160</f>
        <v/>
      </c>
      <c r="I1160" s="15" t="n">
        <v>2420</v>
      </c>
      <c r="J1160" s="15">
        <f>I1160*C1160</f>
        <v/>
      </c>
      <c r="K1160" s="15">
        <f>E1160+G1160+I1160</f>
        <v/>
      </c>
      <c r="L1160" s="15">
        <f>F1160+H1160+J1160</f>
        <v/>
      </c>
      <c r="M1160" s="18" t="n"/>
    </row>
    <row r="1161">
      <c r="A1161" s="28" t="inlineStr">
        <is>
          <t>사. 흙운반</t>
        </is>
      </c>
      <c r="B1161" s="28" t="n"/>
      <c r="C1161" s="17" t="n"/>
      <c r="D1161" s="16" t="n"/>
      <c r="E1161" s="17" t="n"/>
      <c r="F1161" s="29" t="n"/>
      <c r="G1161" s="17" t="n"/>
      <c r="H1161" s="29" t="n"/>
      <c r="I1161" s="17" t="n"/>
      <c r="J1161" s="29" t="n"/>
      <c r="K1161" s="17" t="n"/>
      <c r="L1161" s="29" t="n"/>
      <c r="M1161" s="18" t="n"/>
    </row>
    <row r="1162">
      <c r="A1162" s="28" t="inlineStr">
        <is>
          <t>1). 무대(1, 2차)</t>
        </is>
      </c>
      <c r="B1162" s="28" t="n"/>
      <c r="C1162" s="17" t="n"/>
      <c r="D1162" s="16" t="n"/>
      <c r="E1162" s="17" t="n"/>
      <c r="F1162" s="29" t="n"/>
      <c r="G1162" s="17" t="n"/>
      <c r="H1162" s="29" t="n"/>
      <c r="I1162" s="17" t="n"/>
      <c r="J1162" s="29" t="n"/>
      <c r="K1162" s="17" t="n"/>
      <c r="L1162" s="29" t="n"/>
      <c r="M1162" s="18" t="n"/>
    </row>
    <row r="1163">
      <c r="A1163" s="14" t="inlineStr">
        <is>
          <t>가). 토사</t>
        </is>
      </c>
      <c r="B1163" s="14" t="n"/>
      <c r="C1163" s="15" t="n">
        <v>2720</v>
      </c>
      <c r="D1163" s="16" t="inlineStr">
        <is>
          <t>㎥</t>
        </is>
      </c>
      <c r="E1163" s="15" t="n">
        <v>0</v>
      </c>
      <c r="F1163" s="15">
        <f>E1163*C1163</f>
        <v/>
      </c>
      <c r="G1163" s="15" t="n">
        <v>77</v>
      </c>
      <c r="H1163" s="15">
        <f>G1163*C1163</f>
        <v/>
      </c>
      <c r="I1163" s="15" t="n">
        <v>522</v>
      </c>
      <c r="J1163" s="15">
        <f>I1163*C1163</f>
        <v/>
      </c>
      <c r="K1163" s="15">
        <f>E1163+G1163+I1163</f>
        <v/>
      </c>
      <c r="L1163" s="15">
        <f>F1163+H1163+J1163</f>
        <v/>
      </c>
      <c r="M1163" s="18" t="n"/>
    </row>
    <row r="1164">
      <c r="A1164" s="28" t="inlineStr">
        <is>
          <t>2). 도쟈운반</t>
        </is>
      </c>
      <c r="B1164" s="28" t="n"/>
      <c r="C1164" s="17" t="n"/>
      <c r="D1164" s="16" t="n"/>
      <c r="E1164" s="17" t="n"/>
      <c r="F1164" s="29" t="n"/>
      <c r="G1164" s="17" t="n"/>
      <c r="H1164" s="29" t="n"/>
      <c r="I1164" s="17" t="n"/>
      <c r="J1164" s="29" t="n"/>
      <c r="K1164" s="17" t="n"/>
      <c r="L1164" s="29" t="n"/>
      <c r="M1164" s="18" t="n"/>
    </row>
    <row r="1165">
      <c r="A1165" s="14" t="inlineStr">
        <is>
          <t>가). 흙운반(토사)</t>
        </is>
      </c>
      <c r="B1165" s="14" t="inlineStr">
        <is>
          <t>불도저 32톤, L=44.9m</t>
        </is>
      </c>
      <c r="C1165" s="15" t="n">
        <v>206</v>
      </c>
      <c r="D1165" s="16" t="inlineStr">
        <is>
          <t>㎥</t>
        </is>
      </c>
      <c r="E1165" s="15" t="n">
        <v>0</v>
      </c>
      <c r="F1165" s="15">
        <f>E1165*C1165</f>
        <v/>
      </c>
      <c r="G1165" s="15" t="n">
        <v>87</v>
      </c>
      <c r="H1165" s="15">
        <f>G1165*C1165</f>
        <v/>
      </c>
      <c r="I1165" s="15" t="n">
        <v>518</v>
      </c>
      <c r="J1165" s="15">
        <f>I1165*C1165</f>
        <v/>
      </c>
      <c r="K1165" s="15">
        <f>E1165+G1165+I1165</f>
        <v/>
      </c>
      <c r="L1165" s="15">
        <f>F1165+H1165+J1165</f>
        <v/>
      </c>
      <c r="M1165" s="18" t="n"/>
    </row>
    <row r="1166">
      <c r="A1166" s="28" t="inlineStr">
        <is>
          <t>3). 덤프운반(지구내)</t>
        </is>
      </c>
      <c r="B1166" s="28" t="n"/>
      <c r="C1166" s="17" t="n"/>
      <c r="D1166" s="16" t="n"/>
      <c r="E1166" s="17" t="n"/>
      <c r="F1166" s="29" t="n"/>
      <c r="G1166" s="17" t="n"/>
      <c r="H1166" s="29" t="n"/>
      <c r="I1166" s="17" t="n"/>
      <c r="J1166" s="29" t="n"/>
      <c r="K1166" s="17" t="n"/>
      <c r="L1166" s="29" t="n"/>
      <c r="M1166" s="18" t="n"/>
    </row>
    <row r="1167">
      <c r="A1167" s="14" t="inlineStr">
        <is>
          <t>가). 흙 운반(토사)(지구내)</t>
        </is>
      </c>
      <c r="B1167" s="14" t="inlineStr">
        <is>
          <t>굴삭기1.0㎥+덤프24톤, L=0.076Km</t>
        </is>
      </c>
      <c r="C1167" s="15" t="n">
        <v>136</v>
      </c>
      <c r="D1167" s="16" t="inlineStr">
        <is>
          <t>㎥</t>
        </is>
      </c>
      <c r="E1167" s="15" t="n">
        <v>0</v>
      </c>
      <c r="F1167" s="15">
        <f>E1167*C1167</f>
        <v/>
      </c>
      <c r="G1167" s="15" t="n">
        <v>514</v>
      </c>
      <c r="H1167" s="15">
        <f>G1167*C1167</f>
        <v/>
      </c>
      <c r="I1167" s="15" t="n">
        <v>2599</v>
      </c>
      <c r="J1167" s="15">
        <f>I1167*C1167</f>
        <v/>
      </c>
      <c r="K1167" s="15">
        <f>E1167+G1167+I1167</f>
        <v/>
      </c>
      <c r="L1167" s="15">
        <f>F1167+H1167+J1167</f>
        <v/>
      </c>
      <c r="M1167" s="18" t="n"/>
    </row>
    <row r="1168">
      <c r="A1168" s="28" t="inlineStr">
        <is>
          <t>아. 규준틀</t>
        </is>
      </c>
      <c r="B1168" s="28" t="n"/>
      <c r="C1168" s="17" t="n"/>
      <c r="D1168" s="16" t="n"/>
      <c r="E1168" s="17" t="n"/>
      <c r="F1168" s="29" t="n"/>
      <c r="G1168" s="17" t="n"/>
      <c r="H1168" s="29" t="n"/>
      <c r="I1168" s="17" t="n"/>
      <c r="J1168" s="29" t="n"/>
      <c r="K1168" s="17" t="n"/>
      <c r="L1168" s="29" t="n"/>
      <c r="M1168" s="18" t="n"/>
    </row>
    <row r="1169">
      <c r="A1169" s="14" t="inlineStr">
        <is>
          <t>1). 목재규준틀</t>
        </is>
      </c>
      <c r="B1169" s="14" t="inlineStr">
        <is>
          <t>비탈규준틀</t>
        </is>
      </c>
      <c r="C1169" s="15" t="n">
        <v>44</v>
      </c>
      <c r="D1169" s="16" t="inlineStr">
        <is>
          <t>개</t>
        </is>
      </c>
      <c r="E1169" s="15" t="n">
        <v>7909</v>
      </c>
      <c r="F1169" s="15">
        <f>E1169*C1169</f>
        <v/>
      </c>
      <c r="G1169" s="15" t="n">
        <v>55678</v>
      </c>
      <c r="H1169" s="15">
        <f>G1169*C1169</f>
        <v/>
      </c>
      <c r="I1169" s="15" t="n">
        <v>0</v>
      </c>
      <c r="J1169" s="15">
        <f>I1169*C1169</f>
        <v/>
      </c>
      <c r="K1169" s="15">
        <f>E1169+G1169+I1169</f>
        <v/>
      </c>
      <c r="L1169" s="15">
        <f>F1169+H1169+J1169</f>
        <v/>
      </c>
      <c r="M1169" s="18" t="n"/>
    </row>
    <row r="1170">
      <c r="A1170" s="14" t="inlineStr">
        <is>
          <t>2). 목재규준틀</t>
        </is>
      </c>
      <c r="B1170" s="14" t="inlineStr">
        <is>
          <t>수평규준틀</t>
        </is>
      </c>
      <c r="C1170" s="15" t="n">
        <v>4</v>
      </c>
      <c r="D1170" s="16" t="inlineStr">
        <is>
          <t>개</t>
        </is>
      </c>
      <c r="E1170" s="15" t="n">
        <v>25308</v>
      </c>
      <c r="F1170" s="15">
        <f>E1170*C1170</f>
        <v/>
      </c>
      <c r="G1170" s="15" t="n">
        <v>73947</v>
      </c>
      <c r="H1170" s="15">
        <f>G1170*C1170</f>
        <v/>
      </c>
      <c r="I1170" s="15" t="n">
        <v>0</v>
      </c>
      <c r="J1170" s="15">
        <f>I1170*C1170</f>
        <v/>
      </c>
      <c r="K1170" s="15">
        <f>E1170+G1170+I1170</f>
        <v/>
      </c>
      <c r="L1170" s="15">
        <f>F1170+H1170+J1170</f>
        <v/>
      </c>
      <c r="M1170" s="18" t="n"/>
    </row>
    <row r="1171">
      <c r="A1171" s="28" t="inlineStr">
        <is>
          <t>자. 지장물철거</t>
        </is>
      </c>
      <c r="B1171" s="28" t="n"/>
      <c r="C1171" s="17" t="n"/>
      <c r="D1171" s="16" t="n"/>
      <c r="E1171" s="17" t="n"/>
      <c r="F1171" s="29" t="n"/>
      <c r="G1171" s="17" t="n"/>
      <c r="H1171" s="29" t="n"/>
      <c r="I1171" s="17" t="n"/>
      <c r="J1171" s="29" t="n"/>
      <c r="K1171" s="17" t="n"/>
      <c r="L1171" s="29" t="n"/>
      <c r="M1171" s="18" t="n"/>
    </row>
    <row r="1172">
      <c r="A1172" s="28" t="inlineStr">
        <is>
          <t>1). 콘크리트깨기</t>
        </is>
      </c>
      <c r="B1172" s="28" t="n"/>
      <c r="C1172" s="17" t="n"/>
      <c r="D1172" s="16" t="n"/>
      <c r="E1172" s="17" t="n"/>
      <c r="F1172" s="29" t="n"/>
      <c r="G1172" s="17" t="n"/>
      <c r="H1172" s="29" t="n"/>
      <c r="I1172" s="17" t="n"/>
      <c r="J1172" s="29" t="n"/>
      <c r="K1172" s="17" t="n"/>
      <c r="L1172" s="29" t="n"/>
      <c r="M1172" s="18" t="n"/>
    </row>
    <row r="1173">
      <c r="A1173" s="14" t="inlineStr">
        <is>
          <t>가). 구조물헐기(철근)</t>
        </is>
      </c>
      <c r="B1173" s="14" t="inlineStr">
        <is>
          <t>대형30CM미만</t>
        </is>
      </c>
      <c r="C1173" s="15" t="n">
        <v>13</v>
      </c>
      <c r="D1173" s="16" t="inlineStr">
        <is>
          <t>㎥</t>
        </is>
      </c>
      <c r="E1173" s="15" t="n">
        <v>0</v>
      </c>
      <c r="F1173" s="15">
        <f>E1173*C1173</f>
        <v/>
      </c>
      <c r="G1173" s="15" t="n">
        <v>10756</v>
      </c>
      <c r="H1173" s="15">
        <f>G1173*C1173</f>
        <v/>
      </c>
      <c r="I1173" s="15" t="n">
        <v>21063</v>
      </c>
      <c r="J1173" s="15">
        <f>I1173*C1173</f>
        <v/>
      </c>
      <c r="K1173" s="15">
        <f>E1173+G1173+I1173</f>
        <v/>
      </c>
      <c r="L1173" s="15">
        <f>F1173+H1173+J1173</f>
        <v/>
      </c>
      <c r="M1173" s="18" t="n"/>
    </row>
    <row r="1174">
      <c r="A1174" s="14" t="inlineStr">
        <is>
          <t>나). 구조물헐기(무근)</t>
        </is>
      </c>
      <c r="B1174" s="14" t="inlineStr">
        <is>
          <t>대형30CM미만</t>
        </is>
      </c>
      <c r="C1174" s="15" t="n">
        <v>72</v>
      </c>
      <c r="D1174" s="16" t="inlineStr">
        <is>
          <t>㎥</t>
        </is>
      </c>
      <c r="E1174" s="15" t="n">
        <v>0</v>
      </c>
      <c r="F1174" s="15">
        <f>E1174*C1174</f>
        <v/>
      </c>
      <c r="G1174" s="15" t="n">
        <v>3875</v>
      </c>
      <c r="H1174" s="15">
        <f>G1174*C1174</f>
        <v/>
      </c>
      <c r="I1174" s="15" t="n">
        <v>19941</v>
      </c>
      <c r="J1174" s="15">
        <f>I1174*C1174</f>
        <v/>
      </c>
      <c r="K1174" s="15">
        <f>E1174+G1174+I1174</f>
        <v/>
      </c>
      <c r="L1174" s="15">
        <f>F1174+H1174+J1174</f>
        <v/>
      </c>
      <c r="M1174" s="18" t="n"/>
    </row>
    <row r="1175">
      <c r="A1175" s="14" t="inlineStr">
        <is>
          <t>다). 포장절단/아스팔트</t>
        </is>
      </c>
      <c r="B1175" s="14" t="n"/>
      <c r="C1175" s="15" t="n">
        <v>30</v>
      </c>
      <c r="D1175" s="16" t="inlineStr">
        <is>
          <t>m</t>
        </is>
      </c>
      <c r="E1175" s="15" t="n">
        <v>3954</v>
      </c>
      <c r="F1175" s="15">
        <f>E1175*C1175</f>
        <v/>
      </c>
      <c r="G1175" s="15" t="n">
        <v>1107</v>
      </c>
      <c r="H1175" s="15">
        <f>G1175*C1175</f>
        <v/>
      </c>
      <c r="I1175" s="15" t="n">
        <v>0</v>
      </c>
      <c r="J1175" s="15">
        <f>I1175*C1175</f>
        <v/>
      </c>
      <c r="K1175" s="15">
        <f>E1175+G1175+I1175</f>
        <v/>
      </c>
      <c r="L1175" s="15">
        <f>F1175+H1175+J1175</f>
        <v/>
      </c>
      <c r="M1175" s="18" t="n"/>
    </row>
    <row r="1176">
      <c r="A1176" s="14" t="inlineStr">
        <is>
          <t>라). 포장절단/콘크리트</t>
        </is>
      </c>
      <c r="B1176" s="14" t="n"/>
      <c r="C1176" s="15" t="n">
        <v>17</v>
      </c>
      <c r="D1176" s="16" t="inlineStr">
        <is>
          <t>m</t>
        </is>
      </c>
      <c r="E1176" s="15" t="n">
        <v>3954</v>
      </c>
      <c r="F1176" s="15">
        <f>E1176*C1176</f>
        <v/>
      </c>
      <c r="G1176" s="15" t="n">
        <v>1107</v>
      </c>
      <c r="H1176" s="15">
        <f>G1176*C1176</f>
        <v/>
      </c>
      <c r="I1176" s="15" t="n">
        <v>0</v>
      </c>
      <c r="J1176" s="15">
        <f>I1176*C1176</f>
        <v/>
      </c>
      <c r="K1176" s="15">
        <f>E1176+G1176+I1176</f>
        <v/>
      </c>
      <c r="L1176" s="15">
        <f>F1176+H1176+J1176</f>
        <v/>
      </c>
      <c r="M1176" s="18" t="n"/>
    </row>
    <row r="1177">
      <c r="A1177" s="14" t="inlineStr">
        <is>
          <t>마). 아스팔트포장깨기</t>
        </is>
      </c>
      <c r="B1177" s="14" t="inlineStr">
        <is>
          <t>T=30cm 미만</t>
        </is>
      </c>
      <c r="C1177" s="15" t="n">
        <v>631</v>
      </c>
      <c r="D1177" s="16" t="inlineStr">
        <is>
          <t>m3</t>
        </is>
      </c>
      <c r="E1177" s="15" t="n">
        <v>0</v>
      </c>
      <c r="F1177" s="15">
        <f>E1177*C1177</f>
        <v/>
      </c>
      <c r="G1177" s="15" t="n">
        <v>1186</v>
      </c>
      <c r="H1177" s="15">
        <f>G1177*C1177</f>
        <v/>
      </c>
      <c r="I1177" s="15" t="n">
        <v>4316</v>
      </c>
      <c r="J1177" s="15">
        <f>I1177*C1177</f>
        <v/>
      </c>
      <c r="K1177" s="15">
        <f>E1177+G1177+I1177</f>
        <v/>
      </c>
      <c r="L1177" s="15">
        <f>F1177+H1177+J1177</f>
        <v/>
      </c>
      <c r="M1177" s="18" t="n"/>
    </row>
    <row r="1178">
      <c r="A1178" s="14" t="inlineStr">
        <is>
          <t>바). 콘크리트포장깨기</t>
        </is>
      </c>
      <c r="B1178" s="14" t="inlineStr">
        <is>
          <t>T=30cm 미만</t>
        </is>
      </c>
      <c r="C1178" s="15" t="n">
        <v>11</v>
      </c>
      <c r="D1178" s="16" t="inlineStr">
        <is>
          <t>m3</t>
        </is>
      </c>
      <c r="E1178" s="15" t="n">
        <v>0</v>
      </c>
      <c r="F1178" s="15">
        <f>E1178*C1178</f>
        <v/>
      </c>
      <c r="G1178" s="15" t="n">
        <v>1186</v>
      </c>
      <c r="H1178" s="15">
        <f>G1178*C1178</f>
        <v/>
      </c>
      <c r="I1178" s="15" t="n">
        <v>4316</v>
      </c>
      <c r="J1178" s="15">
        <f>I1178*C1178</f>
        <v/>
      </c>
      <c r="K1178" s="15">
        <f>E1178+G1178+I1178</f>
        <v/>
      </c>
      <c r="L1178" s="15">
        <f>F1178+H1178+J1178</f>
        <v/>
      </c>
      <c r="M1178" s="18" t="n"/>
    </row>
    <row r="1179">
      <c r="A1179" s="14" t="inlineStr">
        <is>
          <t>사). 가드레일철거</t>
        </is>
      </c>
      <c r="B1179" s="14" t="inlineStr">
        <is>
          <t>설치품의 30%</t>
        </is>
      </c>
      <c r="C1179" s="15" t="n">
        <v>249</v>
      </c>
      <c r="D1179" s="16" t="inlineStr">
        <is>
          <t>m</t>
        </is>
      </c>
      <c r="E1179" s="15" t="n">
        <v>0</v>
      </c>
      <c r="F1179" s="15">
        <f>E1179*C1179</f>
        <v/>
      </c>
      <c r="G1179" s="15" t="n">
        <v>4508</v>
      </c>
      <c r="H1179" s="15">
        <f>G1179*C1179</f>
        <v/>
      </c>
      <c r="I1179" s="15" t="n">
        <v>7683</v>
      </c>
      <c r="J1179" s="15">
        <f>I1179*C1179</f>
        <v/>
      </c>
      <c r="K1179" s="15">
        <f>E1179+G1179+I1179</f>
        <v/>
      </c>
      <c r="L1179" s="15">
        <f>F1179+H1179+J1179</f>
        <v/>
      </c>
      <c r="M1179" s="18" t="n"/>
    </row>
    <row r="1180">
      <c r="A1180" s="28" t="inlineStr">
        <is>
          <t>2). 폐기물상차</t>
        </is>
      </c>
      <c r="B1180" s="28" t="n"/>
      <c r="C1180" s="17" t="n"/>
      <c r="D1180" s="16" t="n"/>
      <c r="E1180" s="17" t="n"/>
      <c r="F1180" s="29" t="n"/>
      <c r="G1180" s="17" t="n"/>
      <c r="H1180" s="29" t="n"/>
      <c r="I1180" s="17" t="n"/>
      <c r="J1180" s="29" t="n"/>
      <c r="K1180" s="17" t="n"/>
      <c r="L1180" s="29" t="n"/>
      <c r="M1180" s="18" t="n"/>
    </row>
    <row r="1181">
      <c r="A1181" s="14" t="inlineStr">
        <is>
          <t>가). 폐기물상차</t>
        </is>
      </c>
      <c r="B1181" s="14" t="inlineStr">
        <is>
          <t>굴삭기 0.7㎥</t>
        </is>
      </c>
      <c r="C1181" s="15" t="n">
        <v>728</v>
      </c>
      <c r="D1181" s="16" t="inlineStr">
        <is>
          <t>㎥</t>
        </is>
      </c>
      <c r="E1181" s="15" t="n">
        <v>0</v>
      </c>
      <c r="F1181" s="15">
        <f>E1181*C1181</f>
        <v/>
      </c>
      <c r="G1181" s="15" t="n">
        <v>791</v>
      </c>
      <c r="H1181" s="15">
        <f>G1181*C1181</f>
        <v/>
      </c>
      <c r="I1181" s="15" t="n">
        <v>1726</v>
      </c>
      <c r="J1181" s="15">
        <f>I1181*C1181</f>
        <v/>
      </c>
      <c r="K1181" s="15">
        <f>E1181+G1181+I1181</f>
        <v/>
      </c>
      <c r="L1181" s="15">
        <f>F1181+H1181+J1181</f>
        <v/>
      </c>
      <c r="M1181" s="18" t="n"/>
    </row>
    <row r="1182">
      <c r="A1182" s="25" t="inlineStr">
        <is>
          <t>2. 우 수 공</t>
        </is>
      </c>
      <c r="B1182" s="26" t="n"/>
      <c r="C1182" s="21" t="n"/>
      <c r="D1182" s="22" t="n"/>
      <c r="E1182" s="21" t="n"/>
      <c r="F1182" s="27" t="n"/>
      <c r="G1182" s="21" t="n"/>
      <c r="H1182" s="27" t="n"/>
      <c r="I1182" s="21" t="n"/>
      <c r="J1182" s="27" t="n"/>
      <c r="K1182" s="21" t="n"/>
      <c r="L1182" s="27" t="n"/>
      <c r="M1182" s="24" t="n"/>
    </row>
    <row r="1183">
      <c r="A1183" s="28" t="inlineStr">
        <is>
          <t>가. 토     공</t>
        </is>
      </c>
      <c r="B1183" s="28" t="n"/>
      <c r="C1183" s="17" t="n"/>
      <c r="D1183" s="16" t="n"/>
      <c r="E1183" s="17" t="n"/>
      <c r="F1183" s="29" t="n"/>
      <c r="G1183" s="17" t="n"/>
      <c r="H1183" s="29" t="n"/>
      <c r="I1183" s="17" t="n"/>
      <c r="J1183" s="29" t="n"/>
      <c r="K1183" s="17" t="n"/>
      <c r="L1183" s="29" t="n"/>
      <c r="M1183" s="18" t="n"/>
    </row>
    <row r="1184">
      <c r="A1184" s="28" t="inlineStr">
        <is>
          <t>1). 터파기</t>
        </is>
      </c>
      <c r="B1184" s="28" t="n"/>
      <c r="C1184" s="17" t="n"/>
      <c r="D1184" s="16" t="n"/>
      <c r="E1184" s="17" t="n"/>
      <c r="F1184" s="29" t="n"/>
      <c r="G1184" s="17" t="n"/>
      <c r="H1184" s="29" t="n"/>
      <c r="I1184" s="17" t="n"/>
      <c r="J1184" s="29" t="n"/>
      <c r="K1184" s="17" t="n"/>
      <c r="L1184" s="29" t="n"/>
      <c r="M1184" s="18" t="n"/>
    </row>
    <row r="1185">
      <c r="A1185" s="28" t="inlineStr">
        <is>
          <t>가). 토사</t>
        </is>
      </c>
      <c r="B1185" s="28" t="n"/>
      <c r="C1185" s="17" t="n"/>
      <c r="D1185" s="16" t="n"/>
      <c r="E1185" s="17" t="n"/>
      <c r="F1185" s="29" t="n"/>
      <c r="G1185" s="17" t="n"/>
      <c r="H1185" s="29" t="n"/>
      <c r="I1185" s="17" t="n"/>
      <c r="J1185" s="29" t="n"/>
      <c r="K1185" s="17" t="n"/>
      <c r="L1185" s="29" t="n"/>
      <c r="M1185" s="18" t="n"/>
    </row>
    <row r="1186">
      <c r="A1186" s="14" t="inlineStr">
        <is>
          <t>(1). 터파기(토사)</t>
        </is>
      </c>
      <c r="B1186" s="14" t="inlineStr">
        <is>
          <t>TYPE-1, 백호1.0, 기계100%</t>
        </is>
      </c>
      <c r="C1186" s="15" t="n">
        <v>1711</v>
      </c>
      <c r="D1186" s="16" t="inlineStr">
        <is>
          <t>㎥</t>
        </is>
      </c>
      <c r="E1186" s="15" t="n">
        <v>0</v>
      </c>
      <c r="F1186" s="15">
        <f>E1186*C1186</f>
        <v/>
      </c>
      <c r="G1186" s="15" t="n">
        <v>0</v>
      </c>
      <c r="H1186" s="15">
        <f>G1186*C1186</f>
        <v/>
      </c>
      <c r="I1186" s="15" t="n">
        <v>1558</v>
      </c>
      <c r="J1186" s="15">
        <f>I1186*C1186</f>
        <v/>
      </c>
      <c r="K1186" s="15">
        <f>E1186+G1186+I1186</f>
        <v/>
      </c>
      <c r="L1186" s="15">
        <f>F1186+H1186+J1186</f>
        <v/>
      </c>
      <c r="M1186" s="18" t="n"/>
    </row>
    <row r="1187">
      <c r="A1187" s="28" t="inlineStr">
        <is>
          <t>2). 되메우기</t>
        </is>
      </c>
      <c r="B1187" s="28" t="n"/>
      <c r="C1187" s="17" t="n"/>
      <c r="D1187" s="16" t="n"/>
      <c r="E1187" s="17" t="n"/>
      <c r="F1187" s="29" t="n"/>
      <c r="G1187" s="17" t="n"/>
      <c r="H1187" s="29" t="n"/>
      <c r="I1187" s="17" t="n"/>
      <c r="J1187" s="29" t="n"/>
      <c r="K1187" s="17" t="n"/>
      <c r="L1187" s="29" t="n"/>
      <c r="M1187" s="18" t="n"/>
    </row>
    <row r="1188">
      <c r="A1188" s="14" t="inlineStr">
        <is>
          <t>가). 되메우기및다짐(토사)</t>
        </is>
      </c>
      <c r="B1188" s="14" t="inlineStr">
        <is>
          <t>백호0.7+플레이트콤펙터1.5ton</t>
        </is>
      </c>
      <c r="C1188" s="15" t="n">
        <v>1504</v>
      </c>
      <c r="D1188" s="16" t="inlineStr">
        <is>
          <t>㎥</t>
        </is>
      </c>
      <c r="E1188" s="15" t="n">
        <v>0</v>
      </c>
      <c r="F1188" s="15">
        <f>E1188*C1188</f>
        <v/>
      </c>
      <c r="G1188" s="15" t="n">
        <v>2230</v>
      </c>
      <c r="H1188" s="15">
        <f>G1188*C1188</f>
        <v/>
      </c>
      <c r="I1188" s="15" t="n">
        <v>4381</v>
      </c>
      <c r="J1188" s="15">
        <f>I1188*C1188</f>
        <v/>
      </c>
      <c r="K1188" s="15">
        <f>E1188+G1188+I1188</f>
        <v/>
      </c>
      <c r="L1188" s="15">
        <f>F1188+H1188+J1188</f>
        <v/>
      </c>
      <c r="M1188" s="18" t="n"/>
    </row>
    <row r="1189">
      <c r="A1189" s="28" t="inlineStr">
        <is>
          <t>3). 잔토처리</t>
        </is>
      </c>
      <c r="B1189" s="28" t="n"/>
      <c r="C1189" s="17" t="n"/>
      <c r="D1189" s="16" t="n"/>
      <c r="E1189" s="17" t="n"/>
      <c r="F1189" s="29" t="n"/>
      <c r="G1189" s="17" t="n"/>
      <c r="H1189" s="29" t="n"/>
      <c r="I1189" s="17" t="n"/>
      <c r="J1189" s="29" t="n"/>
      <c r="K1189" s="17" t="n"/>
      <c r="L1189" s="29" t="n"/>
      <c r="M1189" s="18" t="n"/>
    </row>
    <row r="1190">
      <c r="A1190" s="14" t="inlineStr">
        <is>
          <t>가). 잔토처리(토사)</t>
        </is>
      </c>
      <c r="B1190" s="14" t="inlineStr">
        <is>
          <t>기계</t>
        </is>
      </c>
      <c r="C1190" s="15" t="n">
        <v>207</v>
      </c>
      <c r="D1190" s="16" t="inlineStr">
        <is>
          <t>㎥</t>
        </is>
      </c>
      <c r="E1190" s="15" t="n">
        <v>0</v>
      </c>
      <c r="F1190" s="15">
        <f>E1190*C1190</f>
        <v/>
      </c>
      <c r="G1190" s="15" t="n">
        <v>0</v>
      </c>
      <c r="H1190" s="15">
        <f>G1190*C1190</f>
        <v/>
      </c>
      <c r="I1190" s="15" t="n">
        <v>9736</v>
      </c>
      <c r="J1190" s="15">
        <f>I1190*C1190</f>
        <v/>
      </c>
      <c r="K1190" s="15">
        <f>E1190+G1190+I1190</f>
        <v/>
      </c>
      <c r="L1190" s="15">
        <f>F1190+H1190+J1190</f>
        <v/>
      </c>
      <c r="M1190" s="18" t="n"/>
    </row>
    <row r="1191">
      <c r="A1191" s="28" t="inlineStr">
        <is>
          <t>나. 관 로 공</t>
        </is>
      </c>
      <c r="B1191" s="28" t="n"/>
      <c r="C1191" s="17" t="n"/>
      <c r="D1191" s="16" t="n"/>
      <c r="E1191" s="17" t="n"/>
      <c r="F1191" s="29" t="n"/>
      <c r="G1191" s="17" t="n"/>
      <c r="H1191" s="29" t="n"/>
      <c r="I1191" s="17" t="n"/>
      <c r="J1191" s="29" t="n"/>
      <c r="K1191" s="17" t="n"/>
      <c r="L1191" s="29" t="n"/>
      <c r="M1191" s="18" t="n"/>
    </row>
    <row r="1192">
      <c r="A1192" s="28" t="inlineStr">
        <is>
          <t>1). 원심력철근콘크리트관 접합 및 부설</t>
        </is>
      </c>
      <c r="B1192" s="28" t="n"/>
      <c r="C1192" s="17" t="n"/>
      <c r="D1192" s="16" t="n"/>
      <c r="E1192" s="17" t="n"/>
      <c r="F1192" s="29" t="n"/>
      <c r="G1192" s="17" t="n"/>
      <c r="H1192" s="29" t="n"/>
      <c r="I1192" s="17" t="n"/>
      <c r="J1192" s="29" t="n"/>
      <c r="K1192" s="17" t="n"/>
      <c r="L1192" s="29" t="n"/>
      <c r="M1192" s="18" t="n"/>
    </row>
    <row r="1193">
      <c r="A1193" s="14" t="inlineStr">
        <is>
          <t>가). 원심력철근콘크리트관 접합및부설(소켓식)</t>
        </is>
      </c>
      <c r="B1193" s="14" t="inlineStr">
        <is>
          <t>Ø 250mm, 시공조건 B</t>
        </is>
      </c>
      <c r="C1193" s="15" t="n">
        <v>145</v>
      </c>
      <c r="D1193" s="16" t="inlineStr">
        <is>
          <t>m</t>
        </is>
      </c>
      <c r="E1193" s="15" t="n">
        <v>0</v>
      </c>
      <c r="F1193" s="15">
        <f>E1193*C1193</f>
        <v/>
      </c>
      <c r="G1193" s="15" t="n">
        <v>27828</v>
      </c>
      <c r="H1193" s="15">
        <f>G1193*C1193</f>
        <v/>
      </c>
      <c r="I1193" s="15" t="n">
        <v>33588</v>
      </c>
      <c r="J1193" s="15">
        <f>I1193*C1193</f>
        <v/>
      </c>
      <c r="K1193" s="15">
        <f>E1193+G1193+I1193</f>
        <v/>
      </c>
      <c r="L1193" s="15">
        <f>F1193+H1193+J1193</f>
        <v/>
      </c>
      <c r="M1193" s="18" t="n"/>
    </row>
    <row r="1194">
      <c r="A1194" s="14" t="inlineStr">
        <is>
          <t>다). 원심력철근콘크리트관 접합및부설(소켓식)</t>
        </is>
      </c>
      <c r="B1194" s="14" t="inlineStr">
        <is>
          <t>Ø 600mm, 시공조건 B</t>
        </is>
      </c>
      <c r="C1194" s="15" t="n">
        <v>177</v>
      </c>
      <c r="D1194" s="16" t="inlineStr">
        <is>
          <t>m</t>
        </is>
      </c>
      <c r="E1194" s="15" t="n">
        <v>0</v>
      </c>
      <c r="F1194" s="15">
        <f>E1194*C1194</f>
        <v/>
      </c>
      <c r="G1194" s="15" t="n">
        <v>33358</v>
      </c>
      <c r="H1194" s="15">
        <f>G1194*C1194</f>
        <v/>
      </c>
      <c r="I1194" s="15" t="n">
        <v>36957</v>
      </c>
      <c r="J1194" s="15">
        <f>I1194*C1194</f>
        <v/>
      </c>
      <c r="K1194" s="15">
        <f>E1194+G1194+I1194</f>
        <v/>
      </c>
      <c r="L1194" s="15">
        <f>F1194+H1194+J1194</f>
        <v/>
      </c>
      <c r="M1194" s="18" t="n"/>
    </row>
    <row r="1195">
      <c r="A1195" s="28" t="inlineStr">
        <is>
          <t>2). 관기초공</t>
        </is>
      </c>
      <c r="B1195" s="28" t="n"/>
      <c r="C1195" s="17" t="n"/>
      <c r="D1195" s="16" t="n"/>
      <c r="E1195" s="17" t="n"/>
      <c r="F1195" s="29" t="n"/>
      <c r="G1195" s="17" t="n"/>
      <c r="H1195" s="29" t="n"/>
      <c r="I1195" s="17" t="n"/>
      <c r="J1195" s="29" t="n"/>
      <c r="K1195" s="17" t="n"/>
      <c r="L1195" s="29" t="n"/>
      <c r="M1195" s="18" t="n"/>
    </row>
    <row r="1196">
      <c r="A1196" s="28" t="inlineStr">
        <is>
          <t>가). 콘크리트기초(90°)</t>
        </is>
      </c>
      <c r="B1196" s="28" t="n"/>
      <c r="C1196" s="17" t="n"/>
      <c r="D1196" s="16" t="n"/>
      <c r="E1196" s="17" t="n"/>
      <c r="F1196" s="29" t="n"/>
      <c r="G1196" s="17" t="n"/>
      <c r="H1196" s="29" t="n"/>
      <c r="I1196" s="17" t="n"/>
      <c r="J1196" s="29" t="n"/>
      <c r="K1196" s="17" t="n"/>
      <c r="L1196" s="29" t="n"/>
      <c r="M1196" s="18" t="n"/>
    </row>
    <row r="1197">
      <c r="A1197" s="14" t="inlineStr">
        <is>
          <t>(1) 콘크리트타설</t>
        </is>
      </c>
      <c r="B1197" s="14" t="inlineStr">
        <is>
          <t>장비사용, 무근구조물</t>
        </is>
      </c>
      <c r="C1197" s="15" t="n">
        <v>71</v>
      </c>
      <c r="D1197" s="16" t="inlineStr">
        <is>
          <t>㎥</t>
        </is>
      </c>
      <c r="E1197" s="15" t="n">
        <v>0</v>
      </c>
      <c r="F1197" s="15">
        <f>E1197*C1197</f>
        <v/>
      </c>
      <c r="G1197" s="15" t="n">
        <v>9811</v>
      </c>
      <c r="H1197" s="15">
        <f>G1197*C1197</f>
        <v/>
      </c>
      <c r="I1197" s="15" t="n">
        <v>17524</v>
      </c>
      <c r="J1197" s="15">
        <f>I1197*C1197</f>
        <v/>
      </c>
      <c r="K1197" s="15">
        <f>E1197+G1197+I1197</f>
        <v/>
      </c>
      <c r="L1197" s="15">
        <f>F1197+H1197+J1197</f>
        <v/>
      </c>
      <c r="M1197" s="18" t="n"/>
    </row>
    <row r="1198">
      <c r="A1198" s="14" t="inlineStr">
        <is>
          <t>(2) 거푸집</t>
        </is>
      </c>
      <c r="B1198" s="14" t="inlineStr">
        <is>
          <t>합판6회(간단)</t>
        </is>
      </c>
      <c r="C1198" s="15" t="n">
        <v>230</v>
      </c>
      <c r="D1198" s="16" t="inlineStr">
        <is>
          <t>㎡</t>
        </is>
      </c>
      <c r="E1198" s="15" t="n">
        <v>6690</v>
      </c>
      <c r="F1198" s="15">
        <f>E1198*C1198</f>
        <v/>
      </c>
      <c r="G1198" s="15" t="n">
        <v>17839</v>
      </c>
      <c r="H1198" s="15">
        <f>G1198*C1198</f>
        <v/>
      </c>
      <c r="I1198" s="15" t="n">
        <v>3408</v>
      </c>
      <c r="J1198" s="15">
        <f>I1198*C1198</f>
        <v/>
      </c>
      <c r="K1198" s="15">
        <f>E1198+G1198+I1198</f>
        <v/>
      </c>
      <c r="L1198" s="15">
        <f>F1198+H1198+J1198</f>
        <v/>
      </c>
      <c r="M1198" s="18" t="n"/>
    </row>
    <row r="1199">
      <c r="A1199" s="28" t="inlineStr">
        <is>
          <t>3). 원심력철근콘크리트관 천공 및 접합</t>
        </is>
      </c>
      <c r="B1199" s="28" t="n"/>
      <c r="C1199" s="17" t="n"/>
      <c r="D1199" s="16" t="n"/>
      <c r="E1199" s="17" t="n"/>
      <c r="F1199" s="29" t="n"/>
      <c r="G1199" s="17" t="n"/>
      <c r="H1199" s="29" t="n"/>
      <c r="I1199" s="17" t="n"/>
      <c r="J1199" s="29" t="n"/>
      <c r="K1199" s="17" t="n"/>
      <c r="L1199" s="29" t="n"/>
      <c r="M1199" s="18" t="n"/>
    </row>
    <row r="1200">
      <c r="A1200" s="14" t="inlineStr">
        <is>
          <t>가). 하수관 천공 및 접합</t>
        </is>
      </c>
      <c r="B1200" s="14" t="inlineStr">
        <is>
          <t>D600X250</t>
        </is>
      </c>
      <c r="C1200" s="15" t="n">
        <v>22</v>
      </c>
      <c r="D1200" s="16" t="inlineStr">
        <is>
          <t>개소</t>
        </is>
      </c>
      <c r="E1200" s="15" t="n">
        <v>0</v>
      </c>
      <c r="F1200" s="15">
        <f>E1200*C1200</f>
        <v/>
      </c>
      <c r="G1200" s="15" t="n">
        <v>53516</v>
      </c>
      <c r="H1200" s="15">
        <f>G1200*C1200</f>
        <v/>
      </c>
      <c r="I1200" s="15" t="n">
        <v>17524</v>
      </c>
      <c r="J1200" s="15">
        <f>I1200*C1200</f>
        <v/>
      </c>
      <c r="K1200" s="15">
        <f>E1200+G1200+I1200</f>
        <v/>
      </c>
      <c r="L1200" s="15">
        <f>F1200+H1200+J1200</f>
        <v/>
      </c>
      <c r="M1200" s="18" t="n"/>
    </row>
    <row r="1201">
      <c r="A1201" s="28" t="inlineStr">
        <is>
          <t>4). 원심력철근콘크리트관 절단</t>
        </is>
      </c>
      <c r="B1201" s="28" t="n"/>
      <c r="C1201" s="17" t="n"/>
      <c r="D1201" s="16" t="n"/>
      <c r="E1201" s="17" t="n"/>
      <c r="F1201" s="29" t="n"/>
      <c r="G1201" s="17" t="n"/>
      <c r="H1201" s="29" t="n"/>
      <c r="I1201" s="17" t="n"/>
      <c r="J1201" s="29" t="n"/>
      <c r="K1201" s="17" t="n"/>
      <c r="L1201" s="29" t="n"/>
      <c r="M1201" s="18" t="n"/>
    </row>
    <row r="1202">
      <c r="A1202" s="14" t="inlineStr">
        <is>
          <t>가). 원심력철근콘크리트관 절단</t>
        </is>
      </c>
      <c r="B1202" s="14" t="inlineStr">
        <is>
          <t>Ø 250 MM</t>
        </is>
      </c>
      <c r="C1202" s="15" t="n">
        <v>22</v>
      </c>
      <c r="D1202" s="16" t="inlineStr">
        <is>
          <t>개소</t>
        </is>
      </c>
      <c r="E1202" s="15" t="n">
        <v>0</v>
      </c>
      <c r="F1202" s="15">
        <f>E1202*C1202</f>
        <v/>
      </c>
      <c r="G1202" s="15" t="n">
        <v>57039</v>
      </c>
      <c r="H1202" s="15">
        <f>G1202*C1202</f>
        <v/>
      </c>
      <c r="I1202" s="15" t="n">
        <v>18693</v>
      </c>
      <c r="J1202" s="15">
        <f>I1202*C1202</f>
        <v/>
      </c>
      <c r="K1202" s="15">
        <f>E1202+G1202+I1202</f>
        <v/>
      </c>
      <c r="L1202" s="15">
        <f>F1202+H1202+J1202</f>
        <v/>
      </c>
      <c r="M1202" s="18" t="n"/>
    </row>
    <row r="1203">
      <c r="A1203" s="14" t="inlineStr">
        <is>
          <t>나). 원심력철근콘크리트관 절단</t>
        </is>
      </c>
      <c r="B1203" s="14" t="inlineStr">
        <is>
          <t>Ø 600 MM</t>
        </is>
      </c>
      <c r="C1203" s="15" t="n">
        <v>4</v>
      </c>
      <c r="D1203" s="16" t="inlineStr">
        <is>
          <t>개소</t>
        </is>
      </c>
      <c r="E1203" s="15" t="n">
        <v>0</v>
      </c>
      <c r="F1203" s="15">
        <f>E1203*C1203</f>
        <v/>
      </c>
      <c r="G1203" s="15" t="n">
        <v>57039</v>
      </c>
      <c r="H1203" s="15">
        <f>G1203*C1203</f>
        <v/>
      </c>
      <c r="I1203" s="15" t="n">
        <v>18693</v>
      </c>
      <c r="J1203" s="15">
        <f>I1203*C1203</f>
        <v/>
      </c>
      <c r="K1203" s="15">
        <f>E1203+G1203+I1203</f>
        <v/>
      </c>
      <c r="L1203" s="15">
        <f>F1203+H1203+J1203</f>
        <v/>
      </c>
      <c r="M1203" s="18" t="n"/>
    </row>
    <row r="1204">
      <c r="A1204" s="28" t="inlineStr">
        <is>
          <t>5). 관거내부조사 및 경고용테이프</t>
        </is>
      </c>
      <c r="B1204" s="28" t="n"/>
      <c r="C1204" s="17" t="n"/>
      <c r="D1204" s="16" t="n"/>
      <c r="E1204" s="17" t="n"/>
      <c r="F1204" s="29" t="n"/>
      <c r="G1204" s="17" t="n"/>
      <c r="H1204" s="29" t="n"/>
      <c r="I1204" s="17" t="n"/>
      <c r="J1204" s="29" t="n"/>
      <c r="K1204" s="17" t="n"/>
      <c r="L1204" s="29" t="n"/>
      <c r="M1204" s="18" t="n"/>
    </row>
    <row r="1205">
      <c r="A1205" s="14" t="inlineStr">
        <is>
          <t>가). 관로경고용테이프</t>
        </is>
      </c>
      <c r="B1205" s="14" t="inlineStr">
        <is>
          <t>200mmx1m</t>
        </is>
      </c>
      <c r="C1205" s="15" t="n">
        <v>177</v>
      </c>
      <c r="D1205" s="16" t="inlineStr">
        <is>
          <t>m</t>
        </is>
      </c>
      <c r="E1205" s="15" t="n">
        <v>446</v>
      </c>
      <c r="F1205" s="15">
        <f>E1205*C1205</f>
        <v/>
      </c>
      <c r="G1205" s="15" t="n">
        <v>446</v>
      </c>
      <c r="H1205" s="15">
        <f>G1205*C1205</f>
        <v/>
      </c>
      <c r="I1205" s="15" t="n">
        <v>0</v>
      </c>
      <c r="J1205" s="15">
        <f>I1205*C1205</f>
        <v/>
      </c>
      <c r="K1205" s="15">
        <f>E1205+G1205+I1205</f>
        <v/>
      </c>
      <c r="L1205" s="15">
        <f>F1205+H1205+J1205</f>
        <v/>
      </c>
      <c r="M1205" s="18" t="n"/>
    </row>
    <row r="1206">
      <c r="A1206" s="28" t="inlineStr">
        <is>
          <t>다. 우수맨홀</t>
        </is>
      </c>
      <c r="B1206" s="28" t="n"/>
      <c r="C1206" s="17" t="n"/>
      <c r="D1206" s="16" t="n"/>
      <c r="E1206" s="17" t="n"/>
      <c r="F1206" s="29" t="n"/>
      <c r="G1206" s="17" t="n"/>
      <c r="H1206" s="29" t="n"/>
      <c r="I1206" s="17" t="n"/>
      <c r="J1206" s="29" t="n"/>
      <c r="K1206" s="17" t="n"/>
      <c r="L1206" s="29" t="n"/>
      <c r="M1206" s="18" t="n"/>
    </row>
    <row r="1207">
      <c r="A1207" s="28" t="inlineStr">
        <is>
          <t>1). 원형맨홀</t>
        </is>
      </c>
      <c r="B1207" s="28" t="n"/>
      <c r="C1207" s="17" t="n"/>
      <c r="D1207" s="16" t="n"/>
      <c r="E1207" s="17" t="n"/>
      <c r="F1207" s="29" t="n"/>
      <c r="G1207" s="17" t="n"/>
      <c r="H1207" s="29" t="n"/>
      <c r="I1207" s="17" t="n"/>
      <c r="J1207" s="29" t="n"/>
      <c r="K1207" s="17" t="n"/>
      <c r="L1207" s="29" t="n"/>
      <c r="M1207" s="18" t="n"/>
    </row>
    <row r="1208">
      <c r="A1208" s="14" t="inlineStr">
        <is>
          <t>가). 우수 원형2호 맨홀</t>
        </is>
      </c>
      <c r="B1208" s="14" t="inlineStr">
        <is>
          <t>D1200, H=1.7m, 차도</t>
        </is>
      </c>
      <c r="C1208" s="15" t="n">
        <v>4</v>
      </c>
      <c r="D1208" s="16" t="inlineStr">
        <is>
          <t>개소</t>
        </is>
      </c>
      <c r="E1208" s="15" t="n">
        <v>758143</v>
      </c>
      <c r="F1208" s="15">
        <f>E1208*C1208</f>
        <v/>
      </c>
      <c r="G1208" s="15" t="n">
        <v>185076</v>
      </c>
      <c r="H1208" s="15">
        <f>G1208*C1208</f>
        <v/>
      </c>
      <c r="I1208" s="15" t="n">
        <v>231223</v>
      </c>
      <c r="J1208" s="15">
        <f>I1208*C1208</f>
        <v/>
      </c>
      <c r="K1208" s="15">
        <f>E1208+G1208+I1208</f>
        <v/>
      </c>
      <c r="L1208" s="15">
        <f>F1208+H1208+J1208</f>
        <v/>
      </c>
      <c r="M1208" s="18" t="n"/>
    </row>
    <row r="1209">
      <c r="A1209" s="28" t="inlineStr">
        <is>
          <t>2). 맨홀접합부</t>
        </is>
      </c>
      <c r="B1209" s="28" t="n"/>
      <c r="C1209" s="17" t="n"/>
      <c r="D1209" s="16" t="n"/>
      <c r="E1209" s="17" t="n"/>
      <c r="F1209" s="29" t="n"/>
      <c r="G1209" s="17" t="n"/>
      <c r="H1209" s="29" t="n"/>
      <c r="I1209" s="17" t="n"/>
      <c r="J1209" s="29" t="n"/>
      <c r="K1209" s="17" t="n"/>
      <c r="L1209" s="29" t="n"/>
      <c r="M1209" s="18" t="n"/>
    </row>
    <row r="1210">
      <c r="A1210" s="14" t="inlineStr">
        <is>
          <t>가). 무수축몰탈</t>
        </is>
      </c>
      <c r="B1210" s="14" t="inlineStr">
        <is>
          <t>1:1, 자재비별산</t>
        </is>
      </c>
      <c r="C1210" s="61" t="n">
        <v>0.926</v>
      </c>
      <c r="D1210" s="16" t="inlineStr">
        <is>
          <t>㎥</t>
        </is>
      </c>
      <c r="E1210" s="15" t="n">
        <v>0</v>
      </c>
      <c r="F1210" s="15">
        <f>E1210*C1210</f>
        <v/>
      </c>
      <c r="G1210" s="15" t="n">
        <v>165186</v>
      </c>
      <c r="H1210" s="15">
        <f>G1210*C1210</f>
        <v/>
      </c>
      <c r="I1210" s="15" t="n">
        <v>0</v>
      </c>
      <c r="J1210" s="15">
        <f>I1210*C1210</f>
        <v/>
      </c>
      <c r="K1210" s="15">
        <f>E1210+G1210+I1210</f>
        <v/>
      </c>
      <c r="L1210" s="15">
        <f>F1210+H1210+J1210</f>
        <v/>
      </c>
      <c r="M1210" s="18" t="n"/>
    </row>
    <row r="1211">
      <c r="A1211" s="28" t="inlineStr">
        <is>
          <t>라. 빗물받이</t>
        </is>
      </c>
      <c r="B1211" s="28" t="n"/>
      <c r="C1211" s="17" t="n"/>
      <c r="D1211" s="16" t="n"/>
      <c r="E1211" s="17" t="n"/>
      <c r="F1211" s="29" t="n"/>
      <c r="G1211" s="17" t="n"/>
      <c r="H1211" s="29" t="n"/>
      <c r="I1211" s="17" t="n"/>
      <c r="J1211" s="29" t="n"/>
      <c r="K1211" s="17" t="n"/>
      <c r="L1211" s="29" t="n"/>
      <c r="M1211" s="18" t="n"/>
    </row>
    <row r="1212">
      <c r="A1212" s="28" t="inlineStr">
        <is>
          <t>1). 1호 우수받이</t>
        </is>
      </c>
      <c r="B1212" s="28" t="n"/>
      <c r="C1212" s="17" t="n"/>
      <c r="D1212" s="16" t="n"/>
      <c r="E1212" s="17" t="n"/>
      <c r="F1212" s="29" t="n"/>
      <c r="G1212" s="17" t="n"/>
      <c r="H1212" s="29" t="n"/>
      <c r="I1212" s="17" t="n"/>
      <c r="J1212" s="29" t="n"/>
      <c r="K1212" s="17" t="n"/>
      <c r="L1212" s="29" t="n"/>
      <c r="M1212" s="18" t="n"/>
    </row>
    <row r="1213">
      <c r="A1213" s="14" t="inlineStr">
        <is>
          <t>가). 1호 우수받이</t>
        </is>
      </c>
      <c r="B1213" s="14" t="inlineStr">
        <is>
          <t>0.3×0.4×0.9m, 스틸그레이팅포함</t>
        </is>
      </c>
      <c r="C1213" s="15" t="n">
        <v>22</v>
      </c>
      <c r="D1213" s="16" t="inlineStr">
        <is>
          <t>개소</t>
        </is>
      </c>
      <c r="E1213" s="15" t="n">
        <v>65111</v>
      </c>
      <c r="F1213" s="15">
        <f>E1213*C1213</f>
        <v/>
      </c>
      <c r="G1213" s="15" t="n">
        <v>48164</v>
      </c>
      <c r="H1213" s="15">
        <f>G1213*C1213</f>
        <v/>
      </c>
      <c r="I1213" s="15" t="n">
        <v>65190</v>
      </c>
      <c r="J1213" s="15">
        <f>I1213*C1213</f>
        <v/>
      </c>
      <c r="K1213" s="15">
        <f>E1213+G1213+I1213</f>
        <v/>
      </c>
      <c r="L1213" s="15">
        <f>F1213+H1213+J1213</f>
        <v/>
      </c>
      <c r="M1213" s="18" t="n"/>
    </row>
    <row r="1214">
      <c r="A1214" s="28" t="inlineStr">
        <is>
          <t>마. 벤치플륨관</t>
        </is>
      </c>
      <c r="B1214" s="28" t="n"/>
      <c r="C1214" s="17" t="n"/>
      <c r="D1214" s="16" t="n"/>
      <c r="E1214" s="17" t="n"/>
      <c r="F1214" s="29" t="n"/>
      <c r="G1214" s="17" t="n"/>
      <c r="H1214" s="29" t="n"/>
      <c r="I1214" s="17" t="n"/>
      <c r="J1214" s="29" t="n"/>
      <c r="K1214" s="17" t="n"/>
      <c r="L1214" s="29" t="n"/>
      <c r="M1214" s="18" t="n"/>
    </row>
    <row r="1215">
      <c r="A1215" s="14" t="inlineStr">
        <is>
          <t>1). 벤치플륨관</t>
        </is>
      </c>
      <c r="B1215" s="14" t="inlineStr">
        <is>
          <t>1000x1000</t>
        </is>
      </c>
      <c r="C1215" s="15" t="n">
        <v>54</v>
      </c>
      <c r="D1215" s="16" t="inlineStr">
        <is>
          <t>m</t>
        </is>
      </c>
      <c r="E1215" s="15" t="n">
        <v>84734</v>
      </c>
      <c r="F1215" s="15">
        <f>E1215*C1215</f>
        <v/>
      </c>
      <c r="G1215" s="15" t="n">
        <v>20604</v>
      </c>
      <c r="H1215" s="15">
        <f>G1215*C1215</f>
        <v/>
      </c>
      <c r="I1215" s="15" t="n">
        <v>33821</v>
      </c>
      <c r="J1215" s="15">
        <f>I1215*C1215</f>
        <v/>
      </c>
      <c r="K1215" s="15">
        <f>E1215+G1215+I1215</f>
        <v/>
      </c>
      <c r="L1215" s="15">
        <f>F1215+H1215+J1215</f>
        <v/>
      </c>
      <c r="M1215" s="18" t="n"/>
    </row>
    <row r="1216">
      <c r="A1216" s="28" t="inlineStr">
        <is>
          <t>바. 배수암거</t>
        </is>
      </c>
      <c r="B1216" s="28" t="n"/>
      <c r="C1216" s="17" t="n"/>
      <c r="D1216" s="16" t="n"/>
      <c r="E1216" s="17" t="n"/>
      <c r="F1216" s="29" t="n"/>
      <c r="G1216" s="17" t="n"/>
      <c r="H1216" s="29" t="n"/>
      <c r="I1216" s="17" t="n"/>
      <c r="J1216" s="29" t="n"/>
      <c r="K1216" s="17" t="n"/>
      <c r="L1216" s="29" t="n"/>
      <c r="M1216" s="18" t="n"/>
    </row>
    <row r="1217">
      <c r="A1217" s="14" t="inlineStr">
        <is>
          <t>1). 콘크리트타설</t>
        </is>
      </c>
      <c r="B1217" s="14" t="inlineStr">
        <is>
          <t>장비사용, 철근구조물</t>
        </is>
      </c>
      <c r="C1217" s="15" t="n">
        <v>10</v>
      </c>
      <c r="D1217" s="16" t="inlineStr">
        <is>
          <t>㎥</t>
        </is>
      </c>
      <c r="E1217" s="15" t="n">
        <v>0</v>
      </c>
      <c r="F1217" s="15">
        <f>E1217*C1217</f>
        <v/>
      </c>
      <c r="G1217" s="15" t="n">
        <v>12487</v>
      </c>
      <c r="H1217" s="15">
        <f>G1217*C1217</f>
        <v/>
      </c>
      <c r="I1217" s="15" t="n">
        <v>11975</v>
      </c>
      <c r="J1217" s="15">
        <f>I1217*C1217</f>
        <v/>
      </c>
      <c r="K1217" s="15">
        <f>E1217+G1217+I1217</f>
        <v/>
      </c>
      <c r="L1217" s="15">
        <f>F1217+H1217+J1217</f>
        <v/>
      </c>
      <c r="M1217" s="18" t="n"/>
    </row>
    <row r="1218">
      <c r="A1218" s="14" t="inlineStr">
        <is>
          <t>2). 콘크리트타설</t>
        </is>
      </c>
      <c r="B1218" s="14" t="inlineStr">
        <is>
          <t>장비사용, 무근구조물</t>
        </is>
      </c>
      <c r="C1218" s="15" t="n">
        <v>1</v>
      </c>
      <c r="D1218" s="16" t="inlineStr">
        <is>
          <t>㎥</t>
        </is>
      </c>
      <c r="E1218" s="15" t="n">
        <v>0</v>
      </c>
      <c r="F1218" s="15">
        <f>E1218*C1218</f>
        <v/>
      </c>
      <c r="G1218" s="15" t="n">
        <v>11595</v>
      </c>
      <c r="H1218" s="15">
        <f>G1218*C1218</f>
        <v/>
      </c>
      <c r="I1218" s="15" t="n">
        <v>10709</v>
      </c>
      <c r="J1218" s="15">
        <f>I1218*C1218</f>
        <v/>
      </c>
      <c r="K1218" s="15">
        <f>E1218+G1218+I1218</f>
        <v/>
      </c>
      <c r="L1218" s="15">
        <f>F1218+H1218+J1218</f>
        <v/>
      </c>
      <c r="M1218" s="18" t="n"/>
    </row>
    <row r="1219">
      <c r="A1219" s="14" t="inlineStr">
        <is>
          <t>3). 철근가공조립(현장)</t>
        </is>
      </c>
      <c r="B1219" s="14" t="inlineStr">
        <is>
          <t>TYPE-1-1</t>
        </is>
      </c>
      <c r="C1219" s="61" t="n">
        <v>1.167</v>
      </c>
      <c r="D1219" s="16" t="inlineStr">
        <is>
          <t>ton</t>
        </is>
      </c>
      <c r="E1219" s="15" t="n">
        <v>66895</v>
      </c>
      <c r="F1219" s="15">
        <f>E1219*C1219</f>
        <v/>
      </c>
      <c r="G1219" s="15" t="n">
        <v>490563</v>
      </c>
      <c r="H1219" s="15">
        <f>G1219*C1219</f>
        <v/>
      </c>
      <c r="I1219" s="15" t="n">
        <v>82753</v>
      </c>
      <c r="J1219" s="15">
        <f>I1219*C1219</f>
        <v/>
      </c>
      <c r="K1219" s="15">
        <f>E1219+G1219+I1219</f>
        <v/>
      </c>
      <c r="L1219" s="15">
        <f>F1219+H1219+J1219</f>
        <v/>
      </c>
      <c r="M1219" s="18" t="n"/>
    </row>
    <row r="1220">
      <c r="A1220" s="14" t="inlineStr">
        <is>
          <t>4). 거푸집</t>
        </is>
      </c>
      <c r="B1220" s="14" t="inlineStr">
        <is>
          <t>합판4회(보통)</t>
        </is>
      </c>
      <c r="C1220" s="15" t="n">
        <v>97</v>
      </c>
      <c r="D1220" s="16" t="inlineStr">
        <is>
          <t>㎡</t>
        </is>
      </c>
      <c r="E1220" s="15" t="n">
        <v>8473</v>
      </c>
      <c r="F1220" s="15">
        <f>E1220*C1220</f>
        <v/>
      </c>
      <c r="G1220" s="15" t="n">
        <v>28542</v>
      </c>
      <c r="H1220" s="15">
        <f>G1220*C1220</f>
        <v/>
      </c>
      <c r="I1220" s="15" t="n">
        <v>1947</v>
      </c>
      <c r="J1220" s="15">
        <f>I1220*C1220</f>
        <v/>
      </c>
      <c r="K1220" s="15">
        <f>E1220+G1220+I1220</f>
        <v/>
      </c>
      <c r="L1220" s="15">
        <f>F1220+H1220+J1220</f>
        <v/>
      </c>
      <c r="M1220" s="18" t="n"/>
    </row>
    <row r="1221">
      <c r="A1221" s="14" t="inlineStr">
        <is>
          <t>5). 거푸집</t>
        </is>
      </c>
      <c r="B1221" s="14" t="inlineStr">
        <is>
          <t>합판6회(간단)</t>
        </is>
      </c>
      <c r="C1221" s="15" t="n">
        <v>1</v>
      </c>
      <c r="D1221" s="16" t="inlineStr">
        <is>
          <t>㎡</t>
        </is>
      </c>
      <c r="E1221" s="15" t="n">
        <v>6690</v>
      </c>
      <c r="F1221" s="15">
        <f>E1221*C1221</f>
        <v/>
      </c>
      <c r="G1221" s="15" t="n">
        <v>17839</v>
      </c>
      <c r="H1221" s="15">
        <f>G1221*C1221</f>
        <v/>
      </c>
      <c r="I1221" s="15" t="n">
        <v>3408</v>
      </c>
      <c r="J1221" s="15">
        <f>I1221*C1221</f>
        <v/>
      </c>
      <c r="K1221" s="15">
        <f>E1221+G1221+I1221</f>
        <v/>
      </c>
      <c r="L1221" s="15">
        <f>F1221+H1221+J1221</f>
        <v/>
      </c>
      <c r="M1221" s="18" t="n"/>
    </row>
    <row r="1222">
      <c r="A1222" s="14" t="inlineStr">
        <is>
          <t>6). 스페이셔설치</t>
        </is>
      </c>
      <c r="B1222" s="14" t="inlineStr">
        <is>
          <t>수직</t>
        </is>
      </c>
      <c r="C1222" s="15" t="n">
        <v>88</v>
      </c>
      <c r="D1222" s="16" t="inlineStr">
        <is>
          <t>㎡</t>
        </is>
      </c>
      <c r="E1222" s="15" t="n">
        <v>446</v>
      </c>
      <c r="F1222" s="15">
        <f>E1222*C1222</f>
        <v/>
      </c>
      <c r="G1222" s="15" t="n">
        <v>892</v>
      </c>
      <c r="H1222" s="15">
        <f>G1222*C1222</f>
        <v/>
      </c>
      <c r="I1222" s="15" t="n">
        <v>0</v>
      </c>
      <c r="J1222" s="15">
        <f>I1222*C1222</f>
        <v/>
      </c>
      <c r="K1222" s="15">
        <f>E1222+G1222+I1222</f>
        <v/>
      </c>
      <c r="L1222" s="15">
        <f>F1222+H1222+J1222</f>
        <v/>
      </c>
      <c r="M1222" s="18" t="n"/>
    </row>
    <row r="1223">
      <c r="A1223" s="14" t="inlineStr">
        <is>
          <t>7). 스페이셔설치</t>
        </is>
      </c>
      <c r="B1223" s="14" t="inlineStr">
        <is>
          <t>수평</t>
        </is>
      </c>
      <c r="C1223" s="15" t="n">
        <v>15</v>
      </c>
      <c r="D1223" s="16" t="inlineStr">
        <is>
          <t>㎡</t>
        </is>
      </c>
      <c r="E1223" s="15" t="n">
        <v>446</v>
      </c>
      <c r="F1223" s="15">
        <f>E1223*C1223</f>
        <v/>
      </c>
      <c r="G1223" s="15" t="n">
        <v>892</v>
      </c>
      <c r="H1223" s="15">
        <f>G1223*C1223</f>
        <v/>
      </c>
      <c r="I1223" s="15" t="n">
        <v>0</v>
      </c>
      <c r="J1223" s="15">
        <f>I1223*C1223</f>
        <v/>
      </c>
      <c r="K1223" s="15">
        <f>E1223+G1223+I1223</f>
        <v/>
      </c>
      <c r="L1223" s="15">
        <f>F1223+H1223+J1223</f>
        <v/>
      </c>
      <c r="M1223" s="18" t="n"/>
    </row>
    <row r="1224">
      <c r="A1224" s="14" t="inlineStr">
        <is>
          <t>8). 신축이음(Joint filler)</t>
        </is>
      </c>
      <c r="B1224" s="14" t="inlineStr">
        <is>
          <t>t=20mm</t>
        </is>
      </c>
      <c r="C1224" s="15" t="n">
        <v>5</v>
      </c>
      <c r="D1224" s="16" t="inlineStr">
        <is>
          <t>㎡</t>
        </is>
      </c>
      <c r="E1224" s="15" t="n">
        <v>11149</v>
      </c>
      <c r="F1224" s="15">
        <f>E1224*C1224</f>
        <v/>
      </c>
      <c r="G1224" s="15" t="n">
        <v>8919</v>
      </c>
      <c r="H1224" s="15">
        <f>G1224*C1224</f>
        <v/>
      </c>
      <c r="I1224" s="15" t="n">
        <v>0</v>
      </c>
      <c r="J1224" s="15">
        <f>I1224*C1224</f>
        <v/>
      </c>
      <c r="K1224" s="15">
        <f>E1224+G1224+I1224</f>
        <v/>
      </c>
      <c r="L1224" s="15">
        <f>F1224+H1224+J1224</f>
        <v/>
      </c>
      <c r="M1224" s="18" t="n"/>
    </row>
    <row r="1225">
      <c r="A1225" s="14" t="inlineStr">
        <is>
          <t>9). DOWEL BAR(옹벽용)</t>
        </is>
      </c>
      <c r="B1225" s="14" t="inlineStr">
        <is>
          <t>Ø32×800(기성품)</t>
        </is>
      </c>
      <c r="C1225" s="15" t="n">
        <v>72</v>
      </c>
      <c r="D1225" s="16" t="inlineStr">
        <is>
          <t>ea</t>
        </is>
      </c>
      <c r="E1225" s="15" t="n">
        <v>11417</v>
      </c>
      <c r="F1225" s="15">
        <f>E1225*C1225</f>
        <v/>
      </c>
      <c r="G1225" s="15" t="n">
        <v>2230</v>
      </c>
      <c r="H1225" s="15">
        <f>G1225*C1225</f>
        <v/>
      </c>
      <c r="I1225" s="15" t="n">
        <v>0</v>
      </c>
      <c r="J1225" s="15">
        <f>I1225*C1225</f>
        <v/>
      </c>
      <c r="K1225" s="15">
        <f>E1225+G1225+I1225</f>
        <v/>
      </c>
      <c r="L1225" s="15">
        <f>F1225+H1225+J1225</f>
        <v/>
      </c>
      <c r="M1225" s="18" t="n"/>
    </row>
    <row r="1226">
      <c r="A1226" s="14" t="inlineStr">
        <is>
          <t>15). 실링마감(실런트)</t>
        </is>
      </c>
      <c r="B1226" s="14" t="inlineStr">
        <is>
          <t>20×25</t>
        </is>
      </c>
      <c r="C1226" s="15" t="n">
        <v>22</v>
      </c>
      <c r="D1226" s="16" t="inlineStr">
        <is>
          <t>m</t>
        </is>
      </c>
      <c r="E1226" s="15" t="n">
        <v>2854</v>
      </c>
      <c r="F1226" s="15">
        <f>E1226*C1226</f>
        <v/>
      </c>
      <c r="G1226" s="15" t="n">
        <v>5798</v>
      </c>
      <c r="H1226" s="15">
        <f>G1226*C1226</f>
        <v/>
      </c>
      <c r="I1226" s="15" t="n">
        <v>0</v>
      </c>
      <c r="J1226" s="15">
        <f>I1226*C1226</f>
        <v/>
      </c>
      <c r="K1226" s="15">
        <f>E1226+G1226+I1226</f>
        <v/>
      </c>
      <c r="L1226" s="15">
        <f>F1226+H1226+J1226</f>
        <v/>
      </c>
      <c r="M1226" s="18" t="n"/>
    </row>
    <row r="1227">
      <c r="A1227" s="14" t="inlineStr">
        <is>
          <t>16). 기초지정</t>
        </is>
      </c>
      <c r="B1227" s="14" t="inlineStr">
        <is>
          <t>잡석지정, 재료비 제외</t>
        </is>
      </c>
      <c r="C1227" s="15" t="n">
        <v>11</v>
      </c>
      <c r="D1227" s="16" t="inlineStr">
        <is>
          <t>㎥</t>
        </is>
      </c>
      <c r="E1227" s="15" t="n">
        <v>0</v>
      </c>
      <c r="F1227" s="15">
        <f>E1227*C1227</f>
        <v/>
      </c>
      <c r="G1227" s="15" t="n">
        <v>2230</v>
      </c>
      <c r="H1227" s="15">
        <f>G1227*C1227</f>
        <v/>
      </c>
      <c r="I1227" s="15" t="n">
        <v>3038</v>
      </c>
      <c r="J1227" s="15">
        <f>I1227*C1227</f>
        <v/>
      </c>
      <c r="K1227" s="15">
        <f>E1227+G1227+I1227</f>
        <v/>
      </c>
      <c r="L1227" s="15">
        <f>F1227+H1227+J1227</f>
        <v/>
      </c>
      <c r="M1227" s="18" t="n"/>
    </row>
    <row r="1228">
      <c r="A1228" s="28" t="inlineStr">
        <is>
          <t>17). 부대공</t>
        </is>
      </c>
      <c r="B1228" s="28" t="n"/>
      <c r="C1228" s="17" t="n"/>
      <c r="D1228" s="16" t="n"/>
      <c r="E1228" s="17" t="n"/>
      <c r="F1228" s="29" t="n"/>
      <c r="G1228" s="17" t="n"/>
      <c r="H1228" s="29" t="n"/>
      <c r="I1228" s="17" t="n"/>
      <c r="J1228" s="29" t="n"/>
      <c r="K1228" s="17" t="n"/>
      <c r="L1228" s="29" t="n"/>
      <c r="M1228" s="18" t="n"/>
    </row>
    <row r="1229">
      <c r="A1229" s="14" t="inlineStr">
        <is>
          <t>가). 철근운반비</t>
        </is>
      </c>
      <c r="B1229" s="14" t="inlineStr">
        <is>
          <t>L=10km이내</t>
        </is>
      </c>
      <c r="C1229" s="61" t="n">
        <v>1.207</v>
      </c>
      <c r="D1229" s="16" t="inlineStr">
        <is>
          <t>Ton</t>
        </is>
      </c>
      <c r="E1229" s="15" t="n">
        <v>0</v>
      </c>
      <c r="F1229" s="15">
        <f>E1229*C1229</f>
        <v/>
      </c>
      <c r="G1229" s="15" t="n">
        <v>0</v>
      </c>
      <c r="H1229" s="15">
        <f>G1229*C1229</f>
        <v/>
      </c>
      <c r="I1229" s="15" t="n">
        <v>19471</v>
      </c>
      <c r="J1229" s="15">
        <f>I1229*C1229</f>
        <v/>
      </c>
      <c r="K1229" s="15">
        <f>E1229+G1229+I1229</f>
        <v/>
      </c>
      <c r="L1229" s="15">
        <f>F1229+H1229+J1229</f>
        <v/>
      </c>
      <c r="M1229" s="18" t="n"/>
    </row>
    <row r="1230">
      <c r="A1230" s="14" t="inlineStr">
        <is>
          <t>나). 고철(고재)</t>
        </is>
      </c>
      <c r="B1230" s="14" t="inlineStr">
        <is>
          <t>중량A</t>
        </is>
      </c>
      <c r="C1230" s="61" t="n">
        <v>0.028</v>
      </c>
      <c r="D1230" s="16" t="inlineStr">
        <is>
          <t>Ton</t>
        </is>
      </c>
      <c r="E1230" s="15" t="n">
        <v>-336571</v>
      </c>
      <c r="F1230" s="15">
        <f>E1230*C1230</f>
        <v/>
      </c>
      <c r="G1230" s="15" t="n">
        <v>0</v>
      </c>
      <c r="H1230" s="15">
        <f>G1230*C1230</f>
        <v/>
      </c>
      <c r="I1230" s="15" t="n">
        <v>0</v>
      </c>
      <c r="J1230" s="15">
        <f>I1230*C1230</f>
        <v/>
      </c>
      <c r="K1230" s="15">
        <f>E1230+G1230+I1230</f>
        <v/>
      </c>
      <c r="L1230" s="15">
        <f>F1230+H1230+J1230</f>
        <v/>
      </c>
      <c r="M1230" s="18" t="n"/>
    </row>
    <row r="1231">
      <c r="A1231" s="28" t="inlineStr">
        <is>
          <t>바. 주요자재 구입 및 운반</t>
        </is>
      </c>
      <c r="B1231" s="28" t="n"/>
      <c r="C1231" s="17" t="n"/>
      <c r="D1231" s="16" t="n"/>
      <c r="E1231" s="17" t="n"/>
      <c r="F1231" s="29" t="n"/>
      <c r="G1231" s="17" t="n"/>
      <c r="H1231" s="29" t="n"/>
      <c r="I1231" s="17" t="n"/>
      <c r="J1231" s="29" t="n"/>
      <c r="K1231" s="17" t="n"/>
      <c r="L1231" s="29" t="n"/>
      <c r="M1231" s="18" t="n"/>
    </row>
    <row r="1232">
      <c r="A1232" s="28" t="inlineStr">
        <is>
          <t>1). 시멘트</t>
        </is>
      </c>
      <c r="B1232" s="28" t="n"/>
      <c r="C1232" s="17" t="n"/>
      <c r="D1232" s="16" t="n"/>
      <c r="E1232" s="17" t="n"/>
      <c r="F1232" s="29" t="n"/>
      <c r="G1232" s="17" t="n"/>
      <c r="H1232" s="29" t="n"/>
      <c r="I1232" s="17" t="n"/>
      <c r="J1232" s="29" t="n"/>
      <c r="K1232" s="17" t="n"/>
      <c r="L1232" s="29" t="n"/>
      <c r="M1232" s="18" t="n"/>
    </row>
    <row r="1233">
      <c r="A1233" s="14" t="inlineStr">
        <is>
          <t>가). 보통시멘트</t>
        </is>
      </c>
      <c r="B1233" s="14" t="inlineStr">
        <is>
          <t>40kg/대 (포장품)</t>
        </is>
      </c>
      <c r="C1233" s="15" t="n">
        <v>17</v>
      </c>
      <c r="D1233" s="16" t="inlineStr">
        <is>
          <t>대</t>
        </is>
      </c>
      <c r="E1233" s="15" t="n">
        <v>5461</v>
      </c>
      <c r="F1233" s="15">
        <f>E1233*C1233</f>
        <v/>
      </c>
      <c r="G1233" s="15" t="n">
        <v>0</v>
      </c>
      <c r="H1233" s="15">
        <f>G1233*C1233</f>
        <v/>
      </c>
      <c r="I1233" s="15" t="n">
        <v>0</v>
      </c>
      <c r="J1233" s="15">
        <f>I1233*C1233</f>
        <v/>
      </c>
      <c r="K1233" s="15">
        <f>E1233+G1233+I1233</f>
        <v/>
      </c>
      <c r="L1233" s="15">
        <f>F1233+H1233+J1233</f>
        <v/>
      </c>
      <c r="M1233" s="18" t="n"/>
    </row>
    <row r="1234">
      <c r="A1234" s="14" t="inlineStr">
        <is>
          <t>나). 시멘트운반</t>
        </is>
      </c>
      <c r="B1234" s="14" t="inlineStr">
        <is>
          <t>L=30km이내</t>
        </is>
      </c>
      <c r="C1234" s="15" t="n">
        <v>17</v>
      </c>
      <c r="D1234" s="16" t="inlineStr">
        <is>
          <t>대</t>
        </is>
      </c>
      <c r="E1234" s="15" t="n">
        <v>0</v>
      </c>
      <c r="F1234" s="15">
        <f>E1234*C1234</f>
        <v/>
      </c>
      <c r="G1234" s="15" t="n">
        <v>0</v>
      </c>
      <c r="H1234" s="15">
        <f>G1234*C1234</f>
        <v/>
      </c>
      <c r="I1234" s="15" t="n">
        <v>1011</v>
      </c>
      <c r="J1234" s="15">
        <f>I1234*C1234</f>
        <v/>
      </c>
      <c r="K1234" s="15">
        <f>E1234+G1234+I1234</f>
        <v/>
      </c>
      <c r="L1234" s="15">
        <f>F1234+H1234+J1234</f>
        <v/>
      </c>
      <c r="M1234" s="18" t="n"/>
    </row>
    <row r="1235">
      <c r="A1235" s="28" t="inlineStr">
        <is>
          <t>2). 골재</t>
        </is>
      </c>
      <c r="B1235" s="28" t="n"/>
      <c r="C1235" s="17" t="n"/>
      <c r="D1235" s="16" t="n"/>
      <c r="E1235" s="17" t="n"/>
      <c r="F1235" s="29" t="n"/>
      <c r="G1235" s="17" t="n"/>
      <c r="H1235" s="29" t="n"/>
      <c r="I1235" s="17" t="n"/>
      <c r="J1235" s="29" t="n"/>
      <c r="K1235" s="17" t="n"/>
      <c r="L1235" s="29" t="n"/>
      <c r="M1235" s="18" t="n"/>
    </row>
    <row r="1236">
      <c r="A1236" s="14" t="inlineStr">
        <is>
          <t>가). 모래</t>
        </is>
      </c>
      <c r="B1236" s="14" t="inlineStr">
        <is>
          <t>강모래, 현장도착도</t>
        </is>
      </c>
      <c r="C1236" s="15" t="n">
        <v>22</v>
      </c>
      <c r="D1236" s="16" t="inlineStr">
        <is>
          <t>㎥</t>
        </is>
      </c>
      <c r="E1236" s="15" t="n">
        <v>23190</v>
      </c>
      <c r="F1236" s="15">
        <f>E1236*C1236</f>
        <v/>
      </c>
      <c r="G1236" s="15" t="n">
        <v>0</v>
      </c>
      <c r="H1236" s="15">
        <f>G1236*C1236</f>
        <v/>
      </c>
      <c r="I1236" s="15" t="n">
        <v>0</v>
      </c>
      <c r="J1236" s="15">
        <f>I1236*C1236</f>
        <v/>
      </c>
      <c r="K1236" s="15">
        <f>E1236+G1236+I1236</f>
        <v/>
      </c>
      <c r="L1236" s="15">
        <f>F1236+H1236+J1236</f>
        <v/>
      </c>
      <c r="M1236" s="18" t="n"/>
    </row>
    <row r="1237">
      <c r="A1237" s="14" t="inlineStr">
        <is>
          <t>나). 잡석</t>
        </is>
      </c>
      <c r="B1237" s="14" t="inlineStr">
        <is>
          <t>Φ150mm이하, 현장도착도</t>
        </is>
      </c>
      <c r="C1237" s="15" t="n">
        <v>2</v>
      </c>
      <c r="D1237" s="16" t="inlineStr">
        <is>
          <t>㎥</t>
        </is>
      </c>
      <c r="E1237" s="15" t="n">
        <v>16055</v>
      </c>
      <c r="F1237" s="15">
        <f>E1237*C1237</f>
        <v/>
      </c>
      <c r="G1237" s="15" t="n">
        <v>0</v>
      </c>
      <c r="H1237" s="15">
        <f>G1237*C1237</f>
        <v/>
      </c>
      <c r="I1237" s="15" t="n">
        <v>0</v>
      </c>
      <c r="J1237" s="15">
        <f>I1237*C1237</f>
        <v/>
      </c>
      <c r="K1237" s="15">
        <f>E1237+G1237+I1237</f>
        <v/>
      </c>
      <c r="L1237" s="15">
        <f>F1237+H1237+J1237</f>
        <v/>
      </c>
      <c r="M1237" s="18" t="n"/>
    </row>
    <row r="1238">
      <c r="A1238" s="28" t="inlineStr">
        <is>
          <t>3). 레미콘</t>
        </is>
      </c>
      <c r="B1238" s="28" t="n"/>
      <c r="C1238" s="17" t="n"/>
      <c r="D1238" s="16" t="n"/>
      <c r="E1238" s="17" t="n"/>
      <c r="F1238" s="29" t="n"/>
      <c r="G1238" s="17" t="n"/>
      <c r="H1238" s="29" t="n"/>
      <c r="I1238" s="17" t="n"/>
      <c r="J1238" s="29" t="n"/>
      <c r="K1238" s="17" t="n"/>
      <c r="L1238" s="29" t="n"/>
      <c r="M1238" s="18" t="n"/>
    </row>
    <row r="1239">
      <c r="A1239" s="14" t="inlineStr">
        <is>
          <t>가). 레미콘</t>
        </is>
      </c>
      <c r="B1239" s="14" t="inlineStr">
        <is>
          <t>25-21- 8(Mpa)</t>
        </is>
      </c>
      <c r="C1239" s="15" t="n">
        <v>71</v>
      </c>
      <c r="D1239" s="16" t="inlineStr">
        <is>
          <t>㎥</t>
        </is>
      </c>
      <c r="E1239" s="15" t="n">
        <v>81452</v>
      </c>
      <c r="F1239" s="15">
        <f>E1239*C1239</f>
        <v/>
      </c>
      <c r="G1239" s="15" t="n">
        <v>0</v>
      </c>
      <c r="H1239" s="15">
        <f>G1239*C1239</f>
        <v/>
      </c>
      <c r="I1239" s="15" t="n">
        <v>0</v>
      </c>
      <c r="J1239" s="15">
        <f>I1239*C1239</f>
        <v/>
      </c>
      <c r="K1239" s="15">
        <f>E1239+G1239+I1239</f>
        <v/>
      </c>
      <c r="L1239" s="15">
        <f>F1239+H1239+J1239</f>
        <v/>
      </c>
      <c r="M1239" s="18" t="n"/>
    </row>
    <row r="1240">
      <c r="A1240" s="14" t="inlineStr">
        <is>
          <t>나). 레미콘</t>
        </is>
      </c>
      <c r="B1240" s="14" t="inlineStr">
        <is>
          <t>25-18-8(Mpa)</t>
        </is>
      </c>
      <c r="C1240" s="15" t="n">
        <v>1</v>
      </c>
      <c r="D1240" s="16" t="inlineStr">
        <is>
          <t>㎥</t>
        </is>
      </c>
      <c r="E1240" s="15" t="n">
        <v>79786</v>
      </c>
      <c r="F1240" s="15">
        <f>E1240*C1240</f>
        <v/>
      </c>
      <c r="G1240" s="15" t="n">
        <v>0</v>
      </c>
      <c r="H1240" s="15">
        <f>G1240*C1240</f>
        <v/>
      </c>
      <c r="I1240" s="15" t="n">
        <v>0</v>
      </c>
      <c r="J1240" s="15">
        <f>I1240*C1240</f>
        <v/>
      </c>
      <c r="K1240" s="15">
        <f>E1240+G1240+I1240</f>
        <v/>
      </c>
      <c r="L1240" s="15">
        <f>F1240+H1240+J1240</f>
        <v/>
      </c>
      <c r="M1240" s="18" t="n"/>
    </row>
    <row r="1241">
      <c r="A1241" s="14" t="inlineStr">
        <is>
          <t>다). 레미콘</t>
        </is>
      </c>
      <c r="B1241" s="14" t="inlineStr">
        <is>
          <t>25-24-12(Mpa)</t>
        </is>
      </c>
      <c r="C1241" s="15" t="n">
        <v>10</v>
      </c>
      <c r="D1241" s="16" t="inlineStr">
        <is>
          <t>㎥</t>
        </is>
      </c>
      <c r="E1241" s="15" t="n">
        <v>87468</v>
      </c>
      <c r="F1241" s="15">
        <f>E1241*C1241</f>
        <v/>
      </c>
      <c r="G1241" s="15" t="n">
        <v>0</v>
      </c>
      <c r="H1241" s="15">
        <f>G1241*C1241</f>
        <v/>
      </c>
      <c r="I1241" s="15" t="n">
        <v>0</v>
      </c>
      <c r="J1241" s="15">
        <f>I1241*C1241</f>
        <v/>
      </c>
      <c r="K1241" s="15">
        <f>E1241+G1241+I1241</f>
        <v/>
      </c>
      <c r="L1241" s="15">
        <f>F1241+H1241+J1241</f>
        <v/>
      </c>
      <c r="M1241" s="18" t="n"/>
    </row>
    <row r="1242">
      <c r="A1242" s="28" t="inlineStr">
        <is>
          <t>4). 원심력철근콘크리트관</t>
        </is>
      </c>
      <c r="B1242" s="28" t="n"/>
      <c r="C1242" s="17" t="n"/>
      <c r="D1242" s="16" t="n"/>
      <c r="E1242" s="17" t="n"/>
      <c r="F1242" s="29" t="n"/>
      <c r="G1242" s="17" t="n"/>
      <c r="H1242" s="29" t="n"/>
      <c r="I1242" s="17" t="n"/>
      <c r="J1242" s="29" t="n"/>
      <c r="K1242" s="17" t="n"/>
      <c r="L1242" s="29" t="n"/>
      <c r="M1242" s="18" t="n"/>
    </row>
    <row r="1243">
      <c r="A1243" s="14" t="inlineStr">
        <is>
          <t>가). 원심력철근콘크리트관(보통2종)</t>
        </is>
      </c>
      <c r="B1243" s="14" t="inlineStr">
        <is>
          <t>250㎜ (소켓식,B형)</t>
        </is>
      </c>
      <c r="C1243" s="15" t="n">
        <v>145</v>
      </c>
      <c r="D1243" s="16" t="inlineStr">
        <is>
          <t>ｍ</t>
        </is>
      </c>
      <c r="E1243" s="15" t="n">
        <v>16539</v>
      </c>
      <c r="F1243" s="15">
        <f>E1243*C1243</f>
        <v/>
      </c>
      <c r="G1243" s="15" t="n">
        <v>0</v>
      </c>
      <c r="H1243" s="15">
        <f>G1243*C1243</f>
        <v/>
      </c>
      <c r="I1243" s="15" t="n">
        <v>0</v>
      </c>
      <c r="J1243" s="15">
        <f>I1243*C1243</f>
        <v/>
      </c>
      <c r="K1243" s="15">
        <f>E1243+G1243+I1243</f>
        <v/>
      </c>
      <c r="L1243" s="15">
        <f>F1243+H1243+J1243</f>
        <v/>
      </c>
      <c r="M1243" s="18" t="n"/>
    </row>
    <row r="1244">
      <c r="A1244" s="14" t="inlineStr">
        <is>
          <t>나). 원심력철근콘크리트관(보통2종)</t>
        </is>
      </c>
      <c r="B1244" s="14" t="inlineStr">
        <is>
          <t>600㎜ (소켓식,B형)</t>
        </is>
      </c>
      <c r="C1244" s="15" t="n">
        <v>177</v>
      </c>
      <c r="D1244" s="16" t="inlineStr">
        <is>
          <t>ｍ</t>
        </is>
      </c>
      <c r="E1244" s="15" t="n">
        <v>42188</v>
      </c>
      <c r="F1244" s="15">
        <f>E1244*C1244</f>
        <v/>
      </c>
      <c r="G1244" s="15" t="n">
        <v>0</v>
      </c>
      <c r="H1244" s="15">
        <f>G1244*C1244</f>
        <v/>
      </c>
      <c r="I1244" s="15" t="n">
        <v>0</v>
      </c>
      <c r="J1244" s="15">
        <f>I1244*C1244</f>
        <v/>
      </c>
      <c r="K1244" s="15">
        <f>E1244+G1244+I1244</f>
        <v/>
      </c>
      <c r="L1244" s="15">
        <f>F1244+H1244+J1244</f>
        <v/>
      </c>
      <c r="M1244" s="18" t="n"/>
    </row>
    <row r="1245">
      <c r="A1245" s="14" t="inlineStr">
        <is>
          <t>다). 흄관하차비</t>
        </is>
      </c>
      <c r="B1245" s="14" t="inlineStr">
        <is>
          <t>Ø 250 MM - 차상도</t>
        </is>
      </c>
      <c r="C1245" s="15" t="n">
        <v>58</v>
      </c>
      <c r="D1245" s="16" t="inlineStr">
        <is>
          <t>본</t>
        </is>
      </c>
      <c r="E1245" s="15" t="n">
        <v>0</v>
      </c>
      <c r="F1245" s="15">
        <f>E1245*C1245</f>
        <v/>
      </c>
      <c r="G1245" s="15" t="n">
        <v>0</v>
      </c>
      <c r="H1245" s="15">
        <f>G1245*C1245</f>
        <v/>
      </c>
      <c r="I1245" s="15" t="n">
        <v>2015</v>
      </c>
      <c r="J1245" s="15">
        <f>I1245*C1245</f>
        <v/>
      </c>
      <c r="K1245" s="15">
        <f>E1245+G1245+I1245</f>
        <v/>
      </c>
      <c r="L1245" s="15">
        <f>F1245+H1245+J1245</f>
        <v/>
      </c>
      <c r="M1245" s="18" t="n"/>
    </row>
    <row r="1246">
      <c r="A1246" s="14" t="inlineStr">
        <is>
          <t>라). 흄관하차비</t>
        </is>
      </c>
      <c r="B1246" s="14" t="inlineStr">
        <is>
          <t>Ø 600 MM - 차상도</t>
        </is>
      </c>
      <c r="C1246" s="15" t="n">
        <v>71</v>
      </c>
      <c r="D1246" s="16" t="inlineStr">
        <is>
          <t>본</t>
        </is>
      </c>
      <c r="E1246" s="15" t="n">
        <v>0</v>
      </c>
      <c r="F1246" s="15">
        <f>E1246*C1246</f>
        <v/>
      </c>
      <c r="G1246" s="15" t="n">
        <v>0</v>
      </c>
      <c r="H1246" s="15">
        <f>G1246*C1246</f>
        <v/>
      </c>
      <c r="I1246" s="15" t="n">
        <v>2015</v>
      </c>
      <c r="J1246" s="15">
        <f>I1246*C1246</f>
        <v/>
      </c>
      <c r="K1246" s="15">
        <f>E1246+G1246+I1246</f>
        <v/>
      </c>
      <c r="L1246" s="15">
        <f>F1246+H1246+J1246</f>
        <v/>
      </c>
      <c r="M1246" s="18" t="n"/>
    </row>
    <row r="1247">
      <c r="A1247" s="28" t="inlineStr">
        <is>
          <t>5). 맨홀뚜껑</t>
        </is>
      </c>
      <c r="B1247" s="28" t="n"/>
      <c r="C1247" s="17" t="n"/>
      <c r="D1247" s="16" t="n"/>
      <c r="E1247" s="17" t="n"/>
      <c r="F1247" s="29" t="n"/>
      <c r="G1247" s="17" t="n"/>
      <c r="H1247" s="29" t="n"/>
      <c r="I1247" s="17" t="n"/>
      <c r="J1247" s="29" t="n"/>
      <c r="K1247" s="17" t="n"/>
      <c r="L1247" s="29" t="n"/>
      <c r="M1247" s="18" t="n"/>
    </row>
    <row r="1248">
      <c r="A1248" s="14" t="inlineStr">
        <is>
          <t>가). 맨홀뚜껑(주철제)</t>
        </is>
      </c>
      <c r="B1248" s="14" t="inlineStr">
        <is>
          <t>Φ648KS, 하수도용(잠금식)</t>
        </is>
      </c>
      <c r="C1248" s="15" t="n">
        <v>4</v>
      </c>
      <c r="D1248" s="16" t="inlineStr">
        <is>
          <t>조</t>
        </is>
      </c>
      <c r="E1248" s="15" t="n">
        <v>285419</v>
      </c>
      <c r="F1248" s="15">
        <f>E1248*C1248</f>
        <v/>
      </c>
      <c r="G1248" s="15" t="n">
        <v>0</v>
      </c>
      <c r="H1248" s="15">
        <f>G1248*C1248</f>
        <v/>
      </c>
      <c r="I1248" s="15" t="n">
        <v>0</v>
      </c>
      <c r="J1248" s="15">
        <f>I1248*C1248</f>
        <v/>
      </c>
      <c r="K1248" s="15">
        <f>E1248+G1248+I1248</f>
        <v/>
      </c>
      <c r="L1248" s="15">
        <f>F1248+H1248+J1248</f>
        <v/>
      </c>
      <c r="M1248" s="18" t="n"/>
    </row>
    <row r="1249">
      <c r="A1249" s="28" t="inlineStr">
        <is>
          <t>6). 이형철근</t>
        </is>
      </c>
      <c r="B1249" s="28" t="n"/>
      <c r="C1249" s="17" t="n"/>
      <c r="D1249" s="16" t="n"/>
      <c r="E1249" s="17" t="n"/>
      <c r="F1249" s="29" t="n"/>
      <c r="G1249" s="17" t="n"/>
      <c r="H1249" s="29" t="n"/>
      <c r="I1249" s="17" t="n"/>
      <c r="J1249" s="29" t="n"/>
      <c r="K1249" s="17" t="n"/>
      <c r="L1249" s="29" t="n"/>
      <c r="M1249" s="18" t="n"/>
    </row>
    <row r="1250">
      <c r="A1250" s="14" t="inlineStr">
        <is>
          <t>라). 이형철근(고장력철근)</t>
        </is>
      </c>
      <c r="B1250" s="14" t="inlineStr">
        <is>
          <t>HD13M/M 0.995KG/M  SD40</t>
        </is>
      </c>
      <c r="C1250" s="61" t="n">
        <v>1.025</v>
      </c>
      <c r="D1250" s="16" t="inlineStr">
        <is>
          <t>TON</t>
        </is>
      </c>
      <c r="E1250" s="15" t="n">
        <v>823824</v>
      </c>
      <c r="F1250" s="15">
        <f>E1250*C1250</f>
        <v/>
      </c>
      <c r="G1250" s="15" t="n">
        <v>0</v>
      </c>
      <c r="H1250" s="15">
        <f>G1250*C1250</f>
        <v/>
      </c>
      <c r="I1250" s="15" t="n">
        <v>0</v>
      </c>
      <c r="J1250" s="15">
        <f>I1250*C1250</f>
        <v/>
      </c>
      <c r="K1250" s="15">
        <f>E1250+G1250+I1250</f>
        <v/>
      </c>
      <c r="L1250" s="15">
        <f>F1250+H1250+J1250</f>
        <v/>
      </c>
      <c r="M1250" s="18" t="n"/>
    </row>
    <row r="1251">
      <c r="A1251" s="14" t="inlineStr">
        <is>
          <t>사). 이형철근(고장력철근)</t>
        </is>
      </c>
      <c r="B1251" s="14" t="inlineStr">
        <is>
          <t>HD25M/M 3.980KG/M  SD40</t>
        </is>
      </c>
      <c r="C1251" s="61" t="n">
        <v>0.182</v>
      </c>
      <c r="D1251" s="16" t="inlineStr">
        <is>
          <t>TON</t>
        </is>
      </c>
      <c r="E1251" s="15" t="n">
        <v>823852</v>
      </c>
      <c r="F1251" s="15">
        <f>E1251*C1251</f>
        <v/>
      </c>
      <c r="G1251" s="15" t="n">
        <v>0</v>
      </c>
      <c r="H1251" s="15">
        <f>G1251*C1251</f>
        <v/>
      </c>
      <c r="I1251" s="15" t="n">
        <v>0</v>
      </c>
      <c r="J1251" s="15">
        <f>I1251*C1251</f>
        <v/>
      </c>
      <c r="K1251" s="15">
        <f>E1251+G1251+I1251</f>
        <v/>
      </c>
      <c r="L1251" s="15">
        <f>F1251+H1251+J1251</f>
        <v/>
      </c>
      <c r="M1251" s="18" t="n"/>
    </row>
    <row r="1252">
      <c r="A1252" s="25" t="inlineStr">
        <is>
          <t>3. 포 장 공</t>
        </is>
      </c>
      <c r="B1252" s="26" t="n"/>
      <c r="C1252" s="21" t="n"/>
      <c r="D1252" s="22" t="n"/>
      <c r="E1252" s="21" t="n"/>
      <c r="F1252" s="27" t="n"/>
      <c r="G1252" s="21" t="n"/>
      <c r="H1252" s="27" t="n"/>
      <c r="I1252" s="21" t="n"/>
      <c r="J1252" s="27" t="n"/>
      <c r="K1252" s="21" t="n"/>
      <c r="L1252" s="27" t="n"/>
      <c r="M1252" s="24" t="n"/>
    </row>
    <row r="1253">
      <c r="A1253" s="28" t="inlineStr">
        <is>
          <t>가. 아스콘포장</t>
        </is>
      </c>
      <c r="B1253" s="28" t="n"/>
      <c r="C1253" s="17" t="n"/>
      <c r="D1253" s="16" t="n"/>
      <c r="E1253" s="17" t="n"/>
      <c r="F1253" s="29" t="n"/>
      <c r="G1253" s="17" t="n"/>
      <c r="H1253" s="29" t="n"/>
      <c r="I1253" s="17" t="n"/>
      <c r="J1253" s="29" t="n"/>
      <c r="K1253" s="17" t="n"/>
      <c r="L1253" s="29" t="n"/>
      <c r="M1253" s="18" t="n"/>
    </row>
    <row r="1254">
      <c r="A1254" s="14" t="inlineStr">
        <is>
          <t>1). 아스팔트 표층 기계포설(대형장비)</t>
        </is>
      </c>
      <c r="B1254" s="14" t="inlineStr">
        <is>
          <t>3.0m≤B, T=5cm</t>
        </is>
      </c>
      <c r="C1254" s="15" t="n">
        <v>3270</v>
      </c>
      <c r="D1254" s="16" t="inlineStr">
        <is>
          <t>㎡</t>
        </is>
      </c>
      <c r="E1254" s="15" t="n">
        <v>0</v>
      </c>
      <c r="F1254" s="15">
        <f>E1254*C1254</f>
        <v/>
      </c>
      <c r="G1254" s="15" t="n">
        <v>464</v>
      </c>
      <c r="H1254" s="15">
        <f>G1254*C1254</f>
        <v/>
      </c>
      <c r="I1254" s="15" t="n">
        <v>2430</v>
      </c>
      <c r="J1254" s="15">
        <f>I1254*C1254</f>
        <v/>
      </c>
      <c r="K1254" s="15">
        <f>E1254+G1254+I1254</f>
        <v/>
      </c>
      <c r="L1254" s="15">
        <f>F1254+H1254+J1254</f>
        <v/>
      </c>
      <c r="M1254" s="18" t="n"/>
    </row>
    <row r="1255">
      <c r="A1255" s="14" t="inlineStr">
        <is>
          <t>2). 아스팔트 중간층 기계포설(대형장비)</t>
        </is>
      </c>
      <c r="B1255" s="14" t="inlineStr">
        <is>
          <t>3.0m≤B, T=5cm</t>
        </is>
      </c>
      <c r="C1255" s="15" t="n">
        <v>3270</v>
      </c>
      <c r="D1255" s="16" t="inlineStr">
        <is>
          <t>㎡</t>
        </is>
      </c>
      <c r="E1255" s="15" t="n">
        <v>0</v>
      </c>
      <c r="F1255" s="15">
        <f>E1255*C1255</f>
        <v/>
      </c>
      <c r="G1255" s="15" t="n">
        <v>464</v>
      </c>
      <c r="H1255" s="15">
        <f>G1255*C1255</f>
        <v/>
      </c>
      <c r="I1255" s="15" t="n">
        <v>2430</v>
      </c>
      <c r="J1255" s="15">
        <f>I1255*C1255</f>
        <v/>
      </c>
      <c r="K1255" s="15">
        <f>E1255+G1255+I1255</f>
        <v/>
      </c>
      <c r="L1255" s="15">
        <f>F1255+H1255+J1255</f>
        <v/>
      </c>
      <c r="M1255" s="18" t="n"/>
    </row>
    <row r="1256">
      <c r="A1256" s="14" t="inlineStr">
        <is>
          <t>3). 아스팔트 기층 기계포설(대형장비)</t>
        </is>
      </c>
      <c r="B1256" s="14" t="inlineStr">
        <is>
          <t>3.0m≤B, T=15cm, 2회</t>
        </is>
      </c>
      <c r="C1256" s="15" t="n">
        <v>3270</v>
      </c>
      <c r="D1256" s="16" t="inlineStr">
        <is>
          <t>㎡</t>
        </is>
      </c>
      <c r="E1256" s="15" t="n">
        <v>0</v>
      </c>
      <c r="F1256" s="15">
        <f>E1256*C1256</f>
        <v/>
      </c>
      <c r="G1256" s="15" t="n">
        <v>927</v>
      </c>
      <c r="H1256" s="15">
        <f>G1256*C1256</f>
        <v/>
      </c>
      <c r="I1256" s="15" t="n">
        <v>3037</v>
      </c>
      <c r="J1256" s="15">
        <f>I1256*C1256</f>
        <v/>
      </c>
      <c r="K1256" s="15">
        <f>E1256+G1256+I1256</f>
        <v/>
      </c>
      <c r="L1256" s="15">
        <f>F1256+H1256+J1256</f>
        <v/>
      </c>
      <c r="M1256" s="18" t="n"/>
    </row>
    <row r="1257">
      <c r="A1257" s="14" t="inlineStr">
        <is>
          <t>4). 텍코팅(기계식)</t>
        </is>
      </c>
      <c r="B1257" s="14" t="inlineStr">
        <is>
          <t>RSC-4:45ℓ/a, 2회</t>
        </is>
      </c>
      <c r="C1257" s="15" t="n">
        <v>3270</v>
      </c>
      <c r="D1257" s="16" t="inlineStr">
        <is>
          <t>㎡</t>
        </is>
      </c>
      <c r="E1257" s="15" t="n">
        <v>0</v>
      </c>
      <c r="F1257" s="15">
        <f>E1257*C1257</f>
        <v/>
      </c>
      <c r="G1257" s="15" t="n">
        <v>0</v>
      </c>
      <c r="H1257" s="15">
        <f>G1257*C1257</f>
        <v/>
      </c>
      <c r="I1257" s="15" t="n">
        <v>507</v>
      </c>
      <c r="J1257" s="15">
        <f>I1257*C1257</f>
        <v/>
      </c>
      <c r="K1257" s="15">
        <f>E1257+G1257+I1257</f>
        <v/>
      </c>
      <c r="L1257" s="15">
        <f>F1257+H1257+J1257</f>
        <v/>
      </c>
      <c r="M1257" s="18" t="n"/>
    </row>
    <row r="1258">
      <c r="A1258" s="14" t="inlineStr">
        <is>
          <t>5). 텍코팅(기계식)</t>
        </is>
      </c>
      <c r="B1258" s="14" t="inlineStr">
        <is>
          <t>RSC-4:45ℓ/a</t>
        </is>
      </c>
      <c r="C1258" s="15" t="n">
        <v>3270</v>
      </c>
      <c r="D1258" s="16" t="inlineStr">
        <is>
          <t>㎡</t>
        </is>
      </c>
      <c r="E1258" s="15" t="n">
        <v>0</v>
      </c>
      <c r="F1258" s="15">
        <f>E1258*C1258</f>
        <v/>
      </c>
      <c r="G1258" s="15" t="n">
        <v>0</v>
      </c>
      <c r="H1258" s="15">
        <f>G1258*C1258</f>
        <v/>
      </c>
      <c r="I1258" s="15" t="n">
        <v>507</v>
      </c>
      <c r="J1258" s="15">
        <f>I1258*C1258</f>
        <v/>
      </c>
      <c r="K1258" s="15">
        <f>E1258+G1258+I1258</f>
        <v/>
      </c>
      <c r="L1258" s="15">
        <f>F1258+H1258+J1258</f>
        <v/>
      </c>
      <c r="M1258" s="18" t="n"/>
    </row>
    <row r="1259">
      <c r="A1259" s="14" t="inlineStr">
        <is>
          <t>6). 프라임코팅(기계식)</t>
        </is>
      </c>
      <c r="B1259" s="14" t="inlineStr">
        <is>
          <t>RSC-3:150ℓ/a</t>
        </is>
      </c>
      <c r="C1259" s="15" t="n">
        <v>6540</v>
      </c>
      <c r="D1259" s="16" t="inlineStr">
        <is>
          <t>㎡</t>
        </is>
      </c>
      <c r="E1259" s="15" t="n">
        <v>0</v>
      </c>
      <c r="F1259" s="15">
        <f>E1259*C1259</f>
        <v/>
      </c>
      <c r="G1259" s="15" t="n">
        <v>0</v>
      </c>
      <c r="H1259" s="15">
        <f>G1259*C1259</f>
        <v/>
      </c>
      <c r="I1259" s="15" t="n">
        <v>507</v>
      </c>
      <c r="J1259" s="15">
        <f>I1259*C1259</f>
        <v/>
      </c>
      <c r="K1259" s="15">
        <f>E1259+G1259+I1259</f>
        <v/>
      </c>
      <c r="L1259" s="15">
        <f>F1259+H1259+J1259</f>
        <v/>
      </c>
      <c r="M1259" s="18" t="n"/>
    </row>
    <row r="1260">
      <c r="A1260" s="14" t="inlineStr">
        <is>
          <t>7). 보조기층(기계시공)</t>
        </is>
      </c>
      <c r="B1260" s="14" t="inlineStr">
        <is>
          <t>본선포장, T=20cm</t>
        </is>
      </c>
      <c r="C1260" s="15" t="n">
        <v>818</v>
      </c>
      <c r="D1260" s="16" t="inlineStr">
        <is>
          <t>㎥</t>
        </is>
      </c>
      <c r="E1260" s="15" t="n">
        <v>0</v>
      </c>
      <c r="F1260" s="15">
        <f>E1260*C1260</f>
        <v/>
      </c>
      <c r="G1260" s="15" t="n">
        <v>1391</v>
      </c>
      <c r="H1260" s="15">
        <f>G1260*C1260</f>
        <v/>
      </c>
      <c r="I1260" s="15" t="n">
        <v>4556</v>
      </c>
      <c r="J1260" s="15">
        <f>I1260*C1260</f>
        <v/>
      </c>
      <c r="K1260" s="15">
        <f>E1260+G1260+I1260</f>
        <v/>
      </c>
      <c r="L1260" s="15">
        <f>F1260+H1260+J1260</f>
        <v/>
      </c>
      <c r="M1260" s="18" t="n"/>
    </row>
    <row r="1261">
      <c r="A1261" s="28" t="inlineStr">
        <is>
          <t>다. 보도포장</t>
        </is>
      </c>
      <c r="B1261" s="28" t="n"/>
      <c r="C1261" s="17" t="n"/>
      <c r="D1261" s="16" t="n"/>
      <c r="E1261" s="17" t="n"/>
      <c r="F1261" s="29" t="n"/>
      <c r="G1261" s="17" t="n"/>
      <c r="H1261" s="29" t="n"/>
      <c r="I1261" s="17" t="n"/>
      <c r="J1261" s="29" t="n"/>
      <c r="K1261" s="17" t="n"/>
      <c r="L1261" s="29" t="n"/>
      <c r="M1261" s="18" t="n"/>
    </row>
    <row r="1262">
      <c r="A1262" s="28" t="inlineStr">
        <is>
          <t>1). 보도포장(투수)</t>
        </is>
      </c>
      <c r="B1262" s="28" t="n"/>
      <c r="C1262" s="17" t="n"/>
      <c r="D1262" s="16" t="n"/>
      <c r="E1262" s="17" t="n"/>
      <c r="F1262" s="29" t="n"/>
      <c r="G1262" s="17" t="n"/>
      <c r="H1262" s="29" t="n"/>
      <c r="I1262" s="17" t="n"/>
      <c r="J1262" s="29" t="n"/>
      <c r="K1262" s="17" t="n"/>
      <c r="L1262" s="29" t="n"/>
      <c r="M1262" s="18" t="n"/>
    </row>
    <row r="1263">
      <c r="A1263" s="14" t="inlineStr">
        <is>
          <t>가). 보도용블럭포장(소형)</t>
        </is>
      </c>
      <c r="B1263" s="14" t="inlineStr">
        <is>
          <t>A-TYPE, T=8㎝이하</t>
        </is>
      </c>
      <c r="C1263" s="15" t="n">
        <v>1126</v>
      </c>
      <c r="D1263" s="16" t="inlineStr">
        <is>
          <t>㎡</t>
        </is>
      </c>
      <c r="E1263" s="15" t="n">
        <v>0</v>
      </c>
      <c r="F1263" s="15">
        <f>E1263*C1263</f>
        <v/>
      </c>
      <c r="G1263" s="15" t="n">
        <v>13911</v>
      </c>
      <c r="H1263" s="15">
        <f>G1263*C1263</f>
        <v/>
      </c>
      <c r="I1263" s="15" t="n">
        <v>2733</v>
      </c>
      <c r="J1263" s="15">
        <f>I1263*C1263</f>
        <v/>
      </c>
      <c r="K1263" s="15">
        <f>E1263+G1263+I1263</f>
        <v/>
      </c>
      <c r="L1263" s="15">
        <f>F1263+H1263+J1263</f>
        <v/>
      </c>
      <c r="M1263" s="18" t="n"/>
    </row>
    <row r="1264">
      <c r="A1264" s="14" t="inlineStr">
        <is>
          <t>나). 보조기층(인력식)</t>
        </is>
      </c>
      <c r="B1264" s="14" t="inlineStr">
        <is>
          <t>소규모장비</t>
        </is>
      </c>
      <c r="C1264" s="15" t="n">
        <v>113</v>
      </c>
      <c r="D1264" s="16" t="inlineStr">
        <is>
          <t>㎥</t>
        </is>
      </c>
      <c r="E1264" s="15" t="n">
        <v>0</v>
      </c>
      <c r="F1264" s="15">
        <f>E1264*C1264</f>
        <v/>
      </c>
      <c r="G1264" s="15" t="n">
        <v>1391</v>
      </c>
      <c r="H1264" s="15">
        <f>G1264*C1264</f>
        <v/>
      </c>
      <c r="I1264" s="15" t="n">
        <v>4556</v>
      </c>
      <c r="J1264" s="15">
        <f>I1264*C1264</f>
        <v/>
      </c>
      <c r="K1264" s="15">
        <f>E1264+G1264+I1264</f>
        <v/>
      </c>
      <c r="L1264" s="15">
        <f>F1264+H1264+J1264</f>
        <v/>
      </c>
      <c r="M1264" s="18" t="n"/>
    </row>
    <row r="1265">
      <c r="A1265" s="28" t="inlineStr">
        <is>
          <t>라. 장애자용블럭포장</t>
        </is>
      </c>
      <c r="B1265" s="28" t="n"/>
      <c r="C1265" s="17" t="n"/>
      <c r="D1265" s="16" t="n"/>
      <c r="E1265" s="17" t="n"/>
      <c r="F1265" s="29" t="n"/>
      <c r="G1265" s="17" t="n"/>
      <c r="H1265" s="29" t="n"/>
      <c r="I1265" s="17" t="n"/>
      <c r="J1265" s="29" t="n"/>
      <c r="K1265" s="17" t="n"/>
      <c r="L1265" s="29" t="n"/>
      <c r="M1265" s="18" t="n"/>
    </row>
    <row r="1266">
      <c r="A1266" s="28" t="inlineStr">
        <is>
          <t>1). 보도포장(장애인용블럭)</t>
        </is>
      </c>
      <c r="B1266" s="28" t="n"/>
      <c r="C1266" s="17" t="n"/>
      <c r="D1266" s="16" t="n"/>
      <c r="E1266" s="17" t="n"/>
      <c r="F1266" s="29" t="n"/>
      <c r="G1266" s="17" t="n"/>
      <c r="H1266" s="29" t="n"/>
      <c r="I1266" s="17" t="n"/>
      <c r="J1266" s="29" t="n"/>
      <c r="K1266" s="17" t="n"/>
      <c r="L1266" s="29" t="n"/>
      <c r="M1266" s="18" t="n"/>
    </row>
    <row r="1267">
      <c r="A1267" s="14" t="inlineStr">
        <is>
          <t>가). 보도용블럭포장(유도블록)</t>
        </is>
      </c>
      <c r="B1267" s="14" t="inlineStr">
        <is>
          <t>A-TYPE, T=6㎝이하</t>
        </is>
      </c>
      <c r="C1267" s="15" t="n">
        <v>184</v>
      </c>
      <c r="D1267" s="16" t="inlineStr">
        <is>
          <t>㎡</t>
        </is>
      </c>
      <c r="E1267" s="15" t="n">
        <v>0</v>
      </c>
      <c r="F1267" s="15">
        <f>E1267*C1267</f>
        <v/>
      </c>
      <c r="G1267" s="15" t="n">
        <v>12056</v>
      </c>
      <c r="H1267" s="15">
        <f>G1267*C1267</f>
        <v/>
      </c>
      <c r="I1267" s="15" t="n">
        <v>2297</v>
      </c>
      <c r="J1267" s="15">
        <f>I1267*C1267</f>
        <v/>
      </c>
      <c r="K1267" s="15">
        <f>E1267+G1267+I1267</f>
        <v/>
      </c>
      <c r="L1267" s="15">
        <f>F1267+H1267+J1267</f>
        <v/>
      </c>
      <c r="M1267" s="18" t="n"/>
    </row>
    <row r="1268">
      <c r="A1268" s="14" t="inlineStr">
        <is>
          <t>나). 보도용블럭포장(점자블록)</t>
        </is>
      </c>
      <c r="B1268" s="14" t="inlineStr">
        <is>
          <t>A-TYPE, T=6㎝이하</t>
        </is>
      </c>
      <c r="C1268" s="15" t="n">
        <v>11</v>
      </c>
      <c r="D1268" s="16" t="inlineStr">
        <is>
          <t>㎡</t>
        </is>
      </c>
      <c r="E1268" s="15" t="n">
        <v>0</v>
      </c>
      <c r="F1268" s="15">
        <f>E1268*C1268</f>
        <v/>
      </c>
      <c r="G1268" s="15" t="n">
        <v>12056</v>
      </c>
      <c r="H1268" s="15">
        <f>G1268*C1268</f>
        <v/>
      </c>
      <c r="I1268" s="15" t="n">
        <v>2297</v>
      </c>
      <c r="J1268" s="15">
        <f>I1268*C1268</f>
        <v/>
      </c>
      <c r="K1268" s="15">
        <f>E1268+G1268+I1268</f>
        <v/>
      </c>
      <c r="L1268" s="15">
        <f>F1268+H1268+J1268</f>
        <v/>
      </c>
      <c r="M1268" s="18" t="n"/>
    </row>
    <row r="1269">
      <c r="A1269" s="14" t="inlineStr">
        <is>
          <t>다). 보조기층(인력식)</t>
        </is>
      </c>
      <c r="B1269" s="14" t="inlineStr">
        <is>
          <t>T=10cm, 소규모장비</t>
        </is>
      </c>
      <c r="C1269" s="15" t="n">
        <v>20</v>
      </c>
      <c r="D1269" s="16" t="inlineStr">
        <is>
          <t>㎥</t>
        </is>
      </c>
      <c r="E1269" s="15" t="n">
        <v>0</v>
      </c>
      <c r="F1269" s="15">
        <f>E1269*C1269</f>
        <v/>
      </c>
      <c r="G1269" s="15" t="n">
        <v>1391</v>
      </c>
      <c r="H1269" s="15">
        <f>G1269*C1269</f>
        <v/>
      </c>
      <c r="I1269" s="15" t="n">
        <v>4556</v>
      </c>
      <c r="J1269" s="15">
        <f>I1269*C1269</f>
        <v/>
      </c>
      <c r="K1269" s="15">
        <f>E1269+G1269+I1269</f>
        <v/>
      </c>
      <c r="L1269" s="15">
        <f>F1269+H1269+J1269</f>
        <v/>
      </c>
      <c r="M1269" s="18" t="n"/>
    </row>
    <row r="1270">
      <c r="A1270" s="28" t="inlineStr">
        <is>
          <t>마. 미끄럼방지포장</t>
        </is>
      </c>
      <c r="B1270" s="28" t="n"/>
      <c r="C1270" s="17" t="n"/>
      <c r="D1270" s="16" t="n"/>
      <c r="E1270" s="17" t="n"/>
      <c r="F1270" s="29" t="n"/>
      <c r="G1270" s="17" t="n"/>
      <c r="H1270" s="29" t="n"/>
      <c r="I1270" s="17" t="n"/>
      <c r="J1270" s="29" t="n"/>
      <c r="K1270" s="17" t="n"/>
      <c r="L1270" s="29" t="n"/>
      <c r="M1270" s="18" t="n"/>
    </row>
    <row r="1271">
      <c r="A1271" s="14" t="inlineStr">
        <is>
          <t>1). 미끄럼방지공</t>
        </is>
      </c>
      <c r="B1271" s="14" t="inlineStr">
        <is>
          <t>전면식</t>
        </is>
      </c>
      <c r="C1271" s="15" t="n">
        <v>1271</v>
      </c>
      <c r="D1271" s="16" t="inlineStr">
        <is>
          <t>㎡</t>
        </is>
      </c>
      <c r="E1271" s="15" t="n">
        <v>6028</v>
      </c>
      <c r="F1271" s="15">
        <f>E1271*C1271</f>
        <v/>
      </c>
      <c r="G1271" s="15" t="n">
        <v>12984</v>
      </c>
      <c r="H1271" s="15">
        <f>G1271*C1271</f>
        <v/>
      </c>
      <c r="I1271" s="15" t="n">
        <v>3037</v>
      </c>
      <c r="J1271" s="15">
        <f>I1271*C1271</f>
        <v/>
      </c>
      <c r="K1271" s="15">
        <f>E1271+G1271+I1271</f>
        <v/>
      </c>
      <c r="L1271" s="15">
        <f>F1271+H1271+J1271</f>
        <v/>
      </c>
      <c r="M1271" s="18" t="n"/>
    </row>
    <row r="1272">
      <c r="A1272" s="28" t="inlineStr">
        <is>
          <t>바. 경계석설치</t>
        </is>
      </c>
      <c r="B1272" s="28" t="n"/>
      <c r="C1272" s="17" t="n"/>
      <c r="D1272" s="16" t="n"/>
      <c r="E1272" s="17" t="n"/>
      <c r="F1272" s="29" t="n"/>
      <c r="G1272" s="17" t="n"/>
      <c r="H1272" s="29" t="n"/>
      <c r="I1272" s="17" t="n"/>
      <c r="J1272" s="29" t="n"/>
      <c r="K1272" s="17" t="n"/>
      <c r="L1272" s="29" t="n"/>
      <c r="M1272" s="18" t="n"/>
    </row>
    <row r="1273">
      <c r="A1273" s="28" t="inlineStr">
        <is>
          <t>1). 보차도경계석(화강석)</t>
        </is>
      </c>
      <c r="B1273" s="28" t="n"/>
      <c r="C1273" s="17" t="n"/>
      <c r="D1273" s="16" t="n"/>
      <c r="E1273" s="17" t="n"/>
      <c r="F1273" s="29" t="n"/>
      <c r="G1273" s="17" t="n"/>
      <c r="H1273" s="29" t="n"/>
      <c r="I1273" s="17" t="n"/>
      <c r="J1273" s="29" t="n"/>
      <c r="K1273" s="17" t="n"/>
      <c r="L1273" s="29" t="n"/>
      <c r="M1273" s="18" t="n"/>
    </row>
    <row r="1274">
      <c r="A1274" s="14" t="inlineStr">
        <is>
          <t>가). 보차도경계석 설치</t>
        </is>
      </c>
      <c r="B1274" s="14" t="inlineStr">
        <is>
          <t>180×200×1000, A-TYPE(직선구간)</t>
        </is>
      </c>
      <c r="C1274" s="15" t="n">
        <v>475</v>
      </c>
      <c r="D1274" s="16" t="inlineStr">
        <is>
          <t>m</t>
        </is>
      </c>
      <c r="E1274" s="15" t="n">
        <v>0</v>
      </c>
      <c r="F1274" s="15">
        <f>E1274*C1274</f>
        <v/>
      </c>
      <c r="G1274" s="15" t="n">
        <v>12984</v>
      </c>
      <c r="H1274" s="15">
        <f>G1274*C1274</f>
        <v/>
      </c>
      <c r="I1274" s="15" t="n">
        <v>4920</v>
      </c>
      <c r="J1274" s="15">
        <f>I1274*C1274</f>
        <v/>
      </c>
      <c r="K1274" s="15">
        <f>E1274+G1274+I1274</f>
        <v/>
      </c>
      <c r="L1274" s="15">
        <f>F1274+H1274+J1274</f>
        <v/>
      </c>
      <c r="M1274" s="18" t="n"/>
    </row>
    <row r="1275">
      <c r="A1275" s="14" t="inlineStr">
        <is>
          <t>나). 보차도경계석 설치(경사)</t>
        </is>
      </c>
      <c r="B1275" s="14" t="inlineStr">
        <is>
          <t>180×200~100×1000, A-TYPE(곡선구간)</t>
        </is>
      </c>
      <c r="C1275" s="15" t="n">
        <v>9</v>
      </c>
      <c r="D1275" s="16" t="inlineStr">
        <is>
          <t>m</t>
        </is>
      </c>
      <c r="E1275" s="15" t="n">
        <v>0</v>
      </c>
      <c r="F1275" s="15">
        <f>E1275*C1275</f>
        <v/>
      </c>
      <c r="G1275" s="15" t="n">
        <v>12984</v>
      </c>
      <c r="H1275" s="15">
        <f>G1275*C1275</f>
        <v/>
      </c>
      <c r="I1275" s="15" t="n">
        <v>4920</v>
      </c>
      <c r="J1275" s="15">
        <f>I1275*C1275</f>
        <v/>
      </c>
      <c r="K1275" s="15">
        <f>E1275+G1275+I1275</f>
        <v/>
      </c>
      <c r="L1275" s="15">
        <f>F1275+H1275+J1275</f>
        <v/>
      </c>
      <c r="M1275" s="18" t="n"/>
    </row>
    <row r="1276">
      <c r="A1276" s="14" t="inlineStr">
        <is>
          <t>다). 보차도경계석 설치(낮춤)</t>
        </is>
      </c>
      <c r="B1276" s="14" t="inlineStr">
        <is>
          <t>180×100×1000, A-TYPE(곡선구간)</t>
        </is>
      </c>
      <c r="C1276" s="15" t="n">
        <v>26</v>
      </c>
      <c r="D1276" s="16" t="inlineStr">
        <is>
          <t>m</t>
        </is>
      </c>
      <c r="E1276" s="15" t="n">
        <v>0</v>
      </c>
      <c r="F1276" s="15">
        <f>E1276*C1276</f>
        <v/>
      </c>
      <c r="G1276" s="15" t="n">
        <v>12984</v>
      </c>
      <c r="H1276" s="15">
        <f>G1276*C1276</f>
        <v/>
      </c>
      <c r="I1276" s="15" t="n">
        <v>4920</v>
      </c>
      <c r="J1276" s="15">
        <f>I1276*C1276</f>
        <v/>
      </c>
      <c r="K1276" s="15">
        <f>E1276+G1276+I1276</f>
        <v/>
      </c>
      <c r="L1276" s="15">
        <f>F1276+H1276+J1276</f>
        <v/>
      </c>
      <c r="M1276" s="18" t="n"/>
    </row>
    <row r="1277">
      <c r="A1277" s="28" t="inlineStr">
        <is>
          <t>2). 도로경계석(화강석)</t>
        </is>
      </c>
      <c r="B1277" s="28" t="n"/>
      <c r="C1277" s="17" t="n"/>
      <c r="D1277" s="16" t="n"/>
      <c r="E1277" s="17" t="n"/>
      <c r="F1277" s="29" t="n"/>
      <c r="G1277" s="17" t="n"/>
      <c r="H1277" s="29" t="n"/>
      <c r="I1277" s="17" t="n"/>
      <c r="J1277" s="29" t="n"/>
      <c r="K1277" s="17" t="n"/>
      <c r="L1277" s="29" t="n"/>
      <c r="M1277" s="18" t="n"/>
    </row>
    <row r="1278">
      <c r="A1278" s="14" t="inlineStr">
        <is>
          <t>가). 도로경계석 설치</t>
        </is>
      </c>
      <c r="B1278" s="14" t="inlineStr">
        <is>
          <t>120×120×1000, A-TYPE(직선구간)</t>
        </is>
      </c>
      <c r="C1278" s="15" t="n">
        <v>220</v>
      </c>
      <c r="D1278" s="16" t="inlineStr">
        <is>
          <t>m</t>
        </is>
      </c>
      <c r="E1278" s="15" t="n">
        <v>0</v>
      </c>
      <c r="F1278" s="15">
        <f>E1278*C1278</f>
        <v/>
      </c>
      <c r="G1278" s="15" t="n">
        <v>11129</v>
      </c>
      <c r="H1278" s="15">
        <f>G1278*C1278</f>
        <v/>
      </c>
      <c r="I1278" s="15" t="n">
        <v>3543</v>
      </c>
      <c r="J1278" s="15">
        <f>I1278*C1278</f>
        <v/>
      </c>
      <c r="K1278" s="15">
        <f>E1278+G1278+I1278</f>
        <v/>
      </c>
      <c r="L1278" s="15">
        <f>F1278+H1278+J1278</f>
        <v/>
      </c>
      <c r="M1278" s="18" t="n"/>
    </row>
    <row r="1279">
      <c r="A1279" s="28" t="inlineStr">
        <is>
          <t>사. 아스팔트절삭 및 덧교통시설공</t>
        </is>
      </c>
      <c r="B1279" s="28" t="n"/>
      <c r="C1279" s="17" t="n"/>
      <c r="D1279" s="16" t="n"/>
      <c r="E1279" s="17" t="n"/>
      <c r="F1279" s="29" t="n"/>
      <c r="G1279" s="17" t="n"/>
      <c r="H1279" s="29" t="n"/>
      <c r="I1279" s="17" t="n"/>
      <c r="J1279" s="29" t="n"/>
      <c r="K1279" s="17" t="n"/>
      <c r="L1279" s="29" t="n"/>
      <c r="M1279" s="18" t="n"/>
    </row>
    <row r="1280">
      <c r="A1280" s="14" t="inlineStr">
        <is>
          <t>1). 아스팔트절삭및덧씌우기</t>
        </is>
      </c>
      <c r="B1280" s="14" t="n"/>
      <c r="C1280" s="15" t="n">
        <v>1350</v>
      </c>
      <c r="D1280" s="16" t="inlineStr">
        <is>
          <t>m2</t>
        </is>
      </c>
      <c r="E1280" s="15" t="n">
        <v>0</v>
      </c>
      <c r="F1280" s="15">
        <f>E1280*C1280</f>
        <v/>
      </c>
      <c r="G1280" s="15" t="n">
        <v>2782</v>
      </c>
      <c r="H1280" s="15">
        <f>G1280*C1280</f>
        <v/>
      </c>
      <c r="I1280" s="15" t="n">
        <v>11641</v>
      </c>
      <c r="J1280" s="15">
        <f>I1280*C1280</f>
        <v/>
      </c>
      <c r="K1280" s="15">
        <f>E1280+G1280+I1280</f>
        <v/>
      </c>
      <c r="L1280" s="15">
        <f>F1280+H1280+J1280</f>
        <v/>
      </c>
      <c r="M1280" s="18" t="n"/>
    </row>
    <row r="1281">
      <c r="A1281" s="28" t="inlineStr">
        <is>
          <t>아. 교통시설공</t>
        </is>
      </c>
      <c r="B1281" s="28" t="n"/>
      <c r="C1281" s="17" t="n"/>
      <c r="D1281" s="16" t="n"/>
      <c r="E1281" s="17" t="n"/>
      <c r="F1281" s="29" t="n"/>
      <c r="G1281" s="17" t="n"/>
      <c r="H1281" s="29" t="n"/>
      <c r="I1281" s="17" t="n"/>
      <c r="J1281" s="29" t="n"/>
      <c r="K1281" s="17" t="n"/>
      <c r="L1281" s="29" t="n"/>
      <c r="M1281" s="18" t="n"/>
    </row>
    <row r="1282">
      <c r="A1282" s="28" t="inlineStr">
        <is>
          <t>1). 교통안전표지판</t>
        </is>
      </c>
      <c r="B1282" s="28" t="n"/>
      <c r="C1282" s="17" t="n"/>
      <c r="D1282" s="16" t="n"/>
      <c r="E1282" s="17" t="n"/>
      <c r="F1282" s="29" t="n"/>
      <c r="G1282" s="17" t="n"/>
      <c r="H1282" s="29" t="n"/>
      <c r="I1282" s="17" t="n"/>
      <c r="J1282" s="29" t="n"/>
      <c r="K1282" s="17" t="n"/>
      <c r="L1282" s="29" t="n"/>
      <c r="M1282" s="18" t="n"/>
    </row>
    <row r="1283">
      <c r="A1283" s="14" t="inlineStr">
        <is>
          <t>가). 교통안전표지판(삼각)</t>
        </is>
      </c>
      <c r="B1283" s="14" t="inlineStr">
        <is>
          <t>1변 900 MM</t>
        </is>
      </c>
      <c r="C1283" s="15" t="n">
        <v>13</v>
      </c>
      <c r="D1283" s="16" t="inlineStr">
        <is>
          <t>개</t>
        </is>
      </c>
      <c r="E1283" s="15" t="n">
        <v>81611</v>
      </c>
      <c r="F1283" s="15">
        <f>E1283*C1283</f>
        <v/>
      </c>
      <c r="G1283" s="15" t="n">
        <v>46370</v>
      </c>
      <c r="H1283" s="15">
        <f>G1283*C1283</f>
        <v/>
      </c>
      <c r="I1283" s="15" t="n">
        <v>0</v>
      </c>
      <c r="J1283" s="15">
        <f>I1283*C1283</f>
        <v/>
      </c>
      <c r="K1283" s="15">
        <f>E1283+G1283+I1283</f>
        <v/>
      </c>
      <c r="L1283" s="15">
        <f>F1283+H1283+J1283</f>
        <v/>
      </c>
      <c r="M1283" s="18" t="n"/>
    </row>
    <row r="1284">
      <c r="A1284" s="14" t="inlineStr">
        <is>
          <t>나). 교통안전표지판(오각)(횡단보도)</t>
        </is>
      </c>
      <c r="B1284" s="14" t="inlineStr">
        <is>
          <t>600×200×600mm, 횡단보도</t>
        </is>
      </c>
      <c r="C1284" s="15" t="n">
        <v>3</v>
      </c>
      <c r="D1284" s="16" t="inlineStr">
        <is>
          <t>개</t>
        </is>
      </c>
      <c r="E1284" s="15" t="n">
        <v>81611</v>
      </c>
      <c r="F1284" s="15">
        <f>E1284*C1284</f>
        <v/>
      </c>
      <c r="G1284" s="15" t="n">
        <v>46370</v>
      </c>
      <c r="H1284" s="15">
        <f>G1284*C1284</f>
        <v/>
      </c>
      <c r="I1284" s="15" t="n">
        <v>0</v>
      </c>
      <c r="J1284" s="15">
        <f>I1284*C1284</f>
        <v/>
      </c>
      <c r="K1284" s="15">
        <f>E1284+G1284+I1284</f>
        <v/>
      </c>
      <c r="L1284" s="15">
        <f>F1284+H1284+J1284</f>
        <v/>
      </c>
      <c r="M1284" s="18" t="n"/>
    </row>
    <row r="1285">
      <c r="A1285" s="14" t="inlineStr">
        <is>
          <t>다). 교통안전표지판(원형)</t>
        </is>
      </c>
      <c r="B1285" s="14" t="inlineStr">
        <is>
          <t>속도제한</t>
        </is>
      </c>
      <c r="C1285" s="15" t="n">
        <v>7</v>
      </c>
      <c r="D1285" s="16" t="inlineStr">
        <is>
          <t>개</t>
        </is>
      </c>
      <c r="E1285" s="15" t="n">
        <v>81611</v>
      </c>
      <c r="F1285" s="15">
        <f>E1285*C1285</f>
        <v/>
      </c>
      <c r="G1285" s="15" t="n">
        <v>46370</v>
      </c>
      <c r="H1285" s="15">
        <f>G1285*C1285</f>
        <v/>
      </c>
      <c r="I1285" s="15" t="n">
        <v>0</v>
      </c>
      <c r="J1285" s="15">
        <f>I1285*C1285</f>
        <v/>
      </c>
      <c r="K1285" s="15">
        <f>E1285+G1285+I1285</f>
        <v/>
      </c>
      <c r="L1285" s="15">
        <f>F1285+H1285+J1285</f>
        <v/>
      </c>
      <c r="M1285" s="18" t="n"/>
    </row>
    <row r="1286">
      <c r="A1286" s="28" t="inlineStr">
        <is>
          <t>2). 노면표시</t>
        </is>
      </c>
      <c r="B1286" s="28" t="n"/>
      <c r="C1286" s="17" t="n"/>
      <c r="D1286" s="16" t="n"/>
      <c r="E1286" s="17" t="n"/>
      <c r="F1286" s="29" t="n"/>
      <c r="G1286" s="17" t="n"/>
      <c r="H1286" s="29" t="n"/>
      <c r="I1286" s="17" t="n"/>
      <c r="J1286" s="29" t="n"/>
      <c r="K1286" s="17" t="n"/>
      <c r="L1286" s="29" t="n"/>
      <c r="M1286" s="18" t="n"/>
    </row>
    <row r="1287">
      <c r="A1287" s="14" t="inlineStr">
        <is>
          <t>가). 차선도색(페인트,기계식),신설구간</t>
        </is>
      </c>
      <c r="B1287" s="14" t="inlineStr">
        <is>
          <t>백색-실선</t>
        </is>
      </c>
      <c r="C1287" s="15" t="n">
        <v>7</v>
      </c>
      <c r="D1287" s="16" t="inlineStr">
        <is>
          <t>㎡</t>
        </is>
      </c>
      <c r="E1287" s="15" t="n">
        <v>6028</v>
      </c>
      <c r="F1287" s="15">
        <f>E1287*C1287</f>
        <v/>
      </c>
      <c r="G1287" s="15" t="n">
        <v>7883</v>
      </c>
      <c r="H1287" s="15">
        <f>G1287*C1287</f>
        <v/>
      </c>
      <c r="I1287" s="15" t="n">
        <v>1012</v>
      </c>
      <c r="J1287" s="15">
        <f>I1287*C1287</f>
        <v/>
      </c>
      <c r="K1287" s="15">
        <f>E1287+G1287+I1287</f>
        <v/>
      </c>
      <c r="L1287" s="15">
        <f>F1287+H1287+J1287</f>
        <v/>
      </c>
      <c r="M1287" s="18" t="n"/>
    </row>
    <row r="1288">
      <c r="A1288" s="14" t="inlineStr">
        <is>
          <t>나). 차선도색(페인트,기계식),신설구간</t>
        </is>
      </c>
      <c r="B1288" s="14" t="inlineStr">
        <is>
          <t>백색-파선</t>
        </is>
      </c>
      <c r="C1288" s="15" t="n">
        <v>16</v>
      </c>
      <c r="D1288" s="16" t="inlineStr">
        <is>
          <t>㎡</t>
        </is>
      </c>
      <c r="E1288" s="15" t="n">
        <v>6028</v>
      </c>
      <c r="F1288" s="15">
        <f>E1288*C1288</f>
        <v/>
      </c>
      <c r="G1288" s="15" t="n">
        <v>7883</v>
      </c>
      <c r="H1288" s="15">
        <f>G1288*C1288</f>
        <v/>
      </c>
      <c r="I1288" s="15" t="n">
        <v>1012</v>
      </c>
      <c r="J1288" s="15">
        <f>I1288*C1288</f>
        <v/>
      </c>
      <c r="K1288" s="15">
        <f>E1288+G1288+I1288</f>
        <v/>
      </c>
      <c r="L1288" s="15">
        <f>F1288+H1288+J1288</f>
        <v/>
      </c>
      <c r="M1288" s="18" t="n"/>
    </row>
    <row r="1289">
      <c r="A1289" s="14" t="inlineStr">
        <is>
          <t>다). 차선도색(페인트,기계식),신설구간</t>
        </is>
      </c>
      <c r="B1289" s="14" t="inlineStr">
        <is>
          <t>황색-실선</t>
        </is>
      </c>
      <c r="C1289" s="15" t="n">
        <v>260</v>
      </c>
      <c r="D1289" s="16" t="inlineStr">
        <is>
          <t>㎡</t>
        </is>
      </c>
      <c r="E1289" s="15" t="n">
        <v>6028</v>
      </c>
      <c r="F1289" s="15">
        <f>E1289*C1289</f>
        <v/>
      </c>
      <c r="G1289" s="15" t="n">
        <v>7883</v>
      </c>
      <c r="H1289" s="15">
        <f>G1289*C1289</f>
        <v/>
      </c>
      <c r="I1289" s="15" t="n">
        <v>1012</v>
      </c>
      <c r="J1289" s="15">
        <f>I1289*C1289</f>
        <v/>
      </c>
      <c r="K1289" s="15">
        <f>E1289+G1289+I1289</f>
        <v/>
      </c>
      <c r="L1289" s="15">
        <f>F1289+H1289+J1289</f>
        <v/>
      </c>
      <c r="M1289" s="18" t="n"/>
    </row>
    <row r="1290">
      <c r="A1290" s="14" t="inlineStr">
        <is>
          <t>라). 차선도색(페인트,기계식),신설구간</t>
        </is>
      </c>
      <c r="B1290" s="14" t="inlineStr">
        <is>
          <t>황색-파선</t>
        </is>
      </c>
      <c r="C1290" s="15" t="n">
        <v>6</v>
      </c>
      <c r="D1290" s="16" t="inlineStr">
        <is>
          <t>㎡</t>
        </is>
      </c>
      <c r="E1290" s="15" t="n">
        <v>6028</v>
      </c>
      <c r="F1290" s="15">
        <f>E1290*C1290</f>
        <v/>
      </c>
      <c r="G1290" s="15" t="n">
        <v>7883</v>
      </c>
      <c r="H1290" s="15">
        <f>G1290*C1290</f>
        <v/>
      </c>
      <c r="I1290" s="15" t="n">
        <v>1012</v>
      </c>
      <c r="J1290" s="15">
        <f>I1290*C1290</f>
        <v/>
      </c>
      <c r="K1290" s="15">
        <f>E1290+G1290+I1290</f>
        <v/>
      </c>
      <c r="L1290" s="15">
        <f>F1290+H1290+J1290</f>
        <v/>
      </c>
      <c r="M1290" s="18" t="n"/>
    </row>
    <row r="1291">
      <c r="A1291" s="14" t="inlineStr">
        <is>
          <t>마). 차선도색(융착식,수동식),신설구간</t>
        </is>
      </c>
      <c r="B1291" s="14" t="inlineStr">
        <is>
          <t>횡단보도,주차장</t>
        </is>
      </c>
      <c r="C1291" s="15" t="n">
        <v>119</v>
      </c>
      <c r="D1291" s="16" t="inlineStr">
        <is>
          <t>㎡</t>
        </is>
      </c>
      <c r="E1291" s="15" t="n">
        <v>6028</v>
      </c>
      <c r="F1291" s="15">
        <f>E1291*C1291</f>
        <v/>
      </c>
      <c r="G1291" s="15" t="n">
        <v>7883</v>
      </c>
      <c r="H1291" s="15">
        <f>G1291*C1291</f>
        <v/>
      </c>
      <c r="I1291" s="15" t="n">
        <v>1012</v>
      </c>
      <c r="J1291" s="15">
        <f>I1291*C1291</f>
        <v/>
      </c>
      <c r="K1291" s="15">
        <f>E1291+G1291+I1291</f>
        <v/>
      </c>
      <c r="L1291" s="15">
        <f>F1291+H1291+J1291</f>
        <v/>
      </c>
      <c r="M1291" s="18" t="n"/>
    </row>
    <row r="1292">
      <c r="A1292" s="14" t="inlineStr">
        <is>
          <t>바). 차선도색(융착식,수동식),신설구간</t>
        </is>
      </c>
      <c r="B1292" s="14" t="inlineStr">
        <is>
          <t>문자,기호</t>
        </is>
      </c>
      <c r="C1292" s="15" t="n">
        <v>36</v>
      </c>
      <c r="D1292" s="16" t="inlineStr">
        <is>
          <t>㎡</t>
        </is>
      </c>
      <c r="E1292" s="15" t="n">
        <v>6028</v>
      </c>
      <c r="F1292" s="15">
        <f>E1292*C1292</f>
        <v/>
      </c>
      <c r="G1292" s="15" t="n">
        <v>10201</v>
      </c>
      <c r="H1292" s="15">
        <f>G1292*C1292</f>
        <v/>
      </c>
      <c r="I1292" s="15" t="n">
        <v>1012</v>
      </c>
      <c r="J1292" s="15">
        <f>I1292*C1292</f>
        <v/>
      </c>
      <c r="K1292" s="15">
        <f>E1292+G1292+I1292</f>
        <v/>
      </c>
      <c r="L1292" s="15">
        <f>F1292+H1292+J1292</f>
        <v/>
      </c>
      <c r="M1292" s="18" t="n"/>
    </row>
    <row r="1293">
      <c r="A1293" s="14" t="inlineStr">
        <is>
          <t>사). 차선도색(차로밑그림),신설구간</t>
        </is>
      </c>
      <c r="B1293" s="14" t="inlineStr">
        <is>
          <t>실선</t>
        </is>
      </c>
      <c r="C1293" s="15" t="n">
        <v>267</v>
      </c>
      <c r="D1293" s="16" t="inlineStr">
        <is>
          <t>㎡</t>
        </is>
      </c>
      <c r="E1293" s="15" t="n">
        <v>0</v>
      </c>
      <c r="F1293" s="15">
        <f>E1293*C1293</f>
        <v/>
      </c>
      <c r="G1293" s="15" t="n">
        <v>4173</v>
      </c>
      <c r="H1293" s="15">
        <f>G1293*C1293</f>
        <v/>
      </c>
      <c r="I1293" s="15" t="n">
        <v>0</v>
      </c>
      <c r="J1293" s="15">
        <f>I1293*C1293</f>
        <v/>
      </c>
      <c r="K1293" s="15">
        <f>E1293+G1293+I1293</f>
        <v/>
      </c>
      <c r="L1293" s="15">
        <f>F1293+H1293+J1293</f>
        <v/>
      </c>
      <c r="M1293" s="18" t="n"/>
    </row>
    <row r="1294">
      <c r="A1294" s="14" t="inlineStr">
        <is>
          <t>아). 차선도색(차로밑그림),신설구간</t>
        </is>
      </c>
      <c r="B1294" s="14" t="inlineStr">
        <is>
          <t>파선</t>
        </is>
      </c>
      <c r="C1294" s="15" t="n">
        <v>22</v>
      </c>
      <c r="D1294" s="16" t="inlineStr">
        <is>
          <t>㎡</t>
        </is>
      </c>
      <c r="E1294" s="15" t="n">
        <v>0</v>
      </c>
      <c r="F1294" s="15">
        <f>E1294*C1294</f>
        <v/>
      </c>
      <c r="G1294" s="15" t="n">
        <v>4173</v>
      </c>
      <c r="H1294" s="15">
        <f>G1294*C1294</f>
        <v/>
      </c>
      <c r="I1294" s="15" t="n">
        <v>0</v>
      </c>
      <c r="J1294" s="15">
        <f>I1294*C1294</f>
        <v/>
      </c>
      <c r="K1294" s="15">
        <f>E1294+G1294+I1294</f>
        <v/>
      </c>
      <c r="L1294" s="15">
        <f>F1294+H1294+J1294</f>
        <v/>
      </c>
      <c r="M1294" s="18" t="n"/>
    </row>
    <row r="1295">
      <c r="A1295" s="14" t="inlineStr">
        <is>
          <t>자). 차선도색(차로밑그림),신설구간</t>
        </is>
      </c>
      <c r="B1295" s="14" t="inlineStr">
        <is>
          <t>횡단보도,주차장</t>
        </is>
      </c>
      <c r="C1295" s="15" t="n">
        <v>119</v>
      </c>
      <c r="D1295" s="16" t="inlineStr">
        <is>
          <t>㎡</t>
        </is>
      </c>
      <c r="E1295" s="15" t="n">
        <v>0</v>
      </c>
      <c r="F1295" s="15">
        <f>E1295*C1295</f>
        <v/>
      </c>
      <c r="G1295" s="15" t="n">
        <v>4173</v>
      </c>
      <c r="H1295" s="15">
        <f>G1295*C1295</f>
        <v/>
      </c>
      <c r="I1295" s="15" t="n">
        <v>0</v>
      </c>
      <c r="J1295" s="15">
        <f>I1295*C1295</f>
        <v/>
      </c>
      <c r="K1295" s="15">
        <f>E1295+G1295+I1295</f>
        <v/>
      </c>
      <c r="L1295" s="15">
        <f>F1295+H1295+J1295</f>
        <v/>
      </c>
      <c r="M1295" s="18" t="n"/>
    </row>
    <row r="1296">
      <c r="A1296" s="14" t="inlineStr">
        <is>
          <t>차). 차선도색(차로밑그림),신설구간</t>
        </is>
      </c>
      <c r="B1296" s="14" t="inlineStr">
        <is>
          <t>문자,기호</t>
        </is>
      </c>
      <c r="C1296" s="15" t="n">
        <v>36</v>
      </c>
      <c r="D1296" s="16" t="inlineStr">
        <is>
          <t>㎡</t>
        </is>
      </c>
      <c r="E1296" s="15" t="n">
        <v>0</v>
      </c>
      <c r="F1296" s="15">
        <f>E1296*C1296</f>
        <v/>
      </c>
      <c r="G1296" s="15" t="n">
        <v>4173</v>
      </c>
      <c r="H1296" s="15">
        <f>G1296*C1296</f>
        <v/>
      </c>
      <c r="I1296" s="15" t="n">
        <v>0</v>
      </c>
      <c r="J1296" s="15">
        <f>I1296*C1296</f>
        <v/>
      </c>
      <c r="K1296" s="15">
        <f>E1296+G1296+I1296</f>
        <v/>
      </c>
      <c r="L1296" s="15">
        <f>F1296+H1296+J1296</f>
        <v/>
      </c>
      <c r="M1296" s="18" t="n"/>
    </row>
    <row r="1297">
      <c r="A1297" s="28" t="inlineStr">
        <is>
          <t>3). 부대공</t>
        </is>
      </c>
      <c r="B1297" s="28" t="n"/>
      <c r="C1297" s="17" t="n"/>
      <c r="D1297" s="16" t="n"/>
      <c r="E1297" s="17" t="n"/>
      <c r="F1297" s="29" t="n"/>
      <c r="G1297" s="17" t="n"/>
      <c r="H1297" s="29" t="n"/>
      <c r="I1297" s="17" t="n"/>
      <c r="J1297" s="29" t="n"/>
      <c r="K1297" s="17" t="n"/>
      <c r="L1297" s="29" t="n"/>
      <c r="M1297" s="18" t="n"/>
    </row>
    <row r="1298">
      <c r="A1298" s="14" t="inlineStr">
        <is>
          <t>가). 도로표지병설치</t>
        </is>
      </c>
      <c r="B1298" s="14" t="inlineStr">
        <is>
          <t>양면</t>
        </is>
      </c>
      <c r="C1298" s="15" t="n">
        <v>40</v>
      </c>
      <c r="D1298" s="16" t="inlineStr">
        <is>
          <t>개</t>
        </is>
      </c>
      <c r="E1298" s="15" t="n">
        <v>41733</v>
      </c>
      <c r="F1298" s="15">
        <f>E1298*C1298</f>
        <v/>
      </c>
      <c r="G1298" s="15" t="n">
        <v>32459</v>
      </c>
      <c r="H1298" s="15">
        <f>G1298*C1298</f>
        <v/>
      </c>
      <c r="I1298" s="15" t="n">
        <v>5061</v>
      </c>
      <c r="J1298" s="15">
        <f>I1298*C1298</f>
        <v/>
      </c>
      <c r="K1298" s="15">
        <f>E1298+G1298+I1298</f>
        <v/>
      </c>
      <c r="L1298" s="15">
        <f>F1298+H1298+J1298</f>
        <v/>
      </c>
      <c r="M1298" s="18" t="n"/>
    </row>
    <row r="1299">
      <c r="A1299" s="14" t="inlineStr">
        <is>
          <t>나). 탄성볼라드</t>
        </is>
      </c>
      <c r="B1299" s="14" t="inlineStr">
        <is>
          <t>Ø130×1,050mm</t>
        </is>
      </c>
      <c r="C1299" s="15" t="n">
        <v>8</v>
      </c>
      <c r="D1299" s="16" t="inlineStr">
        <is>
          <t>개소</t>
        </is>
      </c>
      <c r="E1299" s="15" t="n">
        <v>231849</v>
      </c>
      <c r="F1299" s="15">
        <f>E1299*C1299</f>
        <v/>
      </c>
      <c r="G1299" s="15" t="n">
        <v>92740</v>
      </c>
      <c r="H1299" s="15">
        <f>G1299*C1299</f>
        <v/>
      </c>
      <c r="I1299" s="15" t="n">
        <v>50614</v>
      </c>
      <c r="J1299" s="15">
        <f>I1299*C1299</f>
        <v/>
      </c>
      <c r="K1299" s="15">
        <f>E1299+G1299+I1299</f>
        <v/>
      </c>
      <c r="L1299" s="15">
        <f>F1299+H1299+J1299</f>
        <v/>
      </c>
      <c r="M1299" s="18" t="n"/>
    </row>
    <row r="1300">
      <c r="A1300" s="14" t="inlineStr">
        <is>
          <t>다). 시멘트운반</t>
        </is>
      </c>
      <c r="B1300" s="14" t="inlineStr">
        <is>
          <t>L=30km이내</t>
        </is>
      </c>
      <c r="C1300" s="15" t="n">
        <v>21</v>
      </c>
      <c r="D1300" s="16" t="inlineStr">
        <is>
          <t>대</t>
        </is>
      </c>
      <c r="E1300" s="15" t="n">
        <v>0</v>
      </c>
      <c r="F1300" s="15">
        <f>E1300*C1300</f>
        <v/>
      </c>
      <c r="G1300" s="15" t="n">
        <v>0</v>
      </c>
      <c r="H1300" s="15">
        <f>G1300*C1300</f>
        <v/>
      </c>
      <c r="I1300" s="15" t="n">
        <v>455525</v>
      </c>
      <c r="J1300" s="15">
        <f>I1300*C1300</f>
        <v/>
      </c>
      <c r="K1300" s="15">
        <f>E1300+G1300+I1300</f>
        <v/>
      </c>
      <c r="L1300" s="15">
        <f>F1300+H1300+J1300</f>
        <v/>
      </c>
      <c r="M1300" s="18" t="n"/>
    </row>
    <row r="1301">
      <c r="A1301" s="28" t="inlineStr">
        <is>
          <t>4). 가드레일</t>
        </is>
      </c>
      <c r="B1301" s="28" t="n"/>
      <c r="C1301" s="17" t="n"/>
      <c r="D1301" s="16" t="n"/>
      <c r="E1301" s="17" t="n"/>
      <c r="F1301" s="29" t="n"/>
      <c r="G1301" s="17" t="n"/>
      <c r="H1301" s="29" t="n"/>
      <c r="I1301" s="17" t="n"/>
      <c r="J1301" s="29" t="n"/>
      <c r="K1301" s="17" t="n"/>
      <c r="L1301" s="29" t="n"/>
      <c r="M1301" s="18" t="n"/>
    </row>
    <row r="1302">
      <c r="A1302" s="14" t="inlineStr">
        <is>
          <t>가). 철제가드레일</t>
        </is>
      </c>
      <c r="B1302" s="14" t="inlineStr">
        <is>
          <t>W3000*H910</t>
        </is>
      </c>
      <c r="C1302" s="15" t="n">
        <v>306</v>
      </c>
      <c r="D1302" s="16" t="inlineStr">
        <is>
          <t>경간</t>
        </is>
      </c>
      <c r="E1302" s="15" t="n">
        <v>273582</v>
      </c>
      <c r="F1302" s="15">
        <f>E1302*C1302</f>
        <v/>
      </c>
      <c r="G1302" s="15" t="n">
        <v>51007</v>
      </c>
      <c r="H1302" s="15">
        <f>G1302*C1302</f>
        <v/>
      </c>
      <c r="I1302" s="15" t="n">
        <v>28850</v>
      </c>
      <c r="J1302" s="15">
        <f>I1302*C1302</f>
        <v/>
      </c>
      <c r="K1302" s="15">
        <f>E1302+G1302+I1302</f>
        <v/>
      </c>
      <c r="L1302" s="15">
        <f>F1302+H1302+J1302</f>
        <v/>
      </c>
      <c r="M1302" s="18" t="n"/>
    </row>
    <row r="1303">
      <c r="A1303" s="28" t="inlineStr">
        <is>
          <t>5). 디자인형울타리</t>
        </is>
      </c>
      <c r="B1303" s="28" t="n"/>
      <c r="C1303" s="17" t="n"/>
      <c r="D1303" s="16" t="n"/>
      <c r="E1303" s="17" t="n"/>
      <c r="F1303" s="29" t="n"/>
      <c r="G1303" s="17" t="n"/>
      <c r="H1303" s="29" t="n"/>
      <c r="I1303" s="17" t="n"/>
      <c r="J1303" s="29" t="n"/>
      <c r="K1303" s="17" t="n"/>
      <c r="L1303" s="29" t="n"/>
      <c r="M1303" s="18" t="n"/>
    </row>
    <row r="1304">
      <c r="A1304" s="14" t="inlineStr">
        <is>
          <t>가). 디자인형울타리</t>
        </is>
      </c>
      <c r="B1304" s="14" t="inlineStr">
        <is>
          <t>W2000xH1000</t>
        </is>
      </c>
      <c r="C1304" s="15" t="n">
        <v>218</v>
      </c>
      <c r="D1304" s="16" t="inlineStr">
        <is>
          <t>경간</t>
        </is>
      </c>
      <c r="E1304" s="15" t="n">
        <v>185479</v>
      </c>
      <c r="F1304" s="15">
        <f>E1304*C1304</f>
        <v/>
      </c>
      <c r="G1304" s="15" t="n">
        <v>51007</v>
      </c>
      <c r="H1304" s="15">
        <f>G1304*C1304</f>
        <v/>
      </c>
      <c r="I1304" s="15" t="n">
        <v>28850</v>
      </c>
      <c r="J1304" s="15">
        <f>I1304*C1304</f>
        <v/>
      </c>
      <c r="K1304" s="15">
        <f>E1304+G1304+I1304</f>
        <v/>
      </c>
      <c r="L1304" s="15">
        <f>F1304+H1304+J1304</f>
        <v/>
      </c>
      <c r="M1304" s="18" t="n"/>
    </row>
    <row r="1305">
      <c r="A1305" s="28" t="inlineStr">
        <is>
          <t>자. 주요자재 구입</t>
        </is>
      </c>
      <c r="B1305" s="28" t="n"/>
      <c r="C1305" s="17" t="n"/>
      <c r="D1305" s="16" t="n"/>
      <c r="E1305" s="17" t="n"/>
      <c r="F1305" s="29" t="n"/>
      <c r="G1305" s="17" t="n"/>
      <c r="H1305" s="29" t="n"/>
      <c r="I1305" s="17" t="n"/>
      <c r="J1305" s="29" t="n"/>
      <c r="K1305" s="17" t="n"/>
      <c r="L1305" s="29" t="n"/>
      <c r="M1305" s="18" t="n"/>
    </row>
    <row r="1306">
      <c r="A1306" s="14" t="inlineStr">
        <is>
          <t>1). 레미콘</t>
        </is>
      </c>
      <c r="B1306" s="14" t="inlineStr">
        <is>
          <t>25-21- 8(Mpa)</t>
        </is>
      </c>
      <c r="C1306" s="15" t="n">
        <v>29</v>
      </c>
      <c r="D1306" s="16" t="inlineStr">
        <is>
          <t>㎥</t>
        </is>
      </c>
      <c r="E1306" s="15" t="n">
        <v>84690</v>
      </c>
      <c r="F1306" s="15">
        <f>E1306*C1306</f>
        <v/>
      </c>
      <c r="G1306" s="15" t="n">
        <v>0</v>
      </c>
      <c r="H1306" s="15">
        <f>G1306*C1306</f>
        <v/>
      </c>
      <c r="I1306" s="15" t="n">
        <v>0</v>
      </c>
      <c r="J1306" s="15">
        <f>I1306*C1306</f>
        <v/>
      </c>
      <c r="K1306" s="15">
        <f>E1306+G1306+I1306</f>
        <v/>
      </c>
      <c r="L1306" s="15">
        <f>F1306+H1306+J1306</f>
        <v/>
      </c>
      <c r="M1306" s="18" t="n"/>
    </row>
    <row r="1307">
      <c r="A1307" s="14" t="inlineStr">
        <is>
          <t>2). 레미콘</t>
        </is>
      </c>
      <c r="B1307" s="14" t="inlineStr">
        <is>
          <t>25-18- 8(Mpa)</t>
        </is>
      </c>
      <c r="C1307" s="15" t="n">
        <v>48</v>
      </c>
      <c r="D1307" s="16" t="inlineStr">
        <is>
          <t>㎥</t>
        </is>
      </c>
      <c r="E1307" s="15" t="n">
        <v>82958</v>
      </c>
      <c r="F1307" s="15">
        <f>E1307*C1307</f>
        <v/>
      </c>
      <c r="G1307" s="15" t="n">
        <v>0</v>
      </c>
      <c r="H1307" s="15">
        <f>G1307*C1307</f>
        <v/>
      </c>
      <c r="I1307" s="15" t="n">
        <v>0</v>
      </c>
      <c r="J1307" s="15">
        <f>I1307*C1307</f>
        <v/>
      </c>
      <c r="K1307" s="15">
        <f>E1307+G1307+I1307</f>
        <v/>
      </c>
      <c r="L1307" s="15">
        <f>F1307+H1307+J1307</f>
        <v/>
      </c>
      <c r="M1307" s="18" t="n"/>
    </row>
    <row r="1308">
      <c r="A1308" s="14" t="inlineStr">
        <is>
          <t>3). 보통시멘트</t>
        </is>
      </c>
      <c r="B1308" s="14" t="inlineStr">
        <is>
          <t>40kg/대 (포장품)</t>
        </is>
      </c>
      <c r="C1308" s="15" t="n">
        <v>5</v>
      </c>
      <c r="D1308" s="16" t="inlineStr">
        <is>
          <t>대</t>
        </is>
      </c>
      <c r="E1308" s="15" t="n">
        <v>5678</v>
      </c>
      <c r="F1308" s="15">
        <f>E1308*C1308</f>
        <v/>
      </c>
      <c r="G1308" s="15" t="n">
        <v>0</v>
      </c>
      <c r="H1308" s="15">
        <f>G1308*C1308</f>
        <v/>
      </c>
      <c r="I1308" s="15" t="n">
        <v>0</v>
      </c>
      <c r="J1308" s="15">
        <f>I1308*C1308</f>
        <v/>
      </c>
      <c r="K1308" s="15">
        <f>E1308+G1308+I1308</f>
        <v/>
      </c>
      <c r="L1308" s="15">
        <f>F1308+H1308+J1308</f>
        <v/>
      </c>
      <c r="M1308" s="18" t="n"/>
    </row>
    <row r="1309">
      <c r="A1309" s="14" t="inlineStr">
        <is>
          <t>4). 모래</t>
        </is>
      </c>
      <c r="B1309" s="14" t="inlineStr">
        <is>
          <t>강모래, 현장도착도</t>
        </is>
      </c>
      <c r="C1309" s="15" t="n">
        <v>45</v>
      </c>
      <c r="D1309" s="16" t="inlineStr">
        <is>
          <t>㎥</t>
        </is>
      </c>
      <c r="E1309" s="15" t="n">
        <v>24112</v>
      </c>
      <c r="F1309" s="15">
        <f>E1309*C1309</f>
        <v/>
      </c>
      <c r="G1309" s="15" t="n">
        <v>0</v>
      </c>
      <c r="H1309" s="15">
        <f>G1309*C1309</f>
        <v/>
      </c>
      <c r="I1309" s="15" t="n">
        <v>0</v>
      </c>
      <c r="J1309" s="15">
        <f>I1309*C1309</f>
        <v/>
      </c>
      <c r="K1309" s="15">
        <f>E1309+G1309+I1309</f>
        <v/>
      </c>
      <c r="L1309" s="15">
        <f>F1309+H1309+J1309</f>
        <v/>
      </c>
      <c r="M1309" s="18" t="n"/>
    </row>
    <row r="1310">
      <c r="A1310" s="14" t="inlineStr">
        <is>
          <t>5). 혼합골재(보조기층용)</t>
        </is>
      </c>
      <c r="B1310" s="14" t="inlineStr">
        <is>
          <t>Φ40mm, 현장도착도</t>
        </is>
      </c>
      <c r="C1310" s="15" t="n">
        <v>1033</v>
      </c>
      <c r="D1310" s="16" t="inlineStr">
        <is>
          <t>㎥</t>
        </is>
      </c>
      <c r="E1310" s="15" t="n">
        <v>16693</v>
      </c>
      <c r="F1310" s="15">
        <f>E1310*C1310</f>
        <v/>
      </c>
      <c r="G1310" s="15" t="n">
        <v>0</v>
      </c>
      <c r="H1310" s="15">
        <f>G1310*C1310</f>
        <v/>
      </c>
      <c r="I1310" s="15" t="n">
        <v>0</v>
      </c>
      <c r="J1310" s="15">
        <f>I1310*C1310</f>
        <v/>
      </c>
      <c r="K1310" s="15">
        <f>E1310+G1310+I1310</f>
        <v/>
      </c>
      <c r="L1310" s="15">
        <f>F1310+H1310+J1310</f>
        <v/>
      </c>
      <c r="M1310" s="18" t="n"/>
    </row>
    <row r="1311">
      <c r="A1311" s="14" t="inlineStr">
        <is>
          <t>6). 아스팔트(유제)</t>
        </is>
      </c>
      <c r="B1311" s="14" t="inlineStr">
        <is>
          <t>RS(C)-3 (200ℓ)</t>
        </is>
      </c>
      <c r="C1311" s="15" t="n">
        <v>12</v>
      </c>
      <c r="D1311" s="16" t="inlineStr">
        <is>
          <t>D/M</t>
        </is>
      </c>
      <c r="E1311" s="15" t="n">
        <v>231849</v>
      </c>
      <c r="F1311" s="15">
        <f>E1311*C1311</f>
        <v/>
      </c>
      <c r="G1311" s="15" t="n">
        <v>0</v>
      </c>
      <c r="H1311" s="15">
        <f>G1311*C1311</f>
        <v/>
      </c>
      <c r="I1311" s="15" t="n">
        <v>0</v>
      </c>
      <c r="J1311" s="15">
        <f>I1311*C1311</f>
        <v/>
      </c>
      <c r="K1311" s="15">
        <f>E1311+G1311+I1311</f>
        <v/>
      </c>
      <c r="L1311" s="15">
        <f>F1311+H1311+J1311</f>
        <v/>
      </c>
      <c r="M1311" s="18" t="n"/>
    </row>
    <row r="1312">
      <c r="A1312" s="14" t="inlineStr">
        <is>
          <t>7). 아스팔트(유제)</t>
        </is>
      </c>
      <c r="B1312" s="14" t="inlineStr">
        <is>
          <t>RS(C)-4 (200ℓ)</t>
        </is>
      </c>
      <c r="C1312" s="15" t="n">
        <v>13</v>
      </c>
      <c r="D1312" s="16" t="inlineStr">
        <is>
          <t>D/M</t>
        </is>
      </c>
      <c r="E1312" s="15" t="n">
        <v>231849</v>
      </c>
      <c r="F1312" s="15">
        <f>E1312*C1312</f>
        <v/>
      </c>
      <c r="G1312" s="15" t="n">
        <v>0</v>
      </c>
      <c r="H1312" s="15">
        <f>G1312*C1312</f>
        <v/>
      </c>
      <c r="I1312" s="15" t="n">
        <v>0</v>
      </c>
      <c r="J1312" s="15">
        <f>I1312*C1312</f>
        <v/>
      </c>
      <c r="K1312" s="15">
        <f>E1312+G1312+I1312</f>
        <v/>
      </c>
      <c r="L1312" s="15">
        <f>F1312+H1312+J1312</f>
        <v/>
      </c>
      <c r="M1312" s="18" t="n"/>
    </row>
    <row r="1313">
      <c r="A1313" s="14" t="inlineStr">
        <is>
          <t>8). 아스팔트콘크리트</t>
        </is>
      </c>
      <c r="B1313" s="14" t="inlineStr">
        <is>
          <t>#78  표층용</t>
        </is>
      </c>
      <c r="C1313" s="15" t="n">
        <v>543</v>
      </c>
      <c r="D1313" s="16" t="inlineStr">
        <is>
          <t>Ton</t>
        </is>
      </c>
      <c r="E1313" s="15" t="n">
        <v>97202</v>
      </c>
      <c r="F1313" s="15">
        <f>E1313*C1313</f>
        <v/>
      </c>
      <c r="G1313" s="15" t="n">
        <v>0</v>
      </c>
      <c r="H1313" s="15">
        <f>G1313*C1313</f>
        <v/>
      </c>
      <c r="I1313" s="15" t="n">
        <v>0</v>
      </c>
      <c r="J1313" s="15">
        <f>I1313*C1313</f>
        <v/>
      </c>
      <c r="K1313" s="15">
        <f>E1313+G1313+I1313</f>
        <v/>
      </c>
      <c r="L1313" s="15">
        <f>F1313+H1313+J1313</f>
        <v/>
      </c>
      <c r="M1313" s="18" t="n"/>
    </row>
    <row r="1314">
      <c r="A1314" s="14" t="inlineStr">
        <is>
          <t>9). 아스팔트콘크리트</t>
        </is>
      </c>
      <c r="B1314" s="14" t="inlineStr">
        <is>
          <t>#67  중간층용</t>
        </is>
      </c>
      <c r="C1314" s="15" t="n">
        <v>543</v>
      </c>
      <c r="D1314" s="16" t="inlineStr">
        <is>
          <t>Ton</t>
        </is>
      </c>
      <c r="E1314" s="15" t="n">
        <v>91427</v>
      </c>
      <c r="F1314" s="15">
        <f>E1314*C1314</f>
        <v/>
      </c>
      <c r="G1314" s="15" t="n">
        <v>0</v>
      </c>
      <c r="H1314" s="15">
        <f>G1314*C1314</f>
        <v/>
      </c>
      <c r="I1314" s="15" t="n">
        <v>0</v>
      </c>
      <c r="J1314" s="15">
        <f>I1314*C1314</f>
        <v/>
      </c>
      <c r="K1314" s="15">
        <f>E1314+G1314+I1314</f>
        <v/>
      </c>
      <c r="L1314" s="15">
        <f>F1314+H1314+J1314</f>
        <v/>
      </c>
      <c r="M1314" s="18" t="n"/>
    </row>
    <row r="1315">
      <c r="A1315" s="14" t="inlineStr">
        <is>
          <t>10). 아스팔트콘크리트</t>
        </is>
      </c>
      <c r="B1315" s="14" t="inlineStr">
        <is>
          <t>#467 기층용</t>
        </is>
      </c>
      <c r="C1315" s="15" t="n">
        <v>1161</v>
      </c>
      <c r="D1315" s="16" t="inlineStr">
        <is>
          <t>Ton</t>
        </is>
      </c>
      <c r="E1315" s="15" t="n">
        <v>87578</v>
      </c>
      <c r="F1315" s="15">
        <f>E1315*C1315</f>
        <v/>
      </c>
      <c r="G1315" s="15" t="n">
        <v>0</v>
      </c>
      <c r="H1315" s="15">
        <f>G1315*C1315</f>
        <v/>
      </c>
      <c r="I1315" s="15" t="n">
        <v>0</v>
      </c>
      <c r="J1315" s="15">
        <f>I1315*C1315</f>
        <v/>
      </c>
      <c r="K1315" s="15">
        <f>E1315+G1315+I1315</f>
        <v/>
      </c>
      <c r="L1315" s="15">
        <f>F1315+H1315+J1315</f>
        <v/>
      </c>
      <c r="M1315" s="18" t="n"/>
    </row>
    <row r="1316">
      <c r="A1316" s="14" t="inlineStr">
        <is>
          <t>11). 보차도경계석(화강석)</t>
        </is>
      </c>
      <c r="B1316" s="14" t="inlineStr">
        <is>
          <t>180x200x1000㎜ (직선)</t>
        </is>
      </c>
      <c r="C1316" s="15" t="n">
        <v>475</v>
      </c>
      <c r="D1316" s="16" t="inlineStr">
        <is>
          <t>ea</t>
        </is>
      </c>
      <c r="E1316" s="15" t="n">
        <v>16693</v>
      </c>
      <c r="F1316" s="15">
        <f>E1316*C1316</f>
        <v/>
      </c>
      <c r="G1316" s="15" t="n">
        <v>0</v>
      </c>
      <c r="H1316" s="15">
        <f>G1316*C1316</f>
        <v/>
      </c>
      <c r="I1316" s="15" t="n">
        <v>1792</v>
      </c>
      <c r="J1316" s="15">
        <f>I1316*C1316</f>
        <v/>
      </c>
      <c r="K1316" s="15">
        <f>E1316+G1316+I1316</f>
        <v/>
      </c>
      <c r="L1316" s="15">
        <f>F1316+H1316+J1316</f>
        <v/>
      </c>
      <c r="M1316" s="18" t="n"/>
    </row>
    <row r="1317">
      <c r="A1317" s="14" t="inlineStr">
        <is>
          <t>12). 횡단보도경계석(화강석)(경사)</t>
        </is>
      </c>
      <c r="B1317" s="14" t="inlineStr">
        <is>
          <t>180x200∼100x1000㎜ (곡선경사)</t>
        </is>
      </c>
      <c r="C1317" s="15" t="n">
        <v>9</v>
      </c>
      <c r="D1317" s="16" t="inlineStr">
        <is>
          <t>ea</t>
        </is>
      </c>
      <c r="E1317" s="15" t="n">
        <v>26894</v>
      </c>
      <c r="F1317" s="15">
        <f>E1317*C1317</f>
        <v/>
      </c>
      <c r="G1317" s="15" t="n">
        <v>0</v>
      </c>
      <c r="H1317" s="15">
        <f>G1317*C1317</f>
        <v/>
      </c>
      <c r="I1317" s="15" t="n">
        <v>1792</v>
      </c>
      <c r="J1317" s="15">
        <f>I1317*C1317</f>
        <v/>
      </c>
      <c r="K1317" s="15">
        <f>E1317+G1317+I1317</f>
        <v/>
      </c>
      <c r="L1317" s="15">
        <f>F1317+H1317+J1317</f>
        <v/>
      </c>
      <c r="M1317" s="18" t="n"/>
    </row>
    <row r="1318">
      <c r="A1318" s="14" t="inlineStr">
        <is>
          <t>13). 횡단보도경계석(화강석)(낮춤)</t>
        </is>
      </c>
      <c r="B1318" s="14" t="inlineStr">
        <is>
          <t>180x100x1000㎜ (곡선)</t>
        </is>
      </c>
      <c r="C1318" s="15" t="n">
        <v>26</v>
      </c>
      <c r="D1318" s="16" t="inlineStr">
        <is>
          <t>ea</t>
        </is>
      </c>
      <c r="E1318" s="15" t="n">
        <v>15766</v>
      </c>
      <c r="F1318" s="15">
        <f>E1318*C1318</f>
        <v/>
      </c>
      <c r="G1318" s="15" t="n">
        <v>0</v>
      </c>
      <c r="H1318" s="15">
        <f>G1318*C1318</f>
        <v/>
      </c>
      <c r="I1318" s="15" t="n">
        <v>1792</v>
      </c>
      <c r="J1318" s="15">
        <f>I1318*C1318</f>
        <v/>
      </c>
      <c r="K1318" s="15">
        <f>E1318+G1318+I1318</f>
        <v/>
      </c>
      <c r="L1318" s="15">
        <f>F1318+H1318+J1318</f>
        <v/>
      </c>
      <c r="M1318" s="18" t="n"/>
    </row>
    <row r="1319">
      <c r="A1319" s="14" t="inlineStr">
        <is>
          <t>14). 도로경계석(화강석)</t>
        </is>
      </c>
      <c r="B1319" s="14" t="inlineStr">
        <is>
          <t>120x120x1000㎜ (직선), 국산</t>
        </is>
      </c>
      <c r="C1319" s="15" t="n">
        <v>220</v>
      </c>
      <c r="D1319" s="16" t="inlineStr">
        <is>
          <t>ea</t>
        </is>
      </c>
      <c r="E1319" s="15" t="n">
        <v>7883</v>
      </c>
      <c r="F1319" s="15">
        <f>E1319*C1319</f>
        <v/>
      </c>
      <c r="G1319" s="15" t="n">
        <v>0</v>
      </c>
      <c r="H1319" s="15">
        <f>G1319*C1319</f>
        <v/>
      </c>
      <c r="I1319" s="15" t="n">
        <v>689</v>
      </c>
      <c r="J1319" s="15">
        <f>I1319*C1319</f>
        <v/>
      </c>
      <c r="K1319" s="15">
        <f>E1319+G1319+I1319</f>
        <v/>
      </c>
      <c r="L1319" s="15">
        <f>F1319+H1319+J1319</f>
        <v/>
      </c>
      <c r="M1319" s="18" t="n"/>
    </row>
    <row r="1320">
      <c r="A1320" s="14" t="inlineStr">
        <is>
          <t>15). 보도블록(인조화강)</t>
        </is>
      </c>
      <c r="B1320" s="14" t="inlineStr">
        <is>
          <t>200x200x60, 투수</t>
        </is>
      </c>
      <c r="C1320" s="15" t="n">
        <v>1126</v>
      </c>
      <c r="D1320" s="16" t="inlineStr">
        <is>
          <t>㎡</t>
        </is>
      </c>
      <c r="E1320" s="15" t="n">
        <v>12798</v>
      </c>
      <c r="F1320" s="15">
        <f>E1320*C1320</f>
        <v/>
      </c>
      <c r="G1320" s="15" t="n">
        <v>0</v>
      </c>
      <c r="H1320" s="15">
        <f>G1320*C1320</f>
        <v/>
      </c>
      <c r="I1320" s="15" t="n">
        <v>2399</v>
      </c>
      <c r="J1320" s="15">
        <f>I1320*C1320</f>
        <v/>
      </c>
      <c r="K1320" s="15">
        <f>E1320+G1320+I1320</f>
        <v/>
      </c>
      <c r="L1320" s="15">
        <f>F1320+H1320+J1320</f>
        <v/>
      </c>
      <c r="M1320" s="18" t="n"/>
    </row>
    <row r="1321">
      <c r="A1321" s="14" t="inlineStr">
        <is>
          <t>16). 장애인용보도 선형블록</t>
        </is>
      </c>
      <c r="B1321" s="14" t="inlineStr">
        <is>
          <t>300x300x60, 고강도, 논슬립</t>
        </is>
      </c>
      <c r="C1321" s="15" t="n">
        <v>190</v>
      </c>
      <c r="D1321" s="16" t="inlineStr">
        <is>
          <t>ea</t>
        </is>
      </c>
      <c r="E1321" s="15" t="n">
        <v>3524</v>
      </c>
      <c r="F1321" s="15">
        <f>E1321*C1321</f>
        <v/>
      </c>
      <c r="G1321" s="15" t="n">
        <v>0</v>
      </c>
      <c r="H1321" s="15">
        <f>G1321*C1321</f>
        <v/>
      </c>
      <c r="I1321" s="15" t="n">
        <v>2399</v>
      </c>
      <c r="J1321" s="15">
        <f>I1321*C1321</f>
        <v/>
      </c>
      <c r="K1321" s="15">
        <f>E1321+G1321+I1321</f>
        <v/>
      </c>
      <c r="L1321" s="15">
        <f>F1321+H1321+J1321</f>
        <v/>
      </c>
      <c r="M1321" s="18" t="n"/>
    </row>
    <row r="1322">
      <c r="A1322" s="14" t="inlineStr">
        <is>
          <t>17). 장애인용보도 점형블록</t>
        </is>
      </c>
      <c r="B1322" s="14" t="inlineStr">
        <is>
          <t>300x300x60, 고강도, 논슬립</t>
        </is>
      </c>
      <c r="C1322" s="15" t="n">
        <v>11</v>
      </c>
      <c r="D1322" s="16" t="inlineStr">
        <is>
          <t>ea</t>
        </is>
      </c>
      <c r="E1322" s="15" t="n">
        <v>3524</v>
      </c>
      <c r="F1322" s="15">
        <f>E1322*C1322</f>
        <v/>
      </c>
      <c r="G1322" s="15" t="n">
        <v>0</v>
      </c>
      <c r="H1322" s="15">
        <f>G1322*C1322</f>
        <v/>
      </c>
      <c r="I1322" s="15" t="n">
        <v>2399</v>
      </c>
      <c r="J1322" s="15">
        <f>I1322*C1322</f>
        <v/>
      </c>
      <c r="K1322" s="15">
        <f>E1322+G1322+I1322</f>
        <v/>
      </c>
      <c r="L1322" s="15">
        <f>F1322+H1322+J1322</f>
        <v/>
      </c>
      <c r="M1322" s="18" t="n"/>
    </row>
    <row r="1323">
      <c r="A1323" s="25" t="inlineStr">
        <is>
          <t>4. 구조물공</t>
        </is>
      </c>
      <c r="B1323" s="26" t="n"/>
      <c r="C1323" s="21" t="n"/>
      <c r="D1323" s="22" t="n"/>
      <c r="E1323" s="21" t="n"/>
      <c r="F1323" s="27" t="n"/>
      <c r="G1323" s="21" t="n"/>
      <c r="H1323" s="27" t="n"/>
      <c r="I1323" s="21" t="n"/>
      <c r="J1323" s="27" t="n"/>
      <c r="K1323" s="21" t="n"/>
      <c r="L1323" s="27" t="n"/>
      <c r="M1323" s="24" t="n"/>
    </row>
    <row r="1324">
      <c r="A1324" s="28" t="inlineStr">
        <is>
          <t>가. RC옹벽(L형옹벽)</t>
        </is>
      </c>
      <c r="B1324" s="28" t="n"/>
      <c r="C1324" s="17" t="n"/>
      <c r="D1324" s="16" t="n"/>
      <c r="E1324" s="17" t="n"/>
      <c r="F1324" s="29" t="n"/>
      <c r="G1324" s="17" t="n"/>
      <c r="H1324" s="29" t="n"/>
      <c r="I1324" s="17" t="n"/>
      <c r="J1324" s="29" t="n"/>
      <c r="K1324" s="17" t="n"/>
      <c r="L1324" s="29" t="n"/>
      <c r="M1324" s="18" t="n"/>
    </row>
    <row r="1325">
      <c r="A1325" s="14" t="inlineStr">
        <is>
          <t>1). 콘크리트타설</t>
        </is>
      </c>
      <c r="B1325" s="14" t="inlineStr">
        <is>
          <t>장비사용, 철근구조물</t>
        </is>
      </c>
      <c r="C1325" s="15" t="n">
        <v>507</v>
      </c>
      <c r="D1325" s="16" t="inlineStr">
        <is>
          <t>㎥</t>
        </is>
      </c>
      <c r="E1325" s="15" t="n">
        <v>0</v>
      </c>
      <c r="F1325" s="15">
        <f>E1325*C1325</f>
        <v/>
      </c>
      <c r="G1325" s="15" t="n">
        <v>13204</v>
      </c>
      <c r="H1325" s="15">
        <f>G1325*C1325</f>
        <v/>
      </c>
      <c r="I1325" s="15" t="n">
        <v>12662</v>
      </c>
      <c r="J1325" s="15">
        <f>I1325*C1325</f>
        <v/>
      </c>
      <c r="K1325" s="15">
        <f>E1325+G1325+I1325</f>
        <v/>
      </c>
      <c r="L1325" s="15">
        <f>F1325+H1325+J1325</f>
        <v/>
      </c>
      <c r="M1325" s="18" t="n"/>
    </row>
    <row r="1326">
      <c r="A1326" s="14" t="inlineStr">
        <is>
          <t>2). 콘크리트타설</t>
        </is>
      </c>
      <c r="B1326" s="14" t="inlineStr">
        <is>
          <t>장비사용, 무근구조물</t>
        </is>
      </c>
      <c r="C1326" s="15" t="n">
        <v>71</v>
      </c>
      <c r="D1326" s="16" t="inlineStr">
        <is>
          <t>㎥</t>
        </is>
      </c>
      <c r="E1326" s="15" t="n">
        <v>0</v>
      </c>
      <c r="F1326" s="15">
        <f>E1326*C1326</f>
        <v/>
      </c>
      <c r="G1326" s="15" t="n">
        <v>12260</v>
      </c>
      <c r="H1326" s="15">
        <f>G1326*C1326</f>
        <v/>
      </c>
      <c r="I1326" s="15" t="n">
        <v>11324</v>
      </c>
      <c r="J1326" s="15">
        <f>I1326*C1326</f>
        <v/>
      </c>
      <c r="K1326" s="15">
        <f>E1326+G1326+I1326</f>
        <v/>
      </c>
      <c r="L1326" s="15">
        <f>F1326+H1326+J1326</f>
        <v/>
      </c>
      <c r="M1326" s="18" t="n"/>
    </row>
    <row r="1327">
      <c r="A1327" s="14" t="inlineStr">
        <is>
          <t>3). 철근가공조립(현장)</t>
        </is>
      </c>
      <c r="B1327" s="14" t="inlineStr">
        <is>
          <t>TYPE-1-1</t>
        </is>
      </c>
      <c r="C1327" s="61" t="n">
        <v>43.958</v>
      </c>
      <c r="D1327" s="16" t="inlineStr">
        <is>
          <t>ton</t>
        </is>
      </c>
      <c r="E1327" s="15" t="n">
        <v>70734</v>
      </c>
      <c r="F1327" s="15">
        <f>E1327*C1327</f>
        <v/>
      </c>
      <c r="G1327" s="15" t="n">
        <v>518713</v>
      </c>
      <c r="H1327" s="15">
        <f>G1327*C1327</f>
        <v/>
      </c>
      <c r="I1327" s="15" t="n">
        <v>87502</v>
      </c>
      <c r="J1327" s="15">
        <f>I1327*C1327</f>
        <v/>
      </c>
      <c r="K1327" s="15">
        <f>E1327+G1327+I1327</f>
        <v/>
      </c>
      <c r="L1327" s="15">
        <f>F1327+H1327+J1327</f>
        <v/>
      </c>
      <c r="M1327" s="18" t="n"/>
    </row>
    <row r="1328">
      <c r="A1328" s="14" t="inlineStr">
        <is>
          <t>4). 문양거푸집</t>
        </is>
      </c>
      <c r="B1328" s="14" t="inlineStr">
        <is>
          <t>판넬</t>
        </is>
      </c>
      <c r="C1328" s="15" t="n">
        <v>845</v>
      </c>
      <c r="D1328" s="16" t="inlineStr">
        <is>
          <t>㎡</t>
        </is>
      </c>
      <c r="E1328" s="15" t="n">
        <v>4999</v>
      </c>
      <c r="F1328" s="15">
        <f>E1328*C1328</f>
        <v/>
      </c>
      <c r="G1328" s="15" t="n">
        <v>16976</v>
      </c>
      <c r="H1328" s="15">
        <f>G1328*C1328</f>
        <v/>
      </c>
      <c r="I1328" s="15" t="n">
        <v>2059</v>
      </c>
      <c r="J1328" s="15">
        <f>I1328*C1328</f>
        <v/>
      </c>
      <c r="K1328" s="15">
        <f>E1328+G1328+I1328</f>
        <v/>
      </c>
      <c r="L1328" s="15">
        <f>F1328+H1328+J1328</f>
        <v/>
      </c>
      <c r="M1328" s="18" t="n"/>
    </row>
    <row r="1329">
      <c r="A1329" s="14" t="inlineStr">
        <is>
          <t>5). 거푸집</t>
        </is>
      </c>
      <c r="B1329" s="14" t="inlineStr">
        <is>
          <t>합판4회(보통)</t>
        </is>
      </c>
      <c r="C1329" s="15" t="n">
        <v>1267</v>
      </c>
      <c r="D1329" s="16" t="inlineStr">
        <is>
          <t>㎡</t>
        </is>
      </c>
      <c r="E1329" s="15" t="n">
        <v>8960</v>
      </c>
      <c r="F1329" s="15">
        <f>E1329*C1329</f>
        <v/>
      </c>
      <c r="G1329" s="15" t="n">
        <v>30180</v>
      </c>
      <c r="H1329" s="15">
        <f>G1329*C1329</f>
        <v/>
      </c>
      <c r="I1329" s="15" t="n">
        <v>2059</v>
      </c>
      <c r="J1329" s="15">
        <f>I1329*C1329</f>
        <v/>
      </c>
      <c r="K1329" s="15">
        <f>E1329+G1329+I1329</f>
        <v/>
      </c>
      <c r="L1329" s="15">
        <f>F1329+H1329+J1329</f>
        <v/>
      </c>
      <c r="M1329" s="18" t="n"/>
    </row>
    <row r="1330">
      <c r="A1330" s="14" t="inlineStr">
        <is>
          <t>6). 거푸집</t>
        </is>
      </c>
      <c r="B1330" s="14" t="inlineStr">
        <is>
          <t>합판6회(간단)</t>
        </is>
      </c>
      <c r="C1330" s="15" t="n">
        <v>43</v>
      </c>
      <c r="D1330" s="16" t="inlineStr">
        <is>
          <t>㎡</t>
        </is>
      </c>
      <c r="E1330" s="15" t="n">
        <v>7073</v>
      </c>
      <c r="F1330" s="15">
        <f>E1330*C1330</f>
        <v/>
      </c>
      <c r="G1330" s="15" t="n">
        <v>18862</v>
      </c>
      <c r="H1330" s="15">
        <f>G1330*C1330</f>
        <v/>
      </c>
      <c r="I1330" s="15" t="n">
        <v>3603</v>
      </c>
      <c r="J1330" s="15">
        <f>I1330*C1330</f>
        <v/>
      </c>
      <c r="K1330" s="15">
        <f>E1330+G1330+I1330</f>
        <v/>
      </c>
      <c r="L1330" s="15">
        <f>F1330+H1330+J1330</f>
        <v/>
      </c>
      <c r="M1330" s="18" t="n"/>
    </row>
    <row r="1331">
      <c r="A1331" s="14" t="inlineStr">
        <is>
          <t>7). 강관비계</t>
        </is>
      </c>
      <c r="B1331" s="14" t="inlineStr">
        <is>
          <t>10m이하-3개월사용</t>
        </is>
      </c>
      <c r="C1331" s="15" t="n">
        <v>688</v>
      </c>
      <c r="D1331" s="16" t="inlineStr">
        <is>
          <t>㎡</t>
        </is>
      </c>
      <c r="E1331" s="15" t="n">
        <v>4244</v>
      </c>
      <c r="F1331" s="15">
        <f>E1331*C1331</f>
        <v/>
      </c>
      <c r="G1331" s="15" t="n">
        <v>11317</v>
      </c>
      <c r="H1331" s="15">
        <f>G1331*C1331</f>
        <v/>
      </c>
      <c r="I1331" s="15" t="n">
        <v>2059</v>
      </c>
      <c r="J1331" s="15">
        <f>I1331*C1331</f>
        <v/>
      </c>
      <c r="K1331" s="15">
        <f>E1331+G1331+I1331</f>
        <v/>
      </c>
      <c r="L1331" s="15">
        <f>F1331+H1331+J1331</f>
        <v/>
      </c>
      <c r="M1331" s="18" t="n"/>
    </row>
    <row r="1332">
      <c r="A1332" s="14" t="inlineStr">
        <is>
          <t>8). 스페이셔설치</t>
        </is>
      </c>
      <c r="B1332" s="14" t="inlineStr">
        <is>
          <t>수직</t>
        </is>
      </c>
      <c r="C1332" s="15" t="n">
        <v>5040</v>
      </c>
      <c r="D1332" s="16" t="inlineStr">
        <is>
          <t>㎡</t>
        </is>
      </c>
      <c r="E1332" s="15" t="n">
        <v>472</v>
      </c>
      <c r="F1332" s="15">
        <f>E1332*C1332</f>
        <v/>
      </c>
      <c r="G1332" s="15" t="n">
        <v>943</v>
      </c>
      <c r="H1332" s="15">
        <f>G1332*C1332</f>
        <v/>
      </c>
      <c r="I1332" s="15" t="n">
        <v>0</v>
      </c>
      <c r="J1332" s="15">
        <f>I1332*C1332</f>
        <v/>
      </c>
      <c r="K1332" s="15">
        <f>E1332+G1332+I1332</f>
        <v/>
      </c>
      <c r="L1332" s="15">
        <f>F1332+H1332+J1332</f>
        <v/>
      </c>
      <c r="M1332" s="18" t="n"/>
    </row>
    <row r="1333">
      <c r="A1333" s="14" t="inlineStr">
        <is>
          <t>9). 스페이셔설치</t>
        </is>
      </c>
      <c r="B1333" s="14" t="inlineStr">
        <is>
          <t>수평</t>
        </is>
      </c>
      <c r="C1333" s="15" t="n">
        <v>4362</v>
      </c>
      <c r="D1333" s="16" t="inlineStr">
        <is>
          <t>㎡</t>
        </is>
      </c>
      <c r="E1333" s="15" t="n">
        <v>472</v>
      </c>
      <c r="F1333" s="15">
        <f>E1333*C1333</f>
        <v/>
      </c>
      <c r="G1333" s="15" t="n">
        <v>943</v>
      </c>
      <c r="H1333" s="15">
        <f>G1333*C1333</f>
        <v/>
      </c>
      <c r="I1333" s="15" t="n">
        <v>0</v>
      </c>
      <c r="J1333" s="15">
        <f>I1333*C1333</f>
        <v/>
      </c>
      <c r="K1333" s="15">
        <f>E1333+G1333+I1333</f>
        <v/>
      </c>
      <c r="L1333" s="15">
        <f>F1333+H1333+J1333</f>
        <v/>
      </c>
      <c r="M1333" s="18" t="n"/>
    </row>
    <row r="1334">
      <c r="A1334" s="14" t="inlineStr">
        <is>
          <t>10). PVC관 부설 및 접합</t>
        </is>
      </c>
      <c r="B1334" s="14" t="inlineStr">
        <is>
          <t>Ø 100 MM - VG2 일반관</t>
        </is>
      </c>
      <c r="C1334" s="15" t="n">
        <v>33</v>
      </c>
      <c r="D1334" s="16" t="inlineStr">
        <is>
          <t>m</t>
        </is>
      </c>
      <c r="E1334" s="15" t="n">
        <v>9431</v>
      </c>
      <c r="F1334" s="15">
        <f>E1334*C1334</f>
        <v/>
      </c>
      <c r="G1334" s="15" t="n">
        <v>4904</v>
      </c>
      <c r="H1334" s="15">
        <f>G1334*C1334</f>
        <v/>
      </c>
      <c r="I1334" s="15" t="n">
        <v>0</v>
      </c>
      <c r="J1334" s="15">
        <f>I1334*C1334</f>
        <v/>
      </c>
      <c r="K1334" s="15">
        <f>E1334+G1334+I1334</f>
        <v/>
      </c>
      <c r="L1334" s="15">
        <f>F1334+H1334+J1334</f>
        <v/>
      </c>
      <c r="M1334" s="18" t="n"/>
    </row>
    <row r="1335">
      <c r="A1335" s="14" t="inlineStr">
        <is>
          <t>11). 드레인보드 설치</t>
        </is>
      </c>
      <c r="B1335" s="14" t="inlineStr">
        <is>
          <t>옹벽 배수용</t>
        </is>
      </c>
      <c r="C1335" s="15" t="n">
        <v>681</v>
      </c>
      <c r="D1335" s="16" t="inlineStr">
        <is>
          <t>㎡</t>
        </is>
      </c>
      <c r="E1335" s="15" t="n">
        <v>4329</v>
      </c>
      <c r="F1335" s="15">
        <f>E1335*C1335</f>
        <v/>
      </c>
      <c r="G1335" s="15" t="n">
        <v>8677</v>
      </c>
      <c r="H1335" s="15">
        <f>G1335*C1335</f>
        <v/>
      </c>
      <c r="I1335" s="15" t="n">
        <v>617</v>
      </c>
      <c r="J1335" s="15">
        <f>I1335*C1335</f>
        <v/>
      </c>
      <c r="K1335" s="15">
        <f>E1335+G1335+I1335</f>
        <v/>
      </c>
      <c r="L1335" s="15">
        <f>F1335+H1335+J1335</f>
        <v/>
      </c>
      <c r="M1335" s="18" t="n"/>
    </row>
    <row r="1336">
      <c r="A1336" s="14" t="inlineStr">
        <is>
          <t>12). 부직포설치</t>
        </is>
      </c>
      <c r="B1336" s="14" t="n"/>
      <c r="C1336" s="15" t="n">
        <v>681</v>
      </c>
      <c r="D1336" s="16" t="inlineStr">
        <is>
          <t>㎡</t>
        </is>
      </c>
      <c r="E1336" s="15" t="n">
        <v>1132</v>
      </c>
      <c r="F1336" s="15">
        <f>E1336*C1336</f>
        <v/>
      </c>
      <c r="G1336" s="15" t="n">
        <v>943</v>
      </c>
      <c r="H1336" s="15">
        <f>G1336*C1336</f>
        <v/>
      </c>
      <c r="I1336" s="15" t="n">
        <v>0</v>
      </c>
      <c r="J1336" s="15">
        <f>I1336*C1336</f>
        <v/>
      </c>
      <c r="K1336" s="15">
        <f>E1336+G1336+I1336</f>
        <v/>
      </c>
      <c r="L1336" s="15">
        <f>F1336+H1336+J1336</f>
        <v/>
      </c>
      <c r="M1336" s="18" t="n"/>
    </row>
    <row r="1337">
      <c r="A1337" s="14" t="inlineStr">
        <is>
          <t>13). 신축이음(Joint filler)</t>
        </is>
      </c>
      <c r="B1337" s="14" t="inlineStr">
        <is>
          <t>t=20mm</t>
        </is>
      </c>
      <c r="C1337" s="15" t="n">
        <v>76</v>
      </c>
      <c r="D1337" s="16" t="inlineStr">
        <is>
          <t>㎡</t>
        </is>
      </c>
      <c r="E1337" s="15" t="n">
        <v>11789</v>
      </c>
      <c r="F1337" s="15">
        <f>E1337*C1337</f>
        <v/>
      </c>
      <c r="G1337" s="15" t="n">
        <v>9431</v>
      </c>
      <c r="H1337" s="15">
        <f>G1337*C1337</f>
        <v/>
      </c>
      <c r="I1337" s="15" t="n">
        <v>0</v>
      </c>
      <c r="J1337" s="15">
        <f>I1337*C1337</f>
        <v/>
      </c>
      <c r="K1337" s="15">
        <f>E1337+G1337+I1337</f>
        <v/>
      </c>
      <c r="L1337" s="15">
        <f>F1337+H1337+J1337</f>
        <v/>
      </c>
      <c r="M1337" s="18" t="n"/>
    </row>
    <row r="1338">
      <c r="A1338" s="14" t="inlineStr">
        <is>
          <t>14). DOWEL BAR(옹벽용)</t>
        </is>
      </c>
      <c r="B1338" s="14" t="inlineStr">
        <is>
          <t>Ø32×800(기성품)</t>
        </is>
      </c>
      <c r="C1338" s="15" t="n">
        <v>1561</v>
      </c>
      <c r="D1338" s="16" t="inlineStr">
        <is>
          <t>ea</t>
        </is>
      </c>
      <c r="E1338" s="15" t="n">
        <v>12072</v>
      </c>
      <c r="F1338" s="15">
        <f>E1338*C1338</f>
        <v/>
      </c>
      <c r="G1338" s="15" t="n">
        <v>2358</v>
      </c>
      <c r="H1338" s="15">
        <f>G1338*C1338</f>
        <v/>
      </c>
      <c r="I1338" s="15" t="n">
        <v>0</v>
      </c>
      <c r="J1338" s="15">
        <f>I1338*C1338</f>
        <v/>
      </c>
      <c r="K1338" s="15">
        <f>E1338+G1338+I1338</f>
        <v/>
      </c>
      <c r="L1338" s="15">
        <f>F1338+H1338+J1338</f>
        <v/>
      </c>
      <c r="M1338" s="18" t="n"/>
    </row>
    <row r="1339">
      <c r="A1339" s="14" t="inlineStr">
        <is>
          <t>15). 실링마감(실런트)</t>
        </is>
      </c>
      <c r="B1339" s="14" t="inlineStr">
        <is>
          <t>20×25</t>
        </is>
      </c>
      <c r="C1339" s="15" t="n">
        <v>635</v>
      </c>
      <c r="D1339" s="16" t="inlineStr">
        <is>
          <t>m</t>
        </is>
      </c>
      <c r="E1339" s="15" t="n">
        <v>3018</v>
      </c>
      <c r="F1339" s="15">
        <f>E1339*C1339</f>
        <v/>
      </c>
      <c r="G1339" s="15" t="n">
        <v>6130</v>
      </c>
      <c r="H1339" s="15">
        <f>G1339*C1339</f>
        <v/>
      </c>
      <c r="I1339" s="15" t="n">
        <v>0</v>
      </c>
      <c r="J1339" s="15">
        <f>I1339*C1339</f>
        <v/>
      </c>
      <c r="K1339" s="15">
        <f>E1339+G1339+I1339</f>
        <v/>
      </c>
      <c r="L1339" s="15">
        <f>F1339+H1339+J1339</f>
        <v/>
      </c>
      <c r="M1339" s="18" t="n"/>
    </row>
    <row r="1340">
      <c r="A1340" s="14" t="inlineStr">
        <is>
          <t>16). 기초지정</t>
        </is>
      </c>
      <c r="B1340" s="14" t="inlineStr">
        <is>
          <t>잡석지정, 재료비 제외</t>
        </is>
      </c>
      <c r="C1340" s="15" t="n">
        <v>153</v>
      </c>
      <c r="D1340" s="16" t="inlineStr">
        <is>
          <t>㎥</t>
        </is>
      </c>
      <c r="E1340" s="15" t="n">
        <v>0</v>
      </c>
      <c r="F1340" s="15">
        <f>E1340*C1340</f>
        <v/>
      </c>
      <c r="G1340" s="15" t="n">
        <v>2358</v>
      </c>
      <c r="H1340" s="15">
        <f>G1340*C1340</f>
        <v/>
      </c>
      <c r="I1340" s="15" t="n">
        <v>3212</v>
      </c>
      <c r="J1340" s="15">
        <f>I1340*C1340</f>
        <v/>
      </c>
      <c r="K1340" s="15">
        <f>E1340+G1340+I1340</f>
        <v/>
      </c>
      <c r="L1340" s="15">
        <f>F1340+H1340+J1340</f>
        <v/>
      </c>
      <c r="M1340" s="18" t="n"/>
    </row>
    <row r="1341">
      <c r="A1341" s="28" t="inlineStr">
        <is>
          <t>17). 부대공</t>
        </is>
      </c>
      <c r="B1341" s="28" t="n"/>
      <c r="C1341" s="17" t="n"/>
      <c r="D1341" s="16" t="n"/>
      <c r="E1341" s="17" t="n"/>
      <c r="F1341" s="29" t="n"/>
      <c r="G1341" s="17" t="n"/>
      <c r="H1341" s="29" t="n"/>
      <c r="I1341" s="17" t="n"/>
      <c r="J1341" s="29" t="n"/>
      <c r="K1341" s="17" t="n"/>
      <c r="L1341" s="29" t="n"/>
      <c r="M1341" s="18" t="n"/>
    </row>
    <row r="1342">
      <c r="A1342" s="14" t="inlineStr">
        <is>
          <t>가). 철근운반비</t>
        </is>
      </c>
      <c r="B1342" s="14" t="inlineStr">
        <is>
          <t>L=10km이내</t>
        </is>
      </c>
      <c r="C1342" s="61" t="n">
        <v>45.277</v>
      </c>
      <c r="D1342" s="16" t="inlineStr">
        <is>
          <t>Ton</t>
        </is>
      </c>
      <c r="E1342" s="15" t="n">
        <v>0</v>
      </c>
      <c r="F1342" s="15">
        <f>E1342*C1342</f>
        <v/>
      </c>
      <c r="G1342" s="15" t="n">
        <v>0</v>
      </c>
      <c r="H1342" s="15">
        <f>G1342*C1342</f>
        <v/>
      </c>
      <c r="I1342" s="15" t="n">
        <v>20588</v>
      </c>
      <c r="J1342" s="15">
        <f>I1342*C1342</f>
        <v/>
      </c>
      <c r="K1342" s="15">
        <f>E1342+G1342+I1342</f>
        <v/>
      </c>
      <c r="L1342" s="15">
        <f>F1342+H1342+J1342</f>
        <v/>
      </c>
      <c r="M1342" s="18" t="n"/>
    </row>
    <row r="1343">
      <c r="A1343" s="14" t="inlineStr">
        <is>
          <t>나). 고철(고재)</t>
        </is>
      </c>
      <c r="B1343" s="14" t="inlineStr">
        <is>
          <t>중량A</t>
        </is>
      </c>
      <c r="C1343" s="61" t="n">
        <v>0.923</v>
      </c>
      <c r="D1343" s="16" t="inlineStr">
        <is>
          <t>Ton</t>
        </is>
      </c>
      <c r="E1343" s="15" t="n">
        <v>-391481</v>
      </c>
      <c r="F1343" s="15">
        <f>E1343*C1343</f>
        <v/>
      </c>
      <c r="G1343" s="15" t="n">
        <v>0</v>
      </c>
      <c r="H1343" s="15">
        <f>G1343*C1343</f>
        <v/>
      </c>
      <c r="I1343" s="15" t="n">
        <v>0</v>
      </c>
      <c r="J1343" s="15">
        <f>I1343*C1343</f>
        <v/>
      </c>
      <c r="K1343" s="15">
        <f>E1343+G1343+I1343</f>
        <v/>
      </c>
      <c r="L1343" s="15">
        <f>F1343+H1343+J1343</f>
        <v/>
      </c>
      <c r="M1343" s="18" t="n"/>
    </row>
    <row r="1344">
      <c r="A1344" s="28" t="inlineStr">
        <is>
          <t>18). 주요자재</t>
        </is>
      </c>
      <c r="B1344" s="28" t="n"/>
      <c r="C1344" s="17" t="n"/>
      <c r="D1344" s="16" t="n"/>
      <c r="E1344" s="17" t="n"/>
      <c r="F1344" s="29" t="n"/>
      <c r="G1344" s="17" t="n"/>
      <c r="H1344" s="29" t="n"/>
      <c r="I1344" s="17" t="n"/>
      <c r="J1344" s="29" t="n"/>
      <c r="K1344" s="17" t="n"/>
      <c r="L1344" s="29" t="n"/>
      <c r="M1344" s="18" t="n"/>
    </row>
    <row r="1345">
      <c r="A1345" s="14" t="inlineStr">
        <is>
          <t>가). 레미콘</t>
        </is>
      </c>
      <c r="B1345" s="14" t="inlineStr">
        <is>
          <t>25-24-12(Mpa)</t>
        </is>
      </c>
      <c r="C1345" s="15" t="n">
        <v>512</v>
      </c>
      <c r="D1345" s="16" t="inlineStr">
        <is>
          <t>㎥</t>
        </is>
      </c>
      <c r="E1345" s="15" t="n">
        <v>92487</v>
      </c>
      <c r="F1345" s="15">
        <f>E1345*C1345</f>
        <v/>
      </c>
      <c r="G1345" s="15" t="n">
        <v>0</v>
      </c>
      <c r="H1345" s="15">
        <f>G1345*C1345</f>
        <v/>
      </c>
      <c r="I1345" s="15" t="n">
        <v>0</v>
      </c>
      <c r="J1345" s="15">
        <f>I1345*C1345</f>
        <v/>
      </c>
      <c r="K1345" s="15">
        <f>E1345+G1345+I1345</f>
        <v/>
      </c>
      <c r="L1345" s="15">
        <f>F1345+H1345+J1345</f>
        <v/>
      </c>
      <c r="M1345" s="18" t="n"/>
    </row>
    <row r="1346">
      <c r="A1346" s="14" t="inlineStr">
        <is>
          <t>나). 레미콘</t>
        </is>
      </c>
      <c r="B1346" s="14" t="inlineStr">
        <is>
          <t>25-21-8(Mpa)</t>
        </is>
      </c>
      <c r="C1346" s="15" t="n">
        <v>71</v>
      </c>
      <c r="D1346" s="16" t="inlineStr">
        <is>
          <t>㎥</t>
        </is>
      </c>
      <c r="E1346" s="15" t="n">
        <v>86126</v>
      </c>
      <c r="F1346" s="15">
        <f>E1346*C1346</f>
        <v/>
      </c>
      <c r="G1346" s="15" t="n">
        <v>0</v>
      </c>
      <c r="H1346" s="15">
        <f>G1346*C1346</f>
        <v/>
      </c>
      <c r="I1346" s="15" t="n">
        <v>0</v>
      </c>
      <c r="J1346" s="15">
        <f>I1346*C1346</f>
        <v/>
      </c>
      <c r="K1346" s="15">
        <f>E1346+G1346+I1346</f>
        <v/>
      </c>
      <c r="L1346" s="15">
        <f>F1346+H1346+J1346</f>
        <v/>
      </c>
      <c r="M1346" s="18" t="n"/>
    </row>
    <row r="1347">
      <c r="A1347" s="14" t="inlineStr">
        <is>
          <t>다). 잡석</t>
        </is>
      </c>
      <c r="B1347" s="14" t="inlineStr">
        <is>
          <t>Φ80mm이하, 현장도착도</t>
        </is>
      </c>
      <c r="C1347" s="15" t="n">
        <v>160</v>
      </c>
      <c r="D1347" s="16" t="inlineStr">
        <is>
          <t>㎥</t>
        </is>
      </c>
      <c r="E1347" s="15" t="n">
        <v>16976</v>
      </c>
      <c r="F1347" s="15">
        <f>E1347*C1347</f>
        <v/>
      </c>
      <c r="G1347" s="15" t="n">
        <v>0</v>
      </c>
      <c r="H1347" s="15">
        <f>G1347*C1347</f>
        <v/>
      </c>
      <c r="I1347" s="15" t="n">
        <v>0</v>
      </c>
      <c r="J1347" s="15">
        <f>I1347*C1347</f>
        <v/>
      </c>
      <c r="K1347" s="15">
        <f>E1347+G1347+I1347</f>
        <v/>
      </c>
      <c r="L1347" s="15">
        <f>F1347+H1347+J1347</f>
        <v/>
      </c>
      <c r="M1347" s="18" t="n"/>
    </row>
    <row r="1348">
      <c r="A1348" s="14" t="inlineStr">
        <is>
          <t>라). 이형철근(고장력철근)</t>
        </is>
      </c>
      <c r="B1348" s="14" t="inlineStr">
        <is>
          <t>HD13M/M 0.995KG/M  SD40</t>
        </is>
      </c>
      <c r="C1348" s="61" t="n">
        <v>43.047</v>
      </c>
      <c r="D1348" s="16" t="inlineStr">
        <is>
          <t>TON</t>
        </is>
      </c>
      <c r="E1348" s="15" t="n">
        <v>871096</v>
      </c>
      <c r="F1348" s="15">
        <f>E1348*C1348</f>
        <v/>
      </c>
      <c r="G1348" s="15" t="n">
        <v>0</v>
      </c>
      <c r="H1348" s="15">
        <f>G1348*C1348</f>
        <v/>
      </c>
      <c r="I1348" s="15" t="n">
        <v>0</v>
      </c>
      <c r="J1348" s="15">
        <f>I1348*C1348</f>
        <v/>
      </c>
      <c r="K1348" s="15">
        <f>E1348+G1348+I1348</f>
        <v/>
      </c>
      <c r="L1348" s="15">
        <f>F1348+H1348+J1348</f>
        <v/>
      </c>
      <c r="M1348" s="18" t="n"/>
    </row>
    <row r="1349">
      <c r="A1349" s="14" t="inlineStr">
        <is>
          <t>마). 이형철근(고장력철근)</t>
        </is>
      </c>
      <c r="B1349" s="14" t="inlineStr">
        <is>
          <t>HD16M/M 1.560KG/M  SD40</t>
        </is>
      </c>
      <c r="C1349" s="61" t="n">
        <v>2.23</v>
      </c>
      <c r="D1349" s="16" t="inlineStr">
        <is>
          <t>TON</t>
        </is>
      </c>
      <c r="E1349" s="15" t="n">
        <v>871108</v>
      </c>
      <c r="F1349" s="15">
        <f>E1349*C1349</f>
        <v/>
      </c>
      <c r="G1349" s="15" t="n">
        <v>0</v>
      </c>
      <c r="H1349" s="15">
        <f>G1349*C1349</f>
        <v/>
      </c>
      <c r="I1349" s="15" t="n">
        <v>0</v>
      </c>
      <c r="J1349" s="15">
        <f>I1349*C1349</f>
        <v/>
      </c>
      <c r="K1349" s="15">
        <f>E1349+G1349+I1349</f>
        <v/>
      </c>
      <c r="L1349" s="15">
        <f>F1349+H1349+J1349</f>
        <v/>
      </c>
      <c r="M1349" s="18" t="n"/>
    </row>
    <row r="1350">
      <c r="A1350" s="14" t="inlineStr">
        <is>
          <t>바). 이형철근(고장력철근)</t>
        </is>
      </c>
      <c r="B1350" s="14" t="inlineStr">
        <is>
          <t>HD19M/M 2.250KG/M  SD40</t>
        </is>
      </c>
      <c r="C1350" s="15" t="n">
        <v>0</v>
      </c>
      <c r="D1350" s="16" t="inlineStr">
        <is>
          <t>TON</t>
        </is>
      </c>
      <c r="E1350" s="17" t="n"/>
      <c r="F1350" s="15" t="n">
        <v>0</v>
      </c>
      <c r="G1350" s="17" t="n"/>
      <c r="H1350" s="15" t="n">
        <v>0</v>
      </c>
      <c r="I1350" s="17" t="n"/>
      <c r="J1350" s="15" t="n">
        <v>0</v>
      </c>
      <c r="K1350" s="17" t="n"/>
      <c r="L1350" s="15" t="n">
        <v>0</v>
      </c>
      <c r="M1350" s="18" t="n"/>
    </row>
    <row r="1351">
      <c r="A1351" s="14" t="inlineStr">
        <is>
          <t>사). 이형철근(고장력철근)</t>
        </is>
      </c>
      <c r="B1351" s="14" t="inlineStr">
        <is>
          <t>HD22M/M 3.040KG/M  SD40</t>
        </is>
      </c>
      <c r="C1351" s="15" t="n">
        <v>0</v>
      </c>
      <c r="D1351" s="16" t="inlineStr">
        <is>
          <t>TON</t>
        </is>
      </c>
      <c r="E1351" s="17" t="n"/>
      <c r="F1351" s="15" t="n">
        <v>0</v>
      </c>
      <c r="G1351" s="17" t="n"/>
      <c r="H1351" s="15" t="n">
        <v>0</v>
      </c>
      <c r="I1351" s="17" t="n"/>
      <c r="J1351" s="15" t="n">
        <v>0</v>
      </c>
      <c r="K1351" s="17" t="n"/>
      <c r="L1351" s="15" t="n">
        <v>0</v>
      </c>
      <c r="M1351" s="18" t="n"/>
    </row>
    <row r="1352">
      <c r="A1352" s="25" t="inlineStr">
        <is>
          <t>5. 부 대 공</t>
        </is>
      </c>
      <c r="B1352" s="26" t="n"/>
      <c r="C1352" s="21" t="n"/>
      <c r="D1352" s="22" t="n"/>
      <c r="E1352" s="21" t="n"/>
      <c r="F1352" s="27" t="n"/>
      <c r="G1352" s="21" t="n"/>
      <c r="H1352" s="27" t="n"/>
      <c r="I1352" s="21" t="n"/>
      <c r="J1352" s="27" t="n"/>
      <c r="K1352" s="21" t="n"/>
      <c r="L1352" s="27" t="n"/>
      <c r="M1352" s="24" t="n"/>
    </row>
    <row r="1353">
      <c r="A1353" s="28" t="inlineStr">
        <is>
          <t>가. 토공</t>
        </is>
      </c>
      <c r="B1353" s="28" t="n"/>
      <c r="C1353" s="17" t="n"/>
      <c r="D1353" s="16" t="n"/>
      <c r="E1353" s="17" t="n"/>
      <c r="F1353" s="29" t="n"/>
      <c r="G1353" s="17" t="n"/>
      <c r="H1353" s="29" t="n"/>
      <c r="I1353" s="17" t="n"/>
      <c r="J1353" s="29" t="n"/>
      <c r="K1353" s="17" t="n"/>
      <c r="L1353" s="29" t="n"/>
      <c r="M1353" s="18" t="n"/>
    </row>
    <row r="1354">
      <c r="A1354" s="28" t="inlineStr">
        <is>
          <t>1). 터파기</t>
        </is>
      </c>
      <c r="B1354" s="28" t="n"/>
      <c r="C1354" s="17" t="n"/>
      <c r="D1354" s="16" t="n"/>
      <c r="E1354" s="17" t="n"/>
      <c r="F1354" s="29" t="n"/>
      <c r="G1354" s="17" t="n"/>
      <c r="H1354" s="29" t="n"/>
      <c r="I1354" s="17" t="n"/>
      <c r="J1354" s="29" t="n"/>
      <c r="K1354" s="17" t="n"/>
      <c r="L1354" s="29" t="n"/>
      <c r="M1354" s="18" t="n"/>
    </row>
    <row r="1355">
      <c r="A1355" s="14" t="inlineStr">
        <is>
          <t>가). 터파기(토사)</t>
        </is>
      </c>
      <c r="B1355" s="14" t="inlineStr">
        <is>
          <t>인력100%</t>
        </is>
      </c>
      <c r="C1355" s="15" t="n">
        <v>19</v>
      </c>
      <c r="D1355" s="16" t="inlineStr">
        <is>
          <t>㎥</t>
        </is>
      </c>
      <c r="E1355" s="15" t="n">
        <v>0</v>
      </c>
      <c r="F1355" s="15">
        <f>E1355*C1355</f>
        <v/>
      </c>
      <c r="G1355" s="15" t="n">
        <v>65538</v>
      </c>
      <c r="H1355" s="15">
        <f>G1355*C1355</f>
        <v/>
      </c>
      <c r="I1355" s="15" t="n">
        <v>0</v>
      </c>
      <c r="J1355" s="15">
        <f>I1355*C1355</f>
        <v/>
      </c>
      <c r="K1355" s="15">
        <f>E1355+G1355+I1355</f>
        <v/>
      </c>
      <c r="L1355" s="15">
        <f>F1355+H1355+J1355</f>
        <v/>
      </c>
      <c r="M1355" s="18" t="n"/>
    </row>
    <row r="1356">
      <c r="A1356" s="28" t="inlineStr">
        <is>
          <t>2). 되메우기</t>
        </is>
      </c>
      <c r="B1356" s="28" t="n"/>
      <c r="C1356" s="17" t="n"/>
      <c r="D1356" s="16" t="n"/>
      <c r="E1356" s="17" t="n"/>
      <c r="F1356" s="29" t="n"/>
      <c r="G1356" s="17" t="n"/>
      <c r="H1356" s="29" t="n"/>
      <c r="I1356" s="17" t="n"/>
      <c r="J1356" s="29" t="n"/>
      <c r="K1356" s="17" t="n"/>
      <c r="L1356" s="29" t="n"/>
      <c r="M1356" s="18" t="n"/>
    </row>
    <row r="1357">
      <c r="A1357" s="14" t="inlineStr">
        <is>
          <t>가). 되메우기및다짐</t>
        </is>
      </c>
      <c r="B1357" s="14" t="inlineStr">
        <is>
          <t>인력100%</t>
        </is>
      </c>
      <c r="C1357" s="15" t="n">
        <v>14</v>
      </c>
      <c r="D1357" s="16" t="inlineStr">
        <is>
          <t>㎥</t>
        </is>
      </c>
      <c r="E1357" s="15" t="n">
        <v>0</v>
      </c>
      <c r="F1357" s="15">
        <f>E1357*C1357</f>
        <v/>
      </c>
      <c r="G1357" s="15" t="n">
        <v>28554</v>
      </c>
      <c r="H1357" s="15">
        <f>G1357*C1357</f>
        <v/>
      </c>
      <c r="I1357" s="15" t="n">
        <v>0</v>
      </c>
      <c r="J1357" s="15">
        <f>I1357*C1357</f>
        <v/>
      </c>
      <c r="K1357" s="15">
        <f>E1357+G1357+I1357</f>
        <v/>
      </c>
      <c r="L1357" s="15">
        <f>F1357+H1357+J1357</f>
        <v/>
      </c>
      <c r="M1357" s="18" t="n"/>
    </row>
    <row r="1358">
      <c r="A1358" s="28" t="inlineStr">
        <is>
          <t>3). 잔토처리</t>
        </is>
      </c>
      <c r="B1358" s="28" t="n"/>
      <c r="C1358" s="17" t="n"/>
      <c r="D1358" s="16" t="n"/>
      <c r="E1358" s="17" t="n"/>
      <c r="F1358" s="29" t="n"/>
      <c r="G1358" s="17" t="n"/>
      <c r="H1358" s="29" t="n"/>
      <c r="I1358" s="17" t="n"/>
      <c r="J1358" s="29" t="n"/>
      <c r="K1358" s="17" t="n"/>
      <c r="L1358" s="29" t="n"/>
      <c r="M1358" s="18" t="n"/>
    </row>
    <row r="1359">
      <c r="A1359" s="14" t="inlineStr">
        <is>
          <t>가). 잔토처리(토사)</t>
        </is>
      </c>
      <c r="B1359" s="14" t="inlineStr">
        <is>
          <t>기계100%</t>
        </is>
      </c>
      <c r="C1359" s="15" t="n">
        <v>5</v>
      </c>
      <c r="D1359" s="16" t="inlineStr">
        <is>
          <t>㎥</t>
        </is>
      </c>
      <c r="E1359" s="15" t="n">
        <v>0</v>
      </c>
      <c r="F1359" s="15">
        <f>E1359*C1359</f>
        <v/>
      </c>
      <c r="G1359" s="15" t="n">
        <v>0</v>
      </c>
      <c r="H1359" s="15">
        <f>G1359*C1359</f>
        <v/>
      </c>
      <c r="I1359" s="15" t="n">
        <v>11005</v>
      </c>
      <c r="J1359" s="15">
        <f>I1359*C1359</f>
        <v/>
      </c>
      <c r="K1359" s="15">
        <f>E1359+G1359+I1359</f>
        <v/>
      </c>
      <c r="L1359" s="15">
        <f>F1359+H1359+J1359</f>
        <v/>
      </c>
      <c r="M1359" s="18" t="n"/>
    </row>
    <row r="1360">
      <c r="A1360" s="28" t="inlineStr">
        <is>
          <t>나. 중기운반</t>
        </is>
      </c>
      <c r="B1360" s="28" t="n"/>
      <c r="C1360" s="17" t="n"/>
      <c r="D1360" s="16" t="n"/>
      <c r="E1360" s="17" t="n"/>
      <c r="F1360" s="29" t="n"/>
      <c r="G1360" s="17" t="n"/>
      <c r="H1360" s="29" t="n"/>
      <c r="I1360" s="17" t="n"/>
      <c r="J1360" s="29" t="n"/>
      <c r="K1360" s="17" t="n"/>
      <c r="L1360" s="29" t="n"/>
      <c r="M1360" s="18" t="n"/>
    </row>
    <row r="1361">
      <c r="A1361" s="14" t="inlineStr">
        <is>
          <t>1). 안전관리계획작성 및 검토비</t>
        </is>
      </c>
      <c r="B1361" s="14" t="n"/>
      <c r="C1361" s="15" t="n">
        <v>1</v>
      </c>
      <c r="D1361" s="16" t="inlineStr">
        <is>
          <t>P.S</t>
        </is>
      </c>
      <c r="E1361" s="15" t="n">
        <v>0</v>
      </c>
      <c r="F1361" s="15">
        <f>E1361*C1361</f>
        <v/>
      </c>
      <c r="G1361" s="15" t="n">
        <v>0</v>
      </c>
      <c r="H1361" s="15">
        <f>G1361*C1361</f>
        <v/>
      </c>
      <c r="I1361" s="15" t="n">
        <v>0</v>
      </c>
      <c r="J1361" s="15">
        <f>I1361*C1361</f>
        <v/>
      </c>
      <c r="K1361" s="15">
        <f>E1361+G1361+I1361</f>
        <v/>
      </c>
      <c r="L1361" s="15">
        <f>F1361+H1361+J1361</f>
        <v/>
      </c>
      <c r="M1361" s="18" t="n"/>
    </row>
    <row r="1362">
      <c r="A1362" s="14" t="inlineStr">
        <is>
          <t>2). 안전점검비</t>
        </is>
      </c>
      <c r="B1362" s="14" t="n"/>
      <c r="C1362" s="15" t="n">
        <v>1</v>
      </c>
      <c r="D1362" s="16" t="inlineStr">
        <is>
          <t>P.S</t>
        </is>
      </c>
      <c r="E1362" s="15" t="n">
        <v>0</v>
      </c>
      <c r="F1362" s="15">
        <f>E1362*C1362</f>
        <v/>
      </c>
      <c r="G1362" s="15" t="n">
        <v>0</v>
      </c>
      <c r="H1362" s="15">
        <f>G1362*C1362</f>
        <v/>
      </c>
      <c r="I1362" s="15" t="n">
        <v>0</v>
      </c>
      <c r="J1362" s="15">
        <f>I1362*C1362</f>
        <v/>
      </c>
      <c r="K1362" s="15">
        <f>E1362+G1362+I1362</f>
        <v/>
      </c>
      <c r="L1362" s="15">
        <f>F1362+H1362+J1362</f>
        <v/>
      </c>
      <c r="M1362" s="18" t="n"/>
    </row>
    <row r="1363">
      <c r="A1363" s="14" t="inlineStr">
        <is>
          <t>1). 품질시험</t>
        </is>
      </c>
      <c r="B1363" s="14" t="n"/>
      <c r="C1363" s="15" t="n">
        <v>1</v>
      </c>
      <c r="D1363" s="16" t="inlineStr">
        <is>
          <t>sum</t>
        </is>
      </c>
      <c r="E1363" s="15" t="n">
        <v>0</v>
      </c>
      <c r="F1363" s="15">
        <f>E1363*C1363</f>
        <v/>
      </c>
      <c r="G1363" s="15" t="n">
        <v>0</v>
      </c>
      <c r="H1363" s="15">
        <f>G1363*C1363</f>
        <v/>
      </c>
      <c r="I1363" s="15" t="n">
        <v>0</v>
      </c>
      <c r="J1363" s="15">
        <f>I1363*C1363</f>
        <v/>
      </c>
      <c r="K1363" s="15">
        <f>E1363+G1363+I1363</f>
        <v/>
      </c>
      <c r="L1363" s="15">
        <f>F1363+H1363+J1363</f>
        <v/>
      </c>
      <c r="M1363" s="18" t="n"/>
    </row>
    <row r="1364">
      <c r="A1364" s="28" t="n"/>
      <c r="B1364" s="28" t="n"/>
      <c r="C1364" s="17" t="n"/>
      <c r="D1364" s="16" t="n"/>
      <c r="E1364" s="17" t="n"/>
      <c r="F1364" s="29" t="n"/>
      <c r="G1364" s="17" t="n"/>
      <c r="H1364" s="29" t="n"/>
      <c r="I1364" s="17" t="n"/>
      <c r="J1364" s="29" t="n"/>
      <c r="K1364" s="17" t="n"/>
      <c r="L1364" s="29" t="n"/>
      <c r="M1364" s="18" t="n"/>
    </row>
    <row r="1365">
      <c r="A1365" s="28" t="n"/>
      <c r="B1365" s="28" t="n"/>
      <c r="C1365" s="17" t="n"/>
      <c r="D1365" s="16" t="n"/>
      <c r="E1365" s="17" t="n"/>
      <c r="F1365" s="29" t="n"/>
      <c r="G1365" s="17" t="n"/>
      <c r="H1365" s="29" t="n"/>
      <c r="I1365" s="17" t="n"/>
      <c r="J1365" s="29" t="n"/>
      <c r="K1365" s="17" t="n"/>
      <c r="L1365" s="29" t="n"/>
      <c r="M1365" s="18" t="n"/>
    </row>
    <row r="1366">
      <c r="A1366" s="25" t="inlineStr">
        <is>
          <t>1. 토     공</t>
        </is>
      </c>
      <c r="B1366" s="26" t="n"/>
      <c r="C1366" s="21" t="n"/>
      <c r="D1366" s="22" t="n"/>
      <c r="E1366" s="21" t="n"/>
      <c r="F1366" s="27" t="n"/>
      <c r="G1366" s="21" t="n"/>
      <c r="H1366" s="27" t="n"/>
      <c r="I1366" s="21" t="n"/>
      <c r="J1366" s="27" t="n"/>
      <c r="K1366" s="21" t="n"/>
      <c r="L1366" s="27" t="n"/>
      <c r="M1366" s="24" t="n"/>
    </row>
    <row r="1367">
      <c r="A1367" s="28" t="inlineStr">
        <is>
          <t>가. 흙깎기</t>
        </is>
      </c>
      <c r="B1367" s="28" t="n"/>
      <c r="C1367" s="17" t="n"/>
      <c r="D1367" s="16" t="n"/>
      <c r="E1367" s="17" t="n"/>
      <c r="F1367" s="29" t="n"/>
      <c r="G1367" s="17" t="n"/>
      <c r="H1367" s="29" t="n"/>
      <c r="I1367" s="17" t="n"/>
      <c r="J1367" s="29" t="n"/>
      <c r="K1367" s="17" t="n"/>
      <c r="L1367" s="29" t="n"/>
      <c r="M1367" s="18" t="n"/>
    </row>
    <row r="1368">
      <c r="A1368" s="28" t="inlineStr">
        <is>
          <t>1). 토사</t>
        </is>
      </c>
      <c r="B1368" s="28" t="n"/>
      <c r="C1368" s="17" t="n"/>
      <c r="D1368" s="16" t="n"/>
      <c r="E1368" s="17" t="n"/>
      <c r="F1368" s="29" t="n"/>
      <c r="G1368" s="17" t="n"/>
      <c r="H1368" s="29" t="n"/>
      <c r="I1368" s="17" t="n"/>
      <c r="J1368" s="29" t="n"/>
      <c r="K1368" s="17" t="n"/>
      <c r="L1368" s="29" t="n"/>
      <c r="M1368" s="18" t="n"/>
    </row>
    <row r="1369">
      <c r="A1369" s="14" t="inlineStr">
        <is>
          <t>가).흙깍기(기계,토사)</t>
        </is>
      </c>
      <c r="B1369" s="14" t="inlineStr">
        <is>
          <t>중규모, 보통토사, 불도져 19ton</t>
        </is>
      </c>
      <c r="C1369" s="15" t="n">
        <v>140244</v>
      </c>
      <c r="D1369" s="16" t="inlineStr">
        <is>
          <t>㎥</t>
        </is>
      </c>
      <c r="E1369" s="15" t="n">
        <v>0</v>
      </c>
      <c r="F1369" s="15">
        <f>E1369*C1369</f>
        <v/>
      </c>
      <c r="G1369" s="15" t="n">
        <v>186</v>
      </c>
      <c r="H1369" s="15">
        <f>G1369*C1369</f>
        <v/>
      </c>
      <c r="I1369" s="15" t="n">
        <v>1136</v>
      </c>
      <c r="J1369" s="15">
        <f>I1369*C1369</f>
        <v/>
      </c>
      <c r="K1369" s="15">
        <f>E1369+G1369+I1369</f>
        <v/>
      </c>
      <c r="L1369" s="15">
        <f>F1369+H1369+J1369</f>
        <v/>
      </c>
      <c r="M1369" s="18" t="n"/>
    </row>
    <row r="1370">
      <c r="A1370" s="14" t="inlineStr">
        <is>
          <t>나). 흙깍기(토사)</t>
        </is>
      </c>
      <c r="B1370" s="14" t="inlineStr">
        <is>
          <t>굴삭기1.0㎥</t>
        </is>
      </c>
      <c r="C1370" s="15" t="n">
        <v>0</v>
      </c>
      <c r="D1370" s="16" t="inlineStr">
        <is>
          <t>㎥</t>
        </is>
      </c>
      <c r="E1370" s="17" t="n"/>
      <c r="F1370" s="15" t="n">
        <v>0</v>
      </c>
      <c r="G1370" s="17" t="n"/>
      <c r="H1370" s="15" t="n">
        <v>0</v>
      </c>
      <c r="I1370" s="17" t="n"/>
      <c r="J1370" s="15" t="n">
        <v>0</v>
      </c>
      <c r="K1370" s="17" t="n"/>
      <c r="L1370" s="15" t="n">
        <v>0</v>
      </c>
      <c r="M1370" s="18" t="n"/>
    </row>
    <row r="1371">
      <c r="A1371" s="28" t="inlineStr">
        <is>
          <t>2). 풍화암</t>
        </is>
      </c>
      <c r="B1371" s="28" t="n"/>
      <c r="C1371" s="17" t="n"/>
      <c r="D1371" s="16" t="n"/>
      <c r="E1371" s="17" t="n"/>
      <c r="F1371" s="29" t="n"/>
      <c r="G1371" s="17" t="n"/>
      <c r="H1371" s="29" t="n"/>
      <c r="I1371" s="17" t="n"/>
      <c r="J1371" s="29" t="n"/>
      <c r="K1371" s="17" t="n"/>
      <c r="L1371" s="29" t="n"/>
      <c r="M1371" s="18" t="n"/>
    </row>
    <row r="1372">
      <c r="A1372" s="14" t="inlineStr">
        <is>
          <t>가). 흙깍기(리핑암)</t>
        </is>
      </c>
      <c r="B1372" s="14" t="inlineStr">
        <is>
          <t>불도저 32ton + 리퍼</t>
        </is>
      </c>
      <c r="C1372" s="15" t="n">
        <v>20870</v>
      </c>
      <c r="D1372" s="16" t="inlineStr">
        <is>
          <t>㎥</t>
        </is>
      </c>
      <c r="E1372" s="15" t="n">
        <v>0</v>
      </c>
      <c r="F1372" s="15">
        <f>E1372*C1372</f>
        <v/>
      </c>
      <c r="G1372" s="15" t="n">
        <v>185</v>
      </c>
      <c r="H1372" s="15">
        <f>G1372*C1372</f>
        <v/>
      </c>
      <c r="I1372" s="15" t="n">
        <v>1575</v>
      </c>
      <c r="J1372" s="15">
        <f>I1372*C1372</f>
        <v/>
      </c>
      <c r="K1372" s="15">
        <f>E1372+G1372+I1372</f>
        <v/>
      </c>
      <c r="L1372" s="15">
        <f>F1372+H1372+J1372</f>
        <v/>
      </c>
      <c r="M1372" s="18" t="n"/>
    </row>
    <row r="1373">
      <c r="A1373" s="28" t="inlineStr">
        <is>
          <t>3). 연암</t>
        </is>
      </c>
      <c r="B1373" s="28" t="n"/>
      <c r="C1373" s="17" t="n"/>
      <c r="D1373" s="16" t="n"/>
      <c r="E1373" s="17" t="n"/>
      <c r="F1373" s="29" t="n"/>
      <c r="G1373" s="17" t="n"/>
      <c r="H1373" s="29" t="n"/>
      <c r="I1373" s="17" t="n"/>
      <c r="J1373" s="29" t="n"/>
      <c r="K1373" s="17" t="n"/>
      <c r="L1373" s="29" t="n"/>
      <c r="M1373" s="18" t="n"/>
    </row>
    <row r="1374">
      <c r="A1374" s="14" t="inlineStr">
        <is>
          <t>가). 땅깍기(암석절취)</t>
        </is>
      </c>
      <c r="B1374" s="14" t="inlineStr">
        <is>
          <t>중규모진동제어발파, 연암</t>
        </is>
      </c>
      <c r="C1374" s="15" t="n">
        <v>11485</v>
      </c>
      <c r="D1374" s="16" t="inlineStr">
        <is>
          <t>㎥</t>
        </is>
      </c>
      <c r="E1374" s="15" t="n">
        <v>0</v>
      </c>
      <c r="F1374" s="15">
        <f>E1374*C1374</f>
        <v/>
      </c>
      <c r="G1374" s="15" t="n">
        <v>328</v>
      </c>
      <c r="H1374" s="15">
        <f>G1374*C1374</f>
        <v/>
      </c>
      <c r="I1374" s="15" t="n">
        <v>10475</v>
      </c>
      <c r="J1374" s="15">
        <f>I1374*C1374</f>
        <v/>
      </c>
      <c r="K1374" s="15">
        <f>E1374+G1374+I1374</f>
        <v/>
      </c>
      <c r="L1374" s="15">
        <f>F1374+H1374+J1374</f>
        <v/>
      </c>
      <c r="M1374" s="18" t="n"/>
    </row>
    <row r="1375">
      <c r="A1375" s="14" t="inlineStr">
        <is>
          <t>나). 땅깍기(암석절취)</t>
        </is>
      </c>
      <c r="B1375" s="14" t="inlineStr">
        <is>
          <t>일반발파, 연암</t>
        </is>
      </c>
      <c r="C1375" s="15" t="n">
        <v>0</v>
      </c>
      <c r="D1375" s="16" t="inlineStr">
        <is>
          <t>㎥</t>
        </is>
      </c>
      <c r="E1375" s="17" t="n"/>
      <c r="F1375" s="15" t="n">
        <v>0</v>
      </c>
      <c r="G1375" s="17" t="n"/>
      <c r="H1375" s="15" t="n">
        <v>0</v>
      </c>
      <c r="I1375" s="17" t="n"/>
      <c r="J1375" s="15" t="n">
        <v>0</v>
      </c>
      <c r="K1375" s="17" t="n"/>
      <c r="L1375" s="15" t="n">
        <v>0</v>
      </c>
      <c r="M1375" s="18" t="n"/>
    </row>
    <row r="1376">
      <c r="A1376" s="28" t="inlineStr">
        <is>
          <t>4). 보통암</t>
        </is>
      </c>
      <c r="B1376" s="28" t="n"/>
      <c r="C1376" s="17" t="n"/>
      <c r="D1376" s="16" t="n"/>
      <c r="E1376" s="17" t="n"/>
      <c r="F1376" s="29" t="n"/>
      <c r="G1376" s="17" t="n"/>
      <c r="H1376" s="29" t="n"/>
      <c r="I1376" s="17" t="n"/>
      <c r="J1376" s="29" t="n"/>
      <c r="K1376" s="17" t="n"/>
      <c r="L1376" s="29" t="n"/>
      <c r="M1376" s="18" t="n"/>
    </row>
    <row r="1377">
      <c r="A1377" s="14" t="inlineStr">
        <is>
          <t>가). 땅깍기(암석절취)</t>
        </is>
      </c>
      <c r="B1377" s="14" t="inlineStr">
        <is>
          <t>일반발파, 보통암</t>
        </is>
      </c>
      <c r="C1377" s="15" t="n">
        <v>8203</v>
      </c>
      <c r="D1377" s="16" t="inlineStr">
        <is>
          <t>㎥</t>
        </is>
      </c>
      <c r="E1377" s="15" t="n">
        <v>0</v>
      </c>
      <c r="F1377" s="15">
        <f>E1377*C1377</f>
        <v/>
      </c>
      <c r="G1377" s="15" t="n">
        <v>328</v>
      </c>
      <c r="H1377" s="15">
        <f>G1377*C1377</f>
        <v/>
      </c>
      <c r="I1377" s="15" t="n">
        <v>6482</v>
      </c>
      <c r="J1377" s="15">
        <f>I1377*C1377</f>
        <v/>
      </c>
      <c r="K1377" s="15">
        <f>E1377+G1377+I1377</f>
        <v/>
      </c>
      <c r="L1377" s="15">
        <f>F1377+H1377+J1377</f>
        <v/>
      </c>
      <c r="M1377" s="18" t="n"/>
    </row>
    <row r="1378">
      <c r="A1378" s="28" t="inlineStr">
        <is>
          <t>나. 흙쌓기</t>
        </is>
      </c>
      <c r="B1378" s="28" t="n"/>
      <c r="C1378" s="17" t="n"/>
      <c r="D1378" s="16" t="n"/>
      <c r="E1378" s="17" t="n"/>
      <c r="F1378" s="29" t="n"/>
      <c r="G1378" s="17" t="n"/>
      <c r="H1378" s="29" t="n"/>
      <c r="I1378" s="17" t="n"/>
      <c r="J1378" s="29" t="n"/>
      <c r="K1378" s="17" t="n"/>
      <c r="L1378" s="29" t="n"/>
      <c r="M1378" s="18" t="n"/>
    </row>
    <row r="1379">
      <c r="A1379" s="28" t="inlineStr">
        <is>
          <t>1). 비다짐</t>
        </is>
      </c>
      <c r="B1379" s="28" t="n"/>
      <c r="C1379" s="17" t="n"/>
      <c r="D1379" s="16" t="n"/>
      <c r="E1379" s="17" t="n"/>
      <c r="F1379" s="29" t="n"/>
      <c r="G1379" s="17" t="n"/>
      <c r="H1379" s="29" t="n"/>
      <c r="I1379" s="17" t="n"/>
      <c r="J1379" s="29" t="n"/>
      <c r="K1379" s="17" t="n"/>
      <c r="L1379" s="29" t="n"/>
      <c r="M1379" s="18" t="n"/>
    </row>
    <row r="1380">
      <c r="A1380" s="14" t="inlineStr">
        <is>
          <t>가). 흙쌓기(토사)</t>
        </is>
      </c>
      <c r="B1380" s="14" t="inlineStr">
        <is>
          <t>비다짐, 불도저 32톤</t>
        </is>
      </c>
      <c r="C1380" s="15" t="n">
        <v>72163</v>
      </c>
      <c r="D1380" s="16" t="inlineStr">
        <is>
          <t>㎥</t>
        </is>
      </c>
      <c r="E1380" s="15" t="n">
        <v>0</v>
      </c>
      <c r="F1380" s="15">
        <f>E1380*C1380</f>
        <v/>
      </c>
      <c r="G1380" s="15" t="n">
        <v>128</v>
      </c>
      <c r="H1380" s="15">
        <f>G1380*C1380</f>
        <v/>
      </c>
      <c r="I1380" s="15" t="n">
        <v>769</v>
      </c>
      <c r="J1380" s="15">
        <f>I1380*C1380</f>
        <v/>
      </c>
      <c r="K1380" s="15">
        <f>E1380+G1380+I1380</f>
        <v/>
      </c>
      <c r="L1380" s="15">
        <f>F1380+H1380+J1380</f>
        <v/>
      </c>
      <c r="M1380" s="18" t="n"/>
    </row>
    <row r="1381">
      <c r="A1381" s="28" t="inlineStr">
        <is>
          <t>다. 흙운반</t>
        </is>
      </c>
      <c r="B1381" s="28" t="n"/>
      <c r="C1381" s="17" t="n"/>
      <c r="D1381" s="16" t="n"/>
      <c r="E1381" s="17" t="n"/>
      <c r="F1381" s="29" t="n"/>
      <c r="G1381" s="17" t="n"/>
      <c r="H1381" s="29" t="n"/>
      <c r="I1381" s="17" t="n"/>
      <c r="J1381" s="29" t="n"/>
      <c r="K1381" s="17" t="n"/>
      <c r="L1381" s="29" t="n"/>
      <c r="M1381" s="18" t="n"/>
    </row>
    <row r="1382">
      <c r="A1382" s="28" t="inlineStr">
        <is>
          <t>1). 덤프운반(외부반출)</t>
        </is>
      </c>
      <c r="B1382" s="28" t="n"/>
      <c r="C1382" s="17" t="n"/>
      <c r="D1382" s="16" t="n"/>
      <c r="E1382" s="17" t="n"/>
      <c r="F1382" s="29" t="n"/>
      <c r="G1382" s="17" t="n"/>
      <c r="H1382" s="29" t="n"/>
      <c r="I1382" s="17" t="n"/>
      <c r="J1382" s="29" t="n"/>
      <c r="K1382" s="17" t="n"/>
      <c r="L1382" s="29" t="n"/>
      <c r="M1382" s="18" t="n"/>
    </row>
    <row r="1383">
      <c r="A1383" s="14" t="inlineStr">
        <is>
          <t>가). 흙 운반(토사)(야적장)</t>
        </is>
      </c>
      <c r="B1383" s="14" t="inlineStr">
        <is>
          <t>굴삭기1.0㎥+덤프24톤, L=0.238Km</t>
        </is>
      </c>
      <c r="C1383" s="15" t="n">
        <v>60064</v>
      </c>
      <c r="D1383" s="16" t="inlineStr">
        <is>
          <t>㎥</t>
        </is>
      </c>
      <c r="E1383" s="15" t="n">
        <v>0</v>
      </c>
      <c r="F1383" s="15">
        <f>E1383*C1383</f>
        <v/>
      </c>
      <c r="G1383" s="15" t="n">
        <v>383</v>
      </c>
      <c r="H1383" s="15">
        <f>G1383*C1383</f>
        <v/>
      </c>
      <c r="I1383" s="15" t="n">
        <v>3002</v>
      </c>
      <c r="J1383" s="15">
        <f>I1383*C1383</f>
        <v/>
      </c>
      <c r="K1383" s="15">
        <f>E1383+G1383+I1383</f>
        <v/>
      </c>
      <c r="L1383" s="15">
        <f>F1383+H1383+J1383</f>
        <v/>
      </c>
      <c r="M1383" s="18" t="n"/>
    </row>
    <row r="1384">
      <c r="A1384" s="14" t="inlineStr">
        <is>
          <t>나). 흙운반(풍화암)(야적장)</t>
        </is>
      </c>
      <c r="B1384" s="14" t="inlineStr">
        <is>
          <t>로우더1.72㎥+덤프24톤, L=0.212Km</t>
        </is>
      </c>
      <c r="C1384" s="15" t="n">
        <v>25508</v>
      </c>
      <c r="D1384" s="16" t="inlineStr">
        <is>
          <t>㎥</t>
        </is>
      </c>
      <c r="E1384" s="15" t="n">
        <v>0</v>
      </c>
      <c r="F1384" s="15">
        <f>E1384*C1384</f>
        <v/>
      </c>
      <c r="G1384" s="15" t="n">
        <v>385</v>
      </c>
      <c r="H1384" s="15">
        <f>G1384*C1384</f>
        <v/>
      </c>
      <c r="I1384" s="15" t="n">
        <v>3002</v>
      </c>
      <c r="J1384" s="15">
        <f>I1384*C1384</f>
        <v/>
      </c>
      <c r="K1384" s="15">
        <f>E1384+G1384+I1384</f>
        <v/>
      </c>
      <c r="L1384" s="15">
        <f>F1384+H1384+J1384</f>
        <v/>
      </c>
      <c r="M1384" s="18" t="n"/>
    </row>
    <row r="1385">
      <c r="A1385" s="14" t="inlineStr">
        <is>
          <t>다). 흙운반(연암)(야적장)</t>
        </is>
      </c>
      <c r="B1385" s="14" t="inlineStr">
        <is>
          <t>굴삭기1.0㎥+덤프24톤, L=0.216Km</t>
        </is>
      </c>
      <c r="C1385" s="15" t="n">
        <v>14675</v>
      </c>
      <c r="D1385" s="16" t="inlineStr">
        <is>
          <t>㎥</t>
        </is>
      </c>
      <c r="E1385" s="15" t="n">
        <v>0</v>
      </c>
      <c r="F1385" s="15">
        <f>E1385*C1385</f>
        <v/>
      </c>
      <c r="G1385" s="15" t="n">
        <v>384</v>
      </c>
      <c r="H1385" s="15">
        <f>G1385*C1385</f>
        <v/>
      </c>
      <c r="I1385" s="15" t="n">
        <v>3008</v>
      </c>
      <c r="J1385" s="15">
        <f>I1385*C1385</f>
        <v/>
      </c>
      <c r="K1385" s="15">
        <f>E1385+G1385+I1385</f>
        <v/>
      </c>
      <c r="L1385" s="15">
        <f>F1385+H1385+J1385</f>
        <v/>
      </c>
      <c r="M1385" s="18" t="n"/>
    </row>
    <row r="1386">
      <c r="A1386" s="14" t="inlineStr">
        <is>
          <t>라). 흙운반(보통암)(야적장)</t>
        </is>
      </c>
      <c r="B1386" s="14" t="inlineStr">
        <is>
          <t>굴삭기1.0㎥+덤프24톤, L=0.226Km</t>
        </is>
      </c>
      <c r="C1386" s="15" t="n">
        <v>11848</v>
      </c>
      <c r="D1386" s="16" t="inlineStr">
        <is>
          <t>㎥</t>
        </is>
      </c>
      <c r="E1386" s="15" t="n">
        <v>0</v>
      </c>
      <c r="F1386" s="15">
        <f>E1386*C1386</f>
        <v/>
      </c>
      <c r="G1386" s="15" t="n">
        <v>394</v>
      </c>
      <c r="H1386" s="15">
        <f>G1386*C1386</f>
        <v/>
      </c>
      <c r="I1386" s="15" t="n">
        <v>3087</v>
      </c>
      <c r="J1386" s="15">
        <f>I1386*C1386</f>
        <v/>
      </c>
      <c r="K1386" s="15">
        <f>E1386+G1386+I1386</f>
        <v/>
      </c>
      <c r="L1386" s="15">
        <f>F1386+H1386+J1386</f>
        <v/>
      </c>
      <c r="M1386" s="18" t="n"/>
    </row>
    <row r="1387">
      <c r="A1387" s="25" t="inlineStr">
        <is>
          <t>2. A1</t>
        </is>
      </c>
      <c r="B1387" s="26" t="n"/>
      <c r="C1387" s="21" t="n"/>
      <c r="D1387" s="22" t="n"/>
      <c r="E1387" s="21" t="n"/>
      <c r="F1387" s="27" t="n"/>
      <c r="G1387" s="21" t="n"/>
      <c r="H1387" s="27" t="n"/>
      <c r="I1387" s="21" t="n"/>
      <c r="J1387" s="27" t="n"/>
      <c r="K1387" s="21" t="n"/>
      <c r="L1387" s="27" t="n"/>
      <c r="M1387" s="24" t="n"/>
    </row>
    <row r="1388">
      <c r="A1388" s="14" t="inlineStr">
        <is>
          <t>1). 우수 원형1호 맨홀</t>
        </is>
      </c>
      <c r="B1388" s="14" t="inlineStr">
        <is>
          <t>D900</t>
        </is>
      </c>
      <c r="C1388" s="15" t="n">
        <v>1</v>
      </c>
      <c r="D1388" s="16" t="inlineStr">
        <is>
          <t>개소</t>
        </is>
      </c>
      <c r="E1388" s="15" t="n">
        <v>602212</v>
      </c>
      <c r="F1388" s="15">
        <f>E1388*C1388</f>
        <v/>
      </c>
      <c r="G1388" s="15" t="n">
        <v>102426</v>
      </c>
      <c r="H1388" s="15">
        <f>G1388*C1388</f>
        <v/>
      </c>
      <c r="I1388" s="15" t="n">
        <v>114495</v>
      </c>
      <c r="J1388" s="15">
        <f>I1388*C1388</f>
        <v/>
      </c>
      <c r="K1388" s="15">
        <f>E1388+G1388+I1388</f>
        <v/>
      </c>
      <c r="L1388" s="15">
        <f>F1388+H1388+J1388</f>
        <v/>
      </c>
      <c r="M1388" s="18" t="n"/>
    </row>
    <row r="1389">
      <c r="A1389" s="14" t="inlineStr">
        <is>
          <t>2). 집수정</t>
        </is>
      </c>
      <c r="B1389" s="14" t="inlineStr">
        <is>
          <t>0.6x0.6,스틸그레이팅</t>
        </is>
      </c>
      <c r="C1389" s="15" t="n">
        <v>7</v>
      </c>
      <c r="D1389" s="16" t="inlineStr">
        <is>
          <t>개소</t>
        </is>
      </c>
      <c r="E1389" s="15" t="n">
        <v>166842</v>
      </c>
      <c r="F1389" s="15">
        <f>E1389*C1389</f>
        <v/>
      </c>
      <c r="G1389" s="15" t="n">
        <v>81803</v>
      </c>
      <c r="H1389" s="15">
        <f>G1389*C1389</f>
        <v/>
      </c>
      <c r="I1389" s="15" t="n">
        <v>130851</v>
      </c>
      <c r="J1389" s="15">
        <f>I1389*C1389</f>
        <v/>
      </c>
      <c r="K1389" s="15">
        <f>E1389+G1389+I1389</f>
        <v/>
      </c>
      <c r="L1389" s="15">
        <f>F1389+H1389+J1389</f>
        <v/>
      </c>
      <c r="M1389" s="18" t="n"/>
    </row>
    <row r="1390">
      <c r="A1390" s="14" t="inlineStr">
        <is>
          <t>3). 오수받이</t>
        </is>
      </c>
      <c r="B1390" s="14" t="n"/>
      <c r="C1390" s="15" t="n">
        <v>1</v>
      </c>
      <c r="D1390" s="16" t="inlineStr">
        <is>
          <t>개소</t>
        </is>
      </c>
      <c r="E1390" s="15" t="n">
        <v>37515</v>
      </c>
      <c r="F1390" s="15">
        <f>E1390*C1390</f>
        <v/>
      </c>
      <c r="G1390" s="15" t="n">
        <v>83915</v>
      </c>
      <c r="H1390" s="15">
        <f>G1390*C1390</f>
        <v/>
      </c>
      <c r="I1390" s="15" t="n">
        <v>0</v>
      </c>
      <c r="J1390" s="15">
        <f>I1390*C1390</f>
        <v/>
      </c>
      <c r="K1390" s="15">
        <f>E1390+G1390+I1390</f>
        <v/>
      </c>
      <c r="L1390" s="15">
        <f>F1390+H1390+J1390</f>
        <v/>
      </c>
      <c r="M1390" s="18" t="n"/>
    </row>
    <row r="1391">
      <c r="A1391" s="14" t="inlineStr">
        <is>
          <t>4). 고강성 PVC 이중벽관 접합 및 부설</t>
        </is>
      </c>
      <c r="B1391" s="14" t="inlineStr">
        <is>
          <t>D150mm, 시공조건B</t>
        </is>
      </c>
      <c r="C1391" s="15" t="n">
        <v>15</v>
      </c>
      <c r="D1391" s="16" t="inlineStr">
        <is>
          <t>m</t>
        </is>
      </c>
      <c r="E1391" s="15" t="n">
        <v>4146</v>
      </c>
      <c r="F1391" s="15">
        <f>E1391*C1391</f>
        <v/>
      </c>
      <c r="G1391" s="15" t="n">
        <v>18955</v>
      </c>
      <c r="H1391" s="15">
        <f>G1391*C1391</f>
        <v/>
      </c>
      <c r="I1391" s="15" t="n">
        <v>0</v>
      </c>
      <c r="J1391" s="15">
        <f>I1391*C1391</f>
        <v/>
      </c>
      <c r="K1391" s="15">
        <f>E1391+G1391+I1391</f>
        <v/>
      </c>
      <c r="L1391" s="15">
        <f>F1391+H1391+J1391</f>
        <v/>
      </c>
      <c r="M1391" s="18" t="n"/>
    </row>
    <row r="1392">
      <c r="A1392" s="14" t="inlineStr">
        <is>
          <t>5). 고강성 PVC 이중벽관 접합 및 부설</t>
        </is>
      </c>
      <c r="B1392" s="14" t="inlineStr">
        <is>
          <t>D450mm, 시공조건B</t>
        </is>
      </c>
      <c r="C1392" s="15" t="n">
        <v>154</v>
      </c>
      <c r="D1392" s="16" t="inlineStr">
        <is>
          <t>m</t>
        </is>
      </c>
      <c r="E1392" s="15" t="n">
        <v>4146</v>
      </c>
      <c r="F1392" s="15">
        <f>E1392*C1392</f>
        <v/>
      </c>
      <c r="G1392" s="15" t="n">
        <v>21324</v>
      </c>
      <c r="H1392" s="15">
        <f>G1392*C1392</f>
        <v/>
      </c>
      <c r="I1392" s="15" t="n">
        <v>6466</v>
      </c>
      <c r="J1392" s="15">
        <f>I1392*C1392</f>
        <v/>
      </c>
      <c r="K1392" s="15">
        <f>E1392+G1392+I1392</f>
        <v/>
      </c>
      <c r="L1392" s="15">
        <f>F1392+H1392+J1392</f>
        <v/>
      </c>
      <c r="M1392" s="18" t="n"/>
    </row>
    <row r="1393">
      <c r="A1393" s="14" t="inlineStr">
        <is>
          <t>6). 고강성PVC이중벽관</t>
        </is>
      </c>
      <c r="B1393" s="14" t="inlineStr">
        <is>
          <t>D150mm, 직관</t>
        </is>
      </c>
      <c r="C1393" s="15" t="n">
        <v>3</v>
      </c>
      <c r="D1393" s="16" t="inlineStr">
        <is>
          <t>본</t>
        </is>
      </c>
      <c r="E1393" s="15" t="n">
        <v>71081</v>
      </c>
      <c r="F1393" s="15">
        <f>E1393*C1393</f>
        <v/>
      </c>
      <c r="G1393" s="15" t="n">
        <v>0</v>
      </c>
      <c r="H1393" s="15">
        <f>G1393*C1393</f>
        <v/>
      </c>
      <c r="I1393" s="15" t="n">
        <v>0</v>
      </c>
      <c r="J1393" s="15">
        <f>I1393*C1393</f>
        <v/>
      </c>
      <c r="K1393" s="15">
        <f>E1393+G1393+I1393</f>
        <v/>
      </c>
      <c r="L1393" s="15">
        <f>F1393+H1393+J1393</f>
        <v/>
      </c>
      <c r="M1393" s="18" t="n"/>
    </row>
    <row r="1394">
      <c r="A1394" s="14" t="inlineStr">
        <is>
          <t>7). 고강성PVC이중벽관</t>
        </is>
      </c>
      <c r="B1394" s="14" t="inlineStr">
        <is>
          <t>D450mm, 직관</t>
        </is>
      </c>
      <c r="C1394" s="15" t="n">
        <v>26</v>
      </c>
      <c r="D1394" s="16" t="inlineStr">
        <is>
          <t>본</t>
        </is>
      </c>
      <c r="E1394" s="15" t="n">
        <v>513362</v>
      </c>
      <c r="F1394" s="15">
        <f>E1394*C1394</f>
        <v/>
      </c>
      <c r="G1394" s="15" t="n">
        <v>0</v>
      </c>
      <c r="H1394" s="15">
        <f>G1394*C1394</f>
        <v/>
      </c>
      <c r="I1394" s="15" t="n">
        <v>0</v>
      </c>
      <c r="J1394" s="15">
        <f>I1394*C1394</f>
        <v/>
      </c>
      <c r="K1394" s="15">
        <f>E1394+G1394+I1394</f>
        <v/>
      </c>
      <c r="L1394" s="15">
        <f>F1394+H1394+J1394</f>
        <v/>
      </c>
      <c r="M1394" s="18" t="n"/>
    </row>
    <row r="1395">
      <c r="A1395" s="14" t="inlineStr">
        <is>
          <t>8). 원심력철근콘크리트관 접합및부설(소켓식)</t>
        </is>
      </c>
      <c r="B1395" s="14" t="inlineStr">
        <is>
          <t>Ø 600mm, 시공조건 B</t>
        </is>
      </c>
      <c r="C1395" s="15" t="n">
        <v>11</v>
      </c>
      <c r="D1395" s="16" t="inlineStr">
        <is>
          <t>m</t>
        </is>
      </c>
      <c r="E1395" s="15" t="n">
        <v>70094</v>
      </c>
      <c r="F1395" s="15">
        <f>E1395*C1395</f>
        <v/>
      </c>
      <c r="G1395" s="15" t="n">
        <v>37248</v>
      </c>
      <c r="H1395" s="15">
        <f>G1395*C1395</f>
        <v/>
      </c>
      <c r="I1395" s="15" t="n">
        <v>41638</v>
      </c>
      <c r="J1395" s="15">
        <f>I1395*C1395</f>
        <v/>
      </c>
      <c r="K1395" s="15">
        <f>E1395+G1395+I1395</f>
        <v/>
      </c>
      <c r="L1395" s="15">
        <f>F1395+H1395+J1395</f>
        <v/>
      </c>
      <c r="M1395" s="18" t="n"/>
    </row>
    <row r="1396">
      <c r="A1396" s="14" t="inlineStr">
        <is>
          <t>9). 사각수로관</t>
        </is>
      </c>
      <c r="B1396" s="14" t="inlineStr">
        <is>
          <t>Ø 300mm</t>
        </is>
      </c>
      <c r="C1396" s="15" t="n">
        <v>15</v>
      </c>
      <c r="D1396" s="16" t="inlineStr">
        <is>
          <t>m</t>
        </is>
      </c>
      <c r="E1396" s="15" t="n">
        <v>109494</v>
      </c>
      <c r="F1396" s="15">
        <f>E1396*C1396</f>
        <v/>
      </c>
      <c r="G1396" s="15" t="n">
        <v>44426</v>
      </c>
      <c r="H1396" s="15">
        <f>G1396*C1396</f>
        <v/>
      </c>
      <c r="I1396" s="15" t="n">
        <v>45259</v>
      </c>
      <c r="J1396" s="15">
        <f>I1396*C1396</f>
        <v/>
      </c>
      <c r="K1396" s="15">
        <f>E1396+G1396+I1396</f>
        <v/>
      </c>
      <c r="L1396" s="15">
        <f>F1396+H1396+J1396</f>
        <v/>
      </c>
      <c r="M1396" s="18" t="n"/>
    </row>
    <row r="1397">
      <c r="A1397" s="14" t="inlineStr">
        <is>
          <t>10). CEP옹벽</t>
        </is>
      </c>
      <c r="B1397" s="14" t="inlineStr">
        <is>
          <t>1.5m~5.0m</t>
        </is>
      </c>
      <c r="C1397" s="15" t="n">
        <v>35</v>
      </c>
      <c r="D1397" s="16" t="inlineStr">
        <is>
          <t>M2</t>
        </is>
      </c>
      <c r="E1397" s="15" t="n">
        <v>0</v>
      </c>
      <c r="F1397" s="15">
        <f>E1397*C1397</f>
        <v/>
      </c>
      <c r="G1397" s="15" t="n">
        <v>0</v>
      </c>
      <c r="H1397" s="15">
        <f>G1397*C1397</f>
        <v/>
      </c>
      <c r="I1397" s="15" t="n">
        <v>563335</v>
      </c>
      <c r="J1397" s="15">
        <f>I1397*C1397</f>
        <v/>
      </c>
      <c r="K1397" s="15">
        <f>E1397+G1397+I1397</f>
        <v/>
      </c>
      <c r="L1397" s="15">
        <f>F1397+H1397+J1397</f>
        <v/>
      </c>
      <c r="M1397" s="18" t="n"/>
    </row>
    <row r="1398">
      <c r="A1398" s="14" t="inlineStr">
        <is>
          <t>11). 메쉬휀스</t>
        </is>
      </c>
      <c r="B1398" s="14" t="inlineStr">
        <is>
          <t>H=1.5m</t>
        </is>
      </c>
      <c r="C1398" s="15" t="n">
        <v>74</v>
      </c>
      <c r="D1398" s="16" t="inlineStr">
        <is>
          <t>m</t>
        </is>
      </c>
      <c r="E1398" s="15" t="n">
        <v>18757</v>
      </c>
      <c r="F1398" s="15">
        <f>E1398*C1398</f>
        <v/>
      </c>
      <c r="G1398" s="15" t="n">
        <v>15796</v>
      </c>
      <c r="H1398" s="15">
        <f>G1398*C1398</f>
        <v/>
      </c>
      <c r="I1398" s="15" t="n">
        <v>3664</v>
      </c>
      <c r="J1398" s="15">
        <f>I1398*C1398</f>
        <v/>
      </c>
      <c r="K1398" s="15">
        <f>E1398+G1398+I1398</f>
        <v/>
      </c>
      <c r="L1398" s="15">
        <f>F1398+H1398+J1398</f>
        <v/>
      </c>
      <c r="M1398" s="18" t="n"/>
    </row>
    <row r="1399">
      <c r="A1399" s="14" t="inlineStr">
        <is>
          <t>12). 콘크리트포장</t>
        </is>
      </c>
      <c r="B1399" s="14" t="inlineStr">
        <is>
          <t>T=20Cm</t>
        </is>
      </c>
      <c r="C1399" s="15" t="n">
        <v>2284</v>
      </c>
      <c r="D1399" s="16" t="inlineStr">
        <is>
          <t>㎡</t>
        </is>
      </c>
      <c r="E1399" s="15" t="n">
        <v>6585</v>
      </c>
      <c r="F1399" s="15">
        <f>E1399*C1399</f>
        <v/>
      </c>
      <c r="G1399" s="15" t="n">
        <v>8391</v>
      </c>
      <c r="H1399" s="15">
        <f>G1399*C1399</f>
        <v/>
      </c>
      <c r="I1399" s="15" t="n">
        <v>5388</v>
      </c>
      <c r="J1399" s="15">
        <f>I1399*C1399</f>
        <v/>
      </c>
      <c r="K1399" s="15">
        <f>E1399+G1399+I1399</f>
        <v/>
      </c>
      <c r="L1399" s="15">
        <f>F1399+H1399+J1399</f>
        <v/>
      </c>
      <c r="M1399" s="18" t="n"/>
    </row>
    <row r="1400">
      <c r="A1400" s="14" t="inlineStr">
        <is>
          <t>13). 관목</t>
        </is>
      </c>
      <c r="B1400" s="14" t="inlineStr">
        <is>
          <t>H0.3xW0.3</t>
        </is>
      </c>
      <c r="C1400" s="15" t="n">
        <v>6750</v>
      </c>
      <c r="D1400" s="16" t="inlineStr">
        <is>
          <t>주</t>
        </is>
      </c>
      <c r="E1400" s="15" t="n">
        <v>0</v>
      </c>
      <c r="F1400" s="15">
        <f>E1400*C1400</f>
        <v/>
      </c>
      <c r="G1400" s="15" t="n">
        <v>0</v>
      </c>
      <c r="H1400" s="15">
        <f>G1400*C1400</f>
        <v/>
      </c>
      <c r="I1400" s="15" t="n">
        <v>6788</v>
      </c>
      <c r="J1400" s="15">
        <f>I1400*C1400</f>
        <v/>
      </c>
      <c r="K1400" s="15">
        <f>E1400+G1400+I1400</f>
        <v/>
      </c>
      <c r="L1400" s="15">
        <f>F1400+H1400+J1400</f>
        <v/>
      </c>
      <c r="M1400" s="18" t="n"/>
    </row>
    <row r="1401">
      <c r="A1401" s="14" t="inlineStr">
        <is>
          <t>14). 법면보호공</t>
        </is>
      </c>
      <c r="B1401" s="14" t="inlineStr">
        <is>
          <t>잔디붙임(줄떼)</t>
        </is>
      </c>
      <c r="C1401" s="15" t="n">
        <v>83</v>
      </c>
      <c r="D1401" s="16" t="inlineStr">
        <is>
          <t>㎡</t>
        </is>
      </c>
      <c r="E1401" s="15" t="n">
        <v>6121</v>
      </c>
      <c r="F1401" s="15">
        <f>E1401*C1401</f>
        <v/>
      </c>
      <c r="G1401" s="15" t="n">
        <v>6911</v>
      </c>
      <c r="H1401" s="15">
        <f>G1401*C1401</f>
        <v/>
      </c>
      <c r="I1401" s="15" t="n">
        <v>1077</v>
      </c>
      <c r="J1401" s="15">
        <f>I1401*C1401</f>
        <v/>
      </c>
      <c r="K1401" s="15">
        <f>E1401+G1401+I1401</f>
        <v/>
      </c>
      <c r="L1401" s="15">
        <f>F1401+H1401+J1401</f>
        <v/>
      </c>
      <c r="M1401" s="18" t="n"/>
    </row>
    <row r="1402">
      <c r="A1402" s="25" t="inlineStr">
        <is>
          <t>3. A2</t>
        </is>
      </c>
      <c r="B1402" s="26" t="n"/>
      <c r="C1402" s="21" t="n"/>
      <c r="D1402" s="22" t="n"/>
      <c r="E1402" s="21" t="n"/>
      <c r="F1402" s="27" t="n"/>
      <c r="G1402" s="21" t="n"/>
      <c r="H1402" s="27" t="n"/>
      <c r="I1402" s="21" t="n"/>
      <c r="J1402" s="27" t="n"/>
      <c r="K1402" s="21" t="n"/>
      <c r="L1402" s="27" t="n"/>
      <c r="M1402" s="24" t="n"/>
    </row>
    <row r="1403">
      <c r="A1403" s="14" t="inlineStr">
        <is>
          <t>1). 우수 원형1호 맨홀</t>
        </is>
      </c>
      <c r="B1403" s="14" t="inlineStr">
        <is>
          <t>D900</t>
        </is>
      </c>
      <c r="C1403" s="15" t="n">
        <v>1</v>
      </c>
      <c r="D1403" s="16" t="inlineStr">
        <is>
          <t>개소</t>
        </is>
      </c>
      <c r="E1403" s="15" t="n">
        <v>587783</v>
      </c>
      <c r="F1403" s="15">
        <f>E1403*C1403</f>
        <v/>
      </c>
      <c r="G1403" s="15" t="n">
        <v>99972</v>
      </c>
      <c r="H1403" s="15">
        <f>G1403*C1403</f>
        <v/>
      </c>
      <c r="I1403" s="15" t="n">
        <v>111751</v>
      </c>
      <c r="J1403" s="15">
        <f>I1403*C1403</f>
        <v/>
      </c>
      <c r="K1403" s="15">
        <f>E1403+G1403+I1403</f>
        <v/>
      </c>
      <c r="L1403" s="15">
        <f>F1403+H1403+J1403</f>
        <v/>
      </c>
      <c r="M1403" s="18" t="n"/>
    </row>
    <row r="1404">
      <c r="A1404" s="14" t="inlineStr">
        <is>
          <t>2). 집수정</t>
        </is>
      </c>
      <c r="B1404" s="14" t="inlineStr">
        <is>
          <t>0.6x0.6,스틸그레이팅</t>
        </is>
      </c>
      <c r="C1404" s="15" t="n">
        <v>7</v>
      </c>
      <c r="D1404" s="16" t="inlineStr">
        <is>
          <t>개소</t>
        </is>
      </c>
      <c r="E1404" s="15" t="n">
        <v>162845</v>
      </c>
      <c r="F1404" s="15">
        <f>E1404*C1404</f>
        <v/>
      </c>
      <c r="G1404" s="15" t="n">
        <v>79842</v>
      </c>
      <c r="H1404" s="15">
        <f>G1404*C1404</f>
        <v/>
      </c>
      <c r="I1404" s="15" t="n">
        <v>127716</v>
      </c>
      <c r="J1404" s="15">
        <f>I1404*C1404</f>
        <v/>
      </c>
      <c r="K1404" s="15">
        <f>E1404+G1404+I1404</f>
        <v/>
      </c>
      <c r="L1404" s="15">
        <f>F1404+H1404+J1404</f>
        <v/>
      </c>
      <c r="M1404" s="18" t="n"/>
    </row>
    <row r="1405">
      <c r="A1405" s="14" t="inlineStr">
        <is>
          <t>3). 오수받이</t>
        </is>
      </c>
      <c r="B1405" s="14" t="n"/>
      <c r="C1405" s="15" t="n">
        <v>1</v>
      </c>
      <c r="D1405" s="16" t="inlineStr">
        <is>
          <t>개소</t>
        </is>
      </c>
      <c r="E1405" s="15" t="n">
        <v>36616</v>
      </c>
      <c r="F1405" s="15">
        <f>E1405*C1405</f>
        <v/>
      </c>
      <c r="G1405" s="15" t="n">
        <v>81904</v>
      </c>
      <c r="H1405" s="15">
        <f>G1405*C1405</f>
        <v/>
      </c>
      <c r="I1405" s="15" t="n">
        <v>0</v>
      </c>
      <c r="J1405" s="15">
        <f>I1405*C1405</f>
        <v/>
      </c>
      <c r="K1405" s="15">
        <f>E1405+G1405+I1405</f>
        <v/>
      </c>
      <c r="L1405" s="15">
        <f>F1405+H1405+J1405</f>
        <v/>
      </c>
      <c r="M1405" s="18" t="n"/>
    </row>
    <row r="1406">
      <c r="A1406" s="14" t="inlineStr">
        <is>
          <t>4). 고강성 PVC 이중벽관 접합 및 부설</t>
        </is>
      </c>
      <c r="B1406" s="14" t="inlineStr">
        <is>
          <t>D150mm, 시공조건B</t>
        </is>
      </c>
      <c r="C1406" s="15" t="n">
        <v>22</v>
      </c>
      <c r="D1406" s="16" t="inlineStr">
        <is>
          <t>m</t>
        </is>
      </c>
      <c r="E1406" s="15" t="n">
        <v>4047</v>
      </c>
      <c r="F1406" s="15">
        <f>E1406*C1406</f>
        <v/>
      </c>
      <c r="G1406" s="15" t="n">
        <v>18501</v>
      </c>
      <c r="H1406" s="15">
        <f>G1406*C1406</f>
        <v/>
      </c>
      <c r="I1406" s="15" t="n">
        <v>0</v>
      </c>
      <c r="J1406" s="15">
        <f>I1406*C1406</f>
        <v/>
      </c>
      <c r="K1406" s="15">
        <f>E1406+G1406+I1406</f>
        <v/>
      </c>
      <c r="L1406" s="15">
        <f>F1406+H1406+J1406</f>
        <v/>
      </c>
      <c r="M1406" s="18" t="n"/>
    </row>
    <row r="1407">
      <c r="A1407" s="14" t="inlineStr">
        <is>
          <t>5). 고강성 PVC 이중벽관 접합 및 부설</t>
        </is>
      </c>
      <c r="B1407" s="14" t="inlineStr">
        <is>
          <t>D450mm, 시공조건B</t>
        </is>
      </c>
      <c r="C1407" s="15" t="n">
        <v>152</v>
      </c>
      <c r="D1407" s="16" t="inlineStr">
        <is>
          <t>m</t>
        </is>
      </c>
      <c r="E1407" s="15" t="n">
        <v>4047</v>
      </c>
      <c r="F1407" s="15">
        <f>E1407*C1407</f>
        <v/>
      </c>
      <c r="G1407" s="15" t="n">
        <v>20813</v>
      </c>
      <c r="H1407" s="15">
        <f>G1407*C1407</f>
        <v/>
      </c>
      <c r="I1407" s="15" t="n">
        <v>6311</v>
      </c>
      <c r="J1407" s="15">
        <f>I1407*C1407</f>
        <v/>
      </c>
      <c r="K1407" s="15">
        <f>E1407+G1407+I1407</f>
        <v/>
      </c>
      <c r="L1407" s="15">
        <f>F1407+H1407+J1407</f>
        <v/>
      </c>
      <c r="M1407" s="18" t="n"/>
    </row>
    <row r="1408">
      <c r="A1408" s="14" t="inlineStr">
        <is>
          <t>6). 고강성PVC이중벽관</t>
        </is>
      </c>
      <c r="B1408" s="14" t="inlineStr">
        <is>
          <t>D150mm, 직관</t>
        </is>
      </c>
      <c r="C1408" s="15" t="n">
        <v>4</v>
      </c>
      <c r="D1408" s="16" t="inlineStr">
        <is>
          <t>본</t>
        </is>
      </c>
      <c r="E1408" s="15" t="n">
        <v>69378</v>
      </c>
      <c r="F1408" s="15">
        <f>E1408*C1408</f>
        <v/>
      </c>
      <c r="G1408" s="15" t="n">
        <v>0</v>
      </c>
      <c r="H1408" s="15">
        <f>G1408*C1408</f>
        <v/>
      </c>
      <c r="I1408" s="15" t="n">
        <v>0</v>
      </c>
      <c r="J1408" s="15">
        <f>I1408*C1408</f>
        <v/>
      </c>
      <c r="K1408" s="15">
        <f>E1408+G1408+I1408</f>
        <v/>
      </c>
      <c r="L1408" s="15">
        <f>F1408+H1408+J1408</f>
        <v/>
      </c>
      <c r="M1408" s="18" t="n"/>
    </row>
    <row r="1409">
      <c r="A1409" s="14" t="inlineStr">
        <is>
          <t>7). 고강성PVC이중벽관</t>
        </is>
      </c>
      <c r="B1409" s="14" t="inlineStr">
        <is>
          <t>D450mm, 직관</t>
        </is>
      </c>
      <c r="C1409" s="15" t="n">
        <v>26</v>
      </c>
      <c r="D1409" s="16" t="inlineStr">
        <is>
          <t>본</t>
        </is>
      </c>
      <c r="E1409" s="15" t="n">
        <v>501061</v>
      </c>
      <c r="F1409" s="15">
        <f>E1409*C1409</f>
        <v/>
      </c>
      <c r="G1409" s="15" t="n">
        <v>0</v>
      </c>
      <c r="H1409" s="15">
        <f>G1409*C1409</f>
        <v/>
      </c>
      <c r="I1409" s="15" t="n">
        <v>0</v>
      </c>
      <c r="J1409" s="15">
        <f>I1409*C1409</f>
        <v/>
      </c>
      <c r="K1409" s="15">
        <f>E1409+G1409+I1409</f>
        <v/>
      </c>
      <c r="L1409" s="15">
        <f>F1409+H1409+J1409</f>
        <v/>
      </c>
      <c r="M1409" s="18" t="n"/>
    </row>
    <row r="1410">
      <c r="A1410" s="14" t="inlineStr">
        <is>
          <t>8). 원심력철근콘크리트관 접합및부설(소켓식)</t>
        </is>
      </c>
      <c r="B1410" s="14" t="inlineStr">
        <is>
          <t>Ø 600mm, 시공조건 B</t>
        </is>
      </c>
      <c r="C1410" s="15" t="n">
        <v>10</v>
      </c>
      <c r="D1410" s="16" t="inlineStr">
        <is>
          <t>m</t>
        </is>
      </c>
      <c r="E1410" s="15" t="n">
        <v>68414</v>
      </c>
      <c r="F1410" s="15">
        <f>E1410*C1410</f>
        <v/>
      </c>
      <c r="G1410" s="15" t="n">
        <v>36356</v>
      </c>
      <c r="H1410" s="15">
        <f>G1410*C1410</f>
        <v/>
      </c>
      <c r="I1410" s="15" t="n">
        <v>40640</v>
      </c>
      <c r="J1410" s="15">
        <f>I1410*C1410</f>
        <v/>
      </c>
      <c r="K1410" s="15">
        <f>E1410+G1410+I1410</f>
        <v/>
      </c>
      <c r="L1410" s="15">
        <f>F1410+H1410+J1410</f>
        <v/>
      </c>
      <c r="M1410" s="18" t="n"/>
    </row>
    <row r="1411">
      <c r="A1411" s="14" t="inlineStr">
        <is>
          <t>9). 사각수로관</t>
        </is>
      </c>
      <c r="B1411" s="14" t="inlineStr">
        <is>
          <t>Ø 300mm</t>
        </is>
      </c>
      <c r="C1411" s="15" t="n">
        <v>15</v>
      </c>
      <c r="D1411" s="16" t="inlineStr">
        <is>
          <t>m</t>
        </is>
      </c>
      <c r="E1411" s="15" t="n">
        <v>106870</v>
      </c>
      <c r="F1411" s="15">
        <f>E1411*C1411</f>
        <v/>
      </c>
      <c r="G1411" s="15" t="n">
        <v>43361</v>
      </c>
      <c r="H1411" s="15">
        <f>G1411*C1411</f>
        <v/>
      </c>
      <c r="I1411" s="15" t="n">
        <v>44175</v>
      </c>
      <c r="J1411" s="15">
        <f>I1411*C1411</f>
        <v/>
      </c>
      <c r="K1411" s="15">
        <f>E1411+G1411+I1411</f>
        <v/>
      </c>
      <c r="L1411" s="15">
        <f>F1411+H1411+J1411</f>
        <v/>
      </c>
      <c r="M1411" s="18" t="n"/>
    </row>
    <row r="1412">
      <c r="A1412" s="14" t="inlineStr">
        <is>
          <t>10). CEP옹벽</t>
        </is>
      </c>
      <c r="B1412" s="14" t="inlineStr">
        <is>
          <t>1.5m~5.0m</t>
        </is>
      </c>
      <c r="C1412" s="15" t="n">
        <v>117</v>
      </c>
      <c r="D1412" s="16" t="inlineStr">
        <is>
          <t>M2</t>
        </is>
      </c>
      <c r="E1412" s="15" t="n">
        <v>0</v>
      </c>
      <c r="F1412" s="15">
        <f>E1412*C1412</f>
        <v/>
      </c>
      <c r="G1412" s="15" t="n">
        <v>0</v>
      </c>
      <c r="H1412" s="15">
        <f>G1412*C1412</f>
        <v/>
      </c>
      <c r="I1412" s="15" t="n">
        <v>549837</v>
      </c>
      <c r="J1412" s="15">
        <f>I1412*C1412</f>
        <v/>
      </c>
      <c r="K1412" s="15">
        <f>E1412+G1412+I1412</f>
        <v/>
      </c>
      <c r="L1412" s="15">
        <f>F1412+H1412+J1412</f>
        <v/>
      </c>
      <c r="M1412" s="18" t="n"/>
    </row>
    <row r="1413">
      <c r="A1413" s="14" t="inlineStr">
        <is>
          <t>11). CEP옹벽</t>
        </is>
      </c>
      <c r="B1413" s="14" t="inlineStr">
        <is>
          <t>5.0m</t>
        </is>
      </c>
      <c r="C1413" s="15" t="n">
        <v>420</v>
      </c>
      <c r="D1413" s="16" t="inlineStr">
        <is>
          <t>M2</t>
        </is>
      </c>
      <c r="E1413" s="15" t="n">
        <v>0</v>
      </c>
      <c r="F1413" s="15">
        <f>E1413*C1413</f>
        <v/>
      </c>
      <c r="G1413" s="15" t="n">
        <v>0</v>
      </c>
      <c r="H1413" s="15">
        <f>G1413*C1413</f>
        <v/>
      </c>
      <c r="I1413" s="15" t="n">
        <v>549837</v>
      </c>
      <c r="J1413" s="15">
        <f>I1413*C1413</f>
        <v/>
      </c>
      <c r="K1413" s="15">
        <f>E1413+G1413+I1413</f>
        <v/>
      </c>
      <c r="L1413" s="15">
        <f>F1413+H1413+J1413</f>
        <v/>
      </c>
      <c r="M1413" s="18" t="n"/>
    </row>
    <row r="1414">
      <c r="A1414" s="14" t="inlineStr">
        <is>
          <t>12). 보강토옹벽</t>
        </is>
      </c>
      <c r="B1414" s="14" t="inlineStr">
        <is>
          <t>H=2.2~3.0m</t>
        </is>
      </c>
      <c r="C1414" s="15" t="n">
        <v>40</v>
      </c>
      <c r="D1414" s="16" t="inlineStr">
        <is>
          <t>㎡</t>
        </is>
      </c>
      <c r="E1414" s="15" t="n">
        <v>77086</v>
      </c>
      <c r="F1414" s="15">
        <f>E1414*C1414</f>
        <v/>
      </c>
      <c r="G1414" s="15" t="n">
        <v>52997</v>
      </c>
      <c r="H1414" s="15">
        <f>G1414*C1414</f>
        <v/>
      </c>
      <c r="I1414" s="15" t="n">
        <v>68365</v>
      </c>
      <c r="J1414" s="15">
        <f>I1414*C1414</f>
        <v/>
      </c>
      <c r="K1414" s="15">
        <f>E1414+G1414+I1414</f>
        <v/>
      </c>
      <c r="L1414" s="15">
        <f>F1414+H1414+J1414</f>
        <v/>
      </c>
      <c r="M1414" s="18" t="n"/>
    </row>
    <row r="1415">
      <c r="A1415" s="14" t="inlineStr">
        <is>
          <t>13). 보강토옹벽</t>
        </is>
      </c>
      <c r="B1415" s="14" t="inlineStr">
        <is>
          <t>H=3.0~5.0m</t>
        </is>
      </c>
      <c r="C1415" s="15" t="n">
        <v>182</v>
      </c>
      <c r="D1415" s="16" t="inlineStr">
        <is>
          <t>㎡</t>
        </is>
      </c>
      <c r="E1415" s="15" t="n">
        <v>77086</v>
      </c>
      <c r="F1415" s="15">
        <f>E1415*C1415</f>
        <v/>
      </c>
      <c r="G1415" s="15" t="n">
        <v>52997</v>
      </c>
      <c r="H1415" s="15">
        <f>G1415*C1415</f>
        <v/>
      </c>
      <c r="I1415" s="15" t="n">
        <v>68365</v>
      </c>
      <c r="J1415" s="15">
        <f>I1415*C1415</f>
        <v/>
      </c>
      <c r="K1415" s="15">
        <f>E1415+G1415+I1415</f>
        <v/>
      </c>
      <c r="L1415" s="15">
        <f>F1415+H1415+J1415</f>
        <v/>
      </c>
      <c r="M1415" s="18" t="n"/>
    </row>
    <row r="1416">
      <c r="A1416" s="14" t="inlineStr">
        <is>
          <t>14). 메쉬휀스</t>
        </is>
      </c>
      <c r="B1416" s="14" t="inlineStr">
        <is>
          <t>H=1.5m</t>
        </is>
      </c>
      <c r="C1416" s="15" t="n">
        <v>170</v>
      </c>
      <c r="D1416" s="16" t="inlineStr">
        <is>
          <t>m</t>
        </is>
      </c>
      <c r="E1416" s="15" t="n">
        <v>24089</v>
      </c>
      <c r="F1416" s="15">
        <f>E1416*C1416</f>
        <v/>
      </c>
      <c r="G1416" s="15" t="n">
        <v>12527</v>
      </c>
      <c r="H1416" s="15">
        <f>G1416*C1416</f>
        <v/>
      </c>
      <c r="I1416" s="15" t="n">
        <v>0</v>
      </c>
      <c r="J1416" s="15">
        <f>I1416*C1416</f>
        <v/>
      </c>
      <c r="K1416" s="15">
        <f>E1416+G1416+I1416</f>
        <v/>
      </c>
      <c r="L1416" s="15">
        <f>F1416+H1416+J1416</f>
        <v/>
      </c>
      <c r="M1416" s="18" t="n"/>
    </row>
    <row r="1417">
      <c r="A1417" s="14" t="inlineStr">
        <is>
          <t>12). 콘크리트포장</t>
        </is>
      </c>
      <c r="B1417" s="14" t="inlineStr">
        <is>
          <t>T=20Cm</t>
        </is>
      </c>
      <c r="C1417" s="15" t="n">
        <v>2823</v>
      </c>
      <c r="D1417" s="16" t="inlineStr">
        <is>
          <t>㎡</t>
        </is>
      </c>
      <c r="E1417" s="15" t="n">
        <v>6427</v>
      </c>
      <c r="F1417" s="15">
        <f>E1417*C1417</f>
        <v/>
      </c>
      <c r="G1417" s="15" t="n">
        <v>6745</v>
      </c>
      <c r="H1417" s="15">
        <f>G1417*C1417</f>
        <v/>
      </c>
      <c r="I1417" s="15" t="n">
        <v>5259</v>
      </c>
      <c r="J1417" s="15">
        <f>I1417*C1417</f>
        <v/>
      </c>
      <c r="K1417" s="15">
        <f>E1417+G1417+I1417</f>
        <v/>
      </c>
      <c r="L1417" s="15">
        <f>F1417+H1417+J1417</f>
        <v/>
      </c>
      <c r="M1417" s="18" t="n"/>
    </row>
    <row r="1418">
      <c r="A1418" s="14" t="inlineStr">
        <is>
          <t>13). 관목</t>
        </is>
      </c>
      <c r="B1418" s="14" t="inlineStr">
        <is>
          <t>H0.3xW0.3</t>
        </is>
      </c>
      <c r="C1418" s="15" t="n">
        <v>12357</v>
      </c>
      <c r="D1418" s="16" t="inlineStr">
        <is>
          <t>주</t>
        </is>
      </c>
      <c r="E1418" s="15" t="n">
        <v>0</v>
      </c>
      <c r="F1418" s="15">
        <f>E1418*C1418</f>
        <v/>
      </c>
      <c r="G1418" s="15" t="n">
        <v>0</v>
      </c>
      <c r="H1418" s="15">
        <f>G1418*C1418</f>
        <v/>
      </c>
      <c r="I1418" s="15" t="n">
        <v>6626</v>
      </c>
      <c r="J1418" s="15">
        <f>I1418*C1418</f>
        <v/>
      </c>
      <c r="K1418" s="15">
        <f>E1418+G1418+I1418</f>
        <v/>
      </c>
      <c r="L1418" s="15">
        <f>F1418+H1418+J1418</f>
        <v/>
      </c>
      <c r="M1418" s="18" t="n"/>
    </row>
    <row r="1419">
      <c r="A1419" s="14" t="inlineStr">
        <is>
          <t>14). 법면보호공</t>
        </is>
      </c>
      <c r="B1419" s="14" t="inlineStr">
        <is>
          <t>잔디붙임(줄떼)</t>
        </is>
      </c>
      <c r="C1419" s="15" t="n">
        <v>1250</v>
      </c>
      <c r="D1419" s="16" t="inlineStr">
        <is>
          <t>㎡</t>
        </is>
      </c>
      <c r="E1419" s="15" t="n">
        <v>5974</v>
      </c>
      <c r="F1419" s="15">
        <f>E1419*C1419</f>
        <v/>
      </c>
      <c r="G1419" s="15" t="n">
        <v>6745</v>
      </c>
      <c r="H1419" s="15">
        <f>G1419*C1419</f>
        <v/>
      </c>
      <c r="I1419" s="15" t="n">
        <v>1051</v>
      </c>
      <c r="J1419" s="15">
        <f>I1419*C1419</f>
        <v/>
      </c>
      <c r="K1419" s="15">
        <f>E1419+G1419+I1419</f>
        <v/>
      </c>
      <c r="L1419" s="15">
        <f>F1419+H1419+J1419</f>
        <v/>
      </c>
      <c r="M1419" s="18" t="n"/>
    </row>
    <row r="1420">
      <c r="A1420" s="25" t="inlineStr">
        <is>
          <t>4. A3</t>
        </is>
      </c>
      <c r="B1420" s="26" t="n"/>
      <c r="C1420" s="21" t="n"/>
      <c r="D1420" s="22" t="n"/>
      <c r="E1420" s="21" t="n"/>
      <c r="F1420" s="27" t="n"/>
      <c r="G1420" s="21" t="n"/>
      <c r="H1420" s="27" t="n"/>
      <c r="I1420" s="21" t="n"/>
      <c r="J1420" s="27" t="n"/>
      <c r="K1420" s="21" t="n"/>
      <c r="L1420" s="27" t="n"/>
      <c r="M1420" s="24" t="n"/>
    </row>
    <row r="1421">
      <c r="A1421" s="14" t="inlineStr">
        <is>
          <t>1). 우수 원형1호 맨홀</t>
        </is>
      </c>
      <c r="B1421" s="14" t="inlineStr">
        <is>
          <t>D900</t>
        </is>
      </c>
      <c r="C1421" s="15" t="n">
        <v>1</v>
      </c>
      <c r="D1421" s="16" t="inlineStr">
        <is>
          <t>개소</t>
        </is>
      </c>
      <c r="E1421" s="15" t="n">
        <v>574434</v>
      </c>
      <c r="F1421" s="15">
        <f>E1421*C1421</f>
        <v/>
      </c>
      <c r="G1421" s="15" t="n">
        <v>97702</v>
      </c>
      <c r="H1421" s="15">
        <f>G1421*C1421</f>
        <v/>
      </c>
      <c r="I1421" s="15" t="n">
        <v>109213</v>
      </c>
      <c r="J1421" s="15">
        <f>I1421*C1421</f>
        <v/>
      </c>
      <c r="K1421" s="15">
        <f>E1421+G1421+I1421</f>
        <v/>
      </c>
      <c r="L1421" s="15">
        <f>F1421+H1421+J1421</f>
        <v/>
      </c>
      <c r="M1421" s="18" t="n"/>
    </row>
    <row r="1422">
      <c r="A1422" s="14" t="inlineStr">
        <is>
          <t>2). 집수정</t>
        </is>
      </c>
      <c r="B1422" s="14" t="inlineStr">
        <is>
          <t>0.6x0.6,스틸그레이팅</t>
        </is>
      </c>
      <c r="C1422" s="15" t="n">
        <v>3</v>
      </c>
      <c r="D1422" s="16" t="inlineStr">
        <is>
          <t>개소</t>
        </is>
      </c>
      <c r="E1422" s="15" t="n">
        <v>159147</v>
      </c>
      <c r="F1422" s="15">
        <f>E1422*C1422</f>
        <v/>
      </c>
      <c r="G1422" s="15" t="n">
        <v>78029</v>
      </c>
      <c r="H1422" s="15">
        <f>G1422*C1422</f>
        <v/>
      </c>
      <c r="I1422" s="15" t="n">
        <v>124816</v>
      </c>
      <c r="J1422" s="15">
        <f>I1422*C1422</f>
        <v/>
      </c>
      <c r="K1422" s="15">
        <f>E1422+G1422+I1422</f>
        <v/>
      </c>
      <c r="L1422" s="15">
        <f>F1422+H1422+J1422</f>
        <v/>
      </c>
      <c r="M1422" s="18" t="n"/>
    </row>
    <row r="1423">
      <c r="A1423" s="14" t="inlineStr">
        <is>
          <t>3). 오수받이</t>
        </is>
      </c>
      <c r="B1423" s="14" t="n"/>
      <c r="C1423" s="15" t="n">
        <v>1</v>
      </c>
      <c r="D1423" s="16" t="inlineStr">
        <is>
          <t>개소</t>
        </is>
      </c>
      <c r="E1423" s="15" t="n">
        <v>35785</v>
      </c>
      <c r="F1423" s="15">
        <f>E1423*C1423</f>
        <v/>
      </c>
      <c r="G1423" s="15" t="n">
        <v>80044</v>
      </c>
      <c r="H1423" s="15">
        <f>G1423*C1423</f>
        <v/>
      </c>
      <c r="I1423" s="15" t="n">
        <v>0</v>
      </c>
      <c r="J1423" s="15">
        <f>I1423*C1423</f>
        <v/>
      </c>
      <c r="K1423" s="15">
        <f>E1423+G1423+I1423</f>
        <v/>
      </c>
      <c r="L1423" s="15">
        <f>F1423+H1423+J1423</f>
        <v/>
      </c>
      <c r="M1423" s="18" t="n"/>
    </row>
    <row r="1424">
      <c r="A1424" s="14" t="inlineStr">
        <is>
          <t>4). 고강성 PVC 이중벽관 접합 및 부설</t>
        </is>
      </c>
      <c r="B1424" s="14" t="inlineStr">
        <is>
          <t>D150mm, 시공조건B</t>
        </is>
      </c>
      <c r="C1424" s="15" t="n">
        <v>36</v>
      </c>
      <c r="D1424" s="16" t="inlineStr">
        <is>
          <t>m</t>
        </is>
      </c>
      <c r="E1424" s="15" t="n">
        <v>3955</v>
      </c>
      <c r="F1424" s="15">
        <f>E1424*C1424</f>
        <v/>
      </c>
      <c r="G1424" s="15" t="n">
        <v>18081</v>
      </c>
      <c r="H1424" s="15">
        <f>G1424*C1424</f>
        <v/>
      </c>
      <c r="I1424" s="15" t="n">
        <v>0</v>
      </c>
      <c r="J1424" s="15">
        <f>I1424*C1424</f>
        <v/>
      </c>
      <c r="K1424" s="15">
        <f>E1424+G1424+I1424</f>
        <v/>
      </c>
      <c r="L1424" s="15">
        <f>F1424+H1424+J1424</f>
        <v/>
      </c>
      <c r="M1424" s="18" t="n"/>
    </row>
    <row r="1425">
      <c r="A1425" s="14" t="inlineStr">
        <is>
          <t>5). 고강성 PVC 이중벽관 접합 및 부설</t>
        </is>
      </c>
      <c r="B1425" s="14" t="inlineStr">
        <is>
          <t>D450mm, 시공조건B</t>
        </is>
      </c>
      <c r="C1425" s="15" t="n">
        <v>70</v>
      </c>
      <c r="D1425" s="16" t="inlineStr">
        <is>
          <t>m</t>
        </is>
      </c>
      <c r="E1425" s="15" t="n">
        <v>3955</v>
      </c>
      <c r="F1425" s="15">
        <f>E1425*C1425</f>
        <v/>
      </c>
      <c r="G1425" s="15" t="n">
        <v>20341</v>
      </c>
      <c r="H1425" s="15">
        <f>G1425*C1425</f>
        <v/>
      </c>
      <c r="I1425" s="15" t="n">
        <v>6168</v>
      </c>
      <c r="J1425" s="15">
        <f>I1425*C1425</f>
        <v/>
      </c>
      <c r="K1425" s="15">
        <f>E1425+G1425+I1425</f>
        <v/>
      </c>
      <c r="L1425" s="15">
        <f>F1425+H1425+J1425</f>
        <v/>
      </c>
      <c r="M1425" s="18" t="n"/>
    </row>
    <row r="1426">
      <c r="A1426" s="14" t="inlineStr">
        <is>
          <t>6). 고강성PVC이중벽관</t>
        </is>
      </c>
      <c r="B1426" s="14" t="inlineStr">
        <is>
          <t>D150mm, 직관</t>
        </is>
      </c>
      <c r="C1426" s="15" t="n">
        <v>6</v>
      </c>
      <c r="D1426" s="16" t="inlineStr">
        <is>
          <t>본</t>
        </is>
      </c>
      <c r="E1426" s="15" t="n">
        <v>67802</v>
      </c>
      <c r="F1426" s="15">
        <f>E1426*C1426</f>
        <v/>
      </c>
      <c r="G1426" s="15" t="n">
        <v>0</v>
      </c>
      <c r="H1426" s="15">
        <f>G1426*C1426</f>
        <v/>
      </c>
      <c r="I1426" s="15" t="n">
        <v>0</v>
      </c>
      <c r="J1426" s="15">
        <f>I1426*C1426</f>
        <v/>
      </c>
      <c r="K1426" s="15">
        <f>E1426+G1426+I1426</f>
        <v/>
      </c>
      <c r="L1426" s="15">
        <f>F1426+H1426+J1426</f>
        <v/>
      </c>
      <c r="M1426" s="18" t="n"/>
    </row>
    <row r="1427">
      <c r="A1427" s="14" t="inlineStr">
        <is>
          <t>7). 고강성PVC이중벽관</t>
        </is>
      </c>
      <c r="B1427" s="14" t="inlineStr">
        <is>
          <t>D450mm, 직관</t>
        </is>
      </c>
      <c r="C1427" s="15" t="n">
        <v>12</v>
      </c>
      <c r="D1427" s="16" t="inlineStr">
        <is>
          <t>본</t>
        </is>
      </c>
      <c r="E1427" s="15" t="n">
        <v>489681</v>
      </c>
      <c r="F1427" s="15">
        <f>E1427*C1427</f>
        <v/>
      </c>
      <c r="G1427" s="15" t="n">
        <v>0</v>
      </c>
      <c r="H1427" s="15">
        <f>G1427*C1427</f>
        <v/>
      </c>
      <c r="I1427" s="15" t="n">
        <v>0</v>
      </c>
      <c r="J1427" s="15">
        <f>I1427*C1427</f>
        <v/>
      </c>
      <c r="K1427" s="15">
        <f>E1427+G1427+I1427</f>
        <v/>
      </c>
      <c r="L1427" s="15">
        <f>F1427+H1427+J1427</f>
        <v/>
      </c>
      <c r="M1427" s="18" t="n"/>
    </row>
    <row r="1428">
      <c r="A1428" s="14" t="inlineStr">
        <is>
          <t>8). 원심력철근콘크리트관 접합및부설(소켓식)</t>
        </is>
      </c>
      <c r="B1428" s="14" t="inlineStr">
        <is>
          <t>Ø 600mm, 시공조건 B</t>
        </is>
      </c>
      <c r="C1428" s="15" t="n">
        <v>12</v>
      </c>
      <c r="D1428" s="16" t="inlineStr">
        <is>
          <t>m</t>
        </is>
      </c>
      <c r="E1428" s="15" t="n">
        <v>66860</v>
      </c>
      <c r="F1428" s="15">
        <f>E1428*C1428</f>
        <v/>
      </c>
      <c r="G1428" s="15" t="n">
        <v>35530</v>
      </c>
      <c r="H1428" s="15">
        <f>G1428*C1428</f>
        <v/>
      </c>
      <c r="I1428" s="15" t="n">
        <v>39717</v>
      </c>
      <c r="J1428" s="15">
        <f>I1428*C1428</f>
        <v/>
      </c>
      <c r="K1428" s="15">
        <f>E1428+G1428+I1428</f>
        <v/>
      </c>
      <c r="L1428" s="15">
        <f>F1428+H1428+J1428</f>
        <v/>
      </c>
      <c r="M1428" s="18" t="n"/>
    </row>
    <row r="1429">
      <c r="A1429" s="14" t="inlineStr">
        <is>
          <t>9). 사각수로관</t>
        </is>
      </c>
      <c r="B1429" s="14" t="inlineStr">
        <is>
          <t>Ø 300mm</t>
        </is>
      </c>
      <c r="C1429" s="15" t="n">
        <v>8</v>
      </c>
      <c r="D1429" s="16" t="inlineStr">
        <is>
          <t>m</t>
        </is>
      </c>
      <c r="E1429" s="15" t="n">
        <v>104443</v>
      </c>
      <c r="F1429" s="15">
        <f>E1429*C1429</f>
        <v/>
      </c>
      <c r="G1429" s="15" t="n">
        <v>42376</v>
      </c>
      <c r="H1429" s="15">
        <f>G1429*C1429</f>
        <v/>
      </c>
      <c r="I1429" s="15" t="n">
        <v>43172</v>
      </c>
      <c r="J1429" s="15">
        <f>I1429*C1429</f>
        <v/>
      </c>
      <c r="K1429" s="15">
        <f>E1429+G1429+I1429</f>
        <v/>
      </c>
      <c r="L1429" s="15">
        <f>F1429+H1429+J1429</f>
        <v/>
      </c>
      <c r="M1429" s="18" t="n"/>
    </row>
    <row r="1430">
      <c r="A1430" s="14" t="inlineStr">
        <is>
          <t>10). 보강토옹벽</t>
        </is>
      </c>
      <c r="B1430" s="14" t="inlineStr">
        <is>
          <t>H=2.2~3.4m</t>
        </is>
      </c>
      <c r="C1430" s="15" t="n">
        <v>120</v>
      </c>
      <c r="D1430" s="16" t="inlineStr">
        <is>
          <t>㎡</t>
        </is>
      </c>
      <c r="E1430" s="15" t="n">
        <v>75336</v>
      </c>
      <c r="F1430" s="15">
        <f>E1430*C1430</f>
        <v/>
      </c>
      <c r="G1430" s="15" t="n">
        <v>51793</v>
      </c>
      <c r="H1430" s="15">
        <f>G1430*C1430</f>
        <v/>
      </c>
      <c r="I1430" s="15" t="n">
        <v>66813</v>
      </c>
      <c r="J1430" s="15">
        <f>I1430*C1430</f>
        <v/>
      </c>
      <c r="K1430" s="15">
        <f>E1430+G1430+I1430</f>
        <v/>
      </c>
      <c r="L1430" s="15">
        <f>F1430+H1430+J1430</f>
        <v/>
      </c>
      <c r="M1430" s="18" t="n"/>
    </row>
    <row r="1431">
      <c r="A1431" s="14" t="inlineStr">
        <is>
          <t>11). 보강토옹벽</t>
        </is>
      </c>
      <c r="B1431" s="14" t="inlineStr">
        <is>
          <t>H=1.0~2.5m</t>
        </is>
      </c>
      <c r="C1431" s="15" t="n">
        <v>38</v>
      </c>
      <c r="D1431" s="16" t="inlineStr">
        <is>
          <t>㎡</t>
        </is>
      </c>
      <c r="E1431" s="15" t="n">
        <v>75336</v>
      </c>
      <c r="F1431" s="15">
        <f>E1431*C1431</f>
        <v/>
      </c>
      <c r="G1431" s="15" t="n">
        <v>51793</v>
      </c>
      <c r="H1431" s="15">
        <f>G1431*C1431</f>
        <v/>
      </c>
      <c r="I1431" s="15" t="n">
        <v>66813</v>
      </c>
      <c r="J1431" s="15">
        <f>I1431*C1431</f>
        <v/>
      </c>
      <c r="K1431" s="15">
        <f>E1431+G1431+I1431</f>
        <v/>
      </c>
      <c r="L1431" s="15">
        <f>F1431+H1431+J1431</f>
        <v/>
      </c>
      <c r="M1431" s="18" t="n"/>
    </row>
    <row r="1432">
      <c r="A1432" s="14" t="inlineStr">
        <is>
          <t>12). 보강토옹벽</t>
        </is>
      </c>
      <c r="B1432" s="14" t="inlineStr">
        <is>
          <t>H=3.42~5.0m</t>
        </is>
      </c>
      <c r="C1432" s="15" t="n">
        <v>175</v>
      </c>
      <c r="D1432" s="16" t="inlineStr">
        <is>
          <t>㎡</t>
        </is>
      </c>
      <c r="E1432" s="15" t="n">
        <v>75336</v>
      </c>
      <c r="F1432" s="15">
        <f>E1432*C1432</f>
        <v/>
      </c>
      <c r="G1432" s="15" t="n">
        <v>51793</v>
      </c>
      <c r="H1432" s="15">
        <f>G1432*C1432</f>
        <v/>
      </c>
      <c r="I1432" s="15" t="n">
        <v>66813</v>
      </c>
      <c r="J1432" s="15">
        <f>I1432*C1432</f>
        <v/>
      </c>
      <c r="K1432" s="15">
        <f>E1432+G1432+I1432</f>
        <v/>
      </c>
      <c r="L1432" s="15">
        <f>F1432+H1432+J1432</f>
        <v/>
      </c>
      <c r="M1432" s="18" t="n"/>
    </row>
    <row r="1433">
      <c r="A1433" s="14" t="inlineStr">
        <is>
          <t>13). 메쉬휀스</t>
        </is>
      </c>
      <c r="B1433" s="14" t="inlineStr">
        <is>
          <t>H=1.5m</t>
        </is>
      </c>
      <c r="C1433" s="15" t="n">
        <v>167</v>
      </c>
      <c r="D1433" s="16" t="inlineStr">
        <is>
          <t>m</t>
        </is>
      </c>
      <c r="E1433" s="15" t="n">
        <v>23542</v>
      </c>
      <c r="F1433" s="15">
        <f>E1433*C1433</f>
        <v/>
      </c>
      <c r="G1433" s="15" t="n">
        <v>12242</v>
      </c>
      <c r="H1433" s="15">
        <f>G1433*C1433</f>
        <v/>
      </c>
      <c r="I1433" s="15" t="n">
        <v>0</v>
      </c>
      <c r="J1433" s="15">
        <f>I1433*C1433</f>
        <v/>
      </c>
      <c r="K1433" s="15">
        <f>E1433+G1433+I1433</f>
        <v/>
      </c>
      <c r="L1433" s="15">
        <f>F1433+H1433+J1433</f>
        <v/>
      </c>
      <c r="M1433" s="18" t="n"/>
    </row>
    <row r="1434">
      <c r="A1434" s="14" t="inlineStr">
        <is>
          <t>14). 철제가드레일</t>
        </is>
      </c>
      <c r="B1434" s="14" t="inlineStr">
        <is>
          <t>W3000*H910</t>
        </is>
      </c>
      <c r="C1434" s="15" t="n">
        <v>24</v>
      </c>
      <c r="D1434" s="16" t="inlineStr">
        <is>
          <t>경간</t>
        </is>
      </c>
      <c r="E1434" s="15" t="n">
        <v>277800</v>
      </c>
      <c r="F1434" s="15">
        <f>E1434*C1434</f>
        <v/>
      </c>
      <c r="G1434" s="15" t="n">
        <v>51793</v>
      </c>
      <c r="H1434" s="15">
        <f>G1434*C1434</f>
        <v/>
      </c>
      <c r="I1434" s="15" t="n">
        <v>29295</v>
      </c>
      <c r="J1434" s="15">
        <f>I1434*C1434</f>
        <v/>
      </c>
      <c r="K1434" s="15">
        <f>E1434+G1434+I1434</f>
        <v/>
      </c>
      <c r="L1434" s="15">
        <f>F1434+H1434+J1434</f>
        <v/>
      </c>
      <c r="M1434" s="18" t="n"/>
    </row>
    <row r="1435">
      <c r="A1435" s="14" t="inlineStr">
        <is>
          <t>15). 콘크리트포장</t>
        </is>
      </c>
      <c r="B1435" s="14" t="inlineStr">
        <is>
          <t>T=20Cm</t>
        </is>
      </c>
      <c r="C1435" s="15" t="n">
        <v>1888</v>
      </c>
      <c r="D1435" s="16" t="inlineStr">
        <is>
          <t>㎡</t>
        </is>
      </c>
      <c r="E1435" s="15" t="n">
        <v>6281</v>
      </c>
      <c r="F1435" s="15">
        <f>E1435*C1435</f>
        <v/>
      </c>
      <c r="G1435" s="15" t="n">
        <v>6592</v>
      </c>
      <c r="H1435" s="15">
        <f>G1435*C1435</f>
        <v/>
      </c>
      <c r="I1435" s="15" t="n">
        <v>5139</v>
      </c>
      <c r="J1435" s="15">
        <f>I1435*C1435</f>
        <v/>
      </c>
      <c r="K1435" s="15">
        <f>E1435+G1435+I1435</f>
        <v/>
      </c>
      <c r="L1435" s="15">
        <f>F1435+H1435+J1435</f>
        <v/>
      </c>
      <c r="M1435" s="18" t="n"/>
    </row>
    <row r="1436">
      <c r="A1436" s="14" t="inlineStr">
        <is>
          <t>13). 관목</t>
        </is>
      </c>
      <c r="B1436" s="14" t="inlineStr">
        <is>
          <t>H0.3xW0.3</t>
        </is>
      </c>
      <c r="C1436" s="15" t="n">
        <v>10791</v>
      </c>
      <c r="D1436" s="16" t="inlineStr">
        <is>
          <t>주</t>
        </is>
      </c>
      <c r="E1436" s="15" t="n">
        <v>0</v>
      </c>
      <c r="F1436" s="15">
        <f>E1436*C1436</f>
        <v/>
      </c>
      <c r="G1436" s="15" t="n">
        <v>0</v>
      </c>
      <c r="H1436" s="15">
        <f>G1436*C1436</f>
        <v/>
      </c>
      <c r="I1436" s="15" t="n">
        <v>6475</v>
      </c>
      <c r="J1436" s="15">
        <f>I1436*C1436</f>
        <v/>
      </c>
      <c r="K1436" s="15">
        <f>E1436+G1436+I1436</f>
        <v/>
      </c>
      <c r="L1436" s="15">
        <f>F1436+H1436+J1436</f>
        <v/>
      </c>
      <c r="M1436" s="18" t="n"/>
    </row>
    <row r="1437">
      <c r="A1437" s="14" t="inlineStr">
        <is>
          <t>14). 법면보호공</t>
        </is>
      </c>
      <c r="B1437" s="14" t="inlineStr">
        <is>
          <t>잔디붙임(줄떼)</t>
        </is>
      </c>
      <c r="C1437" s="15" t="n">
        <v>1060</v>
      </c>
      <c r="D1437" s="16" t="inlineStr">
        <is>
          <t>㎡</t>
        </is>
      </c>
      <c r="E1437" s="15" t="n">
        <v>5839</v>
      </c>
      <c r="F1437" s="15">
        <f>E1437*C1437</f>
        <v/>
      </c>
      <c r="G1437" s="15" t="n">
        <v>6592</v>
      </c>
      <c r="H1437" s="15">
        <f>G1437*C1437</f>
        <v/>
      </c>
      <c r="I1437" s="15" t="n">
        <v>1027</v>
      </c>
      <c r="J1437" s="15">
        <f>I1437*C1437</f>
        <v/>
      </c>
      <c r="K1437" s="15">
        <f>E1437+G1437+I1437</f>
        <v/>
      </c>
      <c r="L1437" s="15">
        <f>F1437+H1437+J1437</f>
        <v/>
      </c>
      <c r="M1437" s="18" t="n"/>
    </row>
    <row r="1438">
      <c r="A1438" s="25" t="inlineStr">
        <is>
          <t>5. A4</t>
        </is>
      </c>
      <c r="B1438" s="26" t="n"/>
      <c r="C1438" s="21" t="n"/>
      <c r="D1438" s="22" t="n"/>
      <c r="E1438" s="21" t="n"/>
      <c r="F1438" s="27" t="n"/>
      <c r="G1438" s="21" t="n"/>
      <c r="H1438" s="27" t="n"/>
      <c r="I1438" s="21" t="n"/>
      <c r="J1438" s="27" t="n"/>
      <c r="K1438" s="21" t="n"/>
      <c r="L1438" s="27" t="n"/>
      <c r="M1438" s="24" t="n"/>
    </row>
    <row r="1439">
      <c r="A1439" s="14" t="inlineStr">
        <is>
          <t>1). 우수 원형1호 맨홀</t>
        </is>
      </c>
      <c r="B1439" s="14" t="inlineStr">
        <is>
          <t>D900</t>
        </is>
      </c>
      <c r="C1439" s="15" t="n">
        <v>1</v>
      </c>
      <c r="D1439" s="16" t="inlineStr">
        <is>
          <t>개소</t>
        </is>
      </c>
      <c r="E1439" s="15" t="n">
        <v>580940</v>
      </c>
      <c r="F1439" s="15">
        <f>E1439*C1439</f>
        <v/>
      </c>
      <c r="G1439" s="15" t="n">
        <v>98808</v>
      </c>
      <c r="H1439" s="15">
        <f>G1439*C1439</f>
        <v/>
      </c>
      <c r="I1439" s="15" t="n">
        <v>110451</v>
      </c>
      <c r="J1439" s="15">
        <f>I1439*C1439</f>
        <v/>
      </c>
      <c r="K1439" s="15">
        <f>E1439+G1439+I1439</f>
        <v/>
      </c>
      <c r="L1439" s="15">
        <f>F1439+H1439+J1439</f>
        <v/>
      </c>
      <c r="M1439" s="18" t="n"/>
    </row>
    <row r="1440">
      <c r="A1440" s="14" t="inlineStr">
        <is>
          <t>2). 집수정</t>
        </is>
      </c>
      <c r="B1440" s="14" t="inlineStr">
        <is>
          <t>0.6x0.6,스틸그레이팅</t>
        </is>
      </c>
      <c r="C1440" s="15" t="n">
        <v>4</v>
      </c>
      <c r="D1440" s="16" t="inlineStr">
        <is>
          <t>개소</t>
        </is>
      </c>
      <c r="E1440" s="15" t="n">
        <v>160949</v>
      </c>
      <c r="F1440" s="15">
        <f>E1440*C1440</f>
        <v/>
      </c>
      <c r="G1440" s="15" t="n">
        <v>78913</v>
      </c>
      <c r="H1440" s="15">
        <f>G1440*C1440</f>
        <v/>
      </c>
      <c r="I1440" s="15" t="n">
        <v>126229</v>
      </c>
      <c r="J1440" s="15">
        <f>I1440*C1440</f>
        <v/>
      </c>
      <c r="K1440" s="15">
        <f>E1440+G1440+I1440</f>
        <v/>
      </c>
      <c r="L1440" s="15">
        <f>F1440+H1440+J1440</f>
        <v/>
      </c>
      <c r="M1440" s="18" t="n"/>
    </row>
    <row r="1441">
      <c r="A1441" s="14" t="inlineStr">
        <is>
          <t>3). 오수받이</t>
        </is>
      </c>
      <c r="B1441" s="14" t="n"/>
      <c r="C1441" s="15" t="n">
        <v>1</v>
      </c>
      <c r="D1441" s="16" t="inlineStr">
        <is>
          <t>개소</t>
        </is>
      </c>
      <c r="E1441" s="15" t="n">
        <v>36190</v>
      </c>
      <c r="F1441" s="15">
        <f>E1441*C1441</f>
        <v/>
      </c>
      <c r="G1441" s="15" t="n">
        <v>80951</v>
      </c>
      <c r="H1441" s="15">
        <f>G1441*C1441</f>
        <v/>
      </c>
      <c r="I1441" s="15" t="n">
        <v>0</v>
      </c>
      <c r="J1441" s="15">
        <f>I1441*C1441</f>
        <v/>
      </c>
      <c r="K1441" s="15">
        <f>E1441+G1441+I1441</f>
        <v/>
      </c>
      <c r="L1441" s="15">
        <f>F1441+H1441+J1441</f>
        <v/>
      </c>
      <c r="M1441" s="18" t="n"/>
    </row>
    <row r="1442">
      <c r="A1442" s="14" t="inlineStr">
        <is>
          <t>4). 고강성 PVC 이중벽관 접합 및 부설</t>
        </is>
      </c>
      <c r="B1442" s="14" t="inlineStr">
        <is>
          <t>D150mm, 시공조건B</t>
        </is>
      </c>
      <c r="C1442" s="15" t="n">
        <v>20</v>
      </c>
      <c r="D1442" s="16" t="inlineStr">
        <is>
          <t>m</t>
        </is>
      </c>
      <c r="E1442" s="15" t="n">
        <v>4000</v>
      </c>
      <c r="F1442" s="15">
        <f>E1442*C1442</f>
        <v/>
      </c>
      <c r="G1442" s="15" t="n">
        <v>18285</v>
      </c>
      <c r="H1442" s="15">
        <f>G1442*C1442</f>
        <v/>
      </c>
      <c r="I1442" s="15" t="n">
        <v>0</v>
      </c>
      <c r="J1442" s="15">
        <f>I1442*C1442</f>
        <v/>
      </c>
      <c r="K1442" s="15">
        <f>E1442+G1442+I1442</f>
        <v/>
      </c>
      <c r="L1442" s="15">
        <f>F1442+H1442+J1442</f>
        <v/>
      </c>
      <c r="M1442" s="18" t="n"/>
    </row>
    <row r="1443">
      <c r="A1443" s="14" t="inlineStr">
        <is>
          <t>5). 고강성 PVC 이중벽관 접합 및 부설</t>
        </is>
      </c>
      <c r="B1443" s="14" t="inlineStr">
        <is>
          <t>D450mm, 시공조건B</t>
        </is>
      </c>
      <c r="C1443" s="15" t="n">
        <v>85</v>
      </c>
      <c r="D1443" s="16" t="inlineStr">
        <is>
          <t>m</t>
        </is>
      </c>
      <c r="E1443" s="15" t="n">
        <v>4000</v>
      </c>
      <c r="F1443" s="15">
        <f>E1443*C1443</f>
        <v/>
      </c>
      <c r="G1443" s="15" t="n">
        <v>20571</v>
      </c>
      <c r="H1443" s="15">
        <f>G1443*C1443</f>
        <v/>
      </c>
      <c r="I1443" s="15" t="n">
        <v>6238</v>
      </c>
      <c r="J1443" s="15">
        <f>I1443*C1443</f>
        <v/>
      </c>
      <c r="K1443" s="15">
        <f>E1443+G1443+I1443</f>
        <v/>
      </c>
      <c r="L1443" s="15">
        <f>F1443+H1443+J1443</f>
        <v/>
      </c>
      <c r="M1443" s="18" t="n"/>
    </row>
    <row r="1444">
      <c r="A1444" s="14" t="inlineStr">
        <is>
          <t>6). 고강성PVC이중벽관</t>
        </is>
      </c>
      <c r="B1444" s="14" t="inlineStr">
        <is>
          <t>D150mm, 직관</t>
        </is>
      </c>
      <c r="C1444" s="15" t="n">
        <v>4</v>
      </c>
      <c r="D1444" s="16" t="inlineStr">
        <is>
          <t>본</t>
        </is>
      </c>
      <c r="E1444" s="15" t="n">
        <v>68570</v>
      </c>
      <c r="F1444" s="15">
        <f>E1444*C1444</f>
        <v/>
      </c>
      <c r="G1444" s="15" t="n">
        <v>0</v>
      </c>
      <c r="H1444" s="15">
        <f>G1444*C1444</f>
        <v/>
      </c>
      <c r="I1444" s="15" t="n">
        <v>0</v>
      </c>
      <c r="J1444" s="15">
        <f>I1444*C1444</f>
        <v/>
      </c>
      <c r="K1444" s="15">
        <f>E1444+G1444+I1444</f>
        <v/>
      </c>
      <c r="L1444" s="15">
        <f>F1444+H1444+J1444</f>
        <v/>
      </c>
      <c r="M1444" s="18" t="n"/>
    </row>
    <row r="1445">
      <c r="A1445" s="14" t="inlineStr">
        <is>
          <t>7). 고강성PVC이중벽관</t>
        </is>
      </c>
      <c r="B1445" s="14" t="inlineStr">
        <is>
          <t>D450mm, 직관</t>
        </is>
      </c>
      <c r="C1445" s="15" t="n">
        <v>15</v>
      </c>
      <c r="D1445" s="16" t="inlineStr">
        <is>
          <t>본</t>
        </is>
      </c>
      <c r="E1445" s="15" t="n">
        <v>495228</v>
      </c>
      <c r="F1445" s="15">
        <f>E1445*C1445</f>
        <v/>
      </c>
      <c r="G1445" s="15" t="n">
        <v>0</v>
      </c>
      <c r="H1445" s="15">
        <f>G1445*C1445</f>
        <v/>
      </c>
      <c r="I1445" s="15" t="n">
        <v>0</v>
      </c>
      <c r="J1445" s="15">
        <f>I1445*C1445</f>
        <v/>
      </c>
      <c r="K1445" s="15">
        <f>E1445+G1445+I1445</f>
        <v/>
      </c>
      <c r="L1445" s="15">
        <f>F1445+H1445+J1445</f>
        <v/>
      </c>
      <c r="M1445" s="18" t="n"/>
    </row>
    <row r="1446">
      <c r="A1446" s="14" t="inlineStr">
        <is>
          <t>8). 원심력철근콘크리트관 접합및부설(소켓식)</t>
        </is>
      </c>
      <c r="B1446" s="14" t="inlineStr">
        <is>
          <t>Ø 600mm, 시공조건 B</t>
        </is>
      </c>
      <c r="C1446" s="15" t="n">
        <v>13</v>
      </c>
      <c r="D1446" s="16" t="inlineStr">
        <is>
          <t>m</t>
        </is>
      </c>
      <c r="E1446" s="15" t="n">
        <v>67618</v>
      </c>
      <c r="F1446" s="15">
        <f>E1446*C1446</f>
        <v/>
      </c>
      <c r="G1446" s="15" t="n">
        <v>35932</v>
      </c>
      <c r="H1446" s="15">
        <f>G1446*C1446</f>
        <v/>
      </c>
      <c r="I1446" s="15" t="n">
        <v>40167</v>
      </c>
      <c r="J1446" s="15">
        <f>I1446*C1446</f>
        <v/>
      </c>
      <c r="K1446" s="15">
        <f>E1446+G1446+I1446</f>
        <v/>
      </c>
      <c r="L1446" s="15">
        <f>F1446+H1446+J1446</f>
        <v/>
      </c>
      <c r="M1446" s="18" t="n"/>
    </row>
    <row r="1447">
      <c r="A1447" s="14" t="inlineStr">
        <is>
          <t>9). 사각수로관</t>
        </is>
      </c>
      <c r="B1447" s="14" t="inlineStr">
        <is>
          <t>Ø 300mm</t>
        </is>
      </c>
      <c r="C1447" s="15" t="n">
        <v>8</v>
      </c>
      <c r="D1447" s="16" t="inlineStr">
        <is>
          <t>m</t>
        </is>
      </c>
      <c r="E1447" s="15" t="n">
        <v>105626</v>
      </c>
      <c r="F1447" s="15">
        <f>E1447*C1447</f>
        <v/>
      </c>
      <c r="G1447" s="15" t="n">
        <v>42856</v>
      </c>
      <c r="H1447" s="15">
        <f>G1447*C1447</f>
        <v/>
      </c>
      <c r="I1447" s="15" t="n">
        <v>43661</v>
      </c>
      <c r="J1447" s="15">
        <f>I1447*C1447</f>
        <v/>
      </c>
      <c r="K1447" s="15">
        <f>E1447+G1447+I1447</f>
        <v/>
      </c>
      <c r="L1447" s="15">
        <f>F1447+H1447+J1447</f>
        <v/>
      </c>
      <c r="M1447" s="18" t="n"/>
    </row>
    <row r="1448">
      <c r="A1448" s="14" t="inlineStr">
        <is>
          <t>10). 보강토옹벽</t>
        </is>
      </c>
      <c r="B1448" s="14" t="inlineStr">
        <is>
          <t>H=3.5~5.0m</t>
        </is>
      </c>
      <c r="C1448" s="15" t="n">
        <v>276</v>
      </c>
      <c r="D1448" s="16" t="inlineStr">
        <is>
          <t>㎡</t>
        </is>
      </c>
      <c r="E1448" s="15" t="n">
        <v>76189</v>
      </c>
      <c r="F1448" s="15">
        <f>E1448*C1448</f>
        <v/>
      </c>
      <c r="G1448" s="15" t="n">
        <v>52380</v>
      </c>
      <c r="H1448" s="15">
        <f>G1448*C1448</f>
        <v/>
      </c>
      <c r="I1448" s="15" t="n">
        <v>67570</v>
      </c>
      <c r="J1448" s="15">
        <f>I1448*C1448</f>
        <v/>
      </c>
      <c r="K1448" s="15">
        <f>E1448+G1448+I1448</f>
        <v/>
      </c>
      <c r="L1448" s="15">
        <f>F1448+H1448+J1448</f>
        <v/>
      </c>
      <c r="M1448" s="18" t="n"/>
    </row>
    <row r="1449">
      <c r="A1449" s="14" t="inlineStr">
        <is>
          <t>11). 메쉬휀스</t>
        </is>
      </c>
      <c r="B1449" s="14" t="inlineStr">
        <is>
          <t>H=1.5m</t>
        </is>
      </c>
      <c r="C1449" s="15" t="n">
        <v>200</v>
      </c>
      <c r="D1449" s="16" t="inlineStr">
        <is>
          <t>m</t>
        </is>
      </c>
      <c r="E1449" s="15" t="n">
        <v>23809</v>
      </c>
      <c r="F1449" s="15">
        <f>E1449*C1449</f>
        <v/>
      </c>
      <c r="G1449" s="15" t="n">
        <v>12381</v>
      </c>
      <c r="H1449" s="15">
        <f>G1449*C1449</f>
        <v/>
      </c>
      <c r="I1449" s="15" t="n">
        <v>0</v>
      </c>
      <c r="J1449" s="15">
        <f>I1449*C1449</f>
        <v/>
      </c>
      <c r="K1449" s="15">
        <f>E1449+G1449+I1449</f>
        <v/>
      </c>
      <c r="L1449" s="15">
        <f>F1449+H1449+J1449</f>
        <v/>
      </c>
      <c r="M1449" s="18" t="n"/>
    </row>
    <row r="1450">
      <c r="A1450" s="14" t="inlineStr">
        <is>
          <t>12). 철제가드레일</t>
        </is>
      </c>
      <c r="B1450" s="14" t="inlineStr">
        <is>
          <t>W3000*H910</t>
        </is>
      </c>
      <c r="C1450" s="15" t="n">
        <v>17</v>
      </c>
      <c r="D1450" s="16" t="inlineStr">
        <is>
          <t>경간</t>
        </is>
      </c>
      <c r="E1450" s="15" t="n">
        <v>280947</v>
      </c>
      <c r="F1450" s="15">
        <f>E1450*C1450</f>
        <v/>
      </c>
      <c r="G1450" s="15" t="n">
        <v>52380</v>
      </c>
      <c r="H1450" s="15">
        <f>G1450*C1450</f>
        <v/>
      </c>
      <c r="I1450" s="15" t="n">
        <v>29627</v>
      </c>
      <c r="J1450" s="15">
        <f>I1450*C1450</f>
        <v/>
      </c>
      <c r="K1450" s="15">
        <f>E1450+G1450+I1450</f>
        <v/>
      </c>
      <c r="L1450" s="15">
        <f>F1450+H1450+J1450</f>
        <v/>
      </c>
      <c r="M1450" s="18" t="n"/>
    </row>
    <row r="1451">
      <c r="A1451" s="14" t="inlineStr">
        <is>
          <t>13). 콘크리트포장</t>
        </is>
      </c>
      <c r="B1451" s="14" t="inlineStr">
        <is>
          <t>T=20Cm</t>
        </is>
      </c>
      <c r="C1451" s="15" t="n">
        <v>1855</v>
      </c>
      <c r="D1451" s="16" t="inlineStr">
        <is>
          <t>㎡</t>
        </is>
      </c>
      <c r="E1451" s="15" t="n">
        <v>6353</v>
      </c>
      <c r="F1451" s="15">
        <f>E1451*C1451</f>
        <v/>
      </c>
      <c r="G1451" s="15" t="n">
        <v>6667</v>
      </c>
      <c r="H1451" s="15">
        <f>G1451*C1451</f>
        <v/>
      </c>
      <c r="I1451" s="15" t="n">
        <v>5197</v>
      </c>
      <c r="J1451" s="15">
        <f>I1451*C1451</f>
        <v/>
      </c>
      <c r="K1451" s="15">
        <f>E1451+G1451+I1451</f>
        <v/>
      </c>
      <c r="L1451" s="15">
        <f>F1451+H1451+J1451</f>
        <v/>
      </c>
      <c r="M1451" s="18" t="n"/>
    </row>
    <row r="1452">
      <c r="A1452" s="14" t="inlineStr">
        <is>
          <t>14). 관목</t>
        </is>
      </c>
      <c r="B1452" s="14" t="inlineStr">
        <is>
          <t>H0.3xW0.3</t>
        </is>
      </c>
      <c r="C1452" s="15" t="n">
        <v>7038</v>
      </c>
      <c r="D1452" s="16" t="inlineStr">
        <is>
          <t>주</t>
        </is>
      </c>
      <c r="E1452" s="15" t="n">
        <v>0</v>
      </c>
      <c r="F1452" s="15">
        <f>E1452*C1452</f>
        <v/>
      </c>
      <c r="G1452" s="15" t="n">
        <v>0</v>
      </c>
      <c r="H1452" s="15">
        <f>G1452*C1452</f>
        <v/>
      </c>
      <c r="I1452" s="15" t="n">
        <v>6549</v>
      </c>
      <c r="J1452" s="15">
        <f>I1452*C1452</f>
        <v/>
      </c>
      <c r="K1452" s="15">
        <f>E1452+G1452+I1452</f>
        <v/>
      </c>
      <c r="L1452" s="15">
        <f>F1452+H1452+J1452</f>
        <v/>
      </c>
      <c r="M1452" s="18" t="n"/>
    </row>
    <row r="1453">
      <c r="A1453" s="14" t="inlineStr">
        <is>
          <t>15). 법면보호공</t>
        </is>
      </c>
      <c r="B1453" s="14" t="inlineStr">
        <is>
          <t>잔디붙임(줄떼)</t>
        </is>
      </c>
      <c r="C1453" s="15" t="n">
        <v>710</v>
      </c>
      <c r="D1453" s="16" t="inlineStr">
        <is>
          <t>㎡</t>
        </is>
      </c>
      <c r="E1453" s="15" t="n">
        <v>5905</v>
      </c>
      <c r="F1453" s="15">
        <f>E1453*C1453</f>
        <v/>
      </c>
      <c r="G1453" s="15" t="n">
        <v>6667</v>
      </c>
      <c r="H1453" s="15">
        <f>G1453*C1453</f>
        <v/>
      </c>
      <c r="I1453" s="15" t="n">
        <v>1039</v>
      </c>
      <c r="J1453" s="15">
        <f>I1453*C1453</f>
        <v/>
      </c>
      <c r="K1453" s="15">
        <f>E1453+G1453+I1453</f>
        <v/>
      </c>
      <c r="L1453" s="15">
        <f>F1453+H1453+J1453</f>
        <v/>
      </c>
      <c r="M1453" s="18" t="n"/>
    </row>
    <row r="1454">
      <c r="A1454" s="25" t="inlineStr">
        <is>
          <t>6. A5</t>
        </is>
      </c>
      <c r="B1454" s="26" t="n"/>
      <c r="C1454" s="21" t="n"/>
      <c r="D1454" s="22" t="n"/>
      <c r="E1454" s="21" t="n"/>
      <c r="F1454" s="27" t="n"/>
      <c r="G1454" s="21" t="n"/>
      <c r="H1454" s="27" t="n"/>
      <c r="I1454" s="21" t="n"/>
      <c r="J1454" s="27" t="n"/>
      <c r="K1454" s="21" t="n"/>
      <c r="L1454" s="27" t="n"/>
      <c r="M1454" s="24" t="n"/>
    </row>
    <row r="1455">
      <c r="A1455" s="14" t="inlineStr">
        <is>
          <t>1). 우수 원형1호 맨홀</t>
        </is>
      </c>
      <c r="B1455" s="14" t="inlineStr">
        <is>
          <t>D900</t>
        </is>
      </c>
      <c r="C1455" s="15" t="n">
        <v>1</v>
      </c>
      <c r="D1455" s="16" t="inlineStr">
        <is>
          <t>개소</t>
        </is>
      </c>
      <c r="E1455" s="15" t="n">
        <v>570955</v>
      </c>
      <c r="F1455" s="15">
        <f>E1455*C1455</f>
        <v/>
      </c>
      <c r="G1455" s="15" t="n">
        <v>97110</v>
      </c>
      <c r="H1455" s="15">
        <f>G1455*C1455</f>
        <v/>
      </c>
      <c r="I1455" s="15" t="n">
        <v>108552</v>
      </c>
      <c r="J1455" s="15">
        <f>I1455*C1455</f>
        <v/>
      </c>
      <c r="K1455" s="15">
        <f>E1455+G1455+I1455</f>
        <v/>
      </c>
      <c r="L1455" s="15">
        <f>F1455+H1455+J1455</f>
        <v/>
      </c>
      <c r="M1455" s="18" t="n"/>
    </row>
    <row r="1456">
      <c r="A1456" s="14" t="inlineStr">
        <is>
          <t>2). 집수정</t>
        </is>
      </c>
      <c r="B1456" s="14" t="inlineStr">
        <is>
          <t>0.6x0.6,스틸그레이팅</t>
        </is>
      </c>
      <c r="C1456" s="15" t="n">
        <v>3</v>
      </c>
      <c r="D1456" s="16" t="inlineStr">
        <is>
          <t>개소</t>
        </is>
      </c>
      <c r="E1456" s="15" t="n">
        <v>158183</v>
      </c>
      <c r="F1456" s="15">
        <f>E1456*C1456</f>
        <v/>
      </c>
      <c r="G1456" s="15" t="n">
        <v>77557</v>
      </c>
      <c r="H1456" s="15">
        <f>G1456*C1456</f>
        <v/>
      </c>
      <c r="I1456" s="15" t="n">
        <v>124060</v>
      </c>
      <c r="J1456" s="15">
        <f>I1456*C1456</f>
        <v/>
      </c>
      <c r="K1456" s="15">
        <f>E1456+G1456+I1456</f>
        <v/>
      </c>
      <c r="L1456" s="15">
        <f>F1456+H1456+J1456</f>
        <v/>
      </c>
      <c r="M1456" s="18" t="n"/>
    </row>
    <row r="1457">
      <c r="A1457" s="14" t="inlineStr">
        <is>
          <t>3). 오수받이</t>
        </is>
      </c>
      <c r="B1457" s="14" t="n"/>
      <c r="C1457" s="15" t="n">
        <v>1</v>
      </c>
      <c r="D1457" s="16" t="inlineStr">
        <is>
          <t>개소</t>
        </is>
      </c>
      <c r="E1457" s="15" t="n">
        <v>35568</v>
      </c>
      <c r="F1457" s="15">
        <f>E1457*C1457</f>
        <v/>
      </c>
      <c r="G1457" s="15" t="n">
        <v>79559</v>
      </c>
      <c r="H1457" s="15">
        <f>G1457*C1457</f>
        <v/>
      </c>
      <c r="I1457" s="15" t="n">
        <v>0</v>
      </c>
      <c r="J1457" s="15">
        <f>I1457*C1457</f>
        <v/>
      </c>
      <c r="K1457" s="15">
        <f>E1457+G1457+I1457</f>
        <v/>
      </c>
      <c r="L1457" s="15">
        <f>F1457+H1457+J1457</f>
        <v/>
      </c>
      <c r="M1457" s="18" t="n"/>
    </row>
    <row r="1458">
      <c r="A1458" s="14" t="inlineStr">
        <is>
          <t>4). 고강성 PVC 이중벽관 접합 및 부설</t>
        </is>
      </c>
      <c r="B1458" s="14" t="inlineStr">
        <is>
          <t>D150mm, 시공조건B</t>
        </is>
      </c>
      <c r="C1458" s="15" t="n">
        <v>15</v>
      </c>
      <c r="D1458" s="16" t="inlineStr">
        <is>
          <t>m</t>
        </is>
      </c>
      <c r="E1458" s="15" t="n">
        <v>3931</v>
      </c>
      <c r="F1458" s="15">
        <f>E1458*C1458</f>
        <v/>
      </c>
      <c r="G1458" s="15" t="n">
        <v>17971</v>
      </c>
      <c r="H1458" s="15">
        <f>G1458*C1458</f>
        <v/>
      </c>
      <c r="I1458" s="15" t="n">
        <v>0</v>
      </c>
      <c r="J1458" s="15">
        <f>I1458*C1458</f>
        <v/>
      </c>
      <c r="K1458" s="15">
        <f>E1458+G1458+I1458</f>
        <v/>
      </c>
      <c r="L1458" s="15">
        <f>F1458+H1458+J1458</f>
        <v/>
      </c>
      <c r="M1458" s="18" t="n"/>
    </row>
    <row r="1459">
      <c r="A1459" s="14" t="inlineStr">
        <is>
          <t>5). 고강성 PVC 이중벽관 접합 및 부설</t>
        </is>
      </c>
      <c r="B1459" s="14" t="inlineStr">
        <is>
          <t>D450mm, 시공조건B</t>
        </is>
      </c>
      <c r="C1459" s="15" t="n">
        <v>72</v>
      </c>
      <c r="D1459" s="16" t="inlineStr">
        <is>
          <t>m</t>
        </is>
      </c>
      <c r="E1459" s="15" t="n">
        <v>3931</v>
      </c>
      <c r="F1459" s="15">
        <f>E1459*C1459</f>
        <v/>
      </c>
      <c r="G1459" s="15" t="n">
        <v>20217</v>
      </c>
      <c r="H1459" s="15">
        <f>G1459*C1459</f>
        <v/>
      </c>
      <c r="I1459" s="15" t="n">
        <v>6130</v>
      </c>
      <c r="J1459" s="15">
        <f>I1459*C1459</f>
        <v/>
      </c>
      <c r="K1459" s="15">
        <f>E1459+G1459+I1459</f>
        <v/>
      </c>
      <c r="L1459" s="15">
        <f>F1459+H1459+J1459</f>
        <v/>
      </c>
      <c r="M1459" s="18" t="n"/>
    </row>
    <row r="1460">
      <c r="A1460" s="14" t="inlineStr">
        <is>
          <t>6). 고강성PVC이중벽관</t>
        </is>
      </c>
      <c r="B1460" s="14" t="inlineStr">
        <is>
          <t>D150mm, 직관</t>
        </is>
      </c>
      <c r="C1460" s="15" t="n">
        <v>3</v>
      </c>
      <c r="D1460" s="16" t="inlineStr">
        <is>
          <t>본</t>
        </is>
      </c>
      <c r="E1460" s="15" t="n">
        <v>67391</v>
      </c>
      <c r="F1460" s="15">
        <f>E1460*C1460</f>
        <v/>
      </c>
      <c r="G1460" s="15" t="n">
        <v>0</v>
      </c>
      <c r="H1460" s="15">
        <f>G1460*C1460</f>
        <v/>
      </c>
      <c r="I1460" s="15" t="n">
        <v>0</v>
      </c>
      <c r="J1460" s="15">
        <f>I1460*C1460</f>
        <v/>
      </c>
      <c r="K1460" s="15">
        <f>E1460+G1460+I1460</f>
        <v/>
      </c>
      <c r="L1460" s="15">
        <f>F1460+H1460+J1460</f>
        <v/>
      </c>
      <c r="M1460" s="18" t="n"/>
    </row>
    <row r="1461">
      <c r="A1461" s="14" t="inlineStr">
        <is>
          <t>7). 고강성PVC이중벽관</t>
        </is>
      </c>
      <c r="B1461" s="14" t="inlineStr">
        <is>
          <t>D450mm, 직관</t>
        </is>
      </c>
      <c r="C1461" s="15" t="n">
        <v>12</v>
      </c>
      <c r="D1461" s="16" t="inlineStr">
        <is>
          <t>본</t>
        </is>
      </c>
      <c r="E1461" s="15" t="n">
        <v>486716</v>
      </c>
      <c r="F1461" s="15">
        <f>E1461*C1461</f>
        <v/>
      </c>
      <c r="G1461" s="15" t="n">
        <v>0</v>
      </c>
      <c r="H1461" s="15">
        <f>G1461*C1461</f>
        <v/>
      </c>
      <c r="I1461" s="15" t="n">
        <v>0</v>
      </c>
      <c r="J1461" s="15">
        <f>I1461*C1461</f>
        <v/>
      </c>
      <c r="K1461" s="15">
        <f>E1461+G1461+I1461</f>
        <v/>
      </c>
      <c r="L1461" s="15">
        <f>F1461+H1461+J1461</f>
        <v/>
      </c>
      <c r="M1461" s="18" t="n"/>
    </row>
    <row r="1462">
      <c r="A1462" s="14" t="inlineStr">
        <is>
          <t>8). 원심력철근콘크리트관 접합및부설(소켓식)</t>
        </is>
      </c>
      <c r="B1462" s="14" t="inlineStr">
        <is>
          <t>Ø 600mm, 시공조건 B</t>
        </is>
      </c>
      <c r="C1462" s="15" t="n">
        <v>7</v>
      </c>
      <c r="D1462" s="16" t="inlineStr">
        <is>
          <t>m</t>
        </is>
      </c>
      <c r="E1462" s="15" t="n">
        <v>66456</v>
      </c>
      <c r="F1462" s="15">
        <f>E1462*C1462</f>
        <v/>
      </c>
      <c r="G1462" s="15" t="n">
        <v>35315</v>
      </c>
      <c r="H1462" s="15">
        <f>G1462*C1462</f>
        <v/>
      </c>
      <c r="I1462" s="15" t="n">
        <v>39477</v>
      </c>
      <c r="J1462" s="15">
        <f>I1462*C1462</f>
        <v/>
      </c>
      <c r="K1462" s="15">
        <f>E1462+G1462+I1462</f>
        <v/>
      </c>
      <c r="L1462" s="15">
        <f>F1462+H1462+J1462</f>
        <v/>
      </c>
      <c r="M1462" s="18" t="n"/>
    </row>
    <row r="1463">
      <c r="A1463" s="14" t="inlineStr">
        <is>
          <t>9). 사각수로관</t>
        </is>
      </c>
      <c r="B1463" s="14" t="inlineStr">
        <is>
          <t>Ø 300mm</t>
        </is>
      </c>
      <c r="C1463" s="15" t="n">
        <v>7</v>
      </c>
      <c r="D1463" s="16" t="inlineStr">
        <is>
          <t>m</t>
        </is>
      </c>
      <c r="E1463" s="15" t="n">
        <v>103811</v>
      </c>
      <c r="F1463" s="15">
        <f>E1463*C1463</f>
        <v/>
      </c>
      <c r="G1463" s="15" t="n">
        <v>42120</v>
      </c>
      <c r="H1463" s="15">
        <f>G1463*C1463</f>
        <v/>
      </c>
      <c r="I1463" s="15" t="n">
        <v>42910</v>
      </c>
      <c r="J1463" s="15">
        <f>I1463*C1463</f>
        <v/>
      </c>
      <c r="K1463" s="15">
        <f>E1463+G1463+I1463</f>
        <v/>
      </c>
      <c r="L1463" s="15">
        <f>F1463+H1463+J1463</f>
        <v/>
      </c>
      <c r="M1463" s="18" t="n"/>
    </row>
    <row r="1464">
      <c r="A1464" s="14" t="inlineStr">
        <is>
          <t>10). 보강토옹벽</t>
        </is>
      </c>
      <c r="B1464" s="14" t="inlineStr">
        <is>
          <t>H=2.84~4.65m</t>
        </is>
      </c>
      <c r="C1464" s="15" t="n">
        <v>264</v>
      </c>
      <c r="D1464" s="16" t="inlineStr">
        <is>
          <t>㎡</t>
        </is>
      </c>
      <c r="E1464" s="15" t="n">
        <v>74879</v>
      </c>
      <c r="F1464" s="15">
        <f>E1464*C1464</f>
        <v/>
      </c>
      <c r="G1464" s="15" t="n">
        <v>51480</v>
      </c>
      <c r="H1464" s="15">
        <f>G1464*C1464</f>
        <v/>
      </c>
      <c r="I1464" s="15" t="n">
        <v>66408</v>
      </c>
      <c r="J1464" s="15">
        <f>I1464*C1464</f>
        <v/>
      </c>
      <c r="K1464" s="15">
        <f>E1464+G1464+I1464</f>
        <v/>
      </c>
      <c r="L1464" s="15">
        <f>F1464+H1464+J1464</f>
        <v/>
      </c>
      <c r="M1464" s="18" t="n"/>
    </row>
    <row r="1465">
      <c r="A1465" s="14" t="inlineStr">
        <is>
          <t>11). 보강토옹벽</t>
        </is>
      </c>
      <c r="B1465" s="14" t="inlineStr">
        <is>
          <t>H=0.4~2.84m</t>
        </is>
      </c>
      <c r="C1465" s="15" t="n">
        <v>80</v>
      </c>
      <c r="D1465" s="16" t="inlineStr">
        <is>
          <t>㎡</t>
        </is>
      </c>
      <c r="E1465" s="15" t="n">
        <v>74879</v>
      </c>
      <c r="F1465" s="15">
        <f>E1465*C1465</f>
        <v/>
      </c>
      <c r="G1465" s="15" t="n">
        <v>51480</v>
      </c>
      <c r="H1465" s="15">
        <f>G1465*C1465</f>
        <v/>
      </c>
      <c r="I1465" s="15" t="n">
        <v>66408</v>
      </c>
      <c r="J1465" s="15">
        <f>I1465*C1465</f>
        <v/>
      </c>
      <c r="K1465" s="15">
        <f>E1465+G1465+I1465</f>
        <v/>
      </c>
      <c r="L1465" s="15">
        <f>F1465+H1465+J1465</f>
        <v/>
      </c>
      <c r="M1465" s="18" t="n"/>
    </row>
    <row r="1466">
      <c r="A1466" s="14" t="inlineStr">
        <is>
          <t>12). 철제가드레일</t>
        </is>
      </c>
      <c r="B1466" s="14" t="inlineStr">
        <is>
          <t>W3000*H910</t>
        </is>
      </c>
      <c r="C1466" s="15" t="n">
        <v>24</v>
      </c>
      <c r="D1466" s="16" t="inlineStr">
        <is>
          <t>경간</t>
        </is>
      </c>
      <c r="E1466" s="15" t="n">
        <v>276118</v>
      </c>
      <c r="F1466" s="15">
        <f>E1466*C1466</f>
        <v/>
      </c>
      <c r="G1466" s="15" t="n">
        <v>51480</v>
      </c>
      <c r="H1466" s="15">
        <f>G1466*C1466</f>
        <v/>
      </c>
      <c r="I1466" s="15" t="n">
        <v>29118</v>
      </c>
      <c r="J1466" s="15">
        <f>I1466*C1466</f>
        <v/>
      </c>
      <c r="K1466" s="15">
        <f>E1466+G1466+I1466</f>
        <v/>
      </c>
      <c r="L1466" s="15">
        <f>F1466+H1466+J1466</f>
        <v/>
      </c>
      <c r="M1466" s="18" t="n"/>
    </row>
    <row r="1467">
      <c r="A1467" s="14" t="inlineStr">
        <is>
          <t>13). 콘크리트포장</t>
        </is>
      </c>
      <c r="B1467" s="14" t="inlineStr">
        <is>
          <t>T=20Cm</t>
        </is>
      </c>
      <c r="C1467" s="15" t="n">
        <v>1089</v>
      </c>
      <c r="D1467" s="16" t="inlineStr">
        <is>
          <t>㎡</t>
        </is>
      </c>
      <c r="E1467" s="15" t="n">
        <v>6243</v>
      </c>
      <c r="F1467" s="15">
        <f>E1467*C1467</f>
        <v/>
      </c>
      <c r="G1467" s="15" t="n">
        <v>6552</v>
      </c>
      <c r="H1467" s="15">
        <f>G1467*C1467</f>
        <v/>
      </c>
      <c r="I1467" s="15" t="n">
        <v>5108</v>
      </c>
      <c r="J1467" s="15">
        <f>I1467*C1467</f>
        <v/>
      </c>
      <c r="K1467" s="15">
        <f>E1467+G1467+I1467</f>
        <v/>
      </c>
      <c r="L1467" s="15">
        <f>F1467+H1467+J1467</f>
        <v/>
      </c>
      <c r="M1467" s="18" t="n"/>
    </row>
    <row r="1468">
      <c r="A1468" s="14" t="inlineStr">
        <is>
          <t>14). 관목</t>
        </is>
      </c>
      <c r="B1468" s="14" t="inlineStr">
        <is>
          <t>H0.3xW0.3</t>
        </is>
      </c>
      <c r="C1468" s="15" t="n">
        <v>5382</v>
      </c>
      <c r="D1468" s="16" t="inlineStr">
        <is>
          <t>주</t>
        </is>
      </c>
      <c r="E1468" s="15" t="n">
        <v>0</v>
      </c>
      <c r="F1468" s="15">
        <f>E1468*C1468</f>
        <v/>
      </c>
      <c r="G1468" s="15" t="n">
        <v>0</v>
      </c>
      <c r="H1468" s="15">
        <f>G1468*C1468</f>
        <v/>
      </c>
      <c r="I1468" s="15" t="n">
        <v>6436</v>
      </c>
      <c r="J1468" s="15">
        <f>I1468*C1468</f>
        <v/>
      </c>
      <c r="K1468" s="15">
        <f>E1468+G1468+I1468</f>
        <v/>
      </c>
      <c r="L1468" s="15">
        <f>F1468+H1468+J1468</f>
        <v/>
      </c>
      <c r="M1468" s="18" t="n"/>
    </row>
    <row r="1469">
      <c r="A1469" s="14" t="inlineStr">
        <is>
          <t>15). 법면보호공</t>
        </is>
      </c>
      <c r="B1469" s="14" t="inlineStr">
        <is>
          <t>잔디붙임(줄떼)</t>
        </is>
      </c>
      <c r="C1469" s="15" t="n">
        <v>106</v>
      </c>
      <c r="D1469" s="16" t="inlineStr">
        <is>
          <t>㎡</t>
        </is>
      </c>
      <c r="E1469" s="15" t="n">
        <v>5803</v>
      </c>
      <c r="F1469" s="15">
        <f>E1469*C1469</f>
        <v/>
      </c>
      <c r="G1469" s="15" t="n">
        <v>6552</v>
      </c>
      <c r="H1469" s="15">
        <f>G1469*C1469</f>
        <v/>
      </c>
      <c r="I1469" s="15" t="n">
        <v>1021</v>
      </c>
      <c r="J1469" s="15">
        <f>I1469*C1469</f>
        <v/>
      </c>
      <c r="K1469" s="15">
        <f>E1469+G1469+I1469</f>
        <v/>
      </c>
      <c r="L1469" s="15">
        <f>F1469+H1469+J1469</f>
        <v/>
      </c>
      <c r="M1469" s="18" t="n"/>
    </row>
    <row r="1470">
      <c r="A1470" s="25" t="inlineStr">
        <is>
          <t>7. B1</t>
        </is>
      </c>
      <c r="B1470" s="26" t="n"/>
      <c r="C1470" s="21" t="n"/>
      <c r="D1470" s="22" t="n"/>
      <c r="E1470" s="21" t="n"/>
      <c r="F1470" s="27" t="n"/>
      <c r="G1470" s="21" t="n"/>
      <c r="H1470" s="27" t="n"/>
      <c r="I1470" s="21" t="n"/>
      <c r="J1470" s="27" t="n"/>
      <c r="K1470" s="21" t="n"/>
      <c r="L1470" s="27" t="n"/>
      <c r="M1470" s="24" t="n"/>
    </row>
    <row r="1471">
      <c r="A1471" s="14" t="inlineStr">
        <is>
          <t>1). 우수 원형1호 맨홀</t>
        </is>
      </c>
      <c r="B1471" s="14" t="inlineStr">
        <is>
          <t>D900</t>
        </is>
      </c>
      <c r="C1471" s="15" t="n">
        <v>1</v>
      </c>
      <c r="D1471" s="16" t="inlineStr">
        <is>
          <t>개소</t>
        </is>
      </c>
      <c r="E1471" s="15" t="n">
        <v>588733</v>
      </c>
      <c r="F1471" s="15">
        <f>E1471*C1471</f>
        <v/>
      </c>
      <c r="G1471" s="15" t="n">
        <v>100134</v>
      </c>
      <c r="H1471" s="15">
        <f>G1471*C1471</f>
        <v/>
      </c>
      <c r="I1471" s="15" t="n">
        <v>111931</v>
      </c>
      <c r="J1471" s="15">
        <f>I1471*C1471</f>
        <v/>
      </c>
      <c r="K1471" s="15">
        <f>E1471+G1471+I1471</f>
        <v/>
      </c>
      <c r="L1471" s="15">
        <f>F1471+H1471+J1471</f>
        <v/>
      </c>
      <c r="M1471" s="18" t="n"/>
    </row>
    <row r="1472">
      <c r="A1472" s="14" t="inlineStr">
        <is>
          <t>2). 집수정</t>
        </is>
      </c>
      <c r="B1472" s="14" t="inlineStr">
        <is>
          <t>0.6x0.6,스틸그레이팅</t>
        </is>
      </c>
      <c r="C1472" s="15" t="n">
        <v>6</v>
      </c>
      <c r="D1472" s="16" t="inlineStr">
        <is>
          <t>개소</t>
        </is>
      </c>
      <c r="E1472" s="15" t="n">
        <v>163108</v>
      </c>
      <c r="F1472" s="15">
        <f>E1472*C1472</f>
        <v/>
      </c>
      <c r="G1472" s="15" t="n">
        <v>79972</v>
      </c>
      <c r="H1472" s="15">
        <f>G1472*C1472</f>
        <v/>
      </c>
      <c r="I1472" s="15" t="n">
        <v>127923</v>
      </c>
      <c r="J1472" s="15">
        <f>I1472*C1472</f>
        <v/>
      </c>
      <c r="K1472" s="15">
        <f>E1472+G1472+I1472</f>
        <v/>
      </c>
      <c r="L1472" s="15">
        <f>F1472+H1472+J1472</f>
        <v/>
      </c>
      <c r="M1472" s="18" t="n"/>
    </row>
    <row r="1473">
      <c r="A1473" s="14" t="inlineStr">
        <is>
          <t>3). 오수받이</t>
        </is>
      </c>
      <c r="B1473" s="14" t="n"/>
      <c r="C1473" s="15" t="n">
        <v>1</v>
      </c>
      <c r="D1473" s="16" t="inlineStr">
        <is>
          <t>개소</t>
        </is>
      </c>
      <c r="E1473" s="15" t="n">
        <v>36675</v>
      </c>
      <c r="F1473" s="15">
        <f>E1473*C1473</f>
        <v/>
      </c>
      <c r="G1473" s="15" t="n">
        <v>82036</v>
      </c>
      <c r="H1473" s="15">
        <f>G1473*C1473</f>
        <v/>
      </c>
      <c r="I1473" s="15" t="n">
        <v>1</v>
      </c>
      <c r="J1473" s="15">
        <f>I1473*C1473</f>
        <v/>
      </c>
      <c r="K1473" s="15">
        <f>E1473+G1473+I1473</f>
        <v/>
      </c>
      <c r="L1473" s="15">
        <f>F1473+H1473+J1473</f>
        <v/>
      </c>
      <c r="M1473" s="18" t="n"/>
    </row>
    <row r="1474">
      <c r="A1474" s="14" t="inlineStr">
        <is>
          <t>4). 고강성 PVC 이중벽관 접합 및 부설</t>
        </is>
      </c>
      <c r="B1474" s="14" t="inlineStr">
        <is>
          <t>D150mm, 시공조건B</t>
        </is>
      </c>
      <c r="C1474" s="15" t="n">
        <v>22</v>
      </c>
      <c r="D1474" s="16" t="inlineStr">
        <is>
          <t>m</t>
        </is>
      </c>
      <c r="E1474" s="15" t="n">
        <v>4054</v>
      </c>
      <c r="F1474" s="15">
        <f>E1474*C1474</f>
        <v/>
      </c>
      <c r="G1474" s="15" t="n">
        <v>18531</v>
      </c>
      <c r="H1474" s="15">
        <f>G1474*C1474</f>
        <v/>
      </c>
      <c r="I1474" s="15" t="n">
        <v>0</v>
      </c>
      <c r="J1474" s="15">
        <f>I1474*C1474</f>
        <v/>
      </c>
      <c r="K1474" s="15">
        <f>E1474+G1474+I1474</f>
        <v/>
      </c>
      <c r="L1474" s="15">
        <f>F1474+H1474+J1474</f>
        <v/>
      </c>
      <c r="M1474" s="18" t="n"/>
    </row>
    <row r="1475">
      <c r="A1475" s="14" t="inlineStr">
        <is>
          <t>5). 고강성 PVC 이중벽관 접합 및 부설</t>
        </is>
      </c>
      <c r="B1475" s="14" t="inlineStr">
        <is>
          <t>D450mm, 시공조건B</t>
        </is>
      </c>
      <c r="C1475" s="15" t="n">
        <v>119</v>
      </c>
      <c r="D1475" s="16" t="inlineStr">
        <is>
          <t>m</t>
        </is>
      </c>
      <c r="E1475" s="15" t="n">
        <v>4054</v>
      </c>
      <c r="F1475" s="15">
        <f>E1475*C1475</f>
        <v/>
      </c>
      <c r="G1475" s="15" t="n">
        <v>20847</v>
      </c>
      <c r="H1475" s="15">
        <f>G1475*C1475</f>
        <v/>
      </c>
      <c r="I1475" s="15" t="n">
        <v>6321</v>
      </c>
      <c r="J1475" s="15">
        <f>I1475*C1475</f>
        <v/>
      </c>
      <c r="K1475" s="15">
        <f>E1475+G1475+I1475</f>
        <v/>
      </c>
      <c r="L1475" s="15">
        <f>F1475+H1475+J1475</f>
        <v/>
      </c>
      <c r="M1475" s="18" t="n"/>
    </row>
    <row r="1476">
      <c r="A1476" s="14" t="inlineStr">
        <is>
          <t>6). 고강성PVC이중벽관</t>
        </is>
      </c>
      <c r="B1476" s="14" t="inlineStr">
        <is>
          <t>D150mm, 직관</t>
        </is>
      </c>
      <c r="C1476" s="15" t="n">
        <v>4</v>
      </c>
      <c r="D1476" s="16" t="inlineStr">
        <is>
          <t>본</t>
        </is>
      </c>
      <c r="E1476" s="15" t="n">
        <v>69490</v>
      </c>
      <c r="F1476" s="15">
        <f>E1476*C1476</f>
        <v/>
      </c>
      <c r="G1476" s="15" t="n">
        <v>0</v>
      </c>
      <c r="H1476" s="15">
        <f>G1476*C1476</f>
        <v/>
      </c>
      <c r="I1476" s="15" t="n">
        <v>0</v>
      </c>
      <c r="J1476" s="15">
        <f>I1476*C1476</f>
        <v/>
      </c>
      <c r="K1476" s="15">
        <f>E1476+G1476+I1476</f>
        <v/>
      </c>
      <c r="L1476" s="15">
        <f>F1476+H1476+J1476</f>
        <v/>
      </c>
      <c r="M1476" s="18" t="n"/>
    </row>
    <row r="1477">
      <c r="A1477" s="14" t="inlineStr">
        <is>
          <t>7). 고강성PVC이중벽관</t>
        </is>
      </c>
      <c r="B1477" s="14" t="inlineStr">
        <is>
          <t>D450mm, 직관</t>
        </is>
      </c>
      <c r="C1477" s="15" t="n">
        <v>20</v>
      </c>
      <c r="D1477" s="16" t="inlineStr">
        <is>
          <t>본</t>
        </is>
      </c>
      <c r="E1477" s="15" t="n">
        <v>501871</v>
      </c>
      <c r="F1477" s="15">
        <f>E1477*C1477</f>
        <v/>
      </c>
      <c r="G1477" s="15" t="n">
        <v>0</v>
      </c>
      <c r="H1477" s="15">
        <f>G1477*C1477</f>
        <v/>
      </c>
      <c r="I1477" s="15" t="n">
        <v>0</v>
      </c>
      <c r="J1477" s="15">
        <f>I1477*C1477</f>
        <v/>
      </c>
      <c r="K1477" s="15">
        <f>E1477+G1477+I1477</f>
        <v/>
      </c>
      <c r="L1477" s="15">
        <f>F1477+H1477+J1477</f>
        <v/>
      </c>
      <c r="M1477" s="18" t="n"/>
    </row>
    <row r="1478">
      <c r="A1478" s="14" t="inlineStr">
        <is>
          <t>8). 원심력철근콘크리트관 접합및부설(소켓식)</t>
        </is>
      </c>
      <c r="B1478" s="14" t="inlineStr">
        <is>
          <t>Ø 600mm, 시공조건 B</t>
        </is>
      </c>
      <c r="C1478" s="15" t="n">
        <v>12</v>
      </c>
      <c r="D1478" s="16" t="inlineStr">
        <is>
          <t>m</t>
        </is>
      </c>
      <c r="E1478" s="15" t="n">
        <v>68525</v>
      </c>
      <c r="F1478" s="15">
        <f>E1478*C1478</f>
        <v/>
      </c>
      <c r="G1478" s="15" t="n">
        <v>36414</v>
      </c>
      <c r="H1478" s="15">
        <f>G1478*C1478</f>
        <v/>
      </c>
      <c r="I1478" s="15" t="n">
        <v>40706</v>
      </c>
      <c r="J1478" s="15">
        <f>I1478*C1478</f>
        <v/>
      </c>
      <c r="K1478" s="15">
        <f>E1478+G1478+I1478</f>
        <v/>
      </c>
      <c r="L1478" s="15">
        <f>F1478+H1478+J1478</f>
        <v/>
      </c>
      <c r="M1478" s="18" t="n"/>
    </row>
    <row r="1479">
      <c r="A1479" s="14" t="inlineStr">
        <is>
          <t>9). 사각수로관</t>
        </is>
      </c>
      <c r="B1479" s="14" t="inlineStr">
        <is>
          <t>Ø 300mm</t>
        </is>
      </c>
      <c r="C1479" s="15" t="n">
        <v>8</v>
      </c>
      <c r="D1479" s="16" t="inlineStr">
        <is>
          <t>m</t>
        </is>
      </c>
      <c r="E1479" s="15" t="n">
        <v>107043</v>
      </c>
      <c r="F1479" s="15">
        <f>E1479*C1479</f>
        <v/>
      </c>
      <c r="G1479" s="15" t="n">
        <v>43431</v>
      </c>
      <c r="H1479" s="15">
        <f>G1479*C1479</f>
        <v/>
      </c>
      <c r="I1479" s="15" t="n">
        <v>44246</v>
      </c>
      <c r="J1479" s="15">
        <f>I1479*C1479</f>
        <v/>
      </c>
      <c r="K1479" s="15">
        <f>E1479+G1479+I1479</f>
        <v/>
      </c>
      <c r="L1479" s="15">
        <f>F1479+H1479+J1479</f>
        <v/>
      </c>
      <c r="M1479" s="18" t="n"/>
    </row>
    <row r="1480">
      <c r="A1480" s="14" t="inlineStr">
        <is>
          <t>10). 메쉬휀스</t>
        </is>
      </c>
      <c r="B1480" s="14" t="inlineStr">
        <is>
          <t>H=1.5m</t>
        </is>
      </c>
      <c r="C1480" s="15" t="n">
        <v>127</v>
      </c>
      <c r="D1480" s="16" t="inlineStr">
        <is>
          <t>m</t>
        </is>
      </c>
      <c r="E1480" s="15" t="n">
        <v>24128</v>
      </c>
      <c r="F1480" s="15">
        <f>E1480*C1480</f>
        <v/>
      </c>
      <c r="G1480" s="15" t="n">
        <v>12547</v>
      </c>
      <c r="H1480" s="15">
        <f>G1480*C1480</f>
        <v/>
      </c>
      <c r="I1480" s="15" t="n">
        <v>0</v>
      </c>
      <c r="J1480" s="15">
        <f>I1480*C1480</f>
        <v/>
      </c>
      <c r="K1480" s="15">
        <f>E1480+G1480+I1480</f>
        <v/>
      </c>
      <c r="L1480" s="15">
        <f>F1480+H1480+J1480</f>
        <v/>
      </c>
      <c r="M1480" s="18" t="n"/>
    </row>
    <row r="1481">
      <c r="A1481" s="14" t="inlineStr">
        <is>
          <t>11). 철제가드레일</t>
        </is>
      </c>
      <c r="B1481" s="14" t="inlineStr">
        <is>
          <t>W3000*H910</t>
        </is>
      </c>
      <c r="C1481" s="15" t="n">
        <v>75</v>
      </c>
      <c r="D1481" s="16" t="inlineStr">
        <is>
          <t>경간</t>
        </is>
      </c>
      <c r="E1481" s="15" t="n">
        <v>284715</v>
      </c>
      <c r="F1481" s="15">
        <f>E1481*C1481</f>
        <v/>
      </c>
      <c r="G1481" s="15" t="n">
        <v>53082</v>
      </c>
      <c r="H1481" s="15">
        <f>G1481*C1481</f>
        <v/>
      </c>
      <c r="I1481" s="15" t="n">
        <v>30024</v>
      </c>
      <c r="J1481" s="15">
        <f>I1481*C1481</f>
        <v/>
      </c>
      <c r="K1481" s="15">
        <f>E1481+G1481+I1481</f>
        <v/>
      </c>
      <c r="L1481" s="15">
        <f>F1481+H1481+J1481</f>
        <v/>
      </c>
      <c r="M1481" s="18" t="n"/>
    </row>
    <row r="1482">
      <c r="A1482" s="14" t="inlineStr">
        <is>
          <t>12). 콘크리트포장</t>
        </is>
      </c>
      <c r="B1482" s="14" t="inlineStr">
        <is>
          <t>T=20Cm</t>
        </is>
      </c>
      <c r="C1482" s="15" t="n">
        <v>2718</v>
      </c>
      <c r="D1482" s="16" t="inlineStr">
        <is>
          <t>㎡</t>
        </is>
      </c>
      <c r="E1482" s="15" t="n">
        <v>6438</v>
      </c>
      <c r="F1482" s="15">
        <f>E1482*C1482</f>
        <v/>
      </c>
      <c r="G1482" s="15" t="n">
        <v>6756</v>
      </c>
      <c r="H1482" s="15">
        <f>G1482*C1482</f>
        <v/>
      </c>
      <c r="I1482" s="15" t="n">
        <v>5267</v>
      </c>
      <c r="J1482" s="15">
        <f>I1482*C1482</f>
        <v/>
      </c>
      <c r="K1482" s="15">
        <f>E1482+G1482+I1482</f>
        <v/>
      </c>
      <c r="L1482" s="15">
        <f>F1482+H1482+J1482</f>
        <v/>
      </c>
      <c r="M1482" s="18" t="n"/>
    </row>
    <row r="1483">
      <c r="A1483" s="14" t="inlineStr">
        <is>
          <t>13). 관목</t>
        </is>
      </c>
      <c r="B1483" s="14" t="inlineStr">
        <is>
          <t>H0.3xW0.3</t>
        </is>
      </c>
      <c r="C1483" s="15" t="n">
        <v>12096</v>
      </c>
      <c r="D1483" s="16" t="inlineStr">
        <is>
          <t>주</t>
        </is>
      </c>
      <c r="E1483" s="15" t="n">
        <v>0</v>
      </c>
      <c r="F1483" s="15">
        <f>E1483*C1483</f>
        <v/>
      </c>
      <c r="G1483" s="15" t="n">
        <v>0</v>
      </c>
      <c r="H1483" s="15">
        <f>G1483*C1483</f>
        <v/>
      </c>
      <c r="I1483" s="15" t="n">
        <v>6637</v>
      </c>
      <c r="J1483" s="15">
        <f>I1483*C1483</f>
        <v/>
      </c>
      <c r="K1483" s="15">
        <f>E1483+G1483+I1483</f>
        <v/>
      </c>
      <c r="L1483" s="15">
        <f>F1483+H1483+J1483</f>
        <v/>
      </c>
      <c r="M1483" s="18" t="n"/>
    </row>
    <row r="1484">
      <c r="A1484" s="14" t="inlineStr">
        <is>
          <t>15). 법면보호공</t>
        </is>
      </c>
      <c r="B1484" s="14" t="inlineStr">
        <is>
          <t>잔디붙임(줄떼)</t>
        </is>
      </c>
      <c r="C1484" s="15" t="n">
        <v>1553</v>
      </c>
      <c r="D1484" s="16" t="inlineStr">
        <is>
          <t>㎡</t>
        </is>
      </c>
      <c r="E1484" s="15" t="n">
        <v>5984</v>
      </c>
      <c r="F1484" s="15">
        <f>E1484*C1484</f>
        <v/>
      </c>
      <c r="G1484" s="15" t="n">
        <v>6756</v>
      </c>
      <c r="H1484" s="15">
        <f>G1484*C1484</f>
        <v/>
      </c>
      <c r="I1484" s="15" t="n">
        <v>1053</v>
      </c>
      <c r="J1484" s="15">
        <f>I1484*C1484</f>
        <v/>
      </c>
      <c r="K1484" s="15">
        <f>E1484+G1484+I1484</f>
        <v/>
      </c>
      <c r="L1484" s="15">
        <f>F1484+H1484+J1484</f>
        <v/>
      </c>
      <c r="M1484" s="18" t="n"/>
    </row>
    <row r="1485">
      <c r="A1485" s="25" t="inlineStr">
        <is>
          <t>8. B2</t>
        </is>
      </c>
      <c r="B1485" s="26" t="n"/>
      <c r="C1485" s="21" t="n"/>
      <c r="D1485" s="22" t="n"/>
      <c r="E1485" s="21" t="n"/>
      <c r="F1485" s="27" t="n"/>
      <c r="G1485" s="21" t="n"/>
      <c r="H1485" s="27" t="n"/>
      <c r="I1485" s="21" t="n"/>
      <c r="J1485" s="27" t="n"/>
      <c r="K1485" s="21" t="n"/>
      <c r="L1485" s="27" t="n"/>
      <c r="M1485" s="24" t="n"/>
    </row>
    <row r="1486">
      <c r="A1486" s="14" t="inlineStr">
        <is>
          <t>1). 우수 원형1호 맨홀</t>
        </is>
      </c>
      <c r="B1486" s="14" t="inlineStr">
        <is>
          <t>D900</t>
        </is>
      </c>
      <c r="C1486" s="15" t="n">
        <v>1</v>
      </c>
      <c r="D1486" s="16" t="inlineStr">
        <is>
          <t>개소</t>
        </is>
      </c>
      <c r="E1486" s="15" t="n">
        <v>601966</v>
      </c>
      <c r="F1486" s="15">
        <f>E1486*C1486</f>
        <v/>
      </c>
      <c r="G1486" s="15" t="n">
        <v>102384</v>
      </c>
      <c r="H1486" s="15">
        <f>G1486*C1486</f>
        <v/>
      </c>
      <c r="I1486" s="15" t="n">
        <v>114448</v>
      </c>
      <c r="J1486" s="15">
        <f>I1486*C1486</f>
        <v/>
      </c>
      <c r="K1486" s="15">
        <f>E1486+G1486+I1486</f>
        <v/>
      </c>
      <c r="L1486" s="15">
        <f>F1486+H1486+J1486</f>
        <v/>
      </c>
      <c r="M1486" s="18" t="n"/>
    </row>
    <row r="1487">
      <c r="A1487" s="14" t="inlineStr">
        <is>
          <t>2). 집수정</t>
        </is>
      </c>
      <c r="B1487" s="14" t="inlineStr">
        <is>
          <t>0.6x0.6,스틸그레이팅</t>
        </is>
      </c>
      <c r="C1487" s="15" t="n">
        <v>8</v>
      </c>
      <c r="D1487" s="16" t="inlineStr">
        <is>
          <t>개소</t>
        </is>
      </c>
      <c r="E1487" s="15" t="n">
        <v>166774</v>
      </c>
      <c r="F1487" s="15">
        <f>E1487*C1487</f>
        <v/>
      </c>
      <c r="G1487" s="15" t="n">
        <v>81769</v>
      </c>
      <c r="H1487" s="15">
        <f>G1487*C1487</f>
        <v/>
      </c>
      <c r="I1487" s="15" t="n">
        <v>130798</v>
      </c>
      <c r="J1487" s="15">
        <f>I1487*C1487</f>
        <v/>
      </c>
      <c r="K1487" s="15">
        <f>E1487+G1487+I1487</f>
        <v/>
      </c>
      <c r="L1487" s="15">
        <f>F1487+H1487+J1487</f>
        <v/>
      </c>
      <c r="M1487" s="18" t="n"/>
    </row>
    <row r="1488">
      <c r="A1488" s="14" t="inlineStr">
        <is>
          <t>3). 오수받이</t>
        </is>
      </c>
      <c r="B1488" s="14" t="n"/>
      <c r="C1488" s="15" t="n">
        <v>1</v>
      </c>
      <c r="D1488" s="16" t="inlineStr">
        <is>
          <t>개소</t>
        </is>
      </c>
      <c r="E1488" s="15" t="n">
        <v>37500</v>
      </c>
      <c r="F1488" s="15">
        <f>E1488*C1488</f>
        <v/>
      </c>
      <c r="G1488" s="15" t="n">
        <v>83880</v>
      </c>
      <c r="H1488" s="15">
        <f>G1488*C1488</f>
        <v/>
      </c>
      <c r="I1488" s="15" t="n">
        <v>0</v>
      </c>
      <c r="J1488" s="15">
        <f>I1488*C1488</f>
        <v/>
      </c>
      <c r="K1488" s="15">
        <f>E1488+G1488+I1488</f>
        <v/>
      </c>
      <c r="L1488" s="15">
        <f>F1488+H1488+J1488</f>
        <v/>
      </c>
      <c r="M1488" s="18" t="n"/>
    </row>
    <row r="1489">
      <c r="A1489" s="14" t="inlineStr">
        <is>
          <t>4). 고강성 PVC 이중벽관 접합 및 부설</t>
        </is>
      </c>
      <c r="B1489" s="14" t="inlineStr">
        <is>
          <t>D150mm, 시공조건B</t>
        </is>
      </c>
      <c r="C1489" s="15" t="n">
        <v>26</v>
      </c>
      <c r="D1489" s="16" t="inlineStr">
        <is>
          <t>m</t>
        </is>
      </c>
      <c r="E1489" s="15" t="n">
        <v>4145</v>
      </c>
      <c r="F1489" s="15">
        <f>E1489*C1489</f>
        <v/>
      </c>
      <c r="G1489" s="15" t="n">
        <v>18947</v>
      </c>
      <c r="H1489" s="15">
        <f>G1489*C1489</f>
        <v/>
      </c>
      <c r="I1489" s="15" t="n">
        <v>0</v>
      </c>
      <c r="J1489" s="15">
        <f>I1489*C1489</f>
        <v/>
      </c>
      <c r="K1489" s="15">
        <f>E1489+G1489+I1489</f>
        <v/>
      </c>
      <c r="L1489" s="15">
        <f>F1489+H1489+J1489</f>
        <v/>
      </c>
      <c r="M1489" s="18" t="n"/>
    </row>
    <row r="1490">
      <c r="A1490" s="14" t="inlineStr">
        <is>
          <t>5). 고강성 PVC 이중벽관 접합 및 부설</t>
        </is>
      </c>
      <c r="B1490" s="14" t="inlineStr">
        <is>
          <t>D450mm, 시공조건B</t>
        </is>
      </c>
      <c r="C1490" s="15" t="n">
        <v>142</v>
      </c>
      <c r="D1490" s="16" t="inlineStr">
        <is>
          <t>m</t>
        </is>
      </c>
      <c r="E1490" s="15" t="n">
        <v>4145</v>
      </c>
      <c r="F1490" s="15">
        <f>E1490*C1490</f>
        <v/>
      </c>
      <c r="G1490" s="15" t="n">
        <v>21316</v>
      </c>
      <c r="H1490" s="15">
        <f>G1490*C1490</f>
        <v/>
      </c>
      <c r="I1490" s="15" t="n">
        <v>6463</v>
      </c>
      <c r="J1490" s="15">
        <f>I1490*C1490</f>
        <v/>
      </c>
      <c r="K1490" s="15">
        <f>E1490+G1490+I1490</f>
        <v/>
      </c>
      <c r="L1490" s="15">
        <f>F1490+H1490+J1490</f>
        <v/>
      </c>
      <c r="M1490" s="18" t="n"/>
    </row>
    <row r="1491">
      <c r="A1491" s="14" t="inlineStr">
        <is>
          <t>6). 고강성PVC이중벽관</t>
        </is>
      </c>
      <c r="B1491" s="14" t="inlineStr">
        <is>
          <t>D150mm, 직관</t>
        </is>
      </c>
      <c r="C1491" s="15" t="n">
        <v>5</v>
      </c>
      <c r="D1491" s="16" t="inlineStr">
        <is>
          <t>본</t>
        </is>
      </c>
      <c r="E1491" s="15" t="n">
        <v>71052</v>
      </c>
      <c r="F1491" s="15">
        <f>E1491*C1491</f>
        <v/>
      </c>
      <c r="G1491" s="15" t="n">
        <v>0</v>
      </c>
      <c r="H1491" s="15">
        <f>G1491*C1491</f>
        <v/>
      </c>
      <c r="I1491" s="15" t="n">
        <v>0</v>
      </c>
      <c r="J1491" s="15">
        <f>I1491*C1491</f>
        <v/>
      </c>
      <c r="K1491" s="15">
        <f>E1491+G1491+I1491</f>
        <v/>
      </c>
      <c r="L1491" s="15">
        <f>F1491+H1491+J1491</f>
        <v/>
      </c>
      <c r="M1491" s="18" t="n"/>
    </row>
    <row r="1492">
      <c r="A1492" s="14" t="inlineStr">
        <is>
          <t>7). 고강성PVC이중벽관</t>
        </is>
      </c>
      <c r="B1492" s="14" t="inlineStr">
        <is>
          <t>D450mm, 직관</t>
        </is>
      </c>
      <c r="C1492" s="15" t="n">
        <v>24</v>
      </c>
      <c r="D1492" s="16" t="inlineStr">
        <is>
          <t>본</t>
        </is>
      </c>
      <c r="E1492" s="15" t="n">
        <v>513152</v>
      </c>
      <c r="F1492" s="15">
        <f>E1492*C1492</f>
        <v/>
      </c>
      <c r="G1492" s="15" t="n">
        <v>0</v>
      </c>
      <c r="H1492" s="15">
        <f>G1492*C1492</f>
        <v/>
      </c>
      <c r="I1492" s="15" t="n">
        <v>0</v>
      </c>
      <c r="J1492" s="15">
        <f>I1492*C1492</f>
        <v/>
      </c>
      <c r="K1492" s="15">
        <f>E1492+G1492+I1492</f>
        <v/>
      </c>
      <c r="L1492" s="15">
        <f>F1492+H1492+J1492</f>
        <v/>
      </c>
      <c r="M1492" s="18" t="n"/>
    </row>
    <row r="1493">
      <c r="A1493" s="14" t="inlineStr">
        <is>
          <t>8). 원심력철근콘크리트관 접합및부설(소켓식)</t>
        </is>
      </c>
      <c r="B1493" s="14" t="inlineStr">
        <is>
          <t>Ø 600mm, 시공조건 B</t>
        </is>
      </c>
      <c r="C1493" s="15" t="n">
        <v>13</v>
      </c>
      <c r="D1493" s="16" t="inlineStr">
        <is>
          <t>m</t>
        </is>
      </c>
      <c r="E1493" s="15" t="n">
        <v>70065</v>
      </c>
      <c r="F1493" s="15">
        <f>E1493*C1493</f>
        <v/>
      </c>
      <c r="G1493" s="15" t="n">
        <v>37233</v>
      </c>
      <c r="H1493" s="15">
        <f>G1493*C1493</f>
        <v/>
      </c>
      <c r="I1493" s="15" t="n">
        <v>41621</v>
      </c>
      <c r="J1493" s="15">
        <f>I1493*C1493</f>
        <v/>
      </c>
      <c r="K1493" s="15">
        <f>E1493+G1493+I1493</f>
        <v/>
      </c>
      <c r="L1493" s="15">
        <f>F1493+H1493+J1493</f>
        <v/>
      </c>
      <c r="M1493" s="18" t="n"/>
    </row>
    <row r="1494">
      <c r="A1494" s="14" t="inlineStr">
        <is>
          <t>9). 사각수로관</t>
        </is>
      </c>
      <c r="B1494" s="14" t="inlineStr">
        <is>
          <t>Ø 300mm</t>
        </is>
      </c>
      <c r="C1494" s="15" t="n">
        <v>8</v>
      </c>
      <c r="D1494" s="16" t="inlineStr">
        <is>
          <t>m</t>
        </is>
      </c>
      <c r="E1494" s="15" t="n">
        <v>109449</v>
      </c>
      <c r="F1494" s="15">
        <f>E1494*C1494</f>
        <v/>
      </c>
      <c r="G1494" s="15" t="n">
        <v>44407</v>
      </c>
      <c r="H1494" s="15">
        <f>G1494*C1494</f>
        <v/>
      </c>
      <c r="I1494" s="15" t="n">
        <v>45241</v>
      </c>
      <c r="J1494" s="15">
        <f>I1494*C1494</f>
        <v/>
      </c>
      <c r="K1494" s="15">
        <f>E1494+G1494+I1494</f>
        <v/>
      </c>
      <c r="L1494" s="15">
        <f>F1494+H1494+J1494</f>
        <v/>
      </c>
      <c r="M1494" s="18" t="n"/>
    </row>
    <row r="1495">
      <c r="A1495" s="14" t="inlineStr">
        <is>
          <t>10). 메쉬휀스</t>
        </is>
      </c>
      <c r="B1495" s="14" t="inlineStr">
        <is>
          <t>H=1.5m</t>
        </is>
      </c>
      <c r="C1495" s="15" t="n">
        <v>136</v>
      </c>
      <c r="D1495" s="16" t="inlineStr">
        <is>
          <t>m</t>
        </is>
      </c>
      <c r="E1495" s="15" t="n">
        <v>24671</v>
      </c>
      <c r="F1495" s="15">
        <f>E1495*C1495</f>
        <v/>
      </c>
      <c r="G1495" s="15" t="n">
        <v>12829</v>
      </c>
      <c r="H1495" s="15">
        <f>G1495*C1495</f>
        <v/>
      </c>
      <c r="I1495" s="15" t="n">
        <v>0</v>
      </c>
      <c r="J1495" s="15">
        <f>I1495*C1495</f>
        <v/>
      </c>
      <c r="K1495" s="15">
        <f>E1495+G1495+I1495</f>
        <v/>
      </c>
      <c r="L1495" s="15">
        <f>F1495+H1495+J1495</f>
        <v/>
      </c>
      <c r="M1495" s="18" t="n"/>
    </row>
    <row r="1496">
      <c r="A1496" s="14" t="inlineStr">
        <is>
          <t>11). 철제가드레일</t>
        </is>
      </c>
      <c r="B1496" s="14" t="inlineStr">
        <is>
          <t>W3000*H910</t>
        </is>
      </c>
      <c r="C1496" s="15" t="n">
        <v>47</v>
      </c>
      <c r="D1496" s="16" t="inlineStr">
        <is>
          <t>경간</t>
        </is>
      </c>
      <c r="E1496" s="15" t="n">
        <v>291115</v>
      </c>
      <c r="F1496" s="15">
        <f>E1496*C1496</f>
        <v/>
      </c>
      <c r="G1496" s="15" t="n">
        <v>54276</v>
      </c>
      <c r="H1496" s="15">
        <f>G1496*C1496</f>
        <v/>
      </c>
      <c r="I1496" s="15" t="n">
        <v>30699</v>
      </c>
      <c r="J1496" s="15">
        <f>I1496*C1496</f>
        <v/>
      </c>
      <c r="K1496" s="15">
        <f>E1496+G1496+I1496</f>
        <v/>
      </c>
      <c r="L1496" s="15">
        <f>F1496+H1496+J1496</f>
        <v/>
      </c>
      <c r="M1496" s="18" t="n"/>
    </row>
    <row r="1497">
      <c r="A1497" s="14" t="inlineStr">
        <is>
          <t>12). 콘크리트포장</t>
        </is>
      </c>
      <c r="B1497" s="14" t="inlineStr">
        <is>
          <t>T=20Cm</t>
        </is>
      </c>
      <c r="C1497" s="15" t="n">
        <v>3586</v>
      </c>
      <c r="D1497" s="16" t="inlineStr">
        <is>
          <t>㎡</t>
        </is>
      </c>
      <c r="E1497" s="15" t="n">
        <v>6582</v>
      </c>
      <c r="F1497" s="15">
        <f>E1497*C1497</f>
        <v/>
      </c>
      <c r="G1497" s="15" t="n">
        <v>6908</v>
      </c>
      <c r="H1497" s="15">
        <f>G1497*C1497</f>
        <v/>
      </c>
      <c r="I1497" s="15" t="n">
        <v>5386</v>
      </c>
      <c r="J1497" s="15">
        <f>I1497*C1497</f>
        <v/>
      </c>
      <c r="K1497" s="15">
        <f>E1497+G1497+I1497</f>
        <v/>
      </c>
      <c r="L1497" s="15">
        <f>F1497+H1497+J1497</f>
        <v/>
      </c>
      <c r="M1497" s="18" t="n"/>
    </row>
    <row r="1498">
      <c r="A1498" s="14" t="inlineStr">
        <is>
          <t>13). 관목</t>
        </is>
      </c>
      <c r="B1498" s="14" t="inlineStr">
        <is>
          <t>H0.3xW0.3</t>
        </is>
      </c>
      <c r="C1498" s="15" t="n">
        <v>11430</v>
      </c>
      <c r="D1498" s="16" t="inlineStr">
        <is>
          <t>주</t>
        </is>
      </c>
      <c r="E1498" s="15" t="n">
        <v>0</v>
      </c>
      <c r="F1498" s="15">
        <f>E1498*C1498</f>
        <v/>
      </c>
      <c r="G1498" s="15" t="n">
        <v>0</v>
      </c>
      <c r="H1498" s="15">
        <f>G1498*C1498</f>
        <v/>
      </c>
      <c r="I1498" s="15" t="n">
        <v>6786</v>
      </c>
      <c r="J1498" s="15">
        <f>I1498*C1498</f>
        <v/>
      </c>
      <c r="K1498" s="15">
        <f>E1498+G1498+I1498</f>
        <v/>
      </c>
      <c r="L1498" s="15">
        <f>F1498+H1498+J1498</f>
        <v/>
      </c>
      <c r="M1498" s="18" t="n"/>
    </row>
    <row r="1499">
      <c r="A1499" s="14" t="inlineStr">
        <is>
          <t>15). 법면보호공</t>
        </is>
      </c>
      <c r="B1499" s="14" t="inlineStr">
        <is>
          <t>잔디붙임(줄떼)</t>
        </is>
      </c>
      <c r="C1499" s="15" t="n">
        <v>834</v>
      </c>
      <c r="D1499" s="16" t="inlineStr">
        <is>
          <t>㎡</t>
        </is>
      </c>
      <c r="E1499" s="15" t="n">
        <v>6118</v>
      </c>
      <c r="F1499" s="15">
        <f>E1499*C1499</f>
        <v/>
      </c>
      <c r="G1499" s="15" t="n">
        <v>6908</v>
      </c>
      <c r="H1499" s="15">
        <f>G1499*C1499</f>
        <v/>
      </c>
      <c r="I1499" s="15" t="n">
        <v>1077</v>
      </c>
      <c r="J1499" s="15">
        <f>I1499*C1499</f>
        <v/>
      </c>
      <c r="K1499" s="15">
        <f>E1499+G1499+I1499</f>
        <v/>
      </c>
      <c r="L1499" s="15">
        <f>F1499+H1499+J1499</f>
        <v/>
      </c>
      <c r="M1499" s="18" t="n"/>
    </row>
    <row r="1500">
      <c r="A1500" s="25" t="inlineStr">
        <is>
          <t>9. 지원시설</t>
        </is>
      </c>
      <c r="B1500" s="26" t="n"/>
      <c r="C1500" s="21" t="n"/>
      <c r="D1500" s="22" t="n"/>
      <c r="E1500" s="21" t="n"/>
      <c r="F1500" s="27" t="n"/>
      <c r="G1500" s="21" t="n"/>
      <c r="H1500" s="27" t="n"/>
      <c r="I1500" s="21" t="n"/>
      <c r="J1500" s="27" t="n"/>
      <c r="K1500" s="21" t="n"/>
      <c r="L1500" s="27" t="n"/>
      <c r="M1500" s="24" t="n"/>
    </row>
    <row r="1501">
      <c r="A1501" s="14" t="inlineStr">
        <is>
          <t>1). 집수정</t>
        </is>
      </c>
      <c r="B1501" s="14" t="inlineStr">
        <is>
          <t>0.6x0.6,스틸그레이팅</t>
        </is>
      </c>
      <c r="C1501" s="15" t="n">
        <v>3</v>
      </c>
      <c r="D1501" s="16" t="inlineStr">
        <is>
          <t>개소</t>
        </is>
      </c>
      <c r="E1501" s="15" t="n">
        <v>164125</v>
      </c>
      <c r="F1501" s="15">
        <f>E1501*C1501</f>
        <v/>
      </c>
      <c r="G1501" s="15" t="n">
        <v>80470</v>
      </c>
      <c r="H1501" s="15">
        <f>G1501*C1501</f>
        <v/>
      </c>
      <c r="I1501" s="15" t="n">
        <v>128720</v>
      </c>
      <c r="J1501" s="15">
        <f>I1501*C1501</f>
        <v/>
      </c>
      <c r="K1501" s="15">
        <f>E1501+G1501+I1501</f>
        <v/>
      </c>
      <c r="L1501" s="15">
        <f>F1501+H1501+J1501</f>
        <v/>
      </c>
      <c r="M1501" s="18" t="n"/>
    </row>
    <row r="1502">
      <c r="A1502" s="14" t="inlineStr">
        <is>
          <t>2). 오수받이</t>
        </is>
      </c>
      <c r="B1502" s="14" t="n"/>
      <c r="C1502" s="15" t="n">
        <v>1</v>
      </c>
      <c r="D1502" s="16" t="inlineStr">
        <is>
          <t>개소</t>
        </is>
      </c>
      <c r="E1502" s="15" t="n">
        <v>36904</v>
      </c>
      <c r="F1502" s="15">
        <f>E1502*C1502</f>
        <v/>
      </c>
      <c r="G1502" s="15" t="n">
        <v>82548</v>
      </c>
      <c r="H1502" s="15">
        <f>G1502*C1502</f>
        <v/>
      </c>
      <c r="I1502" s="15" t="n">
        <v>0</v>
      </c>
      <c r="J1502" s="15">
        <f>I1502*C1502</f>
        <v/>
      </c>
      <c r="K1502" s="15">
        <f>E1502+G1502+I1502</f>
        <v/>
      </c>
      <c r="L1502" s="15">
        <f>F1502+H1502+J1502</f>
        <v/>
      </c>
      <c r="M1502" s="18" t="n"/>
    </row>
    <row r="1503">
      <c r="A1503" s="14" t="inlineStr">
        <is>
          <t>3). 고강성 PVC 이중벽관 접합 및 부설</t>
        </is>
      </c>
      <c r="B1503" s="14" t="inlineStr">
        <is>
          <t>D150mm, 시공조건B</t>
        </is>
      </c>
      <c r="C1503" s="15" t="n">
        <v>22</v>
      </c>
      <c r="D1503" s="16" t="inlineStr">
        <is>
          <t>m</t>
        </is>
      </c>
      <c r="E1503" s="15" t="n">
        <v>4079</v>
      </c>
      <c r="F1503" s="15">
        <f>E1503*C1503</f>
        <v/>
      </c>
      <c r="G1503" s="15" t="n">
        <v>18646</v>
      </c>
      <c r="H1503" s="15">
        <f>G1503*C1503</f>
        <v/>
      </c>
      <c r="I1503" s="15" t="n">
        <v>0</v>
      </c>
      <c r="J1503" s="15">
        <f>I1503*C1503</f>
        <v/>
      </c>
      <c r="K1503" s="15">
        <f>E1503+G1503+I1503</f>
        <v/>
      </c>
      <c r="L1503" s="15">
        <f>F1503+H1503+J1503</f>
        <v/>
      </c>
      <c r="M1503" s="18" t="n"/>
    </row>
    <row r="1504">
      <c r="A1504" s="14" t="inlineStr">
        <is>
          <t>4). 고강성 PVC 이중벽관 접합 및 부설</t>
        </is>
      </c>
      <c r="B1504" s="14" t="inlineStr">
        <is>
          <t>D300mm, 시공조건B</t>
        </is>
      </c>
      <c r="C1504" s="15" t="n">
        <v>3</v>
      </c>
      <c r="D1504" s="16" t="inlineStr">
        <is>
          <t>m</t>
        </is>
      </c>
      <c r="E1504" s="15" t="n">
        <v>4079</v>
      </c>
      <c r="F1504" s="15">
        <f>E1504*C1504</f>
        <v/>
      </c>
      <c r="G1504" s="15" t="n">
        <v>20055</v>
      </c>
      <c r="H1504" s="15">
        <f>G1504*C1504</f>
        <v/>
      </c>
      <c r="I1504" s="15" t="n">
        <v>6361</v>
      </c>
      <c r="J1504" s="15">
        <f>I1504*C1504</f>
        <v/>
      </c>
      <c r="K1504" s="15">
        <f>E1504+G1504+I1504</f>
        <v/>
      </c>
      <c r="L1504" s="15">
        <f>F1504+H1504+J1504</f>
        <v/>
      </c>
      <c r="M1504" s="18" t="n"/>
    </row>
    <row r="1505">
      <c r="A1505" s="14" t="inlineStr">
        <is>
          <t>5). 고강성 PVC 이중벽관 접합 및 부설</t>
        </is>
      </c>
      <c r="B1505" s="14" t="inlineStr">
        <is>
          <t>D450mm, 시공조건B</t>
        </is>
      </c>
      <c r="C1505" s="15" t="n">
        <v>29</v>
      </c>
      <c r="D1505" s="16" t="inlineStr">
        <is>
          <t>m</t>
        </is>
      </c>
      <c r="E1505" s="15" t="n">
        <v>4079</v>
      </c>
      <c r="F1505" s="15">
        <f>E1505*C1505</f>
        <v/>
      </c>
      <c r="G1505" s="15" t="n">
        <v>20977</v>
      </c>
      <c r="H1505" s="15">
        <f>G1505*C1505</f>
        <v/>
      </c>
      <c r="I1505" s="15" t="n">
        <v>6361</v>
      </c>
      <c r="J1505" s="15">
        <f>I1505*C1505</f>
        <v/>
      </c>
      <c r="K1505" s="15">
        <f>E1505+G1505+I1505</f>
        <v/>
      </c>
      <c r="L1505" s="15">
        <f>F1505+H1505+J1505</f>
        <v/>
      </c>
      <c r="M1505" s="18" t="n"/>
    </row>
    <row r="1506">
      <c r="A1506" s="14" t="inlineStr">
        <is>
          <t>6). 고강성PVC이중벽관</t>
        </is>
      </c>
      <c r="B1506" s="14" t="inlineStr">
        <is>
          <t>D150mm, 직관</t>
        </is>
      </c>
      <c r="C1506" s="15" t="n">
        <v>4</v>
      </c>
      <c r="D1506" s="16" t="inlineStr">
        <is>
          <t>본</t>
        </is>
      </c>
      <c r="E1506" s="15" t="n">
        <v>69923</v>
      </c>
      <c r="F1506" s="15">
        <f>E1506*C1506</f>
        <v/>
      </c>
      <c r="G1506" s="15" t="n">
        <v>0</v>
      </c>
      <c r="H1506" s="15">
        <f>G1506*C1506</f>
        <v/>
      </c>
      <c r="I1506" s="15" t="n">
        <v>0</v>
      </c>
      <c r="J1506" s="15">
        <f>I1506*C1506</f>
        <v/>
      </c>
      <c r="K1506" s="15">
        <f>E1506+G1506+I1506</f>
        <v/>
      </c>
      <c r="L1506" s="15">
        <f>F1506+H1506+J1506</f>
        <v/>
      </c>
      <c r="M1506" s="18" t="n"/>
    </row>
    <row r="1507">
      <c r="A1507" s="14" t="inlineStr">
        <is>
          <t>7). 고강성PVC이중벽관</t>
        </is>
      </c>
      <c r="B1507" s="14" t="inlineStr">
        <is>
          <t>D300mm, 직관</t>
        </is>
      </c>
      <c r="C1507" s="15" t="n">
        <v>1</v>
      </c>
      <c r="D1507" s="16" t="inlineStr">
        <is>
          <t>본</t>
        </is>
      </c>
      <c r="E1507" s="15" t="n">
        <v>215596</v>
      </c>
      <c r="F1507" s="15">
        <f>E1507*C1507</f>
        <v/>
      </c>
      <c r="G1507" s="15" t="n">
        <v>0</v>
      </c>
      <c r="H1507" s="15">
        <f>G1507*C1507</f>
        <v/>
      </c>
      <c r="I1507" s="15" t="n">
        <v>0</v>
      </c>
      <c r="J1507" s="15">
        <f>I1507*C1507</f>
        <v/>
      </c>
      <c r="K1507" s="15">
        <f>E1507+G1507+I1507</f>
        <v/>
      </c>
      <c r="L1507" s="15">
        <f>F1507+H1507+J1507</f>
        <v/>
      </c>
      <c r="M1507" s="18" t="n"/>
    </row>
    <row r="1508">
      <c r="A1508" s="14" t="inlineStr">
        <is>
          <t>8). 고강성PVC이중벽관</t>
        </is>
      </c>
      <c r="B1508" s="14" t="inlineStr">
        <is>
          <t>D450mm, 직관</t>
        </is>
      </c>
      <c r="C1508" s="15" t="n">
        <v>5</v>
      </c>
      <c r="D1508" s="16" t="inlineStr">
        <is>
          <t>본</t>
        </is>
      </c>
      <c r="E1508" s="15" t="n">
        <v>505000</v>
      </c>
      <c r="F1508" s="15">
        <f>E1508*C1508</f>
        <v/>
      </c>
      <c r="G1508" s="15" t="n">
        <v>0</v>
      </c>
      <c r="H1508" s="15">
        <f>G1508*C1508</f>
        <v/>
      </c>
      <c r="I1508" s="15" t="n">
        <v>0</v>
      </c>
      <c r="J1508" s="15">
        <f>I1508*C1508</f>
        <v/>
      </c>
      <c r="K1508" s="15">
        <f>E1508+G1508+I1508</f>
        <v/>
      </c>
      <c r="L1508" s="15">
        <f>F1508+H1508+J1508</f>
        <v/>
      </c>
      <c r="M1508" s="18" t="n"/>
    </row>
    <row r="1509">
      <c r="A1509" s="14" t="inlineStr">
        <is>
          <t>9). 사각수로관</t>
        </is>
      </c>
      <c r="B1509" s="14" t="inlineStr">
        <is>
          <t>Ø 300mm</t>
        </is>
      </c>
      <c r="C1509" s="15" t="n">
        <v>6</v>
      </c>
      <c r="D1509" s="16" t="inlineStr">
        <is>
          <t>m</t>
        </is>
      </c>
      <c r="E1509" s="15" t="n">
        <v>53414</v>
      </c>
      <c r="F1509" s="15">
        <f>E1509*C1509</f>
        <v/>
      </c>
      <c r="G1509" s="15" t="n">
        <v>24279</v>
      </c>
      <c r="H1509" s="15">
        <f>G1509*C1509</f>
        <v/>
      </c>
      <c r="I1509" s="15" t="n">
        <v>18868</v>
      </c>
      <c r="J1509" s="15">
        <f>I1509*C1509</f>
        <v/>
      </c>
      <c r="K1509" s="15">
        <f>E1509+G1509+I1509</f>
        <v/>
      </c>
      <c r="L1509" s="15">
        <f>F1509+H1509+J1509</f>
        <v/>
      </c>
      <c r="M1509" s="18" t="n"/>
    </row>
    <row r="1510">
      <c r="A1510" s="14" t="inlineStr">
        <is>
          <t>10). 철제가드레일</t>
        </is>
      </c>
      <c r="B1510" s="14" t="inlineStr">
        <is>
          <t>W3000*H910</t>
        </is>
      </c>
      <c r="C1510" s="15" t="n">
        <v>42</v>
      </c>
      <c r="D1510" s="16" t="inlineStr">
        <is>
          <t>경간</t>
        </is>
      </c>
      <c r="E1510" s="15" t="n">
        <v>286491</v>
      </c>
      <c r="F1510" s="15">
        <f>E1510*C1510</f>
        <v/>
      </c>
      <c r="G1510" s="15" t="n">
        <v>53414</v>
      </c>
      <c r="H1510" s="15">
        <f>G1510*C1510</f>
        <v/>
      </c>
      <c r="I1510" s="15" t="n">
        <v>30212</v>
      </c>
      <c r="J1510" s="15">
        <f>I1510*C1510</f>
        <v/>
      </c>
      <c r="K1510" s="15">
        <f>E1510+G1510+I1510</f>
        <v/>
      </c>
      <c r="L1510" s="15">
        <f>F1510+H1510+J1510</f>
        <v/>
      </c>
      <c r="M1510" s="18" t="n"/>
    </row>
    <row r="1511">
      <c r="A1511" s="14" t="inlineStr">
        <is>
          <t>11). 콘크리트포장</t>
        </is>
      </c>
      <c r="B1511" s="14" t="inlineStr">
        <is>
          <t>T=20Cm</t>
        </is>
      </c>
      <c r="C1511" s="15" t="n">
        <v>519</v>
      </c>
      <c r="D1511" s="16" t="inlineStr">
        <is>
          <t>㎡</t>
        </is>
      </c>
      <c r="E1511" s="15" t="n">
        <v>6478</v>
      </c>
      <c r="F1511" s="15">
        <f>E1511*C1511</f>
        <v/>
      </c>
      <c r="G1511" s="15" t="n">
        <v>6798</v>
      </c>
      <c r="H1511" s="15">
        <f>G1511*C1511</f>
        <v/>
      </c>
      <c r="I1511" s="15" t="n">
        <v>5300</v>
      </c>
      <c r="J1511" s="15">
        <f>I1511*C1511</f>
        <v/>
      </c>
      <c r="K1511" s="15">
        <f>E1511+G1511+I1511</f>
        <v/>
      </c>
      <c r="L1511" s="15">
        <f>F1511+H1511+J1511</f>
        <v/>
      </c>
      <c r="M1511" s="18" t="n"/>
    </row>
    <row r="1512">
      <c r="A1512" s="14" t="inlineStr">
        <is>
          <t>12). 관목</t>
        </is>
      </c>
      <c r="B1512" s="14" t="inlineStr">
        <is>
          <t>H0.3xW0.3</t>
        </is>
      </c>
      <c r="C1512" s="15" t="n">
        <v>1647</v>
      </c>
      <c r="D1512" s="16" t="inlineStr">
        <is>
          <t>주</t>
        </is>
      </c>
      <c r="E1512" s="15" t="n">
        <v>0</v>
      </c>
      <c r="F1512" s="15">
        <f>E1512*C1512</f>
        <v/>
      </c>
      <c r="G1512" s="15" t="n">
        <v>0</v>
      </c>
      <c r="H1512" s="15">
        <f>G1512*C1512</f>
        <v/>
      </c>
      <c r="I1512" s="15" t="n">
        <v>6678</v>
      </c>
      <c r="J1512" s="15">
        <f>I1512*C1512</f>
        <v/>
      </c>
      <c r="K1512" s="15">
        <f>E1512+G1512+I1512</f>
        <v/>
      </c>
      <c r="L1512" s="15">
        <f>F1512+H1512+J1512</f>
        <v/>
      </c>
      <c r="M1512" s="18" t="n"/>
    </row>
    <row r="1513">
      <c r="A1513" s="25" t="inlineStr">
        <is>
          <t>10. 주차장</t>
        </is>
      </c>
      <c r="B1513" s="26" t="n"/>
      <c r="C1513" s="21" t="n"/>
      <c r="D1513" s="22" t="n"/>
      <c r="E1513" s="21" t="n"/>
      <c r="F1513" s="27" t="n"/>
      <c r="G1513" s="21" t="n"/>
      <c r="H1513" s="27" t="n"/>
      <c r="I1513" s="21" t="n"/>
      <c r="J1513" s="27" t="n"/>
      <c r="K1513" s="21" t="n"/>
      <c r="L1513" s="27" t="n"/>
      <c r="M1513" s="24" t="n"/>
    </row>
    <row r="1514">
      <c r="A1514" s="14" t="inlineStr">
        <is>
          <t>1). 집수정</t>
        </is>
      </c>
      <c r="B1514" s="14" t="inlineStr">
        <is>
          <t>0.6x0.6,스틸그레이팅</t>
        </is>
      </c>
      <c r="C1514" s="15" t="n">
        <v>4</v>
      </c>
      <c r="D1514" s="16" t="inlineStr">
        <is>
          <t>개소</t>
        </is>
      </c>
      <c r="E1514" s="15" t="n">
        <v>167124</v>
      </c>
      <c r="F1514" s="15">
        <f>E1514*C1514</f>
        <v/>
      </c>
      <c r="G1514" s="15" t="n">
        <v>81941</v>
      </c>
      <c r="H1514" s="15">
        <f>G1514*C1514</f>
        <v/>
      </c>
      <c r="I1514" s="15" t="n">
        <v>131072</v>
      </c>
      <c r="J1514" s="15">
        <f>I1514*C1514</f>
        <v/>
      </c>
      <c r="K1514" s="15">
        <f>E1514+G1514+I1514</f>
        <v/>
      </c>
      <c r="L1514" s="15">
        <f>F1514+H1514+J1514</f>
        <v/>
      </c>
      <c r="M1514" s="18" t="n"/>
    </row>
    <row r="1515">
      <c r="A1515" s="14" t="inlineStr">
        <is>
          <t>2). 고강성 PVC 이중벽관 접합 및 부설</t>
        </is>
      </c>
      <c r="B1515" s="14" t="inlineStr">
        <is>
          <t>D300mm, 시공조건B</t>
        </is>
      </c>
      <c r="C1515" s="15" t="n">
        <v>55</v>
      </c>
      <c r="D1515" s="16" t="inlineStr">
        <is>
          <t>m</t>
        </is>
      </c>
      <c r="E1515" s="15" t="n">
        <v>4153</v>
      </c>
      <c r="F1515" s="15">
        <f>E1515*C1515</f>
        <v/>
      </c>
      <c r="G1515" s="15" t="n">
        <v>20421</v>
      </c>
      <c r="H1515" s="15">
        <f>G1515*C1515</f>
        <v/>
      </c>
      <c r="I1515" s="15" t="n">
        <v>6477</v>
      </c>
      <c r="J1515" s="15">
        <f>I1515*C1515</f>
        <v/>
      </c>
      <c r="K1515" s="15">
        <f>E1515+G1515+I1515</f>
        <v/>
      </c>
      <c r="L1515" s="15">
        <f>F1515+H1515+J1515</f>
        <v/>
      </c>
      <c r="M1515" s="18" t="n"/>
    </row>
    <row r="1516">
      <c r="A1516" s="14" t="inlineStr">
        <is>
          <t>3). 고강성 PVC 이중벽관 접합 및 부설</t>
        </is>
      </c>
      <c r="B1516" s="14" t="inlineStr">
        <is>
          <t>D450mm, 시공조건B</t>
        </is>
      </c>
      <c r="C1516" s="15" t="n">
        <v>10</v>
      </c>
      <c r="D1516" s="16" t="inlineStr">
        <is>
          <t>m</t>
        </is>
      </c>
      <c r="E1516" s="15" t="n">
        <v>4153</v>
      </c>
      <c r="F1516" s="15">
        <f>E1516*C1516</f>
        <v/>
      </c>
      <c r="G1516" s="15" t="n">
        <v>21360</v>
      </c>
      <c r="H1516" s="15">
        <f>G1516*C1516</f>
        <v/>
      </c>
      <c r="I1516" s="15" t="n">
        <v>6477</v>
      </c>
      <c r="J1516" s="15">
        <f>I1516*C1516</f>
        <v/>
      </c>
      <c r="K1516" s="15">
        <f>E1516+G1516+I1516</f>
        <v/>
      </c>
      <c r="L1516" s="15">
        <f>F1516+H1516+J1516</f>
        <v/>
      </c>
      <c r="M1516" s="18" t="n"/>
    </row>
    <row r="1517">
      <c r="A1517" s="14" t="inlineStr">
        <is>
          <t>4). 고강성PVC이중벽관</t>
        </is>
      </c>
      <c r="B1517" s="14" t="inlineStr">
        <is>
          <t>D300mm, 직관</t>
        </is>
      </c>
      <c r="C1517" s="15" t="n">
        <v>10</v>
      </c>
      <c r="D1517" s="16" t="inlineStr">
        <is>
          <t>본</t>
        </is>
      </c>
      <c r="E1517" s="15" t="n">
        <v>219536</v>
      </c>
      <c r="F1517" s="15">
        <f>E1517*C1517</f>
        <v/>
      </c>
      <c r="G1517" s="15" t="n">
        <v>0</v>
      </c>
      <c r="H1517" s="15">
        <f>G1517*C1517</f>
        <v/>
      </c>
      <c r="I1517" s="15" t="n">
        <v>0</v>
      </c>
      <c r="J1517" s="15">
        <f>I1517*C1517</f>
        <v/>
      </c>
      <c r="K1517" s="15">
        <f>E1517+G1517+I1517</f>
        <v/>
      </c>
      <c r="L1517" s="15">
        <f>F1517+H1517+J1517</f>
        <v/>
      </c>
      <c r="M1517" s="18" t="n"/>
    </row>
    <row r="1518">
      <c r="A1518" s="14" t="inlineStr">
        <is>
          <t>5). 고강성PVC이중벽관</t>
        </is>
      </c>
      <c r="B1518" s="14" t="inlineStr">
        <is>
          <t>D450mm, 직관</t>
        </is>
      </c>
      <c r="C1518" s="15" t="n">
        <v>2</v>
      </c>
      <c r="D1518" s="16" t="inlineStr">
        <is>
          <t>본</t>
        </is>
      </c>
      <c r="E1518" s="15" t="n">
        <v>514228</v>
      </c>
      <c r="F1518" s="15">
        <f>E1518*C1518</f>
        <v/>
      </c>
      <c r="G1518" s="15" t="n">
        <v>0</v>
      </c>
      <c r="H1518" s="15">
        <f>G1518*C1518</f>
        <v/>
      </c>
      <c r="I1518" s="15" t="n">
        <v>0</v>
      </c>
      <c r="J1518" s="15">
        <f>I1518*C1518</f>
        <v/>
      </c>
      <c r="K1518" s="15">
        <f>E1518+G1518+I1518</f>
        <v/>
      </c>
      <c r="L1518" s="15">
        <f>F1518+H1518+J1518</f>
        <v/>
      </c>
      <c r="M1518" s="18" t="n"/>
    </row>
    <row r="1519">
      <c r="A1519" s="14" t="inlineStr">
        <is>
          <t>6). 사각수로관</t>
        </is>
      </c>
      <c r="B1519" s="14" t="inlineStr">
        <is>
          <t>Ø 300mm</t>
        </is>
      </c>
      <c r="C1519" s="15" t="n">
        <v>6</v>
      </c>
      <c r="D1519" s="16" t="inlineStr">
        <is>
          <t>m</t>
        </is>
      </c>
      <c r="E1519" s="15" t="n">
        <v>54389</v>
      </c>
      <c r="F1519" s="15">
        <f>E1519*C1519</f>
        <v/>
      </c>
      <c r="G1519" s="15" t="n">
        <v>24723</v>
      </c>
      <c r="H1519" s="15">
        <f>G1519*C1519</f>
        <v/>
      </c>
      <c r="I1519" s="15" t="n">
        <v>19213</v>
      </c>
      <c r="J1519" s="15">
        <f>I1519*C1519</f>
        <v/>
      </c>
      <c r="K1519" s="15">
        <f>E1519+G1519+I1519</f>
        <v/>
      </c>
      <c r="L1519" s="15">
        <f>F1519+H1519+J1519</f>
        <v/>
      </c>
      <c r="M1519" s="18" t="n"/>
    </row>
    <row r="1520">
      <c r="A1520" s="14" t="inlineStr">
        <is>
          <t>7). 메쉬휀스</t>
        </is>
      </c>
      <c r="B1520" s="14" t="inlineStr">
        <is>
          <t>H=1.5m</t>
        </is>
      </c>
      <c r="C1520" s="15" t="n">
        <v>45</v>
      </c>
      <c r="D1520" s="16" t="inlineStr">
        <is>
          <t>m</t>
        </is>
      </c>
      <c r="E1520" s="15" t="n">
        <v>24722</v>
      </c>
      <c r="F1520" s="15">
        <f>E1520*C1520</f>
        <v/>
      </c>
      <c r="G1520" s="15" t="n">
        <v>12856</v>
      </c>
      <c r="H1520" s="15">
        <f>G1520*C1520</f>
        <v/>
      </c>
      <c r="I1520" s="15" t="n">
        <v>0</v>
      </c>
      <c r="J1520" s="15">
        <f>I1520*C1520</f>
        <v/>
      </c>
      <c r="K1520" s="15">
        <f>E1520+G1520+I1520</f>
        <v/>
      </c>
      <c r="L1520" s="15">
        <f>F1520+H1520+J1520</f>
        <v/>
      </c>
      <c r="M1520" s="18" t="n"/>
    </row>
    <row r="1521">
      <c r="A1521" s="14" t="inlineStr">
        <is>
          <t>8). 철제가드레일</t>
        </is>
      </c>
      <c r="B1521" s="14" t="inlineStr">
        <is>
          <t>W3000*H910</t>
        </is>
      </c>
      <c r="C1521" s="15" t="n">
        <v>14</v>
      </c>
      <c r="D1521" s="16" t="inlineStr">
        <is>
          <t>경간</t>
        </is>
      </c>
      <c r="E1521" s="15" t="n">
        <v>291725</v>
      </c>
      <c r="F1521" s="15">
        <f>E1521*C1521</f>
        <v/>
      </c>
      <c r="G1521" s="15" t="n">
        <v>54389</v>
      </c>
      <c r="H1521" s="15">
        <f>G1521*C1521</f>
        <v/>
      </c>
      <c r="I1521" s="15" t="n">
        <v>30764</v>
      </c>
      <c r="J1521" s="15">
        <f>I1521*C1521</f>
        <v/>
      </c>
      <c r="K1521" s="15">
        <f>E1521+G1521+I1521</f>
        <v/>
      </c>
      <c r="L1521" s="15">
        <f>F1521+H1521+J1521</f>
        <v/>
      </c>
      <c r="M1521" s="18" t="n"/>
    </row>
    <row r="1522">
      <c r="A1522" s="14" t="inlineStr">
        <is>
          <t>9). 콘크리트포장</t>
        </is>
      </c>
      <c r="B1522" s="14" t="inlineStr">
        <is>
          <t>T=20Cm</t>
        </is>
      </c>
      <c r="C1522" s="15" t="n">
        <v>633</v>
      </c>
      <c r="D1522" s="16" t="inlineStr">
        <is>
          <t>㎡</t>
        </is>
      </c>
      <c r="E1522" s="15" t="n">
        <v>6596</v>
      </c>
      <c r="F1522" s="15">
        <f>E1522*C1522</f>
        <v/>
      </c>
      <c r="G1522" s="15" t="n">
        <v>6922</v>
      </c>
      <c r="H1522" s="15">
        <f>G1522*C1522</f>
        <v/>
      </c>
      <c r="I1522" s="15" t="n">
        <v>5397</v>
      </c>
      <c r="J1522" s="15">
        <f>I1522*C1522</f>
        <v/>
      </c>
      <c r="K1522" s="15">
        <f>E1522+G1522+I1522</f>
        <v/>
      </c>
      <c r="L1522" s="15">
        <f>F1522+H1522+J1522</f>
        <v/>
      </c>
      <c r="M1522" s="18" t="n"/>
    </row>
    <row r="1523">
      <c r="A1523" s="14" t="inlineStr">
        <is>
          <t>10). 법면보호공</t>
        </is>
      </c>
      <c r="B1523" s="14" t="inlineStr">
        <is>
          <t>잔디붙임(줄떼)</t>
        </is>
      </c>
      <c r="C1523" s="15" t="n">
        <v>62</v>
      </c>
      <c r="D1523" s="16" t="inlineStr">
        <is>
          <t>㎡</t>
        </is>
      </c>
      <c r="E1523" s="15" t="n">
        <v>6131</v>
      </c>
      <c r="F1523" s="15">
        <f>E1523*C1523</f>
        <v/>
      </c>
      <c r="G1523" s="15" t="n">
        <v>6922</v>
      </c>
      <c r="H1523" s="15">
        <f>G1523*C1523</f>
        <v/>
      </c>
      <c r="I1523" s="15" t="n">
        <v>1079</v>
      </c>
      <c r="J1523" s="15">
        <f>I1523*C1523</f>
        <v/>
      </c>
      <c r="K1523" s="15">
        <f>E1523+G1523+I1523</f>
        <v/>
      </c>
      <c r="L1523" s="15">
        <f>F1523+H1523+J1523</f>
        <v/>
      </c>
      <c r="M1523" s="18" t="n"/>
    </row>
    <row r="1524">
      <c r="A1524" s="28" t="n"/>
      <c r="B1524" s="28" t="n"/>
      <c r="C1524" s="17" t="n"/>
      <c r="D1524" s="16" t="n"/>
      <c r="E1524" s="17" t="n"/>
      <c r="F1524" s="29" t="n"/>
      <c r="G1524" s="17" t="n"/>
      <c r="H1524" s="29" t="n"/>
      <c r="I1524" s="17" t="n"/>
      <c r="J1524" s="29" t="n"/>
      <c r="K1524" s="17" t="n"/>
      <c r="L1524" s="29" t="n"/>
      <c r="M1524" s="18" t="n"/>
    </row>
    <row r="1525">
      <c r="A1525" s="28" t="n"/>
      <c r="B1525" s="28" t="n"/>
      <c r="C1525" s="17" t="n"/>
      <c r="D1525" s="16" t="n"/>
      <c r="E1525" s="17" t="n"/>
      <c r="F1525" s="29" t="n"/>
      <c r="G1525" s="17" t="n"/>
      <c r="H1525" s="29" t="n"/>
      <c r="I1525" s="17" t="n"/>
      <c r="J1525" s="29" t="n"/>
      <c r="K1525" s="17" t="n"/>
      <c r="L1525" s="29" t="n"/>
      <c r="M1525" s="18" t="n"/>
    </row>
    <row r="1526">
      <c r="A1526" s="25" t="inlineStr">
        <is>
          <t>1. 건설폐기물처리</t>
        </is>
      </c>
      <c r="B1526" s="26" t="n"/>
      <c r="C1526" s="21" t="n"/>
      <c r="D1526" s="22" t="n"/>
      <c r="E1526" s="21" t="n"/>
      <c r="F1526" s="27" t="n"/>
      <c r="G1526" s="21" t="n"/>
      <c r="H1526" s="27" t="n"/>
      <c r="I1526" s="21" t="n"/>
      <c r="J1526" s="27" t="n"/>
      <c r="K1526" s="21" t="n"/>
      <c r="L1526" s="27" t="n"/>
      <c r="M1526" s="24" t="n"/>
    </row>
    <row r="1527">
      <c r="A1527" s="14" t="inlineStr">
        <is>
          <t>1). 폐기물운반</t>
        </is>
      </c>
      <c r="B1527" s="14" t="inlineStr">
        <is>
          <t>24톤, 30Km 이내</t>
        </is>
      </c>
      <c r="C1527" s="15" t="n">
        <v>661</v>
      </c>
      <c r="D1527" s="16" t="inlineStr">
        <is>
          <t>Ton</t>
        </is>
      </c>
      <c r="E1527" s="15" t="n">
        <v>0</v>
      </c>
      <c r="F1527" s="15">
        <f>E1527*C1527</f>
        <v/>
      </c>
      <c r="G1527" s="15" t="n">
        <v>0</v>
      </c>
      <c r="H1527" s="15">
        <f>G1527*C1527</f>
        <v/>
      </c>
      <c r="I1527" s="15" t="n">
        <v>10370</v>
      </c>
      <c r="J1527" s="15">
        <f>I1527*C1527</f>
        <v/>
      </c>
      <c r="K1527" s="15">
        <f>E1527+G1527+I1527</f>
        <v/>
      </c>
      <c r="L1527" s="15">
        <f>F1527+H1527+J1527</f>
        <v/>
      </c>
      <c r="M1527" s="18" t="n"/>
    </row>
    <row r="1528">
      <c r="A1528" s="14" t="inlineStr">
        <is>
          <t>1). 폐콘크리트 처리비</t>
        </is>
      </c>
      <c r="B1528" s="14" t="n"/>
      <c r="C1528" s="15" t="n">
        <v>661</v>
      </c>
      <c r="D1528" s="16" t="inlineStr">
        <is>
          <t>Ton</t>
        </is>
      </c>
      <c r="E1528" s="15" t="n">
        <v>0</v>
      </c>
      <c r="F1528" s="15">
        <f>E1528*C1528</f>
        <v/>
      </c>
      <c r="G1528" s="15" t="n">
        <v>0</v>
      </c>
      <c r="H1528" s="15">
        <f>G1528*C1528</f>
        <v/>
      </c>
      <c r="I1528" s="15" t="n">
        <v>19630</v>
      </c>
      <c r="J1528" s="15">
        <f>I1528*C1528</f>
        <v/>
      </c>
      <c r="K1528" s="15">
        <f>E1528+G1528+I1528</f>
        <v/>
      </c>
      <c r="L1528" s="15">
        <f>F1528+H1528+J1528</f>
        <v/>
      </c>
      <c r="M1528" s="18" t="n"/>
    </row>
    <row r="1529">
      <c r="A1529" s="28" t="n"/>
      <c r="B1529" s="28" t="n"/>
      <c r="C1529" s="17" t="n"/>
      <c r="D1529" s="16" t="n"/>
      <c r="E1529" s="17" t="n"/>
      <c r="F1529" s="29" t="n"/>
      <c r="G1529" s="17" t="n"/>
      <c r="H1529" s="29" t="n"/>
      <c r="I1529" s="17" t="n"/>
      <c r="J1529" s="29" t="n"/>
      <c r="K1529" s="17" t="n"/>
      <c r="L1529" s="29" t="n"/>
      <c r="M1529" s="18" t="n"/>
    </row>
    <row r="1530">
      <c r="A1530" s="28" t="n"/>
      <c r="B1530" s="28" t="n"/>
      <c r="C1530" s="17" t="n"/>
      <c r="D1530" s="16" t="n"/>
      <c r="E1530" s="17" t="n"/>
      <c r="F1530" s="29" t="n"/>
      <c r="G1530" s="17" t="n"/>
      <c r="H1530" s="29" t="n"/>
      <c r="I1530" s="17" t="n"/>
      <c r="J1530" s="29" t="n"/>
      <c r="K1530" s="17" t="n"/>
      <c r="L1530" s="29" t="n"/>
      <c r="M1530" s="18" t="n"/>
    </row>
    <row r="1531">
      <c r="A1531" s="28" t="n"/>
      <c r="B1531" s="28" t="n"/>
      <c r="C1531" s="17" t="n"/>
      <c r="D1531" s="16" t="n"/>
      <c r="E1531" s="17" t="n"/>
      <c r="F1531" s="29" t="n"/>
      <c r="G1531" s="17" t="n"/>
      <c r="H1531" s="29" t="n"/>
      <c r="I1531" s="17" t="n"/>
      <c r="J1531" s="29" t="n"/>
      <c r="K1531" s="17" t="n"/>
      <c r="L1531" s="29" t="n"/>
      <c r="M1531" s="18" t="n"/>
    </row>
  </sheetData>
  <mergeCells count="10">
    <mergeCell ref="A1:M1"/>
    <mergeCell ref="G2:H2"/>
    <mergeCell ref="E2:F2"/>
    <mergeCell ref="K2:L2"/>
    <mergeCell ref="I2:J2"/>
    <mergeCell ref="D2:D3"/>
    <mergeCell ref="M2:M3"/>
    <mergeCell ref="B2:B3"/>
    <mergeCell ref="A2:A3"/>
    <mergeCell ref="C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2026-07-08T09:12:21Z</dcterms:created>
  <dcterms:modified xmlns:dcterms="http://purl.org/dc/terms/" xmlns:xsi="http://www.w3.org/2001/XMLSchema-instance" xsi:type="dcterms:W3CDTF">2026-07-09T05:04:29Z</dcterms:modified>
  <cp:lastModifiedBy>김찬식 초록마을</cp:lastModifiedBy>
</cp:coreProperties>
</file>