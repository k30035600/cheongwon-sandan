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38640" windowHeight="21120" tabRatio="600" firstSheet="0" activeTab="0" autoFilterDateGrouping="1"/>
  </bookViews>
  <sheets>
    <sheet xmlns:r="http://schemas.openxmlformats.org/officeDocument/2006/relationships" name="순공사비" sheetId="1" state="visible" r:id="rId1"/>
    <sheet xmlns:r="http://schemas.openxmlformats.org/officeDocument/2006/relationships" name="하도급방식_비교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-* #,##0_-;\-* #,##0_-;_-* &quot;-&quot;_-;_-@_-"/>
  </numFmts>
  <fonts count="25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3"/>
      <b val="1"/>
      <color rgb="FF1F3A5F"/>
      <sz val="12"/>
      <scheme val="major"/>
    </font>
    <font>
      <name val="맑은 고딕"/>
      <charset val="129"/>
      <family val="3"/>
      <color theme="1"/>
      <sz val="12"/>
      <scheme val="major"/>
    </font>
    <font>
      <name val="맑은 고딕"/>
      <charset val="129"/>
      <family val="3"/>
      <b val="1"/>
      <color rgb="FF1C2430"/>
      <sz val="12"/>
      <scheme val="major"/>
    </font>
    <font>
      <name val="맑은 고딕"/>
      <charset val="129"/>
      <family val="3"/>
      <color rgb="FF1C2430"/>
      <sz val="12"/>
      <scheme val="major"/>
    </font>
    <font>
      <name val="맑은 고딕"/>
      <charset val="129"/>
      <family val="3"/>
      <b val="1"/>
      <color theme="1"/>
      <sz val="12"/>
      <scheme val="major"/>
    </font>
    <font>
      <name val="맑은 고딕"/>
      <charset val="129"/>
      <family val="3"/>
      <b val="1"/>
      <color theme="1"/>
      <sz val="20"/>
      <scheme val="major"/>
    </font>
    <font>
      <name val="맑은 고딕"/>
      <charset val="129"/>
      <family val="2"/>
      <color theme="1"/>
      <sz val="12"/>
      <scheme val="minor"/>
    </font>
    <font>
      <name val="맑은 고딕"/>
      <charset val="129"/>
      <family val="3"/>
      <b val="1"/>
      <color theme="1"/>
      <sz val="12"/>
      <scheme val="minor"/>
    </font>
    <font>
      <name val="맑은 고딕"/>
      <charset val="129"/>
      <family val="3"/>
      <b val="1"/>
      <sz val="14"/>
    </font>
    <font>
      <name val="맑은 고딕"/>
      <charset val="129"/>
      <family val="3"/>
      <color rgb="FF1F4E79"/>
      <sz val="10"/>
    </font>
    <font>
      <name val="맑은 고딕"/>
      <charset val="129"/>
      <family val="3"/>
      <b val="1"/>
      <color rgb="FFFFFFFF"/>
      <sz val="11"/>
    </font>
    <font>
      <name val="맑은 고딕"/>
      <charset val="129"/>
      <family val="3"/>
      <b val="1"/>
      <sz val="10"/>
    </font>
    <font>
      <name val="맑은 고딕"/>
      <charset val="129"/>
      <family val="3"/>
      <b val="1"/>
      <color theme="0" tint="-0.499984740745262"/>
      <sz val="9"/>
    </font>
    <font>
      <name val="맑은 고딕"/>
      <charset val="129"/>
      <family val="3"/>
      <color theme="1"/>
      <sz val="10"/>
      <scheme val="minor"/>
    </font>
    <font>
      <name val="맑은 고딕"/>
      <charset val="129"/>
      <family val="3"/>
      <color theme="1"/>
      <sz val="10"/>
      <scheme val="major"/>
    </font>
    <font>
      <name val="맑은 고딕"/>
      <charset val="129"/>
      <family val="3"/>
      <b val="1"/>
      <color theme="1"/>
      <sz val="10"/>
      <scheme val="major"/>
    </font>
    <font>
      <name val="맑은 고딕"/>
      <charset val="129"/>
      <family val="2"/>
      <color theme="1"/>
      <sz val="10"/>
      <scheme val="minor"/>
    </font>
    <font>
      <name val="맑은 고딕"/>
      <charset val="129"/>
      <family val="3"/>
      <b val="1"/>
      <color theme="1"/>
      <sz val="10"/>
      <scheme val="minor"/>
    </font>
    <font>
      <name val="맑은 고딕"/>
      <charset val="129"/>
      <family val="3"/>
      <color theme="1"/>
      <sz val="11"/>
      <scheme val="minor"/>
    </font>
    <font>
      <name val="맑은 고딕"/>
      <charset val="129"/>
      <family val="3"/>
      <b val="1"/>
      <color theme="1"/>
      <sz val="11"/>
      <scheme val="minor"/>
    </font>
    <font>
      <name val="맑은 고딕"/>
      <charset val="129"/>
      <family val="3"/>
      <b val="1"/>
      <color theme="1"/>
      <sz val="11"/>
      <scheme val="major"/>
    </font>
    <font>
      <color rgb="00555555"/>
      <sz val="9"/>
    </font>
  </fonts>
  <fills count="9">
    <fill>
      <patternFill/>
    </fill>
    <fill>
      <patternFill patternType="gray125"/>
    </fill>
    <fill>
      <patternFill patternType="solid">
        <fgColor theme="0" tint="-0.0499893185216834"/>
        <bgColor indexed="64"/>
      </patternFill>
    </fill>
    <fill>
      <patternFill patternType="solid">
        <fgColor rgb="FF1F4E79"/>
      </patternFill>
    </fill>
    <fill>
      <patternFill patternType="solid">
        <fgColor rgb="FFF2F2F2"/>
      </patternFill>
    </fill>
    <fill>
      <patternFill patternType="solid">
        <fgColor rgb="FFE2EFDA"/>
      </patternFill>
    </fill>
    <fill>
      <patternFill patternType="solid">
        <fgColor rgb="FFFCE4D6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"/>
        <bgColor indexed="64"/>
      </patternFill>
    </fill>
  </fills>
  <borders count="48">
    <border>
      <left/>
      <right/>
      <top/>
      <bottom/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thin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/>
      <bottom style="thin">
        <color auto="1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/>
      <right/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/>
      <bottom/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/>
      <right style="hair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hair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/>
      <right/>
      <top style="thin">
        <color auto="1"/>
      </top>
      <bottom style="hair">
        <color auto="1"/>
      </bottom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hair">
        <color auto="1"/>
      </right>
      <top style="thin">
        <color auto="1"/>
      </top>
      <bottom/>
      <diagonal/>
    </border>
  </borders>
  <cellStyleXfs count="3">
    <xf numFmtId="0" fontId="1" fillId="0" borderId="0" applyAlignment="1">
      <alignment vertical="center"/>
    </xf>
    <xf numFmtId="41" fontId="1" fillId="0" borderId="0" applyAlignment="1">
      <alignment vertical="center"/>
    </xf>
    <xf numFmtId="9" fontId="1" fillId="0" borderId="0" applyAlignment="1">
      <alignment vertical="center"/>
    </xf>
  </cellStyleXfs>
  <cellXfs count="193">
    <xf numFmtId="0" fontId="0" fillId="0" borderId="0" applyAlignment="1" pivotButton="0" quotePrefix="0" xfId="0">
      <alignment vertical="center"/>
    </xf>
    <xf numFmtId="0" fontId="6" fillId="0" borderId="4" applyAlignment="1" pivotButton="0" quotePrefix="0" xfId="0">
      <alignment horizontal="center" vertical="center"/>
    </xf>
    <xf numFmtId="164" fontId="6" fillId="0" borderId="4" applyAlignment="1" pivotButton="0" quotePrefix="0" xfId="1">
      <alignment horizontal="center" vertical="center"/>
    </xf>
    <xf numFmtId="0" fontId="6" fillId="0" borderId="2" applyAlignment="1" pivotButton="0" quotePrefix="0" xfId="0">
      <alignment horizontal="center" vertical="center"/>
    </xf>
    <xf numFmtId="164" fontId="6" fillId="0" borderId="2" applyAlignment="1" pivotButton="0" quotePrefix="0" xfId="1">
      <alignment horizontal="center" vertical="center"/>
    </xf>
    <xf numFmtId="0" fontId="6" fillId="0" borderId="12" applyAlignment="1" pivotButton="0" quotePrefix="0" xfId="0">
      <alignment horizontal="center" vertical="center"/>
    </xf>
    <xf numFmtId="164" fontId="6" fillId="0" borderId="12" applyAlignment="1" pivotButton="0" quotePrefix="0" xfId="1">
      <alignment horizontal="center" vertical="center"/>
    </xf>
    <xf numFmtId="0" fontId="6" fillId="0" borderId="18" applyAlignment="1" pivotButton="0" quotePrefix="0" xfId="0">
      <alignment horizontal="left" vertical="center" wrapText="1"/>
    </xf>
    <xf numFmtId="0" fontId="6" fillId="0" borderId="24" applyAlignment="1" pivotButton="0" quotePrefix="0" xfId="0">
      <alignment horizontal="left" vertical="center" wrapText="1"/>
    </xf>
    <xf numFmtId="0" fontId="6" fillId="0" borderId="25" applyAlignment="1" pivotButton="0" quotePrefix="0" xfId="0">
      <alignment horizontal="left" vertical="center" wrapText="1"/>
    </xf>
    <xf numFmtId="0" fontId="6" fillId="0" borderId="5" applyAlignment="1" pivotButton="0" quotePrefix="0" xfId="0">
      <alignment horizontal="center" vertical="center"/>
    </xf>
    <xf numFmtId="0" fontId="6" fillId="0" borderId="6" applyAlignment="1" pivotButton="0" quotePrefix="0" xfId="0">
      <alignment horizontal="center" vertical="center"/>
    </xf>
    <xf numFmtId="0" fontId="6" fillId="0" borderId="20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 wrapText="1"/>
    </xf>
    <xf numFmtId="0" fontId="6" fillId="0" borderId="3" applyAlignment="1" pivotButton="0" quotePrefix="0" xfId="0">
      <alignment horizontal="left" vertical="center" wrapText="1"/>
    </xf>
    <xf numFmtId="0" fontId="6" fillId="0" borderId="11" applyAlignment="1" pivotButton="0" quotePrefix="0" xfId="0">
      <alignment horizontal="left" vertical="center" wrapText="1"/>
    </xf>
    <xf numFmtId="0" fontId="13" fillId="3" borderId="37" applyAlignment="1" pivotButton="0" quotePrefix="0" xfId="0">
      <alignment horizontal="center" vertical="center" wrapText="1"/>
    </xf>
    <xf numFmtId="0" fontId="14" fillId="4" borderId="37" applyAlignment="1" pivotButton="0" quotePrefix="0" xfId="0">
      <alignment horizontal="left" vertical="center" wrapText="1"/>
    </xf>
    <xf numFmtId="0" fontId="16" fillId="5" borderId="37" applyAlignment="1" pivotButton="0" quotePrefix="0" xfId="0">
      <alignment horizontal="left" vertical="center" wrapText="1"/>
    </xf>
    <xf numFmtId="0" fontId="16" fillId="6" borderId="37" applyAlignment="1" pivotButton="0" quotePrefix="0" xfId="0">
      <alignment horizontal="left" vertical="center" wrapText="1"/>
    </xf>
    <xf numFmtId="0" fontId="3" fillId="8" borderId="19" applyAlignment="1" pivotButton="0" quotePrefix="0" xfId="0">
      <alignment horizontal="center" vertical="center" wrapText="1"/>
    </xf>
    <xf numFmtId="10" fontId="3" fillId="8" borderId="17" applyAlignment="1" pivotButton="0" quotePrefix="0" xfId="2">
      <alignment horizontal="center" vertical="center" wrapText="1"/>
    </xf>
    <xf numFmtId="0" fontId="3" fillId="8" borderId="17" applyAlignment="1" pivotButton="0" quotePrefix="0" xfId="0">
      <alignment horizontal="center" vertical="center" wrapText="1"/>
    </xf>
    <xf numFmtId="10" fontId="7" fillId="8" borderId="17" applyAlignment="1" pivotButton="0" quotePrefix="0" xfId="2">
      <alignment horizontal="center" vertical="center"/>
    </xf>
    <xf numFmtId="0" fontId="18" fillId="8" borderId="11" applyAlignment="1" pivotButton="0" quotePrefix="0" xfId="0">
      <alignment horizontal="center" vertical="center"/>
    </xf>
    <xf numFmtId="0" fontId="18" fillId="8" borderId="12" applyAlignment="1" pivotButton="0" quotePrefix="0" xfId="0">
      <alignment horizontal="center" vertical="center"/>
    </xf>
    <xf numFmtId="9" fontId="18" fillId="8" borderId="12" applyAlignment="1" pivotButton="0" quotePrefix="0" xfId="0">
      <alignment horizontal="center" vertical="center"/>
    </xf>
    <xf numFmtId="0" fontId="5" fillId="2" borderId="3" applyAlignment="1" pivotButton="0" quotePrefix="0" xfId="0">
      <alignment horizontal="left" vertical="center" wrapText="1"/>
    </xf>
    <xf numFmtId="0" fontId="5" fillId="2" borderId="11" applyAlignment="1" pivotButton="0" quotePrefix="0" xfId="0">
      <alignment horizontal="left" vertical="center" wrapText="1"/>
    </xf>
    <xf numFmtId="9" fontId="18" fillId="8" borderId="13" applyAlignment="1" pivotButton="0" quotePrefix="0" xfId="0">
      <alignment horizontal="center" vertical="center"/>
    </xf>
    <xf numFmtId="0" fontId="0" fillId="0" borderId="0" pivotButton="0" quotePrefix="0" xfId="0"/>
    <xf numFmtId="0" fontId="5" fillId="2" borderId="1" applyAlignment="1" pivotButton="0" quotePrefix="0" xfId="0">
      <alignment horizontal="left" vertical="center" wrapText="1"/>
    </xf>
    <xf numFmtId="0" fontId="4" fillId="0" borderId="0" applyAlignment="1" pivotButton="0" quotePrefix="0" xfId="0">
      <alignment vertical="center"/>
    </xf>
    <xf numFmtId="164" fontId="4" fillId="0" borderId="0" applyAlignment="1" pivotButton="0" quotePrefix="0" xfId="1">
      <alignment vertical="center"/>
    </xf>
    <xf numFmtId="0" fontId="17" fillId="0" borderId="0" applyAlignment="1" pivotButton="0" quotePrefix="0" xfId="0">
      <alignment vertical="center"/>
    </xf>
    <xf numFmtId="164" fontId="9" fillId="0" borderId="9" applyAlignment="1" pivotButton="0" quotePrefix="0" xfId="1">
      <alignment vertical="center"/>
    </xf>
    <xf numFmtId="164" fontId="4" fillId="0" borderId="2" applyAlignment="1" pivotButton="0" quotePrefix="0" xfId="1">
      <alignment vertical="center"/>
    </xf>
    <xf numFmtId="0" fontId="4" fillId="0" borderId="9" applyAlignment="1" pivotButton="0" quotePrefix="0" xfId="0">
      <alignment vertical="center"/>
    </xf>
    <xf numFmtId="164" fontId="9" fillId="0" borderId="10" applyAlignment="1" pivotButton="0" quotePrefix="0" xfId="1">
      <alignment vertical="center"/>
    </xf>
    <xf numFmtId="164" fontId="4" fillId="0" borderId="4" applyAlignment="1" pivotButton="0" quotePrefix="0" xfId="1">
      <alignment vertical="center"/>
    </xf>
    <xf numFmtId="0" fontId="4" fillId="0" borderId="10" applyAlignment="1" pivotButton="0" quotePrefix="0" xfId="0">
      <alignment vertical="center"/>
    </xf>
    <xf numFmtId="164" fontId="9" fillId="0" borderId="13" applyAlignment="1" pivotButton="0" quotePrefix="0" xfId="1">
      <alignment vertical="center"/>
    </xf>
    <xf numFmtId="164" fontId="4" fillId="0" borderId="12" applyAlignment="1" pivotButton="0" quotePrefix="0" xfId="1">
      <alignment vertical="center"/>
    </xf>
    <xf numFmtId="0" fontId="4" fillId="0" borderId="13" applyAlignment="1" pivotButton="0" quotePrefix="0" xfId="0">
      <alignment vertical="center"/>
    </xf>
    <xf numFmtId="164" fontId="9" fillId="2" borderId="9" applyAlignment="1" pivotButton="0" quotePrefix="0" xfId="1">
      <alignment vertical="center"/>
    </xf>
    <xf numFmtId="164" fontId="9" fillId="2" borderId="10" applyAlignment="1" pivotButton="0" quotePrefix="0" xfId="1">
      <alignment vertical="center"/>
    </xf>
    <xf numFmtId="164" fontId="9" fillId="2" borderId="13" applyAlignment="1" pivotButton="0" quotePrefix="0" xfId="1">
      <alignment vertical="center"/>
    </xf>
    <xf numFmtId="0" fontId="7" fillId="8" borderId="21" applyAlignment="1" pivotButton="0" quotePrefix="0" xfId="0">
      <alignment vertical="center"/>
    </xf>
    <xf numFmtId="164" fontId="10" fillId="8" borderId="32" applyAlignment="1" pivotButton="0" quotePrefix="0" xfId="1">
      <alignment vertical="center"/>
    </xf>
    <xf numFmtId="0" fontId="7" fillId="8" borderId="22" applyAlignment="1" pivotButton="0" quotePrefix="0" xfId="0">
      <alignment vertical="center"/>
    </xf>
    <xf numFmtId="0" fontId="17" fillId="8" borderId="40" applyAlignment="1" pivotButton="0" quotePrefix="0" xfId="0">
      <alignment vertical="center"/>
    </xf>
    <xf numFmtId="0" fontId="23" fillId="8" borderId="21" applyAlignment="1" pivotButton="0" quotePrefix="0" xfId="0">
      <alignment vertical="center"/>
    </xf>
    <xf numFmtId="0" fontId="23" fillId="8" borderId="39" applyAlignment="1" pivotButton="0" quotePrefix="0" xfId="0">
      <alignment vertical="center"/>
    </xf>
    <xf numFmtId="0" fontId="23" fillId="8" borderId="39" applyAlignment="1" pivotButton="0" quotePrefix="0" xfId="0">
      <alignment horizontal="center" vertical="center"/>
    </xf>
    <xf numFmtId="0" fontId="23" fillId="8" borderId="22" applyAlignment="1" pivotButton="0" quotePrefix="0" xfId="0">
      <alignment horizontal="center" vertical="center"/>
    </xf>
    <xf numFmtId="0" fontId="22" fillId="8" borderId="22" applyAlignment="1" pivotButton="0" quotePrefix="0" xfId="0">
      <alignment horizontal="center" vertical="center"/>
    </xf>
    <xf numFmtId="0" fontId="18" fillId="8" borderId="20" applyAlignment="1" pivotButton="0" quotePrefix="0" xfId="0">
      <alignment horizontal="center" vertical="center"/>
    </xf>
    <xf numFmtId="0" fontId="23" fillId="8" borderId="26" applyAlignment="1" pivotButton="0" quotePrefix="0" xfId="0">
      <alignment vertical="center"/>
    </xf>
    <xf numFmtId="164" fontId="21" fillId="2" borderId="11" applyAlignment="1" pivotButton="0" quotePrefix="0" xfId="0">
      <alignment vertical="center"/>
    </xf>
    <xf numFmtId="164" fontId="21" fillId="2" borderId="12" applyAlignment="1" pivotButton="0" quotePrefix="0" xfId="0">
      <alignment vertical="center"/>
    </xf>
    <xf numFmtId="164" fontId="21" fillId="2" borderId="13" applyAlignment="1" pivotButton="0" quotePrefix="0" xfId="0">
      <alignment vertical="center"/>
    </xf>
    <xf numFmtId="164" fontId="22" fillId="2" borderId="1" applyAlignment="1" pivotButton="0" quotePrefix="0" xfId="1">
      <alignment vertical="center"/>
    </xf>
    <xf numFmtId="164" fontId="22" fillId="2" borderId="2" applyAlignment="1" pivotButton="0" quotePrefix="0" xfId="1">
      <alignment vertical="center"/>
    </xf>
    <xf numFmtId="164" fontId="22" fillId="2" borderId="9" applyAlignment="1" pivotButton="0" quotePrefix="0" xfId="1">
      <alignment vertical="center"/>
    </xf>
    <xf numFmtId="164" fontId="22" fillId="2" borderId="2" applyAlignment="1" pivotButton="0" quotePrefix="0" xfId="1">
      <alignment horizontal="center" vertical="center"/>
    </xf>
    <xf numFmtId="164" fontId="22" fillId="2" borderId="4" applyAlignment="1" pivotButton="0" quotePrefix="0" xfId="1">
      <alignment horizontal="center" vertical="center"/>
    </xf>
    <xf numFmtId="164" fontId="22" fillId="2" borderId="17" applyAlignment="1" pivotButton="0" quotePrefix="0" xfId="1">
      <alignment horizontal="center" vertical="center"/>
    </xf>
    <xf numFmtId="164" fontId="22" fillId="2" borderId="9" applyAlignment="1" pivotButton="0" quotePrefix="0" xfId="1">
      <alignment horizontal="center" vertical="center"/>
    </xf>
    <xf numFmtId="164" fontId="22" fillId="2" borderId="10" applyAlignment="1" pivotButton="0" quotePrefix="0" xfId="1">
      <alignment horizontal="center" vertical="center"/>
    </xf>
    <xf numFmtId="164" fontId="22" fillId="2" borderId="45" applyAlignment="1" pivotButton="0" quotePrefix="0" xfId="1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0" fillId="0" borderId="7" applyAlignment="1" pivotButton="0" quotePrefix="0" xfId="0">
      <alignment vertical="center"/>
    </xf>
    <xf numFmtId="164" fontId="19" fillId="0" borderId="33" applyAlignment="1" pivotButton="0" quotePrefix="0" xfId="1">
      <alignment vertical="center"/>
    </xf>
    <xf numFmtId="0" fontId="0" fillId="0" borderId="30" applyAlignment="1" pivotButton="0" quotePrefix="0" xfId="0">
      <alignment vertical="center"/>
    </xf>
    <xf numFmtId="0" fontId="0" fillId="0" borderId="33" applyAlignment="1" pivotButton="0" quotePrefix="0" xfId="0">
      <alignment vertical="center"/>
    </xf>
    <xf numFmtId="164" fontId="21" fillId="0" borderId="1" applyAlignment="1" pivotButton="0" quotePrefix="0" xfId="1">
      <alignment vertical="center"/>
    </xf>
    <xf numFmtId="0" fontId="21" fillId="0" borderId="31" applyAlignment="1" pivotButton="0" quotePrefix="0" xfId="0">
      <alignment vertical="center"/>
    </xf>
    <xf numFmtId="0" fontId="21" fillId="0" borderId="7" applyAlignment="1" pivotButton="0" quotePrefix="0" xfId="0">
      <alignment vertical="center"/>
    </xf>
    <xf numFmtId="164" fontId="21" fillId="0" borderId="2" applyAlignment="1" pivotButton="0" quotePrefix="0" xfId="1">
      <alignment vertical="center"/>
    </xf>
    <xf numFmtId="0" fontId="21" fillId="0" borderId="41" applyAlignment="1" pivotButton="0" quotePrefix="0" xfId="0">
      <alignment vertical="center"/>
    </xf>
    <xf numFmtId="0" fontId="21" fillId="0" borderId="8" applyAlignment="1" pivotButton="0" quotePrefix="0" xfId="0">
      <alignment vertical="center"/>
    </xf>
    <xf numFmtId="164" fontId="21" fillId="0" borderId="5" applyAlignment="1" pivotButton="0" quotePrefix="0" xfId="1">
      <alignment vertical="center"/>
    </xf>
    <xf numFmtId="0" fontId="21" fillId="0" borderId="28" applyAlignment="1" pivotButton="0" quotePrefix="0" xfId="0">
      <alignment vertical="center"/>
    </xf>
    <xf numFmtId="0" fontId="21" fillId="0" borderId="15" applyAlignment="1" pivotButton="0" quotePrefix="0" xfId="0">
      <alignment vertical="center"/>
    </xf>
    <xf numFmtId="164" fontId="19" fillId="0" borderId="38" applyAlignment="1" pivotButton="0" quotePrefix="0" xfId="1">
      <alignment vertical="center"/>
    </xf>
    <xf numFmtId="164" fontId="21" fillId="0" borderId="8" applyAlignment="1" pivotButton="0" quotePrefix="0" xfId="1">
      <alignment vertical="center"/>
    </xf>
    <xf numFmtId="164" fontId="21" fillId="0" borderId="15" applyAlignment="1" pivotButton="0" quotePrefix="0" xfId="1">
      <alignment vertical="center"/>
    </xf>
    <xf numFmtId="0" fontId="3" fillId="2" borderId="18" applyAlignment="1" pivotButton="0" quotePrefix="0" xfId="0">
      <alignment horizontal="center" vertical="center" wrapText="1"/>
    </xf>
    <xf numFmtId="0" fontId="0" fillId="0" borderId="34" applyAlignment="1" pivotButton="0" quotePrefix="0" xfId="0">
      <alignment vertical="center"/>
    </xf>
    <xf numFmtId="164" fontId="22" fillId="2" borderId="1" applyAlignment="1" pivotButton="0" quotePrefix="0" xfId="1">
      <alignment horizontal="center" vertical="center"/>
    </xf>
    <xf numFmtId="164" fontId="22" fillId="2" borderId="3" applyAlignment="1" pivotButton="0" quotePrefix="0" xfId="1">
      <alignment horizontal="center" vertical="center"/>
    </xf>
    <xf numFmtId="164" fontId="22" fillId="2" borderId="44" applyAlignment="1" pivotButton="0" quotePrefix="0" xfId="1">
      <alignment horizontal="center" vertical="center"/>
    </xf>
    <xf numFmtId="0" fontId="17" fillId="0" borderId="16" applyAlignment="1" pivotButton="0" quotePrefix="0" xfId="0">
      <alignment horizontal="center" vertical="center"/>
    </xf>
    <xf numFmtId="0" fontId="17" fillId="0" borderId="0" applyAlignment="1" pivotButton="0" quotePrefix="0" xfId="0">
      <alignment vertical="center"/>
    </xf>
    <xf numFmtId="0" fontId="0" fillId="0" borderId="16" applyAlignment="1" pivotButton="0" quotePrefix="0" xfId="0">
      <alignment vertical="center"/>
    </xf>
    <xf numFmtId="0" fontId="18" fillId="8" borderId="5" applyAlignment="1" pivotButton="0" quotePrefix="0" xfId="0">
      <alignment horizontal="center" vertical="center"/>
    </xf>
    <xf numFmtId="0" fontId="0" fillId="0" borderId="42" applyAlignment="1" pivotButton="0" quotePrefix="0" xfId="0">
      <alignment vertical="center"/>
    </xf>
    <xf numFmtId="0" fontId="0" fillId="0" borderId="43" applyAlignment="1" pivotButton="0" quotePrefix="0" xfId="0">
      <alignment vertical="center"/>
    </xf>
    <xf numFmtId="0" fontId="7" fillId="8" borderId="9" applyAlignment="1" pivotButton="0" quotePrefix="0" xfId="0">
      <alignment horizontal="center" vertical="center"/>
    </xf>
    <xf numFmtId="0" fontId="0" fillId="0" borderId="35" applyAlignment="1" pivotButton="0" quotePrefix="0" xfId="0">
      <alignment vertical="center"/>
    </xf>
    <xf numFmtId="0" fontId="3" fillId="8" borderId="9" applyAlignment="1" pivotButton="0" quotePrefix="0" xfId="0">
      <alignment horizontal="center" vertical="center" wrapText="1"/>
    </xf>
    <xf numFmtId="0" fontId="8" fillId="0" borderId="16" applyAlignment="1" pivotButton="0" quotePrefix="0" xfId="0">
      <alignment horizontal="center" vertical="center"/>
    </xf>
    <xf numFmtId="0" fontId="4" fillId="0" borderId="0" applyAlignment="1" pivotButton="0" quotePrefix="0" xfId="0">
      <alignment vertical="center"/>
    </xf>
    <xf numFmtId="164" fontId="4" fillId="0" borderId="0" applyAlignment="1" pivotButton="0" quotePrefix="0" xfId="1">
      <alignment vertical="center"/>
    </xf>
    <xf numFmtId="164" fontId="21" fillId="0" borderId="9" applyAlignment="1" pivotButton="0" quotePrefix="0" xfId="1">
      <alignment vertical="center"/>
    </xf>
    <xf numFmtId="0" fontId="21" fillId="0" borderId="23" applyAlignment="1" pivotButton="0" quotePrefix="0" xfId="0">
      <alignment vertical="center"/>
    </xf>
    <xf numFmtId="0" fontId="21" fillId="0" borderId="35" applyAlignment="1" pivotButton="0" quotePrefix="0" xfId="0">
      <alignment vertical="center"/>
    </xf>
    <xf numFmtId="0" fontId="3" fillId="8" borderId="1" applyAlignment="1" pivotButton="0" quotePrefix="0" xfId="0">
      <alignment horizontal="center" vertical="center" wrapText="1"/>
    </xf>
    <xf numFmtId="0" fontId="3" fillId="8" borderId="5" applyAlignment="1" pivotButton="0" quotePrefix="0" xfId="0">
      <alignment horizontal="center" vertical="center" wrapText="1"/>
    </xf>
    <xf numFmtId="0" fontId="0" fillId="0" borderId="5" applyAlignment="1" pivotButton="0" quotePrefix="0" xfId="0">
      <alignment vertical="center"/>
    </xf>
    <xf numFmtId="0" fontId="7" fillId="0" borderId="7" applyAlignment="1" pivotButton="0" quotePrefix="0" xfId="0">
      <alignment horizontal="left" vertical="center"/>
    </xf>
    <xf numFmtId="0" fontId="0" fillId="0" borderId="28" applyAlignment="1" pivotButton="0" quotePrefix="0" xfId="0">
      <alignment vertical="center"/>
    </xf>
    <xf numFmtId="0" fontId="0" fillId="0" borderId="15" applyAlignment="1" pivotButton="0" quotePrefix="0" xfId="0">
      <alignment vertical="center"/>
    </xf>
    <xf numFmtId="0" fontId="18" fillId="8" borderId="1" applyAlignment="1" pivotButton="0" quotePrefix="0" xfId="0">
      <alignment horizontal="center" vertical="center"/>
    </xf>
    <xf numFmtId="0" fontId="7" fillId="8" borderId="2" applyAlignment="1" pivotButton="0" quotePrefix="0" xfId="0">
      <alignment horizontal="center" vertical="center"/>
    </xf>
    <xf numFmtId="164" fontId="21" fillId="0" borderId="7" applyAlignment="1" pivotButton="0" quotePrefix="0" xfId="1">
      <alignment vertical="center"/>
    </xf>
    <xf numFmtId="164" fontId="21" fillId="0" borderId="35" applyAlignment="1" pivotButton="0" quotePrefix="0" xfId="1">
      <alignment vertical="center"/>
    </xf>
    <xf numFmtId="0" fontId="7" fillId="2" borderId="14" applyAlignment="1" pivotButton="0" quotePrefix="0" xfId="0">
      <alignment horizontal="center" vertical="center"/>
    </xf>
    <xf numFmtId="0" fontId="0" fillId="0" borderId="23" applyAlignment="1" pivotButton="0" quotePrefix="0" xfId="0">
      <alignment vertical="center"/>
    </xf>
    <xf numFmtId="0" fontId="0" fillId="0" borderId="14" applyAlignment="1" pivotButton="0" quotePrefix="0" xfId="0">
      <alignment vertical="center"/>
    </xf>
    <xf numFmtId="0" fontId="18" fillId="8" borderId="38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 wrapText="1"/>
    </xf>
    <xf numFmtId="0" fontId="0" fillId="0" borderId="31" applyAlignment="1" pivotButton="0" quotePrefix="0" xfId="0">
      <alignment vertical="center"/>
    </xf>
    <xf numFmtId="164" fontId="7" fillId="2" borderId="15" applyAlignment="1" pivotButton="0" quotePrefix="0" xfId="1">
      <alignment horizontal="center" vertical="center"/>
    </xf>
    <xf numFmtId="0" fontId="0" fillId="0" borderId="36" applyAlignment="1" pivotButton="0" quotePrefix="0" xfId="0">
      <alignment vertical="center"/>
    </xf>
    <xf numFmtId="164" fontId="7" fillId="2" borderId="8" applyAlignment="1" pivotButton="0" quotePrefix="0" xfId="1">
      <alignment horizontal="center" vertical="center"/>
    </xf>
    <xf numFmtId="0" fontId="0" fillId="0" borderId="29" applyAlignment="1" pivotButton="0" quotePrefix="0" xfId="0">
      <alignment vertical="center"/>
    </xf>
    <xf numFmtId="164" fontId="20" fillId="2" borderId="38" applyAlignment="1" pivotButton="0" quotePrefix="0" xfId="1">
      <alignment vertical="center"/>
    </xf>
    <xf numFmtId="164" fontId="7" fillId="8" borderId="26" applyAlignment="1" pivotButton="0" quotePrefix="0" xfId="0">
      <alignment horizontal="center" vertical="center"/>
    </xf>
    <xf numFmtId="0" fontId="0" fillId="0" borderId="27" applyAlignment="1" pivotButton="0" quotePrefix="0" xfId="0">
      <alignment vertical="center"/>
    </xf>
    <xf numFmtId="0" fontId="0" fillId="0" borderId="26" applyAlignment="1" pivotButton="0" quotePrefix="0" xfId="0">
      <alignment vertical="center"/>
    </xf>
    <xf numFmtId="0" fontId="7" fillId="2" borderId="21" applyAlignment="1" pivotButton="0" quotePrefix="0" xfId="0">
      <alignment horizontal="left" vertical="center"/>
    </xf>
    <xf numFmtId="0" fontId="11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12" fillId="7" borderId="0" applyAlignment="1" pivotButton="0" quotePrefix="0" xfId="0">
      <alignment horizontal="right" vertical="center" wrapText="1"/>
    </xf>
    <xf numFmtId="0" fontId="15" fillId="0" borderId="0" applyAlignment="1" pivotButton="0" quotePrefix="0" xfId="0">
      <alignment horizontal="left" vertical="center" wrapText="1"/>
    </xf>
    <xf numFmtId="164" fontId="4" fillId="0" borderId="0" applyAlignment="1" pivotButton="0" quotePrefix="0" xfId="1">
      <alignment vertical="center"/>
    </xf>
    <xf numFmtId="0" fontId="0" fillId="0" borderId="16" pivotButton="0" quotePrefix="0" xfId="0"/>
    <xf numFmtId="0" fontId="0" fillId="0" borderId="5" pivotButton="0" quotePrefix="0" xfId="0"/>
    <xf numFmtId="0" fontId="0" fillId="0" borderId="42" pivotButton="0" quotePrefix="0" xfId="0"/>
    <xf numFmtId="0" fontId="0" fillId="0" borderId="7" pivotButton="0" quotePrefix="0" xfId="0"/>
    <xf numFmtId="0" fontId="0" fillId="0" borderId="34" pivotButton="0" quotePrefix="0" xfId="0"/>
    <xf numFmtId="0" fontId="0" fillId="0" borderId="35" pivotButton="0" quotePrefix="0" xfId="0"/>
    <xf numFmtId="0" fontId="0" fillId="0" borderId="33" pivotButton="0" quotePrefix="0" xfId="0"/>
    <xf numFmtId="164" fontId="9" fillId="0" borderId="9" applyAlignment="1" pivotButton="0" quotePrefix="0" xfId="1">
      <alignment vertical="center"/>
    </xf>
    <xf numFmtId="164" fontId="6" fillId="0" borderId="2" applyAlignment="1" pivotButton="0" quotePrefix="0" xfId="1">
      <alignment horizontal="center" vertical="center"/>
    </xf>
    <xf numFmtId="164" fontId="4" fillId="0" borderId="2" applyAlignment="1" pivotButton="0" quotePrefix="0" xfId="1">
      <alignment vertical="center"/>
    </xf>
    <xf numFmtId="164" fontId="19" fillId="0" borderId="38" applyAlignment="1" pivotButton="0" quotePrefix="0" xfId="1">
      <alignment vertical="center"/>
    </xf>
    <xf numFmtId="164" fontId="21" fillId="0" borderId="1" applyAlignment="1" pivotButton="0" quotePrefix="0" xfId="1">
      <alignment vertical="center"/>
    </xf>
    <xf numFmtId="164" fontId="21" fillId="0" borderId="2" applyAlignment="1" pivotButton="0" quotePrefix="0" xfId="1">
      <alignment vertical="center"/>
    </xf>
    <xf numFmtId="164" fontId="21" fillId="0" borderId="9" applyAlignment="1" pivotButton="0" quotePrefix="0" xfId="1">
      <alignment vertical="center"/>
    </xf>
    <xf numFmtId="164" fontId="21" fillId="0" borderId="5" applyAlignment="1" pivotButton="0" quotePrefix="0" xfId="1">
      <alignment vertical="center"/>
    </xf>
    <xf numFmtId="0" fontId="0" fillId="0" borderId="31" pivotButton="0" quotePrefix="0" xfId="0"/>
    <xf numFmtId="164" fontId="9" fillId="0" borderId="10" applyAlignment="1" pivotButton="0" quotePrefix="0" xfId="1">
      <alignment vertical="center"/>
    </xf>
    <xf numFmtId="164" fontId="6" fillId="0" borderId="4" applyAlignment="1" pivotButton="0" quotePrefix="0" xfId="1">
      <alignment horizontal="center" vertical="center"/>
    </xf>
    <xf numFmtId="164" fontId="4" fillId="0" borderId="4" applyAlignment="1" pivotButton="0" quotePrefix="0" xfId="1">
      <alignment vertical="center"/>
    </xf>
    <xf numFmtId="0" fontId="0" fillId="0" borderId="30" pivotButton="0" quotePrefix="0" xfId="0"/>
    <xf numFmtId="0" fontId="0" fillId="0" borderId="41" pivotButton="0" quotePrefix="0" xfId="0"/>
    <xf numFmtId="0" fontId="0" fillId="0" borderId="23" pivotButton="0" quotePrefix="0" xfId="0"/>
    <xf numFmtId="0" fontId="0" fillId="0" borderId="28" pivotButton="0" quotePrefix="0" xfId="0"/>
    <xf numFmtId="164" fontId="9" fillId="0" borderId="13" applyAlignment="1" pivotButton="0" quotePrefix="0" xfId="1">
      <alignment vertical="center"/>
    </xf>
    <xf numFmtId="164" fontId="6" fillId="0" borderId="12" applyAlignment="1" pivotButton="0" quotePrefix="0" xfId="1">
      <alignment horizontal="center" vertical="center"/>
    </xf>
    <xf numFmtId="164" fontId="4" fillId="0" borderId="12" applyAlignment="1" pivotButton="0" quotePrefix="0" xfId="1">
      <alignment vertical="center"/>
    </xf>
    <xf numFmtId="0" fontId="0" fillId="0" borderId="8" pivotButton="0" quotePrefix="0" xfId="0"/>
    <xf numFmtId="0" fontId="0" fillId="0" borderId="15" pivotButton="0" quotePrefix="0" xfId="0"/>
    <xf numFmtId="164" fontId="19" fillId="0" borderId="33" applyAlignment="1" pivotButton="0" quotePrefix="0" xfId="1">
      <alignment vertical="center"/>
    </xf>
    <xf numFmtId="164" fontId="21" fillId="0" borderId="7" applyAlignment="1" pivotButton="0" quotePrefix="0" xfId="1">
      <alignment vertical="center"/>
    </xf>
    <xf numFmtId="164" fontId="21" fillId="0" borderId="8" applyAlignment="1" pivotButton="0" quotePrefix="0" xfId="1">
      <alignment vertical="center"/>
    </xf>
    <xf numFmtId="164" fontId="21" fillId="0" borderId="35" applyAlignment="1" pivotButton="0" quotePrefix="0" xfId="1">
      <alignment vertical="center"/>
    </xf>
    <xf numFmtId="164" fontId="21" fillId="0" borderId="15" applyAlignment="1" pivotButton="0" quotePrefix="0" xfId="1">
      <alignment vertical="center"/>
    </xf>
    <xf numFmtId="164" fontId="9" fillId="2" borderId="9" applyAlignment="1" pivotButton="0" quotePrefix="0" xfId="1">
      <alignment vertical="center"/>
    </xf>
    <xf numFmtId="164" fontId="7" fillId="2" borderId="15" applyAlignment="1" pivotButton="0" quotePrefix="0" xfId="1">
      <alignment horizontal="center" vertical="center"/>
    </xf>
    <xf numFmtId="164" fontId="7" fillId="2" borderId="8" applyAlignment="1" pivotButton="0" quotePrefix="0" xfId="1">
      <alignment horizontal="center" vertical="center"/>
    </xf>
    <xf numFmtId="164" fontId="20" fillId="2" borderId="38" applyAlignment="1" pivotButton="0" quotePrefix="0" xfId="1">
      <alignment vertical="center"/>
    </xf>
    <xf numFmtId="164" fontId="22" fillId="2" borderId="1" applyAlignment="1" pivotButton="0" quotePrefix="0" xfId="1">
      <alignment horizontal="center" vertical="center"/>
    </xf>
    <xf numFmtId="164" fontId="22" fillId="2" borderId="2" applyAlignment="1" pivotButton="0" quotePrefix="0" xfId="1">
      <alignment horizontal="center" vertical="center"/>
    </xf>
    <xf numFmtId="164" fontId="22" fillId="2" borderId="9" applyAlignment="1" pivotButton="0" quotePrefix="0" xfId="1">
      <alignment horizontal="center" vertical="center"/>
    </xf>
    <xf numFmtId="164" fontId="9" fillId="2" borderId="10" applyAlignment="1" pivotButton="0" quotePrefix="0" xfId="1">
      <alignment vertical="center"/>
    </xf>
    <xf numFmtId="0" fontId="0" fillId="0" borderId="29" pivotButton="0" quotePrefix="0" xfId="0"/>
    <xf numFmtId="164" fontId="22" fillId="2" borderId="1" applyAlignment="1" pivotButton="0" quotePrefix="0" xfId="1">
      <alignment vertical="center"/>
    </xf>
    <xf numFmtId="164" fontId="22" fillId="2" borderId="2" applyAlignment="1" pivotButton="0" quotePrefix="0" xfId="1">
      <alignment vertical="center"/>
    </xf>
    <xf numFmtId="164" fontId="22" fillId="2" borderId="9" applyAlignment="1" pivotButton="0" quotePrefix="0" xfId="1">
      <alignment vertical="center"/>
    </xf>
    <xf numFmtId="164" fontId="9" fillId="2" borderId="13" applyAlignment="1" pivotButton="0" quotePrefix="0" xfId="1">
      <alignment vertical="center"/>
    </xf>
    <xf numFmtId="0" fontId="0" fillId="0" borderId="36" pivotButton="0" quotePrefix="0" xfId="0"/>
    <xf numFmtId="0" fontId="0" fillId="0" borderId="14" pivotButton="0" quotePrefix="0" xfId="0"/>
    <xf numFmtId="164" fontId="21" fillId="2" borderId="11" applyAlignment="1" pivotButton="0" quotePrefix="0" xfId="0">
      <alignment vertical="center"/>
    </xf>
    <xf numFmtId="164" fontId="21" fillId="2" borderId="12" applyAlignment="1" pivotButton="0" quotePrefix="0" xfId="0">
      <alignment vertical="center"/>
    </xf>
    <xf numFmtId="164" fontId="21" fillId="2" borderId="13" applyAlignment="1" pivotButton="0" quotePrefix="0" xfId="0">
      <alignment vertical="center"/>
    </xf>
    <xf numFmtId="0" fontId="0" fillId="0" borderId="26" pivotButton="0" quotePrefix="0" xfId="0"/>
    <xf numFmtId="164" fontId="10" fillId="8" borderId="32" applyAlignment="1" pivotButton="0" quotePrefix="0" xfId="1">
      <alignment vertical="center"/>
    </xf>
    <xf numFmtId="164" fontId="7" fillId="8" borderId="26" applyAlignment="1" pivotButton="0" quotePrefix="0" xfId="0">
      <alignment horizontal="center" vertical="center"/>
    </xf>
    <xf numFmtId="0" fontId="0" fillId="0" borderId="27" pivotButton="0" quotePrefix="0" xfId="0"/>
    <xf numFmtId="0" fontId="24" fillId="0" borderId="0" applyAlignment="1" pivotButton="0" quotePrefix="0" xfId="0">
      <alignment horizontal="left" vertical="center" wrapText="1"/>
    </xf>
  </cellXfs>
  <cellStyles count="3">
    <cellStyle name="표준" xfId="0" builtinId="0"/>
    <cellStyle name="쉼표 [0]" xfId="1" builtinId="6"/>
    <cellStyle name="백분율" xfId="2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9"/>
  <sheetViews>
    <sheetView tabSelected="1" workbookViewId="0">
      <selection activeCell="B31" sqref="B31"/>
    </sheetView>
  </sheetViews>
  <sheetFormatPr baseColWidth="8" defaultRowHeight="21.95" customHeight="1"/>
  <cols>
    <col width="11.375" bestFit="1" customWidth="1" style="102" min="1" max="1"/>
    <col width="29.125" bestFit="1" customWidth="1" style="102" min="2" max="2"/>
    <col width="27.5" bestFit="1" customWidth="1" style="102" min="3" max="3"/>
    <col width="18.125" bestFit="1" customWidth="1" style="102" min="4" max="4"/>
    <col width="5.75" bestFit="1" customWidth="1" style="102" min="5" max="5"/>
    <col width="15.125" bestFit="1" customWidth="1" style="136" min="6" max="6"/>
    <col width="5.75" bestFit="1" customWidth="1" style="102" min="7" max="7"/>
    <col width="16.875" bestFit="1" customWidth="1" style="136" min="8" max="8"/>
    <col width="15" bestFit="1" customWidth="1" style="102" min="9" max="9"/>
    <col width="15.375" bestFit="1" customWidth="1" style="93" min="10" max="10"/>
    <col width="16.625" bestFit="1" customWidth="1" style="93" min="11" max="11"/>
    <col width="14.875" bestFit="1" customWidth="1" style="93" min="12" max="14"/>
    <col width="16.625" bestFit="1" customWidth="1" style="93" min="15" max="15"/>
    <col width="14.875" bestFit="1" customWidth="1" style="93" min="16" max="18"/>
    <col width="9" customWidth="1" style="102" min="19" max="16384"/>
  </cols>
  <sheetData>
    <row r="1" ht="21.95" customHeight="1" s="133">
      <c r="A1" s="101" t="inlineStr">
        <is>
          <t>순공사비 안분내역서 (개별하도급 · 업종별 개별계약)</t>
        </is>
      </c>
      <c r="J1" s="92" t="n"/>
    </row>
    <row r="2" ht="21.95" customHeight="1" s="133">
      <c r="A2" s="137" t="n"/>
      <c r="B2" s="137" t="n"/>
      <c r="C2" s="137" t="n"/>
      <c r="D2" s="137" t="n"/>
      <c r="E2" s="137" t="n"/>
      <c r="F2" s="137" t="n"/>
      <c r="G2" s="137" t="n"/>
      <c r="H2" s="137" t="n"/>
      <c r="I2" s="137" t="n"/>
      <c r="J2" s="137" t="n"/>
      <c r="K2" s="137" t="n"/>
      <c r="L2" s="137" t="n"/>
      <c r="M2" s="137" t="n"/>
      <c r="N2" s="137" t="n"/>
      <c r="O2" s="137" t="n"/>
      <c r="P2" s="137" t="n"/>
      <c r="Q2" s="137" t="n"/>
      <c r="R2" s="137" t="n"/>
    </row>
    <row r="3" ht="21.95" customHeight="1" s="133">
      <c r="A3" s="70" t="inlineStr">
        <is>
          <t>블록(차수)</t>
        </is>
      </c>
      <c r="B3" s="87" t="inlineStr">
        <is>
          <t>공종</t>
        </is>
      </c>
      <c r="C3" s="107" t="inlineStr">
        <is>
          <t>해당 면허
(업종)</t>
        </is>
      </c>
      <c r="D3" s="100" t="inlineStr">
        <is>
          <t>금액
(순공사비)</t>
        </is>
      </c>
      <c r="E3" s="108" t="inlineStr">
        <is>
          <t>근일건설</t>
        </is>
      </c>
      <c r="F3" s="138" t="n"/>
      <c r="G3" s="114" t="inlineStr">
        <is>
          <t>삼아산업개발</t>
        </is>
      </c>
      <c r="H3" s="138" t="n"/>
      <c r="I3" s="98" t="inlineStr">
        <is>
          <t>비고</t>
        </is>
      </c>
      <c r="J3" s="120" t="inlineStr">
        <is>
          <t>공사비</t>
        </is>
      </c>
      <c r="K3" s="113" t="inlineStr">
        <is>
          <t>근일건설</t>
        </is>
      </c>
      <c r="L3" s="139" t="n"/>
      <c r="M3" s="139" t="n"/>
      <c r="N3" s="138" t="n"/>
      <c r="O3" s="95" t="inlineStr">
        <is>
          <t>삼아산업개발</t>
        </is>
      </c>
      <c r="P3" s="139" t="n"/>
      <c r="Q3" s="139" t="n"/>
      <c r="R3" s="138" t="n"/>
    </row>
    <row r="4" ht="21.95" customHeight="1" s="133">
      <c r="A4" s="140" t="n"/>
      <c r="B4" s="141" t="n"/>
      <c r="C4" s="140" t="n"/>
      <c r="D4" s="142" t="n"/>
      <c r="E4" s="20" t="inlineStr">
        <is>
          <t>보유</t>
        </is>
      </c>
      <c r="F4" s="21">
        <f>E21/E27</f>
        <v/>
      </c>
      <c r="G4" s="22" t="inlineStr">
        <is>
          <t>보유</t>
        </is>
      </c>
      <c r="H4" s="23">
        <f>G21/E27</f>
        <v/>
      </c>
      <c r="I4" s="142" t="n"/>
      <c r="J4" s="143" t="n"/>
      <c r="K4" s="24" t="inlineStr">
        <is>
          <t>공사비</t>
        </is>
      </c>
      <c r="L4" s="25" t="inlineStr">
        <is>
          <t>선급금</t>
        </is>
      </c>
      <c r="M4" s="26" t="n">
        <v>0.07000000000000001</v>
      </c>
      <c r="N4" s="29" t="n">
        <v>0.07000000000000001</v>
      </c>
      <c r="O4" s="56" t="inlineStr">
        <is>
          <t>공사비</t>
        </is>
      </c>
      <c r="P4" s="25" t="inlineStr">
        <is>
          <t>선급금</t>
        </is>
      </c>
      <c r="Q4" s="26" t="n">
        <v>0.07000000000000001</v>
      </c>
      <c r="R4" s="29" t="n">
        <v>0.07000000000000001</v>
      </c>
    </row>
    <row r="5" ht="21.95" customHeight="1" s="133">
      <c r="A5" s="121" t="inlineStr">
        <is>
          <t>회전진입</t>
        </is>
      </c>
      <c r="B5" s="7" t="inlineStr">
        <is>
          <t>토공(절·성토·부지조성)</t>
        </is>
      </c>
      <c r="C5" s="13" t="inlineStr">
        <is>
          <t>토공사업(지반조성·포장)</t>
        </is>
      </c>
      <c r="D5" s="144" t="n">
        <v>715518710</v>
      </c>
      <c r="E5" s="10" t="inlineStr">
        <is>
          <t>○</t>
        </is>
      </c>
      <c r="F5" s="145" t="n"/>
      <c r="G5" s="3" t="inlineStr">
        <is>
          <t>○</t>
        </is>
      </c>
      <c r="H5" s="146">
        <f>D5</f>
        <v/>
      </c>
      <c r="I5" s="37" t="n"/>
      <c r="J5" s="147">
        <f>SUM(D5:D10)</f>
        <v/>
      </c>
      <c r="K5" s="148">
        <f>SUM(F5:F10)</f>
        <v/>
      </c>
      <c r="L5" s="149">
        <f>K5*10%</f>
        <v/>
      </c>
      <c r="M5" s="149">
        <f>K5*M4</f>
        <v/>
      </c>
      <c r="N5" s="150">
        <f>K5*N4</f>
        <v/>
      </c>
      <c r="O5" s="151">
        <f>SUM(H5:H10)</f>
        <v/>
      </c>
      <c r="P5" s="149">
        <f>O5*10%</f>
        <v/>
      </c>
      <c r="Q5" s="149">
        <f>O5*Q4</f>
        <v/>
      </c>
      <c r="R5" s="150">
        <f>O5*R4</f>
        <v/>
      </c>
    </row>
    <row r="6" ht="21.95" customHeight="1" s="133">
      <c r="A6" s="152" t="n"/>
      <c r="B6" s="8" t="inlineStr">
        <is>
          <t>우수·오수·상하수 관로</t>
        </is>
      </c>
      <c r="C6" s="14" t="inlineStr">
        <is>
          <t>상·하수도설비공사업</t>
        </is>
      </c>
      <c r="D6" s="153" t="n">
        <v>126486452</v>
      </c>
      <c r="E6" s="11" t="inlineStr">
        <is>
          <t>○</t>
        </is>
      </c>
      <c r="F6" s="154">
        <f>D6</f>
        <v/>
      </c>
      <c r="G6" s="1" t="inlineStr">
        <is>
          <t>△</t>
        </is>
      </c>
      <c r="H6" s="155" t="n"/>
      <c r="I6" s="40" t="inlineStr">
        <is>
          <t>2027 예정</t>
        </is>
      </c>
      <c r="J6" s="156" t="n"/>
      <c r="K6" s="152" t="n"/>
      <c r="L6" s="157" t="n"/>
      <c r="M6" s="157" t="n"/>
      <c r="N6" s="158" t="n"/>
      <c r="O6" s="159" t="n"/>
      <c r="P6" s="157" t="n"/>
      <c r="Q6" s="157" t="n"/>
      <c r="R6" s="158" t="n"/>
    </row>
    <row r="7" ht="21.95" customHeight="1" s="133">
      <c r="A7" s="152" t="n"/>
      <c r="B7" s="8" t="inlineStr">
        <is>
          <t>아스팔트·콘크리트 포장</t>
        </is>
      </c>
      <c r="C7" s="14" t="inlineStr">
        <is>
          <t>포장공사업(지반조성·포장)</t>
        </is>
      </c>
      <c r="D7" s="153" t="n">
        <v>690862124</v>
      </c>
      <c r="E7" s="11" t="inlineStr">
        <is>
          <t>○</t>
        </is>
      </c>
      <c r="F7" s="154">
        <f>D7</f>
        <v/>
      </c>
      <c r="G7" s="1" t="inlineStr">
        <is>
          <t>△</t>
        </is>
      </c>
      <c r="H7" s="155" t="n"/>
      <c r="I7" s="40" t="inlineStr">
        <is>
          <t>면허 취득시</t>
        </is>
      </c>
      <c r="J7" s="156" t="n"/>
      <c r="K7" s="152" t="n"/>
      <c r="L7" s="157" t="n"/>
      <c r="M7" s="157" t="n"/>
      <c r="N7" s="158" t="n"/>
      <c r="O7" s="159" t="n"/>
      <c r="P7" s="157" t="n"/>
      <c r="Q7" s="157" t="n"/>
      <c r="R7" s="158" t="n"/>
    </row>
    <row r="8" ht="21.95" customHeight="1" s="133">
      <c r="A8" s="152" t="n"/>
      <c r="B8" s="8" t="inlineStr">
        <is>
          <t>구조물(옹벽·RC 등)</t>
        </is>
      </c>
      <c r="C8" s="14" t="inlineStr">
        <is>
          <t>철근·콘크리트공사업</t>
        </is>
      </c>
      <c r="D8" s="153" t="n">
        <v>416573311</v>
      </c>
      <c r="E8" s="11" t="inlineStr">
        <is>
          <t>○</t>
        </is>
      </c>
      <c r="F8" s="154">
        <f>D8</f>
        <v/>
      </c>
      <c r="G8" s="1" t="inlineStr">
        <is>
          <t>✗</t>
        </is>
      </c>
      <c r="H8" s="155" t="n"/>
      <c r="I8" s="40" t="n"/>
      <c r="J8" s="156" t="n"/>
      <c r="K8" s="152" t="n"/>
      <c r="L8" s="157" t="n"/>
      <c r="M8" s="157" t="n"/>
      <c r="N8" s="158" t="n"/>
      <c r="O8" s="159" t="n"/>
      <c r="P8" s="157" t="n"/>
      <c r="Q8" s="157" t="n"/>
      <c r="R8" s="158" t="n"/>
    </row>
    <row r="9" ht="21.95" customHeight="1" s="133">
      <c r="A9" s="152" t="n"/>
      <c r="B9" s="8" t="inlineStr">
        <is>
          <t>부대·기타(휀스·경계·법면 등)</t>
        </is>
      </c>
      <c r="C9" s="14" t="inlineStr">
        <is>
          <t>부대(토공부대·기타)</t>
        </is>
      </c>
      <c r="D9" s="153" t="n">
        <v>300622006</v>
      </c>
      <c r="E9" s="11" t="inlineStr">
        <is>
          <t>○</t>
        </is>
      </c>
      <c r="F9" s="154" t="n"/>
      <c r="G9" s="1" t="inlineStr">
        <is>
          <t>△</t>
        </is>
      </c>
      <c r="H9" s="155">
        <f>D9</f>
        <v/>
      </c>
      <c r="I9" s="40" t="inlineStr">
        <is>
          <t>토공부대 한정</t>
        </is>
      </c>
      <c r="J9" s="156" t="n"/>
      <c r="K9" s="152" t="n"/>
      <c r="L9" s="157" t="n"/>
      <c r="M9" s="157" t="n"/>
      <c r="N9" s="158" t="n"/>
      <c r="O9" s="159" t="n"/>
      <c r="P9" s="157" t="n"/>
      <c r="Q9" s="157" t="n"/>
      <c r="R9" s="158" t="n"/>
    </row>
    <row r="10" ht="21.95" customHeight="1" s="133">
      <c r="A10" s="140" t="n"/>
      <c r="B10" s="9" t="inlineStr">
        <is>
          <t>건설폐기물 처리</t>
        </is>
      </c>
      <c r="C10" s="15" t="inlineStr">
        <is>
          <t>폐기물(별도·건설폐기물)</t>
        </is>
      </c>
      <c r="D10" s="160" t="n">
        <v>28114322</v>
      </c>
      <c r="E10" s="12" t="inlineStr">
        <is>
          <t>—</t>
        </is>
      </c>
      <c r="F10" s="161">
        <f>D10</f>
        <v/>
      </c>
      <c r="G10" s="5" t="inlineStr">
        <is>
          <t>—</t>
        </is>
      </c>
      <c r="H10" s="162" t="n"/>
      <c r="I10" s="43" t="n"/>
      <c r="J10" s="143" t="n"/>
      <c r="K10" s="140" t="n"/>
      <c r="L10" s="163" t="n"/>
      <c r="M10" s="163" t="n"/>
      <c r="N10" s="142" t="n"/>
      <c r="O10" s="164" t="n"/>
      <c r="P10" s="163" t="n"/>
      <c r="Q10" s="163" t="n"/>
      <c r="R10" s="142" t="n"/>
    </row>
    <row r="11" ht="21.95" customHeight="1" s="133">
      <c r="A11" s="121" t="inlineStr">
        <is>
          <t>토목</t>
        </is>
      </c>
      <c r="B11" s="7" t="inlineStr">
        <is>
          <t>토공(절·성토·부지조성)</t>
        </is>
      </c>
      <c r="C11" s="13" t="inlineStr">
        <is>
          <t>토공사업(지반조성·포장)</t>
        </is>
      </c>
      <c r="D11" s="144" t="n">
        <v>3135181725</v>
      </c>
      <c r="E11" s="10" t="inlineStr">
        <is>
          <t>○</t>
        </is>
      </c>
      <c r="F11" s="145" t="n"/>
      <c r="G11" s="3" t="inlineStr">
        <is>
          <t>○</t>
        </is>
      </c>
      <c r="H11" s="146">
        <f>D11</f>
        <v/>
      </c>
      <c r="I11" s="37" t="n"/>
      <c r="J11" s="147">
        <f>SUM(D11:D15)</f>
        <v/>
      </c>
      <c r="K11" s="148">
        <f>SUM(F11:F15)</f>
        <v/>
      </c>
      <c r="L11" s="149">
        <f>K11*10%</f>
        <v/>
      </c>
      <c r="M11" s="149">
        <f>K11*M4</f>
        <v/>
      </c>
      <c r="N11" s="150">
        <f>K11*N4</f>
        <v/>
      </c>
      <c r="O11" s="151">
        <f>SUM(H11:H15)</f>
        <v/>
      </c>
      <c r="P11" s="149">
        <f>O11*10%</f>
        <v/>
      </c>
      <c r="Q11" s="149">
        <f>O11*Q4</f>
        <v/>
      </c>
      <c r="R11" s="150">
        <f>O11*R4</f>
        <v/>
      </c>
    </row>
    <row r="12" ht="21.95" customHeight="1" s="133">
      <c r="A12" s="152" t="n"/>
      <c r="B12" s="8" t="inlineStr">
        <is>
          <t>우수·오수·상하수 관로</t>
        </is>
      </c>
      <c r="C12" s="14" t="inlineStr">
        <is>
          <t>상·하수도설비공사업</t>
        </is>
      </c>
      <c r="D12" s="153" t="n">
        <v>803240252</v>
      </c>
      <c r="E12" s="11" t="inlineStr">
        <is>
          <t>○</t>
        </is>
      </c>
      <c r="F12" s="154">
        <f>D12</f>
        <v/>
      </c>
      <c r="G12" s="1" t="inlineStr">
        <is>
          <t>△</t>
        </is>
      </c>
      <c r="H12" s="155" t="n"/>
      <c r="I12" s="40" t="inlineStr">
        <is>
          <t>2027 예정</t>
        </is>
      </c>
      <c r="J12" s="156" t="n"/>
      <c r="K12" s="152" t="n"/>
      <c r="L12" s="157" t="n"/>
      <c r="M12" s="157" t="n"/>
      <c r="N12" s="158" t="n"/>
      <c r="O12" s="159" t="n"/>
      <c r="P12" s="157" t="n"/>
      <c r="Q12" s="157" t="n"/>
      <c r="R12" s="158" t="n"/>
    </row>
    <row r="13" ht="21.95" customHeight="1" s="133">
      <c r="A13" s="152" t="n"/>
      <c r="B13" s="8" t="inlineStr">
        <is>
          <t>아스팔트·콘크리트 포장</t>
        </is>
      </c>
      <c r="C13" s="14" t="inlineStr">
        <is>
          <t>포장공사업(지반조성·포장)</t>
        </is>
      </c>
      <c r="D13" s="153" t="n">
        <v>717206120</v>
      </c>
      <c r="E13" s="11" t="inlineStr">
        <is>
          <t>○</t>
        </is>
      </c>
      <c r="F13" s="154">
        <f>D13</f>
        <v/>
      </c>
      <c r="G13" s="1" t="inlineStr">
        <is>
          <t>△</t>
        </is>
      </c>
      <c r="H13" s="155" t="n"/>
      <c r="I13" s="40" t="inlineStr">
        <is>
          <t>면허 취득시</t>
        </is>
      </c>
      <c r="J13" s="156" t="n"/>
      <c r="K13" s="152" t="n"/>
      <c r="L13" s="157" t="n"/>
      <c r="M13" s="157" t="n"/>
      <c r="N13" s="158" t="n"/>
      <c r="O13" s="159" t="n"/>
      <c r="P13" s="157" t="n"/>
      <c r="Q13" s="157" t="n"/>
      <c r="R13" s="158" t="n"/>
    </row>
    <row r="14" ht="21.95" customHeight="1" s="133">
      <c r="A14" s="152" t="n"/>
      <c r="B14" s="8" t="inlineStr">
        <is>
          <t>구조물(옹벽·RC 등)</t>
        </is>
      </c>
      <c r="C14" s="14" t="inlineStr">
        <is>
          <t>철근·콘크리트공사업</t>
        </is>
      </c>
      <c r="D14" s="153" t="n">
        <v>198976526</v>
      </c>
      <c r="E14" s="11" t="inlineStr">
        <is>
          <t>○</t>
        </is>
      </c>
      <c r="F14" s="154">
        <f>D14</f>
        <v/>
      </c>
      <c r="G14" s="1" t="inlineStr">
        <is>
          <t>✗</t>
        </is>
      </c>
      <c r="H14" s="155" t="n"/>
      <c r="I14" s="40" t="n"/>
      <c r="J14" s="156" t="n"/>
      <c r="K14" s="152" t="n"/>
      <c r="L14" s="157" t="n"/>
      <c r="M14" s="157" t="n"/>
      <c r="N14" s="158" t="n"/>
      <c r="O14" s="159" t="n"/>
      <c r="P14" s="157" t="n"/>
      <c r="Q14" s="157" t="n"/>
      <c r="R14" s="158" t="n"/>
    </row>
    <row r="15" ht="21.95" customHeight="1" s="133">
      <c r="A15" s="140" t="n"/>
      <c r="B15" s="9" t="inlineStr">
        <is>
          <t>부대·기타(휀스·경계·법면 등)</t>
        </is>
      </c>
      <c r="C15" s="15" t="inlineStr">
        <is>
          <t>부대(토공부대·기타)</t>
        </is>
      </c>
      <c r="D15" s="160" t="n">
        <v>191551727</v>
      </c>
      <c r="E15" s="12" t="inlineStr">
        <is>
          <t>○</t>
        </is>
      </c>
      <c r="F15" s="161" t="n"/>
      <c r="G15" s="5" t="inlineStr">
        <is>
          <t>△</t>
        </is>
      </c>
      <c r="H15" s="162">
        <f>D15</f>
        <v/>
      </c>
      <c r="I15" s="43" t="inlineStr">
        <is>
          <t>토공부대 한정</t>
        </is>
      </c>
      <c r="J15" s="143" t="n"/>
      <c r="K15" s="140" t="n"/>
      <c r="L15" s="163" t="n"/>
      <c r="M15" s="163" t="n"/>
      <c r="N15" s="142" t="n"/>
      <c r="O15" s="164" t="n"/>
      <c r="P15" s="163" t="n"/>
      <c r="Q15" s="163" t="n"/>
      <c r="R15" s="142" t="n"/>
    </row>
    <row r="16" ht="21.95" customHeight="1" s="133">
      <c r="A16" s="121" t="inlineStr">
        <is>
          <t>지구단위</t>
        </is>
      </c>
      <c r="B16" s="7" t="inlineStr">
        <is>
          <t>토공(절·성토·부지조성)</t>
        </is>
      </c>
      <c r="C16" s="13" t="inlineStr">
        <is>
          <t>토공사업(지반조성·포장)</t>
        </is>
      </c>
      <c r="D16" s="144" t="n">
        <v>1027042550</v>
      </c>
      <c r="E16" s="10" t="inlineStr">
        <is>
          <t>○</t>
        </is>
      </c>
      <c r="F16" s="145" t="n"/>
      <c r="G16" s="3" t="inlineStr">
        <is>
          <t>○</t>
        </is>
      </c>
      <c r="H16" s="146">
        <f>D16</f>
        <v/>
      </c>
      <c r="I16" s="37" t="n"/>
      <c r="J16" s="165">
        <f>SUM(D16:D20)</f>
        <v/>
      </c>
      <c r="K16" s="166">
        <f>SUM(F16:F20)</f>
        <v/>
      </c>
      <c r="L16" s="167">
        <f>K16*10%</f>
        <v/>
      </c>
      <c r="M16" s="167">
        <f>K16*M4</f>
        <v/>
      </c>
      <c r="N16" s="168">
        <f>K16*N4</f>
        <v/>
      </c>
      <c r="O16" s="169">
        <f>SUM(H16:H20)</f>
        <v/>
      </c>
      <c r="P16" s="167">
        <f>O16*10%</f>
        <v/>
      </c>
      <c r="Q16" s="167">
        <f>O16*Q4</f>
        <v/>
      </c>
      <c r="R16" s="168">
        <f>O16*R4</f>
        <v/>
      </c>
    </row>
    <row r="17" ht="21.95" customHeight="1" s="133">
      <c r="A17" s="152" t="n"/>
      <c r="B17" s="8" t="inlineStr">
        <is>
          <t>우수·오수·상하수 관로</t>
        </is>
      </c>
      <c r="C17" s="14" t="inlineStr">
        <is>
          <t>상·하수도설비공사업</t>
        </is>
      </c>
      <c r="D17" s="153" t="n">
        <v>190561057</v>
      </c>
      <c r="E17" s="11" t="inlineStr">
        <is>
          <t>○</t>
        </is>
      </c>
      <c r="F17" s="154">
        <f>D17</f>
        <v/>
      </c>
      <c r="G17" s="1" t="inlineStr">
        <is>
          <t>△</t>
        </is>
      </c>
      <c r="H17" s="155" t="n"/>
      <c r="I17" s="40" t="inlineStr">
        <is>
          <t>2027 예정</t>
        </is>
      </c>
      <c r="J17" s="156" t="n"/>
      <c r="K17" s="152" t="n"/>
      <c r="L17" s="157" t="n"/>
      <c r="M17" s="157" t="n"/>
      <c r="N17" s="158" t="n"/>
      <c r="O17" s="159" t="n"/>
      <c r="P17" s="157" t="n"/>
      <c r="Q17" s="157" t="n"/>
      <c r="R17" s="158" t="n"/>
    </row>
    <row r="18" ht="21.95" customHeight="1" s="133">
      <c r="A18" s="152" t="n"/>
      <c r="B18" s="8" t="inlineStr">
        <is>
          <t>아스팔트·콘크리트 포장</t>
        </is>
      </c>
      <c r="C18" s="14" t="inlineStr">
        <is>
          <t>포장공사업(지반조성·포장)</t>
        </is>
      </c>
      <c r="D18" s="153" t="n">
        <v>394221946</v>
      </c>
      <c r="E18" s="11" t="inlineStr">
        <is>
          <t>○</t>
        </is>
      </c>
      <c r="F18" s="154">
        <f>D18</f>
        <v/>
      </c>
      <c r="G18" s="1" t="inlineStr">
        <is>
          <t>△</t>
        </is>
      </c>
      <c r="H18" s="155" t="n"/>
      <c r="I18" s="40" t="inlineStr">
        <is>
          <t>면허 취득시</t>
        </is>
      </c>
      <c r="J18" s="156" t="n"/>
      <c r="K18" s="152" t="n"/>
      <c r="L18" s="157" t="n"/>
      <c r="M18" s="157" t="n"/>
      <c r="N18" s="158" t="n"/>
      <c r="O18" s="159" t="n"/>
      <c r="P18" s="157" t="n"/>
      <c r="Q18" s="157" t="n"/>
      <c r="R18" s="158" t="n"/>
    </row>
    <row r="19" ht="21.95" customHeight="1" s="133">
      <c r="A19" s="152" t="n"/>
      <c r="B19" s="8" t="inlineStr">
        <is>
          <t>구조물(옹벽·RC 등)</t>
        </is>
      </c>
      <c r="C19" s="14" t="inlineStr">
        <is>
          <t>철근·콘크리트공사업</t>
        </is>
      </c>
      <c r="D19" s="153" t="n">
        <v>659298630</v>
      </c>
      <c r="E19" s="11" t="inlineStr">
        <is>
          <t>○</t>
        </is>
      </c>
      <c r="F19" s="154">
        <f>D19</f>
        <v/>
      </c>
      <c r="G19" s="1" t="inlineStr">
        <is>
          <t>✗</t>
        </is>
      </c>
      <c r="H19" s="155" t="n"/>
      <c r="I19" s="40" t="n"/>
      <c r="J19" s="156" t="n"/>
      <c r="K19" s="152" t="n"/>
      <c r="L19" s="157" t="n"/>
      <c r="M19" s="157" t="n"/>
      <c r="N19" s="158" t="n"/>
      <c r="O19" s="159" t="n"/>
      <c r="P19" s="157" t="n"/>
      <c r="Q19" s="157" t="n"/>
      <c r="R19" s="158" t="n"/>
    </row>
    <row r="20" ht="21.95" customHeight="1" s="133">
      <c r="A20" s="140" t="n"/>
      <c r="B20" s="9" t="inlineStr">
        <is>
          <t>부대·기타(휀스·경계·법면 등)</t>
        </is>
      </c>
      <c r="C20" s="15" t="inlineStr">
        <is>
          <t>부대(토공부대·기타)</t>
        </is>
      </c>
      <c r="D20" s="160" t="n">
        <v>785341253</v>
      </c>
      <c r="E20" s="12" t="inlineStr">
        <is>
          <t>○</t>
        </is>
      </c>
      <c r="F20" s="161" t="n"/>
      <c r="G20" s="5" t="inlineStr">
        <is>
          <t>△</t>
        </is>
      </c>
      <c r="H20" s="162">
        <f>D20</f>
        <v/>
      </c>
      <c r="I20" s="43" t="inlineStr">
        <is>
          <t>토공부대 한정</t>
        </is>
      </c>
      <c r="J20" s="143" t="n"/>
      <c r="K20" s="140" t="n"/>
      <c r="L20" s="163" t="n"/>
      <c r="M20" s="163" t="n"/>
      <c r="N20" s="142" t="n"/>
      <c r="O20" s="164" t="n"/>
      <c r="P20" s="163" t="n"/>
      <c r="Q20" s="163" t="n"/>
      <c r="R20" s="142" t="n"/>
    </row>
    <row r="21" ht="21.95" customHeight="1" s="133">
      <c r="A21" s="110" t="inlineStr">
        <is>
          <t>해당업종 순공사비</t>
        </is>
      </c>
      <c r="B21" s="159" t="n"/>
      <c r="C21" s="31" t="inlineStr">
        <is>
          <t>토공사업(지반조성·포장)</t>
        </is>
      </c>
      <c r="D21" s="170">
        <f>SUMIF($C$5:$C$20,C21,$D$5:$D$20)</f>
        <v/>
      </c>
      <c r="E21" s="171">
        <f>SUM(F5:F20)</f>
        <v/>
      </c>
      <c r="F21" s="159" t="n"/>
      <c r="G21" s="172">
        <f>SUM(H5:H20)</f>
        <v/>
      </c>
      <c r="H21" s="159" t="n"/>
      <c r="I21" s="117" t="n"/>
      <c r="J21" s="173">
        <f>SUM(J5:J20)</f>
        <v/>
      </c>
      <c r="K21" s="174">
        <f>SUM(K5:K20)</f>
        <v/>
      </c>
      <c r="L21" s="175">
        <f>SUM(L5:L20)</f>
        <v/>
      </c>
      <c r="M21" s="175">
        <f>SUM(M5:M20)</f>
        <v/>
      </c>
      <c r="N21" s="176">
        <f>SUM(N5:N20)</f>
        <v/>
      </c>
      <c r="O21" s="174">
        <f>SUM(O5:O20)</f>
        <v/>
      </c>
      <c r="P21" s="175">
        <f>SUM(P5:P20)</f>
        <v/>
      </c>
      <c r="Q21" s="175">
        <f>SUM(Q5:Q20)</f>
        <v/>
      </c>
      <c r="R21" s="176">
        <f>SUM(R5:R20)</f>
        <v/>
      </c>
    </row>
    <row r="22" ht="21.95" customHeight="1" s="133">
      <c r="A22" s="156" t="n"/>
      <c r="B22" s="159" t="n"/>
      <c r="C22" s="27" t="inlineStr">
        <is>
          <t>상·하수도설비공사업</t>
        </is>
      </c>
      <c r="D22" s="177">
        <f>SUMIF($C$5:$C$20,C22,$D$5:$D$20)</f>
        <v/>
      </c>
      <c r="F22" s="159" t="n"/>
      <c r="G22" s="178" t="n"/>
      <c r="H22" s="159" t="n"/>
      <c r="I22" s="158" t="n"/>
      <c r="J22" s="156" t="n"/>
      <c r="K22" s="152" t="n"/>
      <c r="L22" s="157" t="n"/>
      <c r="M22" s="157" t="n"/>
      <c r="N22" s="158" t="n"/>
      <c r="O22" s="152" t="n"/>
      <c r="P22" s="157" t="n"/>
      <c r="Q22" s="157" t="n"/>
      <c r="R22" s="158" t="n"/>
    </row>
    <row r="23" ht="21.95" customHeight="1" s="133">
      <c r="A23" s="156" t="n"/>
      <c r="B23" s="159" t="n"/>
      <c r="C23" s="27" t="inlineStr">
        <is>
          <t>포장공사업(지반조성·포장)</t>
        </is>
      </c>
      <c r="D23" s="177">
        <f>SUMIF($C$5:$C$20,C23,$D$5:$D$20)</f>
        <v/>
      </c>
      <c r="F23" s="159" t="n"/>
      <c r="G23" s="178" t="n"/>
      <c r="H23" s="159" t="n"/>
      <c r="I23" s="158" t="n"/>
      <c r="J23" s="156" t="n"/>
      <c r="K23" s="152" t="n"/>
      <c r="L23" s="157" t="n"/>
      <c r="M23" s="157" t="n"/>
      <c r="N23" s="158" t="n"/>
      <c r="O23" s="152" t="n"/>
      <c r="P23" s="157" t="n"/>
      <c r="Q23" s="157" t="n"/>
      <c r="R23" s="158" t="n"/>
    </row>
    <row r="24" ht="21.95" customHeight="1" s="133">
      <c r="A24" s="156" t="n"/>
      <c r="B24" s="159" t="n"/>
      <c r="C24" s="27" t="inlineStr">
        <is>
          <t>철근·콘크리트공사업</t>
        </is>
      </c>
      <c r="D24" s="177">
        <f>SUMIF($C$5:$C$20,C24,$D$5:$D$20)</f>
        <v/>
      </c>
      <c r="F24" s="159" t="n"/>
      <c r="G24" s="178" t="n"/>
      <c r="H24" s="159" t="n"/>
      <c r="I24" s="158" t="n"/>
      <c r="J24" s="156" t="n"/>
      <c r="K24" s="140" t="n"/>
      <c r="L24" s="163" t="n"/>
      <c r="M24" s="163" t="n"/>
      <c r="N24" s="142" t="n"/>
      <c r="O24" s="140" t="n"/>
      <c r="P24" s="163" t="n"/>
      <c r="Q24" s="163" t="n"/>
      <c r="R24" s="142" t="n"/>
    </row>
    <row r="25" ht="21.95" customHeight="1" s="133">
      <c r="A25" s="156" t="n"/>
      <c r="B25" s="159" t="n"/>
      <c r="C25" s="27" t="inlineStr">
        <is>
          <t>부대(토공부대·기타)</t>
        </is>
      </c>
      <c r="D25" s="177">
        <f>SUMIF($C$5:$C$20,C25,$D$5:$D$20)</f>
        <v/>
      </c>
      <c r="F25" s="159" t="n"/>
      <c r="G25" s="178" t="n"/>
      <c r="H25" s="159" t="n"/>
      <c r="I25" s="158" t="n"/>
      <c r="J25" s="156" t="n"/>
      <c r="K25" s="179">
        <f>K21/11*10</f>
        <v/>
      </c>
      <c r="L25" s="180">
        <f>L21/11*10</f>
        <v/>
      </c>
      <c r="M25" s="180">
        <f>M21/11*10</f>
        <v/>
      </c>
      <c r="N25" s="181">
        <f>N21/11*10</f>
        <v/>
      </c>
      <c r="O25" s="179">
        <f>O21/11*10</f>
        <v/>
      </c>
      <c r="P25" s="180">
        <f>P21/11*10</f>
        <v/>
      </c>
      <c r="Q25" s="180">
        <f>Q21/11*10</f>
        <v/>
      </c>
      <c r="R25" s="181">
        <f>R21/11*10</f>
        <v/>
      </c>
    </row>
    <row r="26" ht="21.95" customHeight="1" s="133">
      <c r="A26" s="143" t="n"/>
      <c r="B26" s="164" t="n"/>
      <c r="C26" s="28" t="inlineStr">
        <is>
          <t>폐기물(별도·건설폐기물)</t>
        </is>
      </c>
      <c r="D26" s="182">
        <f>SUMIF($C$5:$C$20,C26,$D$5:$D$20)</f>
        <v/>
      </c>
      <c r="E26" s="183" t="n"/>
      <c r="F26" s="164" t="n"/>
      <c r="G26" s="141" t="n"/>
      <c r="H26" s="164" t="n"/>
      <c r="I26" s="184" t="n"/>
      <c r="J26" s="143" t="n"/>
      <c r="K26" s="185">
        <f>K21-K25</f>
        <v/>
      </c>
      <c r="L26" s="186">
        <f>L21-L25</f>
        <v/>
      </c>
      <c r="M26" s="186">
        <f>M21-M25</f>
        <v/>
      </c>
      <c r="N26" s="187">
        <f>N21-N25</f>
        <v/>
      </c>
      <c r="O26" s="185">
        <f>O21-O25</f>
        <v/>
      </c>
      <c r="P26" s="186">
        <f>P21-P25</f>
        <v/>
      </c>
      <c r="Q26" s="186">
        <f>Q21-Q25</f>
        <v/>
      </c>
      <c r="R26" s="187">
        <f>R21-R25</f>
        <v/>
      </c>
    </row>
    <row r="27" ht="21.95" customHeight="1" s="133">
      <c r="A27" s="131" t="inlineStr">
        <is>
          <t>순공사비 합계</t>
        </is>
      </c>
      <c r="B27" s="188" t="n"/>
      <c r="C27" s="47" t="n"/>
      <c r="D27" s="189">
        <f>SUM(D21:D26)</f>
        <v/>
      </c>
      <c r="E27" s="190">
        <f>SUM(E21:H26)</f>
        <v/>
      </c>
      <c r="F27" s="191" t="n"/>
      <c r="G27" s="191" t="n"/>
      <c r="H27" s="188" t="n"/>
      <c r="I27" s="49" t="n"/>
      <c r="J27" s="50" t="n"/>
      <c r="K27" s="51" t="n"/>
      <c r="L27" s="52" t="n"/>
      <c r="M27" s="53" t="inlineStr">
        <is>
          <t>근일건설</t>
        </is>
      </c>
      <c r="N27" s="54" t="inlineStr">
        <is>
          <t>초록마을</t>
        </is>
      </c>
      <c r="O27" s="57" t="n"/>
      <c r="P27" s="53" t="inlineStr">
        <is>
          <t>희상건설</t>
        </is>
      </c>
      <c r="Q27" s="53" t="inlineStr">
        <is>
          <t>삼영디앤씨</t>
        </is>
      </c>
      <c r="R27" s="55" t="inlineStr">
        <is>
          <t>초록마을</t>
        </is>
      </c>
    </row>
    <row r="29" ht="56" customHeight="1" s="133">
      <c r="A29" s="192" t="inlineStr">
        <is>
          <t>※ 순공사비 = 직접공사비 + 간접공사비 (부가가치세 제외). 공종(업종)별로 자격을 갖춘 수급인과 「개별 하도급계약」을 체결하는 방식이며, 각 수급인은 자기 면허 범위의 공종만 수급한다. 공종별 금액은 각 블록 공급가액(순공사비)을 직접공사비 비율로 안분(반올림)한 값이다.</t>
        </is>
      </c>
    </row>
  </sheetData>
  <mergeCells count="58">
    <mergeCell ref="R5:R10"/>
    <mergeCell ref="J5:J10"/>
    <mergeCell ref="M16:M20"/>
    <mergeCell ref="O16:O20"/>
    <mergeCell ref="B3:B4"/>
    <mergeCell ref="K21:K24"/>
    <mergeCell ref="Q21:Q24"/>
    <mergeCell ref="P16:P20"/>
    <mergeCell ref="J11:J15"/>
    <mergeCell ref="N21:N24"/>
    <mergeCell ref="J16:J20"/>
    <mergeCell ref="K5:K10"/>
    <mergeCell ref="M5:M10"/>
    <mergeCell ref="O5:O10"/>
    <mergeCell ref="A21:B26"/>
    <mergeCell ref="O11:O15"/>
    <mergeCell ref="K3:N3"/>
    <mergeCell ref="Q11:Q15"/>
    <mergeCell ref="A3:A4"/>
    <mergeCell ref="J1:R2"/>
    <mergeCell ref="O3:R3"/>
    <mergeCell ref="P21:P24"/>
    <mergeCell ref="I3:I4"/>
    <mergeCell ref="D3:D4"/>
    <mergeCell ref="A1:I2"/>
    <mergeCell ref="R21:R24"/>
    <mergeCell ref="A27:B27"/>
    <mergeCell ref="N11:N15"/>
    <mergeCell ref="Q5:Q10"/>
    <mergeCell ref="G3:H3"/>
    <mergeCell ref="L5:L10"/>
    <mergeCell ref="N5:N10"/>
    <mergeCell ref="A29:I29"/>
    <mergeCell ref="K16:K20"/>
    <mergeCell ref="Q16:Q20"/>
    <mergeCell ref="I21:I26"/>
    <mergeCell ref="L16:L20"/>
    <mergeCell ref="R11:R15"/>
    <mergeCell ref="N16:N20"/>
    <mergeCell ref="O21:O24"/>
    <mergeCell ref="L11:L15"/>
    <mergeCell ref="J3:J4"/>
    <mergeCell ref="M21:M24"/>
    <mergeCell ref="A11:A15"/>
    <mergeCell ref="A5:A10"/>
    <mergeCell ref="E21:F26"/>
    <mergeCell ref="G21:H26"/>
    <mergeCell ref="P5:P10"/>
    <mergeCell ref="C3:C4"/>
    <mergeCell ref="R16:R20"/>
    <mergeCell ref="K11:K15"/>
    <mergeCell ref="J21:J26"/>
    <mergeCell ref="M11:M15"/>
    <mergeCell ref="A16:A20"/>
    <mergeCell ref="L21:L24"/>
    <mergeCell ref="P11:P15"/>
    <mergeCell ref="E27:H27"/>
    <mergeCell ref="E3:F3"/>
  </mergeCells>
  <pageMargins left="0.5905511811023623" right="0.3937007874015748" top="0.5905511811023623" bottom="0.3937007874015748" header="0.3149606299212598" footer="0.3149606299212598"/>
  <pageSetup orientation="landscape" paperSize="9" scale="87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C13" sqref="C13"/>
    </sheetView>
  </sheetViews>
  <sheetFormatPr baseColWidth="8" defaultRowHeight="16.5"/>
  <cols>
    <col width="18" customWidth="1" style="133" min="1" max="1"/>
    <col width="60.625" customWidth="1" style="133" min="2" max="3"/>
  </cols>
  <sheetData>
    <row r="1" ht="33.95" customHeight="1" s="133">
      <c r="A1" s="132" t="inlineStr">
        <is>
          <t>하도급 방식 비교 — 개별하도급 vs 공동하도급 (장단점·주의사항)</t>
        </is>
      </c>
    </row>
    <row r="2" ht="27.95" customHeight="1" s="133">
      <c r="A2" s="134" t="inlineStr">
        <is>
          <t>검토 결론: 신규면허(삼아산업개발) 참여 구조에서는 자격·책임·실적이 명확한 「개별하도급(업종별 개별계약)」을 권장한다. 
무자격 시공·명의대여 리스크를 최소화하고 삼아의 초기 시공실적 축적에 유리하다.</t>
        </is>
      </c>
    </row>
    <row r="3" ht="30" customHeight="1" s="133">
      <c r="A3" s="16" t="inlineStr">
        <is>
          <t>구분</t>
        </is>
      </c>
      <c r="B3" s="16" t="inlineStr">
        <is>
          <t>개별하도급 (업종별 개별계약) ★권장</t>
        </is>
      </c>
      <c r="C3" s="16" t="inlineStr">
        <is>
          <t>공동하도급 (공동수급체 분담이행)</t>
        </is>
      </c>
    </row>
    <row r="4" ht="30" customHeight="1" s="133">
      <c r="A4" s="17" t="inlineStr">
        <is>
          <t>계약구조</t>
        </is>
      </c>
      <c r="B4" s="18" t="inlineStr">
        <is>
          <t>희상건설이 근일·삼아와 각각 별도의 하도급계약을 체결(공종·업종별 분리).</t>
        </is>
      </c>
      <c r="C4" s="19" t="inlineStr">
        <is>
          <t>근일+삼아 공동수급체가 1건의 하도급계약을 체결하고 협정서로 분담.</t>
        </is>
      </c>
    </row>
    <row r="5" ht="30" customHeight="1" s="133">
      <c r="A5" s="17" t="inlineStr">
        <is>
          <t>시공자격(면허)
건산법 제25조</t>
        </is>
      </c>
      <c r="B5" s="18" t="inlineStr">
        <is>
          <t>각 수급인이 자기 면허 범위의 공종만 수급 → 자격이 명확하고 무자격 소지 낮음.</t>
        </is>
      </c>
      <c r="C5" s="19" t="inlineStr">
        <is>
          <t>구성원이 각자 면허 범위로 분담하되,
분담내역이 면허를 초과하지 않도록 협정 관리 필요.</t>
        </is>
      </c>
    </row>
    <row r="6" ht="30" customHeight="1" s="133">
      <c r="A6" s="17" t="inlineStr">
        <is>
          <t>일괄하도급
건산법 제29조 제1항</t>
        </is>
      </c>
      <c r="B6" s="18" t="inlineStr">
        <is>
          <t>업종별로 나눠 계약하므로 예외에 부합(희상의 계획·관리·조정 전제). 
전부를 1인에게 몰면 안 됨.</t>
        </is>
      </c>
      <c r="C6" s="19" t="inlineStr">
        <is>
          <t>업종별 분담이면 예외 부합.
다만 「공동이행방식」으로 전부 수급 시 일괄하도급 시비 소지.</t>
        </is>
      </c>
    </row>
    <row r="7" ht="30" customHeight="1" s="133">
      <c r="A7" s="17" t="inlineStr">
        <is>
          <t>명의대여
건산법 제21조</t>
        </is>
      </c>
      <c r="B7" s="18" t="inlineStr">
        <is>
          <t>삼아 계약분을 면허·능력 범위로 한정하기 쉬워 위험 낮음. 
각자 실제 시공하면 안전.</t>
        </is>
      </c>
      <c r="C7" s="19" t="inlineStr">
        <is>
          <t>삼아 분담이 능력을 초과하면 명의대여 의심 정황↑.
실제 시공·현장대리인 필수.</t>
        </is>
      </c>
    </row>
    <row r="8" ht="30" customHeight="1" s="133">
      <c r="A8" s="17" t="inlineStr">
        <is>
          <t>하자·시공 책임</t>
        </is>
      </c>
      <c r="B8" s="18" t="inlineStr">
        <is>
          <t>각 수급인이 자기 공종에 대해 개별 책임(연대 없음) → 책임 소재 명확.</t>
        </is>
      </c>
      <c r="C8" s="19" t="inlineStr">
        <is>
          <t>분담이행은 원칙적으로 각자 분담분 책임이나,
협정·발주자 요구에 따라 연대책임화 우려.</t>
        </is>
      </c>
    </row>
    <row r="9" ht="30" customHeight="1" s="133">
      <c r="A9" s="17" t="inlineStr">
        <is>
          <t>하도급대금 지급보증</t>
        </is>
      </c>
      <c r="B9" s="18" t="inlineStr">
        <is>
          <t>계약별로 각각 발급·관리(건별로 명확).</t>
        </is>
      </c>
      <c r="C9" s="19" t="inlineStr">
        <is>
          <t>대표사(근일)를 통해/구성원별로 처리 → 구조가 상대적으로 복잡.</t>
        </is>
      </c>
    </row>
    <row r="10" ht="30" customHeight="1" s="133">
      <c r="A10" s="17" t="inlineStr">
        <is>
          <t>시공실적 인정</t>
        </is>
      </c>
      <c r="B10" s="18" t="inlineStr">
        <is>
          <t>각자 자기 계약분만큼 실적 인정 → 삼아의 초기 실적 축적에 유리·투명.</t>
        </is>
      </c>
      <c r="C10" s="19" t="inlineStr">
        <is>
          <t>분담비율만큼 실적 인정(협정이 명확할 때).
분담 불명확 시 실적 다툼 소지.</t>
        </is>
      </c>
    </row>
    <row r="11" ht="30" customHeight="1" s="133">
      <c r="A11" s="17" t="inlineStr">
        <is>
          <t>관리·조정 주체</t>
        </is>
      </c>
      <c r="B11" s="18" t="inlineStr">
        <is>
          <t>희상이 공종 간 인터페이스·공정 조정을 직접 부담(관리부담↑).</t>
        </is>
      </c>
      <c r="C11" s="19" t="inlineStr">
        <is>
          <t>대표사(근일)가 구성원 간 조정 → 희상의 조정 부담↓.</t>
        </is>
      </c>
    </row>
    <row r="12" ht="30" customHeight="1" s="133">
      <c r="A12" s="17" t="inlineStr">
        <is>
          <t>대금·정산</t>
        </is>
      </c>
      <c r="B12" s="18" t="inlineStr">
        <is>
          <t>계약별 개별 청구·정산(투명, 분쟁 소지 낮음).</t>
        </is>
      </c>
      <c r="C12" s="19" t="inlineStr">
        <is>
          <t>대표사 통합 청구 후 내부 배분 → 구성원 간 내부정산 규정 필요.</t>
        </is>
      </c>
    </row>
    <row r="13" ht="66" customHeight="1" s="133">
      <c r="A13" s="17" t="inlineStr">
        <is>
          <t>장점</t>
        </is>
      </c>
      <c r="B13" s="18" t="inlineStr">
        <is>
          <t>• 자격·책임·실적이 명확
• 삼아를 면허·능력 범위로 한정하기 쉬움
• 무자격·명의대여 리스크 최소
• 계약분별 정산 투명</t>
        </is>
      </c>
      <c r="C13" s="19" t="inlineStr">
        <is>
          <t>• 계약이 1건으로 간소
• 대표사 통합관리로 공종 간 인터페이스 유리
• 구성원 공동 역량 활용</t>
        </is>
      </c>
    </row>
    <row r="14" ht="51" customHeight="1" s="133">
      <c r="A14" s="17" t="inlineStr">
        <is>
          <t>단점</t>
        </is>
      </c>
      <c r="B14" s="18" t="inlineStr">
        <is>
          <t>• 계약 건수·관리 포인트 증가
• 공종 경계에서 물량 누락·중복 위험
• 희상의 공정 조정 책임 큼</t>
        </is>
      </c>
      <c r="C14" s="19" t="inlineStr">
        <is>
          <t>• 구성원 간 분담·정산 분쟁 소지
• 삼아 명의대여 의심이 커지기 쉬움
• 연대책임화·자격초과 관리 부담</t>
        </is>
      </c>
    </row>
    <row r="15" ht="66" customHeight="1" s="133">
      <c r="A15" s="17" t="inlineStr">
        <is>
          <t>주의사항</t>
        </is>
      </c>
      <c r="B15" s="18" t="inlineStr">
        <is>
          <t>• 공종 경계·물량을 명확히(누락·중복 방지)
• 삼아 면허범위·실제시공 확인
• 희상의 계획·관리·조정 실질 수행
• 계약별 지급보증·산재 등 확인</t>
        </is>
      </c>
      <c r="C15" s="19" t="inlineStr">
        <is>
          <t>• 분담내역·비율·책임을 협정서에 명확화
• 삼아 분담을 면허·초기 시공능력 범위로 한정
• 실제 시공(인력·장비·현장대리인) 확보
• 내부정산·연대책임 범위 사전 합의</t>
        </is>
      </c>
    </row>
    <row r="16" ht="30" customHeight="1" s="133">
      <c r="A16" s="135" t="inlineStr">
        <is>
          <t>근거: 건설산업기본법 제21조(명의대여 금지)·제25조(수급인 자격제한)·제29조(하도급 제한) · 하도급거래공정화법(원사업자 의무). 실제 계약 시 개별 사안·발주자 요구에 따라 달라질 수 있다.</t>
        </is>
      </c>
    </row>
  </sheetData>
  <mergeCells count="3">
    <mergeCell ref="A1:C1"/>
    <mergeCell ref="A2:C2"/>
    <mergeCell ref="A16:C16"/>
  </mergeCells>
  <pageMargins left="0.5905511811023622" right="0.3937007874015748" top="0.5905511811023622" bottom="0.3937007874015748" header="0.3149606299212598" footer="0.3149606299212598"/>
  <pageSetup orientation="landscape" paperSize="9" scale="9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김찬식 초록마을</dc:creator>
  <dcterms:created xmlns:dcterms="http://purl.org/dc/terms/" xmlns:xsi="http://www.w3.org/2001/XMLSchema-instance" xsi:type="dcterms:W3CDTF">2026-07-10T02:33:48Z</dcterms:created>
  <dcterms:modified xmlns:dcterms="http://purl.org/dc/terms/" xmlns:xsi="http://www.w3.org/2001/XMLSchema-instance" xsi:type="dcterms:W3CDTF">2026-07-10T06:36:33Z</dcterms:modified>
  <cp:lastModifiedBy>김찬식 초록마을</cp:lastModifiedBy>
  <cp:lastPrinted>2026-07-10T05:09:21Z</cp:lastPrinted>
</cp:coreProperties>
</file>