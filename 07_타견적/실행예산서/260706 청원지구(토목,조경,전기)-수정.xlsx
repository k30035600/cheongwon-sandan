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d251688e3d9c1650/Cursor/cheongwon/07_타견적/김보영/"/>
    </mc:Choice>
  </mc:AlternateContent>
  <xr:revisionPtr revIDLastSave="20" documentId="13_ncr:1_{C74BEBD8-EDE0-4DC8-8691-AAECD4CFA32E}" xr6:coauthVersionLast="47" xr6:coauthVersionMax="47" xr10:uidLastSave="{DAD5EAF6-75E4-4442-BC77-FA901C33C834}"/>
  <bookViews>
    <workbookView xWindow="2895" yWindow="2475" windowWidth="28800" windowHeight="15345" activeTab="2" xr2:uid="{00000000-000D-0000-FFFF-FFFF00000000}"/>
  </bookViews>
  <sheets>
    <sheet name="표지" sheetId="1" r:id="rId1"/>
    <sheet name="견적서" sheetId="2" r:id="rId2"/>
    <sheet name="원가계산" sheetId="6" r:id="rId3"/>
    <sheet name="집계표" sheetId="9" r:id="rId4"/>
    <sheet name="토목,조경 내역서" sheetId="4" r:id="rId5"/>
    <sheet name="전기" sheetId="8" r:id="rId6"/>
  </sheets>
  <definedNames>
    <definedName name="_xlnm.Print_Area" localSheetId="5">전기!$A$1:$M$251</definedName>
    <definedName name="_xlnm.Print_Area" localSheetId="3">집계표!$A$1:$M$34</definedName>
    <definedName name="_xlnm.Print_Titles" localSheetId="5">전기!$1:$2</definedName>
    <definedName name="_xlnm.Print_Titles" localSheetId="3">집계표!$1:$2</definedName>
    <definedName name="_xlnm.Print_Titles" localSheetId="4">'토목,조경 내역서'!$1:$2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0" i="6" l="1"/>
  <c r="D6" i="6"/>
  <c r="D5" i="6"/>
  <c r="D4" i="6"/>
  <c r="A5" i="9"/>
  <c r="G4" i="9"/>
  <c r="H4" i="9"/>
  <c r="I4" i="9"/>
  <c r="J4" i="9"/>
  <c r="K4" i="9"/>
  <c r="L4" i="9"/>
  <c r="F4" i="9"/>
  <c r="A4" i="9"/>
  <c r="K250" i="8"/>
  <c r="J250" i="8"/>
  <c r="H250" i="8"/>
  <c r="F250" i="8"/>
  <c r="J249" i="8"/>
  <c r="H249" i="8"/>
  <c r="K248" i="8"/>
  <c r="J248" i="8"/>
  <c r="H248" i="8"/>
  <c r="F248" i="8"/>
  <c r="K247" i="8"/>
  <c r="J247" i="8"/>
  <c r="H247" i="8"/>
  <c r="F247" i="8"/>
  <c r="K246" i="8"/>
  <c r="J246" i="8"/>
  <c r="H246" i="8"/>
  <c r="F246" i="8"/>
  <c r="K245" i="8"/>
  <c r="J245" i="8"/>
  <c r="H245" i="8"/>
  <c r="F245" i="8"/>
  <c r="K244" i="8"/>
  <c r="J244" i="8"/>
  <c r="H244" i="8"/>
  <c r="F244" i="8"/>
  <c r="K243" i="8"/>
  <c r="J243" i="8"/>
  <c r="H243" i="8"/>
  <c r="F243" i="8"/>
  <c r="K242" i="8"/>
  <c r="J242" i="8"/>
  <c r="H242" i="8"/>
  <c r="F242" i="8"/>
  <c r="K241" i="8"/>
  <c r="J241" i="8"/>
  <c r="H241" i="8"/>
  <c r="F241" i="8"/>
  <c r="K240" i="8"/>
  <c r="J240" i="8"/>
  <c r="H240" i="8"/>
  <c r="F240" i="8"/>
  <c r="K239" i="8"/>
  <c r="J239" i="8"/>
  <c r="H239" i="8"/>
  <c r="F239" i="8"/>
  <c r="K238" i="8"/>
  <c r="J238" i="8"/>
  <c r="H238" i="8"/>
  <c r="F238" i="8"/>
  <c r="K237" i="8"/>
  <c r="J237" i="8"/>
  <c r="H237" i="8"/>
  <c r="F237" i="8"/>
  <c r="K236" i="8"/>
  <c r="J236" i="8"/>
  <c r="H236" i="8"/>
  <c r="F236" i="8"/>
  <c r="K235" i="8"/>
  <c r="J235" i="8"/>
  <c r="H235" i="8"/>
  <c r="F235" i="8"/>
  <c r="K234" i="8"/>
  <c r="J234" i="8"/>
  <c r="H234" i="8"/>
  <c r="F234" i="8"/>
  <c r="K233" i="8"/>
  <c r="J233" i="8"/>
  <c r="H233" i="8"/>
  <c r="F233" i="8"/>
  <c r="K232" i="8"/>
  <c r="J232" i="8"/>
  <c r="H232" i="8"/>
  <c r="F232" i="8"/>
  <c r="K231" i="8"/>
  <c r="J231" i="8"/>
  <c r="H231" i="8"/>
  <c r="F231" i="8"/>
  <c r="K230" i="8"/>
  <c r="J230" i="8"/>
  <c r="H230" i="8"/>
  <c r="F230" i="8"/>
  <c r="K229" i="8"/>
  <c r="J229" i="8"/>
  <c r="H229" i="8"/>
  <c r="F229" i="8"/>
  <c r="K228" i="8"/>
  <c r="J228" i="8"/>
  <c r="H228" i="8"/>
  <c r="F228" i="8"/>
  <c r="K227" i="8"/>
  <c r="J227" i="8"/>
  <c r="H227" i="8"/>
  <c r="F227" i="8"/>
  <c r="K226" i="8"/>
  <c r="J226" i="8"/>
  <c r="H226" i="8"/>
  <c r="F226" i="8"/>
  <c r="K225" i="8"/>
  <c r="J225" i="8"/>
  <c r="H225" i="8"/>
  <c r="F225" i="8"/>
  <c r="K224" i="8"/>
  <c r="J224" i="8"/>
  <c r="H224" i="8"/>
  <c r="F224" i="8"/>
  <c r="K223" i="8"/>
  <c r="J223" i="8"/>
  <c r="H223" i="8"/>
  <c r="F223" i="8"/>
  <c r="K222" i="8"/>
  <c r="J222" i="8"/>
  <c r="H222" i="8"/>
  <c r="F222" i="8"/>
  <c r="K221" i="8"/>
  <c r="J221" i="8"/>
  <c r="H221" i="8"/>
  <c r="F221" i="8"/>
  <c r="K220" i="8"/>
  <c r="J220" i="8"/>
  <c r="H220" i="8"/>
  <c r="F220" i="8"/>
  <c r="K219" i="8"/>
  <c r="J219" i="8"/>
  <c r="H219" i="8"/>
  <c r="F219" i="8"/>
  <c r="K218" i="8"/>
  <c r="J218" i="8"/>
  <c r="H218" i="8"/>
  <c r="F218" i="8"/>
  <c r="K217" i="8"/>
  <c r="J217" i="8"/>
  <c r="H217" i="8"/>
  <c r="F217" i="8"/>
  <c r="K216" i="8"/>
  <c r="J216" i="8"/>
  <c r="H216" i="8"/>
  <c r="F216" i="8"/>
  <c r="K215" i="8"/>
  <c r="J215" i="8"/>
  <c r="H215" i="8"/>
  <c r="F215" i="8"/>
  <c r="K214" i="8"/>
  <c r="J214" i="8"/>
  <c r="H214" i="8"/>
  <c r="F214" i="8"/>
  <c r="K213" i="8"/>
  <c r="J213" i="8"/>
  <c r="H213" i="8"/>
  <c r="F213" i="8"/>
  <c r="K212" i="8"/>
  <c r="J212" i="8"/>
  <c r="H212" i="8"/>
  <c r="F212" i="8"/>
  <c r="J211" i="8"/>
  <c r="J10" i="8" s="1"/>
  <c r="H211" i="8"/>
  <c r="H10" i="8" s="1"/>
  <c r="K210" i="8"/>
  <c r="J210" i="8"/>
  <c r="H210" i="8"/>
  <c r="F210" i="8"/>
  <c r="K209" i="8"/>
  <c r="J209" i="8"/>
  <c r="H209" i="8"/>
  <c r="F209" i="8"/>
  <c r="K208" i="8"/>
  <c r="J208" i="8"/>
  <c r="H208" i="8"/>
  <c r="F208" i="8"/>
  <c r="K207" i="8"/>
  <c r="J207" i="8"/>
  <c r="H207" i="8"/>
  <c r="F207" i="8"/>
  <c r="K206" i="8"/>
  <c r="J206" i="8"/>
  <c r="H206" i="8"/>
  <c r="F206" i="8"/>
  <c r="K205" i="8"/>
  <c r="J205" i="8"/>
  <c r="H205" i="8"/>
  <c r="F205" i="8"/>
  <c r="K204" i="8"/>
  <c r="J204" i="8"/>
  <c r="H204" i="8"/>
  <c r="F204" i="8"/>
  <c r="K203" i="8"/>
  <c r="J203" i="8"/>
  <c r="H203" i="8"/>
  <c r="F203" i="8"/>
  <c r="L203" i="8" s="1"/>
  <c r="K202" i="8"/>
  <c r="J202" i="8"/>
  <c r="H202" i="8"/>
  <c r="F202" i="8"/>
  <c r="K201" i="8"/>
  <c r="J201" i="8"/>
  <c r="H201" i="8"/>
  <c r="F201" i="8"/>
  <c r="K200" i="8"/>
  <c r="J200" i="8"/>
  <c r="H200" i="8"/>
  <c r="F200" i="8"/>
  <c r="K199" i="8"/>
  <c r="J199" i="8"/>
  <c r="H199" i="8"/>
  <c r="F199" i="8"/>
  <c r="K198" i="8"/>
  <c r="J198" i="8"/>
  <c r="H198" i="8"/>
  <c r="F198" i="8"/>
  <c r="K197" i="8"/>
  <c r="J197" i="8"/>
  <c r="H197" i="8"/>
  <c r="F197" i="8"/>
  <c r="K196" i="8"/>
  <c r="J196" i="8"/>
  <c r="H196" i="8"/>
  <c r="F196" i="8"/>
  <c r="K195" i="8"/>
  <c r="J195" i="8"/>
  <c r="H195" i="8"/>
  <c r="F195" i="8"/>
  <c r="K194" i="8"/>
  <c r="J194" i="8"/>
  <c r="H194" i="8"/>
  <c r="F194" i="8"/>
  <c r="K193" i="8"/>
  <c r="J193" i="8"/>
  <c r="H193" i="8"/>
  <c r="F193" i="8"/>
  <c r="K192" i="8"/>
  <c r="J192" i="8"/>
  <c r="H192" i="8"/>
  <c r="F192" i="8"/>
  <c r="K191" i="8"/>
  <c r="J191" i="8"/>
  <c r="H191" i="8"/>
  <c r="F191" i="8"/>
  <c r="K190" i="8"/>
  <c r="J190" i="8"/>
  <c r="H190" i="8"/>
  <c r="F190" i="8"/>
  <c r="K189" i="8"/>
  <c r="J189" i="8"/>
  <c r="H189" i="8"/>
  <c r="F189" i="8"/>
  <c r="K188" i="8"/>
  <c r="J188" i="8"/>
  <c r="H188" i="8"/>
  <c r="F188" i="8"/>
  <c r="K187" i="8"/>
  <c r="J187" i="8"/>
  <c r="H187" i="8"/>
  <c r="F187" i="8"/>
  <c r="K186" i="8"/>
  <c r="J186" i="8"/>
  <c r="H186" i="8"/>
  <c r="F186" i="8"/>
  <c r="K185" i="8"/>
  <c r="J185" i="8"/>
  <c r="H185" i="8"/>
  <c r="F185" i="8"/>
  <c r="K184" i="8"/>
  <c r="J184" i="8"/>
  <c r="H184" i="8"/>
  <c r="F184" i="8"/>
  <c r="K183" i="8"/>
  <c r="J183" i="8"/>
  <c r="H183" i="8"/>
  <c r="F183" i="8"/>
  <c r="K182" i="8"/>
  <c r="J182" i="8"/>
  <c r="H182" i="8"/>
  <c r="F182" i="8"/>
  <c r="K181" i="8"/>
  <c r="J181" i="8"/>
  <c r="H181" i="8"/>
  <c r="F181" i="8"/>
  <c r="K180" i="8"/>
  <c r="J180" i="8"/>
  <c r="H180" i="8"/>
  <c r="F180" i="8"/>
  <c r="K179" i="8"/>
  <c r="J179" i="8"/>
  <c r="H179" i="8"/>
  <c r="H178" i="8" s="1"/>
  <c r="H9" i="8" s="1"/>
  <c r="F179" i="8"/>
  <c r="F178" i="8" s="1"/>
  <c r="F9" i="8" s="1"/>
  <c r="J178" i="8"/>
  <c r="J9" i="8" s="1"/>
  <c r="K177" i="8"/>
  <c r="J177" i="8"/>
  <c r="H177" i="8"/>
  <c r="F177" i="8"/>
  <c r="J176" i="8"/>
  <c r="H176" i="8"/>
  <c r="K175" i="8"/>
  <c r="J175" i="8"/>
  <c r="H175" i="8"/>
  <c r="F175" i="8"/>
  <c r="K174" i="8"/>
  <c r="J174" i="8"/>
  <c r="H174" i="8"/>
  <c r="F174" i="8"/>
  <c r="K173" i="8"/>
  <c r="J173" i="8"/>
  <c r="H173" i="8"/>
  <c r="F173" i="8"/>
  <c r="K172" i="8"/>
  <c r="J172" i="8"/>
  <c r="H172" i="8"/>
  <c r="F172" i="8"/>
  <c r="L172" i="8" s="1"/>
  <c r="K171" i="8"/>
  <c r="J171" i="8"/>
  <c r="H171" i="8"/>
  <c r="F171" i="8"/>
  <c r="L171" i="8" s="1"/>
  <c r="K170" i="8"/>
  <c r="J170" i="8"/>
  <c r="H170" i="8"/>
  <c r="F170" i="8"/>
  <c r="L170" i="8" s="1"/>
  <c r="K169" i="8"/>
  <c r="J169" i="8"/>
  <c r="H169" i="8"/>
  <c r="F169" i="8"/>
  <c r="K168" i="8"/>
  <c r="J168" i="8"/>
  <c r="H168" i="8"/>
  <c r="F168" i="8"/>
  <c r="L168" i="8" s="1"/>
  <c r="K167" i="8"/>
  <c r="J167" i="8"/>
  <c r="H167" i="8"/>
  <c r="F167" i="8"/>
  <c r="K166" i="8"/>
  <c r="J166" i="8"/>
  <c r="H166" i="8"/>
  <c r="F166" i="8"/>
  <c r="K165" i="8"/>
  <c r="J165" i="8"/>
  <c r="H165" i="8"/>
  <c r="F165" i="8"/>
  <c r="L165" i="8" s="1"/>
  <c r="K164" i="8"/>
  <c r="J164" i="8"/>
  <c r="H164" i="8"/>
  <c r="F164" i="8"/>
  <c r="K163" i="8"/>
  <c r="J163" i="8"/>
  <c r="H163" i="8"/>
  <c r="F163" i="8"/>
  <c r="K162" i="8"/>
  <c r="J162" i="8"/>
  <c r="H162" i="8"/>
  <c r="F162" i="8"/>
  <c r="K161" i="8"/>
  <c r="J161" i="8"/>
  <c r="H161" i="8"/>
  <c r="F161" i="8"/>
  <c r="K160" i="8"/>
  <c r="J160" i="8"/>
  <c r="H160" i="8"/>
  <c r="F160" i="8"/>
  <c r="K159" i="8"/>
  <c r="J159" i="8"/>
  <c r="H159" i="8"/>
  <c r="F159" i="8"/>
  <c r="K158" i="8"/>
  <c r="J158" i="8"/>
  <c r="H158" i="8"/>
  <c r="F158" i="8"/>
  <c r="K157" i="8"/>
  <c r="J157" i="8"/>
  <c r="H157" i="8"/>
  <c r="F157" i="8"/>
  <c r="K156" i="8"/>
  <c r="J156" i="8"/>
  <c r="H156" i="8"/>
  <c r="F156" i="8"/>
  <c r="K155" i="8"/>
  <c r="J155" i="8"/>
  <c r="H155" i="8"/>
  <c r="F155" i="8"/>
  <c r="K154" i="8"/>
  <c r="J154" i="8"/>
  <c r="H154" i="8"/>
  <c r="F154" i="8"/>
  <c r="K153" i="8"/>
  <c r="J153" i="8"/>
  <c r="H153" i="8"/>
  <c r="F153" i="8"/>
  <c r="K152" i="8"/>
  <c r="J152" i="8"/>
  <c r="H152" i="8"/>
  <c r="F152" i="8"/>
  <c r="K151" i="8"/>
  <c r="J151" i="8"/>
  <c r="H151" i="8"/>
  <c r="F151" i="8"/>
  <c r="K150" i="8"/>
  <c r="J150" i="8"/>
  <c r="H150" i="8"/>
  <c r="F150" i="8"/>
  <c r="K149" i="8"/>
  <c r="J149" i="8"/>
  <c r="H149" i="8"/>
  <c r="F149" i="8"/>
  <c r="K148" i="8"/>
  <c r="J148" i="8"/>
  <c r="H148" i="8"/>
  <c r="F148" i="8"/>
  <c r="K147" i="8"/>
  <c r="J147" i="8"/>
  <c r="H147" i="8"/>
  <c r="F147" i="8"/>
  <c r="K146" i="8"/>
  <c r="J146" i="8"/>
  <c r="H146" i="8"/>
  <c r="F146" i="8"/>
  <c r="K145" i="8"/>
  <c r="J145" i="8"/>
  <c r="H145" i="8"/>
  <c r="F145" i="8"/>
  <c r="K144" i="8"/>
  <c r="J144" i="8"/>
  <c r="H144" i="8"/>
  <c r="F144" i="8"/>
  <c r="K143" i="8"/>
  <c r="J143" i="8"/>
  <c r="H143" i="8"/>
  <c r="F143" i="8"/>
  <c r="K142" i="8"/>
  <c r="J142" i="8"/>
  <c r="H142" i="8"/>
  <c r="F142" i="8"/>
  <c r="K141" i="8"/>
  <c r="J141" i="8"/>
  <c r="H141" i="8"/>
  <c r="F141" i="8"/>
  <c r="K140" i="8"/>
  <c r="J140" i="8"/>
  <c r="H140" i="8"/>
  <c r="F140" i="8"/>
  <c r="K139" i="8"/>
  <c r="J139" i="8"/>
  <c r="H139" i="8"/>
  <c r="F139" i="8"/>
  <c r="K138" i="8"/>
  <c r="J138" i="8"/>
  <c r="H138" i="8"/>
  <c r="F138" i="8"/>
  <c r="K137" i="8"/>
  <c r="J137" i="8"/>
  <c r="H137" i="8"/>
  <c r="F137" i="8"/>
  <c r="K136" i="8"/>
  <c r="J136" i="8"/>
  <c r="H136" i="8"/>
  <c r="F136" i="8"/>
  <c r="K135" i="8"/>
  <c r="J135" i="8"/>
  <c r="H135" i="8"/>
  <c r="F135" i="8"/>
  <c r="K134" i="8"/>
  <c r="J134" i="8"/>
  <c r="H134" i="8"/>
  <c r="F134" i="8"/>
  <c r="K133" i="8"/>
  <c r="J133" i="8"/>
  <c r="H133" i="8"/>
  <c r="F133" i="8"/>
  <c r="J132" i="8"/>
  <c r="J7" i="8" s="1"/>
  <c r="K131" i="8"/>
  <c r="J131" i="8"/>
  <c r="H131" i="8"/>
  <c r="F131" i="8"/>
  <c r="L131" i="8" s="1"/>
  <c r="K130" i="8"/>
  <c r="J130" i="8"/>
  <c r="H130" i="8"/>
  <c r="F130" i="8"/>
  <c r="L130" i="8" s="1"/>
  <c r="K129" i="8"/>
  <c r="J129" i="8"/>
  <c r="H129" i="8"/>
  <c r="F129" i="8"/>
  <c r="L129" i="8" s="1"/>
  <c r="K128" i="8"/>
  <c r="J128" i="8"/>
  <c r="H128" i="8"/>
  <c r="F128" i="8"/>
  <c r="K127" i="8"/>
  <c r="J127" i="8"/>
  <c r="H127" i="8"/>
  <c r="F127" i="8"/>
  <c r="L127" i="8" s="1"/>
  <c r="K126" i="8"/>
  <c r="J126" i="8"/>
  <c r="H126" i="8"/>
  <c r="F126" i="8"/>
  <c r="L126" i="8" s="1"/>
  <c r="K125" i="8"/>
  <c r="J125" i="8"/>
  <c r="H125" i="8"/>
  <c r="F125" i="8"/>
  <c r="K124" i="8"/>
  <c r="J124" i="8"/>
  <c r="H124" i="8"/>
  <c r="F124" i="8"/>
  <c r="K123" i="8"/>
  <c r="J123" i="8"/>
  <c r="H123" i="8"/>
  <c r="F123" i="8"/>
  <c r="K122" i="8"/>
  <c r="J122" i="8"/>
  <c r="H122" i="8"/>
  <c r="F122" i="8"/>
  <c r="K121" i="8"/>
  <c r="J121" i="8"/>
  <c r="H121" i="8"/>
  <c r="F121" i="8"/>
  <c r="K120" i="8"/>
  <c r="J120" i="8"/>
  <c r="H120" i="8"/>
  <c r="F120" i="8"/>
  <c r="K119" i="8"/>
  <c r="J119" i="8"/>
  <c r="H119" i="8"/>
  <c r="F119" i="8"/>
  <c r="K118" i="8"/>
  <c r="J118" i="8"/>
  <c r="H118" i="8"/>
  <c r="F118" i="8"/>
  <c r="K117" i="8"/>
  <c r="J117" i="8"/>
  <c r="H117" i="8"/>
  <c r="F117" i="8"/>
  <c r="K116" i="8"/>
  <c r="J116" i="8"/>
  <c r="H116" i="8"/>
  <c r="F116" i="8"/>
  <c r="K115" i="8"/>
  <c r="J115" i="8"/>
  <c r="H115" i="8"/>
  <c r="F115" i="8"/>
  <c r="K114" i="8"/>
  <c r="J114" i="8"/>
  <c r="H114" i="8"/>
  <c r="F114" i="8"/>
  <c r="K113" i="8"/>
  <c r="J113" i="8"/>
  <c r="H113" i="8"/>
  <c r="F113" i="8"/>
  <c r="K112" i="8"/>
  <c r="J112" i="8"/>
  <c r="H112" i="8"/>
  <c r="F112" i="8"/>
  <c r="K111" i="8"/>
  <c r="J111" i="8"/>
  <c r="H111" i="8"/>
  <c r="F111" i="8"/>
  <c r="K110" i="8"/>
  <c r="J110" i="8"/>
  <c r="H110" i="8"/>
  <c r="F110" i="8"/>
  <c r="K109" i="8"/>
  <c r="J109" i="8"/>
  <c r="H109" i="8"/>
  <c r="F109" i="8"/>
  <c r="K108" i="8"/>
  <c r="J108" i="8"/>
  <c r="H108" i="8"/>
  <c r="H107" i="8" s="1"/>
  <c r="H6" i="8" s="1"/>
  <c r="F108" i="8"/>
  <c r="K106" i="8"/>
  <c r="J106" i="8"/>
  <c r="H106" i="8"/>
  <c r="F106" i="8"/>
  <c r="K105" i="8"/>
  <c r="J105" i="8"/>
  <c r="H105" i="8"/>
  <c r="F105" i="8"/>
  <c r="L105" i="8" s="1"/>
  <c r="K104" i="8"/>
  <c r="J104" i="8"/>
  <c r="H104" i="8"/>
  <c r="F104" i="8"/>
  <c r="L104" i="8" s="1"/>
  <c r="K103" i="8"/>
  <c r="J103" i="8"/>
  <c r="H103" i="8"/>
  <c r="F103" i="8"/>
  <c r="K102" i="8"/>
  <c r="J102" i="8"/>
  <c r="H102" i="8"/>
  <c r="F102" i="8"/>
  <c r="K101" i="8"/>
  <c r="J101" i="8"/>
  <c r="H101" i="8"/>
  <c r="F101" i="8"/>
  <c r="L101" i="8" s="1"/>
  <c r="K100" i="8"/>
  <c r="J100" i="8"/>
  <c r="H100" i="8"/>
  <c r="F100" i="8"/>
  <c r="K99" i="8"/>
  <c r="J99" i="8"/>
  <c r="H99" i="8"/>
  <c r="F99" i="8"/>
  <c r="K98" i="8"/>
  <c r="J98" i="8"/>
  <c r="H98" i="8"/>
  <c r="F98" i="8"/>
  <c r="K97" i="8"/>
  <c r="J97" i="8"/>
  <c r="H97" i="8"/>
  <c r="F97" i="8"/>
  <c r="L97" i="8" s="1"/>
  <c r="K96" i="8"/>
  <c r="J96" i="8"/>
  <c r="H96" i="8"/>
  <c r="F96" i="8"/>
  <c r="L96" i="8" s="1"/>
  <c r="K95" i="8"/>
  <c r="J95" i="8"/>
  <c r="H95" i="8"/>
  <c r="F95" i="8"/>
  <c r="K94" i="8"/>
  <c r="J94" i="8"/>
  <c r="H94" i="8"/>
  <c r="F94" i="8"/>
  <c r="L94" i="8" s="1"/>
  <c r="K93" i="8"/>
  <c r="J93" i="8"/>
  <c r="H93" i="8"/>
  <c r="F93" i="8"/>
  <c r="K92" i="8"/>
  <c r="J92" i="8"/>
  <c r="H92" i="8"/>
  <c r="F92" i="8"/>
  <c r="K91" i="8"/>
  <c r="J91" i="8"/>
  <c r="H91" i="8"/>
  <c r="F91" i="8"/>
  <c r="K90" i="8"/>
  <c r="J90" i="8"/>
  <c r="H90" i="8"/>
  <c r="F90" i="8"/>
  <c r="K89" i="8"/>
  <c r="J89" i="8"/>
  <c r="H89" i="8"/>
  <c r="F89" i="8"/>
  <c r="K88" i="8"/>
  <c r="J88" i="8"/>
  <c r="H88" i="8"/>
  <c r="F88" i="8"/>
  <c r="K87" i="8"/>
  <c r="J87" i="8"/>
  <c r="H87" i="8"/>
  <c r="F87" i="8"/>
  <c r="K86" i="8"/>
  <c r="J86" i="8"/>
  <c r="H86" i="8"/>
  <c r="F86" i="8"/>
  <c r="K85" i="8"/>
  <c r="J85" i="8"/>
  <c r="H85" i="8"/>
  <c r="F85" i="8"/>
  <c r="K84" i="8"/>
  <c r="J84" i="8"/>
  <c r="H84" i="8"/>
  <c r="F84" i="8"/>
  <c r="K83" i="8"/>
  <c r="J83" i="8"/>
  <c r="H83" i="8"/>
  <c r="F83" i="8"/>
  <c r="K82" i="8"/>
  <c r="J82" i="8"/>
  <c r="H82" i="8"/>
  <c r="F82" i="8"/>
  <c r="K81" i="8"/>
  <c r="J81" i="8"/>
  <c r="H81" i="8"/>
  <c r="F81" i="8"/>
  <c r="K80" i="8"/>
  <c r="J80" i="8"/>
  <c r="H80" i="8"/>
  <c r="F80" i="8"/>
  <c r="K79" i="8"/>
  <c r="J79" i="8"/>
  <c r="H79" i="8"/>
  <c r="F79" i="8"/>
  <c r="K78" i="8"/>
  <c r="J78" i="8"/>
  <c r="H78" i="8"/>
  <c r="F78" i="8"/>
  <c r="K77" i="8"/>
  <c r="J77" i="8"/>
  <c r="H77" i="8"/>
  <c r="F77" i="8"/>
  <c r="K76" i="8"/>
  <c r="J76" i="8"/>
  <c r="H76" i="8"/>
  <c r="F76" i="8"/>
  <c r="K75" i="8"/>
  <c r="J75" i="8"/>
  <c r="J74" i="8" s="1"/>
  <c r="J5" i="8" s="1"/>
  <c r="H75" i="8"/>
  <c r="H74" i="8" s="1"/>
  <c r="H5" i="8" s="1"/>
  <c r="F75" i="8"/>
  <c r="K73" i="8"/>
  <c r="J73" i="8"/>
  <c r="H73" i="8"/>
  <c r="F73" i="8"/>
  <c r="K72" i="8"/>
  <c r="J72" i="8"/>
  <c r="H72" i="8"/>
  <c r="F72" i="8"/>
  <c r="K71" i="8"/>
  <c r="J71" i="8"/>
  <c r="H71" i="8"/>
  <c r="F71" i="8"/>
  <c r="K70" i="8"/>
  <c r="J70" i="8"/>
  <c r="H70" i="8"/>
  <c r="F70" i="8"/>
  <c r="K69" i="8"/>
  <c r="J69" i="8"/>
  <c r="H69" i="8"/>
  <c r="F69" i="8"/>
  <c r="K68" i="8"/>
  <c r="J68" i="8"/>
  <c r="H68" i="8"/>
  <c r="F68" i="8"/>
  <c r="K67" i="8"/>
  <c r="J67" i="8"/>
  <c r="H67" i="8"/>
  <c r="F67" i="8"/>
  <c r="K66" i="8"/>
  <c r="J66" i="8"/>
  <c r="H66" i="8"/>
  <c r="F66" i="8"/>
  <c r="K65" i="8"/>
  <c r="J65" i="8"/>
  <c r="H65" i="8"/>
  <c r="F65" i="8"/>
  <c r="K64" i="8"/>
  <c r="J64" i="8"/>
  <c r="H64" i="8"/>
  <c r="F64" i="8"/>
  <c r="K63" i="8"/>
  <c r="J63" i="8"/>
  <c r="H63" i="8"/>
  <c r="F63" i="8"/>
  <c r="K62" i="8"/>
  <c r="J62" i="8"/>
  <c r="H62" i="8"/>
  <c r="F62" i="8"/>
  <c r="K61" i="8"/>
  <c r="J61" i="8"/>
  <c r="H61" i="8"/>
  <c r="F61" i="8"/>
  <c r="K60" i="8"/>
  <c r="J60" i="8"/>
  <c r="H60" i="8"/>
  <c r="F60" i="8"/>
  <c r="K59" i="8"/>
  <c r="J59" i="8"/>
  <c r="H59" i="8"/>
  <c r="F59" i="8"/>
  <c r="K58" i="8"/>
  <c r="J58" i="8"/>
  <c r="H58" i="8"/>
  <c r="F58" i="8"/>
  <c r="K57" i="8"/>
  <c r="J57" i="8"/>
  <c r="H57" i="8"/>
  <c r="F57" i="8"/>
  <c r="K56" i="8"/>
  <c r="J56" i="8"/>
  <c r="H56" i="8"/>
  <c r="F56" i="8"/>
  <c r="K55" i="8"/>
  <c r="J55" i="8"/>
  <c r="H55" i="8"/>
  <c r="F55" i="8"/>
  <c r="K54" i="8"/>
  <c r="J54" i="8"/>
  <c r="H54" i="8"/>
  <c r="F54" i="8"/>
  <c r="K53" i="8"/>
  <c r="J53" i="8"/>
  <c r="H53" i="8"/>
  <c r="F53" i="8"/>
  <c r="K52" i="8"/>
  <c r="J52" i="8"/>
  <c r="H52" i="8"/>
  <c r="F52" i="8"/>
  <c r="K51" i="8"/>
  <c r="J51" i="8"/>
  <c r="H51" i="8"/>
  <c r="F51" i="8"/>
  <c r="K50" i="8"/>
  <c r="J50" i="8"/>
  <c r="H50" i="8"/>
  <c r="F50" i="8"/>
  <c r="K49" i="8"/>
  <c r="J49" i="8"/>
  <c r="H49" i="8"/>
  <c r="F49" i="8"/>
  <c r="K48" i="8"/>
  <c r="J48" i="8"/>
  <c r="H48" i="8"/>
  <c r="F48" i="8"/>
  <c r="K47" i="8"/>
  <c r="J47" i="8"/>
  <c r="H47" i="8"/>
  <c r="F47" i="8"/>
  <c r="K46" i="8"/>
  <c r="J46" i="8"/>
  <c r="H46" i="8"/>
  <c r="F46" i="8"/>
  <c r="K45" i="8"/>
  <c r="J45" i="8"/>
  <c r="H45" i="8"/>
  <c r="F45" i="8"/>
  <c r="K44" i="8"/>
  <c r="J44" i="8"/>
  <c r="H44" i="8"/>
  <c r="F44" i="8"/>
  <c r="K43" i="8"/>
  <c r="J43" i="8"/>
  <c r="H43" i="8"/>
  <c r="F43" i="8"/>
  <c r="K42" i="8"/>
  <c r="J42" i="8"/>
  <c r="H42" i="8"/>
  <c r="F42" i="8"/>
  <c r="K41" i="8"/>
  <c r="J41" i="8"/>
  <c r="H41" i="8"/>
  <c r="F41" i="8"/>
  <c r="K40" i="8"/>
  <c r="J40" i="8"/>
  <c r="H40" i="8"/>
  <c r="F40" i="8"/>
  <c r="K39" i="8"/>
  <c r="J39" i="8"/>
  <c r="H39" i="8"/>
  <c r="F39" i="8"/>
  <c r="K38" i="8"/>
  <c r="J38" i="8"/>
  <c r="H38" i="8"/>
  <c r="F38" i="8"/>
  <c r="K37" i="8"/>
  <c r="J37" i="8"/>
  <c r="H37" i="8"/>
  <c r="F37" i="8"/>
  <c r="K36" i="8"/>
  <c r="J36" i="8"/>
  <c r="H36" i="8"/>
  <c r="F36" i="8"/>
  <c r="K35" i="8"/>
  <c r="J35" i="8"/>
  <c r="H35" i="8"/>
  <c r="F35" i="8"/>
  <c r="J34" i="8"/>
  <c r="K11" i="8"/>
  <c r="J11" i="8"/>
  <c r="I11" i="8"/>
  <c r="H11" i="8"/>
  <c r="G11" i="8"/>
  <c r="A11" i="8"/>
  <c r="K10" i="8"/>
  <c r="I10" i="8"/>
  <c r="G10" i="8"/>
  <c r="A10" i="8"/>
  <c r="K9" i="8"/>
  <c r="I9" i="8"/>
  <c r="G9" i="8"/>
  <c r="A9" i="8"/>
  <c r="K8" i="8"/>
  <c r="J8" i="8"/>
  <c r="I8" i="8"/>
  <c r="H8" i="8"/>
  <c r="G8" i="8"/>
  <c r="A8" i="8"/>
  <c r="K7" i="8"/>
  <c r="I7" i="8"/>
  <c r="G7" i="8"/>
  <c r="A7" i="8"/>
  <c r="K6" i="8"/>
  <c r="I6" i="8"/>
  <c r="G6" i="8"/>
  <c r="A6" i="8"/>
  <c r="K5" i="8"/>
  <c r="I5" i="8"/>
  <c r="G5" i="8"/>
  <c r="A5" i="8"/>
  <c r="K4" i="8"/>
  <c r="I4" i="8"/>
  <c r="G4" i="8"/>
  <c r="A4" i="8"/>
  <c r="K3" i="8"/>
  <c r="K5" i="9" s="1"/>
  <c r="K3" i="9" s="1"/>
  <c r="I3" i="8"/>
  <c r="I5" i="9" s="1"/>
  <c r="I3" i="9" s="1"/>
  <c r="G3" i="8"/>
  <c r="G5" i="9" s="1"/>
  <c r="G3" i="9" s="1"/>
  <c r="G15" i="2"/>
  <c r="I15" i="2"/>
  <c r="K15" i="2"/>
  <c r="J13" i="2"/>
  <c r="H13" i="2"/>
  <c r="H15" i="2" s="1"/>
  <c r="H17" i="2" s="1"/>
  <c r="F13" i="2"/>
  <c r="F15" i="2" s="1"/>
  <c r="F17" i="2" s="1"/>
  <c r="F287" i="4"/>
  <c r="F288" i="4"/>
  <c r="F290" i="4"/>
  <c r="F291" i="4"/>
  <c r="F293" i="4"/>
  <c r="F296" i="4"/>
  <c r="F297" i="4"/>
  <c r="F299" i="4"/>
  <c r="F300" i="4"/>
  <c r="F302" i="4"/>
  <c r="F305" i="4"/>
  <c r="F307" i="4"/>
  <c r="F308" i="4"/>
  <c r="F310" i="4"/>
  <c r="F311" i="4"/>
  <c r="F313" i="4"/>
  <c r="F314" i="4"/>
  <c r="F315" i="4"/>
  <c r="F316" i="4"/>
  <c r="F317" i="4"/>
  <c r="F318" i="4"/>
  <c r="F319" i="4"/>
  <c r="F320" i="4"/>
  <c r="F321" i="4"/>
  <c r="F322" i="4"/>
  <c r="F324" i="4"/>
  <c r="F325" i="4"/>
  <c r="F326" i="4"/>
  <c r="F328" i="4"/>
  <c r="F329" i="4"/>
  <c r="F330" i="4"/>
  <c r="F333" i="4"/>
  <c r="F334" i="4"/>
  <c r="F336" i="4"/>
  <c r="F338" i="4"/>
  <c r="F339" i="4"/>
  <c r="F340" i="4"/>
  <c r="F341" i="4"/>
  <c r="F343" i="4"/>
  <c r="F344" i="4"/>
  <c r="F346" i="4"/>
  <c r="F347" i="4"/>
  <c r="F348" i="4"/>
  <c r="F350" i="4"/>
  <c r="J69" i="4"/>
  <c r="J68" i="4"/>
  <c r="H68" i="4"/>
  <c r="H69" i="4"/>
  <c r="H587" i="4"/>
  <c r="J587" i="4"/>
  <c r="A46" i="4"/>
  <c r="A38" i="4"/>
  <c r="A39" i="4"/>
  <c r="A40" i="4"/>
  <c r="A41" i="4"/>
  <c r="A42" i="4"/>
  <c r="A43" i="4"/>
  <c r="A44" i="4"/>
  <c r="A37" i="4"/>
  <c r="A36" i="4"/>
  <c r="A35" i="4"/>
  <c r="A33" i="4"/>
  <c r="A32" i="4"/>
  <c r="A31" i="4"/>
  <c r="A30" i="4"/>
  <c r="A29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M5" i="4"/>
  <c r="A5" i="4"/>
  <c r="K1561" i="4"/>
  <c r="J1561" i="4"/>
  <c r="H1561" i="4"/>
  <c r="F1561" i="4"/>
  <c r="K1560" i="4"/>
  <c r="J1560" i="4"/>
  <c r="H1560" i="4"/>
  <c r="H1559" i="4" s="1"/>
  <c r="F1560" i="4"/>
  <c r="K1555" i="4"/>
  <c r="J1555" i="4"/>
  <c r="H1555" i="4"/>
  <c r="F1555" i="4"/>
  <c r="K1554" i="4"/>
  <c r="J1554" i="4"/>
  <c r="H1554" i="4"/>
  <c r="F1554" i="4"/>
  <c r="K1553" i="4"/>
  <c r="J1553" i="4"/>
  <c r="H1553" i="4"/>
  <c r="F1553" i="4"/>
  <c r="L1553" i="4" s="1"/>
  <c r="K1552" i="4"/>
  <c r="J1552" i="4"/>
  <c r="H1552" i="4"/>
  <c r="F1552" i="4"/>
  <c r="L1552" i="4" s="1"/>
  <c r="K1551" i="4"/>
  <c r="J1551" i="4"/>
  <c r="H1551" i="4"/>
  <c r="F1551" i="4"/>
  <c r="L1551" i="4" s="1"/>
  <c r="K1550" i="4"/>
  <c r="J1550" i="4"/>
  <c r="H1550" i="4"/>
  <c r="F1550" i="4"/>
  <c r="L1550" i="4" s="1"/>
  <c r="K1549" i="4"/>
  <c r="J1549" i="4"/>
  <c r="H1549" i="4"/>
  <c r="F1549" i="4"/>
  <c r="K1548" i="4"/>
  <c r="J1548" i="4"/>
  <c r="H1548" i="4"/>
  <c r="F1548" i="4"/>
  <c r="K1547" i="4"/>
  <c r="J1547" i="4"/>
  <c r="H1547" i="4"/>
  <c r="F1547" i="4"/>
  <c r="K1546" i="4"/>
  <c r="J1546" i="4"/>
  <c r="H1546" i="4"/>
  <c r="F1546" i="4"/>
  <c r="L1546" i="4" s="1"/>
  <c r="K1543" i="4"/>
  <c r="J1543" i="4"/>
  <c r="H1543" i="4"/>
  <c r="F1543" i="4"/>
  <c r="K1542" i="4"/>
  <c r="J1542" i="4"/>
  <c r="H1542" i="4"/>
  <c r="F1542" i="4"/>
  <c r="K1541" i="4"/>
  <c r="J1541" i="4"/>
  <c r="H1541" i="4"/>
  <c r="F1541" i="4"/>
  <c r="K1540" i="4"/>
  <c r="J1540" i="4"/>
  <c r="H1540" i="4"/>
  <c r="F1540" i="4"/>
  <c r="K1539" i="4"/>
  <c r="J1539" i="4"/>
  <c r="H1539" i="4"/>
  <c r="F1539" i="4"/>
  <c r="L1539" i="4" s="1"/>
  <c r="K1538" i="4"/>
  <c r="J1538" i="4"/>
  <c r="H1538" i="4"/>
  <c r="F1538" i="4"/>
  <c r="K1537" i="4"/>
  <c r="J1537" i="4"/>
  <c r="H1537" i="4"/>
  <c r="F1537" i="4"/>
  <c r="K1536" i="4"/>
  <c r="J1536" i="4"/>
  <c r="H1536" i="4"/>
  <c r="F1536" i="4"/>
  <c r="K1535" i="4"/>
  <c r="J1535" i="4"/>
  <c r="H1535" i="4"/>
  <c r="F1535" i="4"/>
  <c r="K1534" i="4"/>
  <c r="J1534" i="4"/>
  <c r="H1534" i="4"/>
  <c r="F1534" i="4"/>
  <c r="K1533" i="4"/>
  <c r="J1533" i="4"/>
  <c r="H1533" i="4"/>
  <c r="F1533" i="4"/>
  <c r="K1532" i="4"/>
  <c r="J1532" i="4"/>
  <c r="J1531" i="4" s="1"/>
  <c r="J43" i="4" s="1"/>
  <c r="H1532" i="4"/>
  <c r="F1532" i="4"/>
  <c r="F1531" i="4" s="1"/>
  <c r="F43" i="4" s="1"/>
  <c r="J1529" i="4"/>
  <c r="F1529" i="4"/>
  <c r="J1528" i="4"/>
  <c r="F1528" i="4"/>
  <c r="J1527" i="4"/>
  <c r="F1527" i="4"/>
  <c r="J1526" i="4"/>
  <c r="F1526" i="4"/>
  <c r="J1525" i="4"/>
  <c r="F1525" i="4"/>
  <c r="J1524" i="4"/>
  <c r="F1524" i="4"/>
  <c r="J1523" i="4"/>
  <c r="F1523" i="4"/>
  <c r="J1522" i="4"/>
  <c r="F1522" i="4"/>
  <c r="J1521" i="4"/>
  <c r="F1521" i="4"/>
  <c r="J1520" i="4"/>
  <c r="F1520" i="4"/>
  <c r="J1519" i="4"/>
  <c r="F1519" i="4"/>
  <c r="J1518" i="4"/>
  <c r="F1518" i="4"/>
  <c r="J1517" i="4"/>
  <c r="F1517" i="4"/>
  <c r="J1516" i="4"/>
  <c r="F1516" i="4"/>
  <c r="K1513" i="4"/>
  <c r="J1513" i="4"/>
  <c r="H1513" i="4"/>
  <c r="F1513" i="4"/>
  <c r="K1512" i="4"/>
  <c r="J1512" i="4"/>
  <c r="H1512" i="4"/>
  <c r="F1512" i="4"/>
  <c r="K1511" i="4"/>
  <c r="J1511" i="4"/>
  <c r="H1511" i="4"/>
  <c r="F1511" i="4"/>
  <c r="K1510" i="4"/>
  <c r="J1510" i="4"/>
  <c r="H1510" i="4"/>
  <c r="F1510" i="4"/>
  <c r="L1510" i="4" s="1"/>
  <c r="K1509" i="4"/>
  <c r="J1509" i="4"/>
  <c r="H1509" i="4"/>
  <c r="F1509" i="4"/>
  <c r="L1509" i="4" s="1"/>
  <c r="K1508" i="4"/>
  <c r="J1508" i="4"/>
  <c r="H1508" i="4"/>
  <c r="F1508" i="4"/>
  <c r="K1507" i="4"/>
  <c r="J1507" i="4"/>
  <c r="H1507" i="4"/>
  <c r="F1507" i="4"/>
  <c r="K1506" i="4"/>
  <c r="J1506" i="4"/>
  <c r="H1506" i="4"/>
  <c r="F1506" i="4"/>
  <c r="K1505" i="4"/>
  <c r="J1505" i="4"/>
  <c r="H1505" i="4"/>
  <c r="F1505" i="4"/>
  <c r="K1504" i="4"/>
  <c r="J1504" i="4"/>
  <c r="H1504" i="4"/>
  <c r="F1504" i="4"/>
  <c r="K1503" i="4"/>
  <c r="J1503" i="4"/>
  <c r="H1503" i="4"/>
  <c r="F1503" i="4"/>
  <c r="K1502" i="4"/>
  <c r="J1502" i="4"/>
  <c r="H1502" i="4"/>
  <c r="F1502" i="4"/>
  <c r="K1501" i="4"/>
  <c r="J1501" i="4"/>
  <c r="H1501" i="4"/>
  <c r="F1501" i="4"/>
  <c r="K1500" i="4"/>
  <c r="J1500" i="4"/>
  <c r="H1500" i="4"/>
  <c r="F1500" i="4"/>
  <c r="K1497" i="4"/>
  <c r="J1497" i="4"/>
  <c r="H1497" i="4"/>
  <c r="F1497" i="4"/>
  <c r="K1496" i="4"/>
  <c r="J1496" i="4"/>
  <c r="H1496" i="4"/>
  <c r="F1496" i="4"/>
  <c r="K1495" i="4"/>
  <c r="J1495" i="4"/>
  <c r="H1495" i="4"/>
  <c r="F1495" i="4"/>
  <c r="K1494" i="4"/>
  <c r="J1494" i="4"/>
  <c r="H1494" i="4"/>
  <c r="F1494" i="4"/>
  <c r="K1493" i="4"/>
  <c r="J1493" i="4"/>
  <c r="H1493" i="4"/>
  <c r="F1493" i="4"/>
  <c r="K1492" i="4"/>
  <c r="J1492" i="4"/>
  <c r="H1492" i="4"/>
  <c r="F1492" i="4"/>
  <c r="K1491" i="4"/>
  <c r="J1491" i="4"/>
  <c r="H1491" i="4"/>
  <c r="F1491" i="4"/>
  <c r="K1490" i="4"/>
  <c r="J1490" i="4"/>
  <c r="H1490" i="4"/>
  <c r="F1490" i="4"/>
  <c r="L1490" i="4" s="1"/>
  <c r="K1489" i="4"/>
  <c r="J1489" i="4"/>
  <c r="H1489" i="4"/>
  <c r="F1489" i="4"/>
  <c r="K1488" i="4"/>
  <c r="J1488" i="4"/>
  <c r="H1488" i="4"/>
  <c r="F1488" i="4"/>
  <c r="L1488" i="4" s="1"/>
  <c r="K1487" i="4"/>
  <c r="J1487" i="4"/>
  <c r="H1487" i="4"/>
  <c r="F1487" i="4"/>
  <c r="K1486" i="4"/>
  <c r="J1486" i="4"/>
  <c r="H1486" i="4"/>
  <c r="F1486" i="4"/>
  <c r="K1485" i="4"/>
  <c r="J1485" i="4"/>
  <c r="H1485" i="4"/>
  <c r="F1485" i="4"/>
  <c r="K1484" i="4"/>
  <c r="J1484" i="4"/>
  <c r="H1484" i="4"/>
  <c r="F1484" i="4"/>
  <c r="K1483" i="4"/>
  <c r="J1483" i="4"/>
  <c r="H1483" i="4"/>
  <c r="F1483" i="4"/>
  <c r="K1480" i="4"/>
  <c r="J1480" i="4"/>
  <c r="H1480" i="4"/>
  <c r="F1480" i="4"/>
  <c r="K1479" i="4"/>
  <c r="J1479" i="4"/>
  <c r="H1479" i="4"/>
  <c r="F1479" i="4"/>
  <c r="K1478" i="4"/>
  <c r="J1478" i="4"/>
  <c r="H1478" i="4"/>
  <c r="F1478" i="4"/>
  <c r="K1477" i="4"/>
  <c r="J1477" i="4"/>
  <c r="H1477" i="4"/>
  <c r="F1477" i="4"/>
  <c r="K1476" i="4"/>
  <c r="J1476" i="4"/>
  <c r="H1476" i="4"/>
  <c r="F1476" i="4"/>
  <c r="K1475" i="4"/>
  <c r="J1475" i="4"/>
  <c r="H1475" i="4"/>
  <c r="F1475" i="4"/>
  <c r="L1475" i="4" s="1"/>
  <c r="K1474" i="4"/>
  <c r="J1474" i="4"/>
  <c r="H1474" i="4"/>
  <c r="F1474" i="4"/>
  <c r="L1474" i="4" s="1"/>
  <c r="K1473" i="4"/>
  <c r="J1473" i="4"/>
  <c r="H1473" i="4"/>
  <c r="F1473" i="4"/>
  <c r="L1473" i="4" s="1"/>
  <c r="K1472" i="4"/>
  <c r="J1472" i="4"/>
  <c r="H1472" i="4"/>
  <c r="F1472" i="4"/>
  <c r="K1471" i="4"/>
  <c r="J1471" i="4"/>
  <c r="H1471" i="4"/>
  <c r="F1471" i="4"/>
  <c r="K1470" i="4"/>
  <c r="J1470" i="4"/>
  <c r="H1470" i="4"/>
  <c r="F1470" i="4"/>
  <c r="K1469" i="4"/>
  <c r="J1469" i="4"/>
  <c r="H1469" i="4"/>
  <c r="F1469" i="4"/>
  <c r="K1468" i="4"/>
  <c r="J1468" i="4"/>
  <c r="H1468" i="4"/>
  <c r="F1468" i="4"/>
  <c r="K1467" i="4"/>
  <c r="J1467" i="4"/>
  <c r="H1467" i="4"/>
  <c r="F1467" i="4"/>
  <c r="L1467" i="4" s="1"/>
  <c r="K1466" i="4"/>
  <c r="J1466" i="4"/>
  <c r="H1466" i="4"/>
  <c r="F1466" i="4"/>
  <c r="K1463" i="4"/>
  <c r="J1463" i="4"/>
  <c r="H1463" i="4"/>
  <c r="F1463" i="4"/>
  <c r="K1462" i="4"/>
  <c r="J1462" i="4"/>
  <c r="H1462" i="4"/>
  <c r="F1462" i="4"/>
  <c r="K1461" i="4"/>
  <c r="J1461" i="4"/>
  <c r="H1461" i="4"/>
  <c r="F1461" i="4"/>
  <c r="K1460" i="4"/>
  <c r="J1460" i="4"/>
  <c r="H1460" i="4"/>
  <c r="F1460" i="4"/>
  <c r="L1460" i="4" s="1"/>
  <c r="K1459" i="4"/>
  <c r="J1459" i="4"/>
  <c r="H1459" i="4"/>
  <c r="F1459" i="4"/>
  <c r="K1458" i="4"/>
  <c r="J1458" i="4"/>
  <c r="H1458" i="4"/>
  <c r="F1458" i="4"/>
  <c r="K1457" i="4"/>
  <c r="J1457" i="4"/>
  <c r="H1457" i="4"/>
  <c r="F1457" i="4"/>
  <c r="K1456" i="4"/>
  <c r="J1456" i="4"/>
  <c r="H1456" i="4"/>
  <c r="F1456" i="4"/>
  <c r="K1455" i="4"/>
  <c r="J1455" i="4"/>
  <c r="H1455" i="4"/>
  <c r="F1455" i="4"/>
  <c r="K1454" i="4"/>
  <c r="J1454" i="4"/>
  <c r="H1454" i="4"/>
  <c r="F1454" i="4"/>
  <c r="L1454" i="4" s="1"/>
  <c r="K1453" i="4"/>
  <c r="J1453" i="4"/>
  <c r="H1453" i="4"/>
  <c r="F1453" i="4"/>
  <c r="K1452" i="4"/>
  <c r="J1452" i="4"/>
  <c r="H1452" i="4"/>
  <c r="F1452" i="4"/>
  <c r="K1451" i="4"/>
  <c r="J1451" i="4"/>
  <c r="H1451" i="4"/>
  <c r="F1451" i="4"/>
  <c r="K1450" i="4"/>
  <c r="J1450" i="4"/>
  <c r="H1450" i="4"/>
  <c r="F1450" i="4"/>
  <c r="K1449" i="4"/>
  <c r="J1449" i="4"/>
  <c r="H1449" i="4"/>
  <c r="F1449" i="4"/>
  <c r="K1448" i="4"/>
  <c r="J1448" i="4"/>
  <c r="H1448" i="4"/>
  <c r="F1448" i="4"/>
  <c r="K1447" i="4"/>
  <c r="J1447" i="4"/>
  <c r="H1447" i="4"/>
  <c r="F1447" i="4"/>
  <c r="K1444" i="4"/>
  <c r="J1444" i="4"/>
  <c r="H1444" i="4"/>
  <c r="F1444" i="4"/>
  <c r="K1443" i="4"/>
  <c r="J1443" i="4"/>
  <c r="H1443" i="4"/>
  <c r="F1443" i="4"/>
  <c r="K1442" i="4"/>
  <c r="J1442" i="4"/>
  <c r="H1442" i="4"/>
  <c r="F1442" i="4"/>
  <c r="K1441" i="4"/>
  <c r="J1441" i="4"/>
  <c r="H1441" i="4"/>
  <c r="F1441" i="4"/>
  <c r="K1440" i="4"/>
  <c r="J1440" i="4"/>
  <c r="H1440" i="4"/>
  <c r="F1440" i="4"/>
  <c r="K1439" i="4"/>
  <c r="J1439" i="4"/>
  <c r="H1439" i="4"/>
  <c r="F1439" i="4"/>
  <c r="K1438" i="4"/>
  <c r="J1438" i="4"/>
  <c r="H1438" i="4"/>
  <c r="F1438" i="4"/>
  <c r="K1437" i="4"/>
  <c r="J1437" i="4"/>
  <c r="H1437" i="4"/>
  <c r="F1437" i="4"/>
  <c r="K1436" i="4"/>
  <c r="J1436" i="4"/>
  <c r="H1436" i="4"/>
  <c r="F1436" i="4"/>
  <c r="K1435" i="4"/>
  <c r="J1435" i="4"/>
  <c r="H1435" i="4"/>
  <c r="F1435" i="4"/>
  <c r="K1434" i="4"/>
  <c r="J1434" i="4"/>
  <c r="H1434" i="4"/>
  <c r="F1434" i="4"/>
  <c r="K1433" i="4"/>
  <c r="J1433" i="4"/>
  <c r="H1433" i="4"/>
  <c r="F1433" i="4"/>
  <c r="K1432" i="4"/>
  <c r="J1432" i="4"/>
  <c r="H1432" i="4"/>
  <c r="F1432" i="4"/>
  <c r="K1431" i="4"/>
  <c r="J1431" i="4"/>
  <c r="H1431" i="4"/>
  <c r="F1431" i="4"/>
  <c r="K1430" i="4"/>
  <c r="J1430" i="4"/>
  <c r="H1430" i="4"/>
  <c r="F1430" i="4"/>
  <c r="K1429" i="4"/>
  <c r="J1429" i="4"/>
  <c r="H1429" i="4"/>
  <c r="F1429" i="4"/>
  <c r="K1428" i="4"/>
  <c r="J1428" i="4"/>
  <c r="H1428" i="4"/>
  <c r="F1428" i="4"/>
  <c r="K1425" i="4"/>
  <c r="J1425" i="4"/>
  <c r="H1425" i="4"/>
  <c r="F1425" i="4"/>
  <c r="K1424" i="4"/>
  <c r="J1424" i="4"/>
  <c r="H1424" i="4"/>
  <c r="F1424" i="4"/>
  <c r="K1423" i="4"/>
  <c r="J1423" i="4"/>
  <c r="H1423" i="4"/>
  <c r="F1423" i="4"/>
  <c r="K1422" i="4"/>
  <c r="J1422" i="4"/>
  <c r="H1422" i="4"/>
  <c r="F1422" i="4"/>
  <c r="K1421" i="4"/>
  <c r="J1421" i="4"/>
  <c r="H1421" i="4"/>
  <c r="F1421" i="4"/>
  <c r="K1420" i="4"/>
  <c r="J1420" i="4"/>
  <c r="H1420" i="4"/>
  <c r="F1420" i="4"/>
  <c r="K1419" i="4"/>
  <c r="J1419" i="4"/>
  <c r="H1419" i="4"/>
  <c r="F1419" i="4"/>
  <c r="K1418" i="4"/>
  <c r="J1418" i="4"/>
  <c r="H1418" i="4"/>
  <c r="F1418" i="4"/>
  <c r="K1417" i="4"/>
  <c r="J1417" i="4"/>
  <c r="H1417" i="4"/>
  <c r="F1417" i="4"/>
  <c r="K1416" i="4"/>
  <c r="J1416" i="4"/>
  <c r="H1416" i="4"/>
  <c r="F1416" i="4"/>
  <c r="K1415" i="4"/>
  <c r="J1415" i="4"/>
  <c r="H1415" i="4"/>
  <c r="F1415" i="4"/>
  <c r="K1414" i="4"/>
  <c r="J1414" i="4"/>
  <c r="H1414" i="4"/>
  <c r="F1414" i="4"/>
  <c r="K1413" i="4"/>
  <c r="J1413" i="4"/>
  <c r="H1413" i="4"/>
  <c r="F1413" i="4"/>
  <c r="K1412" i="4"/>
  <c r="J1412" i="4"/>
  <c r="H1412" i="4"/>
  <c r="F1412" i="4"/>
  <c r="K1409" i="4"/>
  <c r="J1409" i="4"/>
  <c r="H1409" i="4"/>
  <c r="F1409" i="4"/>
  <c r="K1408" i="4"/>
  <c r="J1408" i="4"/>
  <c r="H1408" i="4"/>
  <c r="F1408" i="4"/>
  <c r="K1407" i="4"/>
  <c r="J1407" i="4"/>
  <c r="H1407" i="4"/>
  <c r="F1407" i="4"/>
  <c r="K1406" i="4"/>
  <c r="J1406" i="4"/>
  <c r="H1406" i="4"/>
  <c r="F1406" i="4"/>
  <c r="K1403" i="4"/>
  <c r="J1403" i="4"/>
  <c r="H1403" i="4"/>
  <c r="F1403" i="4"/>
  <c r="K1400" i="4"/>
  <c r="J1400" i="4"/>
  <c r="H1400" i="4"/>
  <c r="F1400" i="4"/>
  <c r="K1398" i="4"/>
  <c r="J1398" i="4"/>
  <c r="H1398" i="4"/>
  <c r="F1398" i="4"/>
  <c r="K1397" i="4"/>
  <c r="J1397" i="4"/>
  <c r="H1397" i="4"/>
  <c r="F1397" i="4"/>
  <c r="K1395" i="4"/>
  <c r="J1395" i="4"/>
  <c r="H1395" i="4"/>
  <c r="F1395" i="4"/>
  <c r="K1393" i="4"/>
  <c r="J1393" i="4"/>
  <c r="H1393" i="4"/>
  <c r="F1393" i="4"/>
  <c r="K1392" i="4"/>
  <c r="J1392" i="4"/>
  <c r="H1392" i="4"/>
  <c r="F1392" i="4"/>
  <c r="K1385" i="4"/>
  <c r="J1385" i="4"/>
  <c r="H1385" i="4"/>
  <c r="F1385" i="4"/>
  <c r="L1385" i="4" s="1"/>
  <c r="K1384" i="4"/>
  <c r="J1384" i="4"/>
  <c r="H1384" i="4"/>
  <c r="F1384" i="4"/>
  <c r="K1383" i="4"/>
  <c r="J1383" i="4"/>
  <c r="H1383" i="4"/>
  <c r="F1383" i="4"/>
  <c r="K1381" i="4"/>
  <c r="J1381" i="4"/>
  <c r="H1381" i="4"/>
  <c r="F1381" i="4"/>
  <c r="K1379" i="4"/>
  <c r="J1379" i="4"/>
  <c r="H1379" i="4"/>
  <c r="F1379" i="4"/>
  <c r="K1377" i="4"/>
  <c r="J1377" i="4"/>
  <c r="H1377" i="4"/>
  <c r="F1377" i="4"/>
  <c r="K1372" i="4"/>
  <c r="J1372" i="4"/>
  <c r="H1372" i="4"/>
  <c r="F1372" i="4"/>
  <c r="K1371" i="4"/>
  <c r="J1371" i="4"/>
  <c r="H1371" i="4"/>
  <c r="F1371" i="4"/>
  <c r="K1370" i="4"/>
  <c r="J1370" i="4"/>
  <c r="H1370" i="4"/>
  <c r="F1370" i="4"/>
  <c r="K1369" i="4"/>
  <c r="J1369" i="4"/>
  <c r="H1369" i="4"/>
  <c r="F1369" i="4"/>
  <c r="L1369" i="4" s="1"/>
  <c r="K1368" i="4"/>
  <c r="J1368" i="4"/>
  <c r="H1368" i="4"/>
  <c r="F1368" i="4"/>
  <c r="K1367" i="4"/>
  <c r="J1367" i="4"/>
  <c r="H1367" i="4"/>
  <c r="F1367" i="4"/>
  <c r="K1366" i="4"/>
  <c r="J1366" i="4"/>
  <c r="H1366" i="4"/>
  <c r="F1366" i="4"/>
  <c r="K1364" i="4"/>
  <c r="J1364" i="4"/>
  <c r="H1364" i="4"/>
  <c r="F1364" i="4"/>
  <c r="L1364" i="4" s="1"/>
  <c r="K1363" i="4"/>
  <c r="J1363" i="4"/>
  <c r="H1363" i="4"/>
  <c r="F1363" i="4"/>
  <c r="K1361" i="4"/>
  <c r="J1361" i="4"/>
  <c r="H1361" i="4"/>
  <c r="F1361" i="4"/>
  <c r="K1360" i="4"/>
  <c r="J1360" i="4"/>
  <c r="H1360" i="4"/>
  <c r="F1360" i="4"/>
  <c r="L1360" i="4" s="1"/>
  <c r="K1359" i="4"/>
  <c r="J1359" i="4"/>
  <c r="H1359" i="4"/>
  <c r="F1359" i="4"/>
  <c r="K1358" i="4"/>
  <c r="J1358" i="4"/>
  <c r="H1358" i="4"/>
  <c r="F1358" i="4"/>
  <c r="K1357" i="4"/>
  <c r="J1357" i="4"/>
  <c r="H1357" i="4"/>
  <c r="F1357" i="4"/>
  <c r="K1356" i="4"/>
  <c r="J1356" i="4"/>
  <c r="H1356" i="4"/>
  <c r="F1356" i="4"/>
  <c r="K1355" i="4"/>
  <c r="J1355" i="4"/>
  <c r="H1355" i="4"/>
  <c r="F1355" i="4"/>
  <c r="L1355" i="4" s="1"/>
  <c r="K1354" i="4"/>
  <c r="J1354" i="4"/>
  <c r="H1354" i="4"/>
  <c r="F1354" i="4"/>
  <c r="K1353" i="4"/>
  <c r="J1353" i="4"/>
  <c r="H1353" i="4"/>
  <c r="F1353" i="4"/>
  <c r="K1352" i="4"/>
  <c r="J1352" i="4"/>
  <c r="H1352" i="4"/>
  <c r="F1352" i="4"/>
  <c r="K1351" i="4"/>
  <c r="J1351" i="4"/>
  <c r="H1351" i="4"/>
  <c r="F1351" i="4"/>
  <c r="K1350" i="4"/>
  <c r="J1350" i="4"/>
  <c r="H1350" i="4"/>
  <c r="F1350" i="4"/>
  <c r="K1349" i="4"/>
  <c r="J1349" i="4"/>
  <c r="H1349" i="4"/>
  <c r="F1349" i="4"/>
  <c r="K1348" i="4"/>
  <c r="J1348" i="4"/>
  <c r="H1348" i="4"/>
  <c r="F1348" i="4"/>
  <c r="K1347" i="4"/>
  <c r="J1347" i="4"/>
  <c r="H1347" i="4"/>
  <c r="F1347" i="4"/>
  <c r="K1346" i="4"/>
  <c r="J1346" i="4"/>
  <c r="H1346" i="4"/>
  <c r="F1346" i="4"/>
  <c r="K1342" i="4"/>
  <c r="J1342" i="4"/>
  <c r="H1342" i="4"/>
  <c r="F1342" i="4"/>
  <c r="K1341" i="4"/>
  <c r="J1341" i="4"/>
  <c r="H1341" i="4"/>
  <c r="F1341" i="4"/>
  <c r="K1340" i="4"/>
  <c r="J1340" i="4"/>
  <c r="H1340" i="4"/>
  <c r="F1340" i="4"/>
  <c r="L1340" i="4" s="1"/>
  <c r="K1339" i="4"/>
  <c r="J1339" i="4"/>
  <c r="H1339" i="4"/>
  <c r="F1339" i="4"/>
  <c r="K1338" i="4"/>
  <c r="J1338" i="4"/>
  <c r="H1338" i="4"/>
  <c r="F1338" i="4"/>
  <c r="K1337" i="4"/>
  <c r="J1337" i="4"/>
  <c r="H1337" i="4"/>
  <c r="F1337" i="4"/>
  <c r="L1337" i="4" s="1"/>
  <c r="K1336" i="4"/>
  <c r="J1336" i="4"/>
  <c r="H1336" i="4"/>
  <c r="F1336" i="4"/>
  <c r="K1335" i="4"/>
  <c r="J1335" i="4"/>
  <c r="H1335" i="4"/>
  <c r="F1335" i="4"/>
  <c r="K1334" i="4"/>
  <c r="J1334" i="4"/>
  <c r="H1334" i="4"/>
  <c r="F1334" i="4"/>
  <c r="K1333" i="4"/>
  <c r="J1333" i="4"/>
  <c r="H1333" i="4"/>
  <c r="F1333" i="4"/>
  <c r="K1332" i="4"/>
  <c r="J1332" i="4"/>
  <c r="H1332" i="4"/>
  <c r="F1332" i="4"/>
  <c r="K1331" i="4"/>
  <c r="J1331" i="4"/>
  <c r="H1331" i="4"/>
  <c r="F1331" i="4"/>
  <c r="K1330" i="4"/>
  <c r="J1330" i="4"/>
  <c r="H1330" i="4"/>
  <c r="F1330" i="4"/>
  <c r="K1329" i="4"/>
  <c r="J1329" i="4"/>
  <c r="H1329" i="4"/>
  <c r="F1329" i="4"/>
  <c r="K1328" i="4"/>
  <c r="J1328" i="4"/>
  <c r="H1328" i="4"/>
  <c r="F1328" i="4"/>
  <c r="K1327" i="4"/>
  <c r="J1327" i="4"/>
  <c r="H1327" i="4"/>
  <c r="F1327" i="4"/>
  <c r="K1326" i="4"/>
  <c r="J1326" i="4"/>
  <c r="H1326" i="4"/>
  <c r="F1326" i="4"/>
  <c r="K1324" i="4"/>
  <c r="J1324" i="4"/>
  <c r="H1324" i="4"/>
  <c r="F1324" i="4"/>
  <c r="K1322" i="4"/>
  <c r="J1322" i="4"/>
  <c r="H1322" i="4"/>
  <c r="F1322" i="4"/>
  <c r="K1320" i="4"/>
  <c r="J1320" i="4"/>
  <c r="H1320" i="4"/>
  <c r="F1320" i="4"/>
  <c r="K1319" i="4"/>
  <c r="J1319" i="4"/>
  <c r="H1319" i="4"/>
  <c r="F1319" i="4"/>
  <c r="K1318" i="4"/>
  <c r="J1318" i="4"/>
  <c r="H1318" i="4"/>
  <c r="F1318" i="4"/>
  <c r="K1316" i="4"/>
  <c r="J1316" i="4"/>
  <c r="H1316" i="4"/>
  <c r="F1316" i="4"/>
  <c r="K1315" i="4"/>
  <c r="J1315" i="4"/>
  <c r="H1315" i="4"/>
  <c r="F1315" i="4"/>
  <c r="K1314" i="4"/>
  <c r="J1314" i="4"/>
  <c r="H1314" i="4"/>
  <c r="F1314" i="4"/>
  <c r="K1313" i="4"/>
  <c r="J1313" i="4"/>
  <c r="H1313" i="4"/>
  <c r="F1313" i="4"/>
  <c r="K1312" i="4"/>
  <c r="J1312" i="4"/>
  <c r="H1312" i="4"/>
  <c r="F1312" i="4"/>
  <c r="K1311" i="4"/>
  <c r="J1311" i="4"/>
  <c r="H1311" i="4"/>
  <c r="F1311" i="4"/>
  <c r="K1310" i="4"/>
  <c r="J1310" i="4"/>
  <c r="H1310" i="4"/>
  <c r="F1310" i="4"/>
  <c r="K1309" i="4"/>
  <c r="J1309" i="4"/>
  <c r="H1309" i="4"/>
  <c r="F1309" i="4"/>
  <c r="K1308" i="4"/>
  <c r="J1308" i="4"/>
  <c r="H1308" i="4"/>
  <c r="F1308" i="4"/>
  <c r="K1307" i="4"/>
  <c r="J1307" i="4"/>
  <c r="H1307" i="4"/>
  <c r="F1307" i="4"/>
  <c r="K1305" i="4"/>
  <c r="J1305" i="4"/>
  <c r="H1305" i="4"/>
  <c r="F1305" i="4"/>
  <c r="K1304" i="4"/>
  <c r="J1304" i="4"/>
  <c r="H1304" i="4"/>
  <c r="F1304" i="4"/>
  <c r="K1303" i="4"/>
  <c r="J1303" i="4"/>
  <c r="H1303" i="4"/>
  <c r="F1303" i="4"/>
  <c r="K1300" i="4"/>
  <c r="J1300" i="4"/>
  <c r="H1300" i="4"/>
  <c r="F1300" i="4"/>
  <c r="K1298" i="4"/>
  <c r="J1298" i="4"/>
  <c r="H1298" i="4"/>
  <c r="F1298" i="4"/>
  <c r="K1296" i="4"/>
  <c r="J1296" i="4"/>
  <c r="H1296" i="4"/>
  <c r="F1296" i="4"/>
  <c r="K1295" i="4"/>
  <c r="J1295" i="4"/>
  <c r="H1295" i="4"/>
  <c r="F1295" i="4"/>
  <c r="K1294" i="4"/>
  <c r="J1294" i="4"/>
  <c r="H1294" i="4"/>
  <c r="F1294" i="4"/>
  <c r="K1291" i="4"/>
  <c r="J1291" i="4"/>
  <c r="H1291" i="4"/>
  <c r="F1291" i="4"/>
  <c r="K1289" i="4"/>
  <c r="J1289" i="4"/>
  <c r="H1289" i="4"/>
  <c r="F1289" i="4"/>
  <c r="K1288" i="4"/>
  <c r="J1288" i="4"/>
  <c r="H1288" i="4"/>
  <c r="F1288" i="4"/>
  <c r="K1287" i="4"/>
  <c r="J1287" i="4"/>
  <c r="H1287" i="4"/>
  <c r="F1287" i="4"/>
  <c r="K1284" i="4"/>
  <c r="J1284" i="4"/>
  <c r="H1284" i="4"/>
  <c r="F1284" i="4"/>
  <c r="K1283" i="4"/>
  <c r="J1283" i="4"/>
  <c r="H1283" i="4"/>
  <c r="F1283" i="4"/>
  <c r="K1280" i="4"/>
  <c r="J1280" i="4"/>
  <c r="H1280" i="4"/>
  <c r="F1280" i="4"/>
  <c r="K1279" i="4"/>
  <c r="J1279" i="4"/>
  <c r="H1279" i="4"/>
  <c r="F1279" i="4"/>
  <c r="K1278" i="4"/>
  <c r="J1278" i="4"/>
  <c r="H1278" i="4"/>
  <c r="F1278" i="4"/>
  <c r="K1277" i="4"/>
  <c r="J1277" i="4"/>
  <c r="H1277" i="4"/>
  <c r="F1277" i="4"/>
  <c r="K1276" i="4"/>
  <c r="J1276" i="4"/>
  <c r="H1276" i="4"/>
  <c r="F1276" i="4"/>
  <c r="K1275" i="4"/>
  <c r="J1275" i="4"/>
  <c r="H1275" i="4"/>
  <c r="F1275" i="4"/>
  <c r="K1274" i="4"/>
  <c r="J1274" i="4"/>
  <c r="H1274" i="4"/>
  <c r="F1274" i="4"/>
  <c r="K1270" i="4"/>
  <c r="J1270" i="4"/>
  <c r="H1270" i="4"/>
  <c r="F1270" i="4"/>
  <c r="K1269" i="4"/>
  <c r="J1269" i="4"/>
  <c r="H1269" i="4"/>
  <c r="F1269" i="4"/>
  <c r="K1267" i="4"/>
  <c r="J1267" i="4"/>
  <c r="H1267" i="4"/>
  <c r="F1267" i="4"/>
  <c r="L1267" i="4" s="1"/>
  <c r="K1265" i="4"/>
  <c r="J1265" i="4"/>
  <c r="H1265" i="4"/>
  <c r="F1265" i="4"/>
  <c r="K1264" i="4"/>
  <c r="J1264" i="4"/>
  <c r="H1264" i="4"/>
  <c r="F1264" i="4"/>
  <c r="K1263" i="4"/>
  <c r="J1263" i="4"/>
  <c r="H1263" i="4"/>
  <c r="F1263" i="4"/>
  <c r="K1262" i="4"/>
  <c r="J1262" i="4"/>
  <c r="H1262" i="4"/>
  <c r="F1262" i="4"/>
  <c r="K1260" i="4"/>
  <c r="J1260" i="4"/>
  <c r="H1260" i="4"/>
  <c r="F1260" i="4"/>
  <c r="K1259" i="4"/>
  <c r="J1259" i="4"/>
  <c r="H1259" i="4"/>
  <c r="F1259" i="4"/>
  <c r="K1258" i="4"/>
  <c r="J1258" i="4"/>
  <c r="H1258" i="4"/>
  <c r="F1258" i="4"/>
  <c r="K1256" i="4"/>
  <c r="J1256" i="4"/>
  <c r="H1256" i="4"/>
  <c r="F1256" i="4"/>
  <c r="K1255" i="4"/>
  <c r="J1255" i="4"/>
  <c r="H1255" i="4"/>
  <c r="F1255" i="4"/>
  <c r="K1253" i="4"/>
  <c r="J1253" i="4"/>
  <c r="H1253" i="4"/>
  <c r="F1253" i="4"/>
  <c r="K1252" i="4"/>
  <c r="J1252" i="4"/>
  <c r="H1252" i="4"/>
  <c r="F1252" i="4"/>
  <c r="K1249" i="4"/>
  <c r="J1249" i="4"/>
  <c r="H1249" i="4"/>
  <c r="F1249" i="4"/>
  <c r="L1249" i="4" s="1"/>
  <c r="K1248" i="4"/>
  <c r="J1248" i="4"/>
  <c r="H1248" i="4"/>
  <c r="F1248" i="4"/>
  <c r="K1246" i="4"/>
  <c r="J1246" i="4"/>
  <c r="H1246" i="4"/>
  <c r="F1246" i="4"/>
  <c r="K1245" i="4"/>
  <c r="J1245" i="4"/>
  <c r="H1245" i="4"/>
  <c r="F1245" i="4"/>
  <c r="K1244" i="4"/>
  <c r="J1244" i="4"/>
  <c r="H1244" i="4"/>
  <c r="F1244" i="4"/>
  <c r="K1243" i="4"/>
  <c r="J1243" i="4"/>
  <c r="H1243" i="4"/>
  <c r="F1243" i="4"/>
  <c r="K1242" i="4"/>
  <c r="J1242" i="4"/>
  <c r="H1242" i="4"/>
  <c r="F1242" i="4"/>
  <c r="K1241" i="4"/>
  <c r="J1241" i="4"/>
  <c r="H1241" i="4"/>
  <c r="F1241" i="4"/>
  <c r="K1240" i="4"/>
  <c r="J1240" i="4"/>
  <c r="H1240" i="4"/>
  <c r="F1240" i="4"/>
  <c r="K1239" i="4"/>
  <c r="J1239" i="4"/>
  <c r="H1239" i="4"/>
  <c r="F1239" i="4"/>
  <c r="K1238" i="4"/>
  <c r="J1238" i="4"/>
  <c r="H1238" i="4"/>
  <c r="F1238" i="4"/>
  <c r="K1237" i="4"/>
  <c r="J1237" i="4"/>
  <c r="H1237" i="4"/>
  <c r="F1237" i="4"/>
  <c r="K1236" i="4"/>
  <c r="J1236" i="4"/>
  <c r="H1236" i="4"/>
  <c r="F1236" i="4"/>
  <c r="K1234" i="4"/>
  <c r="J1234" i="4"/>
  <c r="H1234" i="4"/>
  <c r="F1234" i="4"/>
  <c r="K1232" i="4"/>
  <c r="J1232" i="4"/>
  <c r="H1232" i="4"/>
  <c r="F1232" i="4"/>
  <c r="K1229" i="4"/>
  <c r="J1229" i="4"/>
  <c r="H1229" i="4"/>
  <c r="F1229" i="4"/>
  <c r="K1227" i="4"/>
  <c r="J1227" i="4"/>
  <c r="H1227" i="4"/>
  <c r="F1227" i="4"/>
  <c r="K1224" i="4"/>
  <c r="J1224" i="4"/>
  <c r="H1224" i="4"/>
  <c r="F1224" i="4"/>
  <c r="K1222" i="4"/>
  <c r="J1222" i="4"/>
  <c r="H1222" i="4"/>
  <c r="F1222" i="4"/>
  <c r="K1221" i="4"/>
  <c r="J1221" i="4"/>
  <c r="H1221" i="4"/>
  <c r="F1221" i="4"/>
  <c r="K1219" i="4"/>
  <c r="J1219" i="4"/>
  <c r="H1219" i="4"/>
  <c r="F1219" i="4"/>
  <c r="K1217" i="4"/>
  <c r="J1217" i="4"/>
  <c r="H1217" i="4"/>
  <c r="F1217" i="4"/>
  <c r="K1216" i="4"/>
  <c r="J1216" i="4"/>
  <c r="H1216" i="4"/>
  <c r="F1216" i="4"/>
  <c r="K1213" i="4"/>
  <c r="J1213" i="4"/>
  <c r="H1213" i="4"/>
  <c r="F1213" i="4"/>
  <c r="K1212" i="4"/>
  <c r="J1212" i="4"/>
  <c r="H1212" i="4"/>
  <c r="F1212" i="4"/>
  <c r="K1209" i="4"/>
  <c r="J1209" i="4"/>
  <c r="H1209" i="4"/>
  <c r="F1209" i="4"/>
  <c r="K1207" i="4"/>
  <c r="J1207" i="4"/>
  <c r="H1207" i="4"/>
  <c r="F1207" i="4"/>
  <c r="K1205" i="4"/>
  <c r="J1205" i="4"/>
  <c r="H1205" i="4"/>
  <c r="F1205" i="4"/>
  <c r="K1199" i="4"/>
  <c r="J1199" i="4"/>
  <c r="H1199" i="4"/>
  <c r="F1199" i="4"/>
  <c r="K1197" i="4"/>
  <c r="J1197" i="4"/>
  <c r="H1197" i="4"/>
  <c r="F1197" i="4"/>
  <c r="K1196" i="4"/>
  <c r="J1196" i="4"/>
  <c r="H1196" i="4"/>
  <c r="F1196" i="4"/>
  <c r="K1195" i="4"/>
  <c r="J1195" i="4"/>
  <c r="H1195" i="4"/>
  <c r="F1195" i="4"/>
  <c r="K1194" i="4"/>
  <c r="J1194" i="4"/>
  <c r="H1194" i="4"/>
  <c r="F1194" i="4"/>
  <c r="L1194" i="4" s="1"/>
  <c r="K1193" i="4"/>
  <c r="J1193" i="4"/>
  <c r="H1193" i="4"/>
  <c r="F1193" i="4"/>
  <c r="K1192" i="4"/>
  <c r="J1192" i="4"/>
  <c r="H1192" i="4"/>
  <c r="F1192" i="4"/>
  <c r="K1191" i="4"/>
  <c r="J1191" i="4"/>
  <c r="H1191" i="4"/>
  <c r="F1191" i="4"/>
  <c r="K1188" i="4"/>
  <c r="J1188" i="4"/>
  <c r="H1188" i="4"/>
  <c r="F1188" i="4"/>
  <c r="K1187" i="4"/>
  <c r="J1187" i="4"/>
  <c r="H1187" i="4"/>
  <c r="F1187" i="4"/>
  <c r="K1185" i="4"/>
  <c r="J1185" i="4"/>
  <c r="H1185" i="4"/>
  <c r="F1185" i="4"/>
  <c r="K1183" i="4"/>
  <c r="J1183" i="4"/>
  <c r="H1183" i="4"/>
  <c r="F1183" i="4"/>
  <c r="K1181" i="4"/>
  <c r="J1181" i="4"/>
  <c r="H1181" i="4"/>
  <c r="F1181" i="4"/>
  <c r="K1178" i="4"/>
  <c r="J1178" i="4"/>
  <c r="H1178" i="4"/>
  <c r="F1178" i="4"/>
  <c r="K1176" i="4"/>
  <c r="J1176" i="4"/>
  <c r="H1176" i="4"/>
  <c r="F1176" i="4"/>
  <c r="K1174" i="4"/>
  <c r="J1174" i="4"/>
  <c r="H1174" i="4"/>
  <c r="F1174" i="4"/>
  <c r="K1172" i="4"/>
  <c r="J1172" i="4"/>
  <c r="H1172" i="4"/>
  <c r="F1172" i="4"/>
  <c r="K1169" i="4"/>
  <c r="J1169" i="4"/>
  <c r="H1169" i="4"/>
  <c r="F1169" i="4"/>
  <c r="K1167" i="4"/>
  <c r="J1167" i="4"/>
  <c r="H1167" i="4"/>
  <c r="F1167" i="4"/>
  <c r="K1164" i="4"/>
  <c r="J1164" i="4"/>
  <c r="H1164" i="4"/>
  <c r="F1164" i="4"/>
  <c r="K1162" i="4"/>
  <c r="J1162" i="4"/>
  <c r="H1162" i="4"/>
  <c r="F1162" i="4"/>
  <c r="K1156" i="4"/>
  <c r="J1156" i="4"/>
  <c r="H1156" i="4"/>
  <c r="F1156" i="4"/>
  <c r="K1155" i="4"/>
  <c r="J1155" i="4"/>
  <c r="H1155" i="4"/>
  <c r="F1155" i="4"/>
  <c r="K1154" i="4"/>
  <c r="J1154" i="4"/>
  <c r="H1154" i="4"/>
  <c r="F1154" i="4"/>
  <c r="K1152" i="4"/>
  <c r="J1152" i="4"/>
  <c r="H1152" i="4"/>
  <c r="F1152" i="4"/>
  <c r="K1150" i="4"/>
  <c r="J1150" i="4"/>
  <c r="H1150" i="4"/>
  <c r="F1150" i="4"/>
  <c r="K1148" i="4"/>
  <c r="J1148" i="4"/>
  <c r="J1145" i="4" s="1"/>
  <c r="J26" i="4" s="1"/>
  <c r="H1148" i="4"/>
  <c r="H1145" i="4" s="1"/>
  <c r="H26" i="4" s="1"/>
  <c r="F1148" i="4"/>
  <c r="K1143" i="4"/>
  <c r="J1143" i="4"/>
  <c r="H1143" i="4"/>
  <c r="F1143" i="4"/>
  <c r="K1142" i="4"/>
  <c r="J1142" i="4"/>
  <c r="H1142" i="4"/>
  <c r="F1142" i="4"/>
  <c r="K1141" i="4"/>
  <c r="J1141" i="4"/>
  <c r="H1141" i="4"/>
  <c r="F1141" i="4"/>
  <c r="K1140" i="4"/>
  <c r="J1140" i="4"/>
  <c r="H1140" i="4"/>
  <c r="F1140" i="4"/>
  <c r="K1139" i="4"/>
  <c r="J1139" i="4"/>
  <c r="H1139" i="4"/>
  <c r="F1139" i="4"/>
  <c r="K1138" i="4"/>
  <c r="J1138" i="4"/>
  <c r="H1138" i="4"/>
  <c r="F1138" i="4"/>
  <c r="L1138" i="4" s="1"/>
  <c r="K1137" i="4"/>
  <c r="J1137" i="4"/>
  <c r="H1137" i="4"/>
  <c r="F1137" i="4"/>
  <c r="K1135" i="4"/>
  <c r="J1135" i="4"/>
  <c r="H1135" i="4"/>
  <c r="F1135" i="4"/>
  <c r="K1134" i="4"/>
  <c r="J1134" i="4"/>
  <c r="H1134" i="4"/>
  <c r="F1134" i="4"/>
  <c r="K1132" i="4"/>
  <c r="J1132" i="4"/>
  <c r="H1132" i="4"/>
  <c r="F1132" i="4"/>
  <c r="K1131" i="4"/>
  <c r="J1131" i="4"/>
  <c r="H1131" i="4"/>
  <c r="F1131" i="4"/>
  <c r="L1131" i="4" s="1"/>
  <c r="K1130" i="4"/>
  <c r="J1130" i="4"/>
  <c r="H1130" i="4"/>
  <c r="F1130" i="4"/>
  <c r="K1129" i="4"/>
  <c r="J1129" i="4"/>
  <c r="H1129" i="4"/>
  <c r="F1129" i="4"/>
  <c r="K1128" i="4"/>
  <c r="J1128" i="4"/>
  <c r="H1128" i="4"/>
  <c r="F1128" i="4"/>
  <c r="K1127" i="4"/>
  <c r="J1127" i="4"/>
  <c r="H1127" i="4"/>
  <c r="F1127" i="4"/>
  <c r="K1126" i="4"/>
  <c r="J1126" i="4"/>
  <c r="H1126" i="4"/>
  <c r="F1126" i="4"/>
  <c r="K1125" i="4"/>
  <c r="J1125" i="4"/>
  <c r="H1125" i="4"/>
  <c r="F1125" i="4"/>
  <c r="K1124" i="4"/>
  <c r="J1124" i="4"/>
  <c r="H1124" i="4"/>
  <c r="F1124" i="4"/>
  <c r="K1123" i="4"/>
  <c r="J1123" i="4"/>
  <c r="H1123" i="4"/>
  <c r="F1123" i="4"/>
  <c r="K1122" i="4"/>
  <c r="J1122" i="4"/>
  <c r="H1122" i="4"/>
  <c r="F1122" i="4"/>
  <c r="K1121" i="4"/>
  <c r="J1121" i="4"/>
  <c r="H1121" i="4"/>
  <c r="F1121" i="4"/>
  <c r="K1120" i="4"/>
  <c r="J1120" i="4"/>
  <c r="H1120" i="4"/>
  <c r="F1120" i="4"/>
  <c r="K1119" i="4"/>
  <c r="J1119" i="4"/>
  <c r="H1119" i="4"/>
  <c r="F1119" i="4"/>
  <c r="K1118" i="4"/>
  <c r="J1118" i="4"/>
  <c r="H1118" i="4"/>
  <c r="F1118" i="4"/>
  <c r="K1117" i="4"/>
  <c r="J1117" i="4"/>
  <c r="H1117" i="4"/>
  <c r="F1117" i="4"/>
  <c r="H1113" i="4"/>
  <c r="F1113" i="4"/>
  <c r="H1112" i="4"/>
  <c r="F1112" i="4"/>
  <c r="H1111" i="4"/>
  <c r="F1111" i="4"/>
  <c r="H1110" i="4"/>
  <c r="F1110" i="4"/>
  <c r="H1109" i="4"/>
  <c r="F1109" i="4"/>
  <c r="H1108" i="4"/>
  <c r="F1108" i="4"/>
  <c r="H1107" i="4"/>
  <c r="F1107" i="4"/>
  <c r="H1106" i="4"/>
  <c r="F1106" i="4"/>
  <c r="H1105" i="4"/>
  <c r="F1105" i="4"/>
  <c r="H1104" i="4"/>
  <c r="F1104" i="4"/>
  <c r="H1103" i="4"/>
  <c r="F1103" i="4"/>
  <c r="H1102" i="4"/>
  <c r="F1102" i="4"/>
  <c r="H1101" i="4"/>
  <c r="F1101" i="4"/>
  <c r="H1100" i="4"/>
  <c r="F1100" i="4"/>
  <c r="H1099" i="4"/>
  <c r="F1099" i="4"/>
  <c r="H1098" i="4"/>
  <c r="F1098" i="4"/>
  <c r="H1097" i="4"/>
  <c r="F1097" i="4"/>
  <c r="H1095" i="4"/>
  <c r="F1095" i="4"/>
  <c r="H1093" i="4"/>
  <c r="F1093" i="4"/>
  <c r="H1092" i="4"/>
  <c r="F1092" i="4"/>
  <c r="H1091" i="4"/>
  <c r="F1091" i="4"/>
  <c r="H1090" i="4"/>
  <c r="F1090" i="4"/>
  <c r="H1088" i="4"/>
  <c r="F1088" i="4"/>
  <c r="H1087" i="4"/>
  <c r="F1087" i="4"/>
  <c r="H1086" i="4"/>
  <c r="F1086" i="4"/>
  <c r="H1085" i="4"/>
  <c r="F1085" i="4"/>
  <c r="H1084" i="4"/>
  <c r="F1084" i="4"/>
  <c r="H1083" i="4"/>
  <c r="F1083" i="4"/>
  <c r="H1082" i="4"/>
  <c r="F1082" i="4"/>
  <c r="H1081" i="4"/>
  <c r="F1081" i="4"/>
  <c r="H1079" i="4"/>
  <c r="F1079" i="4"/>
  <c r="H1078" i="4"/>
  <c r="F1078" i="4"/>
  <c r="H1077" i="4"/>
  <c r="F1077" i="4"/>
  <c r="H1074" i="4"/>
  <c r="F1074" i="4"/>
  <c r="H1072" i="4"/>
  <c r="F1072" i="4"/>
  <c r="H1070" i="4"/>
  <c r="F1070" i="4"/>
  <c r="H1069" i="4"/>
  <c r="F1069" i="4"/>
  <c r="H1068" i="4"/>
  <c r="F1068" i="4"/>
  <c r="H1065" i="4"/>
  <c r="F1065" i="4"/>
  <c r="H1064" i="4"/>
  <c r="F1064" i="4"/>
  <c r="H1063" i="4"/>
  <c r="F1063" i="4"/>
  <c r="H1062" i="4"/>
  <c r="F1062" i="4"/>
  <c r="H1061" i="4"/>
  <c r="F1061" i="4"/>
  <c r="H1059" i="4"/>
  <c r="F1059" i="4"/>
  <c r="H1057" i="4"/>
  <c r="F1057" i="4"/>
  <c r="H1056" i="4"/>
  <c r="F1056" i="4"/>
  <c r="H1055" i="4"/>
  <c r="F1055" i="4"/>
  <c r="H1052" i="4"/>
  <c r="F1052" i="4"/>
  <c r="H1051" i="4"/>
  <c r="F1051" i="4"/>
  <c r="H1048" i="4"/>
  <c r="F1048" i="4"/>
  <c r="H1047" i="4"/>
  <c r="F1047" i="4"/>
  <c r="H1046" i="4"/>
  <c r="F1046" i="4"/>
  <c r="H1045" i="4"/>
  <c r="F1045" i="4"/>
  <c r="H1044" i="4"/>
  <c r="F1044" i="4"/>
  <c r="H1043" i="4"/>
  <c r="F1043" i="4"/>
  <c r="H1042" i="4"/>
  <c r="F1042" i="4"/>
  <c r="K1038" i="4"/>
  <c r="J1038" i="4"/>
  <c r="H1038" i="4"/>
  <c r="F1038" i="4"/>
  <c r="K1036" i="4"/>
  <c r="J1036" i="4"/>
  <c r="H1036" i="4"/>
  <c r="F1036" i="4"/>
  <c r="K1034" i="4"/>
  <c r="J1034" i="4"/>
  <c r="H1034" i="4"/>
  <c r="F1034" i="4"/>
  <c r="K1033" i="4"/>
  <c r="J1033" i="4"/>
  <c r="H1033" i="4"/>
  <c r="F1033" i="4"/>
  <c r="K1032" i="4"/>
  <c r="J1032" i="4"/>
  <c r="H1032" i="4"/>
  <c r="F1032" i="4"/>
  <c r="K1030" i="4"/>
  <c r="J1030" i="4"/>
  <c r="H1030" i="4"/>
  <c r="F1030" i="4"/>
  <c r="K1027" i="4"/>
  <c r="J1027" i="4"/>
  <c r="H1027" i="4"/>
  <c r="F1027" i="4"/>
  <c r="L1027" i="4" s="1"/>
  <c r="K1024" i="4"/>
  <c r="J1024" i="4"/>
  <c r="H1024" i="4"/>
  <c r="F1024" i="4"/>
  <c r="K1022" i="4"/>
  <c r="J1022" i="4"/>
  <c r="H1022" i="4"/>
  <c r="F1022" i="4"/>
  <c r="K1021" i="4"/>
  <c r="J1021" i="4"/>
  <c r="H1021" i="4"/>
  <c r="F1021" i="4"/>
  <c r="K1018" i="4"/>
  <c r="J1018" i="4"/>
  <c r="H1018" i="4"/>
  <c r="F1018" i="4"/>
  <c r="K1015" i="4"/>
  <c r="J1015" i="4"/>
  <c r="H1015" i="4"/>
  <c r="F1015" i="4"/>
  <c r="K1013" i="4"/>
  <c r="J1013" i="4"/>
  <c r="H1013" i="4"/>
  <c r="F1013" i="4"/>
  <c r="K1011" i="4"/>
  <c r="J1011" i="4"/>
  <c r="H1011" i="4"/>
  <c r="F1011" i="4"/>
  <c r="K1010" i="4"/>
  <c r="J1010" i="4"/>
  <c r="H1010" i="4"/>
  <c r="F1010" i="4"/>
  <c r="K1008" i="4"/>
  <c r="J1008" i="4"/>
  <c r="H1008" i="4"/>
  <c r="F1008" i="4"/>
  <c r="K1005" i="4"/>
  <c r="J1005" i="4"/>
  <c r="H1005" i="4"/>
  <c r="F1005" i="4"/>
  <c r="K1003" i="4"/>
  <c r="J1003" i="4"/>
  <c r="H1003" i="4"/>
  <c r="F1003" i="4"/>
  <c r="K1001" i="4"/>
  <c r="J1001" i="4"/>
  <c r="H1001" i="4"/>
  <c r="F1001" i="4"/>
  <c r="K995" i="4"/>
  <c r="J995" i="4"/>
  <c r="H995" i="4"/>
  <c r="F995" i="4"/>
  <c r="K993" i="4"/>
  <c r="J993" i="4"/>
  <c r="H993" i="4"/>
  <c r="F993" i="4"/>
  <c r="K992" i="4"/>
  <c r="J992" i="4"/>
  <c r="H992" i="4"/>
  <c r="F992" i="4"/>
  <c r="K991" i="4"/>
  <c r="J991" i="4"/>
  <c r="H991" i="4"/>
  <c r="F991" i="4"/>
  <c r="K990" i="4"/>
  <c r="J990" i="4"/>
  <c r="H990" i="4"/>
  <c r="F990" i="4"/>
  <c r="K988" i="4"/>
  <c r="J988" i="4"/>
  <c r="H988" i="4"/>
  <c r="F988" i="4"/>
  <c r="K987" i="4"/>
  <c r="J987" i="4"/>
  <c r="H987" i="4"/>
  <c r="F987" i="4"/>
  <c r="K985" i="4"/>
  <c r="J985" i="4"/>
  <c r="H985" i="4"/>
  <c r="F985" i="4"/>
  <c r="L985" i="4" s="1"/>
  <c r="K984" i="4"/>
  <c r="J984" i="4"/>
  <c r="H984" i="4"/>
  <c r="F984" i="4"/>
  <c r="K982" i="4"/>
  <c r="J982" i="4"/>
  <c r="H982" i="4"/>
  <c r="F982" i="4"/>
  <c r="K981" i="4"/>
  <c r="J981" i="4"/>
  <c r="H981" i="4"/>
  <c r="F981" i="4"/>
  <c r="K978" i="4"/>
  <c r="J978" i="4"/>
  <c r="H978" i="4"/>
  <c r="F978" i="4"/>
  <c r="K977" i="4"/>
  <c r="J977" i="4"/>
  <c r="H977" i="4"/>
  <c r="F977" i="4"/>
  <c r="K975" i="4"/>
  <c r="J975" i="4"/>
  <c r="H975" i="4"/>
  <c r="F975" i="4"/>
  <c r="K972" i="4"/>
  <c r="J972" i="4"/>
  <c r="H972" i="4"/>
  <c r="F972" i="4"/>
  <c r="K969" i="4"/>
  <c r="J969" i="4"/>
  <c r="H969" i="4"/>
  <c r="F969" i="4"/>
  <c r="K967" i="4"/>
  <c r="J967" i="4"/>
  <c r="H967" i="4"/>
  <c r="F967" i="4"/>
  <c r="K964" i="4"/>
  <c r="J964" i="4"/>
  <c r="H964" i="4"/>
  <c r="F964" i="4"/>
  <c r="K962" i="4"/>
  <c r="J962" i="4"/>
  <c r="H962" i="4"/>
  <c r="F962" i="4"/>
  <c r="K961" i="4"/>
  <c r="J961" i="4"/>
  <c r="H961" i="4"/>
  <c r="F961" i="4"/>
  <c r="K959" i="4"/>
  <c r="J959" i="4"/>
  <c r="H959" i="4"/>
  <c r="F959" i="4"/>
  <c r="K957" i="4"/>
  <c r="J957" i="4"/>
  <c r="H957" i="4"/>
  <c r="F957" i="4"/>
  <c r="K956" i="4"/>
  <c r="J956" i="4"/>
  <c r="H956" i="4"/>
  <c r="F956" i="4"/>
  <c r="K953" i="4"/>
  <c r="J953" i="4"/>
  <c r="H953" i="4"/>
  <c r="F953" i="4"/>
  <c r="K952" i="4"/>
  <c r="J952" i="4"/>
  <c r="H952" i="4"/>
  <c r="F952" i="4"/>
  <c r="K949" i="4"/>
  <c r="J949" i="4"/>
  <c r="H949" i="4"/>
  <c r="F949" i="4"/>
  <c r="K947" i="4"/>
  <c r="J947" i="4"/>
  <c r="H947" i="4"/>
  <c r="F947" i="4"/>
  <c r="K945" i="4"/>
  <c r="J945" i="4"/>
  <c r="H945" i="4"/>
  <c r="F945" i="4"/>
  <c r="K939" i="4"/>
  <c r="J939" i="4"/>
  <c r="H939" i="4"/>
  <c r="F939" i="4"/>
  <c r="K937" i="4"/>
  <c r="J937" i="4"/>
  <c r="H937" i="4"/>
  <c r="F937" i="4"/>
  <c r="K936" i="4"/>
  <c r="J936" i="4"/>
  <c r="H936" i="4"/>
  <c r="F936" i="4"/>
  <c r="K935" i="4"/>
  <c r="J935" i="4"/>
  <c r="H935" i="4"/>
  <c r="F935" i="4"/>
  <c r="K934" i="4"/>
  <c r="J934" i="4"/>
  <c r="H934" i="4"/>
  <c r="F934" i="4"/>
  <c r="K933" i="4"/>
  <c r="J933" i="4"/>
  <c r="H933" i="4"/>
  <c r="F933" i="4"/>
  <c r="K930" i="4"/>
  <c r="J930" i="4"/>
  <c r="H930" i="4"/>
  <c r="F930" i="4"/>
  <c r="K929" i="4"/>
  <c r="J929" i="4"/>
  <c r="H929" i="4"/>
  <c r="F929" i="4"/>
  <c r="K927" i="4"/>
  <c r="J927" i="4"/>
  <c r="H927" i="4"/>
  <c r="F927" i="4"/>
  <c r="K925" i="4"/>
  <c r="J925" i="4"/>
  <c r="H925" i="4"/>
  <c r="F925" i="4"/>
  <c r="K923" i="4"/>
  <c r="J923" i="4"/>
  <c r="H923" i="4"/>
  <c r="F923" i="4"/>
  <c r="K920" i="4"/>
  <c r="J920" i="4"/>
  <c r="H920" i="4"/>
  <c r="F920" i="4"/>
  <c r="K918" i="4"/>
  <c r="J918" i="4"/>
  <c r="H918" i="4"/>
  <c r="F918" i="4"/>
  <c r="K916" i="4"/>
  <c r="J916" i="4"/>
  <c r="H916" i="4"/>
  <c r="F916" i="4"/>
  <c r="K914" i="4"/>
  <c r="J914" i="4"/>
  <c r="H914" i="4"/>
  <c r="F914" i="4"/>
  <c r="K911" i="4"/>
  <c r="J911" i="4"/>
  <c r="H911" i="4"/>
  <c r="F911" i="4"/>
  <c r="K909" i="4"/>
  <c r="J909" i="4"/>
  <c r="H909" i="4"/>
  <c r="F909" i="4"/>
  <c r="K906" i="4"/>
  <c r="J906" i="4"/>
  <c r="H906" i="4"/>
  <c r="F906" i="4"/>
  <c r="K905" i="4"/>
  <c r="J905" i="4"/>
  <c r="H905" i="4"/>
  <c r="F905" i="4"/>
  <c r="K903" i="4"/>
  <c r="J903" i="4"/>
  <c r="H903" i="4"/>
  <c r="F903" i="4"/>
  <c r="K892" i="4"/>
  <c r="J892" i="4"/>
  <c r="H892" i="4"/>
  <c r="F892" i="4"/>
  <c r="K890" i="4"/>
  <c r="J890" i="4"/>
  <c r="H890" i="4"/>
  <c r="F890" i="4"/>
  <c r="K889" i="4"/>
  <c r="J889" i="4"/>
  <c r="H889" i="4"/>
  <c r="F889" i="4"/>
  <c r="K888" i="4"/>
  <c r="J888" i="4"/>
  <c r="H888" i="4"/>
  <c r="F888" i="4"/>
  <c r="K887" i="4"/>
  <c r="J887" i="4"/>
  <c r="H887" i="4"/>
  <c r="F887" i="4"/>
  <c r="K885" i="4"/>
  <c r="J885" i="4"/>
  <c r="H885" i="4"/>
  <c r="F885" i="4"/>
  <c r="K882" i="4"/>
  <c r="J882" i="4"/>
  <c r="H882" i="4"/>
  <c r="F882" i="4"/>
  <c r="K881" i="4"/>
  <c r="J881" i="4"/>
  <c r="H881" i="4"/>
  <c r="F881" i="4"/>
  <c r="K880" i="4"/>
  <c r="J880" i="4"/>
  <c r="H880" i="4"/>
  <c r="F880" i="4"/>
  <c r="K879" i="4"/>
  <c r="J879" i="4"/>
  <c r="H879" i="4"/>
  <c r="F879" i="4"/>
  <c r="K878" i="4"/>
  <c r="J878" i="4"/>
  <c r="H878" i="4"/>
  <c r="F878" i="4"/>
  <c r="K877" i="4"/>
  <c r="J877" i="4"/>
  <c r="H877" i="4"/>
  <c r="F877" i="4"/>
  <c r="K876" i="4"/>
  <c r="J876" i="4"/>
  <c r="H876" i="4"/>
  <c r="F876" i="4"/>
  <c r="K875" i="4"/>
  <c r="J875" i="4"/>
  <c r="H875" i="4"/>
  <c r="F875" i="4"/>
  <c r="K872" i="4"/>
  <c r="J872" i="4"/>
  <c r="H872" i="4"/>
  <c r="F872" i="4"/>
  <c r="K871" i="4"/>
  <c r="J871" i="4"/>
  <c r="H871" i="4"/>
  <c r="F871" i="4"/>
  <c r="K870" i="4"/>
  <c r="J870" i="4"/>
  <c r="H870" i="4"/>
  <c r="F870" i="4"/>
  <c r="K869" i="4"/>
  <c r="J869" i="4"/>
  <c r="H869" i="4"/>
  <c r="F869" i="4"/>
  <c r="K868" i="4"/>
  <c r="J868" i="4"/>
  <c r="H868" i="4"/>
  <c r="F868" i="4"/>
  <c r="K867" i="4"/>
  <c r="J867" i="4"/>
  <c r="H867" i="4"/>
  <c r="F867" i="4"/>
  <c r="K866" i="4"/>
  <c r="J866" i="4"/>
  <c r="H866" i="4"/>
  <c r="F866" i="4"/>
  <c r="K863" i="4"/>
  <c r="J863" i="4"/>
  <c r="H863" i="4"/>
  <c r="F863" i="4"/>
  <c r="K862" i="4"/>
  <c r="J862" i="4"/>
  <c r="H862" i="4"/>
  <c r="F862" i="4"/>
  <c r="K861" i="4"/>
  <c r="J861" i="4"/>
  <c r="H861" i="4"/>
  <c r="F861" i="4"/>
  <c r="K860" i="4"/>
  <c r="J860" i="4"/>
  <c r="H860" i="4"/>
  <c r="F860" i="4"/>
  <c r="K858" i="4"/>
  <c r="J858" i="4"/>
  <c r="H858" i="4"/>
  <c r="F858" i="4"/>
  <c r="K857" i="4"/>
  <c r="J857" i="4"/>
  <c r="H857" i="4"/>
  <c r="F857" i="4"/>
  <c r="K856" i="4"/>
  <c r="J856" i="4"/>
  <c r="H856" i="4"/>
  <c r="F856" i="4"/>
  <c r="K855" i="4"/>
  <c r="J855" i="4"/>
  <c r="H855" i="4"/>
  <c r="F855" i="4"/>
  <c r="K854" i="4"/>
  <c r="J854" i="4"/>
  <c r="H854" i="4"/>
  <c r="F854" i="4"/>
  <c r="K853" i="4"/>
  <c r="J853" i="4"/>
  <c r="H853" i="4"/>
  <c r="F853" i="4"/>
  <c r="K851" i="4"/>
  <c r="J851" i="4"/>
  <c r="H851" i="4"/>
  <c r="F851" i="4"/>
  <c r="K850" i="4"/>
  <c r="J850" i="4"/>
  <c r="H850" i="4"/>
  <c r="F850" i="4"/>
  <c r="K849" i="4"/>
  <c r="J849" i="4"/>
  <c r="H849" i="4"/>
  <c r="F849" i="4"/>
  <c r="K848" i="4"/>
  <c r="J848" i="4"/>
  <c r="H848" i="4"/>
  <c r="F848" i="4"/>
  <c r="K847" i="4"/>
  <c r="J847" i="4"/>
  <c r="H847" i="4"/>
  <c r="F847" i="4"/>
  <c r="K846" i="4"/>
  <c r="J846" i="4"/>
  <c r="H846" i="4"/>
  <c r="F846" i="4"/>
  <c r="K845" i="4"/>
  <c r="J845" i="4"/>
  <c r="H845" i="4"/>
  <c r="F845" i="4"/>
  <c r="K844" i="4"/>
  <c r="J844" i="4"/>
  <c r="H844" i="4"/>
  <c r="F844" i="4"/>
  <c r="K842" i="4"/>
  <c r="J842" i="4"/>
  <c r="H842" i="4"/>
  <c r="F842" i="4"/>
  <c r="K841" i="4"/>
  <c r="J841" i="4"/>
  <c r="H841" i="4"/>
  <c r="F841" i="4"/>
  <c r="K840" i="4"/>
  <c r="J840" i="4"/>
  <c r="H840" i="4"/>
  <c r="F840" i="4"/>
  <c r="K839" i="4"/>
  <c r="J839" i="4"/>
  <c r="H839" i="4"/>
  <c r="F839" i="4"/>
  <c r="K838" i="4"/>
  <c r="J838" i="4"/>
  <c r="H838" i="4"/>
  <c r="F838" i="4"/>
  <c r="K837" i="4"/>
  <c r="J837" i="4"/>
  <c r="H837" i="4"/>
  <c r="F837" i="4"/>
  <c r="K836" i="4"/>
  <c r="J836" i="4"/>
  <c r="H836" i="4"/>
  <c r="F836" i="4"/>
  <c r="K835" i="4"/>
  <c r="J835" i="4"/>
  <c r="H835" i="4"/>
  <c r="F835" i="4"/>
  <c r="K834" i="4"/>
  <c r="J834" i="4"/>
  <c r="H834" i="4"/>
  <c r="F834" i="4"/>
  <c r="K833" i="4"/>
  <c r="J833" i="4"/>
  <c r="H833" i="4"/>
  <c r="F833" i="4"/>
  <c r="K832" i="4"/>
  <c r="J832" i="4"/>
  <c r="H832" i="4"/>
  <c r="F832" i="4"/>
  <c r="K831" i="4"/>
  <c r="J831" i="4"/>
  <c r="H831" i="4"/>
  <c r="F831" i="4"/>
  <c r="K830" i="4"/>
  <c r="J830" i="4"/>
  <c r="H830" i="4"/>
  <c r="F830" i="4"/>
  <c r="K829" i="4"/>
  <c r="J829" i="4"/>
  <c r="H829" i="4"/>
  <c r="F829" i="4"/>
  <c r="K828" i="4"/>
  <c r="J828" i="4"/>
  <c r="H828" i="4"/>
  <c r="F828" i="4"/>
  <c r="K825" i="4"/>
  <c r="J825" i="4"/>
  <c r="H825" i="4"/>
  <c r="F825" i="4"/>
  <c r="K824" i="4"/>
  <c r="J824" i="4"/>
  <c r="H824" i="4"/>
  <c r="F824" i="4"/>
  <c r="K823" i="4"/>
  <c r="J823" i="4"/>
  <c r="H823" i="4"/>
  <c r="F823" i="4"/>
  <c r="K822" i="4"/>
  <c r="J822" i="4"/>
  <c r="H822" i="4"/>
  <c r="F822" i="4"/>
  <c r="K821" i="4"/>
  <c r="J821" i="4"/>
  <c r="H821" i="4"/>
  <c r="F821" i="4"/>
  <c r="K819" i="4"/>
  <c r="J819" i="4"/>
  <c r="H819" i="4"/>
  <c r="F819" i="4"/>
  <c r="K818" i="4"/>
  <c r="J818" i="4"/>
  <c r="H818" i="4"/>
  <c r="F818" i="4"/>
  <c r="K817" i="4"/>
  <c r="J817" i="4"/>
  <c r="H817" i="4"/>
  <c r="F817" i="4"/>
  <c r="K816" i="4"/>
  <c r="J816" i="4"/>
  <c r="H816" i="4"/>
  <c r="F816" i="4"/>
  <c r="K815" i="4"/>
  <c r="J815" i="4"/>
  <c r="H815" i="4"/>
  <c r="F815" i="4"/>
  <c r="K814" i="4"/>
  <c r="J814" i="4"/>
  <c r="H814" i="4"/>
  <c r="F814" i="4"/>
  <c r="K813" i="4"/>
  <c r="J813" i="4"/>
  <c r="H813" i="4"/>
  <c r="F813" i="4"/>
  <c r="K811" i="4"/>
  <c r="J811" i="4"/>
  <c r="H811" i="4"/>
  <c r="F811" i="4"/>
  <c r="K810" i="4"/>
  <c r="J810" i="4"/>
  <c r="H810" i="4"/>
  <c r="F810" i="4"/>
  <c r="K809" i="4"/>
  <c r="J809" i="4"/>
  <c r="H809" i="4"/>
  <c r="F809" i="4"/>
  <c r="K808" i="4"/>
  <c r="J808" i="4"/>
  <c r="H808" i="4"/>
  <c r="F808" i="4"/>
  <c r="K807" i="4"/>
  <c r="J807" i="4"/>
  <c r="H807" i="4"/>
  <c r="F807" i="4"/>
  <c r="K806" i="4"/>
  <c r="J806" i="4"/>
  <c r="H806" i="4"/>
  <c r="F806" i="4"/>
  <c r="K805" i="4"/>
  <c r="J805" i="4"/>
  <c r="H805" i="4"/>
  <c r="F805" i="4"/>
  <c r="K803" i="4"/>
  <c r="J803" i="4"/>
  <c r="H803" i="4"/>
  <c r="F803" i="4"/>
  <c r="K802" i="4"/>
  <c r="J802" i="4"/>
  <c r="H802" i="4"/>
  <c r="F802" i="4"/>
  <c r="K801" i="4"/>
  <c r="J801" i="4"/>
  <c r="H801" i="4"/>
  <c r="F801" i="4"/>
  <c r="K800" i="4"/>
  <c r="J800" i="4"/>
  <c r="H800" i="4"/>
  <c r="F800" i="4"/>
  <c r="K799" i="4"/>
  <c r="J799" i="4"/>
  <c r="H799" i="4"/>
  <c r="F799" i="4"/>
  <c r="K798" i="4"/>
  <c r="J798" i="4"/>
  <c r="H798" i="4"/>
  <c r="F798" i="4"/>
  <c r="K797" i="4"/>
  <c r="J797" i="4"/>
  <c r="H797" i="4"/>
  <c r="F797" i="4"/>
  <c r="K796" i="4"/>
  <c r="J796" i="4"/>
  <c r="H796" i="4"/>
  <c r="F796" i="4"/>
  <c r="K795" i="4"/>
  <c r="J795" i="4"/>
  <c r="H795" i="4"/>
  <c r="F795" i="4"/>
  <c r="K794" i="4"/>
  <c r="J794" i="4"/>
  <c r="H794" i="4"/>
  <c r="F794" i="4"/>
  <c r="K793" i="4"/>
  <c r="J793" i="4"/>
  <c r="H793" i="4"/>
  <c r="F793" i="4"/>
  <c r="K788" i="4"/>
  <c r="J788" i="4"/>
  <c r="H788" i="4"/>
  <c r="F788" i="4"/>
  <c r="K786" i="4"/>
  <c r="J786" i="4"/>
  <c r="H786" i="4"/>
  <c r="F786" i="4"/>
  <c r="K785" i="4"/>
  <c r="J785" i="4"/>
  <c r="H785" i="4"/>
  <c r="F785" i="4"/>
  <c r="K784" i="4"/>
  <c r="J784" i="4"/>
  <c r="H784" i="4"/>
  <c r="F784" i="4"/>
  <c r="L784" i="4" s="1"/>
  <c r="K783" i="4"/>
  <c r="J783" i="4"/>
  <c r="H783" i="4"/>
  <c r="F783" i="4"/>
  <c r="K782" i="4"/>
  <c r="J782" i="4"/>
  <c r="H782" i="4"/>
  <c r="F782" i="4"/>
  <c r="L782" i="4" s="1"/>
  <c r="K780" i="4"/>
  <c r="J780" i="4"/>
  <c r="H780" i="4"/>
  <c r="F780" i="4"/>
  <c r="K778" i="4"/>
  <c r="J778" i="4"/>
  <c r="H778" i="4"/>
  <c r="F778" i="4"/>
  <c r="K776" i="4"/>
  <c r="J776" i="4"/>
  <c r="H776" i="4"/>
  <c r="H773" i="4" s="1"/>
  <c r="H13" i="4" s="1"/>
  <c r="F776" i="4"/>
  <c r="K771" i="4"/>
  <c r="J771" i="4"/>
  <c r="H771" i="4"/>
  <c r="F771" i="4"/>
  <c r="K770" i="4"/>
  <c r="J770" i="4"/>
  <c r="H770" i="4"/>
  <c r="F770" i="4"/>
  <c r="K769" i="4"/>
  <c r="J769" i="4"/>
  <c r="H769" i="4"/>
  <c r="F769" i="4"/>
  <c r="K768" i="4"/>
  <c r="J768" i="4"/>
  <c r="H768" i="4"/>
  <c r="F768" i="4"/>
  <c r="K767" i="4"/>
  <c r="J767" i="4"/>
  <c r="H767" i="4"/>
  <c r="F767" i="4"/>
  <c r="K766" i="4"/>
  <c r="J766" i="4"/>
  <c r="H766" i="4"/>
  <c r="F766" i="4"/>
  <c r="K765" i="4"/>
  <c r="J765" i="4"/>
  <c r="H765" i="4"/>
  <c r="F765" i="4"/>
  <c r="K764" i="4"/>
  <c r="J764" i="4"/>
  <c r="H764" i="4"/>
  <c r="F764" i="4"/>
  <c r="K763" i="4"/>
  <c r="J763" i="4"/>
  <c r="H763" i="4"/>
  <c r="F763" i="4"/>
  <c r="K762" i="4"/>
  <c r="J762" i="4"/>
  <c r="H762" i="4"/>
  <c r="F762" i="4"/>
  <c r="K761" i="4"/>
  <c r="J761" i="4"/>
  <c r="H761" i="4"/>
  <c r="F761" i="4"/>
  <c r="K760" i="4"/>
  <c r="J760" i="4"/>
  <c r="H760" i="4"/>
  <c r="F760" i="4"/>
  <c r="K759" i="4"/>
  <c r="J759" i="4"/>
  <c r="H759" i="4"/>
  <c r="F759" i="4"/>
  <c r="L759" i="4" s="1"/>
  <c r="K758" i="4"/>
  <c r="J758" i="4"/>
  <c r="H758" i="4"/>
  <c r="F758" i="4"/>
  <c r="K757" i="4"/>
  <c r="J757" i="4"/>
  <c r="H757" i="4"/>
  <c r="F757" i="4"/>
  <c r="K756" i="4"/>
  <c r="J756" i="4"/>
  <c r="H756" i="4"/>
  <c r="F756" i="4"/>
  <c r="K755" i="4"/>
  <c r="J755" i="4"/>
  <c r="H755" i="4"/>
  <c r="F755" i="4"/>
  <c r="K754" i="4"/>
  <c r="J754" i="4"/>
  <c r="H754" i="4"/>
  <c r="F754" i="4"/>
  <c r="K753" i="4"/>
  <c r="J753" i="4"/>
  <c r="H753" i="4"/>
  <c r="F753" i="4"/>
  <c r="K752" i="4"/>
  <c r="J752" i="4"/>
  <c r="H752" i="4"/>
  <c r="F752" i="4"/>
  <c r="K750" i="4"/>
  <c r="J750" i="4"/>
  <c r="H750" i="4"/>
  <c r="F750" i="4"/>
  <c r="K748" i="4"/>
  <c r="J748" i="4"/>
  <c r="H748" i="4"/>
  <c r="F748" i="4"/>
  <c r="K746" i="4"/>
  <c r="J746" i="4"/>
  <c r="H746" i="4"/>
  <c r="F746" i="4"/>
  <c r="K745" i="4"/>
  <c r="J745" i="4"/>
  <c r="H745" i="4"/>
  <c r="F745" i="4"/>
  <c r="K744" i="4"/>
  <c r="J744" i="4"/>
  <c r="H744" i="4"/>
  <c r="F744" i="4"/>
  <c r="K743" i="4"/>
  <c r="J743" i="4"/>
  <c r="H743" i="4"/>
  <c r="F743" i="4"/>
  <c r="K741" i="4"/>
  <c r="J741" i="4"/>
  <c r="H741" i="4"/>
  <c r="F741" i="4"/>
  <c r="K739" i="4"/>
  <c r="J739" i="4"/>
  <c r="H739" i="4"/>
  <c r="F739" i="4"/>
  <c r="K737" i="4"/>
  <c r="J737" i="4"/>
  <c r="H737" i="4"/>
  <c r="F737" i="4"/>
  <c r="K736" i="4"/>
  <c r="J736" i="4"/>
  <c r="H736" i="4"/>
  <c r="F736" i="4"/>
  <c r="K735" i="4"/>
  <c r="J735" i="4"/>
  <c r="H735" i="4"/>
  <c r="F735" i="4"/>
  <c r="K734" i="4"/>
  <c r="J734" i="4"/>
  <c r="H734" i="4"/>
  <c r="F734" i="4"/>
  <c r="K733" i="4"/>
  <c r="J733" i="4"/>
  <c r="H733" i="4"/>
  <c r="F733" i="4"/>
  <c r="K731" i="4"/>
  <c r="J731" i="4"/>
  <c r="H731" i="4"/>
  <c r="F731" i="4"/>
  <c r="K730" i="4"/>
  <c r="J730" i="4"/>
  <c r="H730" i="4"/>
  <c r="F730" i="4"/>
  <c r="K729" i="4"/>
  <c r="J729" i="4"/>
  <c r="H729" i="4"/>
  <c r="F729" i="4"/>
  <c r="K728" i="4"/>
  <c r="J728" i="4"/>
  <c r="H728" i="4"/>
  <c r="F728" i="4"/>
  <c r="K727" i="4"/>
  <c r="J727" i="4"/>
  <c r="H727" i="4"/>
  <c r="F727" i="4"/>
  <c r="K720" i="4"/>
  <c r="J720" i="4"/>
  <c r="H720" i="4"/>
  <c r="F720" i="4"/>
  <c r="L720" i="4" s="1"/>
  <c r="K719" i="4"/>
  <c r="J719" i="4"/>
  <c r="H719" i="4"/>
  <c r="F719" i="4"/>
  <c r="K718" i="4"/>
  <c r="J718" i="4"/>
  <c r="H718" i="4"/>
  <c r="F718" i="4"/>
  <c r="K717" i="4"/>
  <c r="J717" i="4"/>
  <c r="H717" i="4"/>
  <c r="F717" i="4"/>
  <c r="K716" i="4"/>
  <c r="J716" i="4"/>
  <c r="H716" i="4"/>
  <c r="F716" i="4"/>
  <c r="K715" i="4"/>
  <c r="J715" i="4"/>
  <c r="H715" i="4"/>
  <c r="F715" i="4"/>
  <c r="K714" i="4"/>
  <c r="J714" i="4"/>
  <c r="H714" i="4"/>
  <c r="F714" i="4"/>
  <c r="K712" i="4"/>
  <c r="J712" i="4"/>
  <c r="H712" i="4"/>
  <c r="F712" i="4"/>
  <c r="K711" i="4"/>
  <c r="J711" i="4"/>
  <c r="H711" i="4"/>
  <c r="F711" i="4"/>
  <c r="K710" i="4"/>
  <c r="J710" i="4"/>
  <c r="H710" i="4"/>
  <c r="F710" i="4"/>
  <c r="K709" i="4"/>
  <c r="J709" i="4"/>
  <c r="H709" i="4"/>
  <c r="F709" i="4"/>
  <c r="K708" i="4"/>
  <c r="J708" i="4"/>
  <c r="H708" i="4"/>
  <c r="F708" i="4"/>
  <c r="K707" i="4"/>
  <c r="J707" i="4"/>
  <c r="H707" i="4"/>
  <c r="F707" i="4"/>
  <c r="K706" i="4"/>
  <c r="J706" i="4"/>
  <c r="H706" i="4"/>
  <c r="F706" i="4"/>
  <c r="K705" i="4"/>
  <c r="J705" i="4"/>
  <c r="H705" i="4"/>
  <c r="F705" i="4"/>
  <c r="K704" i="4"/>
  <c r="J704" i="4"/>
  <c r="H704" i="4"/>
  <c r="F704" i="4"/>
  <c r="K703" i="4"/>
  <c r="J703" i="4"/>
  <c r="H703" i="4"/>
  <c r="F703" i="4"/>
  <c r="K702" i="4"/>
  <c r="J702" i="4"/>
  <c r="H702" i="4"/>
  <c r="F702" i="4"/>
  <c r="K701" i="4"/>
  <c r="J701" i="4"/>
  <c r="H701" i="4"/>
  <c r="F701" i="4"/>
  <c r="K700" i="4"/>
  <c r="J700" i="4"/>
  <c r="H700" i="4"/>
  <c r="F700" i="4"/>
  <c r="K699" i="4"/>
  <c r="J699" i="4"/>
  <c r="H699" i="4"/>
  <c r="F699" i="4"/>
  <c r="K698" i="4"/>
  <c r="J698" i="4"/>
  <c r="H698" i="4"/>
  <c r="F698" i="4"/>
  <c r="K696" i="4"/>
  <c r="J696" i="4"/>
  <c r="H696" i="4"/>
  <c r="F696" i="4"/>
  <c r="K695" i="4"/>
  <c r="J695" i="4"/>
  <c r="H695" i="4"/>
  <c r="F695" i="4"/>
  <c r="K689" i="4"/>
  <c r="J689" i="4"/>
  <c r="H689" i="4"/>
  <c r="F689" i="4"/>
  <c r="K688" i="4"/>
  <c r="J688" i="4"/>
  <c r="H688" i="4"/>
  <c r="F688" i="4"/>
  <c r="K686" i="4"/>
  <c r="J686" i="4"/>
  <c r="H686" i="4"/>
  <c r="F686" i="4"/>
  <c r="K685" i="4"/>
  <c r="J685" i="4"/>
  <c r="H685" i="4"/>
  <c r="F685" i="4"/>
  <c r="L685" i="4" s="1"/>
  <c r="K683" i="4"/>
  <c r="J683" i="4"/>
  <c r="H683" i="4"/>
  <c r="F683" i="4"/>
  <c r="K682" i="4"/>
  <c r="J682" i="4"/>
  <c r="H682" i="4"/>
  <c r="F682" i="4"/>
  <c r="K681" i="4"/>
  <c r="J681" i="4"/>
  <c r="H681" i="4"/>
  <c r="F681" i="4"/>
  <c r="K679" i="4"/>
  <c r="J679" i="4"/>
  <c r="H679" i="4"/>
  <c r="F679" i="4"/>
  <c r="K676" i="4"/>
  <c r="J676" i="4"/>
  <c r="H676" i="4"/>
  <c r="F676" i="4"/>
  <c r="K675" i="4"/>
  <c r="J675" i="4"/>
  <c r="H675" i="4"/>
  <c r="F675" i="4"/>
  <c r="K674" i="4"/>
  <c r="J674" i="4"/>
  <c r="H674" i="4"/>
  <c r="F674" i="4"/>
  <c r="K672" i="4"/>
  <c r="J672" i="4"/>
  <c r="H672" i="4"/>
  <c r="F672" i="4"/>
  <c r="K670" i="4"/>
  <c r="J670" i="4"/>
  <c r="H670" i="4"/>
  <c r="F670" i="4"/>
  <c r="K668" i="4"/>
  <c r="J668" i="4"/>
  <c r="H668" i="4"/>
  <c r="F668" i="4"/>
  <c r="K667" i="4"/>
  <c r="J667" i="4"/>
  <c r="H667" i="4"/>
  <c r="F667" i="4"/>
  <c r="K666" i="4"/>
  <c r="J666" i="4"/>
  <c r="H666" i="4"/>
  <c r="F666" i="4"/>
  <c r="K665" i="4"/>
  <c r="J665" i="4"/>
  <c r="H665" i="4"/>
  <c r="F665" i="4"/>
  <c r="K664" i="4"/>
  <c r="J664" i="4"/>
  <c r="H664" i="4"/>
  <c r="F664" i="4"/>
  <c r="K663" i="4"/>
  <c r="J663" i="4"/>
  <c r="H663" i="4"/>
  <c r="F663" i="4"/>
  <c r="K662" i="4"/>
  <c r="J662" i="4"/>
  <c r="H662" i="4"/>
  <c r="F662" i="4"/>
  <c r="K659" i="4"/>
  <c r="J659" i="4"/>
  <c r="H659" i="4"/>
  <c r="F659" i="4"/>
  <c r="L659" i="4" s="1"/>
  <c r="K657" i="4"/>
  <c r="J657" i="4"/>
  <c r="H657" i="4"/>
  <c r="F657" i="4"/>
  <c r="K656" i="4"/>
  <c r="J656" i="4"/>
  <c r="H656" i="4"/>
  <c r="F656" i="4"/>
  <c r="K654" i="4"/>
  <c r="J654" i="4"/>
  <c r="H654" i="4"/>
  <c r="F654" i="4"/>
  <c r="K653" i="4"/>
  <c r="J653" i="4"/>
  <c r="H653" i="4"/>
  <c r="F653" i="4"/>
  <c r="K652" i="4"/>
  <c r="J652" i="4"/>
  <c r="H652" i="4"/>
  <c r="F652" i="4"/>
  <c r="K650" i="4"/>
  <c r="J650" i="4"/>
  <c r="H650" i="4"/>
  <c r="F650" i="4"/>
  <c r="K649" i="4"/>
  <c r="J649" i="4"/>
  <c r="H649" i="4"/>
  <c r="F649" i="4"/>
  <c r="K648" i="4"/>
  <c r="J648" i="4"/>
  <c r="H648" i="4"/>
  <c r="F648" i="4"/>
  <c r="K647" i="4"/>
  <c r="J647" i="4"/>
  <c r="H647" i="4"/>
  <c r="F647" i="4"/>
  <c r="K645" i="4"/>
  <c r="J645" i="4"/>
  <c r="H645" i="4"/>
  <c r="F645" i="4"/>
  <c r="K643" i="4"/>
  <c r="J643" i="4"/>
  <c r="H643" i="4"/>
  <c r="F643" i="4"/>
  <c r="K641" i="4"/>
  <c r="J641" i="4"/>
  <c r="H641" i="4"/>
  <c r="F641" i="4"/>
  <c r="K640" i="4"/>
  <c r="J640" i="4"/>
  <c r="H640" i="4"/>
  <c r="F640" i="4"/>
  <c r="K638" i="4"/>
  <c r="J638" i="4"/>
  <c r="H638" i="4"/>
  <c r="F638" i="4"/>
  <c r="K637" i="4"/>
  <c r="J637" i="4"/>
  <c r="H637" i="4"/>
  <c r="F637" i="4"/>
  <c r="J632" i="4"/>
  <c r="H632" i="4"/>
  <c r="J631" i="4"/>
  <c r="H631" i="4"/>
  <c r="J630" i="4"/>
  <c r="H630" i="4"/>
  <c r="J629" i="4"/>
  <c r="H629" i="4"/>
  <c r="J628" i="4"/>
  <c r="H628" i="4"/>
  <c r="J627" i="4"/>
  <c r="H627" i="4"/>
  <c r="J626" i="4"/>
  <c r="H626" i="4"/>
  <c r="J625" i="4"/>
  <c r="H625" i="4"/>
  <c r="J623" i="4"/>
  <c r="H623" i="4"/>
  <c r="J622" i="4"/>
  <c r="H622" i="4"/>
  <c r="J620" i="4"/>
  <c r="H620" i="4"/>
  <c r="J618" i="4"/>
  <c r="H618" i="4"/>
  <c r="J617" i="4"/>
  <c r="H617" i="4"/>
  <c r="J615" i="4"/>
  <c r="H615" i="4"/>
  <c r="J614" i="4"/>
  <c r="H614" i="4"/>
  <c r="J613" i="4"/>
  <c r="H613" i="4"/>
  <c r="J612" i="4"/>
  <c r="H612" i="4"/>
  <c r="J611" i="4"/>
  <c r="H611" i="4"/>
  <c r="J608" i="4"/>
  <c r="H608" i="4"/>
  <c r="J607" i="4"/>
  <c r="H607" i="4"/>
  <c r="J606" i="4"/>
  <c r="H606" i="4"/>
  <c r="J605" i="4"/>
  <c r="H605" i="4"/>
  <c r="J604" i="4"/>
  <c r="H604" i="4"/>
  <c r="J603" i="4"/>
  <c r="H603" i="4"/>
  <c r="J602" i="4"/>
  <c r="H602" i="4"/>
  <c r="J600" i="4"/>
  <c r="H600" i="4"/>
  <c r="J599" i="4"/>
  <c r="H599" i="4"/>
  <c r="J597" i="4"/>
  <c r="H597" i="4"/>
  <c r="J596" i="4"/>
  <c r="H596" i="4"/>
  <c r="J595" i="4"/>
  <c r="H595" i="4"/>
  <c r="J594" i="4"/>
  <c r="H594" i="4"/>
  <c r="J593" i="4"/>
  <c r="H593" i="4"/>
  <c r="J592" i="4"/>
  <c r="H592" i="4"/>
  <c r="J591" i="4"/>
  <c r="H591" i="4"/>
  <c r="J590" i="4"/>
  <c r="H590" i="4"/>
  <c r="J589" i="4"/>
  <c r="H589" i="4"/>
  <c r="J588" i="4"/>
  <c r="H588" i="4"/>
  <c r="J586" i="4"/>
  <c r="H586" i="4"/>
  <c r="J585" i="4"/>
  <c r="H585" i="4"/>
  <c r="J584" i="4"/>
  <c r="H584" i="4"/>
  <c r="J583" i="4"/>
  <c r="H583" i="4"/>
  <c r="J582" i="4"/>
  <c r="H582" i="4"/>
  <c r="K578" i="4"/>
  <c r="J578" i="4"/>
  <c r="H578" i="4"/>
  <c r="F578" i="4"/>
  <c r="K577" i="4"/>
  <c r="J577" i="4"/>
  <c r="H577" i="4"/>
  <c r="F577" i="4"/>
  <c r="L577" i="4" s="1"/>
  <c r="K576" i="4"/>
  <c r="J576" i="4"/>
  <c r="H576" i="4"/>
  <c r="F576" i="4"/>
  <c r="L576" i="4" s="1"/>
  <c r="K575" i="4"/>
  <c r="J575" i="4"/>
  <c r="H575" i="4"/>
  <c r="F575" i="4"/>
  <c r="K574" i="4"/>
  <c r="J574" i="4"/>
  <c r="H574" i="4"/>
  <c r="F574" i="4"/>
  <c r="L574" i="4" s="1"/>
  <c r="K573" i="4"/>
  <c r="J573" i="4"/>
  <c r="H573" i="4"/>
  <c r="F573" i="4"/>
  <c r="L573" i="4" s="1"/>
  <c r="K572" i="4"/>
  <c r="J572" i="4"/>
  <c r="H572" i="4"/>
  <c r="F572" i="4"/>
  <c r="L572" i="4" s="1"/>
  <c r="K571" i="4"/>
  <c r="J571" i="4"/>
  <c r="H571" i="4"/>
  <c r="F571" i="4"/>
  <c r="K570" i="4"/>
  <c r="J570" i="4"/>
  <c r="H570" i="4"/>
  <c r="F570" i="4"/>
  <c r="K569" i="4"/>
  <c r="J569" i="4"/>
  <c r="H569" i="4"/>
  <c r="F569" i="4"/>
  <c r="K568" i="4"/>
  <c r="J568" i="4"/>
  <c r="H568" i="4"/>
  <c r="F568" i="4"/>
  <c r="L568" i="4" s="1"/>
  <c r="K567" i="4"/>
  <c r="J567" i="4"/>
  <c r="H567" i="4"/>
  <c r="F567" i="4"/>
  <c r="K566" i="4"/>
  <c r="J566" i="4"/>
  <c r="H566" i="4"/>
  <c r="F566" i="4"/>
  <c r="K565" i="4"/>
  <c r="J565" i="4"/>
  <c r="H565" i="4"/>
  <c r="F565" i="4"/>
  <c r="L565" i="4" s="1"/>
  <c r="K564" i="4"/>
  <c r="J564" i="4"/>
  <c r="H564" i="4"/>
  <c r="F564" i="4"/>
  <c r="K563" i="4"/>
  <c r="J563" i="4"/>
  <c r="H563" i="4"/>
  <c r="F563" i="4"/>
  <c r="L563" i="4" s="1"/>
  <c r="K562" i="4"/>
  <c r="J562" i="4"/>
  <c r="H562" i="4"/>
  <c r="F562" i="4"/>
  <c r="K561" i="4"/>
  <c r="J561" i="4"/>
  <c r="H561" i="4"/>
  <c r="F561" i="4"/>
  <c r="K560" i="4"/>
  <c r="J560" i="4"/>
  <c r="H560" i="4"/>
  <c r="F560" i="4"/>
  <c r="K559" i="4"/>
  <c r="J559" i="4"/>
  <c r="H559" i="4"/>
  <c r="F559" i="4"/>
  <c r="K558" i="4"/>
  <c r="J558" i="4"/>
  <c r="H558" i="4"/>
  <c r="F558" i="4"/>
  <c r="K556" i="4"/>
  <c r="J556" i="4"/>
  <c r="H556" i="4"/>
  <c r="F556" i="4"/>
  <c r="K555" i="4"/>
  <c r="J555" i="4"/>
  <c r="H555" i="4"/>
  <c r="F555" i="4"/>
  <c r="K554" i="4"/>
  <c r="J554" i="4"/>
  <c r="H554" i="4"/>
  <c r="F554" i="4"/>
  <c r="K553" i="4"/>
  <c r="J553" i="4"/>
  <c r="H553" i="4"/>
  <c r="F553" i="4"/>
  <c r="K551" i="4"/>
  <c r="J551" i="4"/>
  <c r="H551" i="4"/>
  <c r="F551" i="4"/>
  <c r="K550" i="4"/>
  <c r="J550" i="4"/>
  <c r="H550" i="4"/>
  <c r="F550" i="4"/>
  <c r="K549" i="4"/>
  <c r="J549" i="4"/>
  <c r="H549" i="4"/>
  <c r="F549" i="4"/>
  <c r="K548" i="4"/>
  <c r="J548" i="4"/>
  <c r="H548" i="4"/>
  <c r="F548" i="4"/>
  <c r="L548" i="4" s="1"/>
  <c r="K547" i="4"/>
  <c r="J547" i="4"/>
  <c r="H547" i="4"/>
  <c r="F547" i="4"/>
  <c r="K546" i="4"/>
  <c r="J546" i="4"/>
  <c r="H546" i="4"/>
  <c r="F546" i="4"/>
  <c r="K545" i="4"/>
  <c r="J545" i="4"/>
  <c r="H545" i="4"/>
  <c r="F545" i="4"/>
  <c r="K544" i="4"/>
  <c r="J544" i="4"/>
  <c r="H544" i="4"/>
  <c r="F544" i="4"/>
  <c r="K543" i="4"/>
  <c r="J543" i="4"/>
  <c r="H543" i="4"/>
  <c r="F543" i="4"/>
  <c r="K541" i="4"/>
  <c r="J541" i="4"/>
  <c r="H541" i="4"/>
  <c r="F541" i="4"/>
  <c r="K540" i="4"/>
  <c r="J540" i="4"/>
  <c r="H540" i="4"/>
  <c r="F540" i="4"/>
  <c r="K539" i="4"/>
  <c r="J539" i="4"/>
  <c r="H539" i="4"/>
  <c r="F539" i="4"/>
  <c r="K538" i="4"/>
  <c r="J538" i="4"/>
  <c r="H538" i="4"/>
  <c r="F538" i="4"/>
  <c r="K537" i="4"/>
  <c r="J537" i="4"/>
  <c r="H537" i="4"/>
  <c r="F537" i="4"/>
  <c r="K536" i="4"/>
  <c r="J536" i="4"/>
  <c r="H536" i="4"/>
  <c r="F536" i="4"/>
  <c r="K535" i="4"/>
  <c r="J535" i="4"/>
  <c r="H535" i="4"/>
  <c r="F535" i="4"/>
  <c r="K534" i="4"/>
  <c r="J534" i="4"/>
  <c r="H534" i="4"/>
  <c r="F534" i="4"/>
  <c r="K533" i="4"/>
  <c r="J533" i="4"/>
  <c r="H533" i="4"/>
  <c r="F533" i="4"/>
  <c r="K530" i="4"/>
  <c r="J530" i="4"/>
  <c r="H530" i="4"/>
  <c r="F530" i="4"/>
  <c r="K528" i="4"/>
  <c r="J528" i="4"/>
  <c r="H528" i="4"/>
  <c r="F528" i="4"/>
  <c r="K527" i="4"/>
  <c r="J527" i="4"/>
  <c r="H527" i="4"/>
  <c r="F527" i="4"/>
  <c r="K526" i="4"/>
  <c r="J526" i="4"/>
  <c r="H526" i="4"/>
  <c r="F526" i="4"/>
  <c r="K525" i="4"/>
  <c r="J525" i="4"/>
  <c r="H525" i="4"/>
  <c r="F525" i="4"/>
  <c r="K522" i="4"/>
  <c r="J522" i="4"/>
  <c r="H522" i="4"/>
  <c r="F522" i="4"/>
  <c r="K521" i="4"/>
  <c r="J521" i="4"/>
  <c r="H521" i="4"/>
  <c r="F521" i="4"/>
  <c r="K520" i="4"/>
  <c r="J520" i="4"/>
  <c r="H520" i="4"/>
  <c r="F520" i="4"/>
  <c r="K519" i="4"/>
  <c r="J519" i="4"/>
  <c r="H519" i="4"/>
  <c r="F519" i="4"/>
  <c r="K518" i="4"/>
  <c r="J518" i="4"/>
  <c r="H518" i="4"/>
  <c r="F518" i="4"/>
  <c r="K517" i="4"/>
  <c r="J517" i="4"/>
  <c r="H517" i="4"/>
  <c r="F517" i="4"/>
  <c r="K516" i="4"/>
  <c r="J516" i="4"/>
  <c r="H516" i="4"/>
  <c r="F516" i="4"/>
  <c r="K514" i="4"/>
  <c r="J514" i="4"/>
  <c r="H514" i="4"/>
  <c r="F514" i="4"/>
  <c r="K513" i="4"/>
  <c r="J513" i="4"/>
  <c r="H513" i="4"/>
  <c r="F513" i="4"/>
  <c r="K512" i="4"/>
  <c r="J512" i="4"/>
  <c r="H512" i="4"/>
  <c r="F512" i="4"/>
  <c r="K511" i="4"/>
  <c r="J511" i="4"/>
  <c r="H511" i="4"/>
  <c r="F511" i="4"/>
  <c r="K510" i="4"/>
  <c r="J510" i="4"/>
  <c r="H510" i="4"/>
  <c r="F510" i="4"/>
  <c r="K508" i="4"/>
  <c r="J508" i="4"/>
  <c r="H508" i="4"/>
  <c r="F508" i="4"/>
  <c r="K506" i="4"/>
  <c r="J506" i="4"/>
  <c r="H506" i="4"/>
  <c r="F506" i="4"/>
  <c r="K505" i="4"/>
  <c r="J505" i="4"/>
  <c r="H505" i="4"/>
  <c r="F505" i="4"/>
  <c r="K504" i="4"/>
  <c r="J504" i="4"/>
  <c r="H504" i="4"/>
  <c r="F504" i="4"/>
  <c r="K501" i="4"/>
  <c r="J501" i="4"/>
  <c r="H501" i="4"/>
  <c r="F501" i="4"/>
  <c r="K500" i="4"/>
  <c r="J500" i="4"/>
  <c r="H500" i="4"/>
  <c r="F500" i="4"/>
  <c r="K497" i="4"/>
  <c r="J497" i="4"/>
  <c r="H497" i="4"/>
  <c r="F497" i="4"/>
  <c r="K496" i="4"/>
  <c r="J496" i="4"/>
  <c r="H496" i="4"/>
  <c r="F496" i="4"/>
  <c r="K495" i="4"/>
  <c r="J495" i="4"/>
  <c r="H495" i="4"/>
  <c r="F495" i="4"/>
  <c r="K494" i="4"/>
  <c r="J494" i="4"/>
  <c r="H494" i="4"/>
  <c r="F494" i="4"/>
  <c r="K493" i="4"/>
  <c r="J493" i="4"/>
  <c r="H493" i="4"/>
  <c r="F493" i="4"/>
  <c r="K492" i="4"/>
  <c r="J492" i="4"/>
  <c r="H492" i="4"/>
  <c r="F492" i="4"/>
  <c r="K491" i="4"/>
  <c r="J491" i="4"/>
  <c r="H491" i="4"/>
  <c r="F491" i="4"/>
  <c r="K489" i="4"/>
  <c r="J489" i="4"/>
  <c r="H489" i="4"/>
  <c r="F489" i="4"/>
  <c r="K487" i="4"/>
  <c r="J487" i="4"/>
  <c r="H487" i="4"/>
  <c r="F487" i="4"/>
  <c r="K485" i="4"/>
  <c r="J485" i="4"/>
  <c r="H485" i="4"/>
  <c r="F485" i="4"/>
  <c r="K480" i="4"/>
  <c r="J480" i="4"/>
  <c r="H480" i="4"/>
  <c r="F480" i="4"/>
  <c r="K478" i="4"/>
  <c r="J478" i="4"/>
  <c r="H478" i="4"/>
  <c r="F478" i="4"/>
  <c r="L478" i="4" s="1"/>
  <c r="K477" i="4"/>
  <c r="J477" i="4"/>
  <c r="H477" i="4"/>
  <c r="F477" i="4"/>
  <c r="L477" i="4" s="1"/>
  <c r="K476" i="4"/>
  <c r="J476" i="4"/>
  <c r="H476" i="4"/>
  <c r="F476" i="4"/>
  <c r="K474" i="4"/>
  <c r="J474" i="4"/>
  <c r="H474" i="4"/>
  <c r="F474" i="4"/>
  <c r="K473" i="4"/>
  <c r="J473" i="4"/>
  <c r="H473" i="4"/>
  <c r="F473" i="4"/>
  <c r="L473" i="4" s="1"/>
  <c r="K472" i="4"/>
  <c r="J472" i="4"/>
  <c r="H472" i="4"/>
  <c r="F472" i="4"/>
  <c r="K471" i="4"/>
  <c r="J471" i="4"/>
  <c r="H471" i="4"/>
  <c r="F471" i="4"/>
  <c r="K470" i="4"/>
  <c r="J470" i="4"/>
  <c r="H470" i="4"/>
  <c r="F470" i="4"/>
  <c r="K469" i="4"/>
  <c r="J469" i="4"/>
  <c r="H469" i="4"/>
  <c r="F469" i="4"/>
  <c r="K468" i="4"/>
  <c r="J468" i="4"/>
  <c r="H468" i="4"/>
  <c r="F468" i="4"/>
  <c r="K467" i="4"/>
  <c r="J467" i="4"/>
  <c r="H467" i="4"/>
  <c r="F467" i="4"/>
  <c r="K466" i="4"/>
  <c r="J466" i="4"/>
  <c r="H466" i="4"/>
  <c r="F466" i="4"/>
  <c r="K465" i="4"/>
  <c r="J465" i="4"/>
  <c r="H465" i="4"/>
  <c r="F465" i="4"/>
  <c r="K463" i="4"/>
  <c r="J463" i="4"/>
  <c r="H463" i="4"/>
  <c r="F463" i="4"/>
  <c r="K462" i="4"/>
  <c r="J462" i="4"/>
  <c r="H462" i="4"/>
  <c r="F462" i="4"/>
  <c r="K461" i="4"/>
  <c r="J461" i="4"/>
  <c r="H461" i="4"/>
  <c r="F461" i="4"/>
  <c r="K460" i="4"/>
  <c r="J460" i="4"/>
  <c r="H460" i="4"/>
  <c r="F460" i="4"/>
  <c r="K458" i="4"/>
  <c r="J458" i="4"/>
  <c r="H458" i="4"/>
  <c r="F458" i="4"/>
  <c r="K457" i="4"/>
  <c r="J457" i="4"/>
  <c r="H457" i="4"/>
  <c r="F457" i="4"/>
  <c r="K456" i="4"/>
  <c r="J456" i="4"/>
  <c r="H456" i="4"/>
  <c r="F456" i="4"/>
  <c r="K455" i="4"/>
  <c r="J455" i="4"/>
  <c r="H455" i="4"/>
  <c r="F455" i="4"/>
  <c r="K454" i="4"/>
  <c r="J454" i="4"/>
  <c r="H454" i="4"/>
  <c r="F454" i="4"/>
  <c r="K452" i="4"/>
  <c r="J452" i="4"/>
  <c r="H452" i="4"/>
  <c r="F452" i="4"/>
  <c r="K451" i="4"/>
  <c r="J451" i="4"/>
  <c r="H451" i="4"/>
  <c r="F451" i="4"/>
  <c r="K449" i="4"/>
  <c r="J449" i="4"/>
  <c r="H449" i="4"/>
  <c r="F449" i="4"/>
  <c r="K448" i="4"/>
  <c r="J448" i="4"/>
  <c r="H448" i="4"/>
  <c r="F448" i="4"/>
  <c r="K447" i="4"/>
  <c r="J447" i="4"/>
  <c r="H447" i="4"/>
  <c r="F447" i="4"/>
  <c r="K446" i="4"/>
  <c r="J446" i="4"/>
  <c r="H446" i="4"/>
  <c r="F446" i="4"/>
  <c r="K444" i="4"/>
  <c r="J444" i="4"/>
  <c r="H444" i="4"/>
  <c r="F444" i="4"/>
  <c r="K443" i="4"/>
  <c r="J443" i="4"/>
  <c r="H443" i="4"/>
  <c r="F443" i="4"/>
  <c r="K442" i="4"/>
  <c r="J442" i="4"/>
  <c r="H442" i="4"/>
  <c r="F442" i="4"/>
  <c r="K439" i="4"/>
  <c r="J439" i="4"/>
  <c r="H439" i="4"/>
  <c r="F439" i="4"/>
  <c r="K438" i="4"/>
  <c r="J438" i="4"/>
  <c r="H438" i="4"/>
  <c r="F438" i="4"/>
  <c r="K436" i="4"/>
  <c r="J436" i="4"/>
  <c r="H436" i="4"/>
  <c r="F436" i="4"/>
  <c r="K435" i="4"/>
  <c r="J435" i="4"/>
  <c r="H435" i="4"/>
  <c r="F435" i="4"/>
  <c r="K433" i="4"/>
  <c r="J433" i="4"/>
  <c r="H433" i="4"/>
  <c r="F433" i="4"/>
  <c r="K432" i="4"/>
  <c r="J432" i="4"/>
  <c r="H432" i="4"/>
  <c r="F432" i="4"/>
  <c r="K431" i="4"/>
  <c r="J431" i="4"/>
  <c r="H431" i="4"/>
  <c r="F431" i="4"/>
  <c r="K428" i="4"/>
  <c r="J428" i="4"/>
  <c r="H428" i="4"/>
  <c r="F428" i="4"/>
  <c r="K427" i="4"/>
  <c r="J427" i="4"/>
  <c r="H427" i="4"/>
  <c r="F427" i="4"/>
  <c r="K425" i="4"/>
  <c r="J425" i="4"/>
  <c r="H425" i="4"/>
  <c r="F425" i="4"/>
  <c r="K424" i="4"/>
  <c r="J424" i="4"/>
  <c r="H424" i="4"/>
  <c r="F424" i="4"/>
  <c r="K421" i="4"/>
  <c r="J421" i="4"/>
  <c r="H421" i="4"/>
  <c r="F421" i="4"/>
  <c r="K419" i="4"/>
  <c r="J419" i="4"/>
  <c r="H419" i="4"/>
  <c r="F419" i="4"/>
  <c r="K417" i="4"/>
  <c r="J417" i="4"/>
  <c r="H417" i="4"/>
  <c r="F417" i="4"/>
  <c r="K415" i="4"/>
  <c r="J415" i="4"/>
  <c r="H415" i="4"/>
  <c r="F415" i="4"/>
  <c r="K414" i="4"/>
  <c r="J414" i="4"/>
  <c r="H414" i="4"/>
  <c r="F414" i="4"/>
  <c r="K413" i="4"/>
  <c r="J413" i="4"/>
  <c r="H413" i="4"/>
  <c r="F413" i="4"/>
  <c r="K410" i="4"/>
  <c r="J410" i="4"/>
  <c r="H410" i="4"/>
  <c r="F410" i="4"/>
  <c r="L410" i="4" s="1"/>
  <c r="K408" i="4"/>
  <c r="J408" i="4"/>
  <c r="H408" i="4"/>
  <c r="F408" i="4"/>
  <c r="K407" i="4"/>
  <c r="J407" i="4"/>
  <c r="H407" i="4"/>
  <c r="F407" i="4"/>
  <c r="L407" i="4" s="1"/>
  <c r="K406" i="4"/>
  <c r="J406" i="4"/>
  <c r="H406" i="4"/>
  <c r="F406" i="4"/>
  <c r="K404" i="4"/>
  <c r="J404" i="4"/>
  <c r="H404" i="4"/>
  <c r="F404" i="4"/>
  <c r="L404" i="4" s="1"/>
  <c r="K403" i="4"/>
  <c r="J403" i="4"/>
  <c r="H403" i="4"/>
  <c r="F403" i="4"/>
  <c r="L403" i="4" s="1"/>
  <c r="K401" i="4"/>
  <c r="J401" i="4"/>
  <c r="H401" i="4"/>
  <c r="F401" i="4"/>
  <c r="K399" i="4"/>
  <c r="J399" i="4"/>
  <c r="H399" i="4"/>
  <c r="F399" i="4"/>
  <c r="K398" i="4"/>
  <c r="J398" i="4"/>
  <c r="H398" i="4"/>
  <c r="F398" i="4"/>
  <c r="K396" i="4"/>
  <c r="J396" i="4"/>
  <c r="H396" i="4"/>
  <c r="F396" i="4"/>
  <c r="K395" i="4"/>
  <c r="J395" i="4"/>
  <c r="H395" i="4"/>
  <c r="F395" i="4"/>
  <c r="K392" i="4"/>
  <c r="J392" i="4"/>
  <c r="H392" i="4"/>
  <c r="F392" i="4"/>
  <c r="K391" i="4"/>
  <c r="J391" i="4"/>
  <c r="H391" i="4"/>
  <c r="F391" i="4"/>
  <c r="K390" i="4"/>
  <c r="J390" i="4"/>
  <c r="H390" i="4"/>
  <c r="F390" i="4"/>
  <c r="K388" i="4"/>
  <c r="J388" i="4"/>
  <c r="H388" i="4"/>
  <c r="F388" i="4"/>
  <c r="K387" i="4"/>
  <c r="J387" i="4"/>
  <c r="H387" i="4"/>
  <c r="F387" i="4"/>
  <c r="K385" i="4"/>
  <c r="J385" i="4"/>
  <c r="H385" i="4"/>
  <c r="F385" i="4"/>
  <c r="K384" i="4"/>
  <c r="J384" i="4"/>
  <c r="H384" i="4"/>
  <c r="F384" i="4"/>
  <c r="K383" i="4"/>
  <c r="J383" i="4"/>
  <c r="H383" i="4"/>
  <c r="F383" i="4"/>
  <c r="K382" i="4"/>
  <c r="J382" i="4"/>
  <c r="H382" i="4"/>
  <c r="F382" i="4"/>
  <c r="K380" i="4"/>
  <c r="J380" i="4"/>
  <c r="H380" i="4"/>
  <c r="F380" i="4"/>
  <c r="K379" i="4"/>
  <c r="J379" i="4"/>
  <c r="H379" i="4"/>
  <c r="F379" i="4"/>
  <c r="K377" i="4"/>
  <c r="J377" i="4"/>
  <c r="H377" i="4"/>
  <c r="F377" i="4"/>
  <c r="K376" i="4"/>
  <c r="J376" i="4"/>
  <c r="H376" i="4"/>
  <c r="F376" i="4"/>
  <c r="K374" i="4"/>
  <c r="J374" i="4"/>
  <c r="H374" i="4"/>
  <c r="F374" i="4"/>
  <c r="K373" i="4"/>
  <c r="J373" i="4"/>
  <c r="H373" i="4"/>
  <c r="F373" i="4"/>
  <c r="K371" i="4"/>
  <c r="J371" i="4"/>
  <c r="H371" i="4"/>
  <c r="F371" i="4"/>
  <c r="K370" i="4"/>
  <c r="J370" i="4"/>
  <c r="H370" i="4"/>
  <c r="F370" i="4"/>
  <c r="K369" i="4"/>
  <c r="J369" i="4"/>
  <c r="H369" i="4"/>
  <c r="F369" i="4"/>
  <c r="K368" i="4"/>
  <c r="J368" i="4"/>
  <c r="H368" i="4"/>
  <c r="F368" i="4"/>
  <c r="K366" i="4"/>
  <c r="J366" i="4"/>
  <c r="H366" i="4"/>
  <c r="F366" i="4"/>
  <c r="K365" i="4"/>
  <c r="J365" i="4"/>
  <c r="H365" i="4"/>
  <c r="F365" i="4"/>
  <c r="K362" i="4"/>
  <c r="J362" i="4"/>
  <c r="H362" i="4"/>
  <c r="F362" i="4"/>
  <c r="K360" i="4"/>
  <c r="J360" i="4"/>
  <c r="H360" i="4"/>
  <c r="F360" i="4"/>
  <c r="K359" i="4"/>
  <c r="J359" i="4"/>
  <c r="H359" i="4"/>
  <c r="F359" i="4"/>
  <c r="K357" i="4"/>
  <c r="J357" i="4"/>
  <c r="H357" i="4"/>
  <c r="F357" i="4"/>
  <c r="K356" i="4"/>
  <c r="J356" i="4"/>
  <c r="H356" i="4"/>
  <c r="F356" i="4"/>
  <c r="K350" i="4"/>
  <c r="J350" i="4"/>
  <c r="H350" i="4"/>
  <c r="K348" i="4"/>
  <c r="J348" i="4"/>
  <c r="H348" i="4"/>
  <c r="K347" i="4"/>
  <c r="J347" i="4"/>
  <c r="H347" i="4"/>
  <c r="K346" i="4"/>
  <c r="J346" i="4"/>
  <c r="H346" i="4"/>
  <c r="K344" i="4"/>
  <c r="J344" i="4"/>
  <c r="H344" i="4"/>
  <c r="K343" i="4"/>
  <c r="J343" i="4"/>
  <c r="H343" i="4"/>
  <c r="K341" i="4"/>
  <c r="J341" i="4"/>
  <c r="H341" i="4"/>
  <c r="K340" i="4"/>
  <c r="J340" i="4"/>
  <c r="H340" i="4"/>
  <c r="K339" i="4"/>
  <c r="J339" i="4"/>
  <c r="H339" i="4"/>
  <c r="K338" i="4"/>
  <c r="J338" i="4"/>
  <c r="H338" i="4"/>
  <c r="K336" i="4"/>
  <c r="J336" i="4"/>
  <c r="H336" i="4"/>
  <c r="K334" i="4"/>
  <c r="J334" i="4"/>
  <c r="H334" i="4"/>
  <c r="K333" i="4"/>
  <c r="J333" i="4"/>
  <c r="H333" i="4"/>
  <c r="K330" i="4"/>
  <c r="J330" i="4"/>
  <c r="H330" i="4"/>
  <c r="K329" i="4"/>
  <c r="J329" i="4"/>
  <c r="H329" i="4"/>
  <c r="K328" i="4"/>
  <c r="J328" i="4"/>
  <c r="H328" i="4"/>
  <c r="K326" i="4"/>
  <c r="J326" i="4"/>
  <c r="H326" i="4"/>
  <c r="K325" i="4"/>
  <c r="J325" i="4"/>
  <c r="H325" i="4"/>
  <c r="K324" i="4"/>
  <c r="J324" i="4"/>
  <c r="H324" i="4"/>
  <c r="K322" i="4"/>
  <c r="J322" i="4"/>
  <c r="H322" i="4"/>
  <c r="K321" i="4"/>
  <c r="J321" i="4"/>
  <c r="H321" i="4"/>
  <c r="K320" i="4"/>
  <c r="J320" i="4"/>
  <c r="H320" i="4"/>
  <c r="K319" i="4"/>
  <c r="J319" i="4"/>
  <c r="H319" i="4"/>
  <c r="K318" i="4"/>
  <c r="J318" i="4"/>
  <c r="H318" i="4"/>
  <c r="K317" i="4"/>
  <c r="J317" i="4"/>
  <c r="H317" i="4"/>
  <c r="K316" i="4"/>
  <c r="J316" i="4"/>
  <c r="H316" i="4"/>
  <c r="K315" i="4"/>
  <c r="J315" i="4"/>
  <c r="H315" i="4"/>
  <c r="K314" i="4"/>
  <c r="J314" i="4"/>
  <c r="H314" i="4"/>
  <c r="K313" i="4"/>
  <c r="J313" i="4"/>
  <c r="H313" i="4"/>
  <c r="K311" i="4"/>
  <c r="J311" i="4"/>
  <c r="H311" i="4"/>
  <c r="K310" i="4"/>
  <c r="J310" i="4"/>
  <c r="H310" i="4"/>
  <c r="K308" i="4"/>
  <c r="J308" i="4"/>
  <c r="H308" i="4"/>
  <c r="K307" i="4"/>
  <c r="J307" i="4"/>
  <c r="H307" i="4"/>
  <c r="K305" i="4"/>
  <c r="J305" i="4"/>
  <c r="H305" i="4"/>
  <c r="K302" i="4"/>
  <c r="J302" i="4"/>
  <c r="H302" i="4"/>
  <c r="K300" i="4"/>
  <c r="J300" i="4"/>
  <c r="H300" i="4"/>
  <c r="K299" i="4"/>
  <c r="J299" i="4"/>
  <c r="H299" i="4"/>
  <c r="K297" i="4"/>
  <c r="J297" i="4"/>
  <c r="H297" i="4"/>
  <c r="K296" i="4"/>
  <c r="J296" i="4"/>
  <c r="H296" i="4"/>
  <c r="K293" i="4"/>
  <c r="J293" i="4"/>
  <c r="H293" i="4"/>
  <c r="K291" i="4"/>
  <c r="J291" i="4"/>
  <c r="H291" i="4"/>
  <c r="K290" i="4"/>
  <c r="J290" i="4"/>
  <c r="H290" i="4"/>
  <c r="K288" i="4"/>
  <c r="J288" i="4"/>
  <c r="H288" i="4"/>
  <c r="K287" i="4"/>
  <c r="J287" i="4"/>
  <c r="H287" i="4"/>
  <c r="K281" i="4"/>
  <c r="J281" i="4"/>
  <c r="H281" i="4"/>
  <c r="F281" i="4"/>
  <c r="K279" i="4"/>
  <c r="J279" i="4"/>
  <c r="H279" i="4"/>
  <c r="F279" i="4"/>
  <c r="K278" i="4"/>
  <c r="J278" i="4"/>
  <c r="H278" i="4"/>
  <c r="F278" i="4"/>
  <c r="K277" i="4"/>
  <c r="J277" i="4"/>
  <c r="H277" i="4"/>
  <c r="F277" i="4"/>
  <c r="K276" i="4"/>
  <c r="J276" i="4"/>
  <c r="H276" i="4"/>
  <c r="F276" i="4"/>
  <c r="K275" i="4"/>
  <c r="J275" i="4"/>
  <c r="H275" i="4"/>
  <c r="F275" i="4"/>
  <c r="K274" i="4"/>
  <c r="J274" i="4"/>
  <c r="H274" i="4"/>
  <c r="F274" i="4"/>
  <c r="K273" i="4"/>
  <c r="J273" i="4"/>
  <c r="H273" i="4"/>
  <c r="F273" i="4"/>
  <c r="K272" i="4"/>
  <c r="J272" i="4"/>
  <c r="H272" i="4"/>
  <c r="F272" i="4"/>
  <c r="K271" i="4"/>
  <c r="J271" i="4"/>
  <c r="H271" i="4"/>
  <c r="F271" i="4"/>
  <c r="K270" i="4"/>
  <c r="J270" i="4"/>
  <c r="H270" i="4"/>
  <c r="F270" i="4"/>
  <c r="K269" i="4"/>
  <c r="J269" i="4"/>
  <c r="H269" i="4"/>
  <c r="F269" i="4"/>
  <c r="K268" i="4"/>
  <c r="J268" i="4"/>
  <c r="H268" i="4"/>
  <c r="F268" i="4"/>
  <c r="K267" i="4"/>
  <c r="J267" i="4"/>
  <c r="H267" i="4"/>
  <c r="F267" i="4"/>
  <c r="K266" i="4"/>
  <c r="J266" i="4"/>
  <c r="H266" i="4"/>
  <c r="F266" i="4"/>
  <c r="K264" i="4"/>
  <c r="J264" i="4"/>
  <c r="H264" i="4"/>
  <c r="F264" i="4"/>
  <c r="K263" i="4"/>
  <c r="J263" i="4"/>
  <c r="H263" i="4"/>
  <c r="F263" i="4"/>
  <c r="K261" i="4"/>
  <c r="J261" i="4"/>
  <c r="H261" i="4"/>
  <c r="F261" i="4"/>
  <c r="K260" i="4"/>
  <c r="J260" i="4"/>
  <c r="H260" i="4"/>
  <c r="F260" i="4"/>
  <c r="K259" i="4"/>
  <c r="J259" i="4"/>
  <c r="H259" i="4"/>
  <c r="F259" i="4"/>
  <c r="L259" i="4" s="1"/>
  <c r="K258" i="4"/>
  <c r="J258" i="4"/>
  <c r="H258" i="4"/>
  <c r="F258" i="4"/>
  <c r="K257" i="4"/>
  <c r="J257" i="4"/>
  <c r="H257" i="4"/>
  <c r="F257" i="4"/>
  <c r="L257" i="4" s="1"/>
  <c r="K256" i="4"/>
  <c r="J256" i="4"/>
  <c r="H256" i="4"/>
  <c r="F256" i="4"/>
  <c r="K254" i="4"/>
  <c r="J254" i="4"/>
  <c r="H254" i="4"/>
  <c r="F254" i="4"/>
  <c r="K253" i="4"/>
  <c r="J253" i="4"/>
  <c r="H253" i="4"/>
  <c r="F253" i="4"/>
  <c r="K252" i="4"/>
  <c r="J252" i="4"/>
  <c r="H252" i="4"/>
  <c r="F252" i="4"/>
  <c r="K250" i="4"/>
  <c r="J250" i="4"/>
  <c r="H250" i="4"/>
  <c r="F250" i="4"/>
  <c r="K249" i="4"/>
  <c r="J249" i="4"/>
  <c r="H249" i="4"/>
  <c r="F249" i="4"/>
  <c r="K248" i="4"/>
  <c r="J248" i="4"/>
  <c r="H248" i="4"/>
  <c r="F248" i="4"/>
  <c r="K245" i="4"/>
  <c r="J245" i="4"/>
  <c r="H245" i="4"/>
  <c r="F245" i="4"/>
  <c r="K244" i="4"/>
  <c r="J244" i="4"/>
  <c r="H244" i="4"/>
  <c r="F244" i="4"/>
  <c r="K243" i="4"/>
  <c r="J243" i="4"/>
  <c r="H243" i="4"/>
  <c r="F243" i="4"/>
  <c r="L243" i="4" s="1"/>
  <c r="K242" i="4"/>
  <c r="J242" i="4"/>
  <c r="H242" i="4"/>
  <c r="F242" i="4"/>
  <c r="K241" i="4"/>
  <c r="J241" i="4"/>
  <c r="H241" i="4"/>
  <c r="F241" i="4"/>
  <c r="K240" i="4"/>
  <c r="J240" i="4"/>
  <c r="H240" i="4"/>
  <c r="F240" i="4"/>
  <c r="K239" i="4"/>
  <c r="J239" i="4"/>
  <c r="H239" i="4"/>
  <c r="F239" i="4"/>
  <c r="K238" i="4"/>
  <c r="J238" i="4"/>
  <c r="H238" i="4"/>
  <c r="F238" i="4"/>
  <c r="K237" i="4"/>
  <c r="J237" i="4"/>
  <c r="H237" i="4"/>
  <c r="F237" i="4"/>
  <c r="K236" i="4"/>
  <c r="J236" i="4"/>
  <c r="H236" i="4"/>
  <c r="F236" i="4"/>
  <c r="K235" i="4"/>
  <c r="J235" i="4"/>
  <c r="H235" i="4"/>
  <c r="F235" i="4"/>
  <c r="K234" i="4"/>
  <c r="J234" i="4"/>
  <c r="H234" i="4"/>
  <c r="F234" i="4"/>
  <c r="K233" i="4"/>
  <c r="J233" i="4"/>
  <c r="H233" i="4"/>
  <c r="F233" i="4"/>
  <c r="K232" i="4"/>
  <c r="J232" i="4"/>
  <c r="H232" i="4"/>
  <c r="F232" i="4"/>
  <c r="K231" i="4"/>
  <c r="J231" i="4"/>
  <c r="H231" i="4"/>
  <c r="F231" i="4"/>
  <c r="K230" i="4"/>
  <c r="J230" i="4"/>
  <c r="H230" i="4"/>
  <c r="F230" i="4"/>
  <c r="K227" i="4"/>
  <c r="J227" i="4"/>
  <c r="H227" i="4"/>
  <c r="F227" i="4"/>
  <c r="K225" i="4"/>
  <c r="J225" i="4"/>
  <c r="H225" i="4"/>
  <c r="F225" i="4"/>
  <c r="K224" i="4"/>
  <c r="J224" i="4"/>
  <c r="H224" i="4"/>
  <c r="F224" i="4"/>
  <c r="K222" i="4"/>
  <c r="J222" i="4"/>
  <c r="H222" i="4"/>
  <c r="F222" i="4"/>
  <c r="K221" i="4"/>
  <c r="J221" i="4"/>
  <c r="H221" i="4"/>
  <c r="F221" i="4"/>
  <c r="K219" i="4"/>
  <c r="J219" i="4"/>
  <c r="H219" i="4"/>
  <c r="F219" i="4"/>
  <c r="K217" i="4"/>
  <c r="J217" i="4"/>
  <c r="H217" i="4"/>
  <c r="F217" i="4"/>
  <c r="K216" i="4"/>
  <c r="J216" i="4"/>
  <c r="H216" i="4"/>
  <c r="F216" i="4"/>
  <c r="K214" i="4"/>
  <c r="J214" i="4"/>
  <c r="H214" i="4"/>
  <c r="F214" i="4"/>
  <c r="K213" i="4"/>
  <c r="J213" i="4"/>
  <c r="H213" i="4"/>
  <c r="F213" i="4"/>
  <c r="K211" i="4"/>
  <c r="J211" i="4"/>
  <c r="H211" i="4"/>
  <c r="F211" i="4"/>
  <c r="K210" i="4"/>
  <c r="J210" i="4"/>
  <c r="H210" i="4"/>
  <c r="F210" i="4"/>
  <c r="K209" i="4"/>
  <c r="J209" i="4"/>
  <c r="H209" i="4"/>
  <c r="F209" i="4"/>
  <c r="K208" i="4"/>
  <c r="J208" i="4"/>
  <c r="H208" i="4"/>
  <c r="F208" i="4"/>
  <c r="K205" i="4"/>
  <c r="J205" i="4"/>
  <c r="H205" i="4"/>
  <c r="F205" i="4"/>
  <c r="K202" i="4"/>
  <c r="J202" i="4"/>
  <c r="H202" i="4"/>
  <c r="F202" i="4"/>
  <c r="K201" i="4"/>
  <c r="J201" i="4"/>
  <c r="H201" i="4"/>
  <c r="F201" i="4"/>
  <c r="K199" i="4"/>
  <c r="J199" i="4"/>
  <c r="H199" i="4"/>
  <c r="F199" i="4"/>
  <c r="K198" i="4"/>
  <c r="J198" i="4"/>
  <c r="H198" i="4"/>
  <c r="F198" i="4"/>
  <c r="K197" i="4"/>
  <c r="J197" i="4"/>
  <c r="H197" i="4"/>
  <c r="F197" i="4"/>
  <c r="K196" i="4"/>
  <c r="J196" i="4"/>
  <c r="H196" i="4"/>
  <c r="F196" i="4"/>
  <c r="K195" i="4"/>
  <c r="J195" i="4"/>
  <c r="H195" i="4"/>
  <c r="F195" i="4"/>
  <c r="K194" i="4"/>
  <c r="J194" i="4"/>
  <c r="H194" i="4"/>
  <c r="F194" i="4"/>
  <c r="K192" i="4"/>
  <c r="J192" i="4"/>
  <c r="H192" i="4"/>
  <c r="F192" i="4"/>
  <c r="K191" i="4"/>
  <c r="J191" i="4"/>
  <c r="H191" i="4"/>
  <c r="F191" i="4"/>
  <c r="K190" i="4"/>
  <c r="J190" i="4"/>
  <c r="H190" i="4"/>
  <c r="F190" i="4"/>
  <c r="K187" i="4"/>
  <c r="J187" i="4"/>
  <c r="H187" i="4"/>
  <c r="F187" i="4"/>
  <c r="K186" i="4"/>
  <c r="J186" i="4"/>
  <c r="H186" i="4"/>
  <c r="F186" i="4"/>
  <c r="K185" i="4"/>
  <c r="J185" i="4"/>
  <c r="H185" i="4"/>
  <c r="F185" i="4"/>
  <c r="K183" i="4"/>
  <c r="J183" i="4"/>
  <c r="H183" i="4"/>
  <c r="F183" i="4"/>
  <c r="K182" i="4"/>
  <c r="J182" i="4"/>
  <c r="H182" i="4"/>
  <c r="F182" i="4"/>
  <c r="K181" i="4"/>
  <c r="J181" i="4"/>
  <c r="H181" i="4"/>
  <c r="F181" i="4"/>
  <c r="K180" i="4"/>
  <c r="J180" i="4"/>
  <c r="H180" i="4"/>
  <c r="F180" i="4"/>
  <c r="K179" i="4"/>
  <c r="J179" i="4"/>
  <c r="H179" i="4"/>
  <c r="F179" i="4"/>
  <c r="K178" i="4"/>
  <c r="J178" i="4"/>
  <c r="H178" i="4"/>
  <c r="F178" i="4"/>
  <c r="K177" i="4"/>
  <c r="J177" i="4"/>
  <c r="H177" i="4"/>
  <c r="F177" i="4"/>
  <c r="K175" i="4"/>
  <c r="J175" i="4"/>
  <c r="H175" i="4"/>
  <c r="F175" i="4"/>
  <c r="K174" i="4"/>
  <c r="J174" i="4"/>
  <c r="H174" i="4"/>
  <c r="F174" i="4"/>
  <c r="K173" i="4"/>
  <c r="J173" i="4"/>
  <c r="H173" i="4"/>
  <c r="F173" i="4"/>
  <c r="K172" i="4"/>
  <c r="J172" i="4"/>
  <c r="H172" i="4"/>
  <c r="F172" i="4"/>
  <c r="K170" i="4"/>
  <c r="J170" i="4"/>
  <c r="H170" i="4"/>
  <c r="F170" i="4"/>
  <c r="K169" i="4"/>
  <c r="J169" i="4"/>
  <c r="H169" i="4"/>
  <c r="F169" i="4"/>
  <c r="K166" i="4"/>
  <c r="J166" i="4"/>
  <c r="H166" i="4"/>
  <c r="F166" i="4"/>
  <c r="K165" i="4"/>
  <c r="J165" i="4"/>
  <c r="H165" i="4"/>
  <c r="F165" i="4"/>
  <c r="K164" i="4"/>
  <c r="J164" i="4"/>
  <c r="H164" i="4"/>
  <c r="F164" i="4"/>
  <c r="K163" i="4"/>
  <c r="J163" i="4"/>
  <c r="H163" i="4"/>
  <c r="F163" i="4"/>
  <c r="K162" i="4"/>
  <c r="J162" i="4"/>
  <c r="H162" i="4"/>
  <c r="F162" i="4"/>
  <c r="K161" i="4"/>
  <c r="J161" i="4"/>
  <c r="H161" i="4"/>
  <c r="F161" i="4"/>
  <c r="K160" i="4"/>
  <c r="J160" i="4"/>
  <c r="H160" i="4"/>
  <c r="F160" i="4"/>
  <c r="K157" i="4"/>
  <c r="J157" i="4"/>
  <c r="H157" i="4"/>
  <c r="F157" i="4"/>
  <c r="K155" i="4"/>
  <c r="J155" i="4"/>
  <c r="H155" i="4"/>
  <c r="F155" i="4"/>
  <c r="K154" i="4"/>
  <c r="J154" i="4"/>
  <c r="H154" i="4"/>
  <c r="F154" i="4"/>
  <c r="K153" i="4"/>
  <c r="J153" i="4"/>
  <c r="H153" i="4"/>
  <c r="F153" i="4"/>
  <c r="K151" i="4"/>
  <c r="J151" i="4"/>
  <c r="H151" i="4"/>
  <c r="F151" i="4"/>
  <c r="K150" i="4"/>
  <c r="J150" i="4"/>
  <c r="H150" i="4"/>
  <c r="F150" i="4"/>
  <c r="K149" i="4"/>
  <c r="J149" i="4"/>
  <c r="H149" i="4"/>
  <c r="F149" i="4"/>
  <c r="K143" i="4"/>
  <c r="J143" i="4"/>
  <c r="H143" i="4"/>
  <c r="F143" i="4"/>
  <c r="K141" i="4"/>
  <c r="J141" i="4"/>
  <c r="H141" i="4"/>
  <c r="F141" i="4"/>
  <c r="K140" i="4"/>
  <c r="J140" i="4"/>
  <c r="H140" i="4"/>
  <c r="F140" i="4"/>
  <c r="K137" i="4"/>
  <c r="J137" i="4"/>
  <c r="H137" i="4"/>
  <c r="F137" i="4"/>
  <c r="K136" i="4"/>
  <c r="J136" i="4"/>
  <c r="H136" i="4"/>
  <c r="F136" i="4"/>
  <c r="K135" i="4"/>
  <c r="J135" i="4"/>
  <c r="H135" i="4"/>
  <c r="F135" i="4"/>
  <c r="K133" i="4"/>
  <c r="J133" i="4"/>
  <c r="H133" i="4"/>
  <c r="F133" i="4"/>
  <c r="K132" i="4"/>
  <c r="J132" i="4"/>
  <c r="H132" i="4"/>
  <c r="F132" i="4"/>
  <c r="K131" i="4"/>
  <c r="J131" i="4"/>
  <c r="H131" i="4"/>
  <c r="F131" i="4"/>
  <c r="K130" i="4"/>
  <c r="J130" i="4"/>
  <c r="H130" i="4"/>
  <c r="F130" i="4"/>
  <c r="K127" i="4"/>
  <c r="J127" i="4"/>
  <c r="H127" i="4"/>
  <c r="F127" i="4"/>
  <c r="K126" i="4"/>
  <c r="J126" i="4"/>
  <c r="H126" i="4"/>
  <c r="F126" i="4"/>
  <c r="K124" i="4"/>
  <c r="J124" i="4"/>
  <c r="H124" i="4"/>
  <c r="F124" i="4"/>
  <c r="K122" i="4"/>
  <c r="J122" i="4"/>
  <c r="H122" i="4"/>
  <c r="F122" i="4"/>
  <c r="K121" i="4"/>
  <c r="J121" i="4"/>
  <c r="H121" i="4"/>
  <c r="F121" i="4"/>
  <c r="K120" i="4"/>
  <c r="J120" i="4"/>
  <c r="H120" i="4"/>
  <c r="F120" i="4"/>
  <c r="K119" i="4"/>
  <c r="J119" i="4"/>
  <c r="H119" i="4"/>
  <c r="F119" i="4"/>
  <c r="K118" i="4"/>
  <c r="J118" i="4"/>
  <c r="H118" i="4"/>
  <c r="F118" i="4"/>
  <c r="K116" i="4"/>
  <c r="J116" i="4"/>
  <c r="H116" i="4"/>
  <c r="F116" i="4"/>
  <c r="K114" i="4"/>
  <c r="J114" i="4"/>
  <c r="H114" i="4"/>
  <c r="F114" i="4"/>
  <c r="K112" i="4"/>
  <c r="J112" i="4"/>
  <c r="H112" i="4"/>
  <c r="F112" i="4"/>
  <c r="K111" i="4"/>
  <c r="J111" i="4"/>
  <c r="H111" i="4"/>
  <c r="F111" i="4"/>
  <c r="K109" i="4"/>
  <c r="J109" i="4"/>
  <c r="H109" i="4"/>
  <c r="F109" i="4"/>
  <c r="K106" i="4"/>
  <c r="J106" i="4"/>
  <c r="H106" i="4"/>
  <c r="F106" i="4"/>
  <c r="K104" i="4"/>
  <c r="J104" i="4"/>
  <c r="H104" i="4"/>
  <c r="F104" i="4"/>
  <c r="K102" i="4"/>
  <c r="J102" i="4"/>
  <c r="H102" i="4"/>
  <c r="F102" i="4"/>
  <c r="K100" i="4"/>
  <c r="J100" i="4"/>
  <c r="H100" i="4"/>
  <c r="F100" i="4"/>
  <c r="K99" i="4"/>
  <c r="J99" i="4"/>
  <c r="H99" i="4"/>
  <c r="F99" i="4"/>
  <c r="K96" i="4"/>
  <c r="J96" i="4"/>
  <c r="H96" i="4"/>
  <c r="F96" i="4"/>
  <c r="K94" i="4"/>
  <c r="J94" i="4"/>
  <c r="H94" i="4"/>
  <c r="F94" i="4"/>
  <c r="K92" i="4"/>
  <c r="J92" i="4"/>
  <c r="H92" i="4"/>
  <c r="F92" i="4"/>
  <c r="K90" i="4"/>
  <c r="J90" i="4"/>
  <c r="H90" i="4"/>
  <c r="F90" i="4"/>
  <c r="K89" i="4"/>
  <c r="J89" i="4"/>
  <c r="H89" i="4"/>
  <c r="F89" i="4"/>
  <c r="K87" i="4"/>
  <c r="J87" i="4"/>
  <c r="H87" i="4"/>
  <c r="F87" i="4"/>
  <c r="K85" i="4"/>
  <c r="J85" i="4"/>
  <c r="H85" i="4"/>
  <c r="F85" i="4"/>
  <c r="K84" i="4"/>
  <c r="J84" i="4"/>
  <c r="H84" i="4"/>
  <c r="F84" i="4"/>
  <c r="K81" i="4"/>
  <c r="J81" i="4"/>
  <c r="H81" i="4"/>
  <c r="F81" i="4"/>
  <c r="K80" i="4"/>
  <c r="J80" i="4"/>
  <c r="H80" i="4"/>
  <c r="F80" i="4"/>
  <c r="K78" i="4"/>
  <c r="J78" i="4"/>
  <c r="H78" i="4"/>
  <c r="F78" i="4"/>
  <c r="K77" i="4"/>
  <c r="J77" i="4"/>
  <c r="H77" i="4"/>
  <c r="F77" i="4"/>
  <c r="K76" i="4"/>
  <c r="J76" i="4"/>
  <c r="H76" i="4"/>
  <c r="F76" i="4"/>
  <c r="J74" i="4"/>
  <c r="H74" i="4"/>
  <c r="J73" i="4"/>
  <c r="H73" i="4"/>
  <c r="J72" i="4"/>
  <c r="H72" i="4"/>
  <c r="H16" i="2"/>
  <c r="F16" i="2"/>
  <c r="H14" i="2"/>
  <c r="F14" i="2"/>
  <c r="H34" i="8" l="1"/>
  <c r="H4" i="8" s="1"/>
  <c r="L231" i="8"/>
  <c r="L248" i="8"/>
  <c r="L239" i="8"/>
  <c r="L226" i="8"/>
  <c r="L247" i="8"/>
  <c r="L243" i="8"/>
  <c r="L241" i="8"/>
  <c r="L236" i="8"/>
  <c r="L224" i="8"/>
  <c r="L218" i="8"/>
  <c r="L213" i="8"/>
  <c r="L222" i="8"/>
  <c r="L242" i="8"/>
  <c r="L235" i="8"/>
  <c r="L233" i="8"/>
  <c r="L228" i="8"/>
  <c r="L227" i="8"/>
  <c r="L216" i="8"/>
  <c r="L238" i="8"/>
  <c r="L223" i="8"/>
  <c r="L221" i="8"/>
  <c r="L219" i="8"/>
  <c r="L217" i="8"/>
  <c r="L212" i="8"/>
  <c r="L237" i="8"/>
  <c r="L234" i="8"/>
  <c r="L232" i="8"/>
  <c r="L229" i="8"/>
  <c r="L220" i="8"/>
  <c r="L215" i="8"/>
  <c r="L206" i="8"/>
  <c r="L210" i="8"/>
  <c r="L208" i="8"/>
  <c r="L199" i="8"/>
  <c r="L188" i="8"/>
  <c r="L179" i="8"/>
  <c r="L197" i="8"/>
  <c r="L190" i="8"/>
  <c r="L205" i="8"/>
  <c r="L202" i="8"/>
  <c r="L201" i="8"/>
  <c r="L200" i="8"/>
  <c r="L192" i="8"/>
  <c r="L181" i="8"/>
  <c r="L207" i="8"/>
  <c r="L198" i="8"/>
  <c r="L193" i="8"/>
  <c r="L191" i="8"/>
  <c r="L183" i="8"/>
  <c r="L189" i="8"/>
  <c r="L196" i="8"/>
  <c r="L209" i="8"/>
  <c r="L204" i="8"/>
  <c r="L194" i="8"/>
  <c r="L187" i="8"/>
  <c r="L186" i="8"/>
  <c r="L185" i="8"/>
  <c r="L182" i="8"/>
  <c r="L180" i="8"/>
  <c r="L167" i="8"/>
  <c r="L163" i="8"/>
  <c r="L162" i="8"/>
  <c r="L175" i="8"/>
  <c r="L156" i="8"/>
  <c r="L173" i="8"/>
  <c r="L174" i="8"/>
  <c r="L169" i="8"/>
  <c r="L166" i="8"/>
  <c r="L164" i="8"/>
  <c r="L160" i="8"/>
  <c r="L159" i="8"/>
  <c r="L158" i="8"/>
  <c r="L157" i="8"/>
  <c r="L155" i="8"/>
  <c r="L154" i="8"/>
  <c r="L150" i="8"/>
  <c r="L143" i="8"/>
  <c r="L142" i="8"/>
  <c r="L139" i="8"/>
  <c r="L134" i="8"/>
  <c r="L144" i="8"/>
  <c r="L152" i="8"/>
  <c r="L149" i="8"/>
  <c r="L136" i="8"/>
  <c r="L135" i="8"/>
  <c r="L161" i="8"/>
  <c r="L151" i="8"/>
  <c r="L148" i="8"/>
  <c r="L147" i="8"/>
  <c r="L146" i="8"/>
  <c r="L145" i="8"/>
  <c r="L141" i="8"/>
  <c r="L140" i="8"/>
  <c r="L137" i="8"/>
  <c r="L153" i="8"/>
  <c r="L138" i="8"/>
  <c r="L214" i="8"/>
  <c r="J107" i="8"/>
  <c r="J6" i="8" s="1"/>
  <c r="L124" i="8"/>
  <c r="L125" i="8"/>
  <c r="L122" i="8"/>
  <c r="L120" i="8"/>
  <c r="L115" i="8"/>
  <c r="L113" i="8"/>
  <c r="L119" i="8"/>
  <c r="L116" i="8"/>
  <c r="L121" i="8"/>
  <c r="L112" i="8"/>
  <c r="L123" i="8"/>
  <c r="L118" i="8"/>
  <c r="L117" i="8"/>
  <c r="L111" i="8"/>
  <c r="L109" i="8"/>
  <c r="L114" i="8"/>
  <c r="L110" i="8"/>
  <c r="L106" i="8"/>
  <c r="L92" i="8"/>
  <c r="L103" i="8"/>
  <c r="L102" i="8"/>
  <c r="L100" i="8"/>
  <c r="L99" i="8"/>
  <c r="L91" i="8"/>
  <c r="L88" i="8"/>
  <c r="L87" i="8"/>
  <c r="L89" i="8"/>
  <c r="L95" i="8"/>
  <c r="L93" i="8"/>
  <c r="L90" i="8"/>
  <c r="L85" i="8"/>
  <c r="L84" i="8"/>
  <c r="L83" i="8"/>
  <c r="L82" i="8"/>
  <c r="L81" i="8"/>
  <c r="L80" i="8"/>
  <c r="L79" i="8"/>
  <c r="L78" i="8"/>
  <c r="L77" i="8"/>
  <c r="L76" i="8"/>
  <c r="J251" i="8"/>
  <c r="J4" i="8"/>
  <c r="J3" i="8" s="1"/>
  <c r="J5" i="9" s="1"/>
  <c r="J3" i="9" s="1"/>
  <c r="L58" i="8"/>
  <c r="L47" i="8"/>
  <c r="L65" i="8"/>
  <c r="L63" i="8"/>
  <c r="L57" i="8"/>
  <c r="L55" i="8"/>
  <c r="L44" i="8"/>
  <c r="L39" i="8"/>
  <c r="L36" i="8"/>
  <c r="L73" i="8"/>
  <c r="L64" i="8"/>
  <c r="L54" i="8"/>
  <c r="L50" i="8"/>
  <c r="L42" i="8"/>
  <c r="L37" i="8"/>
  <c r="L71" i="8"/>
  <c r="L70" i="8"/>
  <c r="L69" i="8"/>
  <c r="L60" i="8"/>
  <c r="L48" i="8"/>
  <c r="L46" i="8"/>
  <c r="L41" i="8"/>
  <c r="L51" i="8"/>
  <c r="L72" i="8"/>
  <c r="L67" i="8"/>
  <c r="L59" i="8"/>
  <c r="L45" i="8"/>
  <c r="L40" i="8"/>
  <c r="L66" i="8"/>
  <c r="L62" i="8"/>
  <c r="L61" i="8"/>
  <c r="L53" i="8"/>
  <c r="L52" i="8"/>
  <c r="L49" i="8"/>
  <c r="L43" i="8"/>
  <c r="L38" i="8"/>
  <c r="L246" i="8"/>
  <c r="L245" i="8"/>
  <c r="L244" i="8"/>
  <c r="L128" i="8"/>
  <c r="L68" i="8"/>
  <c r="L108" i="8"/>
  <c r="F107" i="8"/>
  <c r="F6" i="8" s="1"/>
  <c r="L35" i="8"/>
  <c r="F34" i="8"/>
  <c r="L240" i="8"/>
  <c r="L86" i="8"/>
  <c r="L195" i="8"/>
  <c r="L98" i="8"/>
  <c r="L133" i="8"/>
  <c r="F132" i="8"/>
  <c r="H132" i="8"/>
  <c r="L230" i="8"/>
  <c r="L184" i="8"/>
  <c r="L178" i="8"/>
  <c r="L9" i="8" s="1"/>
  <c r="L56" i="8"/>
  <c r="L177" i="8"/>
  <c r="F176" i="8"/>
  <c r="L250" i="8"/>
  <c r="F249" i="8"/>
  <c r="L225" i="8"/>
  <c r="F211" i="8"/>
  <c r="L75" i="8"/>
  <c r="F74" i="8"/>
  <c r="L107" i="8"/>
  <c r="L6" i="8" s="1"/>
  <c r="L137" i="4"/>
  <c r="L830" i="4"/>
  <c r="F1515" i="4"/>
  <c r="F42" i="4" s="1"/>
  <c r="L408" i="4"/>
  <c r="L1547" i="4"/>
  <c r="L1423" i="4"/>
  <c r="L1418" i="4"/>
  <c r="L1381" i="4"/>
  <c r="L1444" i="4"/>
  <c r="L1443" i="4"/>
  <c r="L1442" i="4"/>
  <c r="L1366" i="4"/>
  <c r="L1537" i="4"/>
  <c r="L1534" i="4"/>
  <c r="L1541" i="4"/>
  <c r="L1504" i="4"/>
  <c r="L1484" i="4"/>
  <c r="L1450" i="4"/>
  <c r="L1455" i="4"/>
  <c r="L1447" i="4"/>
  <c r="L1154" i="4"/>
  <c r="L982" i="4"/>
  <c r="L1326" i="4"/>
  <c r="L461" i="4"/>
  <c r="L1434" i="4"/>
  <c r="L1433" i="4"/>
  <c r="L1430" i="4"/>
  <c r="L1425" i="4"/>
  <c r="L1412" i="4"/>
  <c r="L1538" i="4"/>
  <c r="L1492" i="4"/>
  <c r="L1477" i="4"/>
  <c r="L1032" i="4"/>
  <c r="L1540" i="4"/>
  <c r="L1486" i="4"/>
  <c r="L1462" i="4"/>
  <c r="L1459" i="4"/>
  <c r="L1452" i="4"/>
  <c r="J997" i="4"/>
  <c r="J23" i="4" s="1"/>
  <c r="L1472" i="4"/>
  <c r="L1370" i="4"/>
  <c r="L1354" i="4"/>
  <c r="L1368" i="4"/>
  <c r="L1352" i="4"/>
  <c r="L1348" i="4"/>
  <c r="L1322" i="4"/>
  <c r="L1318" i="4"/>
  <c r="L1291" i="4"/>
  <c r="L1309" i="4"/>
  <c r="L1307" i="4"/>
  <c r="L1342" i="4"/>
  <c r="L1339" i="4"/>
  <c r="L1336" i="4"/>
  <c r="L1331" i="4"/>
  <c r="L1330" i="4"/>
  <c r="L1304" i="4"/>
  <c r="L1338" i="4"/>
  <c r="L1333" i="4"/>
  <c r="L1327" i="4"/>
  <c r="L1277" i="4"/>
  <c r="J1499" i="4"/>
  <c r="J41" i="4" s="1"/>
  <c r="F1499" i="4"/>
  <c r="L975" i="4"/>
  <c r="L476" i="4"/>
  <c r="L1242" i="4"/>
  <c r="L264" i="4"/>
  <c r="L1140" i="4"/>
  <c r="L1238" i="4"/>
  <c r="L1263" i="4"/>
  <c r="L1253" i="4"/>
  <c r="L1246" i="4"/>
  <c r="L1245" i="4"/>
  <c r="L1244" i="4"/>
  <c r="L1234" i="4"/>
  <c r="L1227" i="4"/>
  <c r="L1258" i="4"/>
  <c r="L1217" i="4"/>
  <c r="L1188" i="4"/>
  <c r="L1548" i="4"/>
  <c r="L1155" i="4"/>
  <c r="L1156" i="4"/>
  <c r="L1130" i="4"/>
  <c r="L1129" i="4"/>
  <c r="L1128" i="4"/>
  <c r="L1122" i="4"/>
  <c r="L1120" i="4"/>
  <c r="L1139" i="4"/>
  <c r="L1126" i="4"/>
  <c r="L1123" i="4"/>
  <c r="J1411" i="4"/>
  <c r="J36" i="4" s="1"/>
  <c r="J1344" i="4"/>
  <c r="J32" i="4" s="1"/>
  <c r="L1437" i="4"/>
  <c r="K73" i="4"/>
  <c r="F73" i="4"/>
  <c r="L73" i="4" s="1"/>
  <c r="L1018" i="4"/>
  <c r="L1038" i="4"/>
  <c r="L1034" i="4"/>
  <c r="L1010" i="4"/>
  <c r="L1350" i="4"/>
  <c r="L239" i="4"/>
  <c r="L957" i="4"/>
  <c r="L1461" i="4"/>
  <c r="L905" i="4"/>
  <c r="L856" i="4"/>
  <c r="L866" i="4"/>
  <c r="L835" i="4"/>
  <c r="L844" i="4"/>
  <c r="L850" i="4"/>
  <c r="L862" i="4"/>
  <c r="L832" i="4"/>
  <c r="L887" i="4"/>
  <c r="L877" i="4"/>
  <c r="L822" i="4"/>
  <c r="L889" i="4"/>
  <c r="L805" i="4"/>
  <c r="L1349" i="4"/>
  <c r="L1124" i="4"/>
  <c r="L1021" i="4"/>
  <c r="L1420" i="4"/>
  <c r="L1132" i="4"/>
  <c r="L995" i="4"/>
  <c r="L838" i="4"/>
  <c r="L1311" i="4"/>
  <c r="L1270" i="4"/>
  <c r="L1265" i="4"/>
  <c r="L1436" i="4"/>
  <c r="L1357" i="4"/>
  <c r="L1308" i="4"/>
  <c r="L800" i="4"/>
  <c r="L771" i="4"/>
  <c r="L755" i="4"/>
  <c r="L758" i="4"/>
  <c r="L752" i="4"/>
  <c r="L715" i="4"/>
  <c r="L750" i="4"/>
  <c r="L743" i="4"/>
  <c r="L741" i="4"/>
  <c r="L714" i="4"/>
  <c r="L705" i="4"/>
  <c r="L1119" i="4"/>
  <c r="L818" i="4"/>
  <c r="L664" i="4"/>
  <c r="L647" i="4"/>
  <c r="L656" i="4"/>
  <c r="L653" i="4"/>
  <c r="L1449" i="4"/>
  <c r="L556" i="4"/>
  <c r="H1545" i="4"/>
  <c r="H44" i="4" s="1"/>
  <c r="L1438" i="4"/>
  <c r="L1264" i="4"/>
  <c r="L554" i="4"/>
  <c r="H482" i="4"/>
  <c r="H9" i="4" s="1"/>
  <c r="H1344" i="4"/>
  <c r="H32" i="4" s="1"/>
  <c r="L1324" i="4"/>
  <c r="L1143" i="4"/>
  <c r="L511" i="4"/>
  <c r="L494" i="4"/>
  <c r="L564" i="4"/>
  <c r="L551" i="4"/>
  <c r="L549" i="4"/>
  <c r="L547" i="4"/>
  <c r="L543" i="4"/>
  <c r="L541" i="4"/>
  <c r="L537" i="4"/>
  <c r="L535" i="4"/>
  <c r="L534" i="4"/>
  <c r="L518" i="4"/>
  <c r="L569" i="4"/>
  <c r="L567" i="4"/>
  <c r="L562" i="4"/>
  <c r="L561" i="4"/>
  <c r="L560" i="4"/>
  <c r="L540" i="4"/>
  <c r="L536" i="4"/>
  <c r="L533" i="4"/>
  <c r="L520" i="4"/>
  <c r="L538" i="4"/>
  <c r="L1209" i="4"/>
  <c r="L701" i="4"/>
  <c r="L489" i="4"/>
  <c r="L956" i="4"/>
  <c r="L487" i="4"/>
  <c r="L519" i="4"/>
  <c r="L454" i="4"/>
  <c r="L390" i="4"/>
  <c r="L396" i="4"/>
  <c r="L444" i="4"/>
  <c r="L398" i="4"/>
  <c r="L395" i="4"/>
  <c r="L391" i="4"/>
  <c r="L356" i="4"/>
  <c r="L472" i="4"/>
  <c r="L468" i="4"/>
  <c r="L465" i="4"/>
  <c r="L462" i="4"/>
  <c r="L449" i="4"/>
  <c r="L448" i="4"/>
  <c r="L446" i="4"/>
  <c r="L436" i="4"/>
  <c r="L435" i="4"/>
  <c r="L415" i="4"/>
  <c r="L359" i="4"/>
  <c r="L474" i="4"/>
  <c r="L467" i="4"/>
  <c r="L460" i="4"/>
  <c r="L455" i="4"/>
  <c r="L425" i="4"/>
  <c r="L374" i="4"/>
  <c r="L370" i="4"/>
  <c r="L1533" i="4"/>
  <c r="L1466" i="4"/>
  <c r="H1389" i="4"/>
  <c r="H35" i="4" s="1"/>
  <c r="L1511" i="4"/>
  <c r="H1499" i="4"/>
  <c r="H41" i="4" s="1"/>
  <c r="L1416" i="4"/>
  <c r="L1256" i="4"/>
  <c r="L526" i="4"/>
  <c r="L287" i="4"/>
  <c r="L293" i="4"/>
  <c r="L1356" i="4"/>
  <c r="L880" i="4"/>
  <c r="L1341" i="4"/>
  <c r="L387" i="4"/>
  <c r="L993" i="4"/>
  <c r="J1515" i="4"/>
  <c r="J42" i="4" s="1"/>
  <c r="L984" i="4"/>
  <c r="L1479" i="4"/>
  <c r="L1030" i="4"/>
  <c r="L987" i="4"/>
  <c r="L925" i="4"/>
  <c r="L890" i="4"/>
  <c r="L879" i="4"/>
  <c r="L845" i="4"/>
  <c r="L333" i="4"/>
  <c r="L341" i="4"/>
  <c r="L348" i="4"/>
  <c r="F1344" i="4"/>
  <c r="L527" i="4"/>
  <c r="L350" i="4"/>
  <c r="L1424" i="4"/>
  <c r="L516" i="4"/>
  <c r="L344" i="4"/>
  <c r="L510" i="4"/>
  <c r="L328" i="4"/>
  <c r="L334" i="4"/>
  <c r="L346" i="4"/>
  <c r="L525" i="4"/>
  <c r="L504" i="4"/>
  <c r="L869" i="4"/>
  <c r="L506" i="4"/>
  <c r="L424" i="4"/>
  <c r="L1332" i="4"/>
  <c r="L555" i="4"/>
  <c r="L501" i="4"/>
  <c r="L512" i="4"/>
  <c r="L505" i="4"/>
  <c r="L550" i="4"/>
  <c r="L521" i="4"/>
  <c r="L469" i="4"/>
  <c r="L452" i="4"/>
  <c r="L546" i="4"/>
  <c r="L517" i="4"/>
  <c r="L1295" i="4"/>
  <c r="L497" i="4"/>
  <c r="L1535" i="4"/>
  <c r="L1448" i="4"/>
  <c r="L271" i="4"/>
  <c r="L254" i="4"/>
  <c r="L249" i="4"/>
  <c r="L279" i="4"/>
  <c r="L258" i="4"/>
  <c r="L205" i="4"/>
  <c r="L202" i="4"/>
  <c r="L187" i="4"/>
  <c r="L186" i="4"/>
  <c r="L237" i="4"/>
  <c r="L210" i="4"/>
  <c r="L209" i="4"/>
  <c r="L151" i="4"/>
  <c r="L217" i="4"/>
  <c r="L198" i="4"/>
  <c r="L194" i="4"/>
  <c r="L181" i="4"/>
  <c r="L1414" i="4"/>
  <c r="L414" i="4"/>
  <c r="L839" i="4"/>
  <c r="L788" i="4"/>
  <c r="L769" i="4"/>
  <c r="L90" i="4"/>
  <c r="L126" i="4"/>
  <c r="L132" i="4"/>
  <c r="L112" i="4"/>
  <c r="L127" i="4"/>
  <c r="L122" i="4"/>
  <c r="L199" i="4"/>
  <c r="L815" i="4"/>
  <c r="L857" i="4"/>
  <c r="L918" i="4"/>
  <c r="L849" i="4"/>
  <c r="L809" i="4"/>
  <c r="L702" i="4"/>
  <c r="L652" i="4"/>
  <c r="L929" i="4"/>
  <c r="L875" i="4"/>
  <c r="L836" i="4"/>
  <c r="L831" i="4"/>
  <c r="L821" i="4"/>
  <c r="L689" i="4"/>
  <c r="L1478" i="4"/>
  <c r="L676" i="4"/>
  <c r="L796" i="4"/>
  <c r="L362" i="4"/>
  <c r="L802" i="4"/>
  <c r="L1135" i="4"/>
  <c r="L828" i="4"/>
  <c r="F634" i="4"/>
  <c r="F11" i="4" s="1"/>
  <c r="L219" i="4"/>
  <c r="L192" i="4"/>
  <c r="L854" i="4"/>
  <c r="L808" i="4"/>
  <c r="L799" i="4"/>
  <c r="L1185" i="4"/>
  <c r="L937" i="4"/>
  <c r="L1172" i="4"/>
  <c r="K74" i="4"/>
  <c r="F74" i="4"/>
  <c r="L74" i="4" s="1"/>
  <c r="K72" i="4"/>
  <c r="F72" i="4"/>
  <c r="L72" i="4" s="1"/>
  <c r="K69" i="4"/>
  <c r="F69" i="4"/>
  <c r="L69" i="4" s="1"/>
  <c r="F68" i="4"/>
  <c r="K68" i="4"/>
  <c r="L500" i="4"/>
  <c r="L492" i="4"/>
  <c r="J482" i="4"/>
  <c r="J9" i="4" s="1"/>
  <c r="L485" i="4"/>
  <c r="L914" i="4"/>
  <c r="L909" i="4"/>
  <c r="J901" i="4"/>
  <c r="J21" i="4" s="1"/>
  <c r="H901" i="4"/>
  <c r="H21" i="4" s="1"/>
  <c r="L447" i="4"/>
  <c r="L493" i="4"/>
  <c r="L1560" i="4"/>
  <c r="F1559" i="4"/>
  <c r="F1562" i="4" s="1"/>
  <c r="L1456" i="4"/>
  <c r="L1310" i="4"/>
  <c r="L1555" i="4"/>
  <c r="L1513" i="4"/>
  <c r="L1508" i="4"/>
  <c r="L1506" i="4"/>
  <c r="L1502" i="4"/>
  <c r="L1501" i="4"/>
  <c r="L1495" i="4"/>
  <c r="L1493" i="4"/>
  <c r="L1491" i="4"/>
  <c r="L1487" i="4"/>
  <c r="L1383" i="4"/>
  <c r="L858" i="4"/>
  <c r="L882" i="4"/>
  <c r="L872" i="4"/>
  <c r="L816" i="4"/>
  <c r="L763" i="4"/>
  <c r="L371" i="4"/>
  <c r="L443" i="4"/>
  <c r="L432" i="4"/>
  <c r="L458" i="4"/>
  <c r="L438" i="4"/>
  <c r="L1483" i="4"/>
  <c r="L417" i="4"/>
  <c r="L463" i="4"/>
  <c r="L406" i="4"/>
  <c r="L640" i="4"/>
  <c r="L1439" i="4"/>
  <c r="L1432" i="4"/>
  <c r="L1419" i="4"/>
  <c r="L1413" i="4"/>
  <c r="L1393" i="4"/>
  <c r="L1363" i="4"/>
  <c r="L1358" i="4"/>
  <c r="L1429" i="4"/>
  <c r="L1398" i="4"/>
  <c r="L1372" i="4"/>
  <c r="L1351" i="4"/>
  <c r="L1329" i="4"/>
  <c r="L1232" i="4"/>
  <c r="L373" i="4"/>
  <c r="L793" i="4"/>
  <c r="L770" i="4"/>
  <c r="L764" i="4"/>
  <c r="L733" i="4"/>
  <c r="L324" i="4"/>
  <c r="L263" i="4"/>
  <c r="L248" i="4"/>
  <c r="L1485" i="4"/>
  <c r="L1117" i="4"/>
  <c r="L1005" i="4"/>
  <c r="L797" i="4"/>
  <c r="L657" i="4"/>
  <c r="L291" i="4"/>
  <c r="L290" i="4"/>
  <c r="L281" i="4"/>
  <c r="L277" i="4"/>
  <c r="L268" i="4"/>
  <c r="L266" i="4"/>
  <c r="L227" i="4"/>
  <c r="L224" i="4"/>
  <c r="L1152" i="4"/>
  <c r="L1148" i="4"/>
  <c r="L1013" i="4"/>
  <c r="L810" i="4"/>
  <c r="L253" i="4"/>
  <c r="L242" i="4"/>
  <c r="L871" i="4"/>
  <c r="L851" i="4"/>
  <c r="L837" i="4"/>
  <c r="H1562" i="4"/>
  <c r="H46" i="4"/>
  <c r="H45" i="4" s="1"/>
  <c r="L388" i="4"/>
  <c r="L1421" i="4"/>
  <c r="L1409" i="4"/>
  <c r="L670" i="4"/>
  <c r="L1284" i="4"/>
  <c r="L169" i="4"/>
  <c r="L250" i="4"/>
  <c r="J1389" i="4"/>
  <c r="J35" i="4" s="1"/>
  <c r="L674" i="4"/>
  <c r="L638" i="4"/>
  <c r="L318" i="4"/>
  <c r="L278" i="4"/>
  <c r="L269" i="4"/>
  <c r="L211" i="4"/>
  <c r="L191" i="4"/>
  <c r="L1441" i="4"/>
  <c r="L1403" i="4"/>
  <c r="L727" i="4"/>
  <c r="L798" i="4"/>
  <c r="L765" i="4"/>
  <c r="L140" i="4"/>
  <c r="H1482" i="4"/>
  <c r="H40" i="4" s="1"/>
  <c r="L1239" i="4"/>
  <c r="L760" i="4"/>
  <c r="L165" i="4"/>
  <c r="L131" i="4"/>
  <c r="L326" i="4"/>
  <c r="L272" i="4"/>
  <c r="L166" i="4"/>
  <c r="L1408" i="4"/>
  <c r="L1240" i="4"/>
  <c r="L823" i="4"/>
  <c r="L428" i="4"/>
  <c r="J1465" i="4"/>
  <c r="J39" i="4" s="1"/>
  <c r="L1289" i="4"/>
  <c r="L1118" i="4"/>
  <c r="L710" i="4"/>
  <c r="L1213" i="4"/>
  <c r="L368" i="4"/>
  <c r="L972" i="4"/>
  <c r="L911" i="4"/>
  <c r="L178" i="4"/>
  <c r="L120" i="4"/>
  <c r="L1496" i="4"/>
  <c r="L1298" i="4"/>
  <c r="L222" i="4"/>
  <c r="L1463" i="4"/>
  <c r="H1446" i="4"/>
  <c r="H38" i="4" s="1"/>
  <c r="L1335" i="4"/>
  <c r="L1279" i="4"/>
  <c r="L1274" i="4"/>
  <c r="L662" i="4"/>
  <c r="L645" i="4"/>
  <c r="L150" i="4"/>
  <c r="L124" i="4"/>
  <c r="L313" i="4"/>
  <c r="L1406" i="4"/>
  <c r="L992" i="4"/>
  <c r="L947" i="4"/>
  <c r="L317" i="4"/>
  <c r="L1384" i="4"/>
  <c r="L230" i="4"/>
  <c r="L141" i="4"/>
  <c r="L1407" i="4"/>
  <c r="L1199" i="4"/>
  <c r="L322" i="4"/>
  <c r="L319" i="4"/>
  <c r="L300" i="4"/>
  <c r="L235" i="4"/>
  <c r="L299" i="4"/>
  <c r="L161" i="4"/>
  <c r="L730" i="4"/>
  <c r="L330" i="4"/>
  <c r="L177" i="4"/>
  <c r="L106" i="4"/>
  <c r="L85" i="4"/>
  <c r="J790" i="4"/>
  <c r="J14" i="4" s="1"/>
  <c r="L762" i="4"/>
  <c r="L700" i="4"/>
  <c r="L121" i="4"/>
  <c r="L116" i="4"/>
  <c r="L100" i="4"/>
  <c r="L431" i="4"/>
  <c r="L380" i="4"/>
  <c r="L1542" i="4"/>
  <c r="L1497" i="4"/>
  <c r="L1371" i="4"/>
  <c r="L1205" i="4"/>
  <c r="L881" i="4"/>
  <c r="L648" i="4"/>
  <c r="L385" i="4"/>
  <c r="L1315" i="4"/>
  <c r="L1219" i="4"/>
  <c r="L696" i="4"/>
  <c r="L695" i="4"/>
  <c r="L1457" i="4"/>
  <c r="L1300" i="4"/>
  <c r="L1222" i="4"/>
  <c r="L650" i="4"/>
  <c r="J634" i="4"/>
  <c r="J11" i="4" s="1"/>
  <c r="L427" i="4"/>
  <c r="L369" i="4"/>
  <c r="L1183" i="4"/>
  <c r="L967" i="4"/>
  <c r="L384" i="4"/>
  <c r="L785" i="4"/>
  <c r="L360" i="4"/>
  <c r="L1216" i="4"/>
  <c r="L1195" i="4"/>
  <c r="L1191" i="4"/>
  <c r="L1187" i="4"/>
  <c r="L819" i="4"/>
  <c r="L817" i="4"/>
  <c r="L813" i="4"/>
  <c r="L803" i="4"/>
  <c r="L737" i="4"/>
  <c r="L686" i="4"/>
  <c r="L340" i="4"/>
  <c r="L182" i="4"/>
  <c r="L114" i="4"/>
  <c r="L1468" i="4"/>
  <c r="L1262" i="4"/>
  <c r="L978" i="4"/>
  <c r="L297" i="4"/>
  <c r="L288" i="4"/>
  <c r="L273" i="4"/>
  <c r="L231" i="4"/>
  <c r="L183" i="4"/>
  <c r="L109" i="4"/>
  <c r="L104" i="4"/>
  <c r="L92" i="4"/>
  <c r="L1283" i="4"/>
  <c r="L1207" i="4"/>
  <c r="L1015" i="4"/>
  <c r="H790" i="4"/>
  <c r="H14" i="4" s="1"/>
  <c r="L667" i="4"/>
  <c r="L238" i="4"/>
  <c r="L1379" i="4"/>
  <c r="L1347" i="4"/>
  <c r="L1003" i="4"/>
  <c r="L308" i="4"/>
  <c r="L274" i="4"/>
  <c r="L172" i="4"/>
  <c r="L162" i="4"/>
  <c r="L155" i="4"/>
  <c r="L133" i="4"/>
  <c r="L1162" i="4"/>
  <c r="L927" i="4"/>
  <c r="L860" i="4"/>
  <c r="L736" i="4"/>
  <c r="L675" i="4"/>
  <c r="L316" i="4"/>
  <c r="L314" i="4"/>
  <c r="L310" i="4"/>
  <c r="L276" i="4"/>
  <c r="L175" i="4"/>
  <c r="L842" i="4"/>
  <c r="L829" i="4"/>
  <c r="L173" i="4"/>
  <c r="L160" i="4"/>
  <c r="L241" i="4"/>
  <c r="L236" i="4"/>
  <c r="L149" i="4"/>
  <c r="L102" i="4"/>
  <c r="L99" i="4"/>
  <c r="L89" i="4"/>
  <c r="L1395" i="4"/>
  <c r="L1313" i="4"/>
  <c r="L959" i="4"/>
  <c r="L949" i="4"/>
  <c r="L885" i="4"/>
  <c r="L728" i="4"/>
  <c r="L709" i="4"/>
  <c r="L665" i="4"/>
  <c r="L1543" i="4"/>
  <c r="L1503" i="4"/>
  <c r="L1361" i="4"/>
  <c r="L1320" i="4"/>
  <c r="L1296" i="4"/>
  <c r="L1224" i="4"/>
  <c r="L1221" i="4"/>
  <c r="L916" i="4"/>
  <c r="L841" i="4"/>
  <c r="L795" i="4"/>
  <c r="L719" i="4"/>
  <c r="H692" i="4"/>
  <c r="H12" i="4" s="1"/>
  <c r="L1505" i="4"/>
  <c r="J1482" i="4"/>
  <c r="J40" i="4" s="1"/>
  <c r="L1476" i="4"/>
  <c r="L1316" i="4"/>
  <c r="L1192" i="4"/>
  <c r="L1174" i="4"/>
  <c r="L848" i="4"/>
  <c r="L708" i="4"/>
  <c r="L1440" i="4"/>
  <c r="H1427" i="4"/>
  <c r="H37" i="4" s="1"/>
  <c r="L1397" i="4"/>
  <c r="L1294" i="4"/>
  <c r="L1288" i="4"/>
  <c r="L1248" i="4"/>
  <c r="L1229" i="4"/>
  <c r="L1197" i="4"/>
  <c r="L1196" i="4"/>
  <c r="L1181" i="4"/>
  <c r="L1178" i="4"/>
  <c r="L1176" i="4"/>
  <c r="L981" i="4"/>
  <c r="L977" i="4"/>
  <c r="L961" i="4"/>
  <c r="L953" i="4"/>
  <c r="L794" i="4"/>
  <c r="F773" i="4"/>
  <c r="F13" i="4" s="1"/>
  <c r="L379" i="4"/>
  <c r="L1169" i="4"/>
  <c r="H1160" i="4"/>
  <c r="H29" i="4" s="1"/>
  <c r="L1150" i="4"/>
  <c r="L1024" i="4"/>
  <c r="L1011" i="4"/>
  <c r="L807" i="4"/>
  <c r="L734" i="4"/>
  <c r="L649" i="4"/>
  <c r="L377" i="4"/>
  <c r="L339" i="4"/>
  <c r="L1549" i="4"/>
  <c r="L1512" i="4"/>
  <c r="L1494" i="4"/>
  <c r="L1489" i="4"/>
  <c r="L1480" i="4"/>
  <c r="L1453" i="4"/>
  <c r="L1435" i="4"/>
  <c r="J1427" i="4"/>
  <c r="J37" i="4" s="1"/>
  <c r="L1334" i="4"/>
  <c r="L1278" i="4"/>
  <c r="L1259" i="4"/>
  <c r="L1243" i="4"/>
  <c r="L878" i="4"/>
  <c r="L867" i="4"/>
  <c r="L863" i="4"/>
  <c r="L840" i="4"/>
  <c r="L834" i="4"/>
  <c r="L824" i="4"/>
  <c r="L801" i="4"/>
  <c r="L786" i="4"/>
  <c r="J773" i="4"/>
  <c r="J13" i="4" s="1"/>
  <c r="L753" i="4"/>
  <c r="L748" i="4"/>
  <c r="L731" i="4"/>
  <c r="L712" i="4"/>
  <c r="J1559" i="4"/>
  <c r="L1561" i="4"/>
  <c r="L1554" i="4"/>
  <c r="J1545" i="4"/>
  <c r="J44" i="4" s="1"/>
  <c r="H1531" i="4"/>
  <c r="L1471" i="4"/>
  <c r="L1470" i="4"/>
  <c r="H1465" i="4"/>
  <c r="H39" i="4" s="1"/>
  <c r="L1458" i="4"/>
  <c r="L1451" i="4"/>
  <c r="L1431" i="4"/>
  <c r="L1328" i="4"/>
  <c r="L1319" i="4"/>
  <c r="L1314" i="4"/>
  <c r="L1312" i="4"/>
  <c r="L1269" i="4"/>
  <c r="L1252" i="4"/>
  <c r="L1193" i="4"/>
  <c r="L1167" i="4"/>
  <c r="L1036" i="4"/>
  <c r="F997" i="4"/>
  <c r="F23" i="4" s="1"/>
  <c r="L990" i="4"/>
  <c r="L936" i="4"/>
  <c r="L935" i="4"/>
  <c r="L934" i="4"/>
  <c r="L930" i="4"/>
  <c r="L923" i="4"/>
  <c r="L920" i="4"/>
  <c r="L888" i="4"/>
  <c r="L778" i="4"/>
  <c r="L718" i="4"/>
  <c r="L703" i="4"/>
  <c r="L683" i="4"/>
  <c r="L681" i="4"/>
  <c r="L672" i="4"/>
  <c r="L668" i="4"/>
  <c r="L663" i="4"/>
  <c r="L1536" i="4"/>
  <c r="L1507" i="4"/>
  <c r="F1465" i="4"/>
  <c r="F39" i="4" s="1"/>
  <c r="L1212" i="4"/>
  <c r="L969" i="4"/>
  <c r="L962" i="4"/>
  <c r="F1427" i="4"/>
  <c r="F37" i="4" s="1"/>
  <c r="L1422" i="4"/>
  <c r="L1417" i="4"/>
  <c r="F1411" i="4"/>
  <c r="F36" i="4" s="1"/>
  <c r="H1411" i="4"/>
  <c r="H36" i="4" s="1"/>
  <c r="L1400" i="4"/>
  <c r="H1374" i="4"/>
  <c r="H33" i="4" s="1"/>
  <c r="J1374" i="4"/>
  <c r="J33" i="4" s="1"/>
  <c r="L1367" i="4"/>
  <c r="L1359" i="4"/>
  <c r="L1353" i="4"/>
  <c r="L1305" i="4"/>
  <c r="L1287" i="4"/>
  <c r="L1280" i="4"/>
  <c r="L1276" i="4"/>
  <c r="L1260" i="4"/>
  <c r="L1255" i="4"/>
  <c r="L1237" i="4"/>
  <c r="L991" i="4"/>
  <c r="F941" i="4"/>
  <c r="F22" i="4" s="1"/>
  <c r="L870" i="4"/>
  <c r="L767" i="4"/>
  <c r="L757" i="4"/>
  <c r="L744" i="4"/>
  <c r="L739" i="4"/>
  <c r="L735" i="4"/>
  <c r="L716" i="4"/>
  <c r="L707" i="4"/>
  <c r="J692" i="4"/>
  <c r="J12" i="4" s="1"/>
  <c r="L682" i="4"/>
  <c r="L666" i="4"/>
  <c r="L654" i="4"/>
  <c r="L643" i="4"/>
  <c r="L641" i="4"/>
  <c r="L1142" i="4"/>
  <c r="L1141" i="4"/>
  <c r="L1137" i="4"/>
  <c r="L1134" i="4"/>
  <c r="L1127" i="4"/>
  <c r="L1121" i="4"/>
  <c r="J1115" i="4"/>
  <c r="J25" i="4" s="1"/>
  <c r="J580" i="4"/>
  <c r="J10" i="4" s="1"/>
  <c r="L578" i="4"/>
  <c r="L575" i="4"/>
  <c r="L571" i="4"/>
  <c r="L570" i="4"/>
  <c r="L566" i="4"/>
  <c r="L559" i="4"/>
  <c r="L558" i="4"/>
  <c r="L553" i="4"/>
  <c r="L545" i="4"/>
  <c r="L544" i="4"/>
  <c r="L539" i="4"/>
  <c r="L530" i="4"/>
  <c r="L528" i="4"/>
  <c r="L522" i="4"/>
  <c r="L514" i="4"/>
  <c r="L513" i="4"/>
  <c r="L508" i="4"/>
  <c r="L496" i="4"/>
  <c r="L495" i="4"/>
  <c r="L491" i="4"/>
  <c r="L480" i="4"/>
  <c r="L471" i="4"/>
  <c r="L470" i="4"/>
  <c r="L466" i="4"/>
  <c r="L457" i="4"/>
  <c r="L456" i="4"/>
  <c r="L451" i="4"/>
  <c r="L442" i="4"/>
  <c r="L439" i="4"/>
  <c r="L433" i="4"/>
  <c r="L421" i="4"/>
  <c r="L419" i="4"/>
  <c r="L413" i="4"/>
  <c r="L401" i="4"/>
  <c r="L399" i="4"/>
  <c r="L392" i="4"/>
  <c r="L383" i="4"/>
  <c r="L382" i="4"/>
  <c r="L376" i="4"/>
  <c r="L366" i="4"/>
  <c r="L365" i="4"/>
  <c r="J352" i="4"/>
  <c r="J8" i="4" s="1"/>
  <c r="L347" i="4"/>
  <c r="L343" i="4"/>
  <c r="L338" i="4"/>
  <c r="L336" i="4"/>
  <c r="L329" i="4"/>
  <c r="L325" i="4"/>
  <c r="L321" i="4"/>
  <c r="L320" i="4"/>
  <c r="L315" i="4"/>
  <c r="L311" i="4"/>
  <c r="L307" i="4"/>
  <c r="L305" i="4"/>
  <c r="L302" i="4"/>
  <c r="L296" i="4"/>
  <c r="J283" i="4"/>
  <c r="J7" i="4" s="1"/>
  <c r="H283" i="4"/>
  <c r="H7" i="4" s="1"/>
  <c r="L275" i="4"/>
  <c r="L270" i="4"/>
  <c r="L267" i="4"/>
  <c r="L261" i="4"/>
  <c r="L260" i="4"/>
  <c r="L256" i="4"/>
  <c r="L252" i="4"/>
  <c r="L245" i="4"/>
  <c r="L244" i="4"/>
  <c r="L240" i="4"/>
  <c r="L234" i="4"/>
  <c r="L233" i="4"/>
  <c r="L232" i="4"/>
  <c r="L225" i="4"/>
  <c r="L221" i="4"/>
  <c r="L216" i="4"/>
  <c r="L214" i="4"/>
  <c r="L213" i="4"/>
  <c r="L208" i="4"/>
  <c r="L201" i="4"/>
  <c r="L197" i="4"/>
  <c r="L196" i="4"/>
  <c r="L195" i="4"/>
  <c r="L190" i="4"/>
  <c r="L185" i="4"/>
  <c r="L180" i="4"/>
  <c r="L179" i="4"/>
  <c r="L174" i="4"/>
  <c r="L170" i="4"/>
  <c r="L164" i="4"/>
  <c r="L163" i="4"/>
  <c r="L157" i="4"/>
  <c r="F145" i="4"/>
  <c r="F6" i="4" s="1"/>
  <c r="L153" i="4"/>
  <c r="L143" i="4"/>
  <c r="L136" i="4"/>
  <c r="L135" i="4"/>
  <c r="L130" i="4"/>
  <c r="L119" i="4"/>
  <c r="L118" i="4"/>
  <c r="L111" i="4"/>
  <c r="L96" i="4"/>
  <c r="L94" i="4"/>
  <c r="L87" i="4"/>
  <c r="H634" i="4"/>
  <c r="F1374" i="4"/>
  <c r="F33" i="4" s="1"/>
  <c r="L1377" i="4"/>
  <c r="L84" i="4"/>
  <c r="L81" i="4"/>
  <c r="L80" i="4"/>
  <c r="L78" i="4"/>
  <c r="L77" i="4"/>
  <c r="L76" i="4"/>
  <c r="J65" i="4"/>
  <c r="J5" i="4" s="1"/>
  <c r="H65" i="4"/>
  <c r="H5" i="4" s="1"/>
  <c r="H145" i="4"/>
  <c r="H6" i="4" s="1"/>
  <c r="F352" i="4"/>
  <c r="F8" i="4" s="1"/>
  <c r="H1115" i="4"/>
  <c r="H25" i="4" s="1"/>
  <c r="J145" i="4"/>
  <c r="J6" i="4" s="1"/>
  <c r="H352" i="4"/>
  <c r="H8" i="4" s="1"/>
  <c r="L357" i="4"/>
  <c r="L637" i="4"/>
  <c r="J941" i="4"/>
  <c r="J22" i="4" s="1"/>
  <c r="J1201" i="4"/>
  <c r="J30" i="4" s="1"/>
  <c r="F482" i="4"/>
  <c r="L154" i="4"/>
  <c r="H580" i="4"/>
  <c r="H10" i="4" s="1"/>
  <c r="L768" i="4"/>
  <c r="L776" i="4"/>
  <c r="L780" i="4"/>
  <c r="L825" i="4"/>
  <c r="L846" i="4"/>
  <c r="L861" i="4"/>
  <c r="L868" i="4"/>
  <c r="L892" i="4"/>
  <c r="L945" i="4"/>
  <c r="L1001" i="4"/>
  <c r="F283" i="4"/>
  <c r="F7" i="4" s="1"/>
  <c r="J1160" i="4"/>
  <c r="J29" i="4" s="1"/>
  <c r="L679" i="4"/>
  <c r="L814" i="4"/>
  <c r="L855" i="4"/>
  <c r="H941" i="4"/>
  <c r="H22" i="4" s="1"/>
  <c r="L1033" i="4"/>
  <c r="L698" i="4"/>
  <c r="L711" i="4"/>
  <c r="L717" i="4"/>
  <c r="L745" i="4"/>
  <c r="L761" i="4"/>
  <c r="L766" i="4"/>
  <c r="L906" i="4"/>
  <c r="L964" i="4"/>
  <c r="L1022" i="4"/>
  <c r="L1164" i="4"/>
  <c r="F1201" i="4"/>
  <c r="F30" i="4" s="1"/>
  <c r="L706" i="4"/>
  <c r="L756" i="4"/>
  <c r="L806" i="4"/>
  <c r="L811" i="4"/>
  <c r="L833" i="4"/>
  <c r="L847" i="4"/>
  <c r="L853" i="4"/>
  <c r="L876" i="4"/>
  <c r="L939" i="4"/>
  <c r="J1272" i="4"/>
  <c r="J31" i="4" s="1"/>
  <c r="F692" i="4"/>
  <c r="F12" i="4" s="1"/>
  <c r="F790" i="4"/>
  <c r="F14" i="4" s="1"/>
  <c r="H1201" i="4"/>
  <c r="H30" i="4" s="1"/>
  <c r="L1241" i="4"/>
  <c r="L688" i="4"/>
  <c r="L783" i="4"/>
  <c r="L933" i="4"/>
  <c r="L988" i="4"/>
  <c r="F1040" i="4"/>
  <c r="F24" i="4" s="1"/>
  <c r="L1275" i="4"/>
  <c r="L699" i="4"/>
  <c r="L704" i="4"/>
  <c r="L729" i="4"/>
  <c r="L746" i="4"/>
  <c r="L754" i="4"/>
  <c r="F901" i="4"/>
  <c r="F21" i="4" s="1"/>
  <c r="L903" i="4"/>
  <c r="H1040" i="4"/>
  <c r="H24" i="4" s="1"/>
  <c r="F1115" i="4"/>
  <c r="F25" i="4" s="1"/>
  <c r="L1125" i="4"/>
  <c r="F1145" i="4"/>
  <c r="L1236" i="4"/>
  <c r="H1272" i="4"/>
  <c r="H31" i="4" s="1"/>
  <c r="L1303" i="4"/>
  <c r="F1446" i="4"/>
  <c r="F38" i="4" s="1"/>
  <c r="F1482" i="4"/>
  <c r="F1272" i="4"/>
  <c r="F31" i="4" s="1"/>
  <c r="L1392" i="4"/>
  <c r="J1446" i="4"/>
  <c r="J38" i="4" s="1"/>
  <c r="F1160" i="4"/>
  <c r="F29" i="4" s="1"/>
  <c r="L1346" i="4"/>
  <c r="L1428" i="4"/>
  <c r="L1500" i="4"/>
  <c r="F1545" i="4"/>
  <c r="F44" i="4" s="1"/>
  <c r="L952" i="4"/>
  <c r="L1008" i="4"/>
  <c r="L1415" i="4"/>
  <c r="L1469" i="4"/>
  <c r="H997" i="4"/>
  <c r="F1389" i="4"/>
  <c r="F35" i="4" s="1"/>
  <c r="L1532" i="4"/>
  <c r="F7" i="8" l="1"/>
  <c r="L132" i="8"/>
  <c r="L7" i="8" s="1"/>
  <c r="F4" i="8"/>
  <c r="L34" i="8"/>
  <c r="L4" i="8" s="1"/>
  <c r="F251" i="8"/>
  <c r="H251" i="8"/>
  <c r="H7" i="8"/>
  <c r="H3" i="8" s="1"/>
  <c r="H5" i="9" s="1"/>
  <c r="H3" i="9" s="1"/>
  <c r="F8" i="8"/>
  <c r="L176" i="8"/>
  <c r="L8" i="8" s="1"/>
  <c r="F11" i="8"/>
  <c r="L249" i="8"/>
  <c r="L11" i="8" s="1"/>
  <c r="L211" i="8"/>
  <c r="L10" i="8" s="1"/>
  <c r="F10" i="8"/>
  <c r="L74" i="8"/>
  <c r="L5" i="8" s="1"/>
  <c r="F5" i="8"/>
  <c r="F3" i="8" s="1"/>
  <c r="F5" i="9" s="1"/>
  <c r="F3" i="9" s="1"/>
  <c r="F41" i="4"/>
  <c r="L1499" i="4"/>
  <c r="L41" i="4" s="1"/>
  <c r="F32" i="4"/>
  <c r="L1344" i="4"/>
  <c r="L32" i="4" s="1"/>
  <c r="F28" i="4"/>
  <c r="L1559" i="4"/>
  <c r="L46" i="4" s="1"/>
  <c r="L45" i="4" s="1"/>
  <c r="F65" i="4"/>
  <c r="L68" i="4"/>
  <c r="J34" i="4"/>
  <c r="J1562" i="4"/>
  <c r="L1562" i="4" s="1"/>
  <c r="J46" i="4"/>
  <c r="J45" i="4" s="1"/>
  <c r="L1531" i="4"/>
  <c r="L43" i="4" s="1"/>
  <c r="H43" i="4"/>
  <c r="L1482" i="4"/>
  <c r="L40" i="4" s="1"/>
  <c r="F40" i="4"/>
  <c r="F34" i="4"/>
  <c r="H28" i="4"/>
  <c r="J28" i="4"/>
  <c r="L1465" i="4"/>
  <c r="L39" i="4" s="1"/>
  <c r="J4" i="4"/>
  <c r="L1145" i="4"/>
  <c r="L26" i="4" s="1"/>
  <c r="F26" i="4"/>
  <c r="F20" i="4" s="1"/>
  <c r="L997" i="4"/>
  <c r="L23" i="4" s="1"/>
  <c r="H23" i="4"/>
  <c r="H20" i="4" s="1"/>
  <c r="L634" i="4"/>
  <c r="L11" i="4" s="1"/>
  <c r="H11" i="4"/>
  <c r="H4" i="4" s="1"/>
  <c r="L482" i="4"/>
  <c r="L9" i="4" s="1"/>
  <c r="F9" i="4"/>
  <c r="L1427" i="4"/>
  <c r="L37" i="4" s="1"/>
  <c r="L790" i="4"/>
  <c r="H1386" i="4"/>
  <c r="L773" i="4"/>
  <c r="L13" i="4" s="1"/>
  <c r="L283" i="4"/>
  <c r="L7" i="4" s="1"/>
  <c r="J898" i="4"/>
  <c r="L352" i="4"/>
  <c r="L941" i="4"/>
  <c r="L22" i="4" s="1"/>
  <c r="L692" i="4"/>
  <c r="L12" i="4" s="1"/>
  <c r="L1411" i="4"/>
  <c r="L36" i="4" s="1"/>
  <c r="L1374" i="4"/>
  <c r="L33" i="4" s="1"/>
  <c r="L1115" i="4"/>
  <c r="L25" i="4" s="1"/>
  <c r="J1556" i="4"/>
  <c r="L1545" i="4"/>
  <c r="L44" i="4" s="1"/>
  <c r="H898" i="4"/>
  <c r="L1272" i="4"/>
  <c r="L31" i="4" s="1"/>
  <c r="L1446" i="4"/>
  <c r="L38" i="4" s="1"/>
  <c r="F1157" i="4"/>
  <c r="L901" i="4"/>
  <c r="L21" i="4" s="1"/>
  <c r="H1157" i="4"/>
  <c r="J1386" i="4"/>
  <c r="L1160" i="4"/>
  <c r="L29" i="4" s="1"/>
  <c r="F1386" i="4"/>
  <c r="L145" i="4"/>
  <c r="L6" i="4" s="1"/>
  <c r="F1556" i="4"/>
  <c r="L1389" i="4"/>
  <c r="L35" i="4" s="1"/>
  <c r="L1201" i="4"/>
  <c r="L30" i="4" s="1"/>
  <c r="L251" i="8" l="1"/>
  <c r="L3" i="8"/>
  <c r="L5" i="9" s="1"/>
  <c r="L3" i="9" s="1"/>
  <c r="L14" i="4"/>
  <c r="M791" i="4"/>
  <c r="L8" i="4"/>
  <c r="M353" i="4"/>
  <c r="F5" i="4"/>
  <c r="L65" i="4"/>
  <c r="L28" i="4"/>
  <c r="L1386" i="4"/>
  <c r="L5" i="4" l="1"/>
  <c r="F630" i="4" l="1"/>
  <c r="L630" i="4" s="1"/>
  <c r="F628" i="4"/>
  <c r="L628" i="4" s="1"/>
  <c r="F625" i="4"/>
  <c r="L625" i="4" s="1"/>
  <c r="F606" i="4"/>
  <c r="L606" i="4" s="1"/>
  <c r="F597" i="4"/>
  <c r="L597" i="4" s="1"/>
  <c r="F588" i="4"/>
  <c r="L588" i="4" s="1"/>
  <c r="F585" i="4"/>
  <c r="L585" i="4" s="1"/>
  <c r="F632" i="4"/>
  <c r="L632" i="4" s="1"/>
  <c r="K632" i="4"/>
  <c r="F631" i="4"/>
  <c r="L631" i="4" s="1"/>
  <c r="K631" i="4"/>
  <c r="K630" i="4"/>
  <c r="F629" i="4"/>
  <c r="L629" i="4" s="1"/>
  <c r="K629" i="4"/>
  <c r="K628" i="4"/>
  <c r="F627" i="4"/>
  <c r="L627" i="4" s="1"/>
  <c r="K627" i="4"/>
  <c r="F626" i="4"/>
  <c r="L626" i="4" s="1"/>
  <c r="K626" i="4"/>
  <c r="K625" i="4"/>
  <c r="F623" i="4"/>
  <c r="L623" i="4" s="1"/>
  <c r="K623" i="4"/>
  <c r="F622" i="4"/>
  <c r="L622" i="4" s="1"/>
  <c r="K622" i="4"/>
  <c r="F617" i="4"/>
  <c r="L617" i="4" s="1"/>
  <c r="K617" i="4"/>
  <c r="F615" i="4"/>
  <c r="L615" i="4" s="1"/>
  <c r="K615" i="4"/>
  <c r="F614" i="4"/>
  <c r="L614" i="4" s="1"/>
  <c r="K614" i="4"/>
  <c r="F612" i="4"/>
  <c r="L612" i="4" s="1"/>
  <c r="K612" i="4"/>
  <c r="F608" i="4"/>
  <c r="L608" i="4" s="1"/>
  <c r="K608" i="4"/>
  <c r="K606" i="4"/>
  <c r="F605" i="4"/>
  <c r="L605" i="4" s="1"/>
  <c r="K605" i="4"/>
  <c r="F603" i="4"/>
  <c r="L603" i="4" s="1"/>
  <c r="K603" i="4"/>
  <c r="F602" i="4"/>
  <c r="L602" i="4" s="1"/>
  <c r="F600" i="4"/>
  <c r="L600" i="4" s="1"/>
  <c r="F599" i="4"/>
  <c r="L599" i="4" s="1"/>
  <c r="K597" i="4"/>
  <c r="F596" i="4"/>
  <c r="L596" i="4" s="1"/>
  <c r="F595" i="4"/>
  <c r="L595" i="4" s="1"/>
  <c r="F594" i="4"/>
  <c r="L594" i="4" s="1"/>
  <c r="K594" i="4"/>
  <c r="F593" i="4"/>
  <c r="L593" i="4" s="1"/>
  <c r="F591" i="4"/>
  <c r="L591" i="4" s="1"/>
  <c r="K591" i="4"/>
  <c r="K588" i="4"/>
  <c r="F586" i="4"/>
  <c r="L586" i="4" s="1"/>
  <c r="K585" i="4"/>
  <c r="F584" i="4"/>
  <c r="L584" i="4" s="1"/>
  <c r="F582" i="4"/>
  <c r="K582" i="4"/>
  <c r="F618" i="4"/>
  <c r="L618" i="4" s="1"/>
  <c r="F604" i="4"/>
  <c r="L604" i="4" s="1"/>
  <c r="F607" i="4"/>
  <c r="L607" i="4" s="1"/>
  <c r="F590" i="4"/>
  <c r="L590" i="4" s="1"/>
  <c r="F587" i="4"/>
  <c r="L587" i="4" s="1"/>
  <c r="F620" i="4"/>
  <c r="L620" i="4" s="1"/>
  <c r="F613" i="4"/>
  <c r="L613" i="4" s="1"/>
  <c r="F611" i="4"/>
  <c r="L611" i="4" s="1"/>
  <c r="F592" i="4"/>
  <c r="L592" i="4" s="1"/>
  <c r="F589" i="4"/>
  <c r="L589" i="4" s="1"/>
  <c r="F583" i="4"/>
  <c r="L583" i="4" s="1"/>
  <c r="K587" i="4"/>
  <c r="K620" i="4"/>
  <c r="K618" i="4"/>
  <c r="K613" i="4"/>
  <c r="K611" i="4"/>
  <c r="K607" i="4"/>
  <c r="K604" i="4"/>
  <c r="K602" i="4"/>
  <c r="K600" i="4"/>
  <c r="K599" i="4"/>
  <c r="K596" i="4"/>
  <c r="K595" i="4"/>
  <c r="K593" i="4"/>
  <c r="K592" i="4"/>
  <c r="K590" i="4"/>
  <c r="K589" i="4"/>
  <c r="K586" i="4"/>
  <c r="K584" i="4"/>
  <c r="K583" i="4"/>
  <c r="L582" i="4" l="1"/>
  <c r="F580" i="4"/>
  <c r="F10" i="4" l="1"/>
  <c r="F4" i="4" s="1"/>
  <c r="F3" i="4" s="1"/>
  <c r="F898" i="4"/>
  <c r="L580" i="4"/>
  <c r="L10" i="4" s="1"/>
  <c r="L4" i="4" s="1"/>
  <c r="L898" i="4" l="1"/>
  <c r="F1564" i="4"/>
  <c r="J1112" i="4" l="1"/>
  <c r="L1112" i="4" s="1"/>
  <c r="J1107" i="4"/>
  <c r="L1107" i="4" s="1"/>
  <c r="J1103" i="4"/>
  <c r="L1103" i="4" s="1"/>
  <c r="J1098" i="4"/>
  <c r="L1098" i="4" s="1"/>
  <c r="J1086" i="4"/>
  <c r="L1086" i="4" s="1"/>
  <c r="J1083" i="4"/>
  <c r="L1083" i="4" s="1"/>
  <c r="J1079" i="4"/>
  <c r="L1079" i="4" s="1"/>
  <c r="J1064" i="4"/>
  <c r="L1064" i="4" s="1"/>
  <c r="J1051" i="4"/>
  <c r="L1051" i="4" s="1"/>
  <c r="J1046" i="4"/>
  <c r="L1046" i="4" s="1"/>
  <c r="K1083" i="4"/>
  <c r="J1078" i="4"/>
  <c r="L1078" i="4" s="1"/>
  <c r="K1078" i="4"/>
  <c r="J1077" i="4"/>
  <c r="L1077" i="4" s="1"/>
  <c r="J1074" i="4"/>
  <c r="L1074" i="4" s="1"/>
  <c r="K1074" i="4"/>
  <c r="J1072" i="4"/>
  <c r="L1072" i="4" s="1"/>
  <c r="J1068" i="4"/>
  <c r="L1068" i="4" s="1"/>
  <c r="K1068" i="4"/>
  <c r="J1065" i="4"/>
  <c r="L1065" i="4" s="1"/>
  <c r="J1063" i="4"/>
  <c r="L1063" i="4" s="1"/>
  <c r="K1063" i="4"/>
  <c r="J1061" i="4"/>
  <c r="L1061" i="4" s="1"/>
  <c r="J1056" i="4"/>
  <c r="K1056" i="4"/>
  <c r="K1046" i="4"/>
  <c r="J1043" i="4"/>
  <c r="L1043" i="4" s="1"/>
  <c r="K1043" i="4"/>
  <c r="J1113" i="4"/>
  <c r="L1113" i="4" s="1"/>
  <c r="K1113" i="4"/>
  <c r="K1112" i="4"/>
  <c r="J1111" i="4"/>
  <c r="L1111" i="4" s="1"/>
  <c r="K1111" i="4"/>
  <c r="J1110" i="4"/>
  <c r="L1110" i="4" s="1"/>
  <c r="K1110" i="4"/>
  <c r="J1109" i="4"/>
  <c r="L1109" i="4" s="1"/>
  <c r="K1109" i="4"/>
  <c r="J1108" i="4"/>
  <c r="L1108" i="4" s="1"/>
  <c r="K1108" i="4"/>
  <c r="K1107" i="4"/>
  <c r="J1106" i="4"/>
  <c r="L1106" i="4" s="1"/>
  <c r="K1106" i="4"/>
  <c r="J1105" i="4"/>
  <c r="L1105" i="4" s="1"/>
  <c r="K1105" i="4"/>
  <c r="J1104" i="4"/>
  <c r="L1104" i="4" s="1"/>
  <c r="K1104" i="4"/>
  <c r="K1103" i="4"/>
  <c r="J1102" i="4"/>
  <c r="L1102" i="4" s="1"/>
  <c r="K1102" i="4"/>
  <c r="J1101" i="4"/>
  <c r="L1101" i="4" s="1"/>
  <c r="K1101" i="4"/>
  <c r="J1100" i="4"/>
  <c r="L1100" i="4" s="1"/>
  <c r="K1100" i="4"/>
  <c r="J1099" i="4"/>
  <c r="L1099" i="4" s="1"/>
  <c r="K1099" i="4"/>
  <c r="K1098" i="4"/>
  <c r="J1097" i="4"/>
  <c r="L1097" i="4" s="1"/>
  <c r="K1097" i="4"/>
  <c r="J1095" i="4"/>
  <c r="L1095" i="4" s="1"/>
  <c r="K1095" i="4"/>
  <c r="J1093" i="4"/>
  <c r="L1093" i="4" s="1"/>
  <c r="K1093" i="4"/>
  <c r="J1092" i="4"/>
  <c r="L1092" i="4" s="1"/>
  <c r="K1092" i="4"/>
  <c r="J1091" i="4"/>
  <c r="L1091" i="4" s="1"/>
  <c r="K1091" i="4"/>
  <c r="J1090" i="4"/>
  <c r="L1090" i="4" s="1"/>
  <c r="K1090" i="4"/>
  <c r="J1088" i="4"/>
  <c r="L1088" i="4" s="1"/>
  <c r="K1088" i="4"/>
  <c r="J1087" i="4"/>
  <c r="L1087" i="4" s="1"/>
  <c r="K1087" i="4"/>
  <c r="K1086" i="4"/>
  <c r="J1085" i="4"/>
  <c r="L1085" i="4" s="1"/>
  <c r="K1085" i="4"/>
  <c r="J1084" i="4"/>
  <c r="L1084" i="4" s="1"/>
  <c r="K1084" i="4"/>
  <c r="J1082" i="4"/>
  <c r="L1082" i="4" s="1"/>
  <c r="K1082" i="4"/>
  <c r="J1081" i="4"/>
  <c r="L1081" i="4" s="1"/>
  <c r="K1081" i="4"/>
  <c r="K1079" i="4"/>
  <c r="K1077" i="4"/>
  <c r="K1072" i="4"/>
  <c r="K1065" i="4"/>
  <c r="K1064" i="4"/>
  <c r="K1061" i="4"/>
  <c r="K1051" i="4"/>
  <c r="J1069" i="4"/>
  <c r="L1069" i="4" s="1"/>
  <c r="J1057" i="4"/>
  <c r="L1057" i="4" s="1"/>
  <c r="J1055" i="4"/>
  <c r="L1055" i="4" s="1"/>
  <c r="J1052" i="4"/>
  <c r="L1052" i="4" s="1"/>
  <c r="J1047" i="4"/>
  <c r="L1047" i="4" s="1"/>
  <c r="J1042" i="4"/>
  <c r="L1042" i="4" s="1"/>
  <c r="J1059" i="4"/>
  <c r="L1059" i="4" s="1"/>
  <c r="J1048" i="4"/>
  <c r="L1048" i="4" s="1"/>
  <c r="J1044" i="4"/>
  <c r="L1044" i="4" s="1"/>
  <c r="J1062" i="4"/>
  <c r="L1062" i="4" s="1"/>
  <c r="J1070" i="4"/>
  <c r="L1070" i="4" s="1"/>
  <c r="J1045" i="4"/>
  <c r="L1045" i="4" s="1"/>
  <c r="K1070" i="4"/>
  <c r="K1059" i="4"/>
  <c r="K1052" i="4"/>
  <c r="K1048" i="4"/>
  <c r="K1047" i="4"/>
  <c r="K1045" i="4"/>
  <c r="K1044" i="4"/>
  <c r="K1042" i="4"/>
  <c r="K1069" i="4"/>
  <c r="K1062" i="4"/>
  <c r="K1057" i="4"/>
  <c r="K1055" i="4"/>
  <c r="L1056" i="4" l="1"/>
  <c r="J1040" i="4"/>
  <c r="J24" i="4" l="1"/>
  <c r="J20" i="4" s="1"/>
  <c r="J3" i="4" s="1"/>
  <c r="L1040" i="4"/>
  <c r="L24" i="4" s="1"/>
  <c r="L20" i="4" s="1"/>
  <c r="J1157" i="4"/>
  <c r="L1157" i="4" l="1"/>
  <c r="J1564" i="4"/>
  <c r="M1158" i="4" l="1"/>
  <c r="H1529" i="4" l="1"/>
  <c r="L1529" i="4" s="1"/>
  <c r="H1528" i="4"/>
  <c r="L1528" i="4" s="1"/>
  <c r="H1527" i="4"/>
  <c r="L1527" i="4" s="1"/>
  <c r="H1526" i="4"/>
  <c r="L1526" i="4" s="1"/>
  <c r="H1525" i="4"/>
  <c r="L1525" i="4" s="1"/>
  <c r="H1524" i="4"/>
  <c r="L1524" i="4" s="1"/>
  <c r="H1523" i="4"/>
  <c r="L1523" i="4" s="1"/>
  <c r="H1522" i="4"/>
  <c r="L1522" i="4" s="1"/>
  <c r="H1521" i="4"/>
  <c r="L1521" i="4" s="1"/>
  <c r="H1520" i="4"/>
  <c r="L1520" i="4" s="1"/>
  <c r="H1519" i="4"/>
  <c r="L1519" i="4" s="1"/>
  <c r="H1518" i="4"/>
  <c r="L1518" i="4" s="1"/>
  <c r="H1517" i="4"/>
  <c r="L1517" i="4" s="1"/>
  <c r="H1516" i="4"/>
  <c r="K1529" i="4"/>
  <c r="K1528" i="4"/>
  <c r="K1527" i="4"/>
  <c r="K1526" i="4"/>
  <c r="K1525" i="4"/>
  <c r="K1524" i="4"/>
  <c r="K1523" i="4"/>
  <c r="K1522" i="4"/>
  <c r="K1521" i="4"/>
  <c r="K1520" i="4"/>
  <c r="K1519" i="4"/>
  <c r="K1518" i="4"/>
  <c r="K1517" i="4"/>
  <c r="K1516" i="4"/>
  <c r="H1515" i="4" l="1"/>
  <c r="L1516" i="4"/>
  <c r="H1556" i="4" l="1"/>
  <c r="H42" i="4"/>
  <c r="H34" i="4" s="1"/>
  <c r="H3" i="4" s="1"/>
  <c r="L1515" i="4"/>
  <c r="L42" i="4" s="1"/>
  <c r="L34" i="4" s="1"/>
  <c r="L3" i="4" s="1"/>
  <c r="H1564" i="4" l="1"/>
  <c r="L1556" i="4"/>
  <c r="L1564" i="4" s="1"/>
  <c r="D8" i="6" l="1"/>
  <c r="D12" i="6"/>
  <c r="D7" i="6"/>
  <c r="L13" i="2" s="1"/>
  <c r="D14" i="6"/>
  <c r="D11" i="6"/>
  <c r="D13" i="6" s="1"/>
  <c r="D15" i="6" l="1"/>
  <c r="D17" i="6"/>
  <c r="D16" i="6"/>
  <c r="D10" i="6"/>
  <c r="D9" i="6"/>
  <c r="D18" i="6" l="1"/>
  <c r="D19" i="6" l="1"/>
  <c r="D20" i="6" l="1"/>
  <c r="D21" i="6" s="1"/>
  <c r="D22" i="6" l="1"/>
  <c r="D24" i="6" s="1"/>
  <c r="J14" i="2" s="1"/>
  <c r="L14" i="2" l="1"/>
  <c r="L15" i="2" s="1"/>
  <c r="J15" i="2"/>
  <c r="D25" i="6"/>
  <c r="D26" i="6" l="1"/>
  <c r="J16" i="2"/>
  <c r="L16" i="2" l="1"/>
  <c r="L17" i="2" s="1"/>
  <c r="J17" i="2"/>
</calcChain>
</file>

<file path=xl/sharedStrings.xml><?xml version="1.0" encoding="utf-8"?>
<sst xmlns="http://schemas.openxmlformats.org/spreadsheetml/2006/main" count="4279" uniqueCount="1545">
  <si>
    <t>견      적      서</t>
  </si>
  <si>
    <t>공사명 : 화성 청원지구 산업유통형 지구단위계획</t>
  </si>
  <si>
    <t>에이치앤케이산업개발주식회사</t>
  </si>
  <si>
    <t>견     적     서</t>
  </si>
  <si>
    <t xml:space="preserve">    진명개발          귀하</t>
  </si>
  <si>
    <t>TEL : 032 - 818 - 2581</t>
  </si>
  <si>
    <t>공사금액 : 일금 일백이십삼억칠천팔백이십이만일천일백육십팔원정  (₩12,378,221,168)</t>
  </si>
  <si>
    <t>FAX : 032 - 822 - 0887</t>
  </si>
  <si>
    <t>상기 공사 견적서를 아래와 같이 제출합니다.</t>
  </si>
  <si>
    <t>대표자   가 영 현   (인)</t>
  </si>
  <si>
    <t>공  종</t>
  </si>
  <si>
    <t>규 격</t>
  </si>
  <si>
    <t>수량</t>
  </si>
  <si>
    <t>단위</t>
  </si>
  <si>
    <t>재 료 비</t>
  </si>
  <si>
    <t>노 무 비</t>
  </si>
  <si>
    <t>경   비</t>
  </si>
  <si>
    <t>합   계</t>
  </si>
  <si>
    <t>비고</t>
  </si>
  <si>
    <t>단가</t>
  </si>
  <si>
    <t>금액</t>
  </si>
  <si>
    <t>Ⅰ. 직접공사비 계</t>
  </si>
  <si>
    <t>Ⅱ. 간접공사비 계</t>
  </si>
  <si>
    <t>식</t>
  </si>
  <si>
    <t>합         계</t>
  </si>
  <si>
    <t>부 가 가 치 세</t>
  </si>
  <si>
    <t>공 사 비  계</t>
  </si>
  <si>
    <t>구분</t>
  </si>
  <si>
    <t>항목</t>
  </si>
  <si>
    <t>산식</t>
  </si>
  <si>
    <t>재료비</t>
  </si>
  <si>
    <t>Σ 섹션 재료비</t>
  </si>
  <si>
    <t>직접노무비</t>
  </si>
  <si>
    <t>Σ 섹션 노무비</t>
  </si>
  <si>
    <t>직접경비</t>
  </si>
  <si>
    <t>Σ 섹션 경비</t>
  </si>
  <si>
    <t>【 직접공사비 계 】</t>
  </si>
  <si>
    <t>재+직노+직경</t>
  </si>
  <si>
    <t>간접비</t>
  </si>
  <si>
    <t>간접노무비</t>
  </si>
  <si>
    <t>직접노무비×19.7%</t>
  </si>
  <si>
    <t>조달청 원가계산 제비율(토목 50~300억·13~36개월)</t>
  </si>
  <si>
    <t>산재보험료</t>
  </si>
  <si>
    <t>노무비계×3.56%</t>
  </si>
  <si>
    <t>2026년 산재보험료율 고시(건설업 3.5%)+임금채권보장부담금 0.06%</t>
  </si>
  <si>
    <t>고용보험료</t>
  </si>
  <si>
    <t>노무비계×1.15%</t>
  </si>
  <si>
    <t>고용보험료율 사업주 부담(실업급여 0.9%+고용안정·직업능력개발 0.25%)</t>
  </si>
  <si>
    <t>국민건강보험료</t>
  </si>
  <si>
    <t>직접노무비×3.595%</t>
  </si>
  <si>
    <t>2026년 법정요율(건강보험 7.19%의 1/2)</t>
  </si>
  <si>
    <t>국민연금보험료</t>
  </si>
  <si>
    <t>직접노무비×4.75%</t>
  </si>
  <si>
    <t>2026년 법정요율(국민연금 9.5%의 1/2)</t>
  </si>
  <si>
    <t>노인장기요양보험료</t>
  </si>
  <si>
    <t>건강보험료×13.14%</t>
  </si>
  <si>
    <t>산업안전보건관리비</t>
  </si>
  <si>
    <t>(재+직노)×2.60%</t>
  </si>
  <si>
    <t>기타경비(공과잡비)</t>
  </si>
  <si>
    <t>(재+노무비계)×6.2%</t>
  </si>
  <si>
    <t>조달청 원가계산 제비율(세금과공과 등)</t>
  </si>
  <si>
    <t>건설기계대여대금지급보증</t>
  </si>
  <si>
    <t>직접공사비×0.40%</t>
  </si>
  <si>
    <t>건설기계 대여대금 지급보증 수수료</t>
  </si>
  <si>
    <t>환경보전비</t>
  </si>
  <si>
    <t>직접공사비×0.60%</t>
  </si>
  <si>
    <t>건설기술 진흥법 환경관리비 기준</t>
  </si>
  <si>
    <t>【 산출경비 계 】</t>
  </si>
  <si>
    <t>간접경비 합</t>
  </si>
  <si>
    <t>원가</t>
  </si>
  <si>
    <t>【 경비계(직접+산출) 】</t>
  </si>
  <si>
    <t>직접경비+산출경비</t>
  </si>
  <si>
    <t>【 순공사원가 】</t>
  </si>
  <si>
    <t>재+노무비계+경비계</t>
  </si>
  <si>
    <t>일반관리비</t>
  </si>
  <si>
    <t>이윤</t>
  </si>
  <si>
    <t>합계</t>
  </si>
  <si>
    <t>【 공급가액 】</t>
  </si>
  <si>
    <t>순공사원가+일반관리비+이윤</t>
  </si>
  <si>
    <t>부가가치세</t>
  </si>
  <si>
    <t>공급가액×10%</t>
  </si>
  <si>
    <t>★ 도급액(공사비 계)</t>
  </si>
  <si>
    <t>공급가액+부가세</t>
  </si>
  <si>
    <t>※ 직접공사비=첨부 내역서, 간접노무비·기타경비·일반관리비·이윤 등 제비율 및 사회보험료·산업안전보건관리비·건설기계대여대금지급보증·환경보전비는 관계 법령·기준요율 적용.</t>
  </si>
  <si>
    <t>공종명 / 품명</t>
  </si>
  <si>
    <t>규격</t>
  </si>
  <si>
    <t>노무비</t>
  </si>
  <si>
    <t>경비</t>
  </si>
  <si>
    <t>【 01. 토목·조경 】</t>
  </si>
  <si>
    <t>1. 토     공</t>
  </si>
  <si>
    <t>가. 벌목 및  벌개제근</t>
  </si>
  <si>
    <t>1). 벌목 및 벌개제근</t>
  </si>
  <si>
    <t>가). 벌목</t>
  </si>
  <si>
    <t>㎡</t>
  </si>
  <si>
    <t>나). 벌개제근</t>
  </si>
  <si>
    <t>나. 임목폐기물</t>
  </si>
  <si>
    <t>1). 임목파쇄</t>
  </si>
  <si>
    <t>가). 임목 운반</t>
  </si>
  <si>
    <t>운반거리 L=83m(현장---&gt;임목파쇄장)</t>
  </si>
  <si>
    <t>㎥</t>
  </si>
  <si>
    <t>나). 임목파쇄</t>
  </si>
  <si>
    <t>가지, 잡목류, 354.35kW</t>
  </si>
  <si>
    <t>다). 임목파쇄</t>
  </si>
  <si>
    <t>뿌리류, 354.35kW</t>
  </si>
  <si>
    <t>2). 임목폐기물 적치장</t>
  </si>
  <si>
    <t>가). PE천막지</t>
  </si>
  <si>
    <t>나). 터파기(토사)</t>
  </si>
  <si>
    <t>TYPE-1, 백호1.0, 기계100%</t>
  </si>
  <si>
    <t>다). 되메우기(토사)</t>
  </si>
  <si>
    <t>백호0.7, 기계100%</t>
  </si>
  <si>
    <t>다. 법면보호공</t>
  </si>
  <si>
    <t>1). 법면보호공</t>
  </si>
  <si>
    <t>잔디붙임(줄떼)</t>
  </si>
  <si>
    <t>2). 법면보호공</t>
  </si>
  <si>
    <t>잔디붙임(평떼)</t>
  </si>
  <si>
    <t>라. 흙깎기</t>
  </si>
  <si>
    <t>1). 토사</t>
  </si>
  <si>
    <t>가).흙깍기(기계,토사)</t>
  </si>
  <si>
    <t>중규모, 보통토사, 불도져 19ton</t>
  </si>
  <si>
    <t>나). 흙깍기(토사)</t>
  </si>
  <si>
    <t>굴삭기1.0㎥</t>
  </si>
  <si>
    <t>2). 풍화암</t>
  </si>
  <si>
    <t>가). 흙깍기(리핑암)</t>
  </si>
  <si>
    <t>불도저 32ton + 리퍼</t>
  </si>
  <si>
    <t>3). 연암</t>
  </si>
  <si>
    <t>가). 땅깍기(암석절취)</t>
  </si>
  <si>
    <t>중규모진동제어발파, 연암</t>
  </si>
  <si>
    <t>나). 땅깍기(암석절취)</t>
  </si>
  <si>
    <t>일반발파, 연암</t>
  </si>
  <si>
    <t>4). 보통암</t>
  </si>
  <si>
    <t>일반발파, 보통암</t>
  </si>
  <si>
    <t>5). 발파암 소할</t>
  </si>
  <si>
    <t>가). 발파암 소할</t>
  </si>
  <si>
    <t>30CM이상</t>
  </si>
  <si>
    <t>마. 터파기</t>
  </si>
  <si>
    <t>1). 터파기(토사)</t>
  </si>
  <si>
    <t>TYPE-1, 굴착기1.0, 기계100%</t>
  </si>
  <si>
    <t>바. 흙쌓기</t>
  </si>
  <si>
    <t>1). 비다짐</t>
  </si>
  <si>
    <t>가). 흙쌓기(토사)</t>
  </si>
  <si>
    <t>비다짐, 불도저 32톤</t>
  </si>
  <si>
    <t>나). 흙쌓기(풍화암)</t>
  </si>
  <si>
    <t>2). 노상</t>
  </si>
  <si>
    <t>가). 흙쌓기</t>
  </si>
  <si>
    <t>노상, 두께20cm, 다짐도95%이상</t>
  </si>
  <si>
    <t>3). 노체</t>
  </si>
  <si>
    <t>노체, 두께30cm, 다짐도90%이상</t>
  </si>
  <si>
    <t>4). 되메우기</t>
  </si>
  <si>
    <t>사. 흙운반</t>
  </si>
  <si>
    <t>1). 무대(1, 2차)</t>
  </si>
  <si>
    <t>가). 토사</t>
  </si>
  <si>
    <t>2). 도쟈운반</t>
  </si>
  <si>
    <t>가). 흙운반(토사)</t>
  </si>
  <si>
    <t>불도저 32톤, L=15.2m</t>
  </si>
  <si>
    <t>나). 흙운반(풍화암)</t>
  </si>
  <si>
    <t>불도저 32톤, L=19.7m</t>
  </si>
  <si>
    <t>3). 덤프운반(지구내)</t>
  </si>
  <si>
    <t>가). 흙 운반(토사)(지구내)</t>
  </si>
  <si>
    <t>굴삭기1.0㎥+덤프24톤, L=0.145Km</t>
  </si>
  <si>
    <t>4). 덤프운반</t>
  </si>
  <si>
    <t>가). 흙 운반(토사)(구조물유용)</t>
  </si>
  <si>
    <t>굴삭기1.0㎥+덤프24톤, L=0.061Km</t>
  </si>
  <si>
    <t>5). 덤프운반(외부반출)</t>
  </si>
  <si>
    <t>가). 흙 운반(토사)(진입도로)</t>
  </si>
  <si>
    <t>굴삭기1.0㎥+덤프24톤, L=0.234Km</t>
  </si>
  <si>
    <t>나). 흙 운반(토사)(야적장)</t>
  </si>
  <si>
    <t>굴삭기1.0㎥+덤프24톤, L=0.238Km</t>
  </si>
  <si>
    <t>다). 흙운반(풍화암)(야적장)</t>
  </si>
  <si>
    <t>로우더1.72㎥+덤프24톤, L=0.212Km</t>
  </si>
  <si>
    <t>라). 흙운반(연암)(야적장)</t>
  </si>
  <si>
    <t>굴삭기1.0㎥+덤프24톤, L=0.216Km</t>
  </si>
  <si>
    <t>마). 흙운반(보통암)(야적장)</t>
  </si>
  <si>
    <t>굴삭기1.0㎥+덤프24톤, L=0.226Km</t>
  </si>
  <si>
    <t>6). 덤프운반(구조물잔토)</t>
  </si>
  <si>
    <t>가). 흙 운반(토사)(지하저류조)</t>
  </si>
  <si>
    <t>굴삭기1.0㎥+덤프24톤, L=0.093Km</t>
  </si>
  <si>
    <t>아. 규준틀</t>
  </si>
  <si>
    <t>1). 목재규준틀</t>
  </si>
  <si>
    <t>비탈규준틀</t>
  </si>
  <si>
    <t>개</t>
  </si>
  <si>
    <t>2). 목재규준틀</t>
  </si>
  <si>
    <t>수평규준틀</t>
  </si>
  <si>
    <t>자. 수목이식</t>
  </si>
  <si>
    <t>1). 수목관리</t>
  </si>
  <si>
    <t>386주</t>
  </si>
  <si>
    <t>가). 교목 병해방제</t>
  </si>
  <si>
    <t>회</t>
  </si>
  <si>
    <t>나). 교목 충해방제</t>
  </si>
  <si>
    <t>다). 교목관수</t>
  </si>
  <si>
    <t>15회, 인력</t>
  </si>
  <si>
    <t>주</t>
  </si>
  <si>
    <t>라). 예초</t>
  </si>
  <si>
    <t>6회, 배부식기계사용</t>
  </si>
  <si>
    <t>100㎡</t>
  </si>
  <si>
    <t>2). 수목이식(현장---&gt;가이식장)</t>
  </si>
  <si>
    <t>가). 나무(이식)(상수리나무)</t>
  </si>
  <si>
    <t>B=27~31cm</t>
  </si>
  <si>
    <t>나). 나무(이식)(소나무)</t>
  </si>
  <si>
    <t>B=29cm</t>
  </si>
  <si>
    <t>다). 가로지지대</t>
  </si>
  <si>
    <t>B=20cm</t>
  </si>
  <si>
    <t>개소</t>
  </si>
  <si>
    <t>차. 지장물철거</t>
  </si>
  <si>
    <t>1). 콘크리트깨기</t>
  </si>
  <si>
    <t>가). 구조물헐기(철근)</t>
  </si>
  <si>
    <t>대형30CM미만</t>
  </si>
  <si>
    <t>나). 구조물헐기(무근)</t>
  </si>
  <si>
    <t>2). 폐기물상차</t>
  </si>
  <si>
    <t>가). 폐기물상차</t>
  </si>
  <si>
    <t>굴삭기 0.7㎥</t>
  </si>
  <si>
    <t>2. 우 수 공</t>
  </si>
  <si>
    <t>가. 토     공</t>
  </si>
  <si>
    <t>1). 터파기</t>
  </si>
  <si>
    <t>(1). 터파기(토사)</t>
  </si>
  <si>
    <t>(2). 터파기(토사)</t>
  </si>
  <si>
    <t>기계70%+인력30%, 보통토사</t>
  </si>
  <si>
    <t>(3). 터파기(토사)</t>
  </si>
  <si>
    <t>인력100%</t>
  </si>
  <si>
    <t>2). 되메우기</t>
  </si>
  <si>
    <t>가). 되메우기및다짐(토사)</t>
  </si>
  <si>
    <t>나). 되메우기및다짐(토사)</t>
  </si>
  <si>
    <t>기계90%,인력10%,래머 80KG</t>
  </si>
  <si>
    <t>다). 되메우기및다짐(토사)</t>
  </si>
  <si>
    <t>백호0.7+플레이트콤펙터1.5ton</t>
  </si>
  <si>
    <t>3). 잔토처리</t>
  </si>
  <si>
    <t>가). 잔토처리(토사)</t>
  </si>
  <si>
    <t>기계</t>
  </si>
  <si>
    <t>나. 관 로 공</t>
  </si>
  <si>
    <t>1). 원심력철근콘크리트관 접합 및 부설</t>
  </si>
  <si>
    <t>가). 원심력철근콘크리트관 접합및부설(소켓식)</t>
  </si>
  <si>
    <t>Ø 250mm, 시공조건 B</t>
  </si>
  <si>
    <t>m</t>
  </si>
  <si>
    <t>나). 원심력철근콘크리트관 접합및부설(소켓식)</t>
  </si>
  <si>
    <t>Ø 450mm, 시공조건 B</t>
  </si>
  <si>
    <t>다). 원심력철근콘크리트관 접합및부설(소켓식)</t>
  </si>
  <si>
    <t>Ø 600mm, 시공조건 B</t>
  </si>
  <si>
    <t>라). 원심력철근콘크리트관 접합및부설(소켓식)</t>
  </si>
  <si>
    <t>Ø 800mm, 시공조건 B</t>
  </si>
  <si>
    <t>마). 원심력철근콘크리트관 접합및부설(소켓식)</t>
  </si>
  <si>
    <t>Ø 900mm, 시공조건 B</t>
  </si>
  <si>
    <t>바). 원심력철근콘크리트관 접합및부설(소켓식)</t>
  </si>
  <si>
    <t>Ø 1000mm, 시공조건 B</t>
  </si>
  <si>
    <t>사). 원심력철근콘크리트관 접합및부설(소켓식)</t>
  </si>
  <si>
    <t>Ø 1200mm, 시공조건 B</t>
  </si>
  <si>
    <t>2). 관기초공</t>
  </si>
  <si>
    <t>가). 콘크리트기초(90°)</t>
  </si>
  <si>
    <t>(1) 콘크리트타설</t>
  </si>
  <si>
    <t>장비사용, 무근구조물</t>
  </si>
  <si>
    <t>(2) 거푸집</t>
  </si>
  <si>
    <t>합판6회(간단)</t>
  </si>
  <si>
    <t>3). 원심력철근콘크리트관 천공 및 접합</t>
  </si>
  <si>
    <t>가). 하수관 천공 및 접합</t>
  </si>
  <si>
    <t>D450X250</t>
  </si>
  <si>
    <t>나). 하수관 천공 및 접합</t>
  </si>
  <si>
    <t>D600X250</t>
  </si>
  <si>
    <t>다). 하수관 천공 및 접합</t>
  </si>
  <si>
    <t>D800X250</t>
  </si>
  <si>
    <t>라). 하수관 천공 및 접합</t>
  </si>
  <si>
    <t>D1000X250</t>
  </si>
  <si>
    <t>4). 원심력철근콘크리트관 절단</t>
  </si>
  <si>
    <t>가). 원심력철근콘크리트관 절단</t>
  </si>
  <si>
    <t>Ø 250 MM</t>
  </si>
  <si>
    <t>나). 원심력철근콘크리트관 절단</t>
  </si>
  <si>
    <t>Ø 450 MM</t>
  </si>
  <si>
    <t>다). 원심력철근콘크리트관 절단</t>
  </si>
  <si>
    <t>Ø 600 MM</t>
  </si>
  <si>
    <t>라). 원심력철근콘크리트관 절단</t>
  </si>
  <si>
    <t>Ø 800 MM</t>
  </si>
  <si>
    <t>마). 원심력철근콘크리트관 절단</t>
  </si>
  <si>
    <t>Ø 900 MM</t>
  </si>
  <si>
    <t>바). 원심력철근콘크리트관 절단</t>
  </si>
  <si>
    <t>Ø 1000 MM</t>
  </si>
  <si>
    <t>사). 원심력철근콘크리트관 절단</t>
  </si>
  <si>
    <t>Ø 1200 MM</t>
  </si>
  <si>
    <t>5). 관거내부조사 및 경고용테이프</t>
  </si>
  <si>
    <t>가). 하수관내CCTV조사</t>
  </si>
  <si>
    <t>신설(1일:520m)</t>
  </si>
  <si>
    <t>나). 관로경고용테이프</t>
  </si>
  <si>
    <t>200mmx1m</t>
  </si>
  <si>
    <t>다). 하수관 준설</t>
  </si>
  <si>
    <t>흡입식</t>
  </si>
  <si>
    <t>다. 우수맨홀</t>
  </si>
  <si>
    <t>1). 원형맨홀</t>
  </si>
  <si>
    <t>가). 우수 원형1호 맨홀</t>
  </si>
  <si>
    <t>D900, H=2.54m, 차도</t>
  </si>
  <si>
    <t>나). 우수 원형1호 맨홀</t>
  </si>
  <si>
    <t>D900, H=4.59m, 보도</t>
  </si>
  <si>
    <t>다). 우수 원형2호 맨홀</t>
  </si>
  <si>
    <t>D1200, H=2.77m, 차도</t>
  </si>
  <si>
    <t>2). 각형맨홀</t>
  </si>
  <si>
    <t>가). 우수 각형2호 맨홀</t>
  </si>
  <si>
    <t>1200X1200, H=3.20m, 차도</t>
  </si>
  <si>
    <t>나). 우수 각형2호 맨홀</t>
  </si>
  <si>
    <t>1200X1200, H=4.03m, 보도</t>
  </si>
  <si>
    <t>다). 우수 각형3호 맨홀</t>
  </si>
  <si>
    <t>1400X1200, H=4.22m, 차도</t>
  </si>
  <si>
    <t>라). 우수 각형3호 맨홀</t>
  </si>
  <si>
    <t>1400X1200, H=4.67m, 보도</t>
  </si>
  <si>
    <t>마). 우수 각형4호 맨홀</t>
  </si>
  <si>
    <t>1500X1500, H=4.56m, 차도</t>
  </si>
  <si>
    <t>바). 암거 맨홀</t>
  </si>
  <si>
    <t>900X900, H=3.67, 차도</t>
  </si>
  <si>
    <t>3). 맨홀접합부</t>
  </si>
  <si>
    <t>가). 무수축몰탈</t>
  </si>
  <si>
    <t>1:1, 자재비별산</t>
  </si>
  <si>
    <t>나). 수팽창지수재</t>
  </si>
  <si>
    <t>20x10mm</t>
  </si>
  <si>
    <t>라. 빗물받이</t>
  </si>
  <si>
    <t>1). 1호 우수받이</t>
  </si>
  <si>
    <t>가). 1호 우수받이</t>
  </si>
  <si>
    <t>0.3×0.4×0.9m, 스틸그레이팅포함</t>
  </si>
  <si>
    <t>마. PC암거</t>
  </si>
  <si>
    <t>1). PC암거 설치</t>
  </si>
  <si>
    <t>가). PC BOX</t>
  </si>
  <si>
    <t>1@2.0X1.5, 토피 H=1.0m이하</t>
  </si>
  <si>
    <t>나). PC BOX</t>
  </si>
  <si>
    <t>1@2.0X1.5, 토피 H=4.0m미만</t>
  </si>
  <si>
    <t>다). PC BOX</t>
  </si>
  <si>
    <t>1@2.0X1.8, 토피 H=1.0m이하</t>
  </si>
  <si>
    <t>라). PC BOX</t>
  </si>
  <si>
    <t>1@2.0X1.8, 토피 H=4.0m미만</t>
  </si>
  <si>
    <t>2). 기초부</t>
  </si>
  <si>
    <t>가). 콘크리트타설</t>
  </si>
  <si>
    <t>나). 거푸집</t>
  </si>
  <si>
    <t>3). 낙차부</t>
  </si>
  <si>
    <t>바. 집수정</t>
  </si>
  <si>
    <t>1). 집수정</t>
  </si>
  <si>
    <t>0.9x0.9, H=2.38m, 스틸그레이팅</t>
  </si>
  <si>
    <t>사. U형측구</t>
  </si>
  <si>
    <t>1). U형측구</t>
  </si>
  <si>
    <t>300×300, 스틸그레이팅</t>
  </si>
  <si>
    <t>2). 생태측구(U형측구)</t>
  </si>
  <si>
    <t>300×300</t>
  </si>
  <si>
    <t>아. 산마루측구</t>
  </si>
  <si>
    <t>1). 산마루측구</t>
  </si>
  <si>
    <t>500×500, H=450</t>
  </si>
  <si>
    <t>2). 생태측구(산마루측구)</t>
  </si>
  <si>
    <t>500×500</t>
  </si>
  <si>
    <t>자. 비점오염처리시설</t>
  </si>
  <si>
    <t>가). 비점오염저감시설(A유역)</t>
  </si>
  <si>
    <t>WQF=158.2 (m3/hr/Unit), 여과형</t>
  </si>
  <si>
    <t>1). 초기우수처리시설</t>
  </si>
  <si>
    <t>2). 웨어 및 부대공</t>
  </si>
  <si>
    <t>가). 레디믹스콘크리트타설</t>
  </si>
  <si>
    <t>장비사용, 철근구조물</t>
  </si>
  <si>
    <t>나). 레디믹스콘크리트타설</t>
  </si>
  <si>
    <t>다). 거푸집</t>
  </si>
  <si>
    <t>라). 모래부설</t>
  </si>
  <si>
    <t>기초, 인력</t>
  </si>
  <si>
    <t>마). 잡석부설</t>
  </si>
  <si>
    <t>잡석지정, 재료비 제외, 150mm이하</t>
  </si>
  <si>
    <t>바). 구조물헐기(철근)</t>
  </si>
  <si>
    <t>사). 몰탈</t>
  </si>
  <si>
    <t>1:2, 재료비제외</t>
  </si>
  <si>
    <t>아). 앵커볼트 설치</t>
  </si>
  <si>
    <t>케미컬앵커, Ø20mm, 300mm</t>
  </si>
  <si>
    <t>자). 고강성 PVC 이중벽관 접합 및 부설</t>
  </si>
  <si>
    <t>D300mm</t>
  </si>
  <si>
    <t>차). 고강성 PVC 이중벽관 절단</t>
  </si>
  <si>
    <t>카). 스테인리스관 접합및부설</t>
  </si>
  <si>
    <t>D=50mm</t>
  </si>
  <si>
    <t>타). 스테인리스관 나사 접합</t>
  </si>
  <si>
    <t>파). 스테인레스강관</t>
  </si>
  <si>
    <t>D50</t>
  </si>
  <si>
    <t>하). 스테인레스 90도 엘보</t>
  </si>
  <si>
    <t>ea</t>
  </si>
  <si>
    <t>갸). 고강성PVC이중벽관</t>
  </si>
  <si>
    <t>D300mm, 직관</t>
  </si>
  <si>
    <t>본</t>
  </si>
  <si>
    <t>냐). 고강성PVC이중벽관 이음관</t>
  </si>
  <si>
    <t>D300mm, 소켓, 고무링</t>
  </si>
  <si>
    <t>set</t>
  </si>
  <si>
    <t>차. 주요자재 구입 및 운반</t>
  </si>
  <si>
    <t>1). 시멘트</t>
  </si>
  <si>
    <t>가). 보통시멘트</t>
  </si>
  <si>
    <t>40kg/대 (포장품)</t>
  </si>
  <si>
    <t>대</t>
  </si>
  <si>
    <t>나). 무수축시멘트</t>
  </si>
  <si>
    <t>25kg/대 (포장품)</t>
  </si>
  <si>
    <t>다). 시멘트운반</t>
  </si>
  <si>
    <t>L=30km이내</t>
  </si>
  <si>
    <t>2). 골재</t>
  </si>
  <si>
    <t>가). 모래</t>
  </si>
  <si>
    <t>강모래, 현장도착도</t>
  </si>
  <si>
    <t>나). 쇄석자갈</t>
  </si>
  <si>
    <t>Φ25mm, 현장도착도</t>
  </si>
  <si>
    <t>다). 잡석</t>
  </si>
  <si>
    <t>Φ150mm이하, 현장도착도</t>
  </si>
  <si>
    <t>3). 철근</t>
  </si>
  <si>
    <t>가). 이형철근</t>
  </si>
  <si>
    <t>D13M/M   0.995KG/M  SD30A</t>
  </si>
  <si>
    <t>Ton</t>
  </si>
  <si>
    <t>나). 이형철근(고장력철근)</t>
  </si>
  <si>
    <t>HD13M/M   0.995KG/M  SD35,40</t>
  </si>
  <si>
    <t>다). 이형철근(고장력철근)</t>
  </si>
  <si>
    <t>HD16M/M   1.560KG/M  SD35,40</t>
  </si>
  <si>
    <t>라). 이형철근(고장력철근)</t>
  </si>
  <si>
    <t>HD19M/M   2.250KG/M  SD35,40</t>
  </si>
  <si>
    <t>마). 철근운반비</t>
  </si>
  <si>
    <t>L=10km이내</t>
  </si>
  <si>
    <t>바). 고철(고재)</t>
  </si>
  <si>
    <t>중량A</t>
  </si>
  <si>
    <t>4). 레미콘</t>
  </si>
  <si>
    <t>가). 레미콘</t>
  </si>
  <si>
    <t>25-21- 8(Mpa)</t>
  </si>
  <si>
    <t>나). 레미콘</t>
  </si>
  <si>
    <t>25-18-8(Mpa)</t>
  </si>
  <si>
    <t>5). 원심력철근콘크리트관</t>
  </si>
  <si>
    <t>가). 원심력철근콘크리트관(보통2종)</t>
  </si>
  <si>
    <t>250㎜ (소켓식,B형)</t>
  </si>
  <si>
    <t>ｍ</t>
  </si>
  <si>
    <t>나). 원심력철근콘크리트관(보통2종)</t>
  </si>
  <si>
    <t>450㎜ (소켓식,B형)</t>
  </si>
  <si>
    <t>다). 원심력철근콘크리트관(보통2종)</t>
  </si>
  <si>
    <t>600㎜ (소켓식,B형)</t>
  </si>
  <si>
    <t>라). 원심력철근콘크리트관(보통2종)</t>
  </si>
  <si>
    <t>800㎜ (소켓식,B형)</t>
  </si>
  <si>
    <t>마). 원심력철근콘크리트관(보통2종)</t>
  </si>
  <si>
    <t>900㎜ (소켓식,B형)</t>
  </si>
  <si>
    <t>바). 원심력철근콘크리트관(보통2종)</t>
  </si>
  <si>
    <t>1000㎜ (소켓식,B형)</t>
  </si>
  <si>
    <t>사). 원심력철근콘크리트관(보통2종)</t>
  </si>
  <si>
    <t>1200㎜ (소켓식,B형)</t>
  </si>
  <si>
    <t>아). 흄관하차비</t>
  </si>
  <si>
    <t>Ø 250 MM - 차상도</t>
  </si>
  <si>
    <t>자). 흄관하차비</t>
  </si>
  <si>
    <t>Ø 450 MM - 차상도</t>
  </si>
  <si>
    <t>차). 흄관하차비</t>
  </si>
  <si>
    <t>Ø 600 MM - 차상도</t>
  </si>
  <si>
    <t>카). 흄관하차비</t>
  </si>
  <si>
    <t>Ø 800 MM - 차상도</t>
  </si>
  <si>
    <t>타). 흄관하차비</t>
  </si>
  <si>
    <t>Ø 900 MM - 차상도</t>
  </si>
  <si>
    <t>파). 흄관하차비</t>
  </si>
  <si>
    <t>Ø 1000 MM - 차상도</t>
  </si>
  <si>
    <t>하). 흄관하차비</t>
  </si>
  <si>
    <t>Ø 1200 MM - 차상도</t>
  </si>
  <si>
    <t>6). 맨홀뚜껑</t>
  </si>
  <si>
    <t>가). 맨홀뚜껑(주철제)</t>
  </si>
  <si>
    <t>Φ648KS, 하수도용(잠금식)</t>
  </si>
  <si>
    <t>조</t>
  </si>
  <si>
    <t>3. 오 수 공</t>
  </si>
  <si>
    <t>가. 토공사</t>
  </si>
  <si>
    <t>기계90%+인력10%, 보통토사</t>
  </si>
  <si>
    <t>가). 되메우기 및 다짐(토사)</t>
  </si>
  <si>
    <t>기계100%</t>
  </si>
  <si>
    <t>나. 관로공</t>
  </si>
  <si>
    <t>1). 고강성 PVC 이중벽관 부설 및 접합</t>
  </si>
  <si>
    <t>가). 고강성 PVC 이중벽관 접합 및 부설</t>
  </si>
  <si>
    <t>D150mm, 시공조건B</t>
  </si>
  <si>
    <t>나). 고강성 PVC 이중벽관 접합 및 부설</t>
  </si>
  <si>
    <t>D300mm, 시공조건B</t>
  </si>
  <si>
    <t>2). 고강성 PVC 이중벽관 절단</t>
  </si>
  <si>
    <t>가). 고강성 PVC 이중벽관 절단</t>
  </si>
  <si>
    <t>D150mm</t>
  </si>
  <si>
    <t>나). 고강성 PVC 이중벽관 절단</t>
  </si>
  <si>
    <t>3). 관기초</t>
  </si>
  <si>
    <t>가). 모래부설</t>
  </si>
  <si>
    <t>관기초, 인력</t>
  </si>
  <si>
    <t>다. 오수맨홀</t>
  </si>
  <si>
    <t>1). 원형 1호맨홀</t>
  </si>
  <si>
    <t>가). 원형1호 맨홀</t>
  </si>
  <si>
    <t>H=2.63m, 차도</t>
  </si>
  <si>
    <t>2). 맨홀접속부 지수단관</t>
  </si>
  <si>
    <t>가). 고강성 PVC이중벽 지수단관</t>
  </si>
  <si>
    <t>나). 고강성 PVC이중벽 지수단관</t>
  </si>
  <si>
    <t>3). 맨홀접속부 몰탈마감</t>
  </si>
  <si>
    <t>가). 맨홀이음부 몰탈</t>
  </si>
  <si>
    <t>D150, 몰탈 1:2</t>
  </si>
  <si>
    <t>나). 맨홀이음부 몰탈</t>
  </si>
  <si>
    <t>D300, 몰탈 1:2</t>
  </si>
  <si>
    <t>4). 부관맨홀</t>
  </si>
  <si>
    <t>합판4회(보통)</t>
  </si>
  <si>
    <t>다). 고강성 PVC 이중벽관 접합 및 부설</t>
  </si>
  <si>
    <t>D200mm, 시공조건B</t>
  </si>
  <si>
    <t>라). 고강성 PVC 이중벽관 접합 및 부설</t>
  </si>
  <si>
    <t>마). 고강성 PVC 이중벽관 절단</t>
  </si>
  <si>
    <t>D200mm</t>
  </si>
  <si>
    <t>바). 고강성 PVC 이중벽관 절단</t>
  </si>
  <si>
    <t>사). 고강성 PVC 이중벽관 이형관 접합</t>
  </si>
  <si>
    <t>아). 고강성 PVC 이중벽관 이형관 접합</t>
  </si>
  <si>
    <t>자). 고강성PVC이중벽관 이경티</t>
  </si>
  <si>
    <t>D300xD200</t>
  </si>
  <si>
    <t>차). 고강성PVC이중벽관 90 엘보</t>
  </si>
  <si>
    <t>D200</t>
  </si>
  <si>
    <t>마. 부대공</t>
  </si>
  <si>
    <t>1). 하수관내CCTV조사</t>
  </si>
  <si>
    <t>2). 관로경고용테이프설치</t>
  </si>
  <si>
    <t>3). 하수관 공기압시험</t>
  </si>
  <si>
    <t>4). 표식</t>
  </si>
  <si>
    <t>가). 분기관 표식설치</t>
  </si>
  <si>
    <t>ELP D80,L=1.5M</t>
  </si>
  <si>
    <t>나). 분기관표시못 설치</t>
  </si>
  <si>
    <t>D80X110</t>
  </si>
  <si>
    <t>다). 마개</t>
  </si>
  <si>
    <t>150㎜, 파상형경질PE전선관용</t>
  </si>
  <si>
    <t>바. 주요자재 구입 및 운반</t>
  </si>
  <si>
    <t>나). 시멘트운반</t>
  </si>
  <si>
    <t>나). 이형철근</t>
  </si>
  <si>
    <t>D16M/M   1.560KG/M  SD30A</t>
  </si>
  <si>
    <t>다). 철근운반비</t>
  </si>
  <si>
    <t>라). 고철(고재)</t>
  </si>
  <si>
    <t>5). 고강성 PVC 이중벽관</t>
  </si>
  <si>
    <t>가). 고강성PVC이중벽관</t>
  </si>
  <si>
    <t>D150mm, 직관</t>
  </si>
  <si>
    <t>나). 고강성PVC이중벽관</t>
  </si>
  <si>
    <t>D200mm, 직관</t>
  </si>
  <si>
    <t>다). 고강성PVC이중벽관</t>
  </si>
  <si>
    <t>4. 상 수 공</t>
  </si>
  <si>
    <t>나). 되메우기 및 다짐(토사)</t>
  </si>
  <si>
    <t>나. 관로</t>
  </si>
  <si>
    <t>1). 주철관 접합 및 부설</t>
  </si>
  <si>
    <t>가). 주철관 부설 및 접합(KP접합)</t>
  </si>
  <si>
    <t>D100mm, 시공조건 B</t>
  </si>
  <si>
    <t>나). 주철관 부설 및 접합(KP접합)</t>
  </si>
  <si>
    <t>D150mm, 시공조건 B</t>
  </si>
  <si>
    <t>2). 주철관 이형관 접합</t>
  </si>
  <si>
    <t>가). 주철 이형관 접합(KP접합)</t>
  </si>
  <si>
    <t>D100mm</t>
  </si>
  <si>
    <t>나). 주철 이형관 접합(KP접합)</t>
  </si>
  <si>
    <t>다). 주철 이형관 접합(이탈방지압륜)</t>
  </si>
  <si>
    <t>라). 주철 이형관 접합(이탈방지압륜)</t>
  </si>
  <si>
    <t>3). 플랜지 접합</t>
  </si>
  <si>
    <t>가). 플랜지 접합</t>
  </si>
  <si>
    <t>나). 플랜지 접합</t>
  </si>
  <si>
    <t>4). 주철관 절단</t>
  </si>
  <si>
    <t>가). 주철관 절단</t>
  </si>
  <si>
    <t>나). 주철관 절단</t>
  </si>
  <si>
    <t>5). STS관 부설 및 접합</t>
  </si>
  <si>
    <t>가). 스테인리스관 접합및부설</t>
  </si>
  <si>
    <t>D=25mm</t>
  </si>
  <si>
    <t>나). 스테인리스관 접합및부설</t>
  </si>
  <si>
    <t>6). STS관 이형관 접합</t>
  </si>
  <si>
    <t>가). 스테인리스관 나사 접합</t>
  </si>
  <si>
    <t>나). 스테인리스관 나사 접합</t>
  </si>
  <si>
    <t>다). 스테인리스관 슬립인조인트 접합</t>
  </si>
  <si>
    <t>라). 스테인리스관 슬립인조인트 접합</t>
  </si>
  <si>
    <t>7). STS관 절단</t>
  </si>
  <si>
    <t>가). 스테인리스관 절단</t>
  </si>
  <si>
    <t>나). 스테인리스관 절단</t>
  </si>
  <si>
    <t>8). 분기관접합</t>
  </si>
  <si>
    <t>가). 새들붙이분수전(단수천공)</t>
  </si>
  <si>
    <t>D100mmX25mm</t>
  </si>
  <si>
    <t>나). 새들붙이분수전(단수천공)</t>
  </si>
  <si>
    <t>D150mmX25mm</t>
  </si>
  <si>
    <t>다). 새들붙이분수전(단수천공)</t>
  </si>
  <si>
    <t>D150mmX50mm</t>
  </si>
  <si>
    <t>다. 밸브 부설 및 접합</t>
  </si>
  <si>
    <t>1). 청동밸브</t>
  </si>
  <si>
    <t>가). 게이트밸브 설치</t>
  </si>
  <si>
    <t>D=25mm, 청동</t>
  </si>
  <si>
    <t>나). 게이트밸브 설치</t>
  </si>
  <si>
    <t>D=50mm, 청동</t>
  </si>
  <si>
    <t>2). 제수밸브</t>
  </si>
  <si>
    <t>가). 제수변 접합 및 부설</t>
  </si>
  <si>
    <t>100㎜</t>
  </si>
  <si>
    <t>나). 제수변 접합 및 부설</t>
  </si>
  <si>
    <t>150㎜</t>
  </si>
  <si>
    <t>3). 공기밸브</t>
  </si>
  <si>
    <t>가). 공기밸브 접합 및 부설</t>
  </si>
  <si>
    <t>4). 소화전</t>
  </si>
  <si>
    <t>가). 지상식소화전</t>
  </si>
  <si>
    <t>쌍구, D100mm</t>
  </si>
  <si>
    <t>나). 소화전보호틀</t>
  </si>
  <si>
    <t>600x600x750xø76A, Steel</t>
  </si>
  <si>
    <t>다). 주정차금지(문구)</t>
  </si>
  <si>
    <t>(1). 차선도색(융착식,수동식),신설구간</t>
  </si>
  <si>
    <t>문자,기호, 백색</t>
  </si>
  <si>
    <t>(2). 차선도색(융착식,수동식),신설구간</t>
  </si>
  <si>
    <t>문자,기호, 적색</t>
  </si>
  <si>
    <t>라). 소화용수표지판</t>
  </si>
  <si>
    <t>원형</t>
  </si>
  <si>
    <t>5). 유량계</t>
  </si>
  <si>
    <t>가). 초음파유량계설치</t>
  </si>
  <si>
    <t>D150mm, TM/TC포함</t>
  </si>
  <si>
    <t>라. 변실</t>
  </si>
  <si>
    <t>1). 제수변실</t>
  </si>
  <si>
    <t>가). 제수변실</t>
  </si>
  <si>
    <t>2.50×2.00</t>
  </si>
  <si>
    <t>나). 원형제수변실(D100mm)</t>
  </si>
  <si>
    <t>D800, 흄관</t>
  </si>
  <si>
    <t>다). 원형제수변실(D150mm)</t>
  </si>
  <si>
    <t>2). 공기변실</t>
  </si>
  <si>
    <t>가). 공기변실</t>
  </si>
  <si>
    <t>1.20×1.20</t>
  </si>
  <si>
    <t>3). 이토변실</t>
  </si>
  <si>
    <t>가). 이토변실</t>
  </si>
  <si>
    <t>4). 유량계실</t>
  </si>
  <si>
    <t>가). 유량계실</t>
  </si>
  <si>
    <t>3.00×1.80</t>
  </si>
  <si>
    <t>5). 기타</t>
  </si>
  <si>
    <t>가). 지수전 보호통</t>
  </si>
  <si>
    <t>(1). 지수전 보호통</t>
  </si>
  <si>
    <t>D25mm</t>
  </si>
  <si>
    <t>(2). 지수전 보호통</t>
  </si>
  <si>
    <t>D50mm</t>
  </si>
  <si>
    <t>나). 제수변 보호통</t>
  </si>
  <si>
    <t>(1). 제수변보호통설치</t>
  </si>
  <si>
    <t>(2). 제수변보호통설치</t>
  </si>
  <si>
    <t>1). 표식</t>
  </si>
  <si>
    <t>다). 관로경고용테이프</t>
  </si>
  <si>
    <t>2). 통수시험</t>
  </si>
  <si>
    <t>가). 통수시험</t>
  </si>
  <si>
    <t>나). 물사용량</t>
  </si>
  <si>
    <t>일반용</t>
  </si>
  <si>
    <t>3). 수압시험</t>
  </si>
  <si>
    <t>가). 수압시험비</t>
  </si>
  <si>
    <t>나). 수압시험비</t>
  </si>
  <si>
    <t>1). 레미콘</t>
  </si>
  <si>
    <t>25-21-12(Mpa)</t>
  </si>
  <si>
    <t>다). 레미콘</t>
  </si>
  <si>
    <t>2). 철근</t>
  </si>
  <si>
    <t>3). 시멘트</t>
  </si>
  <si>
    <t>4). 골재</t>
  </si>
  <si>
    <t>다). 쇄석자갈</t>
  </si>
  <si>
    <t>Φ40mm, 현장도착도</t>
  </si>
  <si>
    <t>라). 잡석</t>
  </si>
  <si>
    <t>Φ50mm, 현장도착도</t>
  </si>
  <si>
    <t>마). 잡석</t>
  </si>
  <si>
    <t>5). 주철관</t>
  </si>
  <si>
    <t>가). 수도용닥타일주철관(직관)</t>
  </si>
  <si>
    <t>100㎜  x 5ｍ (KP시멘트,2종)</t>
  </si>
  <si>
    <t>나). 수도용닥타일주철관(직관)</t>
  </si>
  <si>
    <t>150㎜  x 6ｍ (KP시멘트,2종)</t>
  </si>
  <si>
    <t>다). 수도용닥타일이형관</t>
  </si>
  <si>
    <t>시멘트라이닝</t>
  </si>
  <si>
    <t>kg</t>
  </si>
  <si>
    <t>라). 주철관운반비</t>
  </si>
  <si>
    <t>공장---&gt;현장, L=160KM</t>
  </si>
  <si>
    <t>ton</t>
  </si>
  <si>
    <t>6). 스테인리스강관</t>
  </si>
  <si>
    <t>가). 스테인레스강관</t>
  </si>
  <si>
    <t>D25</t>
  </si>
  <si>
    <t>나). 스테인레스강관</t>
  </si>
  <si>
    <t>다). 분수전연결용주름마디강관(STS)</t>
  </si>
  <si>
    <t>D25 × 1.0</t>
  </si>
  <si>
    <t>라). 분수전연결용주름마디강관(STS)</t>
  </si>
  <si>
    <t>D50 × 1.0</t>
  </si>
  <si>
    <t>마). 밸브소켓(슬립인조인트)</t>
  </si>
  <si>
    <t>바). 밸브소켓(슬립인조인트)</t>
  </si>
  <si>
    <t>사). 연결유니온</t>
  </si>
  <si>
    <t>아). 연결유니온</t>
  </si>
  <si>
    <t>자). 프러그(슬립인조인트)</t>
  </si>
  <si>
    <t>차). 프러그(슬립인조인트)</t>
  </si>
  <si>
    <t>7). 제수밸브</t>
  </si>
  <si>
    <t>가). 소프트실제수밸브</t>
  </si>
  <si>
    <t>나). 소프트실제수밸브</t>
  </si>
  <si>
    <t>다). 급속공기밸브(수도용)</t>
  </si>
  <si>
    <t>100A</t>
  </si>
  <si>
    <t>8). 맨홀뚜껑</t>
  </si>
  <si>
    <t>Φ648x250, KS, 상수도용</t>
  </si>
  <si>
    <t>5. 포 장 공</t>
  </si>
  <si>
    <t>가). 구조물터파기(토사)</t>
  </si>
  <si>
    <t>기계90%+인력10%,래머 80KG</t>
  </si>
  <si>
    <t>나. 아스콘포장</t>
  </si>
  <si>
    <t>1). 아스팔트 표층 기계포설(대형장비)</t>
  </si>
  <si>
    <t>3.0m≤B, T=5cm</t>
  </si>
  <si>
    <t>2). 아스팔트 중간층 기계포설(대형장비)</t>
  </si>
  <si>
    <t>3). 아스팔트 기층 기계포설(대형장비)</t>
  </si>
  <si>
    <t>3.0m≤B, T=15cm, 2회</t>
  </si>
  <si>
    <t>4). 텍코팅(기계식)</t>
  </si>
  <si>
    <t>RSC-4:45ℓ/a, 2회</t>
  </si>
  <si>
    <t>5). 텍코팅(기계식)</t>
  </si>
  <si>
    <t>RSC-4:45ℓ/a</t>
  </si>
  <si>
    <t>6). 프라임코팅(기계식)</t>
  </si>
  <si>
    <t>RSC-3:150ℓ/a</t>
  </si>
  <si>
    <t>7). 보조기층(기계시공)</t>
  </si>
  <si>
    <t>본선포장, T=20cm</t>
  </si>
  <si>
    <t>다. 보도포장</t>
  </si>
  <si>
    <t>1). 보도포장(투수)</t>
  </si>
  <si>
    <t>가). 보도용블럭포장(소형)</t>
  </si>
  <si>
    <t>A-TYPE, T=8㎝이하</t>
  </si>
  <si>
    <t>나). 보조기층(인력식)</t>
  </si>
  <si>
    <t>소규모장비</t>
  </si>
  <si>
    <t>라. 장애자용블럭포장</t>
  </si>
  <si>
    <t>1). 보도포장(장애인용블럭)</t>
  </si>
  <si>
    <t>가). 보도용블럭포장(유도블록)</t>
  </si>
  <si>
    <t>A-TYPE, T=6㎝이하</t>
  </si>
  <si>
    <t>나). 보도용블럭포장(점자블록)</t>
  </si>
  <si>
    <t>다). 보조기층(인력식)</t>
  </si>
  <si>
    <t>T=10cm, 소규모장비</t>
  </si>
  <si>
    <t>마. 미끄럼방지포장</t>
  </si>
  <si>
    <t>1). 미끄럼방지공</t>
  </si>
  <si>
    <t>전면식</t>
  </si>
  <si>
    <t>바. 과속방지턱</t>
  </si>
  <si>
    <t>5개소</t>
  </si>
  <si>
    <t>3.0m≤B, T=10cm</t>
  </si>
  <si>
    <t>2). 텍코팅(기계식)</t>
  </si>
  <si>
    <t>3). 차선도색(융착식,수동식),신설구간</t>
  </si>
  <si>
    <t>백색-실선</t>
  </si>
  <si>
    <t>4). 차선도색(융착식,수동식),신설구간</t>
  </si>
  <si>
    <t>황색-실선</t>
  </si>
  <si>
    <t>5). 차선도색(차로밑그림),신설구간</t>
  </si>
  <si>
    <t>실선</t>
  </si>
  <si>
    <t>사. 고원식횡단보도</t>
  </si>
  <si>
    <t>2개소</t>
  </si>
  <si>
    <t>3). 미끄럼방지공</t>
  </si>
  <si>
    <t>횡단보도,주차장</t>
  </si>
  <si>
    <t>5). 차선도색(융착식,수동식),신설구간</t>
  </si>
  <si>
    <t>문자,기호</t>
  </si>
  <si>
    <t>6). 차선도색(차로밑그림),신설구간</t>
  </si>
  <si>
    <t>7). 차선도색(차로밑그림),신설구간</t>
  </si>
  <si>
    <t>아. 경계석설치</t>
  </si>
  <si>
    <t>1). 보차도경계석(화강석)</t>
  </si>
  <si>
    <t>가). 보차도경계석 설치</t>
  </si>
  <si>
    <t>180×200×1000, A-TYPE(직선구간)</t>
  </si>
  <si>
    <t>나). 보차도경계석 설치</t>
  </si>
  <si>
    <t>180×200×1000, A-TYPE(곡선구간)</t>
  </si>
  <si>
    <t>다). 보차도경계석 설치(경사)</t>
  </si>
  <si>
    <t>180×200~100×1000, A-TYPE(곡선구간)</t>
  </si>
  <si>
    <t>라). 보차도경계석 설치(낮춤)</t>
  </si>
  <si>
    <t>180×100×1000, A-TYPE(곡선구간)</t>
  </si>
  <si>
    <t>2). 도로경계석(화강석)</t>
  </si>
  <si>
    <t>가). 도로경계석 설치</t>
  </si>
  <si>
    <t>120×120×1000, A-TYPE(직선구간)</t>
  </si>
  <si>
    <t>자. 교통시설공</t>
  </si>
  <si>
    <t>1). 교통안전표지판</t>
  </si>
  <si>
    <t>가). 교통안전표지판(삼각)(과속방지턱)</t>
  </si>
  <si>
    <t>1변 900 MM</t>
  </si>
  <si>
    <t>나). 교통안전표지판(오각)(횡단보도)</t>
  </si>
  <si>
    <t>600×200×600mm, 횡단보도</t>
  </si>
  <si>
    <t>다). 교통안전표지판(오각+삼각)(횡단보도+과속방지턱)</t>
  </si>
  <si>
    <t>1변 900mm+1변 900mm,600×200×600mm</t>
  </si>
  <si>
    <t>라). 교통안전표지판(사각)(주차장)</t>
  </si>
  <si>
    <t>600mmx600mm</t>
  </si>
  <si>
    <t>마). 교통안전표지판(삼각)(오르막경사)</t>
  </si>
  <si>
    <t>바). 교통안전표지판(삼각)(내리막경사)</t>
  </si>
  <si>
    <t>사). 교통안전표지판(삼각+삼각)(우로굽은도로+과속방지턱)</t>
  </si>
  <si>
    <t>1변 900 MM+1변 900 MM</t>
  </si>
  <si>
    <t>아). 교통안전표지판(오각+삼각)(횡단보도+좌로굽은도로)</t>
  </si>
  <si>
    <t>자). 갈매기표지판</t>
  </si>
  <si>
    <t>AL 450×600</t>
  </si>
  <si>
    <t>2). 노면표시</t>
  </si>
  <si>
    <t>가). 차선도색(페인트,기계식),신설구간</t>
  </si>
  <si>
    <t>나). 차선도색(페인트,기계식),신설구간</t>
  </si>
  <si>
    <t>다). 차선도색(페인트,기계식),신설구간</t>
  </si>
  <si>
    <t>백색-파선</t>
  </si>
  <si>
    <t>라). 차선도색(융착식,수동식),신설구간</t>
  </si>
  <si>
    <t>마). 차선도색(융착식,수동식),신설구간</t>
  </si>
  <si>
    <t>바). 차선도색(차로밑그림),신설구간</t>
  </si>
  <si>
    <t>사). 차선도색(차로밑그림),신설구간</t>
  </si>
  <si>
    <t>파선</t>
  </si>
  <si>
    <t>아). 차선도색(차로밑그림),신설구간</t>
  </si>
  <si>
    <t>자). 차선도색(차로밑그림),신설구간</t>
  </si>
  <si>
    <t>3). 부대공</t>
  </si>
  <si>
    <t>가). 도로표지병설치</t>
  </si>
  <si>
    <t>양면</t>
  </si>
  <si>
    <t>나). 도로반사경(1면)</t>
  </si>
  <si>
    <t>Ø 800 mm, STS</t>
  </si>
  <si>
    <t>다). 탄성볼라드</t>
  </si>
  <si>
    <t>Ø130×1,050mm</t>
  </si>
  <si>
    <t>라). 시멘트운반</t>
  </si>
  <si>
    <t>차. 주요자재 구입</t>
  </si>
  <si>
    <t>2). 레미콘</t>
  </si>
  <si>
    <t>25-18- 8(Mpa)</t>
  </si>
  <si>
    <t>3). 보통시멘트</t>
  </si>
  <si>
    <t>4). 모래</t>
  </si>
  <si>
    <t>5). 혼합골재(보조기층용)</t>
  </si>
  <si>
    <t>6). 혼합골재(보조기층용)</t>
  </si>
  <si>
    <t>Φ80mm이하, 현장도착도</t>
  </si>
  <si>
    <t>7). 혼합골재(보조기층용)(순환골재)</t>
  </si>
  <si>
    <t>8). 아스팔트(유제)</t>
  </si>
  <si>
    <t>RS(C)-3 (200ℓ)</t>
  </si>
  <si>
    <t>D/M</t>
  </si>
  <si>
    <t>9). 아스팔트(유제)</t>
  </si>
  <si>
    <t>RS(C)-4 (200ℓ)</t>
  </si>
  <si>
    <t>10). 아스팔트콘크리트</t>
  </si>
  <si>
    <t>#78  표층용</t>
  </si>
  <si>
    <t>11). 아스팔트콘크리트</t>
  </si>
  <si>
    <t>#67  중간층용</t>
  </si>
  <si>
    <t>12). 아스팔트콘크리트</t>
  </si>
  <si>
    <t>#467 기층용</t>
  </si>
  <si>
    <t>13). 아스팔트콘크리트(재생)</t>
  </si>
  <si>
    <t>#467 기층용(안정처리제)</t>
  </si>
  <si>
    <t>14). 보차도경계석(화강석)</t>
  </si>
  <si>
    <t>180x200x1000㎜ (직선)</t>
  </si>
  <si>
    <t>15). 보차도경계석(화강석)</t>
  </si>
  <si>
    <t>180x200x1000㎜ (곡선)</t>
  </si>
  <si>
    <t>16). 횡단보도경계석(화강석)(경사)</t>
  </si>
  <si>
    <t>180x200∼100x1000㎜ (곡선경사)</t>
  </si>
  <si>
    <t>17). 횡단보도경계석(화강석)(낮춤)</t>
  </si>
  <si>
    <t>180x100x1000㎜ (곡선)</t>
  </si>
  <si>
    <t>18). 도로경계석(화강석)</t>
  </si>
  <si>
    <t>120x120x1000㎜ (직선), 국산</t>
  </si>
  <si>
    <t>19). 보도블록(인조화강)</t>
  </si>
  <si>
    <t>200x200x60, 투수</t>
  </si>
  <si>
    <t>20). 장애인용보도 선형블록</t>
  </si>
  <si>
    <t>300x300x60, 고강도, 논슬립</t>
  </si>
  <si>
    <t>21). 장애인용보도 점형블록</t>
  </si>
  <si>
    <t>6. 구조물공</t>
  </si>
  <si>
    <t>가. RC옹벽</t>
  </si>
  <si>
    <t>1). 콘크리트타설</t>
  </si>
  <si>
    <t>2). 콘크리트타설</t>
  </si>
  <si>
    <t>3). 철근가공조립(현장)</t>
  </si>
  <si>
    <t>TYPE-1-1</t>
  </si>
  <si>
    <t>4). 문양거푸집</t>
  </si>
  <si>
    <t>판넬</t>
  </si>
  <si>
    <t>5). 거푸집</t>
  </si>
  <si>
    <t>6). 거푸집</t>
  </si>
  <si>
    <t>7). 강관비계</t>
  </si>
  <si>
    <t>10m이하-3개월사용</t>
  </si>
  <si>
    <t>8). 스페이셔설치</t>
  </si>
  <si>
    <t>수직</t>
  </si>
  <si>
    <t>9). 스페이셔설치</t>
  </si>
  <si>
    <t>수평</t>
  </si>
  <si>
    <t>10). PVC관 부설 및 접합</t>
  </si>
  <si>
    <t>Ø 100 MM - VG2 일반관</t>
  </si>
  <si>
    <t>11). 드레인보드 설치</t>
  </si>
  <si>
    <t>옹벽 배수용</t>
  </si>
  <si>
    <t>12). 부직포설치</t>
  </si>
  <si>
    <t>13). 신축이음(Joint filler)</t>
  </si>
  <si>
    <t>t=20mm</t>
  </si>
  <si>
    <t>14). DOWEL BAR(옹벽용)</t>
  </si>
  <si>
    <t>Ø32×800(기성품)</t>
  </si>
  <si>
    <t>15). 실링마감(실런트)</t>
  </si>
  <si>
    <t>20×25</t>
  </si>
  <si>
    <t>16). 기초지정</t>
  </si>
  <si>
    <t>잡석지정, 재료비 제외</t>
  </si>
  <si>
    <t>17). 부대공</t>
  </si>
  <si>
    <t>가). 철근운반비</t>
  </si>
  <si>
    <t>나). 고철(고재)</t>
  </si>
  <si>
    <t>18). 주요자재</t>
  </si>
  <si>
    <t>25-24-12(Mpa)</t>
  </si>
  <si>
    <t>25-21-8(Mpa)</t>
  </si>
  <si>
    <t>HD13M/M 0.995KG/M  SD40</t>
  </si>
  <si>
    <t>TON</t>
  </si>
  <si>
    <t>마). 이형철근(고장력철근)</t>
  </si>
  <si>
    <t>HD16M/M 1.560KG/M  SD40</t>
  </si>
  <si>
    <t>바). 이형철근(고장력철근)</t>
  </si>
  <si>
    <t>HD19M/M 2.250KG/M  SD40</t>
  </si>
  <si>
    <t>사). 이형철근(고장력철근)</t>
  </si>
  <si>
    <t>HD22M/M 3.040KG/M  SD40</t>
  </si>
  <si>
    <t>나. 보강토옹벽</t>
  </si>
  <si>
    <t>1). 토공 및 기초</t>
  </si>
  <si>
    <t>가). 터파기(토사)</t>
  </si>
  <si>
    <t>다). 잔토처리(토사)</t>
  </si>
  <si>
    <t>라). 거푸집</t>
  </si>
  <si>
    <t>마). 콘크리트타설</t>
  </si>
  <si>
    <t>2). 보강토 옹벽설치</t>
  </si>
  <si>
    <t>가). 보강토옹벽(마감형블럭)</t>
  </si>
  <si>
    <t>450x410x125</t>
  </si>
  <si>
    <t>나). 보강토옹벽(표준형블럭)</t>
  </si>
  <si>
    <t>550x420x250</t>
  </si>
  <si>
    <t>3). 뒷채움</t>
  </si>
  <si>
    <t>가). 보강토옹벽 뒤채움및다짐</t>
  </si>
  <si>
    <t>4). 자재운반</t>
  </si>
  <si>
    <t>가). 보강토옹벽(마감형) 운반비</t>
  </si>
  <si>
    <t>공장---&gt;현장, L=290KM</t>
  </si>
  <si>
    <t>나). 보강토옹벽(표준형) 운반비</t>
  </si>
  <si>
    <t>5). 주요자재</t>
  </si>
  <si>
    <t>다). PE 유공관(배수유공관)</t>
  </si>
  <si>
    <t>라). 부직포</t>
  </si>
  <si>
    <t>500g/cm2, 사면보호용</t>
  </si>
  <si>
    <t>마). 보강토옹벽 - 마감블럭</t>
  </si>
  <si>
    <t>바). 보강토옹벽 - 기본블럭</t>
  </si>
  <si>
    <t>사). 보강토옹벽 그리드</t>
  </si>
  <si>
    <t>지오그리드 6T</t>
  </si>
  <si>
    <t>아). 보강토옹벽 그리드</t>
  </si>
  <si>
    <t>지오그리드 8T</t>
  </si>
  <si>
    <t>7. 부 대 공</t>
  </si>
  <si>
    <t>가. 토공</t>
  </si>
  <si>
    <t>가). 되메우기및다짐</t>
  </si>
  <si>
    <t>나). 되메우기(토사)</t>
  </si>
  <si>
    <t>나. 가설방음판넬</t>
  </si>
  <si>
    <t>1). 가설방음판넬</t>
  </si>
  <si>
    <t>H=3.0+1.0m, 34개월</t>
  </si>
  <si>
    <t>다. 임시침사지</t>
  </si>
  <si>
    <t>1). 비닐깔기(PE필름)</t>
  </si>
  <si>
    <t>t=0.1mm</t>
  </si>
  <si>
    <t>2). 톤마대 쌓기 및 헐기</t>
  </si>
  <si>
    <t>0.7㎥/개</t>
  </si>
  <si>
    <t>3). 흄관 접합및부설(소켓식)</t>
  </si>
  <si>
    <t>Ø 700 MM</t>
  </si>
  <si>
    <t>4). 퇴적토준설</t>
  </si>
  <si>
    <t>백호0.7㎥, 수중</t>
  </si>
  <si>
    <t>라. 가배수로</t>
  </si>
  <si>
    <t>2). PP마대 쌓기 및 헐기</t>
  </si>
  <si>
    <t>45×75cm(인력)</t>
  </si>
  <si>
    <t>3). 퇴적토준설</t>
  </si>
  <si>
    <t>마. 세륜세차시설</t>
  </si>
  <si>
    <t>1). 세륜세차시설 설치및해체</t>
  </si>
  <si>
    <t>자동세륜기, 34개월</t>
  </si>
  <si>
    <t>2). 세륜세차시설 운영</t>
  </si>
  <si>
    <t>바. 폐유저장소</t>
  </si>
  <si>
    <t>1). 폐유류저장소</t>
  </si>
  <si>
    <t>2.4MX2.4M</t>
  </si>
  <si>
    <t>사. 현장사무실</t>
  </si>
  <si>
    <t>1). 가설건물</t>
  </si>
  <si>
    <t>가). 감리감독자 사무실</t>
  </si>
  <si>
    <t>조립식, 34개월</t>
  </si>
  <si>
    <t>나). 공사도급자 사무실</t>
  </si>
  <si>
    <t>다). 창고</t>
  </si>
  <si>
    <t>라). 시험실</t>
  </si>
  <si>
    <t>마). 도급자 숙소</t>
  </si>
  <si>
    <t>바). 복지시설</t>
  </si>
  <si>
    <t>사). 오수정화조</t>
  </si>
  <si>
    <t>8PPM, 50인용</t>
  </si>
  <si>
    <t>아. 공사현장살수</t>
  </si>
  <si>
    <t>1). 살수(물탱크 16000ℓ)</t>
  </si>
  <si>
    <t>32개월</t>
  </si>
  <si>
    <t>a</t>
  </si>
  <si>
    <t>자). 소음측정기</t>
  </si>
  <si>
    <t>1). 전광판 소음측정기</t>
  </si>
  <si>
    <t>800x1200, 현장설치도</t>
  </si>
  <si>
    <t>차. 시공상세도</t>
  </si>
  <si>
    <t>1). 시공상세도</t>
  </si>
  <si>
    <t>단순</t>
  </si>
  <si>
    <t>매</t>
  </si>
  <si>
    <t>2). 시공상세도</t>
  </si>
  <si>
    <t>보통</t>
  </si>
  <si>
    <t>3). 시공상세도</t>
  </si>
  <si>
    <t>복잡</t>
  </si>
  <si>
    <t>카. 주요자재 및 운반비</t>
  </si>
  <si>
    <t>1). 골재</t>
  </si>
  <si>
    <t>가). 혼합골재</t>
  </si>
  <si>
    <t>나). 철근운반비</t>
  </si>
  <si>
    <t>L=10Km</t>
  </si>
  <si>
    <t>다). 고철(고재)</t>
  </si>
  <si>
    <t>3). 레미콘</t>
  </si>
  <si>
    <t>25-21-15(Mpa)</t>
  </si>
  <si>
    <t>4). 흄관</t>
  </si>
  <si>
    <t>700㎜ (소켓식,B형)</t>
  </si>
  <si>
    <t>나). 흄관하차비</t>
  </si>
  <si>
    <t>Ø 700 MM - 차상도</t>
  </si>
  <si>
    <t>5). 운반비</t>
  </si>
  <si>
    <t>8. 하수처리장</t>
  </si>
  <si>
    <t>35톤/day, SMART-SBR공법</t>
  </si>
  <si>
    <t>가. 토목공사</t>
  </si>
  <si>
    <t>1). 토공</t>
  </si>
  <si>
    <t>나). 뒤채움 및 다짐</t>
  </si>
  <si>
    <t>대형장비</t>
  </si>
  <si>
    <t>2). 구조물공</t>
  </si>
  <si>
    <t>가). 콘크리트타설(펌프차,철근)</t>
  </si>
  <si>
    <t>S:15cm, TYPE-2</t>
  </si>
  <si>
    <t>나). 콘크리트타설</t>
  </si>
  <si>
    <t>합판3회(복잡)</t>
  </si>
  <si>
    <t>마). 유로폼 조립.해체</t>
  </si>
  <si>
    <t>벽체</t>
  </si>
  <si>
    <t>바). 철근가공조립(현장)</t>
  </si>
  <si>
    <t>TYPE-2-1</t>
  </si>
  <si>
    <t>사). 시스템비계</t>
  </si>
  <si>
    <t>아). 시스템동바리</t>
  </si>
  <si>
    <t>공/㎥</t>
  </si>
  <si>
    <t>자). 스페이셔설치</t>
  </si>
  <si>
    <t>차). 스페이셔설치</t>
  </si>
  <si>
    <t>카). 콘크리트치핑</t>
  </si>
  <si>
    <t>타). 지수판 설치(PVC 용접)</t>
  </si>
  <si>
    <t>200×5t</t>
  </si>
  <si>
    <t>파). 외부방수(폴리우레아도막방수)</t>
  </si>
  <si>
    <t>t=2.0mm, 현장설치도</t>
  </si>
  <si>
    <t>m2</t>
  </si>
  <si>
    <t>하). 내부방수(세라믹코팅제)</t>
  </si>
  <si>
    <t>현장설치도</t>
  </si>
  <si>
    <t>갸). 바닥방수(에폭시)</t>
  </si>
  <si>
    <t>3). 주요자재 및 운반</t>
  </si>
  <si>
    <t>25-27-15(Mpa)</t>
  </si>
  <si>
    <t>바). 철근운반비</t>
  </si>
  <si>
    <t>L=10Km 이내</t>
  </si>
  <si>
    <t>사). 고철(고재)</t>
  </si>
  <si>
    <t>나. 건축공사</t>
  </si>
  <si>
    <t>다. 기계설비공사</t>
  </si>
  <si>
    <t>라. 전기 및 계측 공사</t>
  </si>
  <si>
    <t>마. 처리장 시운전비</t>
  </si>
  <si>
    <t>바. 부대공사</t>
  </si>
  <si>
    <t>나). 구조물터파기(토사)</t>
  </si>
  <si>
    <t>다). 터파기(토사)</t>
  </si>
  <si>
    <t>라). 되메우기 및 다짐(토사)</t>
  </si>
  <si>
    <t>마). 잔토처리(토사)</t>
  </si>
  <si>
    <t>2). 아스콘포장</t>
  </si>
  <si>
    <t>가). 아스팔트 표층 기계포설(대형장비)</t>
  </si>
  <si>
    <t>나). 아스팔트 기층 기계포설(대형장비)</t>
  </si>
  <si>
    <t>3.0m≤B, T=13cm</t>
  </si>
  <si>
    <t>다). 텍코팅(기계식)</t>
  </si>
  <si>
    <t>라). 프라임코팅(기계식)</t>
  </si>
  <si>
    <t>마). 보조기층(기계시공)</t>
  </si>
  <si>
    <t>본선포장, T=22cm</t>
  </si>
  <si>
    <t>3). 보차도경계석(화강석)</t>
  </si>
  <si>
    <t>4). 노면표시</t>
  </si>
  <si>
    <t>5). 우수공</t>
  </si>
  <si>
    <t>다). 1호 우수받이</t>
  </si>
  <si>
    <t>라). 집수정</t>
  </si>
  <si>
    <t>0.6x0.6, H=1.70, 스틸그레이팅</t>
  </si>
  <si>
    <t>6). 메쉬휀스</t>
  </si>
  <si>
    <t>가). 메쉬I휀스</t>
  </si>
  <si>
    <t>W2.0×H1.5m, 기초형, 현장설치도</t>
  </si>
  <si>
    <t>7). 메쉬휀스 출입문</t>
  </si>
  <si>
    <t>가). 메쉬I휀스 출입문</t>
  </si>
  <si>
    <t>W2.0×H1.8m(쌍문), 기초형, 현장설치도</t>
  </si>
  <si>
    <t>8). 주요자재 및 운반</t>
  </si>
  <si>
    <t>나). 혼합골재(보조기층용)(순환골재)</t>
  </si>
  <si>
    <t>다). 아스팔트(유제)</t>
  </si>
  <si>
    <t>라). 아스팔트(유제)</t>
  </si>
  <si>
    <t>마). 아스팔트콘크리트</t>
  </si>
  <si>
    <t>바). 아스팔트콘크리트</t>
  </si>
  <si>
    <t>사). 보차도경계석(화강석)</t>
  </si>
  <si>
    <t>아). 보통시멘트</t>
  </si>
  <si>
    <t>자). 시멘트운반</t>
  </si>
  <si>
    <t>차). 원심력철근콘크리트관(보통2종)</t>
  </si>
  <si>
    <t>1). 오수처리시설 건축공사</t>
  </si>
  <si>
    <t>1). 하수처리시설 기자재설치비</t>
  </si>
  <si>
    <t>2). 하수처리시설 기자재비</t>
  </si>
  <si>
    <t>3). 하수처리시설 배관설치비</t>
  </si>
  <si>
    <t>배관지지대포함</t>
  </si>
  <si>
    <t>4). 하수처리시설 배관자재비</t>
  </si>
  <si>
    <t>5). 하수처리시설 사급자재비</t>
  </si>
  <si>
    <t>1). 전기 및 계측 공사</t>
  </si>
  <si>
    <t>2). 계측제어설비 및 영상감시설비</t>
  </si>
  <si>
    <t>1). 하수처리시설 시운전비</t>
  </si>
  <si>
    <t>4개월</t>
  </si>
  <si>
    <t>9. 지하저류조</t>
  </si>
  <si>
    <t>1440톤</t>
  </si>
  <si>
    <t>나. 블록공사</t>
  </si>
  <si>
    <t>1). 석분깔기</t>
  </si>
  <si>
    <t>T100</t>
  </si>
  <si>
    <t>2). 조립식 블록형 빗물저류시설</t>
  </si>
  <si>
    <t>m3</t>
  </si>
  <si>
    <t>3). 매트부설</t>
  </si>
  <si>
    <t>1차 200g/m2</t>
  </si>
  <si>
    <t>4). 유지관리용 PC 점검구 설치</t>
  </si>
  <si>
    <t>1000x1000x1000</t>
  </si>
  <si>
    <t>5). PC 슬래브 설치</t>
  </si>
  <si>
    <t>1000x1500xT200</t>
  </si>
  <si>
    <t>다. 하차비</t>
  </si>
  <si>
    <t>1). 빗물저류블록 하차비</t>
  </si>
  <si>
    <t>1000x1000x1160</t>
  </si>
  <si>
    <t>10. 조 경 공</t>
  </si>
  <si>
    <t>가. 소공원 1</t>
  </si>
  <si>
    <t>1). 식재</t>
  </si>
  <si>
    <t>가). 소나무</t>
  </si>
  <si>
    <t>H4.0xW2.0xR15</t>
  </si>
  <si>
    <t>나). 스트로브잣</t>
  </si>
  <si>
    <t>H3.5xW1.8</t>
  </si>
  <si>
    <t>다). 느티나무</t>
  </si>
  <si>
    <t>H4.0xR15</t>
  </si>
  <si>
    <t>라). 배롱나무</t>
  </si>
  <si>
    <t>H3.0xR10</t>
  </si>
  <si>
    <t>마). 왕벚나무</t>
  </si>
  <si>
    <t>H3.5xB8</t>
  </si>
  <si>
    <t>바). 청단풍</t>
  </si>
  <si>
    <t>H3.0xR8</t>
  </si>
  <si>
    <t>사). 이팝나무</t>
  </si>
  <si>
    <t>아). 복자기</t>
  </si>
  <si>
    <t>H3.5xR8</t>
  </si>
  <si>
    <t>자). 영산홍</t>
  </si>
  <si>
    <t>H0.3xW0.3</t>
  </si>
  <si>
    <t>차). 산철쭉</t>
  </si>
  <si>
    <t>카). 잔디(평떼)</t>
  </si>
  <si>
    <t>0.3x0.3x0.03</t>
  </si>
  <si>
    <t>2). 시설물</t>
  </si>
  <si>
    <t>가). 생활체육시설A</t>
  </si>
  <si>
    <t>1850*840*H1760</t>
  </si>
  <si>
    <t>EA</t>
  </si>
  <si>
    <t>나). 생활체육시설B</t>
  </si>
  <si>
    <t>2836*600*H1760</t>
  </si>
  <si>
    <t>다). 생활체육시설C</t>
  </si>
  <si>
    <t>2200*750*H1760</t>
  </si>
  <si>
    <t>라). 생활체육시설D</t>
  </si>
  <si>
    <t>2470*750*H1760</t>
  </si>
  <si>
    <t>마). 파고라A</t>
  </si>
  <si>
    <t>5000*3200*H2700</t>
  </si>
  <si>
    <t>바). 등의자</t>
  </si>
  <si>
    <t>1600*533*H766</t>
  </si>
  <si>
    <t>사). 플랜터형의자</t>
  </si>
  <si>
    <t>2200*2200*H700</t>
  </si>
  <si>
    <t>3). 포장</t>
  </si>
  <si>
    <t>가). 투수블럭포장 A</t>
  </si>
  <si>
    <t>T60</t>
  </si>
  <si>
    <t>나). 투수블럭포장 B</t>
  </si>
  <si>
    <t>T80</t>
  </si>
  <si>
    <t>다). 흙콘크리트포장</t>
  </si>
  <si>
    <t>T150</t>
  </si>
  <si>
    <t>라). 흙콘크리트거푸집</t>
  </si>
  <si>
    <t>H150</t>
  </si>
  <si>
    <t>마). 야자매트</t>
  </si>
  <si>
    <t>T35</t>
  </si>
  <si>
    <t>바). 녹지경계석(직선)</t>
  </si>
  <si>
    <t>150x150x1000</t>
  </si>
  <si>
    <t>사). 포장경계석(직선)</t>
  </si>
  <si>
    <t>100x100x1000</t>
  </si>
  <si>
    <t>4). 우수</t>
  </si>
  <si>
    <t>가). 집수정</t>
  </si>
  <si>
    <t>600*600*H900</t>
  </si>
  <si>
    <t>나). 맹암거(간선)</t>
  </si>
  <si>
    <t>D300</t>
  </si>
  <si>
    <t>M</t>
  </si>
  <si>
    <t>다). 맹암거(지선)</t>
  </si>
  <si>
    <t>D150</t>
  </si>
  <si>
    <t>라). 우수관</t>
  </si>
  <si>
    <t>마). 산마루측구</t>
  </si>
  <si>
    <t>W300</t>
  </si>
  <si>
    <t>나. 소공원 2</t>
  </si>
  <si>
    <t>아). 꽃사과</t>
  </si>
  <si>
    <t>자). 복자기</t>
  </si>
  <si>
    <t>차). 모감주나무</t>
  </si>
  <si>
    <t>카). 영산홍</t>
  </si>
  <si>
    <t>타). 산철쭉</t>
  </si>
  <si>
    <t>파). 조팝나무</t>
  </si>
  <si>
    <t>하). 쥐똥나무</t>
  </si>
  <si>
    <t>H1.2xW0.3</t>
  </si>
  <si>
    <t>갸). 잔디(평떼)</t>
  </si>
  <si>
    <t>가). 생활체육시설E</t>
  </si>
  <si>
    <t>1860*1730*H1760</t>
  </si>
  <si>
    <t>나). 생활체육시설F</t>
  </si>
  <si>
    <t>2870*860*H1760</t>
  </si>
  <si>
    <t>다). 생활체육시설G</t>
  </si>
  <si>
    <t>1850*560*H1760</t>
  </si>
  <si>
    <t>라). 파고라B</t>
  </si>
  <si>
    <t>4000*4000*H3200</t>
  </si>
  <si>
    <t>마). 평의자</t>
  </si>
  <si>
    <t>1600*440*H430</t>
  </si>
  <si>
    <t>아). 안전휀스</t>
  </si>
  <si>
    <t>경간</t>
  </si>
  <si>
    <t>마). 녹지경계석(직선)</t>
  </si>
  <si>
    <t>바). 포장경계석(직선)</t>
  </si>
  <si>
    <t>다. 경관녹지 1</t>
  </si>
  <si>
    <t>가). 상수리나무(이식)</t>
  </si>
  <si>
    <t>R31</t>
  </si>
  <si>
    <t>나). 소나무(이식)</t>
  </si>
  <si>
    <t>R29</t>
  </si>
  <si>
    <t>다). 스트로브잣</t>
  </si>
  <si>
    <t>라). 복자기</t>
  </si>
  <si>
    <t>마). 청단풍</t>
  </si>
  <si>
    <t>바). 산철쭉</t>
  </si>
  <si>
    <t>사). 법면보호공</t>
  </si>
  <si>
    <t>라. 경관녹지 2</t>
  </si>
  <si>
    <t>R27</t>
  </si>
  <si>
    <t>나). 상수리나무(이식)</t>
  </si>
  <si>
    <t>다). 소나무(이식)</t>
  </si>
  <si>
    <t>R25</t>
  </si>
  <si>
    <t>라). 스트로브잣</t>
  </si>
  <si>
    <t>마). 복자기</t>
  </si>
  <si>
    <t>사). 산철쭉</t>
  </si>
  <si>
    <t>아). 법면보호공</t>
  </si>
  <si>
    <t>마. 가로수</t>
  </si>
  <si>
    <t>가). 목백합(튜립)</t>
  </si>
  <si>
    <t>H5.0xR15</t>
  </si>
  <si>
    <t>가). 수목보호판</t>
  </si>
  <si>
    <t>800*800</t>
  </si>
  <si>
    <t>1). 안전관리계획작성 및 검토비</t>
  </si>
  <si>
    <t>P.S</t>
  </si>
  <si>
    <t>간접비 일괄적용</t>
  </si>
  <si>
    <t>2). 안전점검비</t>
  </si>
  <si>
    <t>1). 품질시험</t>
  </si>
  <si>
    <t>sum</t>
  </si>
  <si>
    <t>품질관리비(별도)·직접비 제외</t>
  </si>
  <si>
    <t>2). 품질관리활동비</t>
  </si>
  <si>
    <t>가). 품질관리자인건비</t>
  </si>
  <si>
    <t>중급품질관리대상</t>
  </si>
  <si>
    <t>개월</t>
  </si>
  <si>
    <t>1. GIS DB 구축</t>
  </si>
  <si>
    <t>2. 구조검토비</t>
  </si>
  <si>
    <t>가. GIS DB 구축</t>
  </si>
  <si>
    <t>★ 01. 토목·조경 직접공사비 계</t>
  </si>
  <si>
    <t>【 04. 진입도로 】</t>
  </si>
  <si>
    <t>가 노상준비공</t>
  </si>
  <si>
    <t>1). 노상준비공</t>
  </si>
  <si>
    <t>깍기부</t>
  </si>
  <si>
    <t>나. 법면보호공</t>
  </si>
  <si>
    <t>다. 흙깎기</t>
  </si>
  <si>
    <t>라. 터파기</t>
  </si>
  <si>
    <t>마. 흙쌓기</t>
  </si>
  <si>
    <t>1). 노상</t>
  </si>
  <si>
    <t>2). 노체</t>
  </si>
  <si>
    <t>3). 되메우기</t>
  </si>
  <si>
    <t>바 층따기</t>
  </si>
  <si>
    <t>1). 층따기</t>
  </si>
  <si>
    <t>불도저 32톤, L=39.8m</t>
  </si>
  <si>
    <t>굴삭기1.0㎥+덤프24톤, L=0.090Km</t>
  </si>
  <si>
    <t>자. 지장물철거</t>
  </si>
  <si>
    <t>다). 포장절단/아스팔트</t>
  </si>
  <si>
    <t>라). 아스팔트포장깨기</t>
  </si>
  <si>
    <t>T=30cm 미만</t>
  </si>
  <si>
    <t>마). 콘크리트포장깨기</t>
  </si>
  <si>
    <t>가). 관로경고용테이프</t>
  </si>
  <si>
    <t>가). 우수 원형2호 맨홀</t>
  </si>
  <si>
    <t>D1200, H=1.7m, 차도</t>
  </si>
  <si>
    <t>2). 맨홀접합부</t>
  </si>
  <si>
    <t>2). 접속부</t>
  </si>
  <si>
    <t>나). 잡석</t>
  </si>
  <si>
    <t>4). 원심력철근콘크리트관</t>
  </si>
  <si>
    <t>다). 흄관하차비</t>
  </si>
  <si>
    <t>라). 흄관하차비</t>
  </si>
  <si>
    <t>5). 맨홀뚜껑</t>
  </si>
  <si>
    <t>3. 상 수 공</t>
  </si>
  <si>
    <t>나). 주철 이형관 접합(이탈방지압륜)</t>
  </si>
  <si>
    <t>1). 제수밸브</t>
  </si>
  <si>
    <t>다). 제수변 보호통</t>
  </si>
  <si>
    <t>2). 주철관</t>
  </si>
  <si>
    <t>3). 제수밸브</t>
  </si>
  <si>
    <t>4). 맨홀뚜껑</t>
  </si>
  <si>
    <t>4. 포 장 공</t>
  </si>
  <si>
    <t>가. 아스콘포장</t>
  </si>
  <si>
    <t>사. 경계석설치</t>
  </si>
  <si>
    <t>나). 보차도경계석 설치(경사)</t>
  </si>
  <si>
    <t>다). 보차도경계석 설치(낮춤)</t>
  </si>
  <si>
    <t>아. 아스팔트절삭 및 덧교통시설공</t>
  </si>
  <si>
    <t>1). 아스팔트절삭및덧씌우기</t>
  </si>
  <si>
    <t>다). 교통안전표지판(원형)</t>
  </si>
  <si>
    <t>속도제한</t>
  </si>
  <si>
    <t>황색-파선</t>
  </si>
  <si>
    <t>다). 차선도색(융착식,수동식),신설구간</t>
  </si>
  <si>
    <t>마). 차선도색(차로밑그림),신설구간</t>
  </si>
  <si>
    <t>4). 가드레일</t>
  </si>
  <si>
    <t>가). 철제가드레일</t>
  </si>
  <si>
    <t>W3000*H910</t>
  </si>
  <si>
    <t>6). 아스팔트(유제)</t>
  </si>
  <si>
    <t>7). 아스팔트(유제)</t>
  </si>
  <si>
    <t>8). 아스팔트콘크리트</t>
  </si>
  <si>
    <t>9). 아스팔트콘크리트</t>
  </si>
  <si>
    <t>11). 보차도경계석(화강석)</t>
  </si>
  <si>
    <t>12). 횡단보도경계석(화강석)(경사)</t>
  </si>
  <si>
    <t>13). 횡단보도경계석(화강석)(낮춤)</t>
  </si>
  <si>
    <t>14). 도로경계석(화강석)</t>
  </si>
  <si>
    <t>15). 보도블록(인조화강)</t>
  </si>
  <si>
    <t>16). 장애인용보도 선형블록</t>
  </si>
  <si>
    <t>17). 장애인용보도 점형블록</t>
  </si>
  <si>
    <t>5. 구조물공</t>
  </si>
  <si>
    <t>가. RC옹벽(L형옹벽)</t>
  </si>
  <si>
    <t>H=1.0~3.0, L=232.0m</t>
  </si>
  <si>
    <t>6. 부 대 공</t>
  </si>
  <si>
    <t>나. 중기운반</t>
  </si>
  <si>
    <t>★ 04. 진입도로 직접공사비 계</t>
  </si>
  <si>
    <t>【 05. 회전교차로 】</t>
  </si>
  <si>
    <t>불도저 32톤, L=44.9m</t>
  </si>
  <si>
    <t>굴삭기1.0㎥+덤프24톤, L=0.076Km</t>
  </si>
  <si>
    <t>라). 포장절단/콘크리트</t>
  </si>
  <si>
    <t>마). 아스팔트포장깨기</t>
  </si>
  <si>
    <t>바). 콘크리트포장깨기</t>
  </si>
  <si>
    <t>사). 가드레일철거</t>
  </si>
  <si>
    <t>설치품의 30%</t>
  </si>
  <si>
    <t>마. 벤치플륨관</t>
  </si>
  <si>
    <t>1). 벤치플륨관</t>
  </si>
  <si>
    <t>1000x1000</t>
  </si>
  <si>
    <t>바. 배수암거</t>
  </si>
  <si>
    <t>4). 거푸집</t>
  </si>
  <si>
    <t>6). 스페이셔설치</t>
  </si>
  <si>
    <t>7). 스페이셔설치</t>
  </si>
  <si>
    <t>8). 신축이음(Joint filler)</t>
  </si>
  <si>
    <t>9). DOWEL BAR(옹벽용)</t>
  </si>
  <si>
    <t>6). 이형철근</t>
  </si>
  <si>
    <t>HD25M/M 3.980KG/M  SD40</t>
  </si>
  <si>
    <t>3. 포 장 공</t>
  </si>
  <si>
    <t>바. 경계석설치</t>
  </si>
  <si>
    <t>사. 아스팔트절삭 및 덧교통시설공</t>
  </si>
  <si>
    <t>아. 교통시설공</t>
  </si>
  <si>
    <t>가). 교통안전표지판(삼각)</t>
  </si>
  <si>
    <t>라). 차선도색(페인트,기계식),신설구간</t>
  </si>
  <si>
    <t>바). 차선도색(융착식,수동식),신설구간</t>
  </si>
  <si>
    <t>차). 차선도색(차로밑그림),신설구간</t>
  </si>
  <si>
    <t>나). 탄성볼라드</t>
  </si>
  <si>
    <t>5). 디자인형울타리</t>
  </si>
  <si>
    <t>가). 디자인형울타리</t>
  </si>
  <si>
    <t>W2000xH1000</t>
  </si>
  <si>
    <t>자. 주요자재 구입</t>
  </si>
  <si>
    <t>4. 구조물공</t>
  </si>
  <si>
    <t>H=1.5~3.5, L=328.5m</t>
  </si>
  <si>
    <t>5. 부 대 공</t>
  </si>
  <si>
    <t>★ 05. 회전교차로 직접공사비 계</t>
  </si>
  <si>
    <t>【 06. 개발행위 】</t>
  </si>
  <si>
    <t>가. 흙깎기</t>
  </si>
  <si>
    <t>나. 흙쌓기</t>
  </si>
  <si>
    <t>다. 흙운반</t>
  </si>
  <si>
    <t>1). 덤프운반(외부반출)</t>
  </si>
  <si>
    <t>가). 흙 운반(토사)(야적장)</t>
  </si>
  <si>
    <t>나). 흙운반(풍화암)(야적장)</t>
  </si>
  <si>
    <t>다). 흙운반(연암)(야적장)</t>
  </si>
  <si>
    <t>라). 흙운반(보통암)(야적장)</t>
  </si>
  <si>
    <t>2. A1</t>
  </si>
  <si>
    <t>1). 우수 원형1호 맨홀</t>
  </si>
  <si>
    <t>D900</t>
  </si>
  <si>
    <t>2). 집수정</t>
  </si>
  <si>
    <t>0.6x0.6,스틸그레이팅</t>
  </si>
  <si>
    <t>3). 오수받이</t>
  </si>
  <si>
    <t>4). 고강성 PVC 이중벽관 접합 및 부설</t>
  </si>
  <si>
    <t>5). 고강성 PVC 이중벽관 접합 및 부설</t>
  </si>
  <si>
    <t>D450mm, 시공조건B</t>
  </si>
  <si>
    <t>6). 고강성PVC이중벽관</t>
  </si>
  <si>
    <t>7). 고강성PVC이중벽관</t>
  </si>
  <si>
    <t>D450mm, 직관</t>
  </si>
  <si>
    <t>8). 원심력철근콘크리트관 접합및부설(소켓식)</t>
  </si>
  <si>
    <t>9). 사각수로관</t>
  </si>
  <si>
    <t>Ø 300mm</t>
  </si>
  <si>
    <t>10). CEP옹벽</t>
  </si>
  <si>
    <t>1.5m~5.0m</t>
  </si>
  <si>
    <t>M2</t>
  </si>
  <si>
    <t>11). 메쉬휀스</t>
  </si>
  <si>
    <t>H=1.5m</t>
  </si>
  <si>
    <t>12). 콘크리트포장</t>
  </si>
  <si>
    <t>T=20Cm</t>
  </si>
  <si>
    <t>13). 관목</t>
  </si>
  <si>
    <t>14). 법면보호공</t>
  </si>
  <si>
    <t>3. A2</t>
  </si>
  <si>
    <t>11). CEP옹벽</t>
  </si>
  <si>
    <t>5.0m</t>
  </si>
  <si>
    <t>12). 보강토옹벽</t>
  </si>
  <si>
    <t>H=2.2~3.0m</t>
  </si>
  <si>
    <t>13). 보강토옹벽</t>
  </si>
  <si>
    <t>H=3.0~5.0m</t>
  </si>
  <si>
    <t>14). 메쉬휀스</t>
  </si>
  <si>
    <t>4. A3</t>
  </si>
  <si>
    <t>10). 보강토옹벽</t>
  </si>
  <si>
    <t>H=2.2~3.4m</t>
  </si>
  <si>
    <t>11). 보강토옹벽</t>
  </si>
  <si>
    <t>H=1.0~2.5m</t>
  </si>
  <si>
    <t>H=3.42~5.0m</t>
  </si>
  <si>
    <t>13). 메쉬휀스</t>
  </si>
  <si>
    <t>14). 철제가드레일</t>
  </si>
  <si>
    <t>15). 콘크리트포장</t>
  </si>
  <si>
    <t>5. A4</t>
  </si>
  <si>
    <t>H=3.5~5.0m</t>
  </si>
  <si>
    <t>12). 철제가드레일</t>
  </si>
  <si>
    <t>13). 콘크리트포장</t>
  </si>
  <si>
    <t>14). 관목</t>
  </si>
  <si>
    <t>15). 법면보호공</t>
  </si>
  <si>
    <t>6. A5</t>
  </si>
  <si>
    <t>H=2.84~4.65m</t>
  </si>
  <si>
    <t>H=0.4~2.84m</t>
  </si>
  <si>
    <t>7. B1</t>
  </si>
  <si>
    <t>10). 메쉬휀스</t>
  </si>
  <si>
    <t>11). 철제가드레일</t>
  </si>
  <si>
    <t>8. B2</t>
  </si>
  <si>
    <t>9. 지원시설</t>
  </si>
  <si>
    <t>2). 오수받이</t>
  </si>
  <si>
    <t>3). 고강성 PVC 이중벽관 접합 및 부설</t>
  </si>
  <si>
    <t>8). 고강성PVC이중벽관</t>
  </si>
  <si>
    <t>10). 철제가드레일</t>
  </si>
  <si>
    <t>11). 콘크리트포장</t>
  </si>
  <si>
    <t>12). 관목</t>
  </si>
  <si>
    <t>10. 주차장</t>
  </si>
  <si>
    <t>2). 고강성 PVC 이중벽관 접합 및 부설</t>
  </si>
  <si>
    <t>4). 고강성PVC이중벽관</t>
  </si>
  <si>
    <t>5). 고강성PVC이중벽관</t>
  </si>
  <si>
    <t>6). 사각수로관</t>
  </si>
  <si>
    <t>7). 메쉬휀스</t>
  </si>
  <si>
    <t>8). 철제가드레일</t>
  </si>
  <si>
    <t>9). 콘크리트포장</t>
  </si>
  <si>
    <t>10). 법면보호공</t>
  </si>
  <si>
    <t>★ 06. 개발행위 직접공사비 계</t>
  </si>
  <si>
    <t>【 07. 건설폐기물처리 】</t>
  </si>
  <si>
    <t>1. 건설폐기물처리</t>
  </si>
  <si>
    <t>1). 폐기물운반</t>
  </si>
  <si>
    <t>24톤, 30Km 이내</t>
  </si>
  <si>
    <t>1). 폐콘크리트 처리비</t>
  </si>
  <si>
    <t>★ 07. 건설폐기물처리 직접공사비 계</t>
  </si>
  <si>
    <t>★ 직접공사비 총계 (01·04·05·06·07)</t>
  </si>
  <si>
    <t>1.전기공사 (지구내) ▸ 1-1.가로등설비공사</t>
  </si>
  <si>
    <t>파상형 폴리에틸렌 전선관</t>
  </si>
  <si>
    <t>40㎜(가로등,신호,구내)</t>
  </si>
  <si>
    <t>50㎜(가로등,신호,구내)</t>
  </si>
  <si>
    <t>접지용비닐절연전선(F-GV)_지중</t>
  </si>
  <si>
    <t>6㎟</t>
  </si>
  <si>
    <t>접지용비닐절연전선(F-GV)</t>
  </si>
  <si>
    <t>10㎟</t>
  </si>
  <si>
    <t>16㎟</t>
  </si>
  <si>
    <t>폴리에틸렌 난연케이블</t>
  </si>
  <si>
    <t>0.6/1kv F-CV 2C×2.5㎟</t>
  </si>
  <si>
    <t>폴리에틸렌 난연케이블(옥외)</t>
  </si>
  <si>
    <t>0.6/1kv F-CV 2C×10㎟</t>
  </si>
  <si>
    <t>0.6/1kv F-CV 2C×25㎟</t>
  </si>
  <si>
    <t>0.6/1kv F-CV 4C×10㎟</t>
  </si>
  <si>
    <t>0.6/1kv F-CV 4C×25㎟</t>
  </si>
  <si>
    <t>접지봉</t>
  </si>
  <si>
    <t>14Φ×1000 mm</t>
  </si>
  <si>
    <t>접지크램프(IEC 90)</t>
  </si>
  <si>
    <t>16sq</t>
  </si>
  <si>
    <t>케이블표지시트</t>
  </si>
  <si>
    <t>0.23x400</t>
  </si>
  <si>
    <t>압착단자</t>
  </si>
  <si>
    <t>R형동선 나압착 25 ㎟</t>
  </si>
  <si>
    <t>가로등 건주 기계화 시공</t>
  </si>
  <si>
    <t>일반 5m-7m</t>
  </si>
  <si>
    <t>일반 10m-12m</t>
  </si>
  <si>
    <t>터파기(기계90%,인력10%)</t>
  </si>
  <si>
    <t>보통토사</t>
  </si>
  <si>
    <t>되메우기(기계90%,인력10%)</t>
  </si>
  <si>
    <t>인력잔토처리</t>
  </si>
  <si>
    <t>현장처리</t>
  </si>
  <si>
    <t>전주용입상관</t>
  </si>
  <si>
    <t>Φ130*2t*2m</t>
  </si>
  <si>
    <t>반경관취부밴드</t>
  </si>
  <si>
    <t>케이블 포설(가로등)</t>
  </si>
  <si>
    <t>10㎟/2C*1열</t>
  </si>
  <si>
    <t>25㎟/2C*1열</t>
  </si>
  <si>
    <t>10㎟/4C*1열</t>
  </si>
  <si>
    <t>25㎟/4C*1열</t>
  </si>
  <si>
    <t>LED 가로등기구</t>
  </si>
  <si>
    <t>100W급</t>
  </si>
  <si>
    <t>LED 공원등기구</t>
  </si>
  <si>
    <t>50W급(A타입)</t>
  </si>
  <si>
    <t>가로등기초(직각)기성품</t>
  </si>
  <si>
    <t>500X850X675X700</t>
  </si>
  <si>
    <t>가로등기초</t>
  </si>
  <si>
    <t>500x775x1050x1100(E)</t>
  </si>
  <si>
    <t>가로등 제어반</t>
  </si>
  <si>
    <t>6회로</t>
  </si>
  <si>
    <t>가로등주</t>
  </si>
  <si>
    <t>원형테퍼 강관주 10m -1등용</t>
  </si>
  <si>
    <t>가로등 표찰</t>
  </si>
  <si>
    <t>STS</t>
  </si>
  <si>
    <t>공원등주</t>
  </si>
  <si>
    <t>5m-1.0m 1등용(A타입)</t>
  </si>
  <si>
    <t>방수형 접속함</t>
  </si>
  <si>
    <t>1등용,ELB부</t>
  </si>
  <si>
    <t>격등용</t>
  </si>
  <si>
    <t>백호우</t>
  </si>
  <si>
    <t>0.4㎥</t>
  </si>
  <si>
    <t>hr</t>
  </si>
  <si>
    <t>제어반기초(기성품)</t>
  </si>
  <si>
    <t>500x500x800</t>
  </si>
  <si>
    <t>핸드홀(기성품)</t>
  </si>
  <si>
    <t>600x600x800</t>
  </si>
  <si>
    <t>핸드홀뚜껑</t>
  </si>
  <si>
    <t>700x700xt32</t>
  </si>
  <si>
    <t>1.전기공사 (지구내) ▸ 1-2.공원등설비공사</t>
  </si>
  <si>
    <t>0.6/1kv F-CV 2C×6㎟</t>
  </si>
  <si>
    <t>0.6/1kv F-CV 2C×16㎟</t>
  </si>
  <si>
    <t>0.6/1kv F-CV 4C×6㎟</t>
  </si>
  <si>
    <t>R형동선 나압착 16 ㎟</t>
  </si>
  <si>
    <t>6㎟/2C*1열</t>
  </si>
  <si>
    <t>16㎟/2C*1열</t>
  </si>
  <si>
    <t>6㎟/4C*1열</t>
  </si>
  <si>
    <t>1.전기공사 (지구내) ▸ 1-3.신호등설비공사</t>
  </si>
  <si>
    <t>80㎜(가로등,신호,구내)</t>
  </si>
  <si>
    <t>100㎜(가로등,신호,구내)</t>
  </si>
  <si>
    <t>난연제어케이블</t>
  </si>
  <si>
    <t>F-CVV 5Cx2.5㎟</t>
  </si>
  <si>
    <t>신호 제어기</t>
  </si>
  <si>
    <t>경보제어기, 전자회로</t>
  </si>
  <si>
    <t>레미콘</t>
  </si>
  <si>
    <t>25-210-8</t>
  </si>
  <si>
    <t>레미콘타설</t>
  </si>
  <si>
    <t>무근(미할증)</t>
  </si>
  <si>
    <t>합판거푸집</t>
  </si>
  <si>
    <t>4회</t>
  </si>
  <si>
    <t>차량등보호금구</t>
  </si>
  <si>
    <t>철주 앙카</t>
  </si>
  <si>
    <t>Φ200x1.8m</t>
  </si>
  <si>
    <t>교통신호등</t>
  </si>
  <si>
    <t>1면3색(LED Φ300)</t>
  </si>
  <si>
    <t>와이어리스 부착대 5m</t>
  </si>
  <si>
    <t>와이어리스 부착대 7m</t>
  </si>
  <si>
    <t>와이어리스철주</t>
  </si>
  <si>
    <t>Φ200,부착5m</t>
  </si>
  <si>
    <t>Φ200,부착7m, 7m</t>
  </si>
  <si>
    <t>크레인트럭</t>
  </si>
  <si>
    <t>20ton</t>
  </si>
  <si>
    <t>1.전기공사 (지구내) ▸ 1-4.공원 통신설비 공사</t>
  </si>
  <si>
    <t>40㎜</t>
  </si>
  <si>
    <t>50㎜</t>
  </si>
  <si>
    <t>광케블내외관일체형전선관</t>
  </si>
  <si>
    <t>COD 36-4 공</t>
  </si>
  <si>
    <t>0.6/1kv F-CV 3C×6㎟</t>
  </si>
  <si>
    <t>광케이블(옥외용)</t>
  </si>
  <si>
    <t>SM 9/125, 4c</t>
  </si>
  <si>
    <t>핸드홀</t>
  </si>
  <si>
    <t>수공1호</t>
  </si>
  <si>
    <t>핸드홀카바</t>
  </si>
  <si>
    <t>통신용</t>
  </si>
  <si>
    <t>기</t>
  </si>
  <si>
    <t>관통형분기접속재</t>
  </si>
  <si>
    <t>6-4㎟</t>
  </si>
  <si>
    <t>광분배함</t>
  </si>
  <si>
    <t>4C</t>
  </si>
  <si>
    <t>광송수신모듈</t>
  </si>
  <si>
    <t>SFP-LX</t>
  </si>
  <si>
    <t>광점퍼코드</t>
  </si>
  <si>
    <t>SM-3, 피그테일 포함</t>
  </si>
  <si>
    <t>금속기둥</t>
  </si>
  <si>
    <t>Ø76.3x1000mm</t>
  </si>
  <si>
    <t>금속상자</t>
  </si>
  <si>
    <t>400*500*300mm</t>
  </si>
  <si>
    <t>네트워크스위치</t>
  </si>
  <si>
    <t>8PORT(PoE), 2PORT(SFP)</t>
  </si>
  <si>
    <t>네트워크케이블</t>
  </si>
  <si>
    <t>UTP CAT.5 4P</t>
  </si>
  <si>
    <t>누전차단기</t>
  </si>
  <si>
    <t>20A</t>
  </si>
  <si>
    <t>보안용카메라(BULLET)</t>
  </si>
  <si>
    <t>5M, IP, IR 0Lux</t>
  </si>
  <si>
    <t>보안용카메라(SPEEDDOME)</t>
  </si>
  <si>
    <t>4M, IP, IR 0Lux</t>
  </si>
  <si>
    <t>서지흡수기</t>
  </si>
  <si>
    <t>신호용</t>
  </si>
  <si>
    <t>전원용</t>
  </si>
  <si>
    <t>안내표지판</t>
  </si>
  <si>
    <t>CCTV설치안내(대)</t>
  </si>
  <si>
    <t>CCTV설치안내(중)</t>
  </si>
  <si>
    <t>영상감시장치</t>
  </si>
  <si>
    <t>전력케이블</t>
  </si>
  <si>
    <t>F-CV 3C×2.5㎟</t>
  </si>
  <si>
    <t>F-CV 3C×6㎟</t>
  </si>
  <si>
    <t>정보통신공사</t>
  </si>
  <si>
    <t>광케이블보통12코어이하접속</t>
  </si>
  <si>
    <t>광케이블시험시험및측정</t>
  </si>
  <si>
    <t>송수신제어신호영상레벨조정</t>
  </si>
  <si>
    <t>종합시험</t>
  </si>
  <si>
    <t>채널라이센스</t>
  </si>
  <si>
    <t>카메라접속라이센스, 1CH</t>
  </si>
  <si>
    <t>카메라 브래킷</t>
  </si>
  <si>
    <t>기둥용</t>
  </si>
  <si>
    <t>벽부형</t>
  </si>
  <si>
    <t>크레인</t>
  </si>
  <si>
    <t>10톤</t>
  </si>
  <si>
    <t>1.전기공사 (지구내) ▸ 1-5.불법주정차단속시스템</t>
  </si>
  <si>
    <t>불법주정차단속시스템</t>
  </si>
  <si>
    <t>SET</t>
  </si>
  <si>
    <t>2.전기공사 (지구외) ▸ 2-1.가로등설비공사</t>
  </si>
  <si>
    <t>0.6/1kv F-CV 2C×35㎟</t>
  </si>
  <si>
    <t>R형동선 나압착 35 ㎟</t>
  </si>
  <si>
    <t>35㎟/2C*1열</t>
  </si>
  <si>
    <t>8회로</t>
  </si>
  <si>
    <t>2.전기공사 (지구외) ▸ 2-2.신호등설비공사</t>
  </si>
  <si>
    <t>65㎜(가로등,신호,구내)</t>
  </si>
  <si>
    <t>보행철주 기초앙카</t>
  </si>
  <si>
    <t>Φ125×1.4m</t>
  </si>
  <si>
    <t>신호등용 맨홀(주철뚜껑)</t>
  </si>
  <si>
    <t>600x600x600,경찰청규격</t>
  </si>
  <si>
    <t>신호 제어기 설치</t>
  </si>
  <si>
    <t>교통신호제어기, 3거리</t>
  </si>
  <si>
    <t>UPS(교통신호제어)</t>
  </si>
  <si>
    <t>철주설치</t>
  </si>
  <si>
    <t>UPS 부착대</t>
  </si>
  <si>
    <t>1면4색(LED Φ300)</t>
  </si>
  <si>
    <t>교통신호제어기 부착대</t>
  </si>
  <si>
    <t>보행등 잔여시간표시기</t>
  </si>
  <si>
    <t>보행등주</t>
  </si>
  <si>
    <t>Φ125x4m</t>
  </si>
  <si>
    <t>보행신호등</t>
  </si>
  <si>
    <t>1면2색(LED)</t>
  </si>
  <si>
    <t>슬림형교통신호제어기(경찰청표준규격)</t>
  </si>
  <si>
    <t>Φ200,부착7m</t>
  </si>
  <si>
    <t>위성시보수신기(GPS)</t>
  </si>
  <si>
    <t>음향 유도기</t>
  </si>
  <si>
    <t>2.전기공사 (지구외) ▸ 2-3.불법주정차단속시스템</t>
  </si>
  <si>
    <t>★ 02. 전기설비 계 (참고 · 원가·견적 미산입)</t>
  </si>
  <si>
    <t>직접비</t>
    <phoneticPr fontId="13" type="noConversion"/>
  </si>
  <si>
    <t>건설업 산업안전보건관리비 계상기준 고시(고용노동부 제2025-11호, 
토목 50억 이상)</t>
    <phoneticPr fontId="13" type="noConversion"/>
  </si>
  <si>
    <t>인천광역시 연수구 센트럴로 313, 씨동 2123호
(송도동, 송도씨워크인테라스한라)</t>
    <phoneticPr fontId="13" type="noConversion"/>
  </si>
  <si>
    <t xml:space="preserve">【 02. 전기설비 】 </t>
    <phoneticPr fontId="13" type="noConversion"/>
  </si>
  <si>
    <t>【 01. 토목·조경 직접공사비 계 】</t>
    <phoneticPr fontId="13" type="noConversion"/>
  </si>
  <si>
    <t>순공사원가×5%</t>
    <phoneticPr fontId="13" type="noConversion"/>
  </si>
  <si>
    <t>(노무비계+경비계+일반관리비)×7%</t>
    <phoneticPr fontId="13" type="noConversion"/>
  </si>
  <si>
    <t>원 가 계 산 서</t>
    <phoneticPr fontId="13" type="noConversion"/>
  </si>
  <si>
    <t>【 토목,조경,전기 직접공사비 계 】</t>
    <phoneticPr fontId="13" type="noConversion"/>
  </si>
  <si>
    <t>공사명 : 화성 청원지구 산업유통형 지구단위계획(토목,조경,전기)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</si>
</sst>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#,##0.############"/>
    <numFmt numFmtId="177" formatCode="_-* #,##0.0000_-;\-* #,##0.0000_-;_-* &quot;-&quot;??_-;_-@_-"/>
    <numFmt numFmtId="178" formatCode="#,##0_ "/>
    <numFmt numFmtId="179" formatCode="0.000"/>
  </numFmts>
  <fonts count="24">
    <font>
      <sz val="11"/>
      <color theme="1"/>
      <name val="맑은 고딕"/>
      <family val="2"/>
      <scheme val="minor"/>
    </font>
    <font>
      <b/>
      <sz val="10"/>
      <color rgb="FFFFFFFF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22"/>
      <name val="맑은 고딕"/>
      <family val="3"/>
      <charset val="129"/>
    </font>
    <font>
      <sz val="11"/>
      <name val="맑은 고딕"/>
      <family val="3"/>
      <charset val="129"/>
    </font>
    <font>
      <b/>
      <sz val="13"/>
      <name val="맑은 고딕"/>
      <family val="3"/>
      <charset val="129"/>
    </font>
    <font>
      <b/>
      <sz val="14"/>
      <name val="맑은 고딕"/>
      <family val="3"/>
      <charset val="129"/>
    </font>
    <font>
      <b/>
      <sz val="32"/>
      <name val="맑은 고딕"/>
      <family val="3"/>
      <charset val="129"/>
    </font>
    <font>
      <sz val="15"/>
      <name val="맑은 고딕"/>
      <family val="3"/>
      <charset val="129"/>
    </font>
    <font>
      <sz val="13"/>
      <name val="맑은 고딕"/>
      <family val="3"/>
      <charset val="129"/>
    </font>
    <font>
      <b/>
      <sz val="20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color rgb="FFFFFFFF"/>
      <name val="굴림"/>
      <family val="3"/>
      <charset val="129"/>
    </font>
    <font>
      <sz val="11"/>
      <color theme="1"/>
      <name val="굴림"/>
      <family val="3"/>
      <charset val="129"/>
    </font>
    <font>
      <b/>
      <sz val="11"/>
      <color rgb="FFFFFFFF"/>
      <name val="굴림"/>
      <family val="3"/>
      <charset val="129"/>
    </font>
    <font>
      <b/>
      <sz val="11"/>
      <name val="굴림"/>
      <family val="3"/>
      <charset val="129"/>
    </font>
    <font>
      <b/>
      <sz val="10"/>
      <color theme="1"/>
      <name val="굴림"/>
      <family val="3"/>
      <charset val="129"/>
    </font>
    <font>
      <b/>
      <sz val="11"/>
      <color theme="1"/>
      <name val="굴림"/>
      <family val="3"/>
      <charset val="129"/>
    </font>
    <font>
      <u/>
      <sz val="20"/>
      <color theme="1"/>
      <name val="굴림"/>
      <family val="3"/>
      <charset val="129"/>
    </font>
    <font>
      <sz val="11"/>
      <color rgb="FFFF0000"/>
      <name val="굴림"/>
      <family val="3"/>
      <charset val="129"/>
    </font>
    <font>
      <i/>
      <sz val="9"/>
      <name val="굴림"/>
      <family val="3"/>
      <charset val="129"/>
    </font>
    <font>
      <sz val="9"/>
      <name val="굴림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rgb="FF404E6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/>
      <diagonal/>
    </border>
    <border>
      <left style="thin">
        <color rgb="FFB0B0B0"/>
      </left>
      <right style="thin">
        <color rgb="FFB0B0B0"/>
      </right>
      <top/>
      <bottom/>
      <diagonal/>
    </border>
    <border>
      <left style="thin">
        <color rgb="FFB0B0B0"/>
      </left>
      <right style="thin">
        <color rgb="FFB0B0B0"/>
      </right>
      <top/>
      <bottom style="thin">
        <color rgb="FFB0B0B0"/>
      </bottom>
      <diagonal/>
    </border>
    <border>
      <left style="thin">
        <color rgb="FFB0B0B0"/>
      </left>
      <right/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/>
      <bottom style="thin">
        <color rgb="FFB0B0B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1" fontId="12" fillId="0" borderId="0" applyFont="0" applyFill="0" applyBorder="0" applyAlignment="0" applyProtection="0">
      <alignment vertical="center"/>
    </xf>
    <xf numFmtId="0" fontId="12" fillId="0" borderId="7"/>
    <xf numFmtId="41" fontId="12" fillId="0" borderId="7" applyFont="0" applyFill="0" applyBorder="0" applyAlignment="0" applyProtection="0">
      <alignment vertical="center"/>
    </xf>
  </cellStyleXfs>
  <cellXfs count="14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0" fillId="5" borderId="1" xfId="0" applyFill="1" applyBorder="1"/>
    <xf numFmtId="3" fontId="3" fillId="5" borderId="1" xfId="0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left" vertical="center" wrapText="1"/>
    </xf>
    <xf numFmtId="0" fontId="0" fillId="4" borderId="1" xfId="0" applyFill="1" applyBorder="1"/>
    <xf numFmtId="0" fontId="0" fillId="4" borderId="1" xfId="0" applyFill="1" applyBorder="1" applyAlignment="1">
      <alignment horizontal="center" vertical="center" wrapText="1"/>
    </xf>
    <xf numFmtId="3" fontId="0" fillId="4" borderId="1" xfId="0" applyNumberFormat="1" applyFill="1" applyBorder="1" applyAlignment="1">
      <alignment horizontal="right" vertical="center"/>
    </xf>
    <xf numFmtId="3" fontId="3" fillId="4" borderId="1" xfId="0" applyNumberFormat="1" applyFont="1" applyFill="1" applyBorder="1" applyAlignment="1">
      <alignment horizontal="right" vertical="center"/>
    </xf>
    <xf numFmtId="0" fontId="15" fillId="0" borderId="0" xfId="0" applyFont="1"/>
    <xf numFmtId="0" fontId="15" fillId="0" borderId="1" xfId="0" applyFont="1" applyBorder="1" applyAlignment="1">
      <alignment horizontal="left" vertical="center" wrapText="1"/>
    </xf>
    <xf numFmtId="3" fontId="15" fillId="0" borderId="1" xfId="0" applyNumberFormat="1" applyFont="1" applyBorder="1" applyAlignment="1">
      <alignment horizontal="right" vertical="center"/>
    </xf>
    <xf numFmtId="0" fontId="14" fillId="2" borderId="1" xfId="0" applyFont="1" applyFill="1" applyBorder="1" applyAlignment="1">
      <alignment horizontal="center" vertical="center" shrinkToFit="1"/>
    </xf>
    <xf numFmtId="0" fontId="17" fillId="3" borderId="1" xfId="0" applyFont="1" applyFill="1" applyBorder="1" applyAlignment="1">
      <alignment horizontal="left" vertical="center" shrinkToFit="1"/>
    </xf>
    <xf numFmtId="0" fontId="15" fillId="3" borderId="1" xfId="0" applyFont="1" applyFill="1" applyBorder="1" applyAlignment="1">
      <alignment horizontal="left" vertical="center" shrinkToFit="1"/>
    </xf>
    <xf numFmtId="0" fontId="15" fillId="3" borderId="1" xfId="0" applyFont="1" applyFill="1" applyBorder="1" applyAlignment="1">
      <alignment shrinkToFit="1"/>
    </xf>
    <xf numFmtId="3" fontId="17" fillId="3" borderId="1" xfId="0" applyNumberFormat="1" applyFont="1" applyFill="1" applyBorder="1" applyAlignment="1">
      <alignment horizontal="right" vertical="center" shrinkToFit="1"/>
    </xf>
    <xf numFmtId="0" fontId="15" fillId="0" borderId="1" xfId="0" applyFont="1" applyBorder="1" applyAlignment="1">
      <alignment horizontal="left" vertical="center" shrinkToFit="1"/>
    </xf>
    <xf numFmtId="0" fontId="15" fillId="0" borderId="1" xfId="0" applyFont="1" applyBorder="1" applyAlignment="1">
      <alignment shrinkToFit="1"/>
    </xf>
    <xf numFmtId="3" fontId="15" fillId="0" borderId="1" xfId="0" applyNumberFormat="1" applyFont="1" applyBorder="1" applyAlignment="1">
      <alignment horizontal="right" vertical="center" shrinkToFit="1"/>
    </xf>
    <xf numFmtId="0" fontId="15" fillId="0" borderId="1" xfId="0" applyFont="1" applyBorder="1" applyAlignment="1">
      <alignment horizontal="center" vertical="center" shrinkToFit="1"/>
    </xf>
    <xf numFmtId="176" fontId="15" fillId="0" borderId="1" xfId="0" applyNumberFormat="1" applyFont="1" applyBorder="1" applyAlignment="1">
      <alignment horizontal="right" vertical="center" shrinkToFit="1"/>
    </xf>
    <xf numFmtId="0" fontId="17" fillId="4" borderId="1" xfId="0" applyFont="1" applyFill="1" applyBorder="1" applyAlignment="1">
      <alignment horizontal="left" vertical="center" shrinkToFit="1"/>
    </xf>
    <xf numFmtId="0" fontId="15" fillId="4" borderId="1" xfId="0" applyFont="1" applyFill="1" applyBorder="1" applyAlignment="1">
      <alignment shrinkToFit="1"/>
    </xf>
    <xf numFmtId="3" fontId="17" fillId="4" borderId="1" xfId="0" applyNumberFormat="1" applyFont="1" applyFill="1" applyBorder="1" applyAlignment="1">
      <alignment horizontal="right" vertical="center" shrinkToFit="1"/>
    </xf>
    <xf numFmtId="0" fontId="15" fillId="0" borderId="0" xfId="0" applyFont="1" applyAlignment="1">
      <alignment shrinkToFit="1"/>
    </xf>
    <xf numFmtId="41" fontId="15" fillId="0" borderId="0" xfId="1" applyFont="1" applyAlignment="1"/>
    <xf numFmtId="0" fontId="15" fillId="6" borderId="1" xfId="0" applyFont="1" applyFill="1" applyBorder="1" applyAlignment="1">
      <alignment horizontal="center" vertical="center" shrinkToFit="1"/>
    </xf>
    <xf numFmtId="3" fontId="15" fillId="6" borderId="1" xfId="0" applyNumberFormat="1" applyFont="1" applyFill="1" applyBorder="1" applyAlignment="1">
      <alignment horizontal="center" vertical="center" shrinkToFit="1"/>
    </xf>
    <xf numFmtId="41" fontId="19" fillId="6" borderId="1" xfId="1" applyFont="1" applyFill="1" applyBorder="1" applyAlignment="1">
      <alignment horizontal="left" vertical="center" shrinkToFit="1"/>
    </xf>
    <xf numFmtId="0" fontId="19" fillId="7" borderId="1" xfId="0" applyFont="1" applyFill="1" applyBorder="1" applyAlignment="1">
      <alignment vertical="center" shrinkToFit="1"/>
    </xf>
    <xf numFmtId="0" fontId="15" fillId="7" borderId="1" xfId="0" applyFont="1" applyFill="1" applyBorder="1" applyAlignment="1">
      <alignment shrinkToFit="1"/>
    </xf>
    <xf numFmtId="41" fontId="15" fillId="6" borderId="1" xfId="1" applyFont="1" applyFill="1" applyBorder="1" applyAlignment="1">
      <alignment horizontal="left" vertical="center" shrinkToFit="1"/>
    </xf>
    <xf numFmtId="41" fontId="19" fillId="7" borderId="1" xfId="1" applyFont="1" applyFill="1" applyBorder="1" applyAlignment="1">
      <alignment horizontal="left" vertical="center" shrinkToFit="1"/>
    </xf>
    <xf numFmtId="0" fontId="19" fillId="7" borderId="1" xfId="0" applyFont="1" applyFill="1" applyBorder="1" applyAlignment="1">
      <alignment horizontal="center" vertical="center" shrinkToFit="1"/>
    </xf>
    <xf numFmtId="3" fontId="19" fillId="7" borderId="1" xfId="0" applyNumberFormat="1" applyFont="1" applyFill="1" applyBorder="1" applyAlignment="1">
      <alignment horizontal="center" vertical="center" shrinkToFit="1"/>
    </xf>
    <xf numFmtId="0" fontId="19" fillId="7" borderId="1" xfId="0" applyFont="1" applyFill="1" applyBorder="1" applyAlignment="1">
      <alignment shrinkToFit="1"/>
    </xf>
    <xf numFmtId="3" fontId="19" fillId="7" borderId="1" xfId="0" applyNumberFormat="1" applyFont="1" applyFill="1" applyBorder="1" applyAlignment="1">
      <alignment vertical="center" shrinkToFit="1"/>
    </xf>
    <xf numFmtId="41" fontId="19" fillId="7" borderId="1" xfId="0" applyNumberFormat="1" applyFont="1" applyFill="1" applyBorder="1" applyAlignment="1">
      <alignment vertical="center" shrinkToFit="1"/>
    </xf>
    <xf numFmtId="0" fontId="18" fillId="8" borderId="1" xfId="0" applyFont="1" applyFill="1" applyBorder="1" applyAlignment="1">
      <alignment horizontal="left" vertical="center" shrinkToFit="1"/>
    </xf>
    <xf numFmtId="0" fontId="18" fillId="8" borderId="1" xfId="0" applyFont="1" applyFill="1" applyBorder="1" applyAlignment="1">
      <alignment horizontal="center" vertical="center" shrinkToFit="1"/>
    </xf>
    <xf numFmtId="41" fontId="18" fillId="8" borderId="1" xfId="0" applyNumberFormat="1" applyFont="1" applyFill="1" applyBorder="1" applyAlignment="1">
      <alignment horizontal="center" vertical="center" shrinkToFit="1"/>
    </xf>
    <xf numFmtId="41" fontId="15" fillId="0" borderId="0" xfId="0" applyNumberFormat="1" applyFont="1"/>
    <xf numFmtId="177" fontId="15" fillId="0" borderId="0" xfId="0" applyNumberFormat="1" applyFont="1"/>
    <xf numFmtId="178" fontId="15" fillId="0" borderId="1" xfId="0" applyNumberFormat="1" applyFont="1" applyBorder="1" applyAlignment="1">
      <alignment horizontal="right" vertical="center" shrinkToFit="1"/>
    </xf>
    <xf numFmtId="3" fontId="21" fillId="0" borderId="1" xfId="0" applyNumberFormat="1" applyFont="1" applyBorder="1" applyAlignment="1">
      <alignment horizontal="right" vertical="center" shrinkToFit="1"/>
    </xf>
    <xf numFmtId="179" fontId="15" fillId="0" borderId="1" xfId="0" applyNumberFormat="1" applyFont="1" applyBorder="1" applyAlignment="1">
      <alignment shrinkToFit="1"/>
    </xf>
    <xf numFmtId="0" fontId="23" fillId="0" borderId="1" xfId="0" applyFont="1" applyBorder="1" applyAlignment="1">
      <alignment horizontal="left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left" vertical="center" wrapText="1"/>
    </xf>
    <xf numFmtId="3" fontId="17" fillId="4" borderId="1" xfId="0" applyNumberFormat="1" applyFont="1" applyFill="1" applyBorder="1" applyAlignment="1">
      <alignment horizontal="right" vertical="center"/>
    </xf>
    <xf numFmtId="0" fontId="23" fillId="4" borderId="1" xfId="0" applyFont="1" applyFill="1" applyBorder="1" applyAlignment="1">
      <alignment horizontal="left" vertical="center" wrapText="1"/>
    </xf>
    <xf numFmtId="9" fontId="23" fillId="0" borderId="1" xfId="0" applyNumberFormat="1" applyFont="1" applyBorder="1" applyAlignment="1">
      <alignment horizontal="left" vertical="center" wrapText="1"/>
    </xf>
    <xf numFmtId="41" fontId="14" fillId="2" borderId="1" xfId="3" applyFont="1" applyFill="1" applyBorder="1" applyAlignment="1">
      <alignment horizontal="center" vertical="center" wrapText="1"/>
    </xf>
    <xf numFmtId="0" fontId="15" fillId="0" borderId="7" xfId="2" applyFont="1"/>
    <xf numFmtId="0" fontId="16" fillId="7" borderId="1" xfId="2" applyFont="1" applyFill="1" applyBorder="1" applyAlignment="1">
      <alignment horizontal="center" vertical="center" wrapText="1"/>
    </xf>
    <xf numFmtId="41" fontId="16" fillId="7" borderId="1" xfId="3" applyFont="1" applyFill="1" applyBorder="1" applyAlignment="1">
      <alignment horizontal="center" vertical="center" wrapText="1"/>
    </xf>
    <xf numFmtId="41" fontId="19" fillId="7" borderId="1" xfId="3" applyFont="1" applyFill="1" applyBorder="1" applyAlignment="1">
      <alignment horizontal="center" vertical="center" wrapText="1"/>
    </xf>
    <xf numFmtId="0" fontId="14" fillId="7" borderId="1" xfId="2" applyFont="1" applyFill="1" applyBorder="1" applyAlignment="1">
      <alignment horizontal="center" vertical="center" wrapText="1"/>
    </xf>
    <xf numFmtId="0" fontId="16" fillId="6" borderId="1" xfId="2" applyFont="1" applyFill="1" applyBorder="1" applyAlignment="1">
      <alignment horizontal="center" vertical="center" wrapText="1"/>
    </xf>
    <xf numFmtId="41" fontId="16" fillId="6" borderId="1" xfId="3" applyFont="1" applyFill="1" applyBorder="1" applyAlignment="1">
      <alignment horizontal="center" vertical="center" wrapText="1"/>
    </xf>
    <xf numFmtId="41" fontId="15" fillId="6" borderId="1" xfId="3" applyFont="1" applyFill="1" applyBorder="1" applyAlignment="1">
      <alignment horizontal="center" vertical="center" wrapText="1"/>
    </xf>
    <xf numFmtId="0" fontId="14" fillId="6" borderId="1" xfId="2" applyFont="1" applyFill="1" applyBorder="1" applyAlignment="1">
      <alignment horizontal="center" vertical="center" wrapText="1"/>
    </xf>
    <xf numFmtId="0" fontId="19" fillId="6" borderId="1" xfId="2" applyFont="1" applyFill="1" applyBorder="1" applyAlignment="1">
      <alignment horizontal="center" vertical="center" wrapText="1"/>
    </xf>
    <xf numFmtId="41" fontId="19" fillId="6" borderId="1" xfId="3" applyFont="1" applyFill="1" applyBorder="1" applyAlignment="1">
      <alignment horizontal="center" vertical="center" wrapText="1"/>
    </xf>
    <xf numFmtId="0" fontId="18" fillId="6" borderId="1" xfId="2" applyFont="1" applyFill="1" applyBorder="1" applyAlignment="1">
      <alignment horizontal="center" vertical="center" wrapText="1"/>
    </xf>
    <xf numFmtId="0" fontId="19" fillId="6" borderId="14" xfId="2" applyFont="1" applyFill="1" applyBorder="1" applyAlignment="1">
      <alignment horizontal="center" vertical="center" wrapText="1"/>
    </xf>
    <xf numFmtId="0" fontId="19" fillId="6" borderId="15" xfId="2" applyFont="1" applyFill="1" applyBorder="1" applyAlignment="1">
      <alignment horizontal="center" vertical="center" wrapText="1"/>
    </xf>
    <xf numFmtId="0" fontId="18" fillId="6" borderId="14" xfId="2" applyFont="1" applyFill="1" applyBorder="1" applyAlignment="1">
      <alignment horizontal="center" vertical="center" wrapText="1"/>
    </xf>
    <xf numFmtId="0" fontId="18" fillId="6" borderId="15" xfId="2" applyFont="1" applyFill="1" applyBorder="1" applyAlignment="1">
      <alignment horizontal="center" vertical="center" wrapText="1"/>
    </xf>
    <xf numFmtId="41" fontId="18" fillId="6" borderId="1" xfId="3" applyFont="1" applyFill="1" applyBorder="1" applyAlignment="1">
      <alignment horizontal="center" vertical="center" wrapText="1"/>
    </xf>
    <xf numFmtId="0" fontId="15" fillId="3" borderId="1" xfId="2" applyFont="1" applyFill="1" applyBorder="1"/>
    <xf numFmtId="41" fontId="15" fillId="3" borderId="1" xfId="3" applyFont="1" applyFill="1" applyBorder="1" applyAlignment="1"/>
    <xf numFmtId="41" fontId="17" fillId="3" borderId="1" xfId="3" applyFont="1" applyFill="1" applyBorder="1" applyAlignment="1">
      <alignment horizontal="right" vertical="center"/>
    </xf>
    <xf numFmtId="0" fontId="15" fillId="0" borderId="1" xfId="2" applyFont="1" applyBorder="1" applyAlignment="1">
      <alignment horizontal="left" vertical="center" wrapText="1"/>
    </xf>
    <xf numFmtId="3" fontId="15" fillId="0" borderId="1" xfId="2" applyNumberFormat="1" applyFont="1" applyBorder="1" applyAlignment="1">
      <alignment horizontal="right" vertical="center"/>
    </xf>
    <xf numFmtId="41" fontId="15" fillId="0" borderId="1" xfId="3" applyFont="1" applyBorder="1" applyAlignment="1">
      <alignment horizontal="right" vertical="center"/>
    </xf>
    <xf numFmtId="176" fontId="15" fillId="0" borderId="1" xfId="2" applyNumberFormat="1" applyFont="1" applyBorder="1" applyAlignment="1">
      <alignment horizontal="right" vertical="center"/>
    </xf>
    <xf numFmtId="0" fontId="15" fillId="4" borderId="1" xfId="2" applyFont="1" applyFill="1" applyBorder="1"/>
    <xf numFmtId="41" fontId="15" fillId="4" borderId="1" xfId="3" applyFont="1" applyFill="1" applyBorder="1" applyAlignment="1"/>
    <xf numFmtId="41" fontId="17" fillId="4" borderId="1" xfId="3" applyFont="1" applyFill="1" applyBorder="1" applyAlignment="1">
      <alignment horizontal="right" vertical="center"/>
    </xf>
    <xf numFmtId="41" fontId="15" fillId="0" borderId="7" xfId="3" applyFont="1" applyAlignment="1"/>
    <xf numFmtId="41" fontId="14" fillId="2" borderId="11" xfId="3" applyFont="1" applyFill="1" applyBorder="1" applyAlignment="1">
      <alignment horizontal="center" vertical="center" wrapText="1"/>
    </xf>
    <xf numFmtId="0" fontId="18" fillId="6" borderId="17" xfId="2" applyFont="1" applyFill="1" applyBorder="1" applyAlignment="1">
      <alignment horizontal="center" vertical="center" wrapText="1"/>
    </xf>
    <xf numFmtId="41" fontId="18" fillId="6" borderId="17" xfId="3" applyFont="1" applyFill="1" applyBorder="1" applyAlignment="1">
      <alignment horizontal="center" vertical="center" wrapText="1"/>
    </xf>
    <xf numFmtId="0" fontId="15" fillId="0" borderId="17" xfId="2" applyFont="1" applyBorder="1"/>
    <xf numFmtId="41" fontId="15" fillId="0" borderId="17" xfId="3" applyFont="1" applyBorder="1" applyAlignment="1"/>
    <xf numFmtId="0" fontId="18" fillId="6" borderId="17" xfId="2" applyFont="1" applyFill="1" applyBorder="1" applyAlignment="1">
      <alignment horizontal="left" vertical="center" wrapText="1"/>
    </xf>
    <xf numFmtId="41" fontId="18" fillId="6" borderId="17" xfId="2" applyNumberFormat="1" applyFont="1" applyFill="1" applyBorder="1" applyAlignment="1">
      <alignment horizontal="left" vertical="center" wrapText="1"/>
    </xf>
    <xf numFmtId="0" fontId="18" fillId="9" borderId="17" xfId="2" applyFont="1" applyFill="1" applyBorder="1" applyAlignment="1">
      <alignment horizontal="left" vertical="center" wrapText="1"/>
    </xf>
    <xf numFmtId="0" fontId="18" fillId="9" borderId="17" xfId="2" applyFont="1" applyFill="1" applyBorder="1" applyAlignment="1">
      <alignment horizontal="center" vertical="center" wrapText="1"/>
    </xf>
    <xf numFmtId="41" fontId="18" fillId="9" borderId="17" xfId="3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/>
    <xf numFmtId="0" fontId="5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5" fillId="0" borderId="7" xfId="0" applyFont="1" applyBorder="1" applyAlignment="1">
      <alignment horizontal="right" vertical="center" wrapText="1"/>
    </xf>
    <xf numFmtId="0" fontId="5" fillId="0" borderId="7" xfId="0" applyFont="1" applyBorder="1" applyAlignment="1">
      <alignment horizontal="right" vertical="center"/>
    </xf>
    <xf numFmtId="0" fontId="4" fillId="0" borderId="7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31" fontId="5" fillId="0" borderId="0" xfId="0" applyNumberFormat="1" applyFont="1" applyAlignment="1">
      <alignment horizontal="left" vertical="center"/>
    </xf>
    <xf numFmtId="0" fontId="0" fillId="2" borderId="1" xfId="0" applyFill="1" applyBorder="1"/>
    <xf numFmtId="0" fontId="7" fillId="0" borderId="0" xfId="0" applyFont="1" applyAlignment="1">
      <alignment horizontal="right" vertical="center"/>
    </xf>
    <xf numFmtId="0" fontId="0" fillId="0" borderId="0" xfId="0" applyAlignment="1">
      <alignment horizontal="right"/>
    </xf>
    <xf numFmtId="31" fontId="10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2" xfId="0" applyBorder="1"/>
    <xf numFmtId="0" fontId="0" fillId="0" borderId="10" xfId="0" applyBorder="1"/>
    <xf numFmtId="0" fontId="11" fillId="0" borderId="0" xfId="0" applyFont="1" applyAlignment="1">
      <alignment horizontal="center" vertical="center"/>
    </xf>
    <xf numFmtId="0" fontId="17" fillId="0" borderId="11" xfId="0" applyFont="1" applyBorder="1" applyAlignment="1">
      <alignment horizontal="center" vertical="center" wrapText="1"/>
    </xf>
    <xf numFmtId="0" fontId="17" fillId="0" borderId="12" xfId="0" applyFont="1" applyBorder="1" applyAlignment="1">
      <alignment horizontal="center" vertical="center" wrapText="1"/>
    </xf>
    <xf numFmtId="0" fontId="17" fillId="0" borderId="13" xfId="0" applyFont="1" applyBorder="1" applyAlignment="1">
      <alignment horizontal="center" vertical="center" wrapText="1"/>
    </xf>
    <xf numFmtId="0" fontId="17" fillId="4" borderId="11" xfId="0" applyFont="1" applyFill="1" applyBorder="1" applyAlignment="1">
      <alignment horizontal="center" vertical="center" wrapText="1"/>
    </xf>
    <xf numFmtId="0" fontId="17" fillId="4" borderId="12" xfId="0" applyFont="1" applyFill="1" applyBorder="1" applyAlignment="1">
      <alignment horizontal="center" vertical="center" wrapText="1"/>
    </xf>
    <xf numFmtId="0" fontId="17" fillId="4" borderId="13" xfId="0" applyFont="1" applyFill="1" applyBorder="1" applyAlignment="1">
      <alignment horizontal="center" vertical="center" wrapText="1"/>
    </xf>
    <xf numFmtId="0" fontId="22" fillId="0" borderId="0" xfId="0" applyFont="1"/>
    <xf numFmtId="0" fontId="15" fillId="0" borderId="0" xfId="0" applyFont="1"/>
    <xf numFmtId="0" fontId="20" fillId="0" borderId="16" xfId="0" applyFont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 wrapText="1"/>
    </xf>
    <xf numFmtId="0" fontId="15" fillId="2" borderId="1" xfId="0" applyFont="1" applyFill="1" applyBorder="1"/>
    <xf numFmtId="41" fontId="14" fillId="2" borderId="1" xfId="3" applyFont="1" applyFill="1" applyBorder="1" applyAlignment="1">
      <alignment horizontal="center" vertical="center" wrapText="1"/>
    </xf>
    <xf numFmtId="0" fontId="14" fillId="2" borderId="1" xfId="2" applyFont="1" applyFill="1" applyBorder="1" applyAlignment="1">
      <alignment horizontal="center" vertical="center" wrapText="1"/>
    </xf>
    <xf numFmtId="0" fontId="14" fillId="2" borderId="11" xfId="2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left" vertical="center" shrinkToFit="1"/>
    </xf>
    <xf numFmtId="0" fontId="15" fillId="2" borderId="1" xfId="0" applyFont="1" applyFill="1" applyBorder="1" applyAlignment="1">
      <alignment shrinkToFit="1"/>
    </xf>
    <xf numFmtId="0" fontId="14" fillId="2" borderId="1" xfId="0" applyFont="1" applyFill="1" applyBorder="1" applyAlignment="1">
      <alignment horizontal="center" vertical="center" shrinkToFit="1"/>
    </xf>
    <xf numFmtId="41" fontId="15" fillId="6" borderId="14" xfId="3" applyFont="1" applyFill="1" applyBorder="1" applyAlignment="1">
      <alignment horizontal="left" vertical="center" wrapText="1"/>
    </xf>
    <xf numFmtId="41" fontId="15" fillId="6" borderId="15" xfId="3" applyFont="1" applyFill="1" applyBorder="1" applyAlignment="1">
      <alignment horizontal="left" vertical="center" wrapText="1"/>
    </xf>
    <xf numFmtId="41" fontId="19" fillId="7" borderId="14" xfId="3" applyFont="1" applyFill="1" applyBorder="1" applyAlignment="1">
      <alignment horizontal="left" vertical="center" wrapText="1"/>
    </xf>
    <xf numFmtId="41" fontId="19" fillId="7" borderId="15" xfId="3" applyFont="1" applyFill="1" applyBorder="1" applyAlignment="1">
      <alignment horizontal="left" vertical="center" wrapText="1"/>
    </xf>
    <xf numFmtId="0" fontId="17" fillId="3" borderId="14" xfId="2" applyFont="1" applyFill="1" applyBorder="1" applyAlignment="1">
      <alignment horizontal="left" vertical="center" wrapText="1"/>
    </xf>
    <xf numFmtId="0" fontId="17" fillId="3" borderId="15" xfId="2" applyFont="1" applyFill="1" applyBorder="1" applyAlignment="1">
      <alignment horizontal="left" vertical="center" wrapText="1"/>
    </xf>
    <xf numFmtId="0" fontId="17" fillId="4" borderId="14" xfId="2" applyFont="1" applyFill="1" applyBorder="1" applyAlignment="1">
      <alignment horizontal="left" vertical="center" wrapText="1"/>
    </xf>
    <xf numFmtId="0" fontId="17" fillId="4" borderId="15" xfId="2" applyFont="1" applyFill="1" applyBorder="1" applyAlignment="1">
      <alignment horizontal="left" vertical="center" wrapText="1"/>
    </xf>
    <xf numFmtId="3" fontId="15" fillId="0" borderId="0" xfId="0" applyNumberFormat="1" applyFont="1"/>
  </cellXfs>
  <cellStyles count="4">
    <cellStyle name="쉼표 [0]" xfId="1" builtinId="6"/>
    <cellStyle name="쉼표 [0] 2" xfId="3" xr:uid="{D42B368F-D8AF-4E1B-A5F2-52E923E708C2}"/>
    <cellStyle name="표준" xfId="0" builtinId="0"/>
    <cellStyle name="표준 2" xfId="2" xr:uid="{DF8FF4DE-FADB-4EB7-8AD6-61559D5951E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L23"/>
  <sheetViews>
    <sheetView showGridLines="0" workbookViewId="0">
      <selection activeCell="F28" sqref="F28"/>
    </sheetView>
  </sheetViews>
  <sheetFormatPr defaultRowHeight="16.5"/>
  <cols>
    <col min="1" max="13" width="9" customWidth="1"/>
  </cols>
  <sheetData>
    <row r="4" spans="2:12" ht="30" customHeight="1">
      <c r="B4" s="110" t="s">
        <v>0</v>
      </c>
      <c r="C4" s="111"/>
      <c r="D4" s="111"/>
      <c r="E4" s="111"/>
      <c r="F4" s="111"/>
      <c r="G4" s="111"/>
      <c r="H4" s="111"/>
      <c r="I4" s="111"/>
      <c r="J4" s="111"/>
      <c r="K4" s="111"/>
      <c r="L4" s="112"/>
    </row>
    <row r="5" spans="2:12" ht="30" customHeight="1">
      <c r="B5" s="113"/>
      <c r="C5" s="114"/>
      <c r="D5" s="114"/>
      <c r="E5" s="114"/>
      <c r="F5" s="114"/>
      <c r="G5" s="114"/>
      <c r="H5" s="114"/>
      <c r="I5" s="114"/>
      <c r="J5" s="114"/>
      <c r="K5" s="114"/>
      <c r="L5" s="115"/>
    </row>
    <row r="6" spans="2:12" ht="30" customHeight="1">
      <c r="B6" s="116"/>
      <c r="C6" s="117"/>
      <c r="D6" s="117"/>
      <c r="E6" s="117"/>
      <c r="F6" s="117"/>
      <c r="G6" s="117"/>
      <c r="H6" s="117"/>
      <c r="I6" s="117"/>
      <c r="J6" s="117"/>
      <c r="K6" s="117"/>
      <c r="L6" s="118"/>
    </row>
    <row r="11" spans="2:12" ht="24">
      <c r="B11" s="109" t="s">
        <v>1544</v>
      </c>
      <c r="C11" s="94"/>
      <c r="D11" s="94"/>
      <c r="E11" s="94"/>
      <c r="F11" s="94"/>
      <c r="G11" s="94"/>
      <c r="H11" s="94"/>
      <c r="I11" s="94"/>
      <c r="J11" s="94"/>
      <c r="K11" s="94"/>
      <c r="L11" s="94"/>
    </row>
    <row r="15" spans="2:12" ht="19.5">
      <c r="B15" s="108">
        <v>46210</v>
      </c>
      <c r="C15" s="94"/>
      <c r="D15" s="94"/>
      <c r="E15" s="94"/>
      <c r="F15" s="94"/>
      <c r="G15" s="94"/>
      <c r="H15" s="94"/>
      <c r="I15" s="94"/>
      <c r="J15" s="94"/>
      <c r="K15" s="94"/>
      <c r="L15" s="94"/>
    </row>
    <row r="23" spans="2:12" ht="30" customHeight="1">
      <c r="B23" s="119" t="s">
        <v>2</v>
      </c>
      <c r="C23" s="94"/>
      <c r="D23" s="94"/>
      <c r="E23" s="94"/>
      <c r="F23" s="94"/>
      <c r="G23" s="94"/>
      <c r="H23" s="94"/>
      <c r="I23" s="94"/>
      <c r="J23" s="94"/>
      <c r="K23" s="94"/>
      <c r="L23" s="94"/>
    </row>
  </sheetData>
  <mergeCells count="4">
    <mergeCell ref="B15:L15"/>
    <mergeCell ref="B11:L11"/>
    <mergeCell ref="B4:L6"/>
    <mergeCell ref="B23:L23"/>
  </mergeCells>
  <phoneticPr fontId="13" type="noConversion"/>
  <pageMargins left="0.75" right="0.75" top="1" bottom="1" header="0.5" footer="0.5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7"/>
  <sheetViews>
    <sheetView workbookViewId="0">
      <selection activeCell="A8" sqref="A8:I8"/>
    </sheetView>
  </sheetViews>
  <sheetFormatPr defaultRowHeight="26.1" customHeight="1"/>
  <cols>
    <col min="1" max="1" width="17.375" bestFit="1" customWidth="1"/>
    <col min="2" max="2" width="5.375" bestFit="1" customWidth="1"/>
    <col min="3" max="5" width="4.75" bestFit="1" customWidth="1"/>
    <col min="6" max="6" width="15" bestFit="1" customWidth="1"/>
    <col min="7" max="7" width="4.75" bestFit="1" customWidth="1"/>
    <col min="8" max="8" width="15" bestFit="1" customWidth="1"/>
    <col min="9" max="9" width="4.75" bestFit="1" customWidth="1"/>
    <col min="10" max="10" width="15" bestFit="1" customWidth="1"/>
    <col min="11" max="11" width="4.75" bestFit="1" customWidth="1"/>
    <col min="12" max="12" width="16.25" bestFit="1" customWidth="1"/>
    <col min="13" max="13" width="4.75" bestFit="1" customWidth="1"/>
  </cols>
  <sheetData>
    <row r="1" spans="1:13" ht="26.1" customHeight="1">
      <c r="A1" s="102" t="s">
        <v>3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</row>
    <row r="2" spans="1:13" ht="26.1" customHeight="1" thickBot="1">
      <c r="A2" s="103"/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</row>
    <row r="4" spans="1:13" ht="26.1" customHeight="1">
      <c r="A4" s="104">
        <v>46210</v>
      </c>
      <c r="B4" s="94"/>
      <c r="C4" s="94"/>
      <c r="D4" s="94"/>
      <c r="E4" s="94"/>
      <c r="F4" s="94"/>
      <c r="G4" s="106" t="s">
        <v>2</v>
      </c>
      <c r="H4" s="107"/>
      <c r="I4" s="107"/>
      <c r="J4" s="107"/>
      <c r="K4" s="107"/>
      <c r="L4" s="107"/>
      <c r="M4" s="107"/>
    </row>
    <row r="5" spans="1:13" ht="26.1" customHeight="1">
      <c r="A5" s="99" t="s">
        <v>4</v>
      </c>
      <c r="B5" s="99"/>
      <c r="C5" s="99"/>
      <c r="D5" s="99"/>
      <c r="E5" s="99"/>
      <c r="F5" s="99"/>
      <c r="G5" s="100" t="s">
        <v>1537</v>
      </c>
      <c r="H5" s="101"/>
      <c r="I5" s="101"/>
      <c r="J5" s="101"/>
      <c r="K5" s="101"/>
      <c r="L5" s="101"/>
      <c r="M5" s="101"/>
    </row>
    <row r="6" spans="1:13" ht="26.1" customHeight="1">
      <c r="A6" s="99"/>
      <c r="B6" s="99"/>
      <c r="C6" s="99"/>
      <c r="D6" s="99"/>
      <c r="E6" s="99"/>
      <c r="F6" s="99"/>
      <c r="G6" s="101"/>
      <c r="H6" s="101"/>
      <c r="I6" s="101"/>
      <c r="J6" s="101"/>
      <c r="K6" s="101"/>
      <c r="L6" s="101"/>
      <c r="M6" s="101"/>
    </row>
    <row r="7" spans="1:13" ht="26.1" customHeight="1">
      <c r="A7" s="97" t="s">
        <v>1</v>
      </c>
      <c r="B7" s="97"/>
      <c r="C7" s="97"/>
      <c r="D7" s="97"/>
      <c r="E7" s="97"/>
      <c r="F7" s="97"/>
      <c r="G7" s="97"/>
      <c r="H7" s="97"/>
      <c r="I7" s="97"/>
      <c r="J7" s="95" t="s">
        <v>5</v>
      </c>
      <c r="K7" s="95"/>
      <c r="L7" s="95"/>
      <c r="M7" s="95"/>
    </row>
    <row r="8" spans="1:13" ht="26.1" customHeight="1">
      <c r="A8" s="98" t="s">
        <v>6</v>
      </c>
      <c r="B8" s="98"/>
      <c r="C8" s="98"/>
      <c r="D8" s="98"/>
      <c r="E8" s="98"/>
      <c r="F8" s="98"/>
      <c r="G8" s="98"/>
      <c r="H8" s="98"/>
      <c r="I8" s="98"/>
      <c r="J8" s="95" t="s">
        <v>7</v>
      </c>
      <c r="K8" s="95"/>
      <c r="L8" s="95"/>
      <c r="M8" s="95"/>
    </row>
    <row r="9" spans="1:13" ht="26.1" customHeight="1">
      <c r="A9" s="97" t="s">
        <v>8</v>
      </c>
      <c r="B9" s="97"/>
      <c r="C9" s="97"/>
      <c r="D9" s="97"/>
      <c r="E9" s="97"/>
      <c r="F9" s="97"/>
      <c r="G9" s="97"/>
      <c r="H9" s="97"/>
      <c r="I9" s="97"/>
      <c r="J9" s="96" t="s">
        <v>9</v>
      </c>
      <c r="K9" s="96"/>
      <c r="L9" s="96"/>
      <c r="M9" s="96"/>
    </row>
    <row r="11" spans="1:13" ht="26.1" customHeight="1">
      <c r="A11" s="93" t="s">
        <v>10</v>
      </c>
      <c r="B11" s="93" t="s">
        <v>11</v>
      </c>
      <c r="C11" s="93" t="s">
        <v>12</v>
      </c>
      <c r="D11" s="93" t="s">
        <v>13</v>
      </c>
      <c r="E11" s="93" t="s">
        <v>14</v>
      </c>
      <c r="F11" s="94"/>
      <c r="G11" s="93" t="s">
        <v>15</v>
      </c>
      <c r="H11" s="94"/>
      <c r="I11" s="93" t="s">
        <v>16</v>
      </c>
      <c r="J11" s="94"/>
      <c r="K11" s="93" t="s">
        <v>17</v>
      </c>
      <c r="L11" s="94"/>
      <c r="M11" s="93" t="s">
        <v>18</v>
      </c>
    </row>
    <row r="12" spans="1:13" ht="26.1" customHeight="1">
      <c r="A12" s="105"/>
      <c r="B12" s="105"/>
      <c r="C12" s="105"/>
      <c r="D12" s="105"/>
      <c r="E12" s="1" t="s">
        <v>19</v>
      </c>
      <c r="F12" s="1" t="s">
        <v>20</v>
      </c>
      <c r="G12" s="1" t="s">
        <v>19</v>
      </c>
      <c r="H12" s="1" t="s">
        <v>20</v>
      </c>
      <c r="I12" s="1" t="s">
        <v>19</v>
      </c>
      <c r="J12" s="1" t="s">
        <v>20</v>
      </c>
      <c r="K12" s="1" t="s">
        <v>19</v>
      </c>
      <c r="L12" s="1" t="s">
        <v>20</v>
      </c>
      <c r="M12" s="105"/>
    </row>
    <row r="13" spans="1:13" ht="26.1" customHeight="1">
      <c r="A13" s="2" t="s">
        <v>21</v>
      </c>
      <c r="B13" s="3"/>
      <c r="C13" s="3"/>
      <c r="D13" s="3"/>
      <c r="E13" s="3"/>
      <c r="F13" s="4">
        <f>+원가계산!D4</f>
        <v>4245357794</v>
      </c>
      <c r="G13" s="3"/>
      <c r="H13" s="4">
        <f>+원가계산!D5</f>
        <v>2147353595</v>
      </c>
      <c r="I13" s="3"/>
      <c r="J13" s="4">
        <f>+원가계산!D6</f>
        <v>4811196564</v>
      </c>
      <c r="K13" s="3"/>
      <c r="L13" s="4">
        <f>+원가계산!D7</f>
        <v>11203907953</v>
      </c>
      <c r="M13" s="3"/>
    </row>
    <row r="14" spans="1:13" ht="26.1" customHeight="1">
      <c r="A14" s="5" t="s">
        <v>22</v>
      </c>
      <c r="B14" s="6"/>
      <c r="C14" s="7">
        <v>1</v>
      </c>
      <c r="D14" s="7" t="s">
        <v>23</v>
      </c>
      <c r="E14" s="6"/>
      <c r="F14" s="8">
        <f>0</f>
        <v>0</v>
      </c>
      <c r="G14" s="6"/>
      <c r="H14" s="8">
        <f>0</f>
        <v>0</v>
      </c>
      <c r="I14" s="6"/>
      <c r="J14" s="9">
        <f>+원가계산!D24-원가계산!D7</f>
        <v>2697898148.0645771</v>
      </c>
      <c r="K14" s="6"/>
      <c r="L14" s="9">
        <f>+J14</f>
        <v>2697898148.0645771</v>
      </c>
      <c r="M14" s="6"/>
    </row>
    <row r="15" spans="1:13" ht="26.1" customHeight="1">
      <c r="A15" s="2" t="s">
        <v>24</v>
      </c>
      <c r="B15" s="3"/>
      <c r="C15" s="3"/>
      <c r="D15" s="3"/>
      <c r="E15" s="3"/>
      <c r="F15" s="4">
        <f>SUM(F13:F14)</f>
        <v>4245357794</v>
      </c>
      <c r="G15" s="4">
        <f t="shared" ref="G15:L15" si="0">SUM(G13:G14)</f>
        <v>0</v>
      </c>
      <c r="H15" s="4">
        <f t="shared" si="0"/>
        <v>2147353595</v>
      </c>
      <c r="I15" s="4">
        <f t="shared" si="0"/>
        <v>0</v>
      </c>
      <c r="J15" s="4">
        <f t="shared" si="0"/>
        <v>7509094712.0645771</v>
      </c>
      <c r="K15" s="4">
        <f t="shared" si="0"/>
        <v>0</v>
      </c>
      <c r="L15" s="4">
        <f t="shared" si="0"/>
        <v>13901806101.064577</v>
      </c>
      <c r="M15" s="3"/>
    </row>
    <row r="16" spans="1:13" ht="26.1" customHeight="1">
      <c r="A16" s="5" t="s">
        <v>25</v>
      </c>
      <c r="B16" s="6"/>
      <c r="C16" s="7">
        <v>1</v>
      </c>
      <c r="D16" s="7" t="s">
        <v>23</v>
      </c>
      <c r="E16" s="6"/>
      <c r="F16" s="8">
        <f>0</f>
        <v>0</v>
      </c>
      <c r="G16" s="6"/>
      <c r="H16" s="8">
        <f>0</f>
        <v>0</v>
      </c>
      <c r="I16" s="6"/>
      <c r="J16" s="9">
        <f>원가계산!D25</f>
        <v>1390180610.1064577</v>
      </c>
      <c r="K16" s="6"/>
      <c r="L16" s="9">
        <f>J16</f>
        <v>1390180610.1064577</v>
      </c>
      <c r="M16" s="6"/>
    </row>
    <row r="17" spans="1:13" ht="26.1" customHeight="1">
      <c r="A17" s="5" t="s">
        <v>26</v>
      </c>
      <c r="B17" s="6"/>
      <c r="C17" s="6"/>
      <c r="D17" s="6"/>
      <c r="E17" s="6"/>
      <c r="F17" s="9">
        <f>+F15</f>
        <v>4245357794</v>
      </c>
      <c r="G17" s="6"/>
      <c r="H17" s="9">
        <f>+H15</f>
        <v>2147353595</v>
      </c>
      <c r="I17" s="6"/>
      <c r="J17" s="9">
        <f>+J16+J15</f>
        <v>8899275322.1710358</v>
      </c>
      <c r="K17" s="6"/>
      <c r="L17" s="9">
        <f>+L16+L15</f>
        <v>15291986711.171036</v>
      </c>
      <c r="M17" s="6"/>
    </row>
  </sheetData>
  <mergeCells count="20">
    <mergeCell ref="A5:F6"/>
    <mergeCell ref="G5:M6"/>
    <mergeCell ref="A1:M2"/>
    <mergeCell ref="K11:L11"/>
    <mergeCell ref="A4:F4"/>
    <mergeCell ref="C11:C12"/>
    <mergeCell ref="E11:F11"/>
    <mergeCell ref="B11:B12"/>
    <mergeCell ref="D11:D12"/>
    <mergeCell ref="A11:A12"/>
    <mergeCell ref="G4:M4"/>
    <mergeCell ref="M11:M12"/>
    <mergeCell ref="G11:H11"/>
    <mergeCell ref="I11:J11"/>
    <mergeCell ref="J7:M7"/>
    <mergeCell ref="J8:M8"/>
    <mergeCell ref="J9:M9"/>
    <mergeCell ref="A7:I7"/>
    <mergeCell ref="A8:I8"/>
    <mergeCell ref="A9:I9"/>
  </mergeCells>
  <phoneticPr fontId="13" type="noConversion"/>
  <pageMargins left="0.75" right="0.75" top="1" bottom="1" header="0.5" footer="0.5"/>
  <pageSetup paperSize="9" orientation="landscape" r:id="rId1"/>
  <ignoredErrors>
    <ignoredError sqref="A10:M12 A3:M3 A18:M202 A13:E13 G13 I13 K13 M13 A14:I14 K14 M14 A15:E15 M15 A16:I16 K16 M16 A17:E17 G17 I17 K17 M17 B4:M4 A9 A7 A8" evalError="1" numberStoredAsText="1" formula="1" formulaRange="1" unlockedFormula="1" emptyCellReference="1" calculatedColumn="1"/>
    <ignoredError sqref="F15:H15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EBBDE-2C6B-46DD-9021-211BD4D8BC73}">
  <sheetPr>
    <pageSetUpPr fitToPage="1"/>
  </sheetPr>
  <dimension ref="A1:J28"/>
  <sheetViews>
    <sheetView tabSelected="1" workbookViewId="0">
      <pane ySplit="3" topLeftCell="A4" activePane="bottomLeft" state="frozen"/>
      <selection activeCell="S24" sqref="S24"/>
      <selection pane="bottomLeft" activeCell="J10" sqref="J10"/>
    </sheetView>
  </sheetViews>
  <sheetFormatPr defaultRowHeight="20.100000000000001" customHeight="1"/>
  <cols>
    <col min="1" max="1" width="7.375" style="10" bestFit="1" customWidth="1"/>
    <col min="2" max="2" width="25.5" style="10" bestFit="1" customWidth="1"/>
    <col min="3" max="3" width="27.875" style="10" bestFit="1" customWidth="1"/>
    <col min="4" max="4" width="17" style="10" bestFit="1" customWidth="1"/>
    <col min="5" max="5" width="55.875" style="10" bestFit="1" customWidth="1"/>
    <col min="6" max="9" width="9" style="10"/>
    <col min="10" max="10" width="13.75" style="10" bestFit="1" customWidth="1"/>
    <col min="11" max="16384" width="9" style="10"/>
  </cols>
  <sheetData>
    <row r="1" spans="1:10" ht="28.5" customHeight="1">
      <c r="A1" s="128" t="s">
        <v>1542</v>
      </c>
      <c r="B1" s="128"/>
      <c r="C1" s="128"/>
      <c r="D1" s="128"/>
      <c r="E1" s="128"/>
    </row>
    <row r="2" spans="1:10" ht="20.100000000000001" customHeight="1">
      <c r="A2" s="129" t="s">
        <v>27</v>
      </c>
      <c r="B2" s="129" t="s">
        <v>28</v>
      </c>
      <c r="C2" s="129" t="s">
        <v>29</v>
      </c>
      <c r="D2" s="129" t="s">
        <v>20</v>
      </c>
      <c r="E2" s="129" t="s">
        <v>18</v>
      </c>
    </row>
    <row r="3" spans="1:10" ht="20.100000000000001" customHeight="1">
      <c r="A3" s="130"/>
      <c r="B3" s="130"/>
      <c r="C3" s="130"/>
      <c r="D3" s="130"/>
      <c r="E3" s="130"/>
    </row>
    <row r="4" spans="1:10" ht="20.100000000000001" customHeight="1">
      <c r="A4" s="120" t="s">
        <v>1535</v>
      </c>
      <c r="B4" s="11" t="s">
        <v>30</v>
      </c>
      <c r="C4" s="48" t="s">
        <v>31</v>
      </c>
      <c r="D4" s="12">
        <f>집계표!F3</f>
        <v>4245357794</v>
      </c>
      <c r="E4" s="48"/>
    </row>
    <row r="5" spans="1:10" ht="20.100000000000001" customHeight="1">
      <c r="A5" s="121"/>
      <c r="B5" s="11" t="s">
        <v>32</v>
      </c>
      <c r="C5" s="48" t="s">
        <v>33</v>
      </c>
      <c r="D5" s="12">
        <f>집계표!H3</f>
        <v>2147353595</v>
      </c>
      <c r="E5" s="48"/>
    </row>
    <row r="6" spans="1:10" ht="20.100000000000001" customHeight="1">
      <c r="A6" s="122"/>
      <c r="B6" s="11" t="s">
        <v>34</v>
      </c>
      <c r="C6" s="48" t="s">
        <v>35</v>
      </c>
      <c r="D6" s="12">
        <f>집계표!J3</f>
        <v>4811196564</v>
      </c>
      <c r="E6" s="48"/>
    </row>
    <row r="7" spans="1:10" ht="20.100000000000001" customHeight="1">
      <c r="A7" s="49"/>
      <c r="B7" s="50" t="s">
        <v>36</v>
      </c>
      <c r="C7" s="52" t="s">
        <v>37</v>
      </c>
      <c r="D7" s="51">
        <f>D4+D5+D6</f>
        <v>11203907953</v>
      </c>
      <c r="E7" s="52"/>
    </row>
    <row r="8" spans="1:10" ht="20.100000000000001" customHeight="1">
      <c r="A8" s="120" t="s">
        <v>38</v>
      </c>
      <c r="B8" s="11" t="s">
        <v>39</v>
      </c>
      <c r="C8" s="48" t="s">
        <v>40</v>
      </c>
      <c r="D8" s="12">
        <f>D5*0.197</f>
        <v>423028658.21500003</v>
      </c>
      <c r="E8" s="48" t="s">
        <v>41</v>
      </c>
    </row>
    <row r="9" spans="1:10" ht="20.100000000000001" customHeight="1">
      <c r="A9" s="121"/>
      <c r="B9" s="11" t="s">
        <v>42</v>
      </c>
      <c r="C9" s="48" t="s">
        <v>43</v>
      </c>
      <c r="D9" s="12">
        <f>(D5+D8)*0.0356</f>
        <v>91505608.21445401</v>
      </c>
      <c r="E9" s="48" t="s">
        <v>44</v>
      </c>
    </row>
    <row r="10" spans="1:10" ht="20.100000000000001" customHeight="1">
      <c r="A10" s="121"/>
      <c r="B10" s="11" t="s">
        <v>45</v>
      </c>
      <c r="C10" s="48" t="s">
        <v>46</v>
      </c>
      <c r="D10" s="12">
        <f>(D5+D8)*0.0115</f>
        <v>29559395.9119725</v>
      </c>
      <c r="E10" s="48" t="s">
        <v>47</v>
      </c>
      <c r="J10" s="145">
        <f>SUM(D8:D17)+D21+D22</f>
        <v>2697898148.0645752</v>
      </c>
    </row>
    <row r="11" spans="1:10" ht="20.100000000000001" customHeight="1">
      <c r="A11" s="121"/>
      <c r="B11" s="11" t="s">
        <v>48</v>
      </c>
      <c r="C11" s="48" t="s">
        <v>49</v>
      </c>
      <c r="D11" s="12">
        <f>D5*0.03595</f>
        <v>77197361.740250006</v>
      </c>
      <c r="E11" s="48" t="s">
        <v>50</v>
      </c>
    </row>
    <row r="12" spans="1:10" ht="20.100000000000001" customHeight="1">
      <c r="A12" s="121"/>
      <c r="B12" s="11" t="s">
        <v>51</v>
      </c>
      <c r="C12" s="48" t="s">
        <v>52</v>
      </c>
      <c r="D12" s="12">
        <f>D5*0.0475</f>
        <v>101999295.7625</v>
      </c>
      <c r="E12" s="48" t="s">
        <v>53</v>
      </c>
    </row>
    <row r="13" spans="1:10" ht="20.100000000000001" customHeight="1">
      <c r="A13" s="121"/>
      <c r="B13" s="11" t="s">
        <v>54</v>
      </c>
      <c r="C13" s="48" t="s">
        <v>55</v>
      </c>
      <c r="D13" s="12">
        <f>D11*0.1314</f>
        <v>10143733.33266885</v>
      </c>
      <c r="E13" s="48"/>
    </row>
    <row r="14" spans="1:10" ht="20.100000000000001" customHeight="1">
      <c r="A14" s="121"/>
      <c r="B14" s="11" t="s">
        <v>56</v>
      </c>
      <c r="C14" s="48" t="s">
        <v>57</v>
      </c>
      <c r="D14" s="12">
        <f>(D4+D5)*0.026</f>
        <v>166210496.11399999</v>
      </c>
      <c r="E14" s="48" t="s">
        <v>1536</v>
      </c>
    </row>
    <row r="15" spans="1:10" ht="20.100000000000001" customHeight="1">
      <c r="A15" s="121"/>
      <c r="B15" s="11" t="s">
        <v>58</v>
      </c>
      <c r="C15" s="48" t="s">
        <v>59</v>
      </c>
      <c r="D15" s="12">
        <f>(D4+D5+D8)*0.062</f>
        <v>422575882.92733002</v>
      </c>
      <c r="E15" s="48" t="s">
        <v>60</v>
      </c>
    </row>
    <row r="16" spans="1:10" ht="20.100000000000001" customHeight="1">
      <c r="A16" s="121"/>
      <c r="B16" s="11" t="s">
        <v>61</v>
      </c>
      <c r="C16" s="48" t="s">
        <v>62</v>
      </c>
      <c r="D16" s="12">
        <f>D7*0.004</f>
        <v>44815631.811999999</v>
      </c>
      <c r="E16" s="48" t="s">
        <v>63</v>
      </c>
    </row>
    <row r="17" spans="1:5" ht="20.100000000000001" customHeight="1">
      <c r="A17" s="122"/>
      <c r="B17" s="11" t="s">
        <v>64</v>
      </c>
      <c r="C17" s="48" t="s">
        <v>65</v>
      </c>
      <c r="D17" s="12">
        <f>D7*0.006</f>
        <v>67223447.717999995</v>
      </c>
      <c r="E17" s="48" t="s">
        <v>66</v>
      </c>
    </row>
    <row r="18" spans="1:5" ht="20.100000000000001" customHeight="1">
      <c r="A18" s="123" t="s">
        <v>69</v>
      </c>
      <c r="B18" s="50" t="s">
        <v>67</v>
      </c>
      <c r="C18" s="52" t="s">
        <v>68</v>
      </c>
      <c r="D18" s="51">
        <f>D9+D10+D11+D12+D13+D14+D15+D16+D17</f>
        <v>1011230853.5331755</v>
      </c>
      <c r="E18" s="52"/>
    </row>
    <row r="19" spans="1:5" ht="20.100000000000001" customHeight="1">
      <c r="A19" s="124"/>
      <c r="B19" s="50" t="s">
        <v>70</v>
      </c>
      <c r="C19" s="52" t="s">
        <v>71</v>
      </c>
      <c r="D19" s="51">
        <f>D6+D18</f>
        <v>5822427417.5331755</v>
      </c>
      <c r="E19" s="52"/>
    </row>
    <row r="20" spans="1:5" ht="20.100000000000001" customHeight="1">
      <c r="A20" s="125"/>
      <c r="B20" s="50" t="s">
        <v>72</v>
      </c>
      <c r="C20" s="52" t="s">
        <v>73</v>
      </c>
      <c r="D20" s="51">
        <f>D4+D5+D8+D19</f>
        <v>12638167464.748177</v>
      </c>
      <c r="E20" s="52"/>
    </row>
    <row r="21" spans="1:5" ht="20.100000000000001" customHeight="1">
      <c r="A21" s="120" t="s">
        <v>38</v>
      </c>
      <c r="B21" s="11" t="s">
        <v>74</v>
      </c>
      <c r="C21" s="48" t="s">
        <v>1540</v>
      </c>
      <c r="D21" s="12">
        <f>D20*0.05</f>
        <v>631908373.23740888</v>
      </c>
      <c r="E21" s="53">
        <v>0.05</v>
      </c>
    </row>
    <row r="22" spans="1:5" ht="20.100000000000001" customHeight="1">
      <c r="A22" s="121"/>
      <c r="B22" s="11" t="s">
        <v>75</v>
      </c>
      <c r="C22" s="48" t="s">
        <v>1541</v>
      </c>
      <c r="D22" s="12">
        <f>(D5+D8+D19+D21)*0.07</f>
        <v>631730263.07899094</v>
      </c>
      <c r="E22" s="53">
        <v>7.0000000000000007E-2</v>
      </c>
    </row>
    <row r="23" spans="1:5" ht="20.100000000000001" customHeight="1">
      <c r="A23" s="122"/>
      <c r="B23" s="11"/>
      <c r="C23" s="48"/>
      <c r="D23" s="12"/>
      <c r="E23" s="48"/>
    </row>
    <row r="24" spans="1:5" ht="20.100000000000001" customHeight="1">
      <c r="A24" s="123" t="s">
        <v>76</v>
      </c>
      <c r="B24" s="50" t="s">
        <v>77</v>
      </c>
      <c r="C24" s="52" t="s">
        <v>78</v>
      </c>
      <c r="D24" s="51">
        <f>D20+D21+D22+D23</f>
        <v>13901806101.064577</v>
      </c>
      <c r="E24" s="52"/>
    </row>
    <row r="25" spans="1:5" ht="20.100000000000001" customHeight="1">
      <c r="A25" s="124"/>
      <c r="B25" s="11" t="s">
        <v>79</v>
      </c>
      <c r="C25" s="48" t="s">
        <v>80</v>
      </c>
      <c r="D25" s="12">
        <f>D24*0.1</f>
        <v>1390180610.1064577</v>
      </c>
      <c r="E25" s="48"/>
    </row>
    <row r="26" spans="1:5" ht="20.100000000000001" customHeight="1">
      <c r="A26" s="125"/>
      <c r="B26" s="50" t="s">
        <v>81</v>
      </c>
      <c r="C26" s="52" t="s">
        <v>82</v>
      </c>
      <c r="D26" s="51">
        <f>D24+D25</f>
        <v>15291986711.171036</v>
      </c>
      <c r="E26" s="52"/>
    </row>
    <row r="28" spans="1:5" ht="20.100000000000001" customHeight="1">
      <c r="B28" s="126" t="s">
        <v>83</v>
      </c>
      <c r="C28" s="127"/>
      <c r="D28" s="127"/>
      <c r="E28" s="127"/>
    </row>
  </sheetData>
  <mergeCells count="12">
    <mergeCell ref="A4:A6"/>
    <mergeCell ref="A1:E1"/>
    <mergeCell ref="A2:A3"/>
    <mergeCell ref="B2:B3"/>
    <mergeCell ref="C2:C3"/>
    <mergeCell ref="D2:D3"/>
    <mergeCell ref="E2:E3"/>
    <mergeCell ref="A8:A17"/>
    <mergeCell ref="A18:A20"/>
    <mergeCell ref="A21:A23"/>
    <mergeCell ref="A24:A26"/>
    <mergeCell ref="B28:E28"/>
  </mergeCells>
  <phoneticPr fontId="13" type="noConversion"/>
  <pageMargins left="0.59055118110236227" right="0.39370078740157483" top="0.59055118110236227" bottom="0.39370078740157483" header="0.51181102362204722" footer="0.51181102362204722"/>
  <pageSetup paperSize="9" scale="9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450E0-37BC-4177-9CC0-39A056922680}">
  <dimension ref="A1:M34"/>
  <sheetViews>
    <sheetView view="pageBreakPreview" zoomScaleNormal="100" zoomScaleSheetLayoutView="100" workbookViewId="0">
      <pane ySplit="2" topLeftCell="A3" activePane="bottomLeft" state="frozen"/>
      <selection activeCell="S24" sqref="S24"/>
      <selection pane="bottomLeft" activeCell="H4" sqref="H4"/>
    </sheetView>
  </sheetViews>
  <sheetFormatPr defaultRowHeight="24" customHeight="1"/>
  <cols>
    <col min="1" max="1" width="37.25" style="55" bestFit="1" customWidth="1"/>
    <col min="2" max="2" width="27.75" style="55" bestFit="1" customWidth="1"/>
    <col min="3" max="3" width="8.125" style="55" bestFit="1" customWidth="1"/>
    <col min="4" max="4" width="4.75" style="55" bestFit="1" customWidth="1"/>
    <col min="5" max="5" width="13" style="82" bestFit="1" customWidth="1"/>
    <col min="6" max="6" width="16.25" style="82" bestFit="1" customWidth="1"/>
    <col min="7" max="7" width="10.125" style="82" bestFit="1" customWidth="1"/>
    <col min="8" max="8" width="16.25" style="82" bestFit="1" customWidth="1"/>
    <col min="9" max="9" width="11.875" style="82" bestFit="1" customWidth="1"/>
    <col min="10" max="10" width="15" style="82" bestFit="1" customWidth="1"/>
    <col min="11" max="11" width="13" style="82" bestFit="1" customWidth="1"/>
    <col min="12" max="12" width="16.25" style="82" bestFit="1" customWidth="1"/>
    <col min="13" max="13" width="7.875" style="55" bestFit="1" customWidth="1"/>
    <col min="14" max="16384" width="9" style="55"/>
  </cols>
  <sheetData>
    <row r="1" spans="1:13" ht="24" customHeight="1">
      <c r="A1" s="132" t="s">
        <v>84</v>
      </c>
      <c r="B1" s="132" t="s">
        <v>85</v>
      </c>
      <c r="C1" s="132" t="s">
        <v>12</v>
      </c>
      <c r="D1" s="132" t="s">
        <v>13</v>
      </c>
      <c r="E1" s="131" t="s">
        <v>30</v>
      </c>
      <c r="F1" s="131"/>
      <c r="G1" s="131" t="s">
        <v>86</v>
      </c>
      <c r="H1" s="131"/>
      <c r="I1" s="131" t="s">
        <v>87</v>
      </c>
      <c r="J1" s="131"/>
      <c r="K1" s="131" t="s">
        <v>76</v>
      </c>
      <c r="L1" s="131"/>
      <c r="M1" s="132" t="s">
        <v>18</v>
      </c>
    </row>
    <row r="2" spans="1:13" ht="24" customHeight="1">
      <c r="A2" s="133"/>
      <c r="B2" s="133"/>
      <c r="C2" s="133"/>
      <c r="D2" s="133"/>
      <c r="E2" s="83" t="s">
        <v>19</v>
      </c>
      <c r="F2" s="83" t="s">
        <v>20</v>
      </c>
      <c r="G2" s="83" t="s">
        <v>19</v>
      </c>
      <c r="H2" s="83" t="s">
        <v>20</v>
      </c>
      <c r="I2" s="83" t="s">
        <v>19</v>
      </c>
      <c r="J2" s="83" t="s">
        <v>20</v>
      </c>
      <c r="K2" s="83" t="s">
        <v>19</v>
      </c>
      <c r="L2" s="83" t="s">
        <v>20</v>
      </c>
      <c r="M2" s="133"/>
    </row>
    <row r="3" spans="1:13" ht="24" customHeight="1">
      <c r="A3" s="90" t="s">
        <v>1543</v>
      </c>
      <c r="B3" s="91"/>
      <c r="C3" s="91"/>
      <c r="D3" s="91"/>
      <c r="E3" s="92"/>
      <c r="F3" s="92">
        <f>SUM(F4:F5)</f>
        <v>4245357794</v>
      </c>
      <c r="G3" s="92">
        <f t="shared" ref="G3:L3" si="0">SUM(G4:G5)</f>
        <v>0</v>
      </c>
      <c r="H3" s="92">
        <f t="shared" si="0"/>
        <v>2147353595</v>
      </c>
      <c r="I3" s="92">
        <f t="shared" si="0"/>
        <v>0</v>
      </c>
      <c r="J3" s="92">
        <f t="shared" si="0"/>
        <v>4811196564</v>
      </c>
      <c r="K3" s="92">
        <f t="shared" si="0"/>
        <v>0</v>
      </c>
      <c r="L3" s="92">
        <f t="shared" si="0"/>
        <v>11203907953</v>
      </c>
      <c r="M3" s="91"/>
    </row>
    <row r="4" spans="1:13" ht="24" customHeight="1">
      <c r="A4" s="88" t="str">
        <f>'토목,조경 내역서'!A3</f>
        <v>【 01. 토목·조경 직접공사비 계 】</v>
      </c>
      <c r="B4" s="84"/>
      <c r="C4" s="84"/>
      <c r="D4" s="84"/>
      <c r="E4" s="85"/>
      <c r="F4" s="85">
        <f>'토목,조경 내역서'!F3</f>
        <v>3724120909</v>
      </c>
      <c r="G4" s="85">
        <f>'토목,조경 내역서'!G3</f>
        <v>0</v>
      </c>
      <c r="H4" s="85">
        <f>'토목,조경 내역서'!H3</f>
        <v>1954126620</v>
      </c>
      <c r="I4" s="85">
        <f>'토목,조경 내역서'!I3</f>
        <v>0</v>
      </c>
      <c r="J4" s="85">
        <f>'토목,조경 내역서'!J3</f>
        <v>4800291901</v>
      </c>
      <c r="K4" s="85">
        <f>'토목,조경 내역서'!K3</f>
        <v>0</v>
      </c>
      <c r="L4" s="85">
        <f>'토목,조경 내역서'!L3</f>
        <v>10478539430</v>
      </c>
      <c r="M4" s="84"/>
    </row>
    <row r="5" spans="1:13" ht="24" customHeight="1">
      <c r="A5" s="89" t="str">
        <f>전기!A3</f>
        <v xml:space="preserve">【 02. 전기설비 】 </v>
      </c>
      <c r="B5" s="84"/>
      <c r="C5" s="84"/>
      <c r="D5" s="84"/>
      <c r="E5" s="85"/>
      <c r="F5" s="85">
        <f>전기!F3</f>
        <v>521236885</v>
      </c>
      <c r="G5" s="85">
        <f>전기!G3</f>
        <v>0</v>
      </c>
      <c r="H5" s="85">
        <f>전기!H3</f>
        <v>193226975</v>
      </c>
      <c r="I5" s="85">
        <f>전기!I3</f>
        <v>0</v>
      </c>
      <c r="J5" s="85">
        <f>전기!J3</f>
        <v>10904663</v>
      </c>
      <c r="K5" s="85">
        <f>전기!K3</f>
        <v>0</v>
      </c>
      <c r="L5" s="85">
        <f>전기!L3</f>
        <v>725368523</v>
      </c>
      <c r="M5" s="84"/>
    </row>
    <row r="6" spans="1:13" ht="24" customHeight="1">
      <c r="A6" s="84"/>
      <c r="B6" s="84"/>
      <c r="C6" s="84"/>
      <c r="D6" s="84"/>
      <c r="E6" s="85"/>
      <c r="F6" s="85"/>
      <c r="G6" s="85"/>
      <c r="H6" s="85"/>
      <c r="I6" s="85"/>
      <c r="J6" s="85"/>
      <c r="K6" s="85"/>
      <c r="L6" s="85"/>
      <c r="M6" s="84"/>
    </row>
    <row r="7" spans="1:13" ht="24" customHeight="1">
      <c r="A7" s="84"/>
      <c r="B7" s="84"/>
      <c r="C7" s="84"/>
      <c r="D7" s="84"/>
      <c r="E7" s="85"/>
      <c r="F7" s="85"/>
      <c r="G7" s="85"/>
      <c r="H7" s="85"/>
      <c r="I7" s="85"/>
      <c r="J7" s="85"/>
      <c r="K7" s="85"/>
      <c r="L7" s="85"/>
      <c r="M7" s="84"/>
    </row>
    <row r="8" spans="1:13" ht="24" customHeight="1">
      <c r="A8" s="84"/>
      <c r="B8" s="84"/>
      <c r="C8" s="84"/>
      <c r="D8" s="84"/>
      <c r="E8" s="85"/>
      <c r="F8" s="85"/>
      <c r="G8" s="85"/>
      <c r="H8" s="85"/>
      <c r="I8" s="85"/>
      <c r="J8" s="85"/>
      <c r="K8" s="85"/>
      <c r="L8" s="85"/>
      <c r="M8" s="84"/>
    </row>
    <row r="9" spans="1:13" ht="24" customHeight="1">
      <c r="A9" s="86"/>
      <c r="B9" s="86"/>
      <c r="C9" s="86"/>
      <c r="D9" s="86"/>
      <c r="E9" s="87"/>
      <c r="F9" s="87"/>
      <c r="G9" s="87"/>
      <c r="H9" s="87"/>
      <c r="I9" s="87"/>
      <c r="J9" s="87"/>
      <c r="K9" s="87"/>
      <c r="L9" s="87"/>
      <c r="M9" s="86"/>
    </row>
    <row r="10" spans="1:13" ht="24" customHeight="1">
      <c r="A10" s="86"/>
      <c r="B10" s="86"/>
      <c r="C10" s="86"/>
      <c r="D10" s="86"/>
      <c r="E10" s="87"/>
      <c r="F10" s="87"/>
      <c r="G10" s="87"/>
      <c r="H10" s="87"/>
      <c r="I10" s="87"/>
      <c r="J10" s="87"/>
      <c r="K10" s="87"/>
      <c r="L10" s="87"/>
      <c r="M10" s="86"/>
    </row>
    <row r="11" spans="1:13" ht="24" customHeight="1">
      <c r="A11" s="86"/>
      <c r="B11" s="86"/>
      <c r="C11" s="86"/>
      <c r="D11" s="86"/>
      <c r="E11" s="87"/>
      <c r="F11" s="87"/>
      <c r="G11" s="87"/>
      <c r="H11" s="87"/>
      <c r="I11" s="87"/>
      <c r="J11" s="87"/>
      <c r="K11" s="87"/>
      <c r="L11" s="87"/>
      <c r="M11" s="86"/>
    </row>
    <row r="12" spans="1:13" ht="24" customHeight="1">
      <c r="A12" s="86"/>
      <c r="B12" s="86"/>
      <c r="C12" s="86"/>
      <c r="D12" s="86"/>
      <c r="E12" s="87"/>
      <c r="F12" s="87"/>
      <c r="G12" s="87"/>
      <c r="H12" s="87"/>
      <c r="I12" s="87"/>
      <c r="J12" s="87"/>
      <c r="K12" s="87"/>
      <c r="L12" s="87"/>
      <c r="M12" s="86"/>
    </row>
    <row r="13" spans="1:13" ht="24" customHeight="1">
      <c r="A13" s="86"/>
      <c r="B13" s="86"/>
      <c r="C13" s="86"/>
      <c r="D13" s="86"/>
      <c r="E13" s="87"/>
      <c r="F13" s="87"/>
      <c r="G13" s="87"/>
      <c r="H13" s="87"/>
      <c r="I13" s="87"/>
      <c r="J13" s="87"/>
      <c r="K13" s="87"/>
      <c r="L13" s="87"/>
      <c r="M13" s="86"/>
    </row>
    <row r="14" spans="1:13" ht="24" customHeight="1">
      <c r="A14" s="86"/>
      <c r="B14" s="86"/>
      <c r="C14" s="86"/>
      <c r="D14" s="86"/>
      <c r="E14" s="87"/>
      <c r="F14" s="87"/>
      <c r="G14" s="87"/>
      <c r="H14" s="87"/>
      <c r="I14" s="87"/>
      <c r="J14" s="87"/>
      <c r="K14" s="87"/>
      <c r="L14" s="87"/>
      <c r="M14" s="86"/>
    </row>
    <row r="15" spans="1:13" ht="24" customHeight="1">
      <c r="A15" s="86"/>
      <c r="B15" s="86"/>
      <c r="C15" s="86"/>
      <c r="D15" s="86"/>
      <c r="E15" s="87"/>
      <c r="F15" s="87"/>
      <c r="G15" s="87"/>
      <c r="H15" s="87"/>
      <c r="I15" s="87"/>
      <c r="J15" s="87"/>
      <c r="K15" s="87"/>
      <c r="L15" s="87"/>
      <c r="M15" s="86"/>
    </row>
    <row r="16" spans="1:13" ht="24" customHeight="1">
      <c r="A16" s="86"/>
      <c r="B16" s="86"/>
      <c r="C16" s="86"/>
      <c r="D16" s="86"/>
      <c r="E16" s="87"/>
      <c r="F16" s="87"/>
      <c r="G16" s="87"/>
      <c r="H16" s="87"/>
      <c r="I16" s="87"/>
      <c r="J16" s="87"/>
      <c r="K16" s="87"/>
      <c r="L16" s="87"/>
      <c r="M16" s="86"/>
    </row>
    <row r="17" spans="1:13" ht="24" customHeight="1">
      <c r="A17" s="86"/>
      <c r="B17" s="86"/>
      <c r="C17" s="86"/>
      <c r="D17" s="86"/>
      <c r="E17" s="87"/>
      <c r="F17" s="87"/>
      <c r="G17" s="87"/>
      <c r="H17" s="87"/>
      <c r="I17" s="87"/>
      <c r="J17" s="87"/>
      <c r="K17" s="87"/>
      <c r="L17" s="87"/>
      <c r="M17" s="86"/>
    </row>
    <row r="18" spans="1:13" ht="24" customHeight="1">
      <c r="A18" s="86"/>
      <c r="B18" s="86"/>
      <c r="C18" s="86"/>
      <c r="D18" s="86"/>
      <c r="E18" s="87"/>
      <c r="F18" s="87"/>
      <c r="G18" s="87"/>
      <c r="H18" s="87"/>
      <c r="I18" s="87"/>
      <c r="J18" s="87"/>
      <c r="K18" s="87"/>
      <c r="L18" s="87"/>
      <c r="M18" s="86"/>
    </row>
    <row r="19" spans="1:13" ht="24" customHeight="1">
      <c r="A19" s="86"/>
      <c r="B19" s="86"/>
      <c r="C19" s="86"/>
      <c r="D19" s="86"/>
      <c r="E19" s="87"/>
      <c r="F19" s="87"/>
      <c r="G19" s="87"/>
      <c r="H19" s="87"/>
      <c r="I19" s="87"/>
      <c r="J19" s="87"/>
      <c r="K19" s="87"/>
      <c r="L19" s="87"/>
      <c r="M19" s="86"/>
    </row>
    <row r="20" spans="1:13" ht="24" customHeight="1">
      <c r="A20" s="86"/>
      <c r="B20" s="86"/>
      <c r="C20" s="86"/>
      <c r="D20" s="86"/>
      <c r="E20" s="87"/>
      <c r="F20" s="87"/>
      <c r="G20" s="87"/>
      <c r="H20" s="87"/>
      <c r="I20" s="87"/>
      <c r="J20" s="87"/>
      <c r="K20" s="87"/>
      <c r="L20" s="87"/>
      <c r="M20" s="86"/>
    </row>
    <row r="21" spans="1:13" ht="24" customHeight="1">
      <c r="A21" s="86"/>
      <c r="B21" s="86"/>
      <c r="C21" s="86"/>
      <c r="D21" s="86"/>
      <c r="E21" s="87"/>
      <c r="F21" s="87"/>
      <c r="G21" s="87"/>
      <c r="H21" s="87"/>
      <c r="I21" s="87"/>
      <c r="J21" s="87"/>
      <c r="K21" s="87"/>
      <c r="L21" s="87"/>
      <c r="M21" s="86"/>
    </row>
    <row r="22" spans="1:13" ht="24" customHeight="1">
      <c r="A22" s="86"/>
      <c r="B22" s="86"/>
      <c r="C22" s="86"/>
      <c r="D22" s="86"/>
      <c r="E22" s="87"/>
      <c r="F22" s="87"/>
      <c r="G22" s="87"/>
      <c r="H22" s="87"/>
      <c r="I22" s="87"/>
      <c r="J22" s="87"/>
      <c r="K22" s="87"/>
      <c r="L22" s="87"/>
      <c r="M22" s="86"/>
    </row>
    <row r="23" spans="1:13" ht="24" customHeight="1">
      <c r="A23" s="86"/>
      <c r="B23" s="86"/>
      <c r="C23" s="86"/>
      <c r="D23" s="86"/>
      <c r="E23" s="87"/>
      <c r="F23" s="87"/>
      <c r="G23" s="87"/>
      <c r="H23" s="87"/>
      <c r="I23" s="87"/>
      <c r="J23" s="87"/>
      <c r="K23" s="87"/>
      <c r="L23" s="87"/>
      <c r="M23" s="86"/>
    </row>
    <row r="24" spans="1:13" ht="24" customHeight="1">
      <c r="A24" s="86"/>
      <c r="B24" s="86"/>
      <c r="C24" s="86"/>
      <c r="D24" s="86"/>
      <c r="E24" s="87"/>
      <c r="F24" s="87"/>
      <c r="G24" s="87"/>
      <c r="H24" s="87"/>
      <c r="I24" s="87"/>
      <c r="J24" s="87"/>
      <c r="K24" s="87"/>
      <c r="L24" s="87"/>
      <c r="M24" s="86"/>
    </row>
    <row r="25" spans="1:13" ht="24" customHeight="1">
      <c r="A25" s="86"/>
      <c r="B25" s="86"/>
      <c r="C25" s="86"/>
      <c r="D25" s="86"/>
      <c r="E25" s="87"/>
      <c r="F25" s="87"/>
      <c r="G25" s="87"/>
      <c r="H25" s="87"/>
      <c r="I25" s="87"/>
      <c r="J25" s="87"/>
      <c r="K25" s="87"/>
      <c r="L25" s="87"/>
      <c r="M25" s="86"/>
    </row>
    <row r="26" spans="1:13" ht="24" customHeight="1">
      <c r="A26" s="86"/>
      <c r="B26" s="86"/>
      <c r="C26" s="86"/>
      <c r="D26" s="86"/>
      <c r="E26" s="87"/>
      <c r="F26" s="87"/>
      <c r="G26" s="87"/>
      <c r="H26" s="87"/>
      <c r="I26" s="87"/>
      <c r="J26" s="87"/>
      <c r="K26" s="87"/>
      <c r="L26" s="87"/>
      <c r="M26" s="86"/>
    </row>
    <row r="27" spans="1:13" ht="24" customHeight="1">
      <c r="A27" s="86"/>
      <c r="B27" s="86"/>
      <c r="C27" s="86"/>
      <c r="D27" s="86"/>
      <c r="E27" s="87"/>
      <c r="F27" s="87"/>
      <c r="G27" s="87"/>
      <c r="H27" s="87"/>
      <c r="I27" s="87"/>
      <c r="J27" s="87"/>
      <c r="K27" s="87"/>
      <c r="L27" s="87"/>
      <c r="M27" s="86"/>
    </row>
    <row r="28" spans="1:13" ht="24" customHeight="1">
      <c r="A28" s="86"/>
      <c r="B28" s="86"/>
      <c r="C28" s="86"/>
      <c r="D28" s="86"/>
      <c r="E28" s="87"/>
      <c r="F28" s="87"/>
      <c r="G28" s="87"/>
      <c r="H28" s="87"/>
      <c r="I28" s="87"/>
      <c r="J28" s="87"/>
      <c r="K28" s="87"/>
      <c r="L28" s="87"/>
      <c r="M28" s="86"/>
    </row>
    <row r="29" spans="1:13" ht="24" customHeight="1">
      <c r="A29" s="86"/>
      <c r="B29" s="86"/>
      <c r="C29" s="86"/>
      <c r="D29" s="86"/>
      <c r="E29" s="87"/>
      <c r="F29" s="87"/>
      <c r="G29" s="87"/>
      <c r="H29" s="87"/>
      <c r="I29" s="87"/>
      <c r="J29" s="87"/>
      <c r="K29" s="87"/>
      <c r="L29" s="87"/>
      <c r="M29" s="86"/>
    </row>
    <row r="30" spans="1:13" ht="24" customHeight="1">
      <c r="A30" s="86"/>
      <c r="B30" s="86"/>
      <c r="C30" s="86"/>
      <c r="D30" s="86"/>
      <c r="E30" s="87"/>
      <c r="F30" s="87"/>
      <c r="G30" s="87"/>
      <c r="H30" s="87"/>
      <c r="I30" s="87"/>
      <c r="J30" s="87"/>
      <c r="K30" s="87"/>
      <c r="L30" s="87"/>
      <c r="M30" s="86"/>
    </row>
    <row r="31" spans="1:13" ht="24" customHeight="1">
      <c r="A31" s="86"/>
      <c r="B31" s="86"/>
      <c r="C31" s="86"/>
      <c r="D31" s="86"/>
      <c r="E31" s="87"/>
      <c r="F31" s="87"/>
      <c r="G31" s="87"/>
      <c r="H31" s="87"/>
      <c r="I31" s="87"/>
      <c r="J31" s="87"/>
      <c r="K31" s="87"/>
      <c r="L31" s="87"/>
      <c r="M31" s="86"/>
    </row>
    <row r="32" spans="1:13" ht="24" customHeight="1">
      <c r="A32" s="86"/>
      <c r="B32" s="86"/>
      <c r="C32" s="86"/>
      <c r="D32" s="86"/>
      <c r="E32" s="87"/>
      <c r="F32" s="87"/>
      <c r="G32" s="87"/>
      <c r="H32" s="87"/>
      <c r="I32" s="87"/>
      <c r="J32" s="87"/>
      <c r="K32" s="87"/>
      <c r="L32" s="87"/>
      <c r="M32" s="86"/>
    </row>
    <row r="33" spans="1:13" ht="24" customHeight="1">
      <c r="A33" s="86"/>
      <c r="B33" s="86"/>
      <c r="C33" s="86"/>
      <c r="D33" s="86"/>
      <c r="E33" s="87"/>
      <c r="F33" s="87"/>
      <c r="G33" s="87"/>
      <c r="H33" s="87"/>
      <c r="I33" s="87"/>
      <c r="J33" s="87"/>
      <c r="K33" s="87"/>
      <c r="L33" s="87"/>
      <c r="M33" s="86"/>
    </row>
    <row r="34" spans="1:13" ht="24" customHeight="1">
      <c r="A34" s="86"/>
      <c r="B34" s="86"/>
      <c r="C34" s="86"/>
      <c r="D34" s="86"/>
      <c r="E34" s="87"/>
      <c r="F34" s="87"/>
      <c r="G34" s="87"/>
      <c r="H34" s="87"/>
      <c r="I34" s="87"/>
      <c r="J34" s="87"/>
      <c r="K34" s="87"/>
      <c r="L34" s="87"/>
      <c r="M34" s="86"/>
    </row>
  </sheetData>
  <mergeCells count="9">
    <mergeCell ref="I1:J1"/>
    <mergeCell ref="K1:L1"/>
    <mergeCell ref="M1:M2"/>
    <mergeCell ref="A1:A2"/>
    <mergeCell ref="B1:B2"/>
    <mergeCell ref="C1:C2"/>
    <mergeCell ref="D1:D2"/>
    <mergeCell ref="E1:F1"/>
    <mergeCell ref="G1:H1"/>
  </mergeCells>
  <phoneticPr fontId="13" type="noConversion"/>
  <pageMargins left="0.59055118110236227" right="0.39370078740157483" top="0.59055118110236227" bottom="0.39370078740157483" header="0.51181102362204722" footer="0.51181102362204722"/>
  <pageSetup paperSize="9" scale="6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564"/>
  <sheetViews>
    <sheetView view="pageBreakPreview" zoomScaleNormal="100" zoomScaleSheetLayoutView="100" workbookViewId="0">
      <pane ySplit="2" topLeftCell="A3" activePane="bottomLeft" state="frozen"/>
      <selection activeCell="S24" sqref="S24"/>
      <selection pane="bottomLeft" activeCell="L14" sqref="L14"/>
    </sheetView>
  </sheetViews>
  <sheetFormatPr defaultRowHeight="21" customHeight="1"/>
  <cols>
    <col min="1" max="1" width="34" style="26" customWidth="1"/>
    <col min="2" max="2" width="24" style="26" customWidth="1"/>
    <col min="3" max="3" width="9" style="26" customWidth="1"/>
    <col min="4" max="4" width="6" style="26" customWidth="1"/>
    <col min="5" max="5" width="11" style="26" customWidth="1"/>
    <col min="6" max="6" width="13" style="26" customWidth="1"/>
    <col min="7" max="7" width="11" style="26" customWidth="1"/>
    <col min="8" max="8" width="13" style="26" customWidth="1"/>
    <col min="9" max="9" width="11" style="26" customWidth="1"/>
    <col min="10" max="10" width="13" style="26" customWidth="1"/>
    <col min="11" max="11" width="11" style="26" customWidth="1"/>
    <col min="12" max="12" width="13" style="26" customWidth="1"/>
    <col min="13" max="13" width="12" style="26" customWidth="1"/>
    <col min="14" max="14" width="18.75" style="10" customWidth="1"/>
    <col min="15" max="16384" width="9" style="10"/>
  </cols>
  <sheetData>
    <row r="1" spans="1:14" ht="21" customHeight="1">
      <c r="A1" s="136" t="s">
        <v>84</v>
      </c>
      <c r="B1" s="136" t="s">
        <v>85</v>
      </c>
      <c r="C1" s="136" t="s">
        <v>12</v>
      </c>
      <c r="D1" s="136" t="s">
        <v>13</v>
      </c>
      <c r="E1" s="136" t="s">
        <v>30</v>
      </c>
      <c r="F1" s="136"/>
      <c r="G1" s="136" t="s">
        <v>86</v>
      </c>
      <c r="H1" s="136"/>
      <c r="I1" s="136" t="s">
        <v>87</v>
      </c>
      <c r="J1" s="136"/>
      <c r="K1" s="136" t="s">
        <v>76</v>
      </c>
      <c r="L1" s="136"/>
      <c r="M1" s="136" t="s">
        <v>18</v>
      </c>
    </row>
    <row r="2" spans="1:14" ht="21" customHeight="1">
      <c r="A2" s="136"/>
      <c r="B2" s="136"/>
      <c r="C2" s="136"/>
      <c r="D2" s="136"/>
      <c r="E2" s="13" t="s">
        <v>19</v>
      </c>
      <c r="F2" s="13" t="s">
        <v>20</v>
      </c>
      <c r="G2" s="13" t="s">
        <v>19</v>
      </c>
      <c r="H2" s="13" t="s">
        <v>20</v>
      </c>
      <c r="I2" s="13" t="s">
        <v>19</v>
      </c>
      <c r="J2" s="13" t="s">
        <v>20</v>
      </c>
      <c r="K2" s="13" t="s">
        <v>19</v>
      </c>
      <c r="L2" s="13" t="s">
        <v>20</v>
      </c>
      <c r="M2" s="136"/>
    </row>
    <row r="3" spans="1:14" ht="21" customHeight="1">
      <c r="A3" s="40" t="s">
        <v>1539</v>
      </c>
      <c r="B3" s="41"/>
      <c r="C3" s="41"/>
      <c r="D3" s="41"/>
      <c r="E3" s="41"/>
      <c r="F3" s="42">
        <f>+F4+F20+F28+F34+F45</f>
        <v>3724120909</v>
      </c>
      <c r="G3" s="42"/>
      <c r="H3" s="42">
        <f t="shared" ref="H3:L3" si="0">+H4+H20+H28+H34+H45</f>
        <v>1954126620</v>
      </c>
      <c r="I3" s="42"/>
      <c r="J3" s="42">
        <f t="shared" si="0"/>
        <v>4800291901</v>
      </c>
      <c r="K3" s="42"/>
      <c r="L3" s="42">
        <f t="shared" si="0"/>
        <v>10478539430</v>
      </c>
      <c r="M3" s="41"/>
      <c r="N3" s="27"/>
    </row>
    <row r="4" spans="1:14" ht="21" customHeight="1">
      <c r="A4" s="31" t="s">
        <v>88</v>
      </c>
      <c r="B4" s="37"/>
      <c r="C4" s="37"/>
      <c r="D4" s="37"/>
      <c r="E4" s="37"/>
      <c r="F4" s="38">
        <f>SUM(F5:F19)</f>
        <v>2041994590</v>
      </c>
      <c r="G4" s="38"/>
      <c r="H4" s="38">
        <f t="shared" ref="H4:L4" si="1">SUM(H5:H19)</f>
        <v>1021115015</v>
      </c>
      <c r="I4" s="38"/>
      <c r="J4" s="38">
        <f t="shared" si="1"/>
        <v>2384977654</v>
      </c>
      <c r="K4" s="38"/>
      <c r="L4" s="38">
        <f t="shared" si="1"/>
        <v>5448087259</v>
      </c>
      <c r="M4" s="37"/>
      <c r="N4" s="43"/>
    </row>
    <row r="5" spans="1:14" ht="21" customHeight="1">
      <c r="A5" s="33" t="str">
        <f>+A65</f>
        <v>1. 토     공</v>
      </c>
      <c r="B5" s="28"/>
      <c r="C5" s="28"/>
      <c r="D5" s="28"/>
      <c r="E5" s="28"/>
      <c r="F5" s="29">
        <f>+F65</f>
        <v>126278155</v>
      </c>
      <c r="G5" s="29"/>
      <c r="H5" s="29">
        <f t="shared" ref="H5:M5" si="2">+H65</f>
        <v>156169881</v>
      </c>
      <c r="I5" s="29"/>
      <c r="J5" s="29">
        <f t="shared" si="2"/>
        <v>481743868</v>
      </c>
      <c r="K5" s="29"/>
      <c r="L5" s="29">
        <f t="shared" si="2"/>
        <v>764191904</v>
      </c>
      <c r="M5" s="29">
        <f t="shared" si="2"/>
        <v>0</v>
      </c>
      <c r="N5" s="44"/>
    </row>
    <row r="6" spans="1:14" ht="21" customHeight="1">
      <c r="A6" s="33" t="str">
        <f>+A145</f>
        <v>2. 우 수 공</v>
      </c>
      <c r="B6" s="28"/>
      <c r="C6" s="28"/>
      <c r="D6" s="28"/>
      <c r="E6" s="28"/>
      <c r="F6" s="29">
        <f>+F145</f>
        <v>446797776</v>
      </c>
      <c r="G6" s="29"/>
      <c r="H6" s="29">
        <f t="shared" ref="H6:L6" si="3">+H145</f>
        <v>164585918</v>
      </c>
      <c r="I6" s="29"/>
      <c r="J6" s="29">
        <f t="shared" si="3"/>
        <v>232324824</v>
      </c>
      <c r="K6" s="29"/>
      <c r="L6" s="29">
        <f t="shared" si="3"/>
        <v>843708518</v>
      </c>
      <c r="M6" s="28"/>
    </row>
    <row r="7" spans="1:14" ht="21" customHeight="1">
      <c r="A7" s="33" t="str">
        <f>+A283</f>
        <v>3. 오 수 공</v>
      </c>
      <c r="B7" s="28"/>
      <c r="C7" s="28"/>
      <c r="D7" s="28"/>
      <c r="E7" s="28"/>
      <c r="F7" s="29">
        <f>+F283</f>
        <v>47625602</v>
      </c>
      <c r="G7" s="29"/>
      <c r="H7" s="29">
        <f t="shared" ref="H7:L7" si="4">+H283</f>
        <v>34125578</v>
      </c>
      <c r="I7" s="29"/>
      <c r="J7" s="29">
        <f t="shared" si="4"/>
        <v>37402210</v>
      </c>
      <c r="K7" s="29"/>
      <c r="L7" s="29">
        <f t="shared" si="4"/>
        <v>119153390</v>
      </c>
      <c r="M7" s="28"/>
    </row>
    <row r="8" spans="1:14" ht="21" customHeight="1">
      <c r="A8" s="33" t="str">
        <f>+A352</f>
        <v>4. 상 수 공</v>
      </c>
      <c r="B8" s="28"/>
      <c r="C8" s="28"/>
      <c r="D8" s="28"/>
      <c r="E8" s="28"/>
      <c r="F8" s="29">
        <f>+F352</f>
        <v>130597022</v>
      </c>
      <c r="G8" s="29"/>
      <c r="H8" s="29">
        <f t="shared" ref="H8:L8" si="5">+H352</f>
        <v>84470417</v>
      </c>
      <c r="I8" s="29"/>
      <c r="J8" s="29">
        <f t="shared" si="5"/>
        <v>21214664</v>
      </c>
      <c r="K8" s="29"/>
      <c r="L8" s="29">
        <f t="shared" si="5"/>
        <v>236282103</v>
      </c>
      <c r="M8" s="28"/>
    </row>
    <row r="9" spans="1:14" ht="21" customHeight="1">
      <c r="A9" s="33" t="str">
        <f>+A482</f>
        <v>5. 포 장 공</v>
      </c>
      <c r="B9" s="28"/>
      <c r="C9" s="28"/>
      <c r="D9" s="28"/>
      <c r="E9" s="28"/>
      <c r="F9" s="29">
        <f>+F482</f>
        <v>579476922</v>
      </c>
      <c r="G9" s="29"/>
      <c r="H9" s="29">
        <f t="shared" ref="H9:L9" si="6">+H482</f>
        <v>135390547</v>
      </c>
      <c r="I9" s="29"/>
      <c r="J9" s="29">
        <f t="shared" si="6"/>
        <v>121868378</v>
      </c>
      <c r="K9" s="29"/>
      <c r="L9" s="29">
        <f t="shared" si="6"/>
        <v>836735847</v>
      </c>
      <c r="M9" s="28"/>
    </row>
    <row r="10" spans="1:14" ht="21" customHeight="1">
      <c r="A10" s="33" t="str">
        <f>+A580</f>
        <v>6. 구조물공</v>
      </c>
      <c r="B10" s="28"/>
      <c r="C10" s="28"/>
      <c r="D10" s="28"/>
      <c r="E10" s="28"/>
      <c r="F10" s="29">
        <f>+F580</f>
        <v>55404947</v>
      </c>
      <c r="G10" s="29"/>
      <c r="H10" s="29">
        <f t="shared" ref="H10:L10" si="7">+H580</f>
        <v>32846006</v>
      </c>
      <c r="I10" s="29"/>
      <c r="J10" s="29">
        <f t="shared" si="7"/>
        <v>20683982</v>
      </c>
      <c r="K10" s="29"/>
      <c r="L10" s="29">
        <f t="shared" si="7"/>
        <v>108934935</v>
      </c>
      <c r="M10" s="28"/>
    </row>
    <row r="11" spans="1:14" ht="21" customHeight="1">
      <c r="A11" s="33" t="str">
        <f>+A634</f>
        <v>7. 부 대 공</v>
      </c>
      <c r="B11" s="28"/>
      <c r="C11" s="28"/>
      <c r="D11" s="28"/>
      <c r="E11" s="28"/>
      <c r="F11" s="29">
        <f>+F634</f>
        <v>137267397</v>
      </c>
      <c r="G11" s="29"/>
      <c r="H11" s="29">
        <f t="shared" ref="H11:L11" si="8">+H634</f>
        <v>172060870</v>
      </c>
      <c r="I11" s="29"/>
      <c r="J11" s="29">
        <f t="shared" si="8"/>
        <v>331559738</v>
      </c>
      <c r="K11" s="29"/>
      <c r="L11" s="29">
        <f t="shared" si="8"/>
        <v>640888005</v>
      </c>
      <c r="M11" s="28"/>
    </row>
    <row r="12" spans="1:14" ht="21" customHeight="1">
      <c r="A12" s="33" t="str">
        <f>+A692</f>
        <v>8. 하수처리장</v>
      </c>
      <c r="B12" s="28"/>
      <c r="C12" s="28"/>
      <c r="D12" s="28"/>
      <c r="E12" s="28"/>
      <c r="F12" s="29">
        <f>+F692</f>
        <v>44205670</v>
      </c>
      <c r="G12" s="29"/>
      <c r="H12" s="29">
        <f t="shared" ref="H12:L12" si="9">+H692</f>
        <v>37212134</v>
      </c>
      <c r="I12" s="29"/>
      <c r="J12" s="29">
        <f t="shared" si="9"/>
        <v>334836442</v>
      </c>
      <c r="K12" s="29"/>
      <c r="L12" s="29">
        <f t="shared" si="9"/>
        <v>416254246</v>
      </c>
      <c r="M12" s="28"/>
    </row>
    <row r="13" spans="1:14" ht="21" customHeight="1">
      <c r="A13" s="33" t="str">
        <f>+A773</f>
        <v>9. 지하저류조</v>
      </c>
      <c r="B13" s="28"/>
      <c r="C13" s="28"/>
      <c r="D13" s="28"/>
      <c r="E13" s="28"/>
      <c r="F13" s="29">
        <f>+F773</f>
        <v>396840609</v>
      </c>
      <c r="G13" s="29"/>
      <c r="H13" s="29">
        <f t="shared" ref="H13:L13" si="10">+H773</f>
        <v>147234419</v>
      </c>
      <c r="I13" s="29"/>
      <c r="J13" s="29">
        <f t="shared" si="10"/>
        <v>112134434</v>
      </c>
      <c r="K13" s="29"/>
      <c r="L13" s="29">
        <f t="shared" si="10"/>
        <v>656209462</v>
      </c>
      <c r="M13" s="28"/>
    </row>
    <row r="14" spans="1:14" ht="21" customHeight="1">
      <c r="A14" s="33" t="str">
        <f>+A790</f>
        <v>10. 조 경 공</v>
      </c>
      <c r="B14" s="28"/>
      <c r="C14" s="28"/>
      <c r="D14" s="28"/>
      <c r="E14" s="28"/>
      <c r="F14" s="29">
        <f>+F790</f>
        <v>77500490</v>
      </c>
      <c r="G14" s="29"/>
      <c r="H14" s="29">
        <f t="shared" ref="H14:L14" si="11">+H790</f>
        <v>57019245</v>
      </c>
      <c r="I14" s="29"/>
      <c r="J14" s="29">
        <f t="shared" si="11"/>
        <v>691209114</v>
      </c>
      <c r="K14" s="29"/>
      <c r="L14" s="29">
        <f t="shared" si="11"/>
        <v>825728849</v>
      </c>
      <c r="M14" s="28"/>
    </row>
    <row r="15" spans="1:14" ht="21" customHeight="1">
      <c r="A15" s="33" t="str">
        <f>+A893</f>
        <v>1. GIS DB 구축</v>
      </c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</row>
    <row r="16" spans="1:14" ht="21" customHeight="1">
      <c r="A16" s="33" t="str">
        <f>+A894</f>
        <v>2. 구조검토비</v>
      </c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</row>
    <row r="17" spans="1:13" ht="21" customHeight="1">
      <c r="A17" s="33" t="str">
        <f>+A895</f>
        <v>1. GIS DB 구축</v>
      </c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</row>
    <row r="18" spans="1:13" ht="21" customHeight="1">
      <c r="A18" s="33" t="str">
        <f>+A895</f>
        <v>1. GIS DB 구축</v>
      </c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</row>
    <row r="19" spans="1:13" ht="21" customHeight="1">
      <c r="A19" s="33" t="str">
        <f>+A897</f>
        <v>2. 구조검토비</v>
      </c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</row>
    <row r="20" spans="1:13" ht="21" customHeight="1">
      <c r="A20" s="34" t="str">
        <f>+A900</f>
        <v>【 04. 진입도로 】</v>
      </c>
      <c r="B20" s="35"/>
      <c r="C20" s="35"/>
      <c r="D20" s="35"/>
      <c r="E20" s="35"/>
      <c r="F20" s="36">
        <f>SUM(F21:F26)</f>
        <v>498233494</v>
      </c>
      <c r="G20" s="36"/>
      <c r="H20" s="36">
        <f t="shared" ref="H20:L20" si="12">SUM(H21:H26)</f>
        <v>220907755</v>
      </c>
      <c r="I20" s="36"/>
      <c r="J20" s="36">
        <f t="shared" si="12"/>
        <v>202406558</v>
      </c>
      <c r="K20" s="36"/>
      <c r="L20" s="36">
        <f t="shared" si="12"/>
        <v>921547807</v>
      </c>
      <c r="M20" s="35"/>
    </row>
    <row r="21" spans="1:13" ht="21" customHeight="1">
      <c r="A21" s="33" t="str">
        <f>+A901</f>
        <v>1. 토     공</v>
      </c>
      <c r="B21" s="28"/>
      <c r="C21" s="28"/>
      <c r="D21" s="28"/>
      <c r="E21" s="28"/>
      <c r="F21" s="29">
        <f>+F901</f>
        <v>11833096</v>
      </c>
      <c r="G21" s="29"/>
      <c r="H21" s="29">
        <f t="shared" ref="H21:L21" si="13">+H901</f>
        <v>22879517</v>
      </c>
      <c r="I21" s="29"/>
      <c r="J21" s="29">
        <f t="shared" si="13"/>
        <v>66029706</v>
      </c>
      <c r="K21" s="29"/>
      <c r="L21" s="29">
        <f t="shared" si="13"/>
        <v>100742319</v>
      </c>
      <c r="M21" s="28"/>
    </row>
    <row r="22" spans="1:13" ht="21" customHeight="1">
      <c r="A22" s="33" t="str">
        <f>+A941</f>
        <v>2. 우 수 공</v>
      </c>
      <c r="B22" s="28"/>
      <c r="C22" s="28"/>
      <c r="D22" s="28"/>
      <c r="E22" s="28"/>
      <c r="F22" s="29">
        <f>+F941</f>
        <v>113891806</v>
      </c>
      <c r="G22" s="29"/>
      <c r="H22" s="29">
        <f t="shared" ref="H22:L22" si="14">+H941</f>
        <v>56125531</v>
      </c>
      <c r="I22" s="29"/>
      <c r="J22" s="29">
        <f t="shared" si="14"/>
        <v>58790980</v>
      </c>
      <c r="K22" s="29"/>
      <c r="L22" s="29">
        <f t="shared" si="14"/>
        <v>228808317</v>
      </c>
      <c r="M22" s="28"/>
    </row>
    <row r="23" spans="1:13" ht="21" customHeight="1">
      <c r="A23" s="33" t="str">
        <f>+A997</f>
        <v>3. 상 수 공</v>
      </c>
      <c r="B23" s="28"/>
      <c r="C23" s="28"/>
      <c r="D23" s="28"/>
      <c r="E23" s="28"/>
      <c r="F23" s="29">
        <f>+F997</f>
        <v>19471303</v>
      </c>
      <c r="G23" s="29"/>
      <c r="H23" s="29">
        <f t="shared" ref="H23:L23" si="15">+H997</f>
        <v>14525613</v>
      </c>
      <c r="I23" s="29"/>
      <c r="J23" s="29">
        <f t="shared" si="15"/>
        <v>3648976</v>
      </c>
      <c r="K23" s="29"/>
      <c r="L23" s="29">
        <f t="shared" si="15"/>
        <v>37645892</v>
      </c>
      <c r="M23" s="28"/>
    </row>
    <row r="24" spans="1:13" ht="21" customHeight="1">
      <c r="A24" s="33" t="str">
        <f>+A1040</f>
        <v>4. 포 장 공</v>
      </c>
      <c r="B24" s="28"/>
      <c r="C24" s="28"/>
      <c r="D24" s="28"/>
      <c r="E24" s="28"/>
      <c r="F24" s="33">
        <f>+F1040</f>
        <v>264616882</v>
      </c>
      <c r="G24" s="33"/>
      <c r="H24" s="33">
        <f t="shared" ref="H24:L24" si="16">+H1040</f>
        <v>56155091</v>
      </c>
      <c r="I24" s="33"/>
      <c r="J24" s="33">
        <f t="shared" si="16"/>
        <v>62747940</v>
      </c>
      <c r="K24" s="33"/>
      <c r="L24" s="33">
        <f t="shared" si="16"/>
        <v>383519913</v>
      </c>
      <c r="M24" s="28"/>
    </row>
    <row r="25" spans="1:13" ht="21" customHeight="1">
      <c r="A25" s="33" t="str">
        <f>+A1115</f>
        <v>5. 구조물공</v>
      </c>
      <c r="B25" s="33"/>
      <c r="C25" s="33"/>
      <c r="D25" s="33"/>
      <c r="E25" s="33"/>
      <c r="F25" s="33">
        <f t="shared" ref="F25:L25" si="17">+F1115</f>
        <v>88420407</v>
      </c>
      <c r="G25" s="33"/>
      <c r="H25" s="33">
        <f t="shared" si="17"/>
        <v>69676086</v>
      </c>
      <c r="I25" s="33"/>
      <c r="J25" s="33">
        <f t="shared" si="17"/>
        <v>10657102</v>
      </c>
      <c r="K25" s="33"/>
      <c r="L25" s="33">
        <f t="shared" si="17"/>
        <v>168753595</v>
      </c>
      <c r="M25" s="28"/>
    </row>
    <row r="26" spans="1:13" ht="21" customHeight="1">
      <c r="A26" s="33" t="str">
        <f>+A1145</f>
        <v>6. 부 대 공</v>
      </c>
      <c r="B26" s="33"/>
      <c r="C26" s="33"/>
      <c r="D26" s="33"/>
      <c r="E26" s="33"/>
      <c r="F26" s="33">
        <f t="shared" ref="F26:L26" si="18">+F1145</f>
        <v>0</v>
      </c>
      <c r="G26" s="33"/>
      <c r="H26" s="33">
        <f t="shared" si="18"/>
        <v>1545917</v>
      </c>
      <c r="I26" s="33"/>
      <c r="J26" s="33">
        <f t="shared" si="18"/>
        <v>531854</v>
      </c>
      <c r="K26" s="33"/>
      <c r="L26" s="33">
        <f t="shared" si="18"/>
        <v>2077771</v>
      </c>
      <c r="M26" s="28"/>
    </row>
    <row r="27" spans="1:13" ht="21" customHeight="1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28"/>
    </row>
    <row r="28" spans="1:13" ht="21" customHeight="1">
      <c r="A28" s="31" t="s">
        <v>1222</v>
      </c>
      <c r="B28" s="37"/>
      <c r="C28" s="37"/>
      <c r="D28" s="37"/>
      <c r="E28" s="37"/>
      <c r="F28" s="39">
        <f>SUM(F29:F33)</f>
        <v>703408420</v>
      </c>
      <c r="G28" s="39"/>
      <c r="H28" s="39">
        <f t="shared" ref="H28:L28" si="19">SUM(H29:H33)</f>
        <v>298567599</v>
      </c>
      <c r="I28" s="39"/>
      <c r="J28" s="39">
        <f t="shared" si="19"/>
        <v>214132368</v>
      </c>
      <c r="K28" s="39"/>
      <c r="L28" s="39">
        <f t="shared" si="19"/>
        <v>1216108387</v>
      </c>
      <c r="M28" s="37"/>
    </row>
    <row r="29" spans="1:13" ht="21" customHeight="1">
      <c r="A29" s="33" t="str">
        <f>+A1160</f>
        <v>1. 토     공</v>
      </c>
      <c r="B29" s="30"/>
      <c r="C29" s="30"/>
      <c r="D29" s="30"/>
      <c r="E29" s="30"/>
      <c r="F29" s="33">
        <f t="shared" ref="F29:L29" si="20">+F1160</f>
        <v>2610721</v>
      </c>
      <c r="G29" s="33"/>
      <c r="H29" s="33">
        <f t="shared" si="20"/>
        <v>14497621</v>
      </c>
      <c r="I29" s="33"/>
      <c r="J29" s="33">
        <f t="shared" si="20"/>
        <v>40205248</v>
      </c>
      <c r="K29" s="33"/>
      <c r="L29" s="33">
        <f t="shared" si="20"/>
        <v>57313590</v>
      </c>
      <c r="M29" s="28"/>
    </row>
    <row r="30" spans="1:13" ht="21" customHeight="1">
      <c r="A30" s="33" t="str">
        <f>+A1201</f>
        <v>2. 우 수 공</v>
      </c>
      <c r="B30" s="30"/>
      <c r="C30" s="30"/>
      <c r="D30" s="30"/>
      <c r="E30" s="30"/>
      <c r="F30" s="33">
        <f t="shared" ref="F30:L30" si="21">+F1201</f>
        <v>40232512</v>
      </c>
      <c r="G30" s="33"/>
      <c r="H30" s="33">
        <f t="shared" si="21"/>
        <v>35096610</v>
      </c>
      <c r="I30" s="33"/>
      <c r="J30" s="33">
        <f t="shared" si="21"/>
        <v>38472298</v>
      </c>
      <c r="K30" s="33"/>
      <c r="L30" s="33">
        <f t="shared" si="21"/>
        <v>113801420</v>
      </c>
      <c r="M30" s="28"/>
    </row>
    <row r="31" spans="1:13" ht="21" customHeight="1">
      <c r="A31" s="33" t="str">
        <f>+A1272</f>
        <v>3. 포 장 공</v>
      </c>
      <c r="B31" s="30"/>
      <c r="C31" s="30"/>
      <c r="D31" s="30"/>
      <c r="E31" s="30"/>
      <c r="F31" s="33">
        <f t="shared" ref="F31:L31" si="22">+F1272</f>
        <v>484968879</v>
      </c>
      <c r="G31" s="33"/>
      <c r="H31" s="33">
        <f t="shared" si="22"/>
        <v>109114579</v>
      </c>
      <c r="I31" s="33"/>
      <c r="J31" s="33">
        <f t="shared" si="22"/>
        <v>112940694</v>
      </c>
      <c r="K31" s="33"/>
      <c r="L31" s="33">
        <f t="shared" si="22"/>
        <v>707024152</v>
      </c>
      <c r="M31" s="28"/>
    </row>
    <row r="32" spans="1:13" ht="21" customHeight="1">
      <c r="A32" s="33" t="str">
        <f>+A1344</f>
        <v>4. 구조물공</v>
      </c>
      <c r="B32" s="30"/>
      <c r="C32" s="30"/>
      <c r="D32" s="30"/>
      <c r="E32" s="30"/>
      <c r="F32" s="33">
        <f t="shared" ref="F32:L32" si="23">+F1344</f>
        <v>175596308</v>
      </c>
      <c r="G32" s="33"/>
      <c r="H32" s="33">
        <f t="shared" si="23"/>
        <v>138024451</v>
      </c>
      <c r="I32" s="33"/>
      <c r="J32" s="33">
        <f t="shared" si="23"/>
        <v>22452767</v>
      </c>
      <c r="K32" s="33"/>
      <c r="L32" s="33">
        <f t="shared" si="23"/>
        <v>336073526</v>
      </c>
      <c r="M32" s="28"/>
    </row>
    <row r="33" spans="1:13" ht="21" customHeight="1">
      <c r="A33" s="33" t="str">
        <f>+A1374</f>
        <v>5. 부 대 공</v>
      </c>
      <c r="B33" s="30"/>
      <c r="C33" s="30"/>
      <c r="D33" s="30"/>
      <c r="E33" s="30"/>
      <c r="F33" s="33">
        <f t="shared" ref="F33:L33" si="24">+F1374</f>
        <v>0</v>
      </c>
      <c r="G33" s="33"/>
      <c r="H33" s="33">
        <f t="shared" si="24"/>
        <v>1834338</v>
      </c>
      <c r="I33" s="33"/>
      <c r="J33" s="33">
        <f t="shared" si="24"/>
        <v>61361</v>
      </c>
      <c r="K33" s="33"/>
      <c r="L33" s="33">
        <f t="shared" si="24"/>
        <v>1895699</v>
      </c>
      <c r="M33" s="28"/>
    </row>
    <row r="34" spans="1:13" ht="21" customHeight="1">
      <c r="A34" s="31" t="s">
        <v>1258</v>
      </c>
      <c r="B34" s="37"/>
      <c r="C34" s="37"/>
      <c r="D34" s="37"/>
      <c r="E34" s="37"/>
      <c r="F34" s="39">
        <f>SUM(F35:F44)</f>
        <v>480484405</v>
      </c>
      <c r="G34" s="39"/>
      <c r="H34" s="39">
        <f t="shared" ref="H34:L34" si="25">SUM(H35:H44)</f>
        <v>413536251</v>
      </c>
      <c r="I34" s="39"/>
      <c r="J34" s="39">
        <f t="shared" si="25"/>
        <v>1962353399</v>
      </c>
      <c r="K34" s="39"/>
      <c r="L34" s="39">
        <f t="shared" si="25"/>
        <v>2856374055</v>
      </c>
      <c r="M34" s="37"/>
    </row>
    <row r="35" spans="1:13" ht="21" customHeight="1">
      <c r="A35" s="33" t="str">
        <f>+A1389</f>
        <v>1. 토     공</v>
      </c>
      <c r="B35" s="33"/>
      <c r="C35" s="33"/>
      <c r="D35" s="33"/>
      <c r="E35" s="33"/>
      <c r="F35" s="33">
        <f t="shared" ref="F35:L35" si="26">+F1389</f>
        <v>0</v>
      </c>
      <c r="G35" s="33"/>
      <c r="H35" s="33">
        <f t="shared" si="26"/>
        <v>103878160</v>
      </c>
      <c r="I35" s="33"/>
      <c r="J35" s="33">
        <f t="shared" si="26"/>
        <v>888816168</v>
      </c>
      <c r="K35" s="33"/>
      <c r="L35" s="33">
        <f t="shared" si="26"/>
        <v>992694328</v>
      </c>
      <c r="M35" s="28"/>
    </row>
    <row r="36" spans="1:13" ht="21" customHeight="1">
      <c r="A36" s="33" t="str">
        <f>+A1411</f>
        <v>2. A1</v>
      </c>
      <c r="B36" s="33"/>
      <c r="C36" s="33"/>
      <c r="D36" s="33"/>
      <c r="E36" s="33"/>
      <c r="F36" s="33">
        <f t="shared" ref="F36:L36" si="27">+F1411</f>
        <v>38435289</v>
      </c>
      <c r="G36" s="33"/>
      <c r="H36" s="33">
        <f t="shared" si="27"/>
        <v>28552687</v>
      </c>
      <c r="I36" s="33"/>
      <c r="J36" s="33">
        <f t="shared" si="27"/>
        <v>88297375</v>
      </c>
      <c r="K36" s="33"/>
      <c r="L36" s="33">
        <f t="shared" si="27"/>
        <v>155285351</v>
      </c>
      <c r="M36" s="28"/>
    </row>
    <row r="37" spans="1:13" ht="21" customHeight="1">
      <c r="A37" s="33" t="str">
        <f>+A1427</f>
        <v>3. A2</v>
      </c>
      <c r="B37" s="33"/>
      <c r="C37" s="33"/>
      <c r="D37" s="33"/>
      <c r="E37" s="33"/>
      <c r="F37" s="33">
        <f t="shared" ref="F37:L37" si="28">+F1427</f>
        <v>72135060</v>
      </c>
      <c r="G37" s="33"/>
      <c r="H37" s="33">
        <f t="shared" si="28"/>
        <v>51913040</v>
      </c>
      <c r="I37" s="33"/>
      <c r="J37" s="33">
        <f t="shared" si="28"/>
        <v>457514727</v>
      </c>
      <c r="K37" s="33"/>
      <c r="L37" s="33">
        <f t="shared" si="28"/>
        <v>581562827</v>
      </c>
      <c r="M37" s="28"/>
    </row>
    <row r="38" spans="1:13" ht="21" customHeight="1">
      <c r="A38" s="33" t="str">
        <f>+A1446</f>
        <v>4. A3</v>
      </c>
      <c r="B38" s="33"/>
      <c r="C38" s="33"/>
      <c r="D38" s="33"/>
      <c r="E38" s="33"/>
      <c r="F38" s="33">
        <f t="shared" ref="F38:L38" si="29">+F1446</f>
        <v>71854705</v>
      </c>
      <c r="G38" s="33"/>
      <c r="H38" s="33">
        <f t="shared" si="29"/>
        <v>49167943</v>
      </c>
      <c r="I38" s="33"/>
      <c r="J38" s="33">
        <f t="shared" si="29"/>
        <v>119857181</v>
      </c>
      <c r="K38" s="33"/>
      <c r="L38" s="33">
        <f t="shared" si="29"/>
        <v>240879829</v>
      </c>
      <c r="M38" s="28"/>
    </row>
    <row r="39" spans="1:13" ht="21" customHeight="1">
      <c r="A39" s="33" t="str">
        <f>+A1465</f>
        <v>5. A4</v>
      </c>
      <c r="B39" s="33"/>
      <c r="C39" s="33"/>
      <c r="D39" s="33"/>
      <c r="E39" s="33"/>
      <c r="F39" s="33">
        <f t="shared" ref="F39:L39" si="30">+F1465</f>
        <v>64850156</v>
      </c>
      <c r="G39" s="33"/>
      <c r="H39" s="33">
        <f t="shared" si="30"/>
        <v>43131547</v>
      </c>
      <c r="I39" s="33"/>
      <c r="J39" s="33">
        <f t="shared" si="30"/>
        <v>87335066</v>
      </c>
      <c r="K39" s="33"/>
      <c r="L39" s="33">
        <f t="shared" si="30"/>
        <v>195316769</v>
      </c>
      <c r="M39" s="28"/>
    </row>
    <row r="40" spans="1:13" ht="21" customHeight="1">
      <c r="A40" s="33" t="str">
        <f>+A1482</f>
        <v>6. A5</v>
      </c>
      <c r="B40" s="33"/>
      <c r="C40" s="33"/>
      <c r="D40" s="33"/>
      <c r="E40" s="33"/>
      <c r="F40" s="33">
        <f t="shared" ref="F40:L40" si="31">+F1482</f>
        <v>55462553</v>
      </c>
      <c r="G40" s="33"/>
      <c r="H40" s="33">
        <f t="shared" si="31"/>
        <v>33708290</v>
      </c>
      <c r="I40" s="33"/>
      <c r="J40" s="33">
        <f t="shared" si="31"/>
        <v>74800007</v>
      </c>
      <c r="K40" s="33"/>
      <c r="L40" s="33">
        <f t="shared" si="31"/>
        <v>163970850</v>
      </c>
      <c r="M40" s="28"/>
    </row>
    <row r="41" spans="1:13" ht="21" customHeight="1">
      <c r="A41" s="33" t="str">
        <f>+A1499</f>
        <v>7. B1</v>
      </c>
      <c r="B41" s="33"/>
      <c r="C41" s="33"/>
      <c r="D41" s="33"/>
      <c r="E41" s="33"/>
      <c r="F41" s="33">
        <f t="shared" ref="F41:L41" si="32">+F1499</f>
        <v>72570279</v>
      </c>
      <c r="G41" s="33"/>
      <c r="H41" s="33">
        <f t="shared" si="32"/>
        <v>43028478</v>
      </c>
      <c r="I41" s="33"/>
      <c r="J41" s="33">
        <f t="shared" si="32"/>
        <v>112058050</v>
      </c>
      <c r="K41" s="33"/>
      <c r="L41" s="33">
        <f t="shared" si="32"/>
        <v>227656807</v>
      </c>
      <c r="M41" s="28"/>
    </row>
    <row r="42" spans="1:13" ht="21" customHeight="1">
      <c r="A42" s="33" t="str">
        <f>+A1515</f>
        <v>8. B2</v>
      </c>
      <c r="B42" s="33"/>
      <c r="C42" s="33"/>
      <c r="D42" s="33"/>
      <c r="E42" s="33"/>
      <c r="F42" s="33">
        <f t="shared" ref="F42:L42" si="33">+F1515</f>
        <v>68254430</v>
      </c>
      <c r="G42" s="33"/>
      <c r="H42" s="33">
        <f t="shared" si="33"/>
        <v>43453840</v>
      </c>
      <c r="I42" s="33"/>
      <c r="J42" s="33">
        <f t="shared" si="33"/>
        <v>110943709</v>
      </c>
      <c r="K42" s="33"/>
      <c r="L42" s="33">
        <f t="shared" si="33"/>
        <v>222651979</v>
      </c>
      <c r="M42" s="28"/>
    </row>
    <row r="43" spans="1:13" ht="21" customHeight="1">
      <c r="A43" s="33" t="str">
        <f>+A1531</f>
        <v>9. 지원시설</v>
      </c>
      <c r="B43" s="33"/>
      <c r="C43" s="33"/>
      <c r="D43" s="33"/>
      <c r="E43" s="33"/>
      <c r="F43" s="33">
        <f t="shared" ref="F43:L43" si="34">+F1531</f>
        <v>21494365</v>
      </c>
      <c r="G43" s="33"/>
      <c r="H43" s="33">
        <f t="shared" si="34"/>
        <v>8074797</v>
      </c>
      <c r="I43" s="33"/>
      <c r="J43" s="33">
        <f t="shared" si="34"/>
        <v>17342242</v>
      </c>
      <c r="K43" s="33"/>
      <c r="L43" s="33">
        <f t="shared" si="34"/>
        <v>46911404</v>
      </c>
      <c r="M43" s="28"/>
    </row>
    <row r="44" spans="1:13" ht="21" customHeight="1">
      <c r="A44" s="33" t="str">
        <f>+A1545</f>
        <v>10. 주차장</v>
      </c>
      <c r="B44" s="33"/>
      <c r="C44" s="33"/>
      <c r="D44" s="33"/>
      <c r="E44" s="33"/>
      <c r="F44" s="33">
        <f t="shared" ref="F44:L44" si="35">+F1545</f>
        <v>15427568</v>
      </c>
      <c r="G44" s="33"/>
      <c r="H44" s="33">
        <f t="shared" si="35"/>
        <v>8627469</v>
      </c>
      <c r="I44" s="33"/>
      <c r="J44" s="33">
        <f t="shared" si="35"/>
        <v>5388874</v>
      </c>
      <c r="K44" s="33"/>
      <c r="L44" s="33">
        <f t="shared" si="35"/>
        <v>29443911</v>
      </c>
      <c r="M44" s="28"/>
    </row>
    <row r="45" spans="1:13" ht="21" customHeight="1">
      <c r="A45" s="31" t="s">
        <v>1338</v>
      </c>
      <c r="B45" s="32"/>
      <c r="C45" s="32"/>
      <c r="D45" s="32"/>
      <c r="E45" s="32"/>
      <c r="F45" s="39"/>
      <c r="G45" s="39"/>
      <c r="H45" s="39">
        <f t="shared" ref="H45:L45" si="36">SUM(H46)</f>
        <v>0</v>
      </c>
      <c r="I45" s="39"/>
      <c r="J45" s="39">
        <f t="shared" si="36"/>
        <v>36421922</v>
      </c>
      <c r="K45" s="39"/>
      <c r="L45" s="39">
        <f t="shared" si="36"/>
        <v>36421922</v>
      </c>
      <c r="M45" s="32"/>
    </row>
    <row r="46" spans="1:13" ht="21" customHeight="1">
      <c r="A46" s="33" t="str">
        <f>+A1559</f>
        <v>1. 건설폐기물처리</v>
      </c>
      <c r="B46" s="33"/>
      <c r="C46" s="33"/>
      <c r="D46" s="33"/>
      <c r="E46" s="33"/>
      <c r="F46" s="33"/>
      <c r="G46" s="33"/>
      <c r="H46" s="33">
        <f t="shared" ref="H46:L46" si="37">+H1559</f>
        <v>0</v>
      </c>
      <c r="I46" s="33"/>
      <c r="J46" s="33">
        <f t="shared" si="37"/>
        <v>36421922</v>
      </c>
      <c r="K46" s="33"/>
      <c r="L46" s="33">
        <f t="shared" si="37"/>
        <v>36421922</v>
      </c>
      <c r="M46" s="28"/>
    </row>
    <row r="47" spans="1:13" ht="21" customHeight="1">
      <c r="A47" s="30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</row>
    <row r="48" spans="1:13" ht="21" customHeight="1">
      <c r="A48" s="30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</row>
    <row r="49" spans="1:13" ht="21" customHeight="1">
      <c r="A49" s="30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</row>
    <row r="50" spans="1:13" ht="21" customHeight="1">
      <c r="A50" s="30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</row>
    <row r="51" spans="1:13" ht="21" customHeight="1">
      <c r="A51" s="30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</row>
    <row r="52" spans="1:13" ht="21" customHeight="1">
      <c r="A52" s="30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</row>
    <row r="53" spans="1:13" ht="21" customHeight="1">
      <c r="A53" s="30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</row>
    <row r="54" spans="1:13" ht="21" customHeight="1">
      <c r="A54" s="30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</row>
    <row r="55" spans="1:13" ht="21" customHeight="1">
      <c r="A55" s="30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</row>
    <row r="56" spans="1:13" ht="21" customHeight="1">
      <c r="A56" s="30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</row>
    <row r="57" spans="1:13" ht="21" customHeight="1">
      <c r="A57" s="30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</row>
    <row r="58" spans="1:13" ht="21" customHeight="1">
      <c r="A58" s="30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</row>
    <row r="59" spans="1:13" ht="21" customHeight="1">
      <c r="A59" s="30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</row>
    <row r="60" spans="1:13" ht="21" customHeight="1">
      <c r="A60" s="30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</row>
    <row r="61" spans="1:13" ht="21" customHeight="1">
      <c r="A61" s="30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</row>
    <row r="62" spans="1:13" ht="21" customHeight="1">
      <c r="A62" s="30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</row>
    <row r="63" spans="1:13" ht="21" customHeight="1">
      <c r="A63" s="30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</row>
    <row r="64" spans="1:13" ht="21" customHeight="1">
      <c r="A64" s="30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</row>
    <row r="65" spans="1:14" ht="21" customHeight="1">
      <c r="A65" s="14" t="s">
        <v>89</v>
      </c>
      <c r="B65" s="15"/>
      <c r="C65" s="16"/>
      <c r="D65" s="16"/>
      <c r="E65" s="16"/>
      <c r="F65" s="17">
        <f>SUM(F68:F143)</f>
        <v>126278155</v>
      </c>
      <c r="G65" s="16"/>
      <c r="H65" s="17">
        <f>SUM(H68:H143)</f>
        <v>156169881</v>
      </c>
      <c r="I65" s="16"/>
      <c r="J65" s="17">
        <f>SUM(J68:J143)</f>
        <v>481743868</v>
      </c>
      <c r="K65" s="16"/>
      <c r="L65" s="17">
        <f>F65+H65+J65</f>
        <v>764191904</v>
      </c>
      <c r="M65" s="16"/>
    </row>
    <row r="66" spans="1:14" ht="21" customHeight="1">
      <c r="A66" s="18" t="s">
        <v>90</v>
      </c>
      <c r="B66" s="18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</row>
    <row r="67" spans="1:14" ht="21" customHeight="1">
      <c r="A67" s="18" t="s">
        <v>91</v>
      </c>
      <c r="B67" s="18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</row>
    <row r="68" spans="1:14" ht="21" customHeight="1">
      <c r="A68" s="18" t="s">
        <v>92</v>
      </c>
      <c r="B68" s="18"/>
      <c r="C68" s="20">
        <v>22891</v>
      </c>
      <c r="D68" s="21" t="s">
        <v>93</v>
      </c>
      <c r="E68" s="45">
        <v>331.9991</v>
      </c>
      <c r="F68" s="20">
        <f>ROUND(E68*C68,0)</f>
        <v>7599791</v>
      </c>
      <c r="G68" s="20">
        <v>107.1307</v>
      </c>
      <c r="H68" s="20">
        <f>ROUND(G68*C68,0)</f>
        <v>2452329</v>
      </c>
      <c r="I68" s="20">
        <v>35.003099999999996</v>
      </c>
      <c r="J68" s="20">
        <f>ROUND(I68*C68,0)</f>
        <v>801256</v>
      </c>
      <c r="K68" s="20">
        <f>E68+G68+I68</f>
        <v>474.13290000000001</v>
      </c>
      <c r="L68" s="20">
        <f>F68+H68+J68</f>
        <v>10853376</v>
      </c>
      <c r="M68" s="18"/>
      <c r="N68" s="44"/>
    </row>
    <row r="69" spans="1:14" ht="21" customHeight="1">
      <c r="A69" s="18" t="s">
        <v>94</v>
      </c>
      <c r="B69" s="18"/>
      <c r="C69" s="20">
        <v>22891</v>
      </c>
      <c r="D69" s="21" t="s">
        <v>93</v>
      </c>
      <c r="E69" s="20">
        <v>331.9991</v>
      </c>
      <c r="F69" s="20">
        <f>ROUND(E69*C69,0)</f>
        <v>7599791</v>
      </c>
      <c r="G69" s="20">
        <v>64.702699999999993</v>
      </c>
      <c r="H69" s="20">
        <f>ROUND(G69*C69,0)</f>
        <v>1481110</v>
      </c>
      <c r="I69" s="20">
        <v>35.003099999999996</v>
      </c>
      <c r="J69" s="20">
        <f>ROUND(I69*C69,0)</f>
        <v>801256</v>
      </c>
      <c r="K69" s="20">
        <f>E69+G69+I69</f>
        <v>431.70490000000001</v>
      </c>
      <c r="L69" s="20">
        <f>F69+H69+J69</f>
        <v>9882157</v>
      </c>
      <c r="M69" s="18"/>
      <c r="N69" s="44"/>
    </row>
    <row r="70" spans="1:14" ht="21" customHeight="1">
      <c r="A70" s="18" t="s">
        <v>95</v>
      </c>
      <c r="B70" s="18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44"/>
    </row>
    <row r="71" spans="1:14" ht="21" customHeight="1">
      <c r="A71" s="18" t="s">
        <v>96</v>
      </c>
      <c r="B71" s="18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44"/>
    </row>
    <row r="72" spans="1:14" ht="21" customHeight="1">
      <c r="A72" s="18" t="s">
        <v>97</v>
      </c>
      <c r="B72" s="18" t="s">
        <v>98</v>
      </c>
      <c r="C72" s="20">
        <v>1917</v>
      </c>
      <c r="D72" s="21" t="s">
        <v>99</v>
      </c>
      <c r="E72" s="20">
        <v>1350.2710999999999</v>
      </c>
      <c r="F72" s="20">
        <f>ROUND(E72*C72,0)</f>
        <v>2588470</v>
      </c>
      <c r="G72" s="20">
        <v>0</v>
      </c>
      <c r="H72" s="20">
        <f>ROUND(G72*C72,0)</f>
        <v>0</v>
      </c>
      <c r="I72" s="20">
        <v>0</v>
      </c>
      <c r="J72" s="20">
        <f>ROUND(I72*C72,0)</f>
        <v>0</v>
      </c>
      <c r="K72" s="20">
        <f t="shared" ref="K72:L74" si="38">E72+G72+I72</f>
        <v>1350.2710999999999</v>
      </c>
      <c r="L72" s="20">
        <f t="shared" si="38"/>
        <v>2588470</v>
      </c>
      <c r="M72" s="18"/>
      <c r="N72" s="44"/>
    </row>
    <row r="73" spans="1:14" ht="21" customHeight="1">
      <c r="A73" s="18" t="s">
        <v>100</v>
      </c>
      <c r="B73" s="18" t="s">
        <v>101</v>
      </c>
      <c r="C73" s="20">
        <v>1906</v>
      </c>
      <c r="D73" s="21" t="s">
        <v>99</v>
      </c>
      <c r="E73" s="20">
        <v>5624.8921</v>
      </c>
      <c r="F73" s="20">
        <f>ROUND(E73*C73,0)</f>
        <v>10721044</v>
      </c>
      <c r="G73" s="20">
        <v>0</v>
      </c>
      <c r="H73" s="20">
        <f>ROUND(G73*C73,0)</f>
        <v>0</v>
      </c>
      <c r="I73" s="20">
        <v>0</v>
      </c>
      <c r="J73" s="20">
        <f>ROUND(I73*C73,0)</f>
        <v>0</v>
      </c>
      <c r="K73" s="20">
        <f t="shared" si="38"/>
        <v>5624.8921</v>
      </c>
      <c r="L73" s="20">
        <f t="shared" si="38"/>
        <v>10721044</v>
      </c>
      <c r="M73" s="18"/>
      <c r="N73" s="44"/>
    </row>
    <row r="74" spans="1:14" ht="21" customHeight="1">
      <c r="A74" s="18" t="s">
        <v>102</v>
      </c>
      <c r="B74" s="18" t="s">
        <v>103</v>
      </c>
      <c r="C74" s="20">
        <v>11</v>
      </c>
      <c r="D74" s="21" t="s">
        <v>99</v>
      </c>
      <c r="E74" s="20">
        <v>428522.8</v>
      </c>
      <c r="F74" s="20">
        <f>ROUND(E74*C74,0)</f>
        <v>4713751</v>
      </c>
      <c r="G74" s="20">
        <v>0</v>
      </c>
      <c r="H74" s="20">
        <f>ROUND(G74*C74,0)</f>
        <v>0</v>
      </c>
      <c r="I74" s="20">
        <v>0</v>
      </c>
      <c r="J74" s="20">
        <f>ROUND(I74*C74,0)</f>
        <v>0</v>
      </c>
      <c r="K74" s="20">
        <f t="shared" si="38"/>
        <v>428522.8</v>
      </c>
      <c r="L74" s="20">
        <f t="shared" si="38"/>
        <v>4713751</v>
      </c>
      <c r="M74" s="18"/>
      <c r="N74" s="44"/>
    </row>
    <row r="75" spans="1:14" ht="21" customHeight="1">
      <c r="A75" s="18" t="s">
        <v>104</v>
      </c>
      <c r="B75" s="18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44"/>
    </row>
    <row r="76" spans="1:14" ht="21" customHeight="1">
      <c r="A76" s="18" t="s">
        <v>105</v>
      </c>
      <c r="B76" s="18"/>
      <c r="C76" s="20">
        <v>1082</v>
      </c>
      <c r="D76" s="21" t="s">
        <v>93</v>
      </c>
      <c r="E76" s="20">
        <v>599.29549999999995</v>
      </c>
      <c r="F76" s="20">
        <f>ROUND(E76*C76,0)</f>
        <v>648438</v>
      </c>
      <c r="G76" s="20">
        <v>522.92510000000004</v>
      </c>
      <c r="H76" s="20">
        <f>ROUND(G76*C76,0)</f>
        <v>565805</v>
      </c>
      <c r="I76" s="20">
        <v>0</v>
      </c>
      <c r="J76" s="20">
        <f>ROUND(I76*C76,0)</f>
        <v>0</v>
      </c>
      <c r="K76" s="20">
        <f t="shared" ref="K76:L78" si="39">E76+G76+I76</f>
        <v>1122.2206000000001</v>
      </c>
      <c r="L76" s="20">
        <f t="shared" si="39"/>
        <v>1214243</v>
      </c>
      <c r="M76" s="18"/>
      <c r="N76" s="44"/>
    </row>
    <row r="77" spans="1:14" ht="21" customHeight="1">
      <c r="A77" s="18" t="s">
        <v>106</v>
      </c>
      <c r="B77" s="18" t="s">
        <v>107</v>
      </c>
      <c r="C77" s="20">
        <v>67</v>
      </c>
      <c r="D77" s="21" t="s">
        <v>99</v>
      </c>
      <c r="E77" s="20">
        <v>0</v>
      </c>
      <c r="F77" s="20">
        <f>ROUND(E77*C77,0)</f>
        <v>0</v>
      </c>
      <c r="G77" s="20">
        <v>351.0917</v>
      </c>
      <c r="H77" s="20">
        <f>ROUND(G77*C77,0)</f>
        <v>23523</v>
      </c>
      <c r="I77" s="20">
        <v>1969.7199000000001</v>
      </c>
      <c r="J77" s="20">
        <f>ROUND(I77*C77,0)</f>
        <v>131971</v>
      </c>
      <c r="K77" s="20">
        <f t="shared" si="39"/>
        <v>2320.8116</v>
      </c>
      <c r="L77" s="20">
        <f t="shared" si="39"/>
        <v>155494</v>
      </c>
      <c r="M77" s="18"/>
      <c r="N77" s="44"/>
    </row>
    <row r="78" spans="1:14" ht="21" customHeight="1">
      <c r="A78" s="18" t="s">
        <v>108</v>
      </c>
      <c r="B78" s="18" t="s">
        <v>109</v>
      </c>
      <c r="C78" s="20">
        <v>67</v>
      </c>
      <c r="D78" s="21" t="s">
        <v>99</v>
      </c>
      <c r="E78" s="20">
        <v>0</v>
      </c>
      <c r="F78" s="20">
        <f>ROUND(E78*C78,0)</f>
        <v>0</v>
      </c>
      <c r="G78" s="20">
        <v>704.3048</v>
      </c>
      <c r="H78" s="20">
        <f>ROUND(G78*C78,0)</f>
        <v>47188</v>
      </c>
      <c r="I78" s="20">
        <v>2796.0052000000001</v>
      </c>
      <c r="J78" s="20">
        <f>ROUND(I78*C78,0)</f>
        <v>187332</v>
      </c>
      <c r="K78" s="20">
        <f t="shared" si="39"/>
        <v>3500.31</v>
      </c>
      <c r="L78" s="20">
        <f t="shared" si="39"/>
        <v>234520</v>
      </c>
      <c r="M78" s="18"/>
      <c r="N78" s="44"/>
    </row>
    <row r="79" spans="1:14" ht="21" customHeight="1">
      <c r="A79" s="18" t="s">
        <v>110</v>
      </c>
      <c r="B79" s="18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44"/>
    </row>
    <row r="80" spans="1:14" ht="21" customHeight="1">
      <c r="A80" s="18" t="s">
        <v>111</v>
      </c>
      <c r="B80" s="18" t="s">
        <v>112</v>
      </c>
      <c r="C80" s="20">
        <v>1246</v>
      </c>
      <c r="D80" s="21" t="s">
        <v>93</v>
      </c>
      <c r="E80" s="20">
        <v>6642.1034</v>
      </c>
      <c r="F80" s="20">
        <f>ROUND(E80*C80,0)</f>
        <v>8276061</v>
      </c>
      <c r="G80" s="20">
        <v>1392.6991</v>
      </c>
      <c r="H80" s="20">
        <f>ROUND(G80*C80,0)</f>
        <v>1735303</v>
      </c>
      <c r="I80" s="20">
        <v>0</v>
      </c>
      <c r="J80" s="20">
        <f>ROUND(I80*C80,0)</f>
        <v>0</v>
      </c>
      <c r="K80" s="20">
        <f>E80+G80+I80</f>
        <v>8034.8024999999998</v>
      </c>
      <c r="L80" s="20">
        <f>F80+H80+J80</f>
        <v>10011364</v>
      </c>
      <c r="M80" s="18"/>
      <c r="N80" s="44"/>
    </row>
    <row r="81" spans="1:14" ht="21" customHeight="1">
      <c r="A81" s="18" t="s">
        <v>113</v>
      </c>
      <c r="B81" s="18" t="s">
        <v>114</v>
      </c>
      <c r="C81" s="20">
        <v>1172</v>
      </c>
      <c r="D81" s="21" t="s">
        <v>93</v>
      </c>
      <c r="E81" s="20">
        <v>13284.2068</v>
      </c>
      <c r="F81" s="20">
        <f>ROUND(E81*C81,0)</f>
        <v>15569090</v>
      </c>
      <c r="G81" s="20">
        <v>2785.3982000000001</v>
      </c>
      <c r="H81" s="20">
        <f>ROUND(G81*C81,0)</f>
        <v>3264487</v>
      </c>
      <c r="I81" s="20">
        <v>0</v>
      </c>
      <c r="J81" s="20">
        <f>ROUND(I81*C81,0)</f>
        <v>0</v>
      </c>
      <c r="K81" s="20">
        <f>E81+G81+I81</f>
        <v>16069.605</v>
      </c>
      <c r="L81" s="20">
        <f>F81+H81+J81</f>
        <v>18833577</v>
      </c>
      <c r="M81" s="18"/>
      <c r="N81" s="44"/>
    </row>
    <row r="82" spans="1:14" ht="21" customHeight="1">
      <c r="A82" s="18" t="s">
        <v>115</v>
      </c>
      <c r="B82" s="18"/>
      <c r="C82" s="19"/>
      <c r="D82" s="19"/>
      <c r="E82" s="19"/>
      <c r="F82" s="19"/>
      <c r="G82" s="19"/>
      <c r="H82" s="19"/>
      <c r="I82" s="19">
        <v>0</v>
      </c>
      <c r="J82" s="19"/>
      <c r="K82" s="19"/>
      <c r="L82" s="19"/>
      <c r="M82" s="19"/>
      <c r="N82" s="44"/>
    </row>
    <row r="83" spans="1:14" ht="21" customHeight="1">
      <c r="A83" s="18" t="s">
        <v>116</v>
      </c>
      <c r="B83" s="18"/>
      <c r="C83" s="19"/>
      <c r="D83" s="19"/>
      <c r="E83" s="19"/>
      <c r="F83" s="19"/>
      <c r="G83" s="19"/>
      <c r="H83" s="19"/>
      <c r="I83" s="19">
        <v>0</v>
      </c>
      <c r="J83" s="19"/>
      <c r="K83" s="19"/>
      <c r="L83" s="19"/>
      <c r="M83" s="19"/>
      <c r="N83" s="44"/>
    </row>
    <row r="84" spans="1:14" ht="21" customHeight="1">
      <c r="A84" s="18" t="s">
        <v>117</v>
      </c>
      <c r="B84" s="18" t="s">
        <v>118</v>
      </c>
      <c r="C84" s="20">
        <v>10527</v>
      </c>
      <c r="D84" s="21" t="s">
        <v>99</v>
      </c>
      <c r="E84" s="20">
        <v>0</v>
      </c>
      <c r="F84" s="20">
        <f>ROUND(E84*C84,0)</f>
        <v>0</v>
      </c>
      <c r="G84" s="20"/>
      <c r="H84" s="20">
        <f>ROUND(G84*C84,0)</f>
        <v>0</v>
      </c>
      <c r="I84" s="20">
        <v>1314.2073</v>
      </c>
      <c r="J84" s="20">
        <f>ROUND(I84*C84,0)</f>
        <v>13834660</v>
      </c>
      <c r="K84" s="20">
        <f>E84+G84+I84</f>
        <v>1314.2073</v>
      </c>
      <c r="L84" s="20">
        <f>F84+H84+J84</f>
        <v>13834660</v>
      </c>
      <c r="M84" s="18"/>
      <c r="N84" s="44"/>
    </row>
    <row r="85" spans="1:14" ht="21" customHeight="1">
      <c r="A85" s="18" t="s">
        <v>119</v>
      </c>
      <c r="B85" s="18" t="s">
        <v>120</v>
      </c>
      <c r="C85" s="20">
        <v>72445</v>
      </c>
      <c r="D85" s="21" t="s">
        <v>99</v>
      </c>
      <c r="E85" s="20">
        <v>0</v>
      </c>
      <c r="F85" s="20">
        <f>ROUND(E85*C85,0)</f>
        <v>0</v>
      </c>
      <c r="G85" s="20">
        <v>268.3571</v>
      </c>
      <c r="H85" s="20">
        <f>ROUND(G85*C85,0)</f>
        <v>19441130</v>
      </c>
      <c r="I85" s="20">
        <v>1456.3410999999999</v>
      </c>
      <c r="J85" s="20">
        <f>ROUND(I85*C85,0)</f>
        <v>105504631</v>
      </c>
      <c r="K85" s="20">
        <f>E85+G85+I85</f>
        <v>1724.6981999999998</v>
      </c>
      <c r="L85" s="20">
        <f>F85+H85+J85</f>
        <v>124945761</v>
      </c>
      <c r="M85" s="18"/>
      <c r="N85" s="44"/>
    </row>
    <row r="86" spans="1:14" ht="21" customHeight="1">
      <c r="A86" s="18" t="s">
        <v>121</v>
      </c>
      <c r="B86" s="18"/>
      <c r="C86" s="19"/>
      <c r="D86" s="19"/>
      <c r="E86" s="19">
        <v>0</v>
      </c>
      <c r="F86" s="19"/>
      <c r="G86" s="19">
        <v>0</v>
      </c>
      <c r="H86" s="19"/>
      <c r="I86" s="19">
        <v>0</v>
      </c>
      <c r="J86" s="19"/>
      <c r="K86" s="19"/>
      <c r="L86" s="19"/>
      <c r="M86" s="19"/>
      <c r="N86" s="44"/>
    </row>
    <row r="87" spans="1:14" ht="21" customHeight="1">
      <c r="A87" s="18" t="s">
        <v>122</v>
      </c>
      <c r="B87" s="18" t="s">
        <v>123</v>
      </c>
      <c r="C87" s="20">
        <v>5167</v>
      </c>
      <c r="D87" s="21" t="s">
        <v>99</v>
      </c>
      <c r="E87" s="20">
        <v>0</v>
      </c>
      <c r="F87" s="20">
        <f>ROUND(E87*C87,0)</f>
        <v>0</v>
      </c>
      <c r="G87" s="20">
        <v>273.66059999999999</v>
      </c>
      <c r="H87" s="20">
        <f>ROUND(G87*C87,0)</f>
        <v>1414004</v>
      </c>
      <c r="I87" s="20">
        <v>1861.5284999999999</v>
      </c>
      <c r="J87" s="20">
        <f>ROUND(I87*C87,0)</f>
        <v>9618518</v>
      </c>
      <c r="K87" s="20">
        <f>E87+G87+I87</f>
        <v>2135.1891000000001</v>
      </c>
      <c r="L87" s="20">
        <f>F87+H87+J87</f>
        <v>11032522</v>
      </c>
      <c r="M87" s="18"/>
      <c r="N87" s="44"/>
    </row>
    <row r="88" spans="1:14" ht="21" customHeight="1">
      <c r="A88" s="18" t="s">
        <v>124</v>
      </c>
      <c r="B88" s="18"/>
      <c r="C88" s="19"/>
      <c r="D88" s="19"/>
      <c r="E88" s="19">
        <v>0</v>
      </c>
      <c r="F88" s="19"/>
      <c r="G88" s="19">
        <v>0</v>
      </c>
      <c r="H88" s="19"/>
      <c r="I88" s="19">
        <v>0</v>
      </c>
      <c r="J88" s="19"/>
      <c r="K88" s="19"/>
      <c r="L88" s="19"/>
      <c r="M88" s="19"/>
      <c r="N88" s="44"/>
    </row>
    <row r="89" spans="1:14" ht="21" customHeight="1">
      <c r="A89" s="18" t="s">
        <v>125</v>
      </c>
      <c r="B89" s="18" t="s">
        <v>126</v>
      </c>
      <c r="C89" s="20">
        <v>921</v>
      </c>
      <c r="D89" s="21" t="s">
        <v>99</v>
      </c>
      <c r="E89" s="20">
        <v>0</v>
      </c>
      <c r="F89" s="20">
        <f>ROUND(E89*C89,0)</f>
        <v>0</v>
      </c>
      <c r="G89" s="20">
        <v>407.30880000000002</v>
      </c>
      <c r="H89" s="20">
        <f>ROUND(G89*C89,0)</f>
        <v>375131</v>
      </c>
      <c r="I89" s="20">
        <v>11844.8369</v>
      </c>
      <c r="J89" s="20">
        <f>ROUND(I89*C89,0)</f>
        <v>10909095</v>
      </c>
      <c r="K89" s="20">
        <f>E89+G89+I89</f>
        <v>12252.145700000001</v>
      </c>
      <c r="L89" s="20">
        <f>F89+H89+J89</f>
        <v>11284226</v>
      </c>
      <c r="M89" s="18"/>
      <c r="N89" s="44"/>
    </row>
    <row r="90" spans="1:14" ht="21" customHeight="1">
      <c r="A90" s="18" t="s">
        <v>127</v>
      </c>
      <c r="B90" s="18" t="s">
        <v>128</v>
      </c>
      <c r="C90" s="20">
        <v>0</v>
      </c>
      <c r="D90" s="21" t="s">
        <v>99</v>
      </c>
      <c r="E90" s="20">
        <v>0</v>
      </c>
      <c r="F90" s="20">
        <f>ROUND(E90*C90,0)</f>
        <v>0</v>
      </c>
      <c r="G90" s="20">
        <v>0</v>
      </c>
      <c r="H90" s="20">
        <f>ROUND(G90*C90,0)</f>
        <v>0</v>
      </c>
      <c r="I90" s="20">
        <v>0</v>
      </c>
      <c r="J90" s="20">
        <f>ROUND(I90*C90,0)</f>
        <v>0</v>
      </c>
      <c r="K90" s="20">
        <f>E90+G90+I90</f>
        <v>0</v>
      </c>
      <c r="L90" s="20">
        <f>F90+H90+J90</f>
        <v>0</v>
      </c>
      <c r="M90" s="18"/>
      <c r="N90" s="44"/>
    </row>
    <row r="91" spans="1:14" ht="21" customHeight="1">
      <c r="A91" s="18" t="s">
        <v>129</v>
      </c>
      <c r="B91" s="18"/>
      <c r="C91" s="19"/>
      <c r="D91" s="19"/>
      <c r="E91" s="19">
        <v>0</v>
      </c>
      <c r="F91" s="19"/>
      <c r="G91" s="19">
        <v>0</v>
      </c>
      <c r="H91" s="19"/>
      <c r="I91" s="19">
        <v>0</v>
      </c>
      <c r="J91" s="19"/>
      <c r="K91" s="19"/>
      <c r="L91" s="19"/>
      <c r="M91" s="19"/>
      <c r="N91" s="44"/>
    </row>
    <row r="92" spans="1:14" ht="21" customHeight="1">
      <c r="A92" s="18" t="s">
        <v>125</v>
      </c>
      <c r="B92" s="18" t="s">
        <v>130</v>
      </c>
      <c r="C92" s="20">
        <v>27</v>
      </c>
      <c r="D92" s="21" t="s">
        <v>99</v>
      </c>
      <c r="E92" s="20">
        <v>0</v>
      </c>
      <c r="F92" s="20">
        <f>ROUND(E92*C92,0)</f>
        <v>0</v>
      </c>
      <c r="G92" s="20">
        <v>407.30880000000002</v>
      </c>
      <c r="H92" s="20">
        <f>ROUND(G92*C92,0)</f>
        <v>10997</v>
      </c>
      <c r="I92" s="20">
        <v>7168.2105999999994</v>
      </c>
      <c r="J92" s="20">
        <f>ROUND(I92*C92,0)</f>
        <v>193542</v>
      </c>
      <c r="K92" s="20">
        <f>E92+G92+I92</f>
        <v>7575.5193999999992</v>
      </c>
      <c r="L92" s="20">
        <f>F92+H92+J92</f>
        <v>204539</v>
      </c>
      <c r="M92" s="18"/>
      <c r="N92" s="44"/>
    </row>
    <row r="93" spans="1:14" ht="21" customHeight="1">
      <c r="A93" s="18" t="s">
        <v>131</v>
      </c>
      <c r="B93" s="18"/>
      <c r="C93" s="19"/>
      <c r="D93" s="19"/>
      <c r="E93" s="19">
        <v>0</v>
      </c>
      <c r="F93" s="19"/>
      <c r="G93" s="19">
        <v>0</v>
      </c>
      <c r="H93" s="19"/>
      <c r="I93" s="19">
        <v>0</v>
      </c>
      <c r="J93" s="19"/>
      <c r="K93" s="19"/>
      <c r="L93" s="19"/>
      <c r="M93" s="19"/>
      <c r="N93" s="44"/>
    </row>
    <row r="94" spans="1:14" ht="21" customHeight="1">
      <c r="A94" s="18" t="s">
        <v>132</v>
      </c>
      <c r="B94" s="18" t="s">
        <v>133</v>
      </c>
      <c r="C94" s="20">
        <v>142</v>
      </c>
      <c r="D94" s="21" t="s">
        <v>99</v>
      </c>
      <c r="E94" s="20">
        <v>0</v>
      </c>
      <c r="F94" s="20">
        <f>ROUND(E94*C94,0)</f>
        <v>0</v>
      </c>
      <c r="G94" s="20">
        <v>1392.6991</v>
      </c>
      <c r="H94" s="20">
        <f>ROUND(G94*C94,0)</f>
        <v>197763</v>
      </c>
      <c r="I94" s="20">
        <v>3157.7039</v>
      </c>
      <c r="J94" s="20">
        <f>ROUND(I94*C94,0)</f>
        <v>448394</v>
      </c>
      <c r="K94" s="20">
        <f>E94+G94+I94</f>
        <v>4550.4030000000002</v>
      </c>
      <c r="L94" s="20">
        <f>F94+H94+J94</f>
        <v>646157</v>
      </c>
      <c r="M94" s="18"/>
      <c r="N94" s="44"/>
    </row>
    <row r="95" spans="1:14" ht="21" customHeight="1">
      <c r="A95" s="18" t="s">
        <v>134</v>
      </c>
      <c r="B95" s="18"/>
      <c r="C95" s="19"/>
      <c r="D95" s="19"/>
      <c r="E95" s="19">
        <v>0</v>
      </c>
      <c r="F95" s="19"/>
      <c r="G95" s="19">
        <v>0</v>
      </c>
      <c r="H95" s="19"/>
      <c r="I95" s="19">
        <v>0</v>
      </c>
      <c r="J95" s="19"/>
      <c r="K95" s="19"/>
      <c r="L95" s="19"/>
      <c r="M95" s="19"/>
      <c r="N95" s="44"/>
    </row>
    <row r="96" spans="1:14" ht="21" customHeight="1">
      <c r="A96" s="18" t="s">
        <v>135</v>
      </c>
      <c r="B96" s="18" t="s">
        <v>136</v>
      </c>
      <c r="C96" s="20">
        <v>1325</v>
      </c>
      <c r="D96" s="21" t="s">
        <v>99</v>
      </c>
      <c r="E96" s="20">
        <v>0</v>
      </c>
      <c r="F96" s="20">
        <f>ROUND(E96*C96,0)</f>
        <v>0</v>
      </c>
      <c r="G96" s="20">
        <v>285.32830000000001</v>
      </c>
      <c r="H96" s="20">
        <f>ROUND(G96*C96,0)</f>
        <v>378060</v>
      </c>
      <c r="I96" s="20">
        <v>1594.2320999999999</v>
      </c>
      <c r="J96" s="20">
        <f>ROUND(I96*C96,0)</f>
        <v>2112358</v>
      </c>
      <c r="K96" s="20">
        <f>E96+G96+I96</f>
        <v>1879.5603999999998</v>
      </c>
      <c r="L96" s="20">
        <f>F96+H96+J96</f>
        <v>2490418</v>
      </c>
      <c r="M96" s="18"/>
      <c r="N96" s="44"/>
    </row>
    <row r="97" spans="1:14" ht="21" customHeight="1">
      <c r="A97" s="18" t="s">
        <v>137</v>
      </c>
      <c r="B97" s="18"/>
      <c r="C97" s="19"/>
      <c r="D97" s="19"/>
      <c r="E97" s="19">
        <v>0</v>
      </c>
      <c r="F97" s="19"/>
      <c r="G97" s="19">
        <v>0</v>
      </c>
      <c r="H97" s="19"/>
      <c r="I97" s="19">
        <v>0</v>
      </c>
      <c r="J97" s="19"/>
      <c r="K97" s="19"/>
      <c r="L97" s="19"/>
      <c r="M97" s="19"/>
      <c r="N97" s="44"/>
    </row>
    <row r="98" spans="1:14" ht="21" customHeight="1">
      <c r="A98" s="18" t="s">
        <v>138</v>
      </c>
      <c r="B98" s="18"/>
      <c r="C98" s="19"/>
      <c r="D98" s="19"/>
      <c r="E98" s="19">
        <v>0</v>
      </c>
      <c r="F98" s="19"/>
      <c r="G98" s="19">
        <v>0</v>
      </c>
      <c r="H98" s="19"/>
      <c r="I98" s="19">
        <v>0</v>
      </c>
      <c r="J98" s="19"/>
      <c r="K98" s="19"/>
      <c r="L98" s="19"/>
      <c r="M98" s="19"/>
      <c r="N98" s="44"/>
    </row>
    <row r="99" spans="1:14" ht="21" customHeight="1">
      <c r="A99" s="18" t="s">
        <v>139</v>
      </c>
      <c r="B99" s="18" t="s">
        <v>140</v>
      </c>
      <c r="C99" s="20">
        <v>6499</v>
      </c>
      <c r="D99" s="21" t="s">
        <v>99</v>
      </c>
      <c r="E99" s="20">
        <v>0</v>
      </c>
      <c r="F99" s="20">
        <f>ROUND(E99*C99,0)</f>
        <v>0</v>
      </c>
      <c r="G99" s="20">
        <v>149.55869999999999</v>
      </c>
      <c r="H99" s="20">
        <f>ROUND(G99*C99,0)</f>
        <v>971982</v>
      </c>
      <c r="I99" s="20">
        <v>888.86659999999995</v>
      </c>
      <c r="J99" s="20">
        <f>ROUND(I99*C99,0)</f>
        <v>5776744</v>
      </c>
      <c r="K99" s="20">
        <f>E99+G99+I99</f>
        <v>1038.4252999999999</v>
      </c>
      <c r="L99" s="20">
        <f>F99+H99+J99</f>
        <v>6748726</v>
      </c>
      <c r="M99" s="18"/>
      <c r="N99" s="44"/>
    </row>
    <row r="100" spans="1:14" ht="21" customHeight="1">
      <c r="A100" s="18" t="s">
        <v>141</v>
      </c>
      <c r="B100" s="18" t="s">
        <v>140</v>
      </c>
      <c r="C100" s="20">
        <v>26</v>
      </c>
      <c r="D100" s="21" t="s">
        <v>99</v>
      </c>
      <c r="E100" s="20">
        <v>0</v>
      </c>
      <c r="F100" s="20">
        <f>ROUND(E100*C100,0)</f>
        <v>0</v>
      </c>
      <c r="G100" s="20">
        <v>149.55869999999999</v>
      </c>
      <c r="H100" s="20">
        <f>ROUND(G100*C100,0)</f>
        <v>3889</v>
      </c>
      <c r="I100" s="20">
        <v>888.86659999999995</v>
      </c>
      <c r="J100" s="20">
        <f>ROUND(I100*C100,0)</f>
        <v>23111</v>
      </c>
      <c r="K100" s="20">
        <f>E100+G100+I100</f>
        <v>1038.4252999999999</v>
      </c>
      <c r="L100" s="20">
        <f>F100+H100+J100</f>
        <v>27000</v>
      </c>
      <c r="M100" s="18"/>
      <c r="N100" s="44"/>
    </row>
    <row r="101" spans="1:14" ht="21" customHeight="1">
      <c r="A101" s="18" t="s">
        <v>142</v>
      </c>
      <c r="B101" s="18"/>
      <c r="C101" s="19"/>
      <c r="D101" s="19"/>
      <c r="E101" s="19">
        <v>0</v>
      </c>
      <c r="F101" s="19"/>
      <c r="G101" s="19">
        <v>0</v>
      </c>
      <c r="H101" s="19"/>
      <c r="I101" s="19">
        <v>0</v>
      </c>
      <c r="J101" s="19"/>
      <c r="K101" s="19"/>
      <c r="L101" s="19"/>
      <c r="M101" s="19"/>
      <c r="N101" s="44"/>
    </row>
    <row r="102" spans="1:14" ht="21" customHeight="1">
      <c r="A102" s="18" t="s">
        <v>143</v>
      </c>
      <c r="B102" s="18" t="s">
        <v>144</v>
      </c>
      <c r="C102" s="20">
        <v>1916</v>
      </c>
      <c r="D102" s="21" t="s">
        <v>99</v>
      </c>
      <c r="E102" s="20">
        <v>0</v>
      </c>
      <c r="F102" s="20">
        <f>ROUND(E102*C102,0)</f>
        <v>0</v>
      </c>
      <c r="G102" s="20">
        <v>514.43949999999995</v>
      </c>
      <c r="H102" s="20">
        <f>ROUND(G102*C102,0)</f>
        <v>985666</v>
      </c>
      <c r="I102" s="20">
        <v>2934.9569000000001</v>
      </c>
      <c r="J102" s="20">
        <f>ROUND(I102*C102,0)</f>
        <v>5623377</v>
      </c>
      <c r="K102" s="20">
        <f>E102+G102+I102</f>
        <v>3449.3964000000001</v>
      </c>
      <c r="L102" s="20">
        <f>F102+H102+J102</f>
        <v>6609043</v>
      </c>
      <c r="M102" s="18"/>
      <c r="N102" s="44"/>
    </row>
    <row r="103" spans="1:14" ht="21" customHeight="1">
      <c r="A103" s="18" t="s">
        <v>145</v>
      </c>
      <c r="B103" s="18"/>
      <c r="C103" s="19"/>
      <c r="D103" s="19"/>
      <c r="E103" s="19">
        <v>0</v>
      </c>
      <c r="F103" s="19"/>
      <c r="G103" s="19">
        <v>0</v>
      </c>
      <c r="H103" s="19"/>
      <c r="I103" s="19">
        <v>0</v>
      </c>
      <c r="J103" s="19"/>
      <c r="K103" s="19"/>
      <c r="L103" s="19"/>
      <c r="M103" s="19"/>
      <c r="N103" s="44"/>
    </row>
    <row r="104" spans="1:14" ht="21" customHeight="1">
      <c r="A104" s="18" t="s">
        <v>143</v>
      </c>
      <c r="B104" s="18" t="s">
        <v>146</v>
      </c>
      <c r="C104" s="20">
        <v>16923</v>
      </c>
      <c r="D104" s="21" t="s">
        <v>99</v>
      </c>
      <c r="E104" s="20">
        <v>0</v>
      </c>
      <c r="F104" s="20">
        <f>ROUND(E104*C104,0)</f>
        <v>0</v>
      </c>
      <c r="G104" s="20">
        <v>514.43949999999995</v>
      </c>
      <c r="H104" s="20">
        <f>ROUND(G104*C104,0)</f>
        <v>8705860</v>
      </c>
      <c r="I104" s="20">
        <v>1987.7518</v>
      </c>
      <c r="J104" s="20">
        <f>ROUND(I104*C104,0)</f>
        <v>33638724</v>
      </c>
      <c r="K104" s="20">
        <f>E104+G104+I104</f>
        <v>2502.1913</v>
      </c>
      <c r="L104" s="20">
        <f>F104+H104+J104</f>
        <v>42344584</v>
      </c>
      <c r="M104" s="18"/>
      <c r="N104" s="44"/>
    </row>
    <row r="105" spans="1:14" ht="21" customHeight="1">
      <c r="A105" s="18" t="s">
        <v>147</v>
      </c>
      <c r="B105" s="18"/>
      <c r="C105" s="19"/>
      <c r="D105" s="19"/>
      <c r="E105" s="19">
        <v>0</v>
      </c>
      <c r="F105" s="19"/>
      <c r="G105" s="19">
        <v>0</v>
      </c>
      <c r="H105" s="19"/>
      <c r="I105" s="19">
        <v>0</v>
      </c>
      <c r="J105" s="19"/>
      <c r="K105" s="19"/>
      <c r="L105" s="19"/>
      <c r="M105" s="19"/>
      <c r="N105" s="44"/>
    </row>
    <row r="106" spans="1:14" ht="21" customHeight="1">
      <c r="A106" s="18" t="s">
        <v>143</v>
      </c>
      <c r="B106" s="18" t="s">
        <v>146</v>
      </c>
      <c r="C106" s="20">
        <v>1174</v>
      </c>
      <c r="D106" s="21" t="s">
        <v>99</v>
      </c>
      <c r="E106" s="20">
        <v>0</v>
      </c>
      <c r="F106" s="20">
        <f>ROUND(E106*C106,0)</f>
        <v>0</v>
      </c>
      <c r="G106" s="20">
        <v>514.43949999999995</v>
      </c>
      <c r="H106" s="20">
        <f>ROUND(G106*C106,0)</f>
        <v>603952</v>
      </c>
      <c r="I106" s="20">
        <v>1987.7518</v>
      </c>
      <c r="J106" s="20">
        <f>ROUND(I106*C106,0)</f>
        <v>2333621</v>
      </c>
      <c r="K106" s="20">
        <f>E106+G106+I106</f>
        <v>2502.1913</v>
      </c>
      <c r="L106" s="20">
        <f>F106+H106+J106</f>
        <v>2937573</v>
      </c>
      <c r="M106" s="18"/>
      <c r="N106" s="44"/>
    </row>
    <row r="107" spans="1:14" ht="21" customHeight="1">
      <c r="A107" s="18" t="s">
        <v>148</v>
      </c>
      <c r="B107" s="18"/>
      <c r="C107" s="19"/>
      <c r="D107" s="19"/>
      <c r="E107" s="19">
        <v>0</v>
      </c>
      <c r="F107" s="19"/>
      <c r="G107" s="19">
        <v>0</v>
      </c>
      <c r="H107" s="19"/>
      <c r="I107" s="19">
        <v>0</v>
      </c>
      <c r="J107" s="19"/>
      <c r="K107" s="19"/>
      <c r="L107" s="19"/>
      <c r="M107" s="19"/>
      <c r="N107" s="44"/>
    </row>
    <row r="108" spans="1:14" ht="21" customHeight="1">
      <c r="A108" s="18" t="s">
        <v>149</v>
      </c>
      <c r="B108" s="18"/>
      <c r="C108" s="19"/>
      <c r="D108" s="19"/>
      <c r="E108" s="19">
        <v>0</v>
      </c>
      <c r="F108" s="19"/>
      <c r="G108" s="19">
        <v>0</v>
      </c>
      <c r="H108" s="19"/>
      <c r="I108" s="19">
        <v>0</v>
      </c>
      <c r="J108" s="19"/>
      <c r="K108" s="19"/>
      <c r="L108" s="19"/>
      <c r="M108" s="19"/>
      <c r="N108" s="44"/>
    </row>
    <row r="109" spans="1:14" ht="21" customHeight="1">
      <c r="A109" s="18" t="s">
        <v>150</v>
      </c>
      <c r="B109" s="18"/>
      <c r="C109" s="20">
        <v>5363</v>
      </c>
      <c r="D109" s="21" t="s">
        <v>99</v>
      </c>
      <c r="E109" s="20">
        <v>0</v>
      </c>
      <c r="F109" s="20">
        <f>ROUND(E109*C109,0)</f>
        <v>0</v>
      </c>
      <c r="G109" s="20">
        <v>96.523699999999991</v>
      </c>
      <c r="H109" s="20">
        <f>ROUND(G109*C109,0)</f>
        <v>517657</v>
      </c>
      <c r="I109" s="20">
        <v>549.44259999999997</v>
      </c>
      <c r="J109" s="20">
        <f>ROUND(I109*C109,0)</f>
        <v>2946661</v>
      </c>
      <c r="K109" s="20">
        <f>E109+G109+I109</f>
        <v>645.96629999999993</v>
      </c>
      <c r="L109" s="20">
        <f>F109+H109+J109</f>
        <v>3464318</v>
      </c>
      <c r="M109" s="18"/>
      <c r="N109" s="44"/>
    </row>
    <row r="110" spans="1:14" ht="21" customHeight="1">
      <c r="A110" s="18" t="s">
        <v>151</v>
      </c>
      <c r="B110" s="18"/>
      <c r="C110" s="19"/>
      <c r="D110" s="19"/>
      <c r="E110" s="19">
        <v>0</v>
      </c>
      <c r="F110" s="19"/>
      <c r="G110" s="19">
        <v>0</v>
      </c>
      <c r="H110" s="19"/>
      <c r="I110" s="19">
        <v>0</v>
      </c>
      <c r="J110" s="19"/>
      <c r="K110" s="19"/>
      <c r="L110" s="19"/>
      <c r="M110" s="19"/>
      <c r="N110" s="44"/>
    </row>
    <row r="111" spans="1:14" ht="21" customHeight="1">
      <c r="A111" s="18" t="s">
        <v>152</v>
      </c>
      <c r="B111" s="18" t="s">
        <v>153</v>
      </c>
      <c r="C111" s="20">
        <v>10527</v>
      </c>
      <c r="D111" s="21" t="s">
        <v>99</v>
      </c>
      <c r="E111" s="20">
        <v>0</v>
      </c>
      <c r="F111" s="20">
        <f>ROUND(E111*C111,0)</f>
        <v>0</v>
      </c>
      <c r="G111" s="20">
        <v>85.916699999999992</v>
      </c>
      <c r="H111" s="20">
        <f>ROUND(G111*C111,0)</f>
        <v>904445</v>
      </c>
      <c r="I111" s="20">
        <v>1052.2144000000001</v>
      </c>
      <c r="J111" s="20">
        <f>ROUND(I111*C111,0)</f>
        <v>11076661</v>
      </c>
      <c r="K111" s="20">
        <f>E111+G111+I111</f>
        <v>1138.1311000000001</v>
      </c>
      <c r="L111" s="20">
        <f>F111+H111+J111</f>
        <v>11981106</v>
      </c>
      <c r="M111" s="18"/>
      <c r="N111" s="44"/>
    </row>
    <row r="112" spans="1:14" ht="21" customHeight="1">
      <c r="A112" s="18" t="s">
        <v>154</v>
      </c>
      <c r="B112" s="18" t="s">
        <v>155</v>
      </c>
      <c r="C112" s="20">
        <v>26</v>
      </c>
      <c r="D112" s="21" t="s">
        <v>99</v>
      </c>
      <c r="E112" s="20">
        <v>0</v>
      </c>
      <c r="F112" s="20">
        <f>ROUND(E112*C112,0)</f>
        <v>0</v>
      </c>
      <c r="G112" s="20">
        <v>85.916699999999992</v>
      </c>
      <c r="H112" s="20">
        <f>ROUND(G112*C112,0)</f>
        <v>2234</v>
      </c>
      <c r="I112" s="20">
        <v>1052.2144000000001</v>
      </c>
      <c r="J112" s="20">
        <f>ROUND(I112*C112,0)</f>
        <v>27358</v>
      </c>
      <c r="K112" s="20">
        <f>E112+G112+I112</f>
        <v>1138.1311000000001</v>
      </c>
      <c r="L112" s="20">
        <f>F112+H112+J112</f>
        <v>29592</v>
      </c>
      <c r="M112" s="18"/>
      <c r="N112" s="44"/>
    </row>
    <row r="113" spans="1:14" ht="21" customHeight="1">
      <c r="A113" s="18" t="s">
        <v>156</v>
      </c>
      <c r="B113" s="18"/>
      <c r="C113" s="19"/>
      <c r="D113" s="19"/>
      <c r="E113" s="19">
        <v>0</v>
      </c>
      <c r="F113" s="19"/>
      <c r="G113" s="19">
        <v>0</v>
      </c>
      <c r="H113" s="19"/>
      <c r="I113" s="19">
        <v>0</v>
      </c>
      <c r="J113" s="19"/>
      <c r="K113" s="19"/>
      <c r="L113" s="19"/>
      <c r="M113" s="19"/>
      <c r="N113" s="44"/>
    </row>
    <row r="114" spans="1:14" ht="21" customHeight="1">
      <c r="A114" s="18" t="s">
        <v>157</v>
      </c>
      <c r="B114" s="18" t="s">
        <v>158</v>
      </c>
      <c r="C114" s="20">
        <v>11327</v>
      </c>
      <c r="D114" s="21" t="s">
        <v>99</v>
      </c>
      <c r="E114" s="20">
        <v>0</v>
      </c>
      <c r="F114" s="20">
        <f>ROUND(E114*C114,0)</f>
        <v>0</v>
      </c>
      <c r="G114" s="20">
        <v>289.5711</v>
      </c>
      <c r="H114" s="20">
        <f>ROUND(G114*C114,0)</f>
        <v>3279972</v>
      </c>
      <c r="I114" s="20">
        <v>3251.0454999999997</v>
      </c>
      <c r="J114" s="20">
        <f>ROUND(I114*C114,0)</f>
        <v>36824592</v>
      </c>
      <c r="K114" s="20">
        <f>E114+G114+I114</f>
        <v>3540.6165999999998</v>
      </c>
      <c r="L114" s="20">
        <f>F114+H114+J114</f>
        <v>40104564</v>
      </c>
      <c r="M114" s="18"/>
      <c r="N114" s="44"/>
    </row>
    <row r="115" spans="1:14" ht="21" customHeight="1">
      <c r="A115" s="18" t="s">
        <v>159</v>
      </c>
      <c r="B115" s="18"/>
      <c r="C115" s="19"/>
      <c r="D115" s="19"/>
      <c r="E115" s="19">
        <v>0</v>
      </c>
      <c r="F115" s="19"/>
      <c r="G115" s="19">
        <v>0</v>
      </c>
      <c r="H115" s="19"/>
      <c r="I115" s="19">
        <v>0</v>
      </c>
      <c r="J115" s="19"/>
      <c r="K115" s="19"/>
      <c r="L115" s="19"/>
      <c r="M115" s="19"/>
      <c r="N115" s="44"/>
    </row>
    <row r="116" spans="1:14" ht="21" customHeight="1">
      <c r="A116" s="18" t="s">
        <v>160</v>
      </c>
      <c r="B116" s="18" t="s">
        <v>161</v>
      </c>
      <c r="C116" s="20">
        <v>1134</v>
      </c>
      <c r="D116" s="21" t="s">
        <v>99</v>
      </c>
      <c r="E116" s="20">
        <v>0</v>
      </c>
      <c r="F116" s="20">
        <f>ROUND(E116*C116,0)</f>
        <v>0</v>
      </c>
      <c r="G116" s="20">
        <v>499.58969999999999</v>
      </c>
      <c r="H116" s="20">
        <f>ROUND(G116*C116,0)</f>
        <v>566535</v>
      </c>
      <c r="I116" s="20">
        <v>3607.4407000000001</v>
      </c>
      <c r="J116" s="20">
        <f>ROUND(I116*C116,0)</f>
        <v>4090838</v>
      </c>
      <c r="K116" s="20">
        <f>E116+G116+I116</f>
        <v>4107.0303999999996</v>
      </c>
      <c r="L116" s="20">
        <f>F116+H116+J116</f>
        <v>4657373</v>
      </c>
      <c r="M116" s="18"/>
      <c r="N116" s="44"/>
    </row>
    <row r="117" spans="1:14" ht="21" customHeight="1">
      <c r="A117" s="18" t="s">
        <v>162</v>
      </c>
      <c r="B117" s="18"/>
      <c r="C117" s="19"/>
      <c r="D117" s="19"/>
      <c r="E117" s="19">
        <v>0</v>
      </c>
      <c r="F117" s="19"/>
      <c r="G117" s="19">
        <v>0</v>
      </c>
      <c r="H117" s="19"/>
      <c r="I117" s="19">
        <v>0</v>
      </c>
      <c r="J117" s="19"/>
      <c r="K117" s="19"/>
      <c r="L117" s="19"/>
      <c r="M117" s="19"/>
      <c r="N117" s="44"/>
    </row>
    <row r="118" spans="1:14" ht="21" customHeight="1">
      <c r="A118" s="18" t="s">
        <v>163</v>
      </c>
      <c r="B118" s="18" t="s">
        <v>164</v>
      </c>
      <c r="C118" s="20">
        <v>25804</v>
      </c>
      <c r="D118" s="21" t="s">
        <v>99</v>
      </c>
      <c r="E118" s="20">
        <v>0</v>
      </c>
      <c r="F118" s="20">
        <f>ROUND(E118*C118,0)</f>
        <v>0</v>
      </c>
      <c r="G118" s="20">
        <v>452.91890000000001</v>
      </c>
      <c r="H118" s="20">
        <f>ROUND(G118*C118,0)</f>
        <v>11687119</v>
      </c>
      <c r="I118" s="20">
        <v>3276.5023000000001</v>
      </c>
      <c r="J118" s="20">
        <f>ROUND(I118*C118,0)</f>
        <v>84546865</v>
      </c>
      <c r="K118" s="20">
        <f t="shared" ref="K118:L122" si="40">E118+G118+I118</f>
        <v>3729.4212000000002</v>
      </c>
      <c r="L118" s="20">
        <f t="shared" si="40"/>
        <v>96233984</v>
      </c>
      <c r="M118" s="18"/>
      <c r="N118" s="44"/>
    </row>
    <row r="119" spans="1:14" ht="21" customHeight="1">
      <c r="A119" s="18" t="s">
        <v>165</v>
      </c>
      <c r="B119" s="18" t="s">
        <v>166</v>
      </c>
      <c r="C119" s="20">
        <v>29499</v>
      </c>
      <c r="D119" s="21" t="s">
        <v>99</v>
      </c>
      <c r="E119" s="20">
        <v>0</v>
      </c>
      <c r="F119" s="20">
        <f>ROUND(E119*C119,0)</f>
        <v>0</v>
      </c>
      <c r="G119" s="20">
        <v>447.61539999999997</v>
      </c>
      <c r="H119" s="20">
        <f>ROUND(G119*C119,0)</f>
        <v>13204207</v>
      </c>
      <c r="I119" s="20">
        <v>3236.1956999999998</v>
      </c>
      <c r="J119" s="20">
        <f>ROUND(I119*C119,0)</f>
        <v>95464537</v>
      </c>
      <c r="K119" s="20">
        <f t="shared" si="40"/>
        <v>3683.8110999999999</v>
      </c>
      <c r="L119" s="20">
        <f t="shared" si="40"/>
        <v>108668744</v>
      </c>
      <c r="M119" s="18"/>
      <c r="N119" s="44"/>
    </row>
    <row r="120" spans="1:14" ht="21" customHeight="1">
      <c r="A120" s="18" t="s">
        <v>167</v>
      </c>
      <c r="B120" s="18" t="s">
        <v>168</v>
      </c>
      <c r="C120" s="20">
        <v>5142</v>
      </c>
      <c r="D120" s="21" t="s">
        <v>99</v>
      </c>
      <c r="E120" s="20">
        <v>0</v>
      </c>
      <c r="F120" s="20">
        <f>ROUND(E120*C120,0)</f>
        <v>0</v>
      </c>
      <c r="G120" s="20">
        <v>449.73680000000002</v>
      </c>
      <c r="H120" s="20">
        <f>ROUND(G120*C120,0)</f>
        <v>2312547</v>
      </c>
      <c r="I120" s="20">
        <v>3216.0423999999998</v>
      </c>
      <c r="J120" s="20">
        <f>ROUND(I120*C120,0)</f>
        <v>16536890</v>
      </c>
      <c r="K120" s="20">
        <f t="shared" si="40"/>
        <v>3665.7791999999999</v>
      </c>
      <c r="L120" s="20">
        <f t="shared" si="40"/>
        <v>18849437</v>
      </c>
      <c r="M120" s="18"/>
      <c r="N120" s="44"/>
    </row>
    <row r="121" spans="1:14" ht="21" customHeight="1">
      <c r="A121" s="18" t="s">
        <v>169</v>
      </c>
      <c r="B121" s="18" t="s">
        <v>170</v>
      </c>
      <c r="C121" s="20">
        <v>921</v>
      </c>
      <c r="D121" s="21" t="s">
        <v>99</v>
      </c>
      <c r="E121" s="20">
        <v>0</v>
      </c>
      <c r="F121" s="20">
        <f>ROUND(E121*C121,0)</f>
        <v>0</v>
      </c>
      <c r="G121" s="20">
        <v>621.5702</v>
      </c>
      <c r="H121" s="20">
        <f>ROUND(G121*C121,0)</f>
        <v>572466</v>
      </c>
      <c r="I121" s="20">
        <v>4489.9430999999995</v>
      </c>
      <c r="J121" s="20">
        <f>ROUND(I121*C121,0)</f>
        <v>4135238</v>
      </c>
      <c r="K121" s="20">
        <f t="shared" si="40"/>
        <v>5111.5132999999996</v>
      </c>
      <c r="L121" s="20">
        <f t="shared" si="40"/>
        <v>4707704</v>
      </c>
      <c r="M121" s="18"/>
      <c r="N121" s="44"/>
    </row>
    <row r="122" spans="1:14" ht="21" customHeight="1">
      <c r="A122" s="18" t="s">
        <v>171</v>
      </c>
      <c r="B122" s="18" t="s">
        <v>172</v>
      </c>
      <c r="C122" s="20">
        <v>27</v>
      </c>
      <c r="D122" s="21" t="s">
        <v>99</v>
      </c>
      <c r="E122" s="20">
        <v>0</v>
      </c>
      <c r="F122" s="20">
        <f>ROUND(E122*C122,0)</f>
        <v>0</v>
      </c>
      <c r="G122" s="20">
        <v>621.5702</v>
      </c>
      <c r="H122" s="20">
        <f>ROUND(G122*C122,0)</f>
        <v>16782</v>
      </c>
      <c r="I122" s="20">
        <v>4489.9430999999995</v>
      </c>
      <c r="J122" s="20">
        <f>ROUND(I122*C122,0)</f>
        <v>121228</v>
      </c>
      <c r="K122" s="20">
        <f t="shared" si="40"/>
        <v>5111.5132999999996</v>
      </c>
      <c r="L122" s="20">
        <f t="shared" si="40"/>
        <v>138010</v>
      </c>
      <c r="M122" s="18"/>
      <c r="N122" s="44"/>
    </row>
    <row r="123" spans="1:14" ht="21" customHeight="1">
      <c r="A123" s="18" t="s">
        <v>173</v>
      </c>
      <c r="B123" s="18"/>
      <c r="C123" s="19"/>
      <c r="D123" s="19"/>
      <c r="E123" s="19">
        <v>0</v>
      </c>
      <c r="F123" s="19"/>
      <c r="G123" s="19">
        <v>0</v>
      </c>
      <c r="H123" s="19"/>
      <c r="I123" s="19">
        <v>0</v>
      </c>
      <c r="J123" s="19"/>
      <c r="K123" s="19"/>
      <c r="L123" s="19"/>
      <c r="M123" s="19"/>
      <c r="N123" s="44"/>
    </row>
    <row r="124" spans="1:14" ht="21" customHeight="1">
      <c r="A124" s="18" t="s">
        <v>174</v>
      </c>
      <c r="B124" s="18" t="s">
        <v>175</v>
      </c>
      <c r="C124" s="20">
        <v>4653</v>
      </c>
      <c r="D124" s="21" t="s">
        <v>99</v>
      </c>
      <c r="E124" s="20">
        <v>0</v>
      </c>
      <c r="F124" s="20">
        <f>ROUND(E124*C124,0)</f>
        <v>0</v>
      </c>
      <c r="G124" s="20">
        <v>445.49399999999997</v>
      </c>
      <c r="H124" s="20">
        <f>ROUND(G124*C124,0)</f>
        <v>2072884</v>
      </c>
      <c r="I124" s="20">
        <v>3224.5279999999998</v>
      </c>
      <c r="J124" s="20">
        <f>ROUND(I124*C124,0)</f>
        <v>15003729</v>
      </c>
      <c r="K124" s="20">
        <f>E124+G124+I124</f>
        <v>3670.0219999999999</v>
      </c>
      <c r="L124" s="20">
        <f>F124+H124+J124</f>
        <v>17076613</v>
      </c>
      <c r="M124" s="18"/>
      <c r="N124" s="44"/>
    </row>
    <row r="125" spans="1:14" ht="21" customHeight="1">
      <c r="A125" s="18" t="s">
        <v>176</v>
      </c>
      <c r="B125" s="18"/>
      <c r="C125" s="19"/>
      <c r="D125" s="19"/>
      <c r="E125" s="19">
        <v>0</v>
      </c>
      <c r="F125" s="19"/>
      <c r="G125" s="19">
        <v>0</v>
      </c>
      <c r="H125" s="19"/>
      <c r="I125" s="19">
        <v>0</v>
      </c>
      <c r="J125" s="19"/>
      <c r="K125" s="19"/>
      <c r="L125" s="19"/>
      <c r="M125" s="19"/>
      <c r="N125" s="44"/>
    </row>
    <row r="126" spans="1:14" ht="21" customHeight="1">
      <c r="A126" s="18" t="s">
        <v>177</v>
      </c>
      <c r="B126" s="18" t="s">
        <v>178</v>
      </c>
      <c r="C126" s="20">
        <v>10</v>
      </c>
      <c r="D126" s="21" t="s">
        <v>179</v>
      </c>
      <c r="E126" s="20">
        <v>10713.07</v>
      </c>
      <c r="F126" s="20">
        <f>ROUND(E126*C126,0)</f>
        <v>107131</v>
      </c>
      <c r="G126" s="20">
        <v>75420.012799999997</v>
      </c>
      <c r="H126" s="20">
        <f>ROUND(G126*C126,0)</f>
        <v>754200</v>
      </c>
      <c r="I126" s="20">
        <v>0</v>
      </c>
      <c r="J126" s="20">
        <f>ROUND(I126*C126,0)</f>
        <v>0</v>
      </c>
      <c r="K126" s="20">
        <f>E126+G126+I126</f>
        <v>86133.082800000004</v>
      </c>
      <c r="L126" s="20">
        <f>F126+H126+J126</f>
        <v>861331</v>
      </c>
      <c r="M126" s="18"/>
      <c r="N126" s="44"/>
    </row>
    <row r="127" spans="1:14" ht="21" customHeight="1">
      <c r="A127" s="18" t="s">
        <v>180</v>
      </c>
      <c r="B127" s="18" t="s">
        <v>181</v>
      </c>
      <c r="C127" s="20">
        <v>26</v>
      </c>
      <c r="D127" s="21" t="s">
        <v>179</v>
      </c>
      <c r="E127" s="20">
        <v>34281.824000000001</v>
      </c>
      <c r="F127" s="20">
        <f>ROUND(E127*C127,0)</f>
        <v>891327</v>
      </c>
      <c r="G127" s="20">
        <v>100167.20449999999</v>
      </c>
      <c r="H127" s="20">
        <f>ROUND(G127*C127,0)</f>
        <v>2604347</v>
      </c>
      <c r="I127" s="20">
        <v>0</v>
      </c>
      <c r="J127" s="20">
        <f>ROUND(I127*C127,0)</f>
        <v>0</v>
      </c>
      <c r="K127" s="20">
        <f>E127+G127+I127</f>
        <v>134449.02849999999</v>
      </c>
      <c r="L127" s="20">
        <f>F127+H127+J127</f>
        <v>3495674</v>
      </c>
      <c r="M127" s="18"/>
      <c r="N127" s="44"/>
    </row>
    <row r="128" spans="1:14" ht="21" customHeight="1">
      <c r="A128" s="18" t="s">
        <v>182</v>
      </c>
      <c r="B128" s="18"/>
      <c r="C128" s="19"/>
      <c r="D128" s="19"/>
      <c r="E128" s="19">
        <v>0</v>
      </c>
      <c r="F128" s="19"/>
      <c r="G128" s="19">
        <v>0</v>
      </c>
      <c r="H128" s="19"/>
      <c r="I128" s="19">
        <v>0</v>
      </c>
      <c r="J128" s="19"/>
      <c r="K128" s="19"/>
      <c r="L128" s="19"/>
      <c r="M128" s="19"/>
      <c r="N128" s="44"/>
    </row>
    <row r="129" spans="1:14" ht="21" customHeight="1">
      <c r="A129" s="18" t="s">
        <v>183</v>
      </c>
      <c r="B129" s="18" t="s">
        <v>184</v>
      </c>
      <c r="C129" s="19"/>
      <c r="D129" s="19"/>
      <c r="E129" s="19">
        <v>0</v>
      </c>
      <c r="F129" s="19"/>
      <c r="G129" s="19">
        <v>0</v>
      </c>
      <c r="H129" s="19"/>
      <c r="I129" s="19">
        <v>0</v>
      </c>
      <c r="J129" s="19"/>
      <c r="K129" s="19"/>
      <c r="L129" s="19"/>
      <c r="M129" s="19"/>
      <c r="N129" s="44"/>
    </row>
    <row r="130" spans="1:14" ht="21" customHeight="1">
      <c r="A130" s="18" t="s">
        <v>185</v>
      </c>
      <c r="B130" s="18"/>
      <c r="C130" s="20">
        <v>18</v>
      </c>
      <c r="D130" s="21" t="s">
        <v>186</v>
      </c>
      <c r="E130" s="20">
        <v>59993.191999999995</v>
      </c>
      <c r="F130" s="20">
        <f>ROUND(E130*C130,0)</f>
        <v>1079877</v>
      </c>
      <c r="G130" s="20">
        <v>182122.19</v>
      </c>
      <c r="H130" s="20">
        <f>ROUND(G130*C130,0)</f>
        <v>3278199</v>
      </c>
      <c r="I130" s="20">
        <v>0</v>
      </c>
      <c r="J130" s="20">
        <f>ROUND(I130*C130,0)</f>
        <v>0</v>
      </c>
      <c r="K130" s="20">
        <f t="shared" ref="K130:L133" si="41">E130+G130+I130</f>
        <v>242115.38199999998</v>
      </c>
      <c r="L130" s="20">
        <f t="shared" si="41"/>
        <v>4358076</v>
      </c>
      <c r="M130" s="18"/>
      <c r="N130" s="44"/>
    </row>
    <row r="131" spans="1:14" ht="21" customHeight="1">
      <c r="A131" s="18" t="s">
        <v>187</v>
      </c>
      <c r="B131" s="18"/>
      <c r="C131" s="20">
        <v>9</v>
      </c>
      <c r="D131" s="21" t="s">
        <v>186</v>
      </c>
      <c r="E131" s="20">
        <v>59993.191999999995</v>
      </c>
      <c r="F131" s="20">
        <f>ROUND(E131*C131,0)</f>
        <v>539939</v>
      </c>
      <c r="G131" s="20">
        <v>128556.84</v>
      </c>
      <c r="H131" s="20">
        <f>ROUND(G131*C131,0)</f>
        <v>1157012</v>
      </c>
      <c r="I131" s="20">
        <v>0</v>
      </c>
      <c r="J131" s="20">
        <f>ROUND(I131*C131,0)</f>
        <v>0</v>
      </c>
      <c r="K131" s="20">
        <f t="shared" si="41"/>
        <v>188550.03200000001</v>
      </c>
      <c r="L131" s="20">
        <f t="shared" si="41"/>
        <v>1696951</v>
      </c>
      <c r="M131" s="18"/>
      <c r="N131" s="44"/>
    </row>
    <row r="132" spans="1:14" ht="21" customHeight="1">
      <c r="A132" s="18" t="s">
        <v>188</v>
      </c>
      <c r="B132" s="18" t="s">
        <v>189</v>
      </c>
      <c r="C132" s="20">
        <v>386</v>
      </c>
      <c r="D132" s="21" t="s">
        <v>190</v>
      </c>
      <c r="E132" s="20">
        <v>8570.4560000000001</v>
      </c>
      <c r="F132" s="20">
        <f>ROUND(E132*C132,0)</f>
        <v>3308196</v>
      </c>
      <c r="G132" s="20">
        <v>8570.4560000000001</v>
      </c>
      <c r="H132" s="20">
        <f>ROUND(G132*C132,0)</f>
        <v>3308196</v>
      </c>
      <c r="I132" s="20">
        <v>0</v>
      </c>
      <c r="J132" s="20">
        <f>ROUND(I132*C132,0)</f>
        <v>0</v>
      </c>
      <c r="K132" s="20">
        <f t="shared" si="41"/>
        <v>17140.912</v>
      </c>
      <c r="L132" s="20">
        <f t="shared" si="41"/>
        <v>6616392</v>
      </c>
      <c r="M132" s="18"/>
      <c r="N132" s="44"/>
    </row>
    <row r="133" spans="1:14" ht="21" customHeight="1">
      <c r="A133" s="18" t="s">
        <v>191</v>
      </c>
      <c r="B133" s="18" t="s">
        <v>192</v>
      </c>
      <c r="C133" s="20">
        <v>64</v>
      </c>
      <c r="D133" s="21" t="s">
        <v>193</v>
      </c>
      <c r="E133" s="20">
        <v>0</v>
      </c>
      <c r="F133" s="20">
        <f>ROUND(E133*C133,0)</f>
        <v>0</v>
      </c>
      <c r="G133" s="20">
        <v>17140.912</v>
      </c>
      <c r="H133" s="20">
        <f>ROUND(G133*C133,0)</f>
        <v>1097018</v>
      </c>
      <c r="I133" s="20">
        <v>0</v>
      </c>
      <c r="J133" s="20">
        <f>ROUND(I133*C133,0)</f>
        <v>0</v>
      </c>
      <c r="K133" s="20">
        <f t="shared" si="41"/>
        <v>17140.912</v>
      </c>
      <c r="L133" s="20">
        <f t="shared" si="41"/>
        <v>1097018</v>
      </c>
      <c r="M133" s="18"/>
      <c r="N133" s="44"/>
    </row>
    <row r="134" spans="1:14" ht="21" customHeight="1">
      <c r="A134" s="18" t="s">
        <v>194</v>
      </c>
      <c r="B134" s="18"/>
      <c r="C134" s="19"/>
      <c r="D134" s="19"/>
      <c r="E134" s="19">
        <v>0</v>
      </c>
      <c r="F134" s="19"/>
      <c r="G134" s="19">
        <v>0</v>
      </c>
      <c r="H134" s="19"/>
      <c r="I134" s="19">
        <v>0</v>
      </c>
      <c r="J134" s="19"/>
      <c r="K134" s="19"/>
      <c r="L134" s="19"/>
      <c r="M134" s="19"/>
      <c r="N134" s="44"/>
    </row>
    <row r="135" spans="1:14" ht="21" customHeight="1">
      <c r="A135" s="18" t="s">
        <v>195</v>
      </c>
      <c r="B135" s="18" t="s">
        <v>196</v>
      </c>
      <c r="C135" s="20">
        <v>381</v>
      </c>
      <c r="D135" s="21" t="s">
        <v>190</v>
      </c>
      <c r="E135" s="20">
        <v>152339.8554</v>
      </c>
      <c r="F135" s="20">
        <f>ROUND(E135*C135,0)</f>
        <v>58041485</v>
      </c>
      <c r="G135" s="20">
        <v>141412.524</v>
      </c>
      <c r="H135" s="20">
        <f>ROUND(G135*C135,0)</f>
        <v>53878172</v>
      </c>
      <c r="I135" s="20">
        <v>24556.2657</v>
      </c>
      <c r="J135" s="20">
        <f>ROUND(I135*C135,0)</f>
        <v>9355937</v>
      </c>
      <c r="K135" s="20">
        <f t="shared" ref="K135:L137" si="42">E135+G135+I135</f>
        <v>318308.64509999997</v>
      </c>
      <c r="L135" s="20">
        <f t="shared" si="42"/>
        <v>121275594</v>
      </c>
      <c r="M135" s="18"/>
      <c r="N135" s="44"/>
    </row>
    <row r="136" spans="1:14" ht="21" customHeight="1">
      <c r="A136" s="18" t="s">
        <v>197</v>
      </c>
      <c r="B136" s="18" t="s">
        <v>198</v>
      </c>
      <c r="C136" s="20">
        <v>5</v>
      </c>
      <c r="D136" s="21" t="s">
        <v>190</v>
      </c>
      <c r="E136" s="20">
        <v>257113.68</v>
      </c>
      <c r="F136" s="20">
        <f>ROUND(E136*C136,0)</f>
        <v>1285568</v>
      </c>
      <c r="G136" s="20">
        <v>267826.75</v>
      </c>
      <c r="H136" s="20">
        <f>ROUND(G136*C136,0)</f>
        <v>1339134</v>
      </c>
      <c r="I136" s="20">
        <v>70162.122900000002</v>
      </c>
      <c r="J136" s="20">
        <f>ROUND(I136*C136,0)</f>
        <v>350811</v>
      </c>
      <c r="K136" s="20">
        <f t="shared" si="42"/>
        <v>595102.55289999989</v>
      </c>
      <c r="L136" s="20">
        <f t="shared" si="42"/>
        <v>2975513</v>
      </c>
      <c r="M136" s="18"/>
      <c r="N136" s="44"/>
    </row>
    <row r="137" spans="1:14" ht="21" customHeight="1">
      <c r="A137" s="18" t="s">
        <v>199</v>
      </c>
      <c r="B137" s="18" t="s">
        <v>200</v>
      </c>
      <c r="C137" s="20">
        <v>386</v>
      </c>
      <c r="D137" s="21" t="s">
        <v>201</v>
      </c>
      <c r="E137" s="20">
        <v>8570.4560000000001</v>
      </c>
      <c r="F137" s="20">
        <f>ROUND(E137*C137,0)</f>
        <v>3308196</v>
      </c>
      <c r="G137" s="20">
        <v>22207.875899999999</v>
      </c>
      <c r="H137" s="20">
        <f>ROUND(G137*C137,0)</f>
        <v>8572240</v>
      </c>
      <c r="I137" s="20">
        <v>0</v>
      </c>
      <c r="J137" s="20">
        <f>ROUND(I137*C137,0)</f>
        <v>0</v>
      </c>
      <c r="K137" s="20">
        <f t="shared" si="42"/>
        <v>30778.331899999997</v>
      </c>
      <c r="L137" s="20">
        <f t="shared" si="42"/>
        <v>11880436</v>
      </c>
      <c r="M137" s="18"/>
      <c r="N137" s="44"/>
    </row>
    <row r="138" spans="1:14" ht="21" customHeight="1">
      <c r="A138" s="18" t="s">
        <v>202</v>
      </c>
      <c r="B138" s="18"/>
      <c r="C138" s="19"/>
      <c r="D138" s="19"/>
      <c r="E138" s="19">
        <v>0</v>
      </c>
      <c r="F138" s="19"/>
      <c r="G138" s="19">
        <v>0</v>
      </c>
      <c r="H138" s="19"/>
      <c r="I138" s="19">
        <v>0</v>
      </c>
      <c r="J138" s="19"/>
      <c r="K138" s="19"/>
      <c r="L138" s="19"/>
      <c r="M138" s="19"/>
      <c r="N138" s="44"/>
    </row>
    <row r="139" spans="1:14" ht="21" customHeight="1">
      <c r="A139" s="18" t="s">
        <v>203</v>
      </c>
      <c r="B139" s="18"/>
      <c r="C139" s="19"/>
      <c r="D139" s="19"/>
      <c r="E139" s="19">
        <v>0</v>
      </c>
      <c r="F139" s="19"/>
      <c r="G139" s="19">
        <v>0</v>
      </c>
      <c r="H139" s="19"/>
      <c r="I139" s="19">
        <v>0</v>
      </c>
      <c r="J139" s="19"/>
      <c r="K139" s="19"/>
      <c r="L139" s="19"/>
      <c r="M139" s="19"/>
      <c r="N139" s="44"/>
    </row>
    <row r="140" spans="1:14" ht="21" customHeight="1">
      <c r="A140" s="18" t="s">
        <v>204</v>
      </c>
      <c r="B140" s="18" t="s">
        <v>205</v>
      </c>
      <c r="C140" s="20">
        <v>149</v>
      </c>
      <c r="D140" s="21" t="s">
        <v>99</v>
      </c>
      <c r="E140" s="20">
        <v>0</v>
      </c>
      <c r="F140" s="20">
        <f>ROUND(E140*C140,0)</f>
        <v>0</v>
      </c>
      <c r="G140" s="20">
        <v>9534.6322999999993</v>
      </c>
      <c r="H140" s="20">
        <f>ROUND(G140*C140,0)</f>
        <v>1420660</v>
      </c>
      <c r="I140" s="20">
        <v>34028.316699999996</v>
      </c>
      <c r="J140" s="20">
        <f>ROUND(I140*C140,0)</f>
        <v>5070219</v>
      </c>
      <c r="K140" s="20">
        <f>E140+G140+I140</f>
        <v>43562.948999999993</v>
      </c>
      <c r="L140" s="20">
        <f>F140+H140+J140</f>
        <v>6490879</v>
      </c>
      <c r="M140" s="18"/>
      <c r="N140" s="44"/>
    </row>
    <row r="141" spans="1:14" ht="21" customHeight="1">
      <c r="A141" s="18" t="s">
        <v>206</v>
      </c>
      <c r="B141" s="18" t="s">
        <v>205</v>
      </c>
      <c r="C141" s="20">
        <v>132</v>
      </c>
      <c r="D141" s="21" t="s">
        <v>99</v>
      </c>
      <c r="E141" s="20">
        <v>0</v>
      </c>
      <c r="F141" s="20">
        <f>ROUND(E141*C141,0)</f>
        <v>0</v>
      </c>
      <c r="G141" s="20">
        <v>5035.1428999999998</v>
      </c>
      <c r="H141" s="20">
        <f>ROUND(G141*C141,0)</f>
        <v>664639</v>
      </c>
      <c r="I141" s="20">
        <v>27246.2009</v>
      </c>
      <c r="J141" s="20">
        <f>ROUND(I141*C141,0)</f>
        <v>3596499</v>
      </c>
      <c r="K141" s="20">
        <f>E141+G141+I141</f>
        <v>32281.343799999999</v>
      </c>
      <c r="L141" s="20">
        <f>F141+H141+J141</f>
        <v>4261138</v>
      </c>
      <c r="M141" s="18"/>
      <c r="N141" s="44"/>
    </row>
    <row r="142" spans="1:14" ht="21" customHeight="1">
      <c r="A142" s="18" t="s">
        <v>207</v>
      </c>
      <c r="B142" s="18"/>
      <c r="C142" s="19"/>
      <c r="D142" s="19"/>
      <c r="E142" s="19">
        <v>0</v>
      </c>
      <c r="F142" s="19"/>
      <c r="G142" s="19">
        <v>0</v>
      </c>
      <c r="H142" s="19"/>
      <c r="I142" s="19">
        <v>0</v>
      </c>
      <c r="J142" s="19"/>
      <c r="K142" s="19"/>
      <c r="L142" s="19"/>
      <c r="M142" s="19"/>
      <c r="N142" s="44"/>
    </row>
    <row r="143" spans="1:14" ht="21" customHeight="1">
      <c r="A143" s="18" t="s">
        <v>208</v>
      </c>
      <c r="B143" s="18" t="s">
        <v>209</v>
      </c>
      <c r="C143" s="20">
        <v>281</v>
      </c>
      <c r="D143" s="21" t="s">
        <v>99</v>
      </c>
      <c r="E143" s="20">
        <v>0</v>
      </c>
      <c r="F143" s="20">
        <f>ROUND(E143*C143,0)</f>
        <v>0</v>
      </c>
      <c r="G143" s="20">
        <v>1071.307</v>
      </c>
      <c r="H143" s="20">
        <f>ROUND(G143*C143,0)</f>
        <v>301037</v>
      </c>
      <c r="I143" s="20">
        <v>2338.8434999999999</v>
      </c>
      <c r="J143" s="20">
        <f>ROUND(I143*C143,0)</f>
        <v>657215</v>
      </c>
      <c r="K143" s="20">
        <f>E143+G143+I143</f>
        <v>3410.1504999999997</v>
      </c>
      <c r="L143" s="20">
        <f>F143+H143+J143</f>
        <v>958252</v>
      </c>
      <c r="M143" s="18"/>
      <c r="N143" s="44"/>
    </row>
    <row r="144" spans="1:14" ht="21" customHeight="1">
      <c r="A144" s="18"/>
      <c r="B144" s="18"/>
      <c r="C144" s="20"/>
      <c r="D144" s="21"/>
      <c r="E144" s="20"/>
      <c r="F144" s="20"/>
      <c r="G144" s="20"/>
      <c r="H144" s="20"/>
      <c r="I144" s="20"/>
      <c r="J144" s="20"/>
      <c r="K144" s="20"/>
      <c r="L144" s="20"/>
      <c r="M144" s="18"/>
      <c r="N144" s="44"/>
    </row>
    <row r="145" spans="1:14" ht="21" customHeight="1">
      <c r="A145" s="14" t="s">
        <v>210</v>
      </c>
      <c r="B145" s="15"/>
      <c r="C145" s="16"/>
      <c r="D145" s="16"/>
      <c r="E145" s="16"/>
      <c r="F145" s="17">
        <f>SUM(F149:F281)</f>
        <v>446797776</v>
      </c>
      <c r="G145" s="16"/>
      <c r="H145" s="17">
        <f>SUM(H149:H281)</f>
        <v>164585918</v>
      </c>
      <c r="I145" s="16"/>
      <c r="J145" s="17">
        <f>SUM(J149:J281)</f>
        <v>232324824</v>
      </c>
      <c r="K145" s="16"/>
      <c r="L145" s="17">
        <f>F145+H145+J145</f>
        <v>843708518</v>
      </c>
      <c r="M145" s="16"/>
    </row>
    <row r="146" spans="1:14" ht="21" customHeight="1">
      <c r="A146" s="18" t="s">
        <v>211</v>
      </c>
      <c r="B146" s="18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</row>
    <row r="147" spans="1:14" ht="21" customHeight="1">
      <c r="A147" s="18" t="s">
        <v>212</v>
      </c>
      <c r="B147" s="18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</row>
    <row r="148" spans="1:14" ht="21" customHeight="1">
      <c r="A148" s="18" t="s">
        <v>150</v>
      </c>
      <c r="B148" s="18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</row>
    <row r="149" spans="1:14" ht="21" customHeight="1">
      <c r="A149" s="18" t="s">
        <v>213</v>
      </c>
      <c r="B149" s="18" t="s">
        <v>107</v>
      </c>
      <c r="C149" s="20">
        <v>13157</v>
      </c>
      <c r="D149" s="21" t="s">
        <v>99</v>
      </c>
      <c r="E149" s="20">
        <v>0</v>
      </c>
      <c r="F149" s="20">
        <f>ROUND(E149*C149,0)</f>
        <v>0</v>
      </c>
      <c r="G149" s="20">
        <v>0</v>
      </c>
      <c r="H149" s="20">
        <f>ROUND(G149*C149,0)</f>
        <v>0</v>
      </c>
      <c r="I149" s="20">
        <v>1871.0747999999999</v>
      </c>
      <c r="J149" s="20">
        <f>ROUND(I149*C149,0)</f>
        <v>24617731</v>
      </c>
      <c r="K149" s="20">
        <f t="shared" ref="K149:L151" si="43">E149+G149+I149</f>
        <v>1871.0747999999999</v>
      </c>
      <c r="L149" s="20">
        <f t="shared" si="43"/>
        <v>24617731</v>
      </c>
      <c r="M149" s="18"/>
      <c r="N149" s="44"/>
    </row>
    <row r="150" spans="1:14" ht="21" customHeight="1">
      <c r="A150" s="18" t="s">
        <v>214</v>
      </c>
      <c r="B150" s="18" t="s">
        <v>215</v>
      </c>
      <c r="C150" s="20">
        <v>1448</v>
      </c>
      <c r="D150" s="21" t="s">
        <v>99</v>
      </c>
      <c r="E150" s="20">
        <v>0</v>
      </c>
      <c r="F150" s="20">
        <f>ROUND(E150*C150,0)</f>
        <v>0</v>
      </c>
      <c r="G150" s="20">
        <v>3321.0517</v>
      </c>
      <c r="H150" s="20">
        <f>ROUND(G150*C150,0)</f>
        <v>4808883</v>
      </c>
      <c r="I150" s="20">
        <v>4677.6869999999999</v>
      </c>
      <c r="J150" s="20">
        <f>ROUND(I150*C150,0)</f>
        <v>6773291</v>
      </c>
      <c r="K150" s="20">
        <f t="shared" si="43"/>
        <v>7998.7386999999999</v>
      </c>
      <c r="L150" s="20">
        <f t="shared" si="43"/>
        <v>11582174</v>
      </c>
      <c r="M150" s="18"/>
      <c r="N150" s="44"/>
    </row>
    <row r="151" spans="1:14" ht="21" customHeight="1">
      <c r="A151" s="18" t="s">
        <v>216</v>
      </c>
      <c r="B151" s="18" t="s">
        <v>217</v>
      </c>
      <c r="C151" s="20">
        <v>0</v>
      </c>
      <c r="D151" s="21" t="s">
        <v>99</v>
      </c>
      <c r="E151" s="20">
        <v>0</v>
      </c>
      <c r="F151" s="20">
        <f>ROUND(E151*C151,0)</f>
        <v>0</v>
      </c>
      <c r="G151" s="20">
        <v>69634.955000000002</v>
      </c>
      <c r="H151" s="20">
        <f>ROUND(G151*C151,0)</f>
        <v>0</v>
      </c>
      <c r="I151" s="20">
        <v>0</v>
      </c>
      <c r="J151" s="20">
        <f>ROUND(I151*C151,0)</f>
        <v>0</v>
      </c>
      <c r="K151" s="20">
        <f t="shared" si="43"/>
        <v>69634.955000000002</v>
      </c>
      <c r="L151" s="20">
        <f t="shared" si="43"/>
        <v>0</v>
      </c>
      <c r="M151" s="18"/>
      <c r="N151" s="44"/>
    </row>
    <row r="152" spans="1:14" ht="21" customHeight="1">
      <c r="A152" s="18" t="s">
        <v>218</v>
      </c>
      <c r="B152" s="18"/>
      <c r="C152" s="19"/>
      <c r="D152" s="19"/>
      <c r="E152" s="19">
        <v>0</v>
      </c>
      <c r="F152" s="19"/>
      <c r="G152" s="19">
        <v>0</v>
      </c>
      <c r="H152" s="19"/>
      <c r="I152" s="19">
        <v>0</v>
      </c>
      <c r="J152" s="19"/>
      <c r="K152" s="19"/>
      <c r="L152" s="19"/>
      <c r="M152" s="19"/>
      <c r="N152" s="44"/>
    </row>
    <row r="153" spans="1:14" ht="21" customHeight="1">
      <c r="A153" s="18" t="s">
        <v>219</v>
      </c>
      <c r="B153" s="18" t="s">
        <v>217</v>
      </c>
      <c r="C153" s="20">
        <v>202</v>
      </c>
      <c r="D153" s="21" t="s">
        <v>99</v>
      </c>
      <c r="E153" s="20">
        <v>0</v>
      </c>
      <c r="F153" s="20">
        <f>ROUND(E153*C153,0)</f>
        <v>0</v>
      </c>
      <c r="G153" s="20">
        <v>30339.202099999999</v>
      </c>
      <c r="H153" s="20">
        <f>ROUND(G153*C153,0)</f>
        <v>6128519</v>
      </c>
      <c r="I153" s="20">
        <v>16605.2585</v>
      </c>
      <c r="J153" s="20">
        <f>ROUND(I153*C153,0)</f>
        <v>3354262</v>
      </c>
      <c r="K153" s="20">
        <f t="shared" ref="K153:L155" si="44">E153+G153+I153</f>
        <v>46944.460599999999</v>
      </c>
      <c r="L153" s="20">
        <f t="shared" si="44"/>
        <v>9482781</v>
      </c>
      <c r="M153" s="18"/>
      <c r="N153" s="44"/>
    </row>
    <row r="154" spans="1:14" ht="21" customHeight="1">
      <c r="A154" s="18" t="s">
        <v>220</v>
      </c>
      <c r="B154" s="18" t="s">
        <v>221</v>
      </c>
      <c r="C154" s="20">
        <v>6892</v>
      </c>
      <c r="D154" s="21" t="s">
        <v>99</v>
      </c>
      <c r="E154" s="20">
        <v>0</v>
      </c>
      <c r="F154" s="20">
        <f>ROUND(E154*C154,0)</f>
        <v>0</v>
      </c>
      <c r="G154" s="20">
        <v>2678.2674999999999</v>
      </c>
      <c r="H154" s="20">
        <f>ROUND(G154*C154,0)</f>
        <v>18458620</v>
      </c>
      <c r="I154" s="20">
        <v>5262.1327000000001</v>
      </c>
      <c r="J154" s="20">
        <f>ROUND(I154*C154,0)</f>
        <v>36266619</v>
      </c>
      <c r="K154" s="20">
        <f t="shared" si="44"/>
        <v>7940.4002</v>
      </c>
      <c r="L154" s="20">
        <f t="shared" si="44"/>
        <v>54725239</v>
      </c>
      <c r="M154" s="18"/>
      <c r="N154" s="44"/>
    </row>
    <row r="155" spans="1:14" ht="21" customHeight="1">
      <c r="A155" s="18" t="s">
        <v>222</v>
      </c>
      <c r="B155" s="18" t="s">
        <v>223</v>
      </c>
      <c r="C155" s="20">
        <v>6048</v>
      </c>
      <c r="D155" s="21" t="s">
        <v>99</v>
      </c>
      <c r="E155" s="20">
        <v>0</v>
      </c>
      <c r="F155" s="20">
        <f>ROUND(E155*C155,0)</f>
        <v>0</v>
      </c>
      <c r="G155" s="20">
        <v>2678.2674999999999</v>
      </c>
      <c r="H155" s="20">
        <f>ROUND(G155*C155,0)</f>
        <v>16198162</v>
      </c>
      <c r="I155" s="20">
        <v>5262.1327000000001</v>
      </c>
      <c r="J155" s="20">
        <f>ROUND(I155*C155,0)</f>
        <v>31825379</v>
      </c>
      <c r="K155" s="20">
        <f t="shared" si="44"/>
        <v>7940.4002</v>
      </c>
      <c r="L155" s="20">
        <f t="shared" si="44"/>
        <v>48023541</v>
      </c>
      <c r="M155" s="18"/>
      <c r="N155" s="44"/>
    </row>
    <row r="156" spans="1:14" ht="21" customHeight="1">
      <c r="A156" s="18" t="s">
        <v>224</v>
      </c>
      <c r="B156" s="18"/>
      <c r="C156" s="19"/>
      <c r="D156" s="19"/>
      <c r="E156" s="19">
        <v>0</v>
      </c>
      <c r="F156" s="19"/>
      <c r="G156" s="19">
        <v>0</v>
      </c>
      <c r="H156" s="19"/>
      <c r="I156" s="19">
        <v>0</v>
      </c>
      <c r="J156" s="19"/>
      <c r="K156" s="19"/>
      <c r="L156" s="19"/>
      <c r="M156" s="19"/>
      <c r="N156" s="44"/>
    </row>
    <row r="157" spans="1:14" ht="21" customHeight="1">
      <c r="A157" s="18" t="s">
        <v>225</v>
      </c>
      <c r="B157" s="18" t="s">
        <v>226</v>
      </c>
      <c r="C157" s="20">
        <v>1462</v>
      </c>
      <c r="D157" s="21" t="s">
        <v>99</v>
      </c>
      <c r="E157" s="20">
        <v>0</v>
      </c>
      <c r="F157" s="20">
        <f>ROUND(E157*C157,0)</f>
        <v>0</v>
      </c>
      <c r="G157" s="20">
        <v>0</v>
      </c>
      <c r="H157" s="20">
        <f>ROUND(G157*C157,0)</f>
        <v>0</v>
      </c>
      <c r="I157" s="20">
        <v>11693.156799999999</v>
      </c>
      <c r="J157" s="20">
        <f>ROUND(I157*C157,0)</f>
        <v>17095395</v>
      </c>
      <c r="K157" s="20">
        <f>E157+G157+I157</f>
        <v>11693.156799999999</v>
      </c>
      <c r="L157" s="20">
        <f>F157+H157+J157</f>
        <v>17095395</v>
      </c>
      <c r="M157" s="18"/>
      <c r="N157" s="44"/>
    </row>
    <row r="158" spans="1:14" ht="21" customHeight="1">
      <c r="A158" s="18" t="s">
        <v>227</v>
      </c>
      <c r="B158" s="18"/>
      <c r="C158" s="19"/>
      <c r="D158" s="19"/>
      <c r="E158" s="19">
        <v>0</v>
      </c>
      <c r="F158" s="19"/>
      <c r="G158" s="19">
        <v>0</v>
      </c>
      <c r="H158" s="19"/>
      <c r="I158" s="19">
        <v>0</v>
      </c>
      <c r="J158" s="19"/>
      <c r="K158" s="19"/>
      <c r="L158" s="19"/>
      <c r="M158" s="19"/>
      <c r="N158" s="44"/>
    </row>
    <row r="159" spans="1:14" ht="21" customHeight="1">
      <c r="A159" s="18" t="s">
        <v>228</v>
      </c>
      <c r="B159" s="18"/>
      <c r="C159" s="19"/>
      <c r="D159" s="19"/>
      <c r="E159" s="19">
        <v>0</v>
      </c>
      <c r="F159" s="19"/>
      <c r="G159" s="19">
        <v>0</v>
      </c>
      <c r="H159" s="19"/>
      <c r="I159" s="19">
        <v>0</v>
      </c>
      <c r="J159" s="19"/>
      <c r="K159" s="19"/>
      <c r="L159" s="19"/>
      <c r="M159" s="19"/>
      <c r="N159" s="44"/>
    </row>
    <row r="160" spans="1:14" ht="21" customHeight="1">
      <c r="A160" s="18" t="s">
        <v>229</v>
      </c>
      <c r="B160" s="18" t="s">
        <v>230</v>
      </c>
      <c r="C160" s="20">
        <v>276</v>
      </c>
      <c r="D160" s="21" t="s">
        <v>231</v>
      </c>
      <c r="E160" s="20">
        <v>0</v>
      </c>
      <c r="F160" s="20">
        <f t="shared" ref="F160:F166" si="45">ROUND(E160*C160,0)</f>
        <v>0</v>
      </c>
      <c r="G160" s="20">
        <v>33424.778400000003</v>
      </c>
      <c r="H160" s="20">
        <f t="shared" ref="H160:H166" si="46">ROUND(G160*C160,0)</f>
        <v>9225239</v>
      </c>
      <c r="I160" s="20">
        <v>40342.663800000002</v>
      </c>
      <c r="J160" s="20">
        <f t="shared" ref="J160:J166" si="47">ROUND(I160*C160,0)</f>
        <v>11134575</v>
      </c>
      <c r="K160" s="20">
        <f t="shared" ref="K160:L166" si="48">E160+G160+I160</f>
        <v>73767.442200000005</v>
      </c>
      <c r="L160" s="20">
        <f t="shared" si="48"/>
        <v>20359814</v>
      </c>
      <c r="M160" s="18"/>
      <c r="N160" s="44"/>
    </row>
    <row r="161" spans="1:14" ht="21" customHeight="1">
      <c r="A161" s="18" t="s">
        <v>232</v>
      </c>
      <c r="B161" s="18" t="s">
        <v>233</v>
      </c>
      <c r="C161" s="20">
        <v>552</v>
      </c>
      <c r="D161" s="21" t="s">
        <v>231</v>
      </c>
      <c r="E161" s="20">
        <v>0</v>
      </c>
      <c r="F161" s="20">
        <f t="shared" si="45"/>
        <v>0</v>
      </c>
      <c r="G161" s="20">
        <v>36124.259899999997</v>
      </c>
      <c r="H161" s="20">
        <f t="shared" si="46"/>
        <v>19940591</v>
      </c>
      <c r="I161" s="20">
        <v>41652.628299999997</v>
      </c>
      <c r="J161" s="20">
        <f t="shared" si="47"/>
        <v>22992251</v>
      </c>
      <c r="K161" s="20">
        <f t="shared" si="48"/>
        <v>77776.888199999987</v>
      </c>
      <c r="L161" s="20">
        <f t="shared" si="48"/>
        <v>42932842</v>
      </c>
      <c r="M161" s="18"/>
      <c r="N161" s="44"/>
    </row>
    <row r="162" spans="1:14" ht="21" customHeight="1">
      <c r="A162" s="18" t="s">
        <v>234</v>
      </c>
      <c r="B162" s="18" t="s">
        <v>235</v>
      </c>
      <c r="C162" s="20">
        <v>96</v>
      </c>
      <c r="D162" s="21" t="s">
        <v>231</v>
      </c>
      <c r="E162" s="20">
        <v>0</v>
      </c>
      <c r="F162" s="20">
        <f t="shared" si="45"/>
        <v>0</v>
      </c>
      <c r="G162" s="20">
        <v>40066.881799999996</v>
      </c>
      <c r="H162" s="20">
        <f t="shared" si="46"/>
        <v>3846421</v>
      </c>
      <c r="I162" s="20">
        <v>44389.234299999996</v>
      </c>
      <c r="J162" s="20">
        <f t="shared" si="47"/>
        <v>4261366</v>
      </c>
      <c r="K162" s="20">
        <f t="shared" si="48"/>
        <v>84456.116099999985</v>
      </c>
      <c r="L162" s="20">
        <f t="shared" si="48"/>
        <v>8107787</v>
      </c>
      <c r="M162" s="18"/>
      <c r="N162" s="44"/>
    </row>
    <row r="163" spans="1:14" ht="21" customHeight="1">
      <c r="A163" s="18" t="s">
        <v>236</v>
      </c>
      <c r="B163" s="18" t="s">
        <v>237</v>
      </c>
      <c r="C163" s="20">
        <v>263</v>
      </c>
      <c r="D163" s="21" t="s">
        <v>231</v>
      </c>
      <c r="E163" s="20">
        <v>0</v>
      </c>
      <c r="F163" s="20">
        <f t="shared" si="45"/>
        <v>0</v>
      </c>
      <c r="G163" s="20">
        <v>42316.626499999998</v>
      </c>
      <c r="H163" s="20">
        <f t="shared" si="46"/>
        <v>11129273</v>
      </c>
      <c r="I163" s="20">
        <v>45897.549699999996</v>
      </c>
      <c r="J163" s="20">
        <f t="shared" si="47"/>
        <v>12071056</v>
      </c>
      <c r="K163" s="20">
        <f t="shared" si="48"/>
        <v>88214.176199999987</v>
      </c>
      <c r="L163" s="20">
        <f t="shared" si="48"/>
        <v>23200329</v>
      </c>
      <c r="M163" s="18"/>
      <c r="N163" s="44"/>
    </row>
    <row r="164" spans="1:14" ht="21" customHeight="1">
      <c r="A164" s="18" t="s">
        <v>238</v>
      </c>
      <c r="B164" s="18" t="s">
        <v>239</v>
      </c>
      <c r="C164" s="20">
        <v>17</v>
      </c>
      <c r="D164" s="21" t="s">
        <v>231</v>
      </c>
      <c r="E164" s="20">
        <v>0</v>
      </c>
      <c r="F164" s="20">
        <f t="shared" si="45"/>
        <v>0</v>
      </c>
      <c r="G164" s="20">
        <v>43923.587</v>
      </c>
      <c r="H164" s="20">
        <f t="shared" si="46"/>
        <v>746701</v>
      </c>
      <c r="I164" s="20">
        <v>48178.054700000001</v>
      </c>
      <c r="J164" s="20">
        <f t="shared" si="47"/>
        <v>819027</v>
      </c>
      <c r="K164" s="20">
        <f t="shared" si="48"/>
        <v>92101.641700000007</v>
      </c>
      <c r="L164" s="20">
        <f t="shared" si="48"/>
        <v>1565728</v>
      </c>
      <c r="M164" s="18"/>
      <c r="N164" s="44"/>
    </row>
    <row r="165" spans="1:14" ht="21" customHeight="1">
      <c r="A165" s="18" t="s">
        <v>240</v>
      </c>
      <c r="B165" s="18" t="s">
        <v>241</v>
      </c>
      <c r="C165" s="20">
        <v>83</v>
      </c>
      <c r="D165" s="21" t="s">
        <v>231</v>
      </c>
      <c r="E165" s="20">
        <v>0</v>
      </c>
      <c r="F165" s="20">
        <f t="shared" si="45"/>
        <v>0</v>
      </c>
      <c r="G165" s="20">
        <v>51958.389499999997</v>
      </c>
      <c r="H165" s="20">
        <f t="shared" si="46"/>
        <v>4312546</v>
      </c>
      <c r="I165" s="20">
        <v>52212.957499999997</v>
      </c>
      <c r="J165" s="20">
        <f t="shared" si="47"/>
        <v>4333675</v>
      </c>
      <c r="K165" s="20">
        <f t="shared" si="48"/>
        <v>104171.34699999999</v>
      </c>
      <c r="L165" s="20">
        <f t="shared" si="48"/>
        <v>8646221</v>
      </c>
      <c r="M165" s="18"/>
      <c r="N165" s="44"/>
    </row>
    <row r="166" spans="1:14" ht="21" customHeight="1">
      <c r="A166" s="18" t="s">
        <v>242</v>
      </c>
      <c r="B166" s="18" t="s">
        <v>243</v>
      </c>
      <c r="C166" s="20">
        <v>16</v>
      </c>
      <c r="D166" s="21" t="s">
        <v>231</v>
      </c>
      <c r="E166" s="20">
        <v>0</v>
      </c>
      <c r="F166" s="20">
        <f t="shared" si="45"/>
        <v>0</v>
      </c>
      <c r="G166" s="20">
        <v>54315.264900000002</v>
      </c>
      <c r="H166" s="20">
        <f t="shared" si="46"/>
        <v>869044</v>
      </c>
      <c r="I166" s="20">
        <v>56736.843000000001</v>
      </c>
      <c r="J166" s="20">
        <f t="shared" si="47"/>
        <v>907789</v>
      </c>
      <c r="K166" s="20">
        <f t="shared" si="48"/>
        <v>111052.1079</v>
      </c>
      <c r="L166" s="20">
        <f t="shared" si="48"/>
        <v>1776833</v>
      </c>
      <c r="M166" s="18"/>
      <c r="N166" s="44"/>
    </row>
    <row r="167" spans="1:14" ht="21" customHeight="1">
      <c r="A167" s="18" t="s">
        <v>244</v>
      </c>
      <c r="B167" s="18"/>
      <c r="C167" s="19"/>
      <c r="D167" s="19"/>
      <c r="E167" s="19">
        <v>0</v>
      </c>
      <c r="F167" s="19"/>
      <c r="G167" s="19">
        <v>0</v>
      </c>
      <c r="H167" s="19"/>
      <c r="I167" s="19">
        <v>0</v>
      </c>
      <c r="J167" s="19"/>
      <c r="K167" s="19"/>
      <c r="L167" s="19"/>
      <c r="M167" s="19"/>
      <c r="N167" s="44"/>
    </row>
    <row r="168" spans="1:14" ht="21" customHeight="1">
      <c r="A168" s="18" t="s">
        <v>245</v>
      </c>
      <c r="B168" s="18"/>
      <c r="C168" s="19"/>
      <c r="D168" s="19"/>
      <c r="E168" s="19">
        <v>0</v>
      </c>
      <c r="F168" s="19"/>
      <c r="G168" s="19">
        <v>0</v>
      </c>
      <c r="H168" s="19"/>
      <c r="I168" s="19">
        <v>0</v>
      </c>
      <c r="J168" s="19"/>
      <c r="K168" s="19"/>
      <c r="L168" s="19"/>
      <c r="M168" s="19"/>
      <c r="N168" s="44"/>
    </row>
    <row r="169" spans="1:14" ht="21" customHeight="1">
      <c r="A169" s="18" t="s">
        <v>246</v>
      </c>
      <c r="B169" s="18" t="s">
        <v>247</v>
      </c>
      <c r="C169" s="20">
        <v>272</v>
      </c>
      <c r="D169" s="21" t="s">
        <v>99</v>
      </c>
      <c r="E169" s="20">
        <v>0</v>
      </c>
      <c r="F169" s="20">
        <f>ROUND(E169*C169,0)</f>
        <v>0</v>
      </c>
      <c r="G169" s="20">
        <v>11784.377</v>
      </c>
      <c r="H169" s="20">
        <f>ROUND(G169*C169,0)</f>
        <v>3205351</v>
      </c>
      <c r="I169" s="20">
        <v>21048.5308</v>
      </c>
      <c r="J169" s="20">
        <f>ROUND(I169*C169,0)</f>
        <v>5725200</v>
      </c>
      <c r="K169" s="20">
        <f>E169+G169+I169</f>
        <v>32832.907800000001</v>
      </c>
      <c r="L169" s="20">
        <f>F169+H169+J169</f>
        <v>8930551</v>
      </c>
      <c r="M169" s="18"/>
      <c r="N169" s="44"/>
    </row>
    <row r="170" spans="1:14" ht="21" customHeight="1">
      <c r="A170" s="18" t="s">
        <v>248</v>
      </c>
      <c r="B170" s="18" t="s">
        <v>249</v>
      </c>
      <c r="C170" s="20">
        <v>725</v>
      </c>
      <c r="D170" s="21" t="s">
        <v>93</v>
      </c>
      <c r="E170" s="20">
        <v>8034.8024999999998</v>
      </c>
      <c r="F170" s="20">
        <f>ROUND(E170*C170,0)</f>
        <v>5825232</v>
      </c>
      <c r="G170" s="20">
        <v>21426.14</v>
      </c>
      <c r="H170" s="20">
        <f>ROUND(G170*C170,0)</f>
        <v>15533952</v>
      </c>
      <c r="I170" s="20">
        <v>4093.2412999999997</v>
      </c>
      <c r="J170" s="20">
        <f>ROUND(I170*C170,0)</f>
        <v>2967600</v>
      </c>
      <c r="K170" s="20">
        <f>E170+G170+I170</f>
        <v>33554.183799999999</v>
      </c>
      <c r="L170" s="20">
        <f>F170+H170+J170</f>
        <v>24326784</v>
      </c>
      <c r="M170" s="18"/>
      <c r="N170" s="44"/>
    </row>
    <row r="171" spans="1:14" ht="21" customHeight="1">
      <c r="A171" s="18" t="s">
        <v>250</v>
      </c>
      <c r="B171" s="18"/>
      <c r="C171" s="19"/>
      <c r="D171" s="19"/>
      <c r="E171" s="19">
        <v>0</v>
      </c>
      <c r="F171" s="19"/>
      <c r="G171" s="19">
        <v>0</v>
      </c>
      <c r="H171" s="19"/>
      <c r="I171" s="19">
        <v>0</v>
      </c>
      <c r="J171" s="19"/>
      <c r="K171" s="19"/>
      <c r="L171" s="19"/>
      <c r="M171" s="19"/>
      <c r="N171" s="44"/>
    </row>
    <row r="172" spans="1:14" ht="21" customHeight="1">
      <c r="A172" s="18" t="s">
        <v>251</v>
      </c>
      <c r="B172" s="18" t="s">
        <v>252</v>
      </c>
      <c r="C172" s="20">
        <v>25</v>
      </c>
      <c r="D172" s="21" t="s">
        <v>201</v>
      </c>
      <c r="E172" s="20">
        <v>0</v>
      </c>
      <c r="F172" s="20">
        <f>ROUND(E172*C172,0)</f>
        <v>0</v>
      </c>
      <c r="G172" s="20">
        <v>64278.42</v>
      </c>
      <c r="H172" s="20">
        <f>ROUND(G172*C172,0)</f>
        <v>1606961</v>
      </c>
      <c r="I172" s="20">
        <v>21048.5308</v>
      </c>
      <c r="J172" s="20">
        <f>ROUND(I172*C172,0)</f>
        <v>526213</v>
      </c>
      <c r="K172" s="20">
        <f t="shared" ref="K172:L175" si="49">E172+G172+I172</f>
        <v>85326.950799999991</v>
      </c>
      <c r="L172" s="20">
        <f t="shared" si="49"/>
        <v>2133174</v>
      </c>
      <c r="M172" s="18"/>
      <c r="N172" s="44"/>
    </row>
    <row r="173" spans="1:14" ht="21" customHeight="1">
      <c r="A173" s="18" t="s">
        <v>253</v>
      </c>
      <c r="B173" s="18" t="s">
        <v>254</v>
      </c>
      <c r="C173" s="20">
        <v>9</v>
      </c>
      <c r="D173" s="21" t="s">
        <v>201</v>
      </c>
      <c r="E173" s="20">
        <v>0</v>
      </c>
      <c r="F173" s="20">
        <f>ROUND(E173*C173,0)</f>
        <v>0</v>
      </c>
      <c r="G173" s="20">
        <v>64278.42</v>
      </c>
      <c r="H173" s="20">
        <f>ROUND(G173*C173,0)</f>
        <v>578506</v>
      </c>
      <c r="I173" s="20">
        <v>21048.5308</v>
      </c>
      <c r="J173" s="20">
        <f>ROUND(I173*C173,0)</f>
        <v>189437</v>
      </c>
      <c r="K173" s="20">
        <f t="shared" si="49"/>
        <v>85326.950799999991</v>
      </c>
      <c r="L173" s="20">
        <f t="shared" si="49"/>
        <v>767943</v>
      </c>
      <c r="M173" s="18"/>
      <c r="N173" s="44"/>
    </row>
    <row r="174" spans="1:14" ht="21" customHeight="1">
      <c r="A174" s="18" t="s">
        <v>255</v>
      </c>
      <c r="B174" s="18" t="s">
        <v>256</v>
      </c>
      <c r="C174" s="20">
        <v>18</v>
      </c>
      <c r="D174" s="21" t="s">
        <v>201</v>
      </c>
      <c r="E174" s="20">
        <v>0</v>
      </c>
      <c r="F174" s="20">
        <f>ROUND(E174*C174,0)</f>
        <v>0</v>
      </c>
      <c r="G174" s="20">
        <v>64278.42</v>
      </c>
      <c r="H174" s="20">
        <f>ROUND(G174*C174,0)</f>
        <v>1157012</v>
      </c>
      <c r="I174" s="20">
        <v>21048.5308</v>
      </c>
      <c r="J174" s="20">
        <f>ROUND(I174*C174,0)</f>
        <v>378874</v>
      </c>
      <c r="K174" s="20">
        <f t="shared" si="49"/>
        <v>85326.950799999991</v>
      </c>
      <c r="L174" s="20">
        <f t="shared" si="49"/>
        <v>1535886</v>
      </c>
      <c r="M174" s="18"/>
      <c r="N174" s="44"/>
    </row>
    <row r="175" spans="1:14" ht="21" customHeight="1">
      <c r="A175" s="18" t="s">
        <v>257</v>
      </c>
      <c r="B175" s="18" t="s">
        <v>258</v>
      </c>
      <c r="C175" s="20">
        <v>2</v>
      </c>
      <c r="D175" s="21" t="s">
        <v>201</v>
      </c>
      <c r="E175" s="20">
        <v>0</v>
      </c>
      <c r="F175" s="20">
        <f>ROUND(E175*C175,0)</f>
        <v>0</v>
      </c>
      <c r="G175" s="20">
        <v>64278.42</v>
      </c>
      <c r="H175" s="20">
        <f>ROUND(G175*C175,0)</f>
        <v>128557</v>
      </c>
      <c r="I175" s="20">
        <v>21048.5308</v>
      </c>
      <c r="J175" s="20">
        <f>ROUND(I175*C175,0)</f>
        <v>42097</v>
      </c>
      <c r="K175" s="20">
        <f t="shared" si="49"/>
        <v>85326.950799999991</v>
      </c>
      <c r="L175" s="20">
        <f t="shared" si="49"/>
        <v>170654</v>
      </c>
      <c r="M175" s="18"/>
      <c r="N175" s="44"/>
    </row>
    <row r="176" spans="1:14" ht="21" customHeight="1">
      <c r="A176" s="18" t="s">
        <v>259</v>
      </c>
      <c r="B176" s="18"/>
      <c r="C176" s="19"/>
      <c r="D176" s="19"/>
      <c r="E176" s="19">
        <v>0</v>
      </c>
      <c r="F176" s="19"/>
      <c r="G176" s="19">
        <v>0</v>
      </c>
      <c r="H176" s="19"/>
      <c r="I176" s="19">
        <v>0</v>
      </c>
      <c r="J176" s="19"/>
      <c r="K176" s="19"/>
      <c r="L176" s="19"/>
      <c r="M176" s="19"/>
      <c r="N176" s="44"/>
    </row>
    <row r="177" spans="1:14" ht="21" customHeight="1">
      <c r="A177" s="18" t="s">
        <v>260</v>
      </c>
      <c r="B177" s="18" t="s">
        <v>261</v>
      </c>
      <c r="C177" s="20">
        <v>86</v>
      </c>
      <c r="D177" s="21" t="s">
        <v>201</v>
      </c>
      <c r="E177" s="20">
        <v>0</v>
      </c>
      <c r="F177" s="20">
        <f t="shared" ref="F177:F183" si="50">ROUND(E177*C177,0)</f>
        <v>0</v>
      </c>
      <c r="G177" s="20">
        <v>68510.612999999998</v>
      </c>
      <c r="H177" s="20">
        <f t="shared" ref="H177:H183" si="51">ROUND(G177*C177,0)</f>
        <v>5891913</v>
      </c>
      <c r="I177" s="20">
        <v>22451.836899999998</v>
      </c>
      <c r="J177" s="20">
        <f t="shared" ref="J177:J183" si="52">ROUND(I177*C177,0)</f>
        <v>1930858</v>
      </c>
      <c r="K177" s="20">
        <f t="shared" ref="K177:L183" si="53">E177+G177+I177</f>
        <v>90962.449899999992</v>
      </c>
      <c r="L177" s="20">
        <f t="shared" si="53"/>
        <v>7822771</v>
      </c>
      <c r="M177" s="18"/>
      <c r="N177" s="44"/>
    </row>
    <row r="178" spans="1:14" ht="21" customHeight="1">
      <c r="A178" s="18" t="s">
        <v>262</v>
      </c>
      <c r="B178" s="18" t="s">
        <v>263</v>
      </c>
      <c r="C178" s="20">
        <v>32</v>
      </c>
      <c r="D178" s="21" t="s">
        <v>201</v>
      </c>
      <c r="E178" s="20">
        <v>0</v>
      </c>
      <c r="F178" s="20">
        <f t="shared" si="50"/>
        <v>0</v>
      </c>
      <c r="G178" s="20">
        <v>68510.612999999998</v>
      </c>
      <c r="H178" s="20">
        <f t="shared" si="51"/>
        <v>2192340</v>
      </c>
      <c r="I178" s="20">
        <v>22451.836899999998</v>
      </c>
      <c r="J178" s="20">
        <f t="shared" si="52"/>
        <v>718459</v>
      </c>
      <c r="K178" s="20">
        <f t="shared" si="53"/>
        <v>90962.449899999992</v>
      </c>
      <c r="L178" s="20">
        <f t="shared" si="53"/>
        <v>2910799</v>
      </c>
      <c r="M178" s="18"/>
      <c r="N178" s="44"/>
    </row>
    <row r="179" spans="1:14" ht="21" customHeight="1">
      <c r="A179" s="18" t="s">
        <v>264</v>
      </c>
      <c r="B179" s="18" t="s">
        <v>265</v>
      </c>
      <c r="C179" s="20">
        <v>4</v>
      </c>
      <c r="D179" s="21" t="s">
        <v>201</v>
      </c>
      <c r="E179" s="20">
        <v>0</v>
      </c>
      <c r="F179" s="20">
        <f t="shared" si="50"/>
        <v>0</v>
      </c>
      <c r="G179" s="20">
        <v>68510.612999999998</v>
      </c>
      <c r="H179" s="20">
        <f t="shared" si="51"/>
        <v>274042</v>
      </c>
      <c r="I179" s="20">
        <v>22451.836899999998</v>
      </c>
      <c r="J179" s="20">
        <f t="shared" si="52"/>
        <v>89807</v>
      </c>
      <c r="K179" s="20">
        <f t="shared" si="53"/>
        <v>90962.449899999992</v>
      </c>
      <c r="L179" s="20">
        <f t="shared" si="53"/>
        <v>363849</v>
      </c>
      <c r="M179" s="18"/>
      <c r="N179" s="44"/>
    </row>
    <row r="180" spans="1:14" ht="21" customHeight="1">
      <c r="A180" s="18" t="s">
        <v>266</v>
      </c>
      <c r="B180" s="18" t="s">
        <v>267</v>
      </c>
      <c r="C180" s="20">
        <v>11</v>
      </c>
      <c r="D180" s="21" t="s">
        <v>201</v>
      </c>
      <c r="E180" s="20">
        <v>0</v>
      </c>
      <c r="F180" s="20">
        <f t="shared" si="50"/>
        <v>0</v>
      </c>
      <c r="G180" s="20">
        <v>68510.612999999998</v>
      </c>
      <c r="H180" s="20">
        <f t="shared" si="51"/>
        <v>753617</v>
      </c>
      <c r="I180" s="20">
        <v>22451.836899999998</v>
      </c>
      <c r="J180" s="20">
        <f t="shared" si="52"/>
        <v>246970</v>
      </c>
      <c r="K180" s="20">
        <f t="shared" si="53"/>
        <v>90962.449899999992</v>
      </c>
      <c r="L180" s="20">
        <f t="shared" si="53"/>
        <v>1000587</v>
      </c>
      <c r="M180" s="18"/>
      <c r="N180" s="44"/>
    </row>
    <row r="181" spans="1:14" ht="21" customHeight="1">
      <c r="A181" s="18" t="s">
        <v>268</v>
      </c>
      <c r="B181" s="18" t="s">
        <v>269</v>
      </c>
      <c r="C181" s="20">
        <v>1</v>
      </c>
      <c r="D181" s="21" t="s">
        <v>201</v>
      </c>
      <c r="E181" s="20">
        <v>0</v>
      </c>
      <c r="F181" s="20">
        <f t="shared" si="50"/>
        <v>0</v>
      </c>
      <c r="G181" s="20">
        <v>68510.612999999998</v>
      </c>
      <c r="H181" s="20">
        <f t="shared" si="51"/>
        <v>68511</v>
      </c>
      <c r="I181" s="20">
        <v>22451.836899999998</v>
      </c>
      <c r="J181" s="20">
        <f t="shared" si="52"/>
        <v>22452</v>
      </c>
      <c r="K181" s="20">
        <f t="shared" si="53"/>
        <v>90962.449899999992</v>
      </c>
      <c r="L181" s="20">
        <f t="shared" si="53"/>
        <v>90963</v>
      </c>
      <c r="M181" s="18"/>
      <c r="N181" s="44"/>
    </row>
    <row r="182" spans="1:14" ht="21" customHeight="1">
      <c r="A182" s="18" t="s">
        <v>270</v>
      </c>
      <c r="B182" s="18" t="s">
        <v>271</v>
      </c>
      <c r="C182" s="20">
        <v>3</v>
      </c>
      <c r="D182" s="21" t="s">
        <v>201</v>
      </c>
      <c r="E182" s="20">
        <v>0</v>
      </c>
      <c r="F182" s="20">
        <f t="shared" si="50"/>
        <v>0</v>
      </c>
      <c r="G182" s="20">
        <v>68510.612999999998</v>
      </c>
      <c r="H182" s="20">
        <f t="shared" si="51"/>
        <v>205532</v>
      </c>
      <c r="I182" s="20">
        <v>22451.836899999998</v>
      </c>
      <c r="J182" s="20">
        <f t="shared" si="52"/>
        <v>67356</v>
      </c>
      <c r="K182" s="20">
        <f t="shared" si="53"/>
        <v>90962.449899999992</v>
      </c>
      <c r="L182" s="20">
        <f t="shared" si="53"/>
        <v>272888</v>
      </c>
      <c r="M182" s="18"/>
      <c r="N182" s="44"/>
    </row>
    <row r="183" spans="1:14" ht="21" customHeight="1">
      <c r="A183" s="18" t="s">
        <v>272</v>
      </c>
      <c r="B183" s="18" t="s">
        <v>273</v>
      </c>
      <c r="C183" s="20">
        <v>3</v>
      </c>
      <c r="D183" s="21" t="s">
        <v>201</v>
      </c>
      <c r="E183" s="20">
        <v>0</v>
      </c>
      <c r="F183" s="20">
        <f t="shared" si="50"/>
        <v>0</v>
      </c>
      <c r="G183" s="20">
        <v>68510.612999999998</v>
      </c>
      <c r="H183" s="20">
        <f t="shared" si="51"/>
        <v>205532</v>
      </c>
      <c r="I183" s="20">
        <v>22451.836899999998</v>
      </c>
      <c r="J183" s="20">
        <f t="shared" si="52"/>
        <v>67356</v>
      </c>
      <c r="K183" s="20">
        <f t="shared" si="53"/>
        <v>90962.449899999992</v>
      </c>
      <c r="L183" s="20">
        <f t="shared" si="53"/>
        <v>272888</v>
      </c>
      <c r="M183" s="18"/>
      <c r="N183" s="44"/>
    </row>
    <row r="184" spans="1:14" ht="21" customHeight="1">
      <c r="A184" s="18" t="s">
        <v>274</v>
      </c>
      <c r="B184" s="18"/>
      <c r="C184" s="19"/>
      <c r="D184" s="19"/>
      <c r="E184" s="19">
        <v>0</v>
      </c>
      <c r="F184" s="19"/>
      <c r="G184" s="19">
        <v>0</v>
      </c>
      <c r="H184" s="19"/>
      <c r="I184" s="19">
        <v>0</v>
      </c>
      <c r="J184" s="19"/>
      <c r="K184" s="19"/>
      <c r="L184" s="19"/>
      <c r="M184" s="19"/>
      <c r="N184" s="44"/>
    </row>
    <row r="185" spans="1:14" ht="21" customHeight="1">
      <c r="A185" s="18" t="s">
        <v>275</v>
      </c>
      <c r="B185" s="18" t="s">
        <v>276</v>
      </c>
      <c r="C185" s="20">
        <v>928</v>
      </c>
      <c r="D185" s="21" t="s">
        <v>231</v>
      </c>
      <c r="E185" s="20">
        <v>0</v>
      </c>
      <c r="F185" s="20">
        <f>ROUND(E185*C185,0)</f>
        <v>0</v>
      </c>
      <c r="G185" s="20">
        <v>0</v>
      </c>
      <c r="H185" s="20">
        <f>ROUND(G185*C185,0)</f>
        <v>0</v>
      </c>
      <c r="I185" s="20">
        <v>4093.2412999999997</v>
      </c>
      <c r="J185" s="20">
        <f>ROUND(I185*C185,0)</f>
        <v>3798528</v>
      </c>
      <c r="K185" s="20">
        <f t="shared" ref="K185:L187" si="54">E185+G185+I185</f>
        <v>4093.2412999999997</v>
      </c>
      <c r="L185" s="20">
        <f t="shared" si="54"/>
        <v>3798528</v>
      </c>
      <c r="M185" s="18"/>
      <c r="N185" s="44"/>
    </row>
    <row r="186" spans="1:14" ht="21" customHeight="1">
      <c r="A186" s="18" t="s">
        <v>277</v>
      </c>
      <c r="B186" s="18" t="s">
        <v>278</v>
      </c>
      <c r="C186" s="20">
        <v>1539</v>
      </c>
      <c r="D186" s="21" t="s">
        <v>231</v>
      </c>
      <c r="E186" s="20">
        <v>535.65350000000001</v>
      </c>
      <c r="F186" s="20">
        <f>ROUND(E186*C186,0)</f>
        <v>824371</v>
      </c>
      <c r="G186" s="20">
        <v>535.65350000000001</v>
      </c>
      <c r="H186" s="20">
        <f>ROUND(G186*C186,0)</f>
        <v>824371</v>
      </c>
      <c r="I186" s="20">
        <v>0</v>
      </c>
      <c r="J186" s="20">
        <f>ROUND(I186*C186,0)</f>
        <v>0</v>
      </c>
      <c r="K186" s="20">
        <f t="shared" si="54"/>
        <v>1071.307</v>
      </c>
      <c r="L186" s="20">
        <f t="shared" si="54"/>
        <v>1648742</v>
      </c>
      <c r="M186" s="18"/>
      <c r="N186" s="44"/>
    </row>
    <row r="187" spans="1:14" ht="21" customHeight="1">
      <c r="A187" s="18" t="s">
        <v>279</v>
      </c>
      <c r="B187" s="18" t="s">
        <v>280</v>
      </c>
      <c r="C187" s="20">
        <v>26</v>
      </c>
      <c r="D187" s="21" t="s">
        <v>99</v>
      </c>
      <c r="E187" s="20">
        <v>0</v>
      </c>
      <c r="F187" s="20">
        <f>ROUND(E187*C187,0)</f>
        <v>0</v>
      </c>
      <c r="G187" s="20">
        <v>0</v>
      </c>
      <c r="H187" s="20">
        <f>ROUND(G187*C187,0)</f>
        <v>0</v>
      </c>
      <c r="I187" s="20">
        <v>80954.7454</v>
      </c>
      <c r="J187" s="20">
        <f>ROUND(I187*C187,0)</f>
        <v>2104823</v>
      </c>
      <c r="K187" s="20">
        <f t="shared" si="54"/>
        <v>80954.7454</v>
      </c>
      <c r="L187" s="20">
        <f t="shared" si="54"/>
        <v>2104823</v>
      </c>
      <c r="M187" s="18"/>
      <c r="N187" s="44"/>
    </row>
    <row r="188" spans="1:14" ht="21" customHeight="1">
      <c r="A188" s="18" t="s">
        <v>281</v>
      </c>
      <c r="B188" s="18"/>
      <c r="C188" s="19"/>
      <c r="D188" s="19"/>
      <c r="E188" s="19">
        <v>0</v>
      </c>
      <c r="F188" s="19"/>
      <c r="G188" s="19">
        <v>0</v>
      </c>
      <c r="H188" s="19"/>
      <c r="I188" s="19">
        <v>0</v>
      </c>
      <c r="J188" s="19"/>
      <c r="K188" s="19"/>
      <c r="L188" s="19"/>
      <c r="M188" s="19"/>
      <c r="N188" s="44"/>
    </row>
    <row r="189" spans="1:14" ht="21" customHeight="1">
      <c r="A189" s="18" t="s">
        <v>282</v>
      </c>
      <c r="B189" s="18"/>
      <c r="C189" s="19"/>
      <c r="D189" s="19"/>
      <c r="E189" s="19">
        <v>0</v>
      </c>
      <c r="F189" s="19"/>
      <c r="G189" s="19">
        <v>0</v>
      </c>
      <c r="H189" s="19"/>
      <c r="I189" s="19">
        <v>0</v>
      </c>
      <c r="J189" s="19"/>
      <c r="K189" s="19"/>
      <c r="L189" s="19"/>
      <c r="M189" s="19"/>
      <c r="N189" s="44"/>
    </row>
    <row r="190" spans="1:14" ht="21" customHeight="1">
      <c r="A190" s="18" t="s">
        <v>283</v>
      </c>
      <c r="B190" s="18" t="s">
        <v>284</v>
      </c>
      <c r="C190" s="20">
        <v>8</v>
      </c>
      <c r="D190" s="21" t="s">
        <v>201</v>
      </c>
      <c r="E190" s="20">
        <v>792767.17999999993</v>
      </c>
      <c r="F190" s="20">
        <f>ROUND(E190*C190,0)</f>
        <v>6342137</v>
      </c>
      <c r="G190" s="20">
        <v>222296.20249999998</v>
      </c>
      <c r="H190" s="20">
        <f>ROUND(G190*C190,0)</f>
        <v>1778370</v>
      </c>
      <c r="I190" s="20">
        <v>277723.08100000001</v>
      </c>
      <c r="J190" s="20">
        <f>ROUND(I190*C190,0)</f>
        <v>2221785</v>
      </c>
      <c r="K190" s="20">
        <f t="shared" ref="K190:L192" si="55">E190+G190+I190</f>
        <v>1292786.4635000001</v>
      </c>
      <c r="L190" s="20">
        <f t="shared" si="55"/>
        <v>10342292</v>
      </c>
      <c r="M190" s="18"/>
      <c r="N190" s="44"/>
    </row>
    <row r="191" spans="1:14" ht="21" customHeight="1">
      <c r="A191" s="18" t="s">
        <v>285</v>
      </c>
      <c r="B191" s="18" t="s">
        <v>286</v>
      </c>
      <c r="C191" s="20">
        <v>1</v>
      </c>
      <c r="D191" s="21" t="s">
        <v>201</v>
      </c>
      <c r="E191" s="20">
        <v>1306994.54</v>
      </c>
      <c r="F191" s="20">
        <f>ROUND(E191*C191,0)</f>
        <v>1306995</v>
      </c>
      <c r="G191" s="20">
        <v>222296.20249999998</v>
      </c>
      <c r="H191" s="20">
        <f>ROUND(G191*C191,0)</f>
        <v>222296</v>
      </c>
      <c r="I191" s="20">
        <v>277723.08100000001</v>
      </c>
      <c r="J191" s="20">
        <f>ROUND(I191*C191,0)</f>
        <v>277723</v>
      </c>
      <c r="K191" s="20">
        <f t="shared" si="55"/>
        <v>1807013.8234999999</v>
      </c>
      <c r="L191" s="20">
        <f t="shared" si="55"/>
        <v>1807014</v>
      </c>
      <c r="M191" s="18"/>
      <c r="N191" s="44"/>
    </row>
    <row r="192" spans="1:14" ht="21" customHeight="1">
      <c r="A192" s="18" t="s">
        <v>287</v>
      </c>
      <c r="B192" s="18" t="s">
        <v>288</v>
      </c>
      <c r="C192" s="20">
        <v>10</v>
      </c>
      <c r="D192" s="21" t="s">
        <v>201</v>
      </c>
      <c r="E192" s="20">
        <v>1253429.19</v>
      </c>
      <c r="F192" s="20">
        <f>ROUND(E192*C192,0)</f>
        <v>12534292</v>
      </c>
      <c r="G192" s="20">
        <v>222296.20249999998</v>
      </c>
      <c r="H192" s="20">
        <f>ROUND(G192*C192,0)</f>
        <v>2222962</v>
      </c>
      <c r="I192" s="20">
        <v>277723.08100000001</v>
      </c>
      <c r="J192" s="20">
        <f>ROUND(I192*C192,0)</f>
        <v>2777231</v>
      </c>
      <c r="K192" s="20">
        <f t="shared" si="55"/>
        <v>1753448.4734999998</v>
      </c>
      <c r="L192" s="20">
        <f t="shared" si="55"/>
        <v>17534485</v>
      </c>
      <c r="M192" s="18"/>
      <c r="N192" s="44"/>
    </row>
    <row r="193" spans="1:14" ht="21" customHeight="1">
      <c r="A193" s="18" t="s">
        <v>289</v>
      </c>
      <c r="B193" s="18"/>
      <c r="C193" s="19"/>
      <c r="D193" s="19"/>
      <c r="E193" s="19">
        <v>0</v>
      </c>
      <c r="F193" s="19"/>
      <c r="G193" s="19">
        <v>0</v>
      </c>
      <c r="H193" s="19"/>
      <c r="I193" s="19">
        <v>0</v>
      </c>
      <c r="J193" s="19"/>
      <c r="K193" s="19"/>
      <c r="L193" s="19"/>
      <c r="M193" s="19"/>
      <c r="N193" s="44"/>
    </row>
    <row r="194" spans="1:14" ht="21" customHeight="1">
      <c r="A194" s="18" t="s">
        <v>290</v>
      </c>
      <c r="B194" s="18" t="s">
        <v>291</v>
      </c>
      <c r="C194" s="20">
        <v>12</v>
      </c>
      <c r="D194" s="21" t="s">
        <v>201</v>
      </c>
      <c r="E194" s="20">
        <v>2249744.6999999997</v>
      </c>
      <c r="F194" s="20">
        <f t="shared" ref="F194:F199" si="56">ROUND(E194*C194,0)</f>
        <v>26996936</v>
      </c>
      <c r="G194" s="20">
        <v>222296.20249999998</v>
      </c>
      <c r="H194" s="20">
        <f t="shared" ref="H194:H199" si="57">ROUND(G194*C194,0)</f>
        <v>2667554</v>
      </c>
      <c r="I194" s="20">
        <v>277723.08100000001</v>
      </c>
      <c r="J194" s="20">
        <f t="shared" ref="J194:J199" si="58">ROUND(I194*C194,0)</f>
        <v>3332677</v>
      </c>
      <c r="K194" s="20">
        <f t="shared" ref="K194:L199" si="59">E194+G194+I194</f>
        <v>2749763.9835000001</v>
      </c>
      <c r="L194" s="20">
        <f t="shared" si="59"/>
        <v>32997167</v>
      </c>
      <c r="M194" s="18"/>
      <c r="N194" s="44"/>
    </row>
    <row r="195" spans="1:14" ht="21" customHeight="1">
      <c r="A195" s="18" t="s">
        <v>292</v>
      </c>
      <c r="B195" s="18" t="s">
        <v>293</v>
      </c>
      <c r="C195" s="20">
        <v>1</v>
      </c>
      <c r="D195" s="21" t="s">
        <v>201</v>
      </c>
      <c r="E195" s="20">
        <v>2785398.1999999997</v>
      </c>
      <c r="F195" s="20">
        <f t="shared" si="56"/>
        <v>2785398</v>
      </c>
      <c r="G195" s="20">
        <v>222296.20249999998</v>
      </c>
      <c r="H195" s="20">
        <f t="shared" si="57"/>
        <v>222296</v>
      </c>
      <c r="I195" s="20">
        <v>277723.08100000001</v>
      </c>
      <c r="J195" s="20">
        <f t="shared" si="58"/>
        <v>277723</v>
      </c>
      <c r="K195" s="20">
        <f t="shared" si="59"/>
        <v>3285417.4835000001</v>
      </c>
      <c r="L195" s="20">
        <f t="shared" si="59"/>
        <v>3285417</v>
      </c>
      <c r="M195" s="18"/>
      <c r="N195" s="44"/>
    </row>
    <row r="196" spans="1:14" ht="21" customHeight="1">
      <c r="A196" s="18" t="s">
        <v>294</v>
      </c>
      <c r="B196" s="18" t="s">
        <v>295</v>
      </c>
      <c r="C196" s="20">
        <v>2</v>
      </c>
      <c r="D196" s="21" t="s">
        <v>201</v>
      </c>
      <c r="E196" s="20">
        <v>3771000.64</v>
      </c>
      <c r="F196" s="20">
        <f t="shared" si="56"/>
        <v>7542001</v>
      </c>
      <c r="G196" s="20">
        <v>222296.20249999998</v>
      </c>
      <c r="H196" s="20">
        <f t="shared" si="57"/>
        <v>444592</v>
      </c>
      <c r="I196" s="20">
        <v>277723.08100000001</v>
      </c>
      <c r="J196" s="20">
        <f t="shared" si="58"/>
        <v>555446</v>
      </c>
      <c r="K196" s="20">
        <f t="shared" si="59"/>
        <v>4271019.9235000005</v>
      </c>
      <c r="L196" s="20">
        <f t="shared" si="59"/>
        <v>8542039</v>
      </c>
      <c r="M196" s="18"/>
      <c r="N196" s="44"/>
    </row>
    <row r="197" spans="1:14" ht="21" customHeight="1">
      <c r="A197" s="18" t="s">
        <v>296</v>
      </c>
      <c r="B197" s="18" t="s">
        <v>297</v>
      </c>
      <c r="C197" s="20">
        <v>1</v>
      </c>
      <c r="D197" s="21" t="s">
        <v>201</v>
      </c>
      <c r="E197" s="20">
        <v>4070966.6</v>
      </c>
      <c r="F197" s="20">
        <f t="shared" si="56"/>
        <v>4070967</v>
      </c>
      <c r="G197" s="20">
        <v>222296.20249999998</v>
      </c>
      <c r="H197" s="20">
        <f t="shared" si="57"/>
        <v>222296</v>
      </c>
      <c r="I197" s="20">
        <v>277723.08100000001</v>
      </c>
      <c r="J197" s="20">
        <f t="shared" si="58"/>
        <v>277723</v>
      </c>
      <c r="K197" s="20">
        <f t="shared" si="59"/>
        <v>4570985.8835000005</v>
      </c>
      <c r="L197" s="20">
        <f t="shared" si="59"/>
        <v>4570986</v>
      </c>
      <c r="M197" s="18"/>
      <c r="N197" s="44"/>
    </row>
    <row r="198" spans="1:14" ht="21" customHeight="1">
      <c r="A198" s="18" t="s">
        <v>298</v>
      </c>
      <c r="B198" s="18" t="s">
        <v>299</v>
      </c>
      <c r="C198" s="20">
        <v>1</v>
      </c>
      <c r="D198" s="21" t="s">
        <v>201</v>
      </c>
      <c r="E198" s="20">
        <v>3985262.04</v>
      </c>
      <c r="F198" s="20">
        <f t="shared" si="56"/>
        <v>3985262</v>
      </c>
      <c r="G198" s="20">
        <v>222296.20249999998</v>
      </c>
      <c r="H198" s="20">
        <f t="shared" si="57"/>
        <v>222296</v>
      </c>
      <c r="I198" s="20">
        <v>277723.08100000001</v>
      </c>
      <c r="J198" s="20">
        <f t="shared" si="58"/>
        <v>277723</v>
      </c>
      <c r="K198" s="20">
        <f t="shared" si="59"/>
        <v>4485281.3234999999</v>
      </c>
      <c r="L198" s="20">
        <f t="shared" si="59"/>
        <v>4485281</v>
      </c>
      <c r="M198" s="18"/>
      <c r="N198" s="44"/>
    </row>
    <row r="199" spans="1:14" ht="21" customHeight="1">
      <c r="A199" s="18" t="s">
        <v>300</v>
      </c>
      <c r="B199" s="18" t="s">
        <v>301</v>
      </c>
      <c r="C199" s="20">
        <v>1</v>
      </c>
      <c r="D199" s="21" t="s">
        <v>201</v>
      </c>
      <c r="E199" s="20">
        <v>1917639.53</v>
      </c>
      <c r="F199" s="20">
        <f t="shared" si="56"/>
        <v>1917640</v>
      </c>
      <c r="G199" s="20">
        <v>222296.20249999998</v>
      </c>
      <c r="H199" s="20">
        <f t="shared" si="57"/>
        <v>222296</v>
      </c>
      <c r="I199" s="20">
        <v>277723.08100000001</v>
      </c>
      <c r="J199" s="20">
        <f t="shared" si="58"/>
        <v>277723</v>
      </c>
      <c r="K199" s="20">
        <f t="shared" si="59"/>
        <v>2417658.8135000002</v>
      </c>
      <c r="L199" s="20">
        <f t="shared" si="59"/>
        <v>2417659</v>
      </c>
      <c r="M199" s="18"/>
      <c r="N199" s="44"/>
    </row>
    <row r="200" spans="1:14" ht="21" customHeight="1">
      <c r="A200" s="18" t="s">
        <v>302</v>
      </c>
      <c r="B200" s="18"/>
      <c r="C200" s="19"/>
      <c r="D200" s="19"/>
      <c r="E200" s="19">
        <v>0</v>
      </c>
      <c r="F200" s="19"/>
      <c r="G200" s="19">
        <v>0</v>
      </c>
      <c r="H200" s="19"/>
      <c r="I200" s="19">
        <v>0</v>
      </c>
      <c r="J200" s="19"/>
      <c r="K200" s="19"/>
      <c r="L200" s="19"/>
      <c r="M200" s="19"/>
      <c r="N200" s="44"/>
    </row>
    <row r="201" spans="1:14" ht="21" customHeight="1">
      <c r="A201" s="18" t="s">
        <v>303</v>
      </c>
      <c r="B201" s="18" t="s">
        <v>304</v>
      </c>
      <c r="C201" s="22">
        <v>1.5629999999999999</v>
      </c>
      <c r="D201" s="21" t="s">
        <v>99</v>
      </c>
      <c r="E201" s="20">
        <v>0</v>
      </c>
      <c r="F201" s="20">
        <f>ROUND(E201*C201,0)</f>
        <v>0</v>
      </c>
      <c r="G201" s="20">
        <v>167445.28409999999</v>
      </c>
      <c r="H201" s="20">
        <f>ROUND(G201*C201,0)</f>
        <v>261717</v>
      </c>
      <c r="I201" s="20">
        <v>0</v>
      </c>
      <c r="J201" s="20">
        <f>ROUND(I201*C201,0)</f>
        <v>0</v>
      </c>
      <c r="K201" s="20">
        <f>E201+G201+I201</f>
        <v>167445.28409999999</v>
      </c>
      <c r="L201" s="20">
        <f>F201+H201+J201</f>
        <v>261717</v>
      </c>
      <c r="M201" s="18"/>
      <c r="N201" s="44"/>
    </row>
    <row r="202" spans="1:14" ht="21" customHeight="1">
      <c r="A202" s="18" t="s">
        <v>305</v>
      </c>
      <c r="B202" s="18" t="s">
        <v>306</v>
      </c>
      <c r="C202" s="20">
        <v>206</v>
      </c>
      <c r="D202" s="21" t="s">
        <v>231</v>
      </c>
      <c r="E202" s="20">
        <v>3213.9209999999998</v>
      </c>
      <c r="F202" s="20">
        <f>ROUND(E202*C202,0)</f>
        <v>662068</v>
      </c>
      <c r="G202" s="20">
        <v>6963.4955</v>
      </c>
      <c r="H202" s="20">
        <f>ROUND(G202*C202,0)</f>
        <v>1434480</v>
      </c>
      <c r="I202" s="20">
        <v>0</v>
      </c>
      <c r="J202" s="20">
        <f>ROUND(I202*C202,0)</f>
        <v>0</v>
      </c>
      <c r="K202" s="20">
        <f>E202+G202+I202</f>
        <v>10177.416499999999</v>
      </c>
      <c r="L202" s="20">
        <f>F202+H202+J202</f>
        <v>2096548</v>
      </c>
      <c r="M202" s="18"/>
      <c r="N202" s="44"/>
    </row>
    <row r="203" spans="1:14" ht="21" customHeight="1">
      <c r="A203" s="18" t="s">
        <v>307</v>
      </c>
      <c r="B203" s="18"/>
      <c r="C203" s="19"/>
      <c r="D203" s="19"/>
      <c r="E203" s="19">
        <v>0</v>
      </c>
      <c r="F203" s="19"/>
      <c r="G203" s="19">
        <v>0</v>
      </c>
      <c r="H203" s="19"/>
      <c r="I203" s="19">
        <v>0</v>
      </c>
      <c r="J203" s="19"/>
      <c r="K203" s="19"/>
      <c r="L203" s="19"/>
      <c r="M203" s="19"/>
      <c r="N203" s="44"/>
    </row>
    <row r="204" spans="1:14" ht="21" customHeight="1">
      <c r="A204" s="18" t="s">
        <v>308</v>
      </c>
      <c r="B204" s="18"/>
      <c r="C204" s="19"/>
      <c r="D204" s="19"/>
      <c r="E204" s="19">
        <v>0</v>
      </c>
      <c r="F204" s="19"/>
      <c r="G204" s="19">
        <v>0</v>
      </c>
      <c r="H204" s="19"/>
      <c r="I204" s="19">
        <v>0</v>
      </c>
      <c r="J204" s="19"/>
      <c r="K204" s="19"/>
      <c r="L204" s="19"/>
      <c r="M204" s="19"/>
      <c r="N204" s="44"/>
    </row>
    <row r="205" spans="1:14" ht="21" customHeight="1">
      <c r="A205" s="18" t="s">
        <v>309</v>
      </c>
      <c r="B205" s="18" t="s">
        <v>310</v>
      </c>
      <c r="C205" s="20">
        <v>86</v>
      </c>
      <c r="D205" s="21" t="s">
        <v>201</v>
      </c>
      <c r="E205" s="20">
        <v>78205.410999999993</v>
      </c>
      <c r="F205" s="20">
        <f>ROUND(E205*C205,0)</f>
        <v>6725665</v>
      </c>
      <c r="G205" s="20">
        <v>57850.578000000001</v>
      </c>
      <c r="H205" s="20">
        <f>ROUND(G205*C205,0)</f>
        <v>4975150</v>
      </c>
      <c r="I205" s="20">
        <v>78300.873999999996</v>
      </c>
      <c r="J205" s="20">
        <f>ROUND(I205*C205,0)</f>
        <v>6733875</v>
      </c>
      <c r="K205" s="20">
        <f>E205+G205+I205</f>
        <v>214356.86300000001</v>
      </c>
      <c r="L205" s="20">
        <f>F205+H205+J205</f>
        <v>18434690</v>
      </c>
      <c r="M205" s="18"/>
      <c r="N205" s="44"/>
    </row>
    <row r="206" spans="1:14" ht="21" customHeight="1">
      <c r="A206" s="18" t="s">
        <v>311</v>
      </c>
      <c r="B206" s="18"/>
      <c r="C206" s="19"/>
      <c r="D206" s="19"/>
      <c r="E206" s="19">
        <v>0</v>
      </c>
      <c r="F206" s="19"/>
      <c r="G206" s="19">
        <v>0</v>
      </c>
      <c r="H206" s="19"/>
      <c r="I206" s="19">
        <v>0</v>
      </c>
      <c r="J206" s="19"/>
      <c r="K206" s="19"/>
      <c r="L206" s="19"/>
      <c r="M206" s="19"/>
      <c r="N206" s="44"/>
    </row>
    <row r="207" spans="1:14" ht="21" customHeight="1">
      <c r="A207" s="18" t="s">
        <v>312</v>
      </c>
      <c r="B207" s="18"/>
      <c r="C207" s="19"/>
      <c r="D207" s="19"/>
      <c r="E207" s="19">
        <v>0</v>
      </c>
      <c r="F207" s="19"/>
      <c r="G207" s="19">
        <v>0</v>
      </c>
      <c r="H207" s="19"/>
      <c r="I207" s="19">
        <v>0</v>
      </c>
      <c r="J207" s="19"/>
      <c r="K207" s="19"/>
      <c r="L207" s="19"/>
      <c r="M207" s="19"/>
      <c r="N207" s="44"/>
    </row>
    <row r="208" spans="1:14" ht="21" customHeight="1">
      <c r="A208" s="18" t="s">
        <v>313</v>
      </c>
      <c r="B208" s="18" t="s">
        <v>314</v>
      </c>
      <c r="C208" s="20">
        <v>4</v>
      </c>
      <c r="D208" s="21" t="s">
        <v>231</v>
      </c>
      <c r="E208" s="20">
        <v>940607.54599999997</v>
      </c>
      <c r="F208" s="20">
        <f>ROUND(E208*C208,0)</f>
        <v>3762430</v>
      </c>
      <c r="G208" s="20">
        <v>192835.26</v>
      </c>
      <c r="H208" s="20">
        <f>ROUND(G208*C208,0)</f>
        <v>771341</v>
      </c>
      <c r="I208" s="20">
        <v>64314.483800000002</v>
      </c>
      <c r="J208" s="20">
        <f>ROUND(I208*C208,0)</f>
        <v>257258</v>
      </c>
      <c r="K208" s="20">
        <f t="shared" ref="K208:L211" si="60">E208+G208+I208</f>
        <v>1197757.2897999999</v>
      </c>
      <c r="L208" s="20">
        <f t="shared" si="60"/>
        <v>4791029</v>
      </c>
      <c r="M208" s="18"/>
      <c r="N208" s="44"/>
    </row>
    <row r="209" spans="1:14" ht="21" customHeight="1">
      <c r="A209" s="18" t="s">
        <v>315</v>
      </c>
      <c r="B209" s="18" t="s">
        <v>316</v>
      </c>
      <c r="C209" s="20">
        <v>36</v>
      </c>
      <c r="D209" s="21" t="s">
        <v>231</v>
      </c>
      <c r="E209" s="20">
        <v>833476.84600000002</v>
      </c>
      <c r="F209" s="20">
        <f>ROUND(E209*C209,0)</f>
        <v>30005166</v>
      </c>
      <c r="G209" s="20">
        <v>192835.26</v>
      </c>
      <c r="H209" s="20">
        <f>ROUND(G209*C209,0)</f>
        <v>6942069</v>
      </c>
      <c r="I209" s="20">
        <v>64314.483800000002</v>
      </c>
      <c r="J209" s="20">
        <f>ROUND(I209*C209,0)</f>
        <v>2315321</v>
      </c>
      <c r="K209" s="20">
        <f t="shared" si="60"/>
        <v>1090626.5898</v>
      </c>
      <c r="L209" s="20">
        <f t="shared" si="60"/>
        <v>39262556</v>
      </c>
      <c r="M209" s="18"/>
      <c r="N209" s="44"/>
    </row>
    <row r="210" spans="1:14" ht="21" customHeight="1">
      <c r="A210" s="18" t="s">
        <v>317</v>
      </c>
      <c r="B210" s="18" t="s">
        <v>318</v>
      </c>
      <c r="C210" s="20">
        <v>2</v>
      </c>
      <c r="D210" s="21" t="s">
        <v>231</v>
      </c>
      <c r="E210" s="20">
        <v>1012385.115</v>
      </c>
      <c r="F210" s="20">
        <f>ROUND(E210*C210,0)</f>
        <v>2024770</v>
      </c>
      <c r="G210" s="20">
        <v>192835.26</v>
      </c>
      <c r="H210" s="20">
        <f>ROUND(G210*C210,0)</f>
        <v>385671</v>
      </c>
      <c r="I210" s="20">
        <v>64314.483800000002</v>
      </c>
      <c r="J210" s="20">
        <f>ROUND(I210*C210,0)</f>
        <v>128629</v>
      </c>
      <c r="K210" s="20">
        <f t="shared" si="60"/>
        <v>1269534.8588</v>
      </c>
      <c r="L210" s="20">
        <f t="shared" si="60"/>
        <v>2539070</v>
      </c>
      <c r="M210" s="18"/>
      <c r="N210" s="44"/>
    </row>
    <row r="211" spans="1:14" ht="21" customHeight="1">
      <c r="A211" s="18" t="s">
        <v>319</v>
      </c>
      <c r="B211" s="18" t="s">
        <v>320</v>
      </c>
      <c r="C211" s="20">
        <v>2</v>
      </c>
      <c r="D211" s="21" t="s">
        <v>231</v>
      </c>
      <c r="E211" s="20">
        <v>846332.53</v>
      </c>
      <c r="F211" s="20">
        <f>ROUND(E211*C211,0)</f>
        <v>1692665</v>
      </c>
      <c r="G211" s="20">
        <v>192835.26</v>
      </c>
      <c r="H211" s="20">
        <f>ROUND(G211*C211,0)</f>
        <v>385671</v>
      </c>
      <c r="I211" s="20">
        <v>64314.483800000002</v>
      </c>
      <c r="J211" s="20">
        <f>ROUND(I211*C211,0)</f>
        <v>128629</v>
      </c>
      <c r="K211" s="20">
        <f t="shared" si="60"/>
        <v>1103482.2738000001</v>
      </c>
      <c r="L211" s="20">
        <f t="shared" si="60"/>
        <v>2206965</v>
      </c>
      <c r="M211" s="18"/>
      <c r="N211" s="44"/>
    </row>
    <row r="212" spans="1:14" ht="21" customHeight="1">
      <c r="A212" s="18" t="s">
        <v>321</v>
      </c>
      <c r="B212" s="18"/>
      <c r="C212" s="19"/>
      <c r="D212" s="19"/>
      <c r="E212" s="19">
        <v>0</v>
      </c>
      <c r="F212" s="19"/>
      <c r="G212" s="19">
        <v>0</v>
      </c>
      <c r="H212" s="19"/>
      <c r="I212" s="19">
        <v>0</v>
      </c>
      <c r="J212" s="19"/>
      <c r="K212" s="19"/>
      <c r="L212" s="19"/>
      <c r="M212" s="19"/>
      <c r="N212" s="44"/>
    </row>
    <row r="213" spans="1:14" ht="21" customHeight="1">
      <c r="A213" s="18" t="s">
        <v>322</v>
      </c>
      <c r="B213" s="18" t="s">
        <v>247</v>
      </c>
      <c r="C213" s="20">
        <v>11</v>
      </c>
      <c r="D213" s="21" t="s">
        <v>99</v>
      </c>
      <c r="E213" s="20">
        <v>0</v>
      </c>
      <c r="F213" s="20">
        <f>ROUND(E213*C213,0)</f>
        <v>0</v>
      </c>
      <c r="G213" s="20">
        <v>11784.377</v>
      </c>
      <c r="H213" s="20">
        <f>ROUND(G213*C213,0)</f>
        <v>129628</v>
      </c>
      <c r="I213" s="20">
        <v>21048.5308</v>
      </c>
      <c r="J213" s="20">
        <f>ROUND(I213*C213,0)</f>
        <v>231534</v>
      </c>
      <c r="K213" s="20">
        <f>E213+G213+I213</f>
        <v>32832.907800000001</v>
      </c>
      <c r="L213" s="20">
        <f>F213+H213+J213</f>
        <v>361162</v>
      </c>
      <c r="M213" s="18"/>
      <c r="N213" s="44"/>
    </row>
    <row r="214" spans="1:14" ht="21" customHeight="1">
      <c r="A214" s="18" t="s">
        <v>323</v>
      </c>
      <c r="B214" s="18" t="s">
        <v>249</v>
      </c>
      <c r="C214" s="20">
        <v>9</v>
      </c>
      <c r="D214" s="21" t="s">
        <v>93</v>
      </c>
      <c r="E214" s="20">
        <v>8034.8024999999998</v>
      </c>
      <c r="F214" s="20">
        <f>ROUND(E214*C214,0)</f>
        <v>72313</v>
      </c>
      <c r="G214" s="20">
        <v>21426.14</v>
      </c>
      <c r="H214" s="20">
        <f>ROUND(G214*C214,0)</f>
        <v>192835</v>
      </c>
      <c r="I214" s="20">
        <v>4093.2412999999997</v>
      </c>
      <c r="J214" s="20">
        <f>ROUND(I214*C214,0)</f>
        <v>36839</v>
      </c>
      <c r="K214" s="20">
        <f>E214+G214+I214</f>
        <v>33554.183799999999</v>
      </c>
      <c r="L214" s="20">
        <f>F214+H214+J214</f>
        <v>301987</v>
      </c>
      <c r="M214" s="18"/>
      <c r="N214" s="44"/>
    </row>
    <row r="215" spans="1:14" ht="21" customHeight="1">
      <c r="A215" s="18" t="s">
        <v>324</v>
      </c>
      <c r="B215" s="18"/>
      <c r="C215" s="19"/>
      <c r="D215" s="19"/>
      <c r="E215" s="19">
        <v>0</v>
      </c>
      <c r="F215" s="19"/>
      <c r="G215" s="19">
        <v>0</v>
      </c>
      <c r="H215" s="19"/>
      <c r="I215" s="19">
        <v>0</v>
      </c>
      <c r="J215" s="19"/>
      <c r="K215" s="19"/>
      <c r="L215" s="19"/>
      <c r="M215" s="19"/>
      <c r="N215" s="44"/>
    </row>
    <row r="216" spans="1:14" ht="21" customHeight="1">
      <c r="A216" s="18" t="s">
        <v>322</v>
      </c>
      <c r="B216" s="18" t="s">
        <v>247</v>
      </c>
      <c r="C216" s="20">
        <v>1</v>
      </c>
      <c r="D216" s="21" t="s">
        <v>99</v>
      </c>
      <c r="E216" s="20">
        <v>0</v>
      </c>
      <c r="F216" s="20">
        <f>ROUND(E216*C216,0)</f>
        <v>0</v>
      </c>
      <c r="G216" s="20">
        <v>11784.377</v>
      </c>
      <c r="H216" s="20">
        <f>ROUND(G216*C216,0)</f>
        <v>11784</v>
      </c>
      <c r="I216" s="20">
        <v>21048.5308</v>
      </c>
      <c r="J216" s="20">
        <f>ROUND(I216*C216,0)</f>
        <v>21049</v>
      </c>
      <c r="K216" s="20">
        <f>E216+G216+I216</f>
        <v>32832.907800000001</v>
      </c>
      <c r="L216" s="20">
        <f>F216+H216+J216</f>
        <v>32833</v>
      </c>
      <c r="M216" s="18"/>
      <c r="N216" s="44"/>
    </row>
    <row r="217" spans="1:14" ht="21" customHeight="1">
      <c r="A217" s="18" t="s">
        <v>323</v>
      </c>
      <c r="B217" s="18" t="s">
        <v>249</v>
      </c>
      <c r="C217" s="20">
        <v>4</v>
      </c>
      <c r="D217" s="21" t="s">
        <v>93</v>
      </c>
      <c r="E217" s="20">
        <v>8034.8024999999998</v>
      </c>
      <c r="F217" s="20">
        <f>ROUND(E217*C217,0)</f>
        <v>32139</v>
      </c>
      <c r="G217" s="20">
        <v>21426.14</v>
      </c>
      <c r="H217" s="20">
        <f>ROUND(G217*C217,0)</f>
        <v>85705</v>
      </c>
      <c r="I217" s="20">
        <v>4093.2412999999997</v>
      </c>
      <c r="J217" s="20">
        <f>ROUND(I217*C217,0)</f>
        <v>16373</v>
      </c>
      <c r="K217" s="20">
        <f>E217+G217+I217</f>
        <v>33554.183799999999</v>
      </c>
      <c r="L217" s="20">
        <f>F217+H217+J217</f>
        <v>134217</v>
      </c>
      <c r="M217" s="18"/>
      <c r="N217" s="44"/>
    </row>
    <row r="218" spans="1:14" ht="21" customHeight="1">
      <c r="A218" s="18" t="s">
        <v>325</v>
      </c>
      <c r="B218" s="18"/>
      <c r="C218" s="19"/>
      <c r="D218" s="19"/>
      <c r="E218" s="19">
        <v>0</v>
      </c>
      <c r="F218" s="19"/>
      <c r="G218" s="19">
        <v>0</v>
      </c>
      <c r="H218" s="19"/>
      <c r="I218" s="19">
        <v>0</v>
      </c>
      <c r="J218" s="19"/>
      <c r="K218" s="19"/>
      <c r="L218" s="19"/>
      <c r="M218" s="19"/>
      <c r="N218" s="44"/>
    </row>
    <row r="219" spans="1:14" ht="21" customHeight="1">
      <c r="A219" s="18" t="s">
        <v>326</v>
      </c>
      <c r="B219" s="18" t="s">
        <v>327</v>
      </c>
      <c r="C219" s="20">
        <v>16</v>
      </c>
      <c r="D219" s="21" t="s">
        <v>201</v>
      </c>
      <c r="E219" s="20">
        <v>257113.68</v>
      </c>
      <c r="F219" s="20">
        <f>ROUND(E219*C219,0)</f>
        <v>4113819</v>
      </c>
      <c r="G219" s="20">
        <v>111148.63159999999</v>
      </c>
      <c r="H219" s="20">
        <f>ROUND(G219*C219,0)</f>
        <v>1778378</v>
      </c>
      <c r="I219" s="20">
        <v>138862.6012</v>
      </c>
      <c r="J219" s="20">
        <f>ROUND(I219*C219,0)</f>
        <v>2221802</v>
      </c>
      <c r="K219" s="20">
        <f>E219+G219+I219</f>
        <v>507124.91280000005</v>
      </c>
      <c r="L219" s="20">
        <f>F219+H219+J219</f>
        <v>8113999</v>
      </c>
      <c r="M219" s="18"/>
      <c r="N219" s="44"/>
    </row>
    <row r="220" spans="1:14" ht="21" customHeight="1">
      <c r="A220" s="18" t="s">
        <v>328</v>
      </c>
      <c r="B220" s="18"/>
      <c r="C220" s="19"/>
      <c r="D220" s="19"/>
      <c r="E220" s="19">
        <v>0</v>
      </c>
      <c r="F220" s="19"/>
      <c r="G220" s="19">
        <v>0</v>
      </c>
      <c r="H220" s="19"/>
      <c r="I220" s="19">
        <v>0</v>
      </c>
      <c r="J220" s="19"/>
      <c r="K220" s="19"/>
      <c r="L220" s="19"/>
      <c r="M220" s="19"/>
      <c r="N220" s="44"/>
    </row>
    <row r="221" spans="1:14" ht="21" customHeight="1">
      <c r="A221" s="18" t="s">
        <v>329</v>
      </c>
      <c r="B221" s="18" t="s">
        <v>330</v>
      </c>
      <c r="C221" s="20">
        <v>116</v>
      </c>
      <c r="D221" s="21" t="s">
        <v>231</v>
      </c>
      <c r="E221" s="20">
        <v>42852.28</v>
      </c>
      <c r="F221" s="20">
        <f>ROUND(E221*C221,0)</f>
        <v>4970864</v>
      </c>
      <c r="G221" s="20">
        <v>19165.7883</v>
      </c>
      <c r="H221" s="20">
        <f>ROUND(G221*C221,0)</f>
        <v>2223231</v>
      </c>
      <c r="I221" s="20">
        <v>23971.82</v>
      </c>
      <c r="J221" s="20">
        <f>ROUND(I221*C221,0)</f>
        <v>2780731</v>
      </c>
      <c r="K221" s="20">
        <f>E221+G221+I221</f>
        <v>85989.888299999991</v>
      </c>
      <c r="L221" s="20">
        <f>F221+H221+J221</f>
        <v>9974826</v>
      </c>
      <c r="M221" s="18"/>
      <c r="N221" s="44"/>
    </row>
    <row r="222" spans="1:14" ht="21" customHeight="1">
      <c r="A222" s="18" t="s">
        <v>331</v>
      </c>
      <c r="B222" s="18" t="s">
        <v>332</v>
      </c>
      <c r="C222" s="20">
        <v>5</v>
      </c>
      <c r="D222" s="21" t="s">
        <v>201</v>
      </c>
      <c r="E222" s="20">
        <v>192835.26</v>
      </c>
      <c r="F222" s="20">
        <f>ROUND(E222*C222,0)</f>
        <v>964176</v>
      </c>
      <c r="G222" s="20">
        <v>19165.7883</v>
      </c>
      <c r="H222" s="20">
        <f>ROUND(G222*C222,0)</f>
        <v>95829</v>
      </c>
      <c r="I222" s="20">
        <v>23971.82</v>
      </c>
      <c r="J222" s="20">
        <f>ROUND(I222*C222,0)</f>
        <v>119859</v>
      </c>
      <c r="K222" s="20">
        <f>E222+G222+I222</f>
        <v>235972.86830000003</v>
      </c>
      <c r="L222" s="20">
        <f>F222+H222+J222</f>
        <v>1179864</v>
      </c>
      <c r="M222" s="18"/>
      <c r="N222" s="44"/>
    </row>
    <row r="223" spans="1:14" ht="21" customHeight="1">
      <c r="A223" s="18" t="s">
        <v>333</v>
      </c>
      <c r="B223" s="18"/>
      <c r="C223" s="19"/>
      <c r="D223" s="19"/>
      <c r="E223" s="19">
        <v>0</v>
      </c>
      <c r="F223" s="19"/>
      <c r="G223" s="19">
        <v>0</v>
      </c>
      <c r="H223" s="19"/>
      <c r="I223" s="19">
        <v>0</v>
      </c>
      <c r="J223" s="19"/>
      <c r="K223" s="19"/>
      <c r="L223" s="19"/>
      <c r="M223" s="19"/>
      <c r="N223" s="44"/>
    </row>
    <row r="224" spans="1:14" ht="21" customHeight="1">
      <c r="A224" s="18" t="s">
        <v>334</v>
      </c>
      <c r="B224" s="18" t="s">
        <v>335</v>
      </c>
      <c r="C224" s="20">
        <v>202</v>
      </c>
      <c r="D224" s="21" t="s">
        <v>231</v>
      </c>
      <c r="E224" s="20">
        <v>417809.73</v>
      </c>
      <c r="F224" s="20">
        <f>ROUND(E224*C224,0)</f>
        <v>84397565</v>
      </c>
      <c r="G224" s="20">
        <v>30853.641599999999</v>
      </c>
      <c r="H224" s="20">
        <f>ROUND(G224*C224,0)</f>
        <v>6232436</v>
      </c>
      <c r="I224" s="20">
        <v>38506.592100000002</v>
      </c>
      <c r="J224" s="20">
        <f>ROUND(I224*C224,0)</f>
        <v>7778332</v>
      </c>
      <c r="K224" s="20">
        <f>E224+G224+I224</f>
        <v>487169.96369999996</v>
      </c>
      <c r="L224" s="20">
        <f>F224+H224+J224</f>
        <v>98408333</v>
      </c>
      <c r="M224" s="18"/>
      <c r="N224" s="44"/>
    </row>
    <row r="225" spans="1:14" ht="21" customHeight="1">
      <c r="A225" s="18" t="s">
        <v>336</v>
      </c>
      <c r="B225" s="18" t="s">
        <v>337</v>
      </c>
      <c r="C225" s="20">
        <v>11</v>
      </c>
      <c r="D225" s="21" t="s">
        <v>201</v>
      </c>
      <c r="E225" s="20">
        <v>257113.68</v>
      </c>
      <c r="F225" s="20">
        <f>ROUND(E225*C225,0)</f>
        <v>2828250</v>
      </c>
      <c r="G225" s="20">
        <v>30853.641599999999</v>
      </c>
      <c r="H225" s="20">
        <f>ROUND(G225*C225,0)</f>
        <v>339390</v>
      </c>
      <c r="I225" s="20">
        <v>38506.592100000002</v>
      </c>
      <c r="J225" s="20">
        <f>ROUND(I225*C225,0)</f>
        <v>423573</v>
      </c>
      <c r="K225" s="20">
        <f>E225+G225+I225</f>
        <v>326473.91369999998</v>
      </c>
      <c r="L225" s="20">
        <f>F225+H225+J225</f>
        <v>3591213</v>
      </c>
      <c r="M225" s="18"/>
      <c r="N225" s="44"/>
    </row>
    <row r="226" spans="1:14" ht="21" customHeight="1">
      <c r="A226" s="18" t="s">
        <v>338</v>
      </c>
      <c r="B226" s="18"/>
      <c r="C226" s="19"/>
      <c r="D226" s="19"/>
      <c r="E226" s="19">
        <v>0</v>
      </c>
      <c r="F226" s="19"/>
      <c r="G226" s="19">
        <v>0</v>
      </c>
      <c r="H226" s="19"/>
      <c r="I226" s="19">
        <v>0</v>
      </c>
      <c r="J226" s="19"/>
      <c r="K226" s="19"/>
      <c r="L226" s="19"/>
      <c r="M226" s="19"/>
      <c r="N226" s="44"/>
    </row>
    <row r="227" spans="1:14" ht="21" customHeight="1">
      <c r="A227" s="18" t="s">
        <v>339</v>
      </c>
      <c r="B227" s="18" t="s">
        <v>340</v>
      </c>
      <c r="C227" s="20">
        <v>1</v>
      </c>
      <c r="D227" s="21" t="s">
        <v>23</v>
      </c>
      <c r="E227" s="20">
        <v>74991490</v>
      </c>
      <c r="F227" s="20">
        <f>ROUND(E227*C227,0)</f>
        <v>74991490</v>
      </c>
      <c r="G227" s="20">
        <v>0</v>
      </c>
      <c r="H227" s="20">
        <f>ROUND(G227*C227,0)</f>
        <v>0</v>
      </c>
      <c r="I227" s="20">
        <v>0</v>
      </c>
      <c r="J227" s="20">
        <f>ROUND(I227*C227,0)</f>
        <v>0</v>
      </c>
      <c r="K227" s="20">
        <f>E227+G227+I227</f>
        <v>74991490</v>
      </c>
      <c r="L227" s="20">
        <f>F227+H227+J227</f>
        <v>74991490</v>
      </c>
      <c r="M227" s="18"/>
      <c r="N227" s="44"/>
    </row>
    <row r="228" spans="1:14" ht="21" customHeight="1">
      <c r="A228" s="18" t="s">
        <v>341</v>
      </c>
      <c r="B228" s="18"/>
      <c r="C228" s="19"/>
      <c r="D228" s="19"/>
      <c r="E228" s="19">
        <v>0</v>
      </c>
      <c r="F228" s="19"/>
      <c r="G228" s="19">
        <v>0</v>
      </c>
      <c r="H228" s="19"/>
      <c r="I228" s="19">
        <v>0</v>
      </c>
      <c r="J228" s="19"/>
      <c r="K228" s="19"/>
      <c r="L228" s="19"/>
      <c r="M228" s="19"/>
      <c r="N228" s="44"/>
    </row>
    <row r="229" spans="1:14" ht="21" customHeight="1">
      <c r="A229" s="18" t="s">
        <v>342</v>
      </c>
      <c r="B229" s="18"/>
      <c r="C229" s="19"/>
      <c r="D229" s="19"/>
      <c r="E229" s="19">
        <v>0</v>
      </c>
      <c r="F229" s="19"/>
      <c r="G229" s="19">
        <v>0</v>
      </c>
      <c r="H229" s="19"/>
      <c r="I229" s="19">
        <v>0</v>
      </c>
      <c r="J229" s="19"/>
      <c r="K229" s="19"/>
      <c r="L229" s="19"/>
      <c r="M229" s="19"/>
      <c r="N229" s="44"/>
    </row>
    <row r="230" spans="1:14" ht="21" customHeight="1">
      <c r="A230" s="18" t="s">
        <v>343</v>
      </c>
      <c r="B230" s="18" t="s">
        <v>344</v>
      </c>
      <c r="C230" s="22">
        <v>0.11</v>
      </c>
      <c r="D230" s="21" t="s">
        <v>99</v>
      </c>
      <c r="E230" s="20">
        <v>0</v>
      </c>
      <c r="F230" s="20">
        <f t="shared" ref="F230:F245" si="61">ROUND(E230*C230,0)</f>
        <v>0</v>
      </c>
      <c r="G230" s="20">
        <v>10713.07</v>
      </c>
      <c r="H230" s="20">
        <f t="shared" ref="H230:H245" si="62">ROUND(G230*C230,0)</f>
        <v>1178</v>
      </c>
      <c r="I230" s="20">
        <v>21048.5308</v>
      </c>
      <c r="J230" s="20">
        <f t="shared" ref="J230:J245" si="63">ROUND(I230*C230,0)</f>
        <v>2315</v>
      </c>
      <c r="K230" s="20">
        <f t="shared" ref="K230:K245" si="64">E230+G230+I230</f>
        <v>31761.6008</v>
      </c>
      <c r="L230" s="20">
        <f t="shared" ref="L230:L245" si="65">F230+H230+J230</f>
        <v>3493</v>
      </c>
      <c r="M230" s="18"/>
      <c r="N230" s="44"/>
    </row>
    <row r="231" spans="1:14" ht="21" customHeight="1">
      <c r="A231" s="18" t="s">
        <v>345</v>
      </c>
      <c r="B231" s="18" t="s">
        <v>247</v>
      </c>
      <c r="C231" s="20">
        <v>5</v>
      </c>
      <c r="D231" s="21" t="s">
        <v>99</v>
      </c>
      <c r="E231" s="20">
        <v>0</v>
      </c>
      <c r="F231" s="20">
        <f t="shared" si="61"/>
        <v>0</v>
      </c>
      <c r="G231" s="20">
        <v>10713.07</v>
      </c>
      <c r="H231" s="20">
        <f t="shared" si="62"/>
        <v>53565</v>
      </c>
      <c r="I231" s="20">
        <v>21048.5308</v>
      </c>
      <c r="J231" s="20">
        <f t="shared" si="63"/>
        <v>105243</v>
      </c>
      <c r="K231" s="20">
        <f t="shared" si="64"/>
        <v>31761.6008</v>
      </c>
      <c r="L231" s="20">
        <f t="shared" si="65"/>
        <v>158808</v>
      </c>
      <c r="M231" s="18"/>
      <c r="N231" s="44"/>
    </row>
    <row r="232" spans="1:14" ht="21" customHeight="1">
      <c r="A232" s="18" t="s">
        <v>346</v>
      </c>
      <c r="B232" s="18" t="s">
        <v>249</v>
      </c>
      <c r="C232" s="20">
        <v>3</v>
      </c>
      <c r="D232" s="21" t="s">
        <v>93</v>
      </c>
      <c r="E232" s="20">
        <v>8034.8024999999998</v>
      </c>
      <c r="F232" s="20">
        <f t="shared" si="61"/>
        <v>24104</v>
      </c>
      <c r="G232" s="20">
        <v>30532.249499999998</v>
      </c>
      <c r="H232" s="20">
        <f t="shared" si="62"/>
        <v>91597</v>
      </c>
      <c r="I232" s="20">
        <v>2338.8434999999999</v>
      </c>
      <c r="J232" s="20">
        <f t="shared" si="63"/>
        <v>7017</v>
      </c>
      <c r="K232" s="20">
        <f t="shared" si="64"/>
        <v>40905.895499999999</v>
      </c>
      <c r="L232" s="20">
        <f t="shared" si="65"/>
        <v>122718</v>
      </c>
      <c r="M232" s="18"/>
      <c r="N232" s="44"/>
    </row>
    <row r="233" spans="1:14" ht="21" customHeight="1">
      <c r="A233" s="18" t="s">
        <v>347</v>
      </c>
      <c r="B233" s="18" t="s">
        <v>348</v>
      </c>
      <c r="C233" s="20">
        <v>12</v>
      </c>
      <c r="D233" s="21" t="s">
        <v>99</v>
      </c>
      <c r="E233" s="20">
        <v>0</v>
      </c>
      <c r="F233" s="20">
        <f t="shared" si="61"/>
        <v>0</v>
      </c>
      <c r="G233" s="20">
        <v>26782.674999999999</v>
      </c>
      <c r="H233" s="20">
        <f t="shared" si="62"/>
        <v>321392</v>
      </c>
      <c r="I233" s="20">
        <v>11693.156799999999</v>
      </c>
      <c r="J233" s="20">
        <f t="shared" si="63"/>
        <v>140318</v>
      </c>
      <c r="K233" s="20">
        <f t="shared" si="64"/>
        <v>38475.8318</v>
      </c>
      <c r="L233" s="20">
        <f t="shared" si="65"/>
        <v>461710</v>
      </c>
      <c r="M233" s="18"/>
      <c r="N233" s="44"/>
    </row>
    <row r="234" spans="1:14" ht="21" customHeight="1">
      <c r="A234" s="18" t="s">
        <v>349</v>
      </c>
      <c r="B234" s="18" t="s">
        <v>350</v>
      </c>
      <c r="C234" s="20">
        <v>16</v>
      </c>
      <c r="D234" s="21" t="s">
        <v>99</v>
      </c>
      <c r="E234" s="20">
        <v>0</v>
      </c>
      <c r="F234" s="20">
        <f t="shared" si="61"/>
        <v>0</v>
      </c>
      <c r="G234" s="20">
        <v>32139.21</v>
      </c>
      <c r="H234" s="20">
        <f t="shared" si="62"/>
        <v>514227</v>
      </c>
      <c r="I234" s="20">
        <v>11693.156799999999</v>
      </c>
      <c r="J234" s="20">
        <f t="shared" si="63"/>
        <v>187091</v>
      </c>
      <c r="K234" s="20">
        <f t="shared" si="64"/>
        <v>43832.366799999996</v>
      </c>
      <c r="L234" s="20">
        <f t="shared" si="65"/>
        <v>701318</v>
      </c>
      <c r="M234" s="18"/>
      <c r="N234" s="44"/>
    </row>
    <row r="235" spans="1:14" ht="21" customHeight="1">
      <c r="A235" s="18" t="s">
        <v>351</v>
      </c>
      <c r="B235" s="18" t="s">
        <v>205</v>
      </c>
      <c r="C235" s="22">
        <v>0.31</v>
      </c>
      <c r="D235" s="21" t="s">
        <v>99</v>
      </c>
      <c r="E235" s="20">
        <v>0</v>
      </c>
      <c r="F235" s="20">
        <f t="shared" si="61"/>
        <v>0</v>
      </c>
      <c r="G235" s="20">
        <v>9534.6322999999993</v>
      </c>
      <c r="H235" s="20">
        <f t="shared" si="62"/>
        <v>2956</v>
      </c>
      <c r="I235" s="20">
        <v>34028.316699999996</v>
      </c>
      <c r="J235" s="20">
        <f t="shared" si="63"/>
        <v>10549</v>
      </c>
      <c r="K235" s="20">
        <f t="shared" si="64"/>
        <v>43562.948999999993</v>
      </c>
      <c r="L235" s="20">
        <f t="shared" si="65"/>
        <v>13505</v>
      </c>
      <c r="M235" s="18"/>
      <c r="N235" s="44"/>
    </row>
    <row r="236" spans="1:14" ht="21" customHeight="1">
      <c r="A236" s="18" t="s">
        <v>352</v>
      </c>
      <c r="B236" s="18" t="s">
        <v>353</v>
      </c>
      <c r="C236" s="22">
        <v>0.186</v>
      </c>
      <c r="D236" s="21" t="s">
        <v>99</v>
      </c>
      <c r="E236" s="20">
        <v>0</v>
      </c>
      <c r="F236" s="20">
        <f t="shared" si="61"/>
        <v>0</v>
      </c>
      <c r="G236" s="20">
        <v>26417.7942</v>
      </c>
      <c r="H236" s="20">
        <f t="shared" si="62"/>
        <v>4914</v>
      </c>
      <c r="I236" s="20">
        <v>864.47050000000002</v>
      </c>
      <c r="J236" s="20">
        <f t="shared" si="63"/>
        <v>161</v>
      </c>
      <c r="K236" s="20">
        <f t="shared" si="64"/>
        <v>27282.2647</v>
      </c>
      <c r="L236" s="20">
        <f t="shared" si="65"/>
        <v>5075</v>
      </c>
      <c r="M236" s="18"/>
      <c r="N236" s="44"/>
    </row>
    <row r="237" spans="1:14" ht="21" customHeight="1">
      <c r="A237" s="18" t="s">
        <v>354</v>
      </c>
      <c r="B237" s="18" t="s">
        <v>355</v>
      </c>
      <c r="C237" s="20">
        <v>5</v>
      </c>
      <c r="D237" s="21" t="s">
        <v>179</v>
      </c>
      <c r="E237" s="20">
        <v>16069.605</v>
      </c>
      <c r="F237" s="20">
        <f t="shared" si="61"/>
        <v>80348</v>
      </c>
      <c r="G237" s="20">
        <v>16069.605</v>
      </c>
      <c r="H237" s="20">
        <f t="shared" si="62"/>
        <v>80348</v>
      </c>
      <c r="I237" s="20">
        <v>0</v>
      </c>
      <c r="J237" s="20">
        <f t="shared" si="63"/>
        <v>0</v>
      </c>
      <c r="K237" s="20">
        <f t="shared" si="64"/>
        <v>32139.21</v>
      </c>
      <c r="L237" s="20">
        <f t="shared" si="65"/>
        <v>160696</v>
      </c>
      <c r="M237" s="18"/>
      <c r="N237" s="44"/>
    </row>
    <row r="238" spans="1:14" ht="21" customHeight="1">
      <c r="A238" s="18" t="s">
        <v>356</v>
      </c>
      <c r="B238" s="18" t="s">
        <v>357</v>
      </c>
      <c r="C238" s="20">
        <v>7</v>
      </c>
      <c r="D238" s="21" t="s">
        <v>231</v>
      </c>
      <c r="E238" s="20">
        <v>0</v>
      </c>
      <c r="F238" s="20">
        <f t="shared" si="61"/>
        <v>0</v>
      </c>
      <c r="G238" s="20">
        <v>26782.674999999999</v>
      </c>
      <c r="H238" s="20">
        <f t="shared" si="62"/>
        <v>187479</v>
      </c>
      <c r="I238" s="20">
        <v>0</v>
      </c>
      <c r="J238" s="20">
        <f t="shared" si="63"/>
        <v>0</v>
      </c>
      <c r="K238" s="20">
        <f t="shared" si="64"/>
        <v>26782.674999999999</v>
      </c>
      <c r="L238" s="20">
        <f t="shared" si="65"/>
        <v>187479</v>
      </c>
      <c r="M238" s="18"/>
      <c r="N238" s="44"/>
    </row>
    <row r="239" spans="1:14" ht="21" customHeight="1">
      <c r="A239" s="18" t="s">
        <v>358</v>
      </c>
      <c r="B239" s="18" t="s">
        <v>357</v>
      </c>
      <c r="C239" s="20">
        <v>1</v>
      </c>
      <c r="D239" s="21" t="s">
        <v>201</v>
      </c>
      <c r="E239" s="20">
        <v>0</v>
      </c>
      <c r="F239" s="20">
        <f t="shared" si="61"/>
        <v>0</v>
      </c>
      <c r="G239" s="20">
        <v>10713.07</v>
      </c>
      <c r="H239" s="20">
        <f t="shared" si="62"/>
        <v>10713</v>
      </c>
      <c r="I239" s="20">
        <v>0</v>
      </c>
      <c r="J239" s="20">
        <f t="shared" si="63"/>
        <v>0</v>
      </c>
      <c r="K239" s="20">
        <f t="shared" si="64"/>
        <v>10713.07</v>
      </c>
      <c r="L239" s="20">
        <f t="shared" si="65"/>
        <v>10713</v>
      </c>
      <c r="M239" s="18"/>
      <c r="N239" s="44"/>
    </row>
    <row r="240" spans="1:14" ht="21" customHeight="1">
      <c r="A240" s="18" t="s">
        <v>359</v>
      </c>
      <c r="B240" s="18" t="s">
        <v>360</v>
      </c>
      <c r="C240" s="20">
        <v>12</v>
      </c>
      <c r="D240" s="21" t="s">
        <v>231</v>
      </c>
      <c r="E240" s="20">
        <v>0</v>
      </c>
      <c r="F240" s="20">
        <f t="shared" si="61"/>
        <v>0</v>
      </c>
      <c r="G240" s="20">
        <v>37495.745000000003</v>
      </c>
      <c r="H240" s="20">
        <f t="shared" si="62"/>
        <v>449949</v>
      </c>
      <c r="I240" s="20">
        <v>0</v>
      </c>
      <c r="J240" s="20">
        <f t="shared" si="63"/>
        <v>0</v>
      </c>
      <c r="K240" s="20">
        <f t="shared" si="64"/>
        <v>37495.745000000003</v>
      </c>
      <c r="L240" s="20">
        <f t="shared" si="65"/>
        <v>449949</v>
      </c>
      <c r="M240" s="18"/>
      <c r="N240" s="44"/>
    </row>
    <row r="241" spans="1:14" ht="21" customHeight="1">
      <c r="A241" s="18" t="s">
        <v>361</v>
      </c>
      <c r="B241" s="18" t="s">
        <v>360</v>
      </c>
      <c r="C241" s="20">
        <v>4</v>
      </c>
      <c r="D241" s="21" t="s">
        <v>201</v>
      </c>
      <c r="E241" s="20">
        <v>0</v>
      </c>
      <c r="F241" s="20">
        <f t="shared" si="61"/>
        <v>0</v>
      </c>
      <c r="G241" s="20">
        <v>26782.674999999999</v>
      </c>
      <c r="H241" s="20">
        <f t="shared" si="62"/>
        <v>107131</v>
      </c>
      <c r="I241" s="20">
        <v>0</v>
      </c>
      <c r="J241" s="20">
        <f t="shared" si="63"/>
        <v>0</v>
      </c>
      <c r="K241" s="20">
        <f t="shared" si="64"/>
        <v>26782.674999999999</v>
      </c>
      <c r="L241" s="20">
        <f t="shared" si="65"/>
        <v>107131</v>
      </c>
      <c r="M241" s="18"/>
      <c r="N241" s="44"/>
    </row>
    <row r="242" spans="1:14" ht="21" customHeight="1">
      <c r="A242" s="18" t="s">
        <v>362</v>
      </c>
      <c r="B242" s="18" t="s">
        <v>363</v>
      </c>
      <c r="C242" s="20">
        <v>7</v>
      </c>
      <c r="D242" s="21" t="s">
        <v>231</v>
      </c>
      <c r="E242" s="20">
        <v>48208.815000000002</v>
      </c>
      <c r="F242" s="20">
        <f t="shared" si="61"/>
        <v>337462</v>
      </c>
      <c r="G242" s="20">
        <v>0</v>
      </c>
      <c r="H242" s="20">
        <f t="shared" si="62"/>
        <v>0</v>
      </c>
      <c r="I242" s="20">
        <v>0</v>
      </c>
      <c r="J242" s="20">
        <f t="shared" si="63"/>
        <v>0</v>
      </c>
      <c r="K242" s="20">
        <f t="shared" si="64"/>
        <v>48208.815000000002</v>
      </c>
      <c r="L242" s="20">
        <f t="shared" si="65"/>
        <v>337462</v>
      </c>
      <c r="M242" s="18"/>
      <c r="N242" s="44"/>
    </row>
    <row r="243" spans="1:14" ht="21" customHeight="1">
      <c r="A243" s="18" t="s">
        <v>364</v>
      </c>
      <c r="B243" s="18" t="s">
        <v>363</v>
      </c>
      <c r="C243" s="20">
        <v>2</v>
      </c>
      <c r="D243" s="21" t="s">
        <v>365</v>
      </c>
      <c r="E243" s="20">
        <v>69634.955000000002</v>
      </c>
      <c r="F243" s="20">
        <f t="shared" si="61"/>
        <v>139270</v>
      </c>
      <c r="G243" s="20">
        <v>0</v>
      </c>
      <c r="H243" s="20">
        <f t="shared" si="62"/>
        <v>0</v>
      </c>
      <c r="I243" s="20">
        <v>0</v>
      </c>
      <c r="J243" s="20">
        <f t="shared" si="63"/>
        <v>0</v>
      </c>
      <c r="K243" s="20">
        <f t="shared" si="64"/>
        <v>69634.955000000002</v>
      </c>
      <c r="L243" s="20">
        <f t="shared" si="65"/>
        <v>139270</v>
      </c>
      <c r="M243" s="18"/>
      <c r="N243" s="44"/>
    </row>
    <row r="244" spans="1:14" ht="21" customHeight="1">
      <c r="A244" s="18" t="s">
        <v>366</v>
      </c>
      <c r="B244" s="18" t="s">
        <v>367</v>
      </c>
      <c r="C244" s="20">
        <v>2</v>
      </c>
      <c r="D244" s="21" t="s">
        <v>368</v>
      </c>
      <c r="E244" s="20">
        <v>74991.490000000005</v>
      </c>
      <c r="F244" s="20">
        <f t="shared" si="61"/>
        <v>149983</v>
      </c>
      <c r="G244" s="20">
        <v>0</v>
      </c>
      <c r="H244" s="20">
        <f t="shared" si="62"/>
        <v>0</v>
      </c>
      <c r="I244" s="20">
        <v>0</v>
      </c>
      <c r="J244" s="20">
        <f t="shared" si="63"/>
        <v>0</v>
      </c>
      <c r="K244" s="20">
        <f t="shared" si="64"/>
        <v>74991.490000000005</v>
      </c>
      <c r="L244" s="20">
        <f t="shared" si="65"/>
        <v>149983</v>
      </c>
      <c r="M244" s="18"/>
      <c r="N244" s="44"/>
    </row>
    <row r="245" spans="1:14" ht="21" customHeight="1">
      <c r="A245" s="18" t="s">
        <v>369</v>
      </c>
      <c r="B245" s="18" t="s">
        <v>370</v>
      </c>
      <c r="C245" s="20">
        <v>1</v>
      </c>
      <c r="D245" s="21" t="s">
        <v>371</v>
      </c>
      <c r="E245" s="20">
        <v>52494.042999999998</v>
      </c>
      <c r="F245" s="20">
        <f t="shared" si="61"/>
        <v>52494</v>
      </c>
      <c r="G245" s="20">
        <v>0</v>
      </c>
      <c r="H245" s="20">
        <f t="shared" si="62"/>
        <v>0</v>
      </c>
      <c r="I245" s="20">
        <v>0</v>
      </c>
      <c r="J245" s="20">
        <f t="shared" si="63"/>
        <v>0</v>
      </c>
      <c r="K245" s="20">
        <f t="shared" si="64"/>
        <v>52494.042999999998</v>
      </c>
      <c r="L245" s="20">
        <f t="shared" si="65"/>
        <v>52494</v>
      </c>
      <c r="M245" s="18"/>
      <c r="N245" s="44"/>
    </row>
    <row r="246" spans="1:14" ht="21" customHeight="1">
      <c r="A246" s="18" t="s">
        <v>372</v>
      </c>
      <c r="B246" s="18"/>
      <c r="C246" s="19"/>
      <c r="D246" s="19"/>
      <c r="E246" s="19">
        <v>0</v>
      </c>
      <c r="F246" s="19"/>
      <c r="G246" s="19">
        <v>0</v>
      </c>
      <c r="H246" s="19"/>
      <c r="I246" s="19">
        <v>0</v>
      </c>
      <c r="J246" s="19"/>
      <c r="K246" s="19"/>
      <c r="L246" s="19"/>
      <c r="M246" s="19"/>
      <c r="N246" s="44"/>
    </row>
    <row r="247" spans="1:14" ht="21" customHeight="1">
      <c r="A247" s="18" t="s">
        <v>373</v>
      </c>
      <c r="B247" s="18"/>
      <c r="C247" s="19"/>
      <c r="D247" s="19"/>
      <c r="E247" s="19">
        <v>0</v>
      </c>
      <c r="F247" s="19"/>
      <c r="G247" s="19">
        <v>0</v>
      </c>
      <c r="H247" s="19"/>
      <c r="I247" s="19">
        <v>0</v>
      </c>
      <c r="J247" s="19"/>
      <c r="K247" s="19"/>
      <c r="L247" s="19"/>
      <c r="M247" s="19"/>
      <c r="N247" s="44"/>
    </row>
    <row r="248" spans="1:14" ht="21" customHeight="1">
      <c r="A248" s="18" t="s">
        <v>374</v>
      </c>
      <c r="B248" s="18" t="s">
        <v>375</v>
      </c>
      <c r="C248" s="20">
        <v>48</v>
      </c>
      <c r="D248" s="21" t="s">
        <v>376</v>
      </c>
      <c r="E248" s="20">
        <v>6320.7112999999999</v>
      </c>
      <c r="F248" s="20">
        <f>ROUND(E248*C248,0)</f>
        <v>303394</v>
      </c>
      <c r="G248" s="20">
        <v>0</v>
      </c>
      <c r="H248" s="20">
        <f>ROUND(G248*C248,0)</f>
        <v>0</v>
      </c>
      <c r="I248" s="20">
        <v>0</v>
      </c>
      <c r="J248" s="20">
        <f>ROUND(I248*C248,0)</f>
        <v>0</v>
      </c>
      <c r="K248" s="20">
        <f t="shared" ref="K248:L250" si="66">E248+G248+I248</f>
        <v>6320.7112999999999</v>
      </c>
      <c r="L248" s="20">
        <f t="shared" si="66"/>
        <v>303394</v>
      </c>
      <c r="M248" s="18"/>
      <c r="N248" s="44"/>
    </row>
    <row r="249" spans="1:14" ht="21" customHeight="1">
      <c r="A249" s="18" t="s">
        <v>377</v>
      </c>
      <c r="B249" s="18" t="s">
        <v>378</v>
      </c>
      <c r="C249" s="20">
        <v>69</v>
      </c>
      <c r="D249" s="21" t="s">
        <v>376</v>
      </c>
      <c r="E249" s="20">
        <v>5892.1885000000002</v>
      </c>
      <c r="F249" s="20">
        <f>ROUND(E249*C249,0)</f>
        <v>406561</v>
      </c>
      <c r="G249" s="20">
        <v>0</v>
      </c>
      <c r="H249" s="20">
        <f>ROUND(G249*C249,0)</f>
        <v>0</v>
      </c>
      <c r="I249" s="20">
        <v>0</v>
      </c>
      <c r="J249" s="20">
        <f>ROUND(I249*C249,0)</f>
        <v>0</v>
      </c>
      <c r="K249" s="20">
        <f t="shared" si="66"/>
        <v>5892.1885000000002</v>
      </c>
      <c r="L249" s="20">
        <f t="shared" si="66"/>
        <v>406561</v>
      </c>
      <c r="M249" s="18"/>
      <c r="N249" s="44"/>
    </row>
    <row r="250" spans="1:14" ht="21" customHeight="1">
      <c r="A250" s="18" t="s">
        <v>379</v>
      </c>
      <c r="B250" s="18" t="s">
        <v>380</v>
      </c>
      <c r="C250" s="20">
        <v>117</v>
      </c>
      <c r="D250" s="21" t="s">
        <v>376</v>
      </c>
      <c r="E250" s="20">
        <v>0</v>
      </c>
      <c r="F250" s="20">
        <f>ROUND(E250*C250,0)</f>
        <v>0</v>
      </c>
      <c r="G250" s="20">
        <v>0</v>
      </c>
      <c r="H250" s="20">
        <f>ROUND(G250*C250,0)</f>
        <v>0</v>
      </c>
      <c r="I250" s="20">
        <v>1168.8914</v>
      </c>
      <c r="J250" s="20">
        <f>ROUND(I250*C250,0)</f>
        <v>136760</v>
      </c>
      <c r="K250" s="20">
        <f t="shared" si="66"/>
        <v>1168.8914</v>
      </c>
      <c r="L250" s="20">
        <f t="shared" si="66"/>
        <v>136760</v>
      </c>
      <c r="M250" s="18"/>
      <c r="N250" s="44"/>
    </row>
    <row r="251" spans="1:14" ht="21" customHeight="1">
      <c r="A251" s="18" t="s">
        <v>381</v>
      </c>
      <c r="B251" s="18"/>
      <c r="C251" s="19"/>
      <c r="D251" s="19"/>
      <c r="E251" s="19">
        <v>0</v>
      </c>
      <c r="F251" s="19"/>
      <c r="G251" s="19">
        <v>0</v>
      </c>
      <c r="H251" s="19"/>
      <c r="I251" s="19">
        <v>0</v>
      </c>
      <c r="J251" s="19"/>
      <c r="K251" s="19"/>
      <c r="L251" s="19"/>
      <c r="M251" s="19"/>
      <c r="N251" s="44"/>
    </row>
    <row r="252" spans="1:14" ht="21" customHeight="1">
      <c r="A252" s="18" t="s">
        <v>382</v>
      </c>
      <c r="B252" s="18" t="s">
        <v>383</v>
      </c>
      <c r="C252" s="20">
        <v>20</v>
      </c>
      <c r="D252" s="21" t="s">
        <v>99</v>
      </c>
      <c r="E252" s="20">
        <v>27853.982</v>
      </c>
      <c r="F252" s="20">
        <f>ROUND(E252*C252,0)</f>
        <v>557080</v>
      </c>
      <c r="G252" s="20">
        <v>0</v>
      </c>
      <c r="H252" s="20">
        <f>ROUND(G252*C252,0)</f>
        <v>0</v>
      </c>
      <c r="I252" s="20">
        <v>0</v>
      </c>
      <c r="J252" s="20">
        <f>ROUND(I252*C252,0)</f>
        <v>0</v>
      </c>
      <c r="K252" s="20">
        <f t="shared" ref="K252:L254" si="67">E252+G252+I252</f>
        <v>27853.982</v>
      </c>
      <c r="L252" s="20">
        <f t="shared" si="67"/>
        <v>557080</v>
      </c>
      <c r="M252" s="18"/>
      <c r="N252" s="44"/>
    </row>
    <row r="253" spans="1:14" ht="21" customHeight="1">
      <c r="A253" s="18" t="s">
        <v>384</v>
      </c>
      <c r="B253" s="18" t="s">
        <v>385</v>
      </c>
      <c r="C253" s="20">
        <v>2</v>
      </c>
      <c r="D253" s="21" t="s">
        <v>99</v>
      </c>
      <c r="E253" s="20">
        <v>27853.982</v>
      </c>
      <c r="F253" s="20">
        <f>ROUND(E253*C253,0)</f>
        <v>55708</v>
      </c>
      <c r="G253" s="20">
        <v>0</v>
      </c>
      <c r="H253" s="20">
        <f>ROUND(G253*C253,0)</f>
        <v>0</v>
      </c>
      <c r="I253" s="20">
        <v>0</v>
      </c>
      <c r="J253" s="20">
        <f>ROUND(I253*C253,0)</f>
        <v>0</v>
      </c>
      <c r="K253" s="20">
        <f t="shared" si="67"/>
        <v>27853.982</v>
      </c>
      <c r="L253" s="20">
        <f t="shared" si="67"/>
        <v>55708</v>
      </c>
      <c r="M253" s="18"/>
      <c r="N253" s="44"/>
    </row>
    <row r="254" spans="1:14" ht="21" customHeight="1">
      <c r="A254" s="18" t="s">
        <v>386</v>
      </c>
      <c r="B254" s="18" t="s">
        <v>387</v>
      </c>
      <c r="C254" s="20">
        <v>20</v>
      </c>
      <c r="D254" s="21" t="s">
        <v>99</v>
      </c>
      <c r="E254" s="20">
        <v>19283.525999999998</v>
      </c>
      <c r="F254" s="20">
        <f>ROUND(E254*C254,0)</f>
        <v>385671</v>
      </c>
      <c r="G254" s="20">
        <v>0</v>
      </c>
      <c r="H254" s="20">
        <f>ROUND(G254*C254,0)</f>
        <v>0</v>
      </c>
      <c r="I254" s="20">
        <v>0</v>
      </c>
      <c r="J254" s="20">
        <f>ROUND(I254*C254,0)</f>
        <v>0</v>
      </c>
      <c r="K254" s="20">
        <f t="shared" si="67"/>
        <v>19283.525999999998</v>
      </c>
      <c r="L254" s="20">
        <f t="shared" si="67"/>
        <v>385671</v>
      </c>
      <c r="M254" s="18"/>
      <c r="N254" s="44"/>
    </row>
    <row r="255" spans="1:14" ht="21" customHeight="1">
      <c r="A255" s="18" t="s">
        <v>388</v>
      </c>
      <c r="B255" s="18"/>
      <c r="C255" s="19"/>
      <c r="D255" s="19"/>
      <c r="E255" s="19">
        <v>0</v>
      </c>
      <c r="F255" s="19"/>
      <c r="G255" s="19">
        <v>0</v>
      </c>
      <c r="H255" s="19"/>
      <c r="I255" s="19">
        <v>0</v>
      </c>
      <c r="J255" s="19"/>
      <c r="K255" s="19"/>
      <c r="L255" s="19"/>
      <c r="M255" s="19"/>
      <c r="N255" s="44"/>
    </row>
    <row r="256" spans="1:14" ht="21" customHeight="1">
      <c r="A256" s="18" t="s">
        <v>389</v>
      </c>
      <c r="B256" s="18" t="s">
        <v>390</v>
      </c>
      <c r="C256" s="22">
        <v>1.56</v>
      </c>
      <c r="D256" s="21" t="s">
        <v>391</v>
      </c>
      <c r="E256" s="20">
        <v>986050.05539999995</v>
      </c>
      <c r="F256" s="20">
        <f t="shared" ref="F256:F261" si="68">ROUND(E256*C256,0)</f>
        <v>1538238</v>
      </c>
      <c r="G256" s="20">
        <v>0</v>
      </c>
      <c r="H256" s="20">
        <f t="shared" ref="H256:H261" si="69">ROUND(G256*C256,0)</f>
        <v>0</v>
      </c>
      <c r="I256" s="20">
        <v>0</v>
      </c>
      <c r="J256" s="20">
        <f t="shared" ref="J256:J261" si="70">ROUND(I256*C256,0)</f>
        <v>0</v>
      </c>
      <c r="K256" s="20">
        <f t="shared" ref="K256:L261" si="71">E256+G256+I256</f>
        <v>986050.05539999995</v>
      </c>
      <c r="L256" s="20">
        <f t="shared" si="71"/>
        <v>1538238</v>
      </c>
      <c r="M256" s="18"/>
      <c r="N256" s="44"/>
    </row>
    <row r="257" spans="1:14" ht="21" customHeight="1">
      <c r="A257" s="18" t="s">
        <v>392</v>
      </c>
      <c r="B257" s="18" t="s">
        <v>393</v>
      </c>
      <c r="C257" s="22">
        <v>8.9239999999999995</v>
      </c>
      <c r="D257" s="21" t="s">
        <v>391</v>
      </c>
      <c r="E257" s="20">
        <v>953519.44709999999</v>
      </c>
      <c r="F257" s="20">
        <f t="shared" si="68"/>
        <v>8509208</v>
      </c>
      <c r="G257" s="20">
        <v>0</v>
      </c>
      <c r="H257" s="20">
        <f t="shared" si="69"/>
        <v>0</v>
      </c>
      <c r="I257" s="20">
        <v>0</v>
      </c>
      <c r="J257" s="20">
        <f t="shared" si="70"/>
        <v>0</v>
      </c>
      <c r="K257" s="20">
        <f t="shared" si="71"/>
        <v>953519.44709999999</v>
      </c>
      <c r="L257" s="20">
        <f t="shared" si="71"/>
        <v>8509208</v>
      </c>
      <c r="M257" s="18"/>
      <c r="N257" s="44"/>
    </row>
    <row r="258" spans="1:14" ht="21" customHeight="1">
      <c r="A258" s="18" t="s">
        <v>394</v>
      </c>
      <c r="B258" s="18" t="s">
        <v>395</v>
      </c>
      <c r="C258" s="22">
        <v>3.1429999999999998</v>
      </c>
      <c r="D258" s="21" t="s">
        <v>391</v>
      </c>
      <c r="E258" s="20">
        <v>953532.17550000001</v>
      </c>
      <c r="F258" s="20">
        <f t="shared" si="68"/>
        <v>2996952</v>
      </c>
      <c r="G258" s="20">
        <v>0</v>
      </c>
      <c r="H258" s="20">
        <f t="shared" si="69"/>
        <v>0</v>
      </c>
      <c r="I258" s="20">
        <v>0</v>
      </c>
      <c r="J258" s="20">
        <f t="shared" si="70"/>
        <v>0</v>
      </c>
      <c r="K258" s="20">
        <f t="shared" si="71"/>
        <v>953532.17550000001</v>
      </c>
      <c r="L258" s="20">
        <f t="shared" si="71"/>
        <v>2996952</v>
      </c>
      <c r="M258" s="18"/>
      <c r="N258" s="44"/>
    </row>
    <row r="259" spans="1:14" ht="21" customHeight="1">
      <c r="A259" s="18" t="s">
        <v>396</v>
      </c>
      <c r="B259" s="18" t="s">
        <v>397</v>
      </c>
      <c r="C259" s="22">
        <v>0.28799999999999998</v>
      </c>
      <c r="D259" s="21" t="s">
        <v>391</v>
      </c>
      <c r="E259" s="20">
        <v>953333.82459999993</v>
      </c>
      <c r="F259" s="20">
        <f t="shared" si="68"/>
        <v>274560</v>
      </c>
      <c r="G259" s="20">
        <v>0</v>
      </c>
      <c r="H259" s="20">
        <f t="shared" si="69"/>
        <v>0</v>
      </c>
      <c r="I259" s="20">
        <v>0</v>
      </c>
      <c r="J259" s="20">
        <f t="shared" si="70"/>
        <v>0</v>
      </c>
      <c r="K259" s="20">
        <f t="shared" si="71"/>
        <v>953333.82459999993</v>
      </c>
      <c r="L259" s="20">
        <f t="shared" si="71"/>
        <v>274560</v>
      </c>
      <c r="M259" s="18"/>
      <c r="N259" s="44"/>
    </row>
    <row r="260" spans="1:14" ht="21" customHeight="1">
      <c r="A260" s="18" t="s">
        <v>398</v>
      </c>
      <c r="B260" s="18" t="s">
        <v>399</v>
      </c>
      <c r="C260" s="22">
        <v>13.916</v>
      </c>
      <c r="D260" s="21" t="s">
        <v>391</v>
      </c>
      <c r="E260" s="20">
        <v>0</v>
      </c>
      <c r="F260" s="20">
        <f t="shared" si="68"/>
        <v>0</v>
      </c>
      <c r="G260" s="20">
        <v>0</v>
      </c>
      <c r="H260" s="20">
        <f t="shared" si="69"/>
        <v>0</v>
      </c>
      <c r="I260" s="20">
        <v>23387.374299999999</v>
      </c>
      <c r="J260" s="20">
        <f t="shared" si="70"/>
        <v>325459</v>
      </c>
      <c r="K260" s="20">
        <f t="shared" si="71"/>
        <v>23387.374299999999</v>
      </c>
      <c r="L260" s="20">
        <f t="shared" si="71"/>
        <v>325459</v>
      </c>
      <c r="M260" s="18"/>
      <c r="N260" s="44"/>
    </row>
    <row r="261" spans="1:14" ht="21" customHeight="1">
      <c r="A261" s="18" t="s">
        <v>400</v>
      </c>
      <c r="B261" s="18" t="s">
        <v>401</v>
      </c>
      <c r="C261" s="22">
        <v>0.28399999999999997</v>
      </c>
      <c r="D261" s="21" t="s">
        <v>391</v>
      </c>
      <c r="E261" s="20">
        <v>-424280</v>
      </c>
      <c r="F261" s="20">
        <f t="shared" si="68"/>
        <v>-120496</v>
      </c>
      <c r="G261" s="20">
        <v>0</v>
      </c>
      <c r="H261" s="20">
        <f t="shared" si="69"/>
        <v>0</v>
      </c>
      <c r="I261" s="20">
        <v>0</v>
      </c>
      <c r="J261" s="20">
        <f t="shared" si="70"/>
        <v>0</v>
      </c>
      <c r="K261" s="20">
        <f t="shared" si="71"/>
        <v>-424280</v>
      </c>
      <c r="L261" s="20">
        <f t="shared" si="71"/>
        <v>-120496</v>
      </c>
      <c r="M261" s="18"/>
      <c r="N261" s="44"/>
    </row>
    <row r="262" spans="1:14" ht="21" customHeight="1">
      <c r="A262" s="18" t="s">
        <v>402</v>
      </c>
      <c r="B262" s="18"/>
      <c r="C262" s="19"/>
      <c r="D262" s="19"/>
      <c r="E262" s="19">
        <v>0</v>
      </c>
      <c r="F262" s="19"/>
      <c r="G262" s="19">
        <v>0</v>
      </c>
      <c r="H262" s="19"/>
      <c r="I262" s="19">
        <v>0</v>
      </c>
      <c r="J262" s="19"/>
      <c r="K262" s="19"/>
      <c r="L262" s="19"/>
      <c r="M262" s="19"/>
      <c r="N262" s="44"/>
    </row>
    <row r="263" spans="1:14" ht="21" customHeight="1">
      <c r="A263" s="18" t="s">
        <v>403</v>
      </c>
      <c r="B263" s="18" t="s">
        <v>404</v>
      </c>
      <c r="C263" s="20">
        <v>362</v>
      </c>
      <c r="D263" s="21" t="s">
        <v>99</v>
      </c>
      <c r="E263" s="20">
        <v>94275.016000000003</v>
      </c>
      <c r="F263" s="20">
        <f>ROUND(E263*C263,0)</f>
        <v>34127556</v>
      </c>
      <c r="G263" s="20">
        <v>0</v>
      </c>
      <c r="H263" s="20">
        <f>ROUND(G263*C263,0)</f>
        <v>0</v>
      </c>
      <c r="I263" s="20">
        <v>0</v>
      </c>
      <c r="J263" s="20">
        <f>ROUND(I263*C263,0)</f>
        <v>0</v>
      </c>
      <c r="K263" s="20">
        <f>E263+G263+I263</f>
        <v>94275.016000000003</v>
      </c>
      <c r="L263" s="20">
        <f>F263+H263+J263</f>
        <v>34127556</v>
      </c>
      <c r="M263" s="18"/>
      <c r="N263" s="44"/>
    </row>
    <row r="264" spans="1:14" ht="21" customHeight="1">
      <c r="A264" s="18" t="s">
        <v>405</v>
      </c>
      <c r="B264" s="18" t="s">
        <v>406</v>
      </c>
      <c r="C264" s="20">
        <v>306</v>
      </c>
      <c r="D264" s="21" t="s">
        <v>99</v>
      </c>
      <c r="E264" s="20">
        <v>92346.663400000005</v>
      </c>
      <c r="F264" s="20">
        <f>ROUND(E264*C264,0)</f>
        <v>28258079</v>
      </c>
      <c r="G264" s="20">
        <v>0</v>
      </c>
      <c r="H264" s="20">
        <f>ROUND(G264*C264,0)</f>
        <v>0</v>
      </c>
      <c r="I264" s="20">
        <v>0</v>
      </c>
      <c r="J264" s="20">
        <f>ROUND(I264*C264,0)</f>
        <v>0</v>
      </c>
      <c r="K264" s="20">
        <f>E264+G264+I264</f>
        <v>92346.663400000005</v>
      </c>
      <c r="L264" s="20">
        <f>F264+H264+J264</f>
        <v>28258079</v>
      </c>
      <c r="M264" s="18"/>
      <c r="N264" s="44"/>
    </row>
    <row r="265" spans="1:14" ht="21" customHeight="1">
      <c r="A265" s="18" t="s">
        <v>407</v>
      </c>
      <c r="B265" s="18"/>
      <c r="C265" s="19"/>
      <c r="D265" s="19"/>
      <c r="E265" s="19">
        <v>0</v>
      </c>
      <c r="F265" s="19"/>
      <c r="G265" s="19">
        <v>0</v>
      </c>
      <c r="H265" s="19"/>
      <c r="I265" s="19">
        <v>0</v>
      </c>
      <c r="J265" s="19"/>
      <c r="K265" s="19"/>
      <c r="L265" s="19"/>
      <c r="M265" s="19"/>
      <c r="N265" s="44"/>
    </row>
    <row r="266" spans="1:14" ht="21" customHeight="1">
      <c r="A266" s="18" t="s">
        <v>408</v>
      </c>
      <c r="B266" s="18" t="s">
        <v>409</v>
      </c>
      <c r="C266" s="20">
        <v>284</v>
      </c>
      <c r="D266" s="21" t="s">
        <v>410</v>
      </c>
      <c r="E266" s="20">
        <v>19864.7896</v>
      </c>
      <c r="F266" s="20">
        <f t="shared" ref="F266:F279" si="72">ROUND(E266*C266,0)</f>
        <v>5641600</v>
      </c>
      <c r="G266" s="20">
        <v>0</v>
      </c>
      <c r="H266" s="20">
        <f t="shared" ref="H266:H279" si="73">ROUND(G266*C266,0)</f>
        <v>0</v>
      </c>
      <c r="I266" s="20">
        <v>0</v>
      </c>
      <c r="J266" s="20">
        <f t="shared" ref="J266:J279" si="74">ROUND(I266*C266,0)</f>
        <v>0</v>
      </c>
      <c r="K266" s="20">
        <f t="shared" ref="K266:K279" si="75">E266+G266+I266</f>
        <v>19864.7896</v>
      </c>
      <c r="L266" s="20">
        <f t="shared" ref="L266:L279" si="76">F266+H266+J266</f>
        <v>5641600</v>
      </c>
      <c r="M266" s="18"/>
      <c r="N266" s="44"/>
    </row>
    <row r="267" spans="1:14" ht="21" customHeight="1">
      <c r="A267" s="18" t="s">
        <v>411</v>
      </c>
      <c r="B267" s="18" t="s">
        <v>412</v>
      </c>
      <c r="C267" s="20">
        <v>569</v>
      </c>
      <c r="D267" s="21" t="s">
        <v>410</v>
      </c>
      <c r="E267" s="20">
        <v>28421.4565</v>
      </c>
      <c r="F267" s="20">
        <f t="shared" si="72"/>
        <v>16171809</v>
      </c>
      <c r="G267" s="20">
        <v>0</v>
      </c>
      <c r="H267" s="20">
        <f t="shared" si="73"/>
        <v>0</v>
      </c>
      <c r="I267" s="20">
        <v>0</v>
      </c>
      <c r="J267" s="20">
        <f t="shared" si="74"/>
        <v>0</v>
      </c>
      <c r="K267" s="20">
        <f t="shared" si="75"/>
        <v>28421.4565</v>
      </c>
      <c r="L267" s="20">
        <f t="shared" si="76"/>
        <v>16171809</v>
      </c>
      <c r="M267" s="18"/>
      <c r="N267" s="44"/>
    </row>
    <row r="268" spans="1:14" ht="21" customHeight="1">
      <c r="A268" s="18" t="s">
        <v>413</v>
      </c>
      <c r="B268" s="18" t="s">
        <v>414</v>
      </c>
      <c r="C268" s="20">
        <v>99</v>
      </c>
      <c r="D268" s="21" t="s">
        <v>410</v>
      </c>
      <c r="E268" s="20">
        <v>50672.821100000001</v>
      </c>
      <c r="F268" s="20">
        <f t="shared" si="72"/>
        <v>5016609</v>
      </c>
      <c r="G268" s="20">
        <v>0</v>
      </c>
      <c r="H268" s="20">
        <f t="shared" si="73"/>
        <v>0</v>
      </c>
      <c r="I268" s="20">
        <v>0</v>
      </c>
      <c r="J268" s="20">
        <f t="shared" si="74"/>
        <v>0</v>
      </c>
      <c r="K268" s="20">
        <f t="shared" si="75"/>
        <v>50672.821100000001</v>
      </c>
      <c r="L268" s="20">
        <f t="shared" si="76"/>
        <v>5016609</v>
      </c>
      <c r="M268" s="18"/>
      <c r="N268" s="44"/>
    </row>
    <row r="269" spans="1:14" ht="21" customHeight="1">
      <c r="A269" s="18" t="s">
        <v>415</v>
      </c>
      <c r="B269" s="18" t="s">
        <v>416</v>
      </c>
      <c r="C269" s="20">
        <v>270</v>
      </c>
      <c r="D269" s="21" t="s">
        <v>410</v>
      </c>
      <c r="E269" s="20">
        <v>81312.201300000001</v>
      </c>
      <c r="F269" s="20">
        <f t="shared" si="72"/>
        <v>21954294</v>
      </c>
      <c r="G269" s="20">
        <v>0</v>
      </c>
      <c r="H269" s="20">
        <f t="shared" si="73"/>
        <v>0</v>
      </c>
      <c r="I269" s="20">
        <v>0</v>
      </c>
      <c r="J269" s="20">
        <f t="shared" si="74"/>
        <v>0</v>
      </c>
      <c r="K269" s="20">
        <f t="shared" si="75"/>
        <v>81312.201300000001</v>
      </c>
      <c r="L269" s="20">
        <f t="shared" si="76"/>
        <v>21954294</v>
      </c>
      <c r="M269" s="18"/>
      <c r="N269" s="44"/>
    </row>
    <row r="270" spans="1:14" ht="21" customHeight="1">
      <c r="A270" s="18" t="s">
        <v>417</v>
      </c>
      <c r="B270" s="18" t="s">
        <v>418</v>
      </c>
      <c r="C270" s="20">
        <v>17</v>
      </c>
      <c r="D270" s="21" t="s">
        <v>410</v>
      </c>
      <c r="E270" s="20">
        <v>105159.9194</v>
      </c>
      <c r="F270" s="20">
        <f t="shared" si="72"/>
        <v>1787719</v>
      </c>
      <c r="G270" s="20">
        <v>0</v>
      </c>
      <c r="H270" s="20">
        <f t="shared" si="73"/>
        <v>0</v>
      </c>
      <c r="I270" s="20">
        <v>0</v>
      </c>
      <c r="J270" s="20">
        <f t="shared" si="74"/>
        <v>0</v>
      </c>
      <c r="K270" s="20">
        <f t="shared" si="75"/>
        <v>105159.9194</v>
      </c>
      <c r="L270" s="20">
        <f t="shared" si="76"/>
        <v>1787719</v>
      </c>
      <c r="M270" s="18"/>
      <c r="N270" s="44"/>
    </row>
    <row r="271" spans="1:14" ht="21" customHeight="1">
      <c r="A271" s="18" t="s">
        <v>419</v>
      </c>
      <c r="B271" s="18" t="s">
        <v>420</v>
      </c>
      <c r="C271" s="20">
        <v>85</v>
      </c>
      <c r="D271" s="21" t="s">
        <v>410</v>
      </c>
      <c r="E271" s="20">
        <v>131127.9768</v>
      </c>
      <c r="F271" s="20">
        <f t="shared" si="72"/>
        <v>11145878</v>
      </c>
      <c r="G271" s="20">
        <v>0</v>
      </c>
      <c r="H271" s="20">
        <f t="shared" si="73"/>
        <v>0</v>
      </c>
      <c r="I271" s="20">
        <v>0</v>
      </c>
      <c r="J271" s="20">
        <f t="shared" si="74"/>
        <v>0</v>
      </c>
      <c r="K271" s="20">
        <f t="shared" si="75"/>
        <v>131127.9768</v>
      </c>
      <c r="L271" s="20">
        <f t="shared" si="76"/>
        <v>11145878</v>
      </c>
      <c r="M271" s="18"/>
      <c r="N271" s="44"/>
    </row>
    <row r="272" spans="1:14" ht="21" customHeight="1">
      <c r="A272" s="18" t="s">
        <v>421</v>
      </c>
      <c r="B272" s="18" t="s">
        <v>422</v>
      </c>
      <c r="C272" s="20">
        <v>16</v>
      </c>
      <c r="D272" s="21" t="s">
        <v>410</v>
      </c>
      <c r="E272" s="20">
        <v>184050.54259999999</v>
      </c>
      <c r="F272" s="20">
        <f t="shared" si="72"/>
        <v>2944809</v>
      </c>
      <c r="G272" s="20">
        <v>0</v>
      </c>
      <c r="H272" s="20">
        <f t="shared" si="73"/>
        <v>0</v>
      </c>
      <c r="I272" s="20">
        <v>0</v>
      </c>
      <c r="J272" s="20">
        <f t="shared" si="74"/>
        <v>0</v>
      </c>
      <c r="K272" s="20">
        <f t="shared" si="75"/>
        <v>184050.54259999999</v>
      </c>
      <c r="L272" s="20">
        <f t="shared" si="76"/>
        <v>2944809</v>
      </c>
      <c r="M272" s="18"/>
      <c r="N272" s="44"/>
    </row>
    <row r="273" spans="1:14" ht="21" customHeight="1">
      <c r="A273" s="18" t="s">
        <v>423</v>
      </c>
      <c r="B273" s="18" t="s">
        <v>424</v>
      </c>
      <c r="C273" s="20">
        <v>114</v>
      </c>
      <c r="D273" s="21" t="s">
        <v>368</v>
      </c>
      <c r="E273" s="20">
        <v>0</v>
      </c>
      <c r="F273" s="20">
        <f t="shared" si="72"/>
        <v>0</v>
      </c>
      <c r="G273" s="20">
        <v>0</v>
      </c>
      <c r="H273" s="20">
        <f t="shared" si="73"/>
        <v>0</v>
      </c>
      <c r="I273" s="20">
        <v>2058.8186999999998</v>
      </c>
      <c r="J273" s="20">
        <f t="shared" si="74"/>
        <v>234705</v>
      </c>
      <c r="K273" s="20">
        <f t="shared" si="75"/>
        <v>2058.8186999999998</v>
      </c>
      <c r="L273" s="20">
        <f t="shared" si="76"/>
        <v>234705</v>
      </c>
      <c r="M273" s="18"/>
      <c r="N273" s="44"/>
    </row>
    <row r="274" spans="1:14" ht="21" customHeight="1">
      <c r="A274" s="18" t="s">
        <v>425</v>
      </c>
      <c r="B274" s="18" t="s">
        <v>426</v>
      </c>
      <c r="C274" s="20">
        <v>228</v>
      </c>
      <c r="D274" s="21" t="s">
        <v>368</v>
      </c>
      <c r="E274" s="20">
        <v>0</v>
      </c>
      <c r="F274" s="20">
        <f t="shared" si="72"/>
        <v>0</v>
      </c>
      <c r="G274" s="20">
        <v>0</v>
      </c>
      <c r="H274" s="20">
        <f t="shared" si="73"/>
        <v>0</v>
      </c>
      <c r="I274" s="20">
        <v>3086.6369999999997</v>
      </c>
      <c r="J274" s="20">
        <f t="shared" si="74"/>
        <v>703753</v>
      </c>
      <c r="K274" s="20">
        <f t="shared" si="75"/>
        <v>3086.6369999999997</v>
      </c>
      <c r="L274" s="20">
        <f t="shared" si="76"/>
        <v>703753</v>
      </c>
      <c r="M274" s="18"/>
      <c r="N274" s="44"/>
    </row>
    <row r="275" spans="1:14" ht="21" customHeight="1">
      <c r="A275" s="18" t="s">
        <v>427</v>
      </c>
      <c r="B275" s="18" t="s">
        <v>428</v>
      </c>
      <c r="C275" s="20">
        <v>40</v>
      </c>
      <c r="D275" s="21" t="s">
        <v>368</v>
      </c>
      <c r="E275" s="20">
        <v>0</v>
      </c>
      <c r="F275" s="20">
        <f t="shared" si="72"/>
        <v>0</v>
      </c>
      <c r="G275" s="20">
        <v>0</v>
      </c>
      <c r="H275" s="20">
        <f t="shared" si="73"/>
        <v>0</v>
      </c>
      <c r="I275" s="20">
        <v>5846.5783999999994</v>
      </c>
      <c r="J275" s="20">
        <f t="shared" si="74"/>
        <v>233863</v>
      </c>
      <c r="K275" s="20">
        <f t="shared" si="75"/>
        <v>5846.5783999999994</v>
      </c>
      <c r="L275" s="20">
        <f t="shared" si="76"/>
        <v>233863</v>
      </c>
      <c r="M275" s="18"/>
      <c r="N275" s="44"/>
    </row>
    <row r="276" spans="1:14" ht="21" customHeight="1">
      <c r="A276" s="18" t="s">
        <v>429</v>
      </c>
      <c r="B276" s="18" t="s">
        <v>430</v>
      </c>
      <c r="C276" s="20">
        <v>109</v>
      </c>
      <c r="D276" s="21" t="s">
        <v>368</v>
      </c>
      <c r="E276" s="20">
        <v>0</v>
      </c>
      <c r="F276" s="20">
        <f t="shared" si="72"/>
        <v>0</v>
      </c>
      <c r="G276" s="20">
        <v>0</v>
      </c>
      <c r="H276" s="20">
        <f t="shared" si="73"/>
        <v>0</v>
      </c>
      <c r="I276" s="20">
        <v>7800.3877999999995</v>
      </c>
      <c r="J276" s="20">
        <f t="shared" si="74"/>
        <v>850242</v>
      </c>
      <c r="K276" s="20">
        <f t="shared" si="75"/>
        <v>7800.3877999999995</v>
      </c>
      <c r="L276" s="20">
        <f t="shared" si="76"/>
        <v>850242</v>
      </c>
      <c r="M276" s="18"/>
      <c r="N276" s="44"/>
    </row>
    <row r="277" spans="1:14" ht="21" customHeight="1">
      <c r="A277" s="18" t="s">
        <v>431</v>
      </c>
      <c r="B277" s="18" t="s">
        <v>432</v>
      </c>
      <c r="C277" s="20">
        <v>7</v>
      </c>
      <c r="D277" s="21" t="s">
        <v>368</v>
      </c>
      <c r="E277" s="20">
        <v>0</v>
      </c>
      <c r="F277" s="20">
        <f t="shared" si="72"/>
        <v>0</v>
      </c>
      <c r="G277" s="20">
        <v>0</v>
      </c>
      <c r="H277" s="20">
        <f t="shared" si="73"/>
        <v>0</v>
      </c>
      <c r="I277" s="20">
        <v>9004.2822999999989</v>
      </c>
      <c r="J277" s="20">
        <f t="shared" si="74"/>
        <v>63030</v>
      </c>
      <c r="K277" s="20">
        <f t="shared" si="75"/>
        <v>9004.2822999999989</v>
      </c>
      <c r="L277" s="20">
        <f t="shared" si="76"/>
        <v>63030</v>
      </c>
      <c r="M277" s="18"/>
      <c r="N277" s="44"/>
    </row>
    <row r="278" spans="1:14" ht="21" customHeight="1">
      <c r="A278" s="18" t="s">
        <v>433</v>
      </c>
      <c r="B278" s="18" t="s">
        <v>434</v>
      </c>
      <c r="C278" s="20">
        <v>35</v>
      </c>
      <c r="D278" s="21" t="s">
        <v>368</v>
      </c>
      <c r="E278" s="20">
        <v>0</v>
      </c>
      <c r="F278" s="20">
        <f t="shared" si="72"/>
        <v>0</v>
      </c>
      <c r="G278" s="20">
        <v>0</v>
      </c>
      <c r="H278" s="20">
        <f t="shared" si="73"/>
        <v>0</v>
      </c>
      <c r="I278" s="20">
        <v>11693.156799999999</v>
      </c>
      <c r="J278" s="20">
        <f t="shared" si="74"/>
        <v>409260</v>
      </c>
      <c r="K278" s="20">
        <f t="shared" si="75"/>
        <v>11693.156799999999</v>
      </c>
      <c r="L278" s="20">
        <f t="shared" si="76"/>
        <v>409260</v>
      </c>
      <c r="M278" s="18"/>
      <c r="N278" s="44"/>
    </row>
    <row r="279" spans="1:14" ht="21" customHeight="1">
      <c r="A279" s="18" t="s">
        <v>435</v>
      </c>
      <c r="B279" s="18" t="s">
        <v>436</v>
      </c>
      <c r="C279" s="20">
        <v>7</v>
      </c>
      <c r="D279" s="21" t="s">
        <v>368</v>
      </c>
      <c r="E279" s="20">
        <v>0</v>
      </c>
      <c r="F279" s="20">
        <f t="shared" si="72"/>
        <v>0</v>
      </c>
      <c r="G279" s="20">
        <v>0</v>
      </c>
      <c r="H279" s="20">
        <f t="shared" si="73"/>
        <v>0</v>
      </c>
      <c r="I279" s="20">
        <v>16721.9355</v>
      </c>
      <c r="J279" s="20">
        <f t="shared" si="74"/>
        <v>117054</v>
      </c>
      <c r="K279" s="20">
        <f t="shared" si="75"/>
        <v>16721.9355</v>
      </c>
      <c r="L279" s="20">
        <f t="shared" si="76"/>
        <v>117054</v>
      </c>
      <c r="M279" s="18"/>
      <c r="N279" s="44"/>
    </row>
    <row r="280" spans="1:14" ht="21" customHeight="1">
      <c r="A280" s="18" t="s">
        <v>437</v>
      </c>
      <c r="B280" s="18"/>
      <c r="C280" s="19"/>
      <c r="D280" s="19"/>
      <c r="E280" s="19">
        <v>0</v>
      </c>
      <c r="F280" s="19"/>
      <c r="G280" s="19">
        <v>0</v>
      </c>
      <c r="H280" s="19"/>
      <c r="I280" s="19">
        <v>0</v>
      </c>
      <c r="J280" s="19"/>
      <c r="K280" s="19"/>
      <c r="L280" s="19"/>
      <c r="M280" s="19"/>
      <c r="N280" s="44"/>
    </row>
    <row r="281" spans="1:14" ht="21" customHeight="1">
      <c r="A281" s="18" t="s">
        <v>438</v>
      </c>
      <c r="B281" s="18" t="s">
        <v>439</v>
      </c>
      <c r="C281" s="20">
        <v>37</v>
      </c>
      <c r="D281" s="21" t="s">
        <v>440</v>
      </c>
      <c r="E281" s="20">
        <v>342818.24</v>
      </c>
      <c r="F281" s="20">
        <f>ROUND(E281*C281,0)</f>
        <v>12684275</v>
      </c>
      <c r="G281" s="20">
        <v>0</v>
      </c>
      <c r="H281" s="20">
        <f>ROUND(G281*C281,0)</f>
        <v>0</v>
      </c>
      <c r="I281" s="20">
        <v>0</v>
      </c>
      <c r="J281" s="20">
        <f>ROUND(I281*C281,0)</f>
        <v>0</v>
      </c>
      <c r="K281" s="20">
        <f>E281+G281+I281</f>
        <v>342818.24</v>
      </c>
      <c r="L281" s="20">
        <f>F281+H281+J281</f>
        <v>12684275</v>
      </c>
      <c r="M281" s="18"/>
      <c r="N281" s="44"/>
    </row>
    <row r="282" spans="1:14" ht="21" customHeight="1">
      <c r="A282" s="18"/>
      <c r="B282" s="18"/>
      <c r="C282" s="20"/>
      <c r="D282" s="21"/>
      <c r="E282" s="20"/>
      <c r="F282" s="20"/>
      <c r="G282" s="20"/>
      <c r="H282" s="20"/>
      <c r="I282" s="20"/>
      <c r="J282" s="20"/>
      <c r="K282" s="20"/>
      <c r="L282" s="20"/>
      <c r="M282" s="18"/>
      <c r="N282" s="44"/>
    </row>
    <row r="283" spans="1:14" ht="21" customHeight="1">
      <c r="A283" s="14" t="s">
        <v>441</v>
      </c>
      <c r="B283" s="15"/>
      <c r="C283" s="16"/>
      <c r="D283" s="16"/>
      <c r="E283" s="16"/>
      <c r="F283" s="17">
        <f>SUM(F287:F350)</f>
        <v>47625602</v>
      </c>
      <c r="G283" s="16"/>
      <c r="H283" s="17">
        <f>SUM(H287:H350)</f>
        <v>34125578</v>
      </c>
      <c r="I283" s="16"/>
      <c r="J283" s="17">
        <f>SUM(J287:J350)</f>
        <v>37402210</v>
      </c>
      <c r="K283" s="16"/>
      <c r="L283" s="17">
        <f>F283+H283+J283</f>
        <v>119153390</v>
      </c>
      <c r="M283" s="16"/>
    </row>
    <row r="284" spans="1:14" ht="21" customHeight="1">
      <c r="A284" s="18" t="s">
        <v>442</v>
      </c>
      <c r="B284" s="18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</row>
    <row r="285" spans="1:14" ht="21" customHeight="1">
      <c r="A285" s="18" t="s">
        <v>212</v>
      </c>
      <c r="B285" s="18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</row>
    <row r="286" spans="1:14" ht="21" customHeight="1">
      <c r="A286" s="18" t="s">
        <v>150</v>
      </c>
      <c r="B286" s="18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</row>
    <row r="287" spans="1:14" ht="21" customHeight="1">
      <c r="A287" s="18" t="s">
        <v>213</v>
      </c>
      <c r="B287" s="18" t="s">
        <v>107</v>
      </c>
      <c r="C287" s="20">
        <v>3339</v>
      </c>
      <c r="D287" s="21" t="s">
        <v>99</v>
      </c>
      <c r="E287" s="20">
        <v>0</v>
      </c>
      <c r="F287" s="20">
        <f>ROUND(E287*C287,0)</f>
        <v>0</v>
      </c>
      <c r="G287" s="20">
        <v>0</v>
      </c>
      <c r="H287" s="20">
        <f>ROUND(G287*C287,0)</f>
        <v>0</v>
      </c>
      <c r="I287" s="20">
        <v>1871.0747999999999</v>
      </c>
      <c r="J287" s="20">
        <f>ROUND(I287*C287,0)</f>
        <v>6247519</v>
      </c>
      <c r="K287" s="20">
        <f>E287+G287+I287</f>
        <v>1871.0747999999999</v>
      </c>
      <c r="L287" s="20">
        <f>F287+H287+J287</f>
        <v>6247519</v>
      </c>
      <c r="M287" s="18"/>
      <c r="N287" s="44"/>
    </row>
    <row r="288" spans="1:14" ht="21" customHeight="1">
      <c r="A288" s="18" t="s">
        <v>214</v>
      </c>
      <c r="B288" s="18" t="s">
        <v>443</v>
      </c>
      <c r="C288" s="20">
        <v>108</v>
      </c>
      <c r="D288" s="21" t="s">
        <v>99</v>
      </c>
      <c r="E288" s="20">
        <v>0</v>
      </c>
      <c r="F288" s="20">
        <f>ROUND(E288*C288,0)</f>
        <v>0</v>
      </c>
      <c r="G288" s="20">
        <v>3131</v>
      </c>
      <c r="H288" s="20">
        <f>ROUND(G288*C288,0)</f>
        <v>338148</v>
      </c>
      <c r="I288" s="20">
        <v>4677.6869999999999</v>
      </c>
      <c r="J288" s="20">
        <f>ROUND(I288*C288,0)</f>
        <v>505190</v>
      </c>
      <c r="K288" s="20">
        <f>E288+G288+I288</f>
        <v>7808.6869999999999</v>
      </c>
      <c r="L288" s="20">
        <f>F288+H288+J288</f>
        <v>843338</v>
      </c>
      <c r="M288" s="18"/>
      <c r="N288" s="44"/>
    </row>
    <row r="289" spans="1:14" ht="21" customHeight="1">
      <c r="A289" s="18" t="s">
        <v>218</v>
      </c>
      <c r="B289" s="18"/>
      <c r="C289" s="19"/>
      <c r="D289" s="19"/>
      <c r="E289" s="19">
        <v>0</v>
      </c>
      <c r="F289" s="19"/>
      <c r="G289" s="19"/>
      <c r="H289" s="19"/>
      <c r="I289" s="19">
        <v>0</v>
      </c>
      <c r="J289" s="19"/>
      <c r="K289" s="19"/>
      <c r="L289" s="19"/>
      <c r="M289" s="19"/>
      <c r="N289" s="44"/>
    </row>
    <row r="290" spans="1:14" ht="21" customHeight="1">
      <c r="A290" s="18" t="s">
        <v>444</v>
      </c>
      <c r="B290" s="18" t="s">
        <v>223</v>
      </c>
      <c r="C290" s="20">
        <v>3111</v>
      </c>
      <c r="D290" s="21" t="s">
        <v>99</v>
      </c>
      <c r="E290" s="20">
        <v>0</v>
      </c>
      <c r="F290" s="20">
        <f>ROUND(E290*C290,0)</f>
        <v>0</v>
      </c>
      <c r="G290" s="20">
        <v>2525</v>
      </c>
      <c r="H290" s="20">
        <f>ROUND(G290*C290,0)</f>
        <v>7855275</v>
      </c>
      <c r="I290" s="20">
        <v>5262.1327000000001</v>
      </c>
      <c r="J290" s="20">
        <f>ROUND(I290*C290,0)</f>
        <v>16370495</v>
      </c>
      <c r="K290" s="20">
        <f>E290+G290+I290</f>
        <v>7787.1327000000001</v>
      </c>
      <c r="L290" s="20">
        <f>F290+H290+J290</f>
        <v>24225770</v>
      </c>
      <c r="M290" s="18"/>
      <c r="N290" s="44"/>
    </row>
    <row r="291" spans="1:14" ht="21" customHeight="1">
      <c r="A291" s="18" t="s">
        <v>220</v>
      </c>
      <c r="B291" s="18" t="s">
        <v>221</v>
      </c>
      <c r="C291" s="20">
        <v>127</v>
      </c>
      <c r="D291" s="21" t="s">
        <v>99</v>
      </c>
      <c r="E291" s="20">
        <v>0</v>
      </c>
      <c r="F291" s="20">
        <f>ROUND(E291*C291,0)</f>
        <v>0</v>
      </c>
      <c r="G291" s="20">
        <v>2525</v>
      </c>
      <c r="H291" s="20">
        <f>ROUND(G291*C291,0)</f>
        <v>320675</v>
      </c>
      <c r="I291" s="20">
        <v>5262.1327000000001</v>
      </c>
      <c r="J291" s="20">
        <f>ROUND(I291*C291,0)</f>
        <v>668291</v>
      </c>
      <c r="K291" s="20">
        <f>E291+G291+I291</f>
        <v>7787.1327000000001</v>
      </c>
      <c r="L291" s="20">
        <f>F291+H291+J291</f>
        <v>988966</v>
      </c>
      <c r="M291" s="18"/>
      <c r="N291" s="44"/>
    </row>
    <row r="292" spans="1:14" ht="21" customHeight="1">
      <c r="A292" s="18" t="s">
        <v>224</v>
      </c>
      <c r="B292" s="18"/>
      <c r="C292" s="19"/>
      <c r="D292" s="19"/>
      <c r="E292" s="19">
        <v>0</v>
      </c>
      <c r="F292" s="19"/>
      <c r="G292" s="19"/>
      <c r="H292" s="19"/>
      <c r="I292" s="19">
        <v>0</v>
      </c>
      <c r="J292" s="19"/>
      <c r="K292" s="19"/>
      <c r="L292" s="19"/>
      <c r="M292" s="19"/>
      <c r="N292" s="44"/>
    </row>
    <row r="293" spans="1:14" ht="21" customHeight="1">
      <c r="A293" s="18" t="s">
        <v>225</v>
      </c>
      <c r="B293" s="18" t="s">
        <v>445</v>
      </c>
      <c r="C293" s="20">
        <v>209</v>
      </c>
      <c r="D293" s="21" t="s">
        <v>99</v>
      </c>
      <c r="E293" s="20">
        <v>0</v>
      </c>
      <c r="F293" s="20">
        <f>ROUND(E293*C293,0)</f>
        <v>0</v>
      </c>
      <c r="G293" s="20">
        <v>0</v>
      </c>
      <c r="H293" s="20">
        <f>ROUND(G293*C293,0)</f>
        <v>0</v>
      </c>
      <c r="I293" s="20">
        <v>11693.156799999999</v>
      </c>
      <c r="J293" s="20">
        <f>ROUND(I293*C293,0)</f>
        <v>2443870</v>
      </c>
      <c r="K293" s="20">
        <f>E293+G293+I293</f>
        <v>11693.156799999999</v>
      </c>
      <c r="L293" s="20">
        <f>F293+H293+J293</f>
        <v>2443870</v>
      </c>
      <c r="M293" s="18"/>
      <c r="N293" s="44"/>
    </row>
    <row r="294" spans="1:14" ht="21" customHeight="1">
      <c r="A294" s="18" t="s">
        <v>446</v>
      </c>
      <c r="B294" s="18"/>
      <c r="C294" s="19"/>
      <c r="D294" s="19"/>
      <c r="E294" s="19">
        <v>0</v>
      </c>
      <c r="F294" s="19"/>
      <c r="G294" s="19"/>
      <c r="H294" s="19"/>
      <c r="I294" s="19">
        <v>0</v>
      </c>
      <c r="J294" s="19"/>
      <c r="K294" s="19"/>
      <c r="L294" s="19"/>
      <c r="M294" s="19"/>
      <c r="N294" s="44"/>
    </row>
    <row r="295" spans="1:14" ht="21" customHeight="1">
      <c r="A295" s="18" t="s">
        <v>447</v>
      </c>
      <c r="B295" s="18"/>
      <c r="C295" s="19"/>
      <c r="D295" s="19"/>
      <c r="E295" s="19">
        <v>0</v>
      </c>
      <c r="F295" s="19"/>
      <c r="G295" s="19"/>
      <c r="H295" s="19"/>
      <c r="I295" s="19">
        <v>0</v>
      </c>
      <c r="J295" s="19"/>
      <c r="K295" s="19"/>
      <c r="L295" s="19"/>
      <c r="M295" s="19"/>
      <c r="N295" s="44"/>
    </row>
    <row r="296" spans="1:14" ht="21" customHeight="1">
      <c r="A296" s="18" t="s">
        <v>448</v>
      </c>
      <c r="B296" s="18" t="s">
        <v>449</v>
      </c>
      <c r="C296" s="20">
        <v>88</v>
      </c>
      <c r="D296" s="21" t="s">
        <v>231</v>
      </c>
      <c r="E296" s="20">
        <v>0</v>
      </c>
      <c r="F296" s="20">
        <f>ROUND(E296*C296,0)</f>
        <v>0</v>
      </c>
      <c r="G296" s="20">
        <v>20200</v>
      </c>
      <c r="H296" s="20">
        <f>ROUND(G296*C296,0)</f>
        <v>1777600</v>
      </c>
      <c r="I296" s="20">
        <v>2256.1089000000002</v>
      </c>
      <c r="J296" s="20">
        <f>ROUND(I296*C296,0)</f>
        <v>198538</v>
      </c>
      <c r="K296" s="20">
        <f>E296+G296+I296</f>
        <v>22456.108899999999</v>
      </c>
      <c r="L296" s="20">
        <f>F296+H296+J296</f>
        <v>1976138</v>
      </c>
      <c r="M296" s="18"/>
      <c r="N296" s="44"/>
    </row>
    <row r="297" spans="1:14" ht="21" customHeight="1">
      <c r="A297" s="18" t="s">
        <v>450</v>
      </c>
      <c r="B297" s="18" t="s">
        <v>451</v>
      </c>
      <c r="C297" s="20">
        <v>430</v>
      </c>
      <c r="D297" s="21" t="s">
        <v>231</v>
      </c>
      <c r="E297" s="20">
        <v>0</v>
      </c>
      <c r="F297" s="20">
        <f>ROUND(E297*C297,0)</f>
        <v>0</v>
      </c>
      <c r="G297" s="20">
        <v>25250</v>
      </c>
      <c r="H297" s="20">
        <f>ROUND(G297*C297,0)</f>
        <v>10857500</v>
      </c>
      <c r="I297" s="20">
        <v>2256.1089000000002</v>
      </c>
      <c r="J297" s="20">
        <f>ROUND(I297*C297,0)</f>
        <v>970127</v>
      </c>
      <c r="K297" s="20">
        <f>E297+G297+I297</f>
        <v>27506.108899999999</v>
      </c>
      <c r="L297" s="20">
        <f>F297+H297+J297</f>
        <v>11827627</v>
      </c>
      <c r="M297" s="18"/>
      <c r="N297" s="44"/>
    </row>
    <row r="298" spans="1:14" ht="21" customHeight="1">
      <c r="A298" s="18" t="s">
        <v>452</v>
      </c>
      <c r="B298" s="18"/>
      <c r="C298" s="19"/>
      <c r="D298" s="19"/>
      <c r="E298" s="19">
        <v>0</v>
      </c>
      <c r="F298" s="19"/>
      <c r="G298" s="19"/>
      <c r="H298" s="19"/>
      <c r="I298" s="19">
        <v>0</v>
      </c>
      <c r="J298" s="19"/>
      <c r="K298" s="19"/>
      <c r="L298" s="19"/>
      <c r="M298" s="19"/>
      <c r="N298" s="44"/>
    </row>
    <row r="299" spans="1:14" ht="21" customHeight="1">
      <c r="A299" s="18" t="s">
        <v>453</v>
      </c>
      <c r="B299" s="18" t="s">
        <v>454</v>
      </c>
      <c r="C299" s="20">
        <v>8</v>
      </c>
      <c r="D299" s="21" t="s">
        <v>201</v>
      </c>
      <c r="E299" s="20">
        <v>0</v>
      </c>
      <c r="F299" s="20">
        <f>ROUND(E299*C299,0)</f>
        <v>0</v>
      </c>
      <c r="G299" s="20">
        <v>10100</v>
      </c>
      <c r="H299" s="20">
        <f>ROUND(G299*C299,0)</f>
        <v>80800</v>
      </c>
      <c r="I299" s="20">
        <v>0</v>
      </c>
      <c r="J299" s="20">
        <f>ROUND(I299*C299,0)</f>
        <v>0</v>
      </c>
      <c r="K299" s="20">
        <f>E299+G299+I299</f>
        <v>10100</v>
      </c>
      <c r="L299" s="20">
        <f>F299+H299+J299</f>
        <v>80800</v>
      </c>
      <c r="M299" s="18"/>
      <c r="N299" s="44"/>
    </row>
    <row r="300" spans="1:14" ht="21" customHeight="1">
      <c r="A300" s="18" t="s">
        <v>455</v>
      </c>
      <c r="B300" s="18" t="s">
        <v>357</v>
      </c>
      <c r="C300" s="20">
        <v>11</v>
      </c>
      <c r="D300" s="21" t="s">
        <v>201</v>
      </c>
      <c r="E300" s="20">
        <v>0</v>
      </c>
      <c r="F300" s="20">
        <f>ROUND(E300*C300,0)</f>
        <v>0</v>
      </c>
      <c r="G300" s="20">
        <v>15150</v>
      </c>
      <c r="H300" s="20">
        <f>ROUND(G300*C300,0)</f>
        <v>166650</v>
      </c>
      <c r="I300" s="20">
        <v>0</v>
      </c>
      <c r="J300" s="20">
        <f>ROUND(I300*C300,0)</f>
        <v>0</v>
      </c>
      <c r="K300" s="20">
        <f>E300+G300+I300</f>
        <v>15150</v>
      </c>
      <c r="L300" s="20">
        <f>F300+H300+J300</f>
        <v>166650</v>
      </c>
      <c r="M300" s="18"/>
      <c r="N300" s="44"/>
    </row>
    <row r="301" spans="1:14" ht="21" customHeight="1">
      <c r="A301" s="18" t="s">
        <v>456</v>
      </c>
      <c r="B301" s="18"/>
      <c r="C301" s="19"/>
      <c r="D301" s="19"/>
      <c r="E301" s="19">
        <v>0</v>
      </c>
      <c r="F301" s="19"/>
      <c r="G301" s="19"/>
      <c r="H301" s="19"/>
      <c r="I301" s="19">
        <v>0</v>
      </c>
      <c r="J301" s="19"/>
      <c r="K301" s="19"/>
      <c r="L301" s="19"/>
      <c r="M301" s="19"/>
      <c r="N301" s="44"/>
    </row>
    <row r="302" spans="1:14" ht="21" customHeight="1">
      <c r="A302" s="18" t="s">
        <v>457</v>
      </c>
      <c r="B302" s="18" t="s">
        <v>458</v>
      </c>
      <c r="C302" s="20">
        <v>179</v>
      </c>
      <c r="D302" s="21" t="s">
        <v>99</v>
      </c>
      <c r="E302" s="20">
        <v>0</v>
      </c>
      <c r="F302" s="20">
        <f>ROUND(E302*C302,0)</f>
        <v>0</v>
      </c>
      <c r="G302" s="20">
        <v>25250</v>
      </c>
      <c r="H302" s="20">
        <f>ROUND(G302*C302,0)</f>
        <v>4519750</v>
      </c>
      <c r="I302" s="20">
        <v>0</v>
      </c>
      <c r="J302" s="20">
        <f>ROUND(I302*C302,0)</f>
        <v>0</v>
      </c>
      <c r="K302" s="20">
        <f>E302+G302+I302</f>
        <v>25250</v>
      </c>
      <c r="L302" s="20">
        <f>F302+H302+J302</f>
        <v>4519750</v>
      </c>
      <c r="M302" s="18"/>
      <c r="N302" s="44"/>
    </row>
    <row r="303" spans="1:14" ht="21" customHeight="1">
      <c r="A303" s="18" t="s">
        <v>459</v>
      </c>
      <c r="B303" s="18"/>
      <c r="C303" s="19"/>
      <c r="D303" s="19"/>
      <c r="E303" s="19">
        <v>0</v>
      </c>
      <c r="F303" s="19"/>
      <c r="G303" s="19"/>
      <c r="H303" s="19"/>
      <c r="I303" s="19">
        <v>0</v>
      </c>
      <c r="J303" s="19"/>
      <c r="K303" s="19"/>
      <c r="L303" s="19"/>
      <c r="M303" s="19"/>
      <c r="N303" s="44"/>
    </row>
    <row r="304" spans="1:14" ht="21" customHeight="1">
      <c r="A304" s="18" t="s">
        <v>460</v>
      </c>
      <c r="B304" s="18"/>
      <c r="C304" s="19"/>
      <c r="D304" s="19"/>
      <c r="E304" s="19">
        <v>0</v>
      </c>
      <c r="F304" s="19"/>
      <c r="G304" s="19"/>
      <c r="H304" s="19"/>
      <c r="I304" s="19">
        <v>0</v>
      </c>
      <c r="J304" s="19"/>
      <c r="K304" s="19"/>
      <c r="L304" s="19"/>
      <c r="M304" s="19"/>
      <c r="N304" s="44"/>
    </row>
    <row r="305" spans="1:14" ht="21" customHeight="1">
      <c r="A305" s="18" t="s">
        <v>461</v>
      </c>
      <c r="B305" s="18" t="s">
        <v>462</v>
      </c>
      <c r="C305" s="20">
        <v>15</v>
      </c>
      <c r="D305" s="21" t="s">
        <v>201</v>
      </c>
      <c r="E305" s="20">
        <v>857045.6</v>
      </c>
      <c r="F305" s="20">
        <f>ROUND(E305*C305,0)</f>
        <v>12855684</v>
      </c>
      <c r="G305" s="20">
        <v>209575</v>
      </c>
      <c r="H305" s="20">
        <f>ROUND(G305*C305,0)</f>
        <v>3143625</v>
      </c>
      <c r="I305" s="20">
        <v>277723.08100000001</v>
      </c>
      <c r="J305" s="20">
        <f>ROUND(I305*C305,0)</f>
        <v>4165846</v>
      </c>
      <c r="K305" s="20">
        <f>E305+G305+I305</f>
        <v>1344343.6810000001</v>
      </c>
      <c r="L305" s="20">
        <f>F305+H305+J305</f>
        <v>20165155</v>
      </c>
      <c r="M305" s="18"/>
      <c r="N305" s="44"/>
    </row>
    <row r="306" spans="1:14" ht="21" customHeight="1">
      <c r="A306" s="18" t="s">
        <v>463</v>
      </c>
      <c r="B306" s="18"/>
      <c r="C306" s="19"/>
      <c r="D306" s="19"/>
      <c r="E306" s="19">
        <v>0</v>
      </c>
      <c r="F306" s="19"/>
      <c r="G306" s="19"/>
      <c r="H306" s="19"/>
      <c r="I306" s="19">
        <v>0</v>
      </c>
      <c r="J306" s="19"/>
      <c r="K306" s="19"/>
      <c r="L306" s="19"/>
      <c r="M306" s="19"/>
      <c r="N306" s="44"/>
    </row>
    <row r="307" spans="1:14" ht="21" customHeight="1">
      <c r="A307" s="18" t="s">
        <v>464</v>
      </c>
      <c r="B307" s="18" t="s">
        <v>454</v>
      </c>
      <c r="C307" s="20">
        <v>8</v>
      </c>
      <c r="D307" s="21" t="s">
        <v>365</v>
      </c>
      <c r="E307" s="20">
        <v>0</v>
      </c>
      <c r="F307" s="20">
        <f>ROUND(E307*C307,0)</f>
        <v>0</v>
      </c>
      <c r="G307" s="20">
        <v>23230</v>
      </c>
      <c r="H307" s="20">
        <f>ROUND(G307*C307,0)</f>
        <v>185840</v>
      </c>
      <c r="I307" s="20">
        <v>0</v>
      </c>
      <c r="J307" s="20">
        <f>ROUND(I307*C307,0)</f>
        <v>0</v>
      </c>
      <c r="K307" s="20">
        <f>E307+G307+I307</f>
        <v>23230</v>
      </c>
      <c r="L307" s="20">
        <f>F307+H307+J307</f>
        <v>185840</v>
      </c>
      <c r="M307" s="18"/>
      <c r="N307" s="44"/>
    </row>
    <row r="308" spans="1:14" ht="21" customHeight="1">
      <c r="A308" s="18" t="s">
        <v>465</v>
      </c>
      <c r="B308" s="18" t="s">
        <v>357</v>
      </c>
      <c r="C308" s="20">
        <v>28</v>
      </c>
      <c r="D308" s="21" t="s">
        <v>365</v>
      </c>
      <c r="E308" s="20">
        <v>0</v>
      </c>
      <c r="F308" s="20">
        <f>ROUND(E308*C308,0)</f>
        <v>0</v>
      </c>
      <c r="G308" s="20">
        <v>32320</v>
      </c>
      <c r="H308" s="20">
        <f>ROUND(G308*C308,0)</f>
        <v>904960</v>
      </c>
      <c r="I308" s="20">
        <v>0</v>
      </c>
      <c r="J308" s="20">
        <f>ROUND(I308*C308,0)</f>
        <v>0</v>
      </c>
      <c r="K308" s="20">
        <f>E308+G308+I308</f>
        <v>32320</v>
      </c>
      <c r="L308" s="20">
        <f>F308+H308+J308</f>
        <v>904960</v>
      </c>
      <c r="M308" s="18"/>
      <c r="N308" s="44"/>
    </row>
    <row r="309" spans="1:14" ht="21" customHeight="1">
      <c r="A309" s="18" t="s">
        <v>466</v>
      </c>
      <c r="B309" s="18"/>
      <c r="C309" s="19"/>
      <c r="D309" s="19"/>
      <c r="E309" s="19">
        <v>0</v>
      </c>
      <c r="F309" s="19"/>
      <c r="G309" s="19"/>
      <c r="H309" s="19"/>
      <c r="I309" s="19">
        <v>0</v>
      </c>
      <c r="J309" s="19"/>
      <c r="K309" s="19"/>
      <c r="L309" s="19"/>
      <c r="M309" s="19"/>
      <c r="N309" s="44"/>
    </row>
    <row r="310" spans="1:14" ht="21" customHeight="1">
      <c r="A310" s="18" t="s">
        <v>467</v>
      </c>
      <c r="B310" s="18" t="s">
        <v>468</v>
      </c>
      <c r="C310" s="20">
        <v>8</v>
      </c>
      <c r="D310" s="21" t="s">
        <v>201</v>
      </c>
      <c r="E310" s="20">
        <v>0</v>
      </c>
      <c r="F310" s="20">
        <f>ROUND(E310*C310,0)</f>
        <v>0</v>
      </c>
      <c r="G310" s="20">
        <v>31563</v>
      </c>
      <c r="H310" s="20">
        <f>ROUND(G310*C310,0)</f>
        <v>252504</v>
      </c>
      <c r="I310" s="20">
        <v>0</v>
      </c>
      <c r="J310" s="20">
        <f>ROUND(I310*C310,0)</f>
        <v>0</v>
      </c>
      <c r="K310" s="20">
        <f>E310+G310+I310</f>
        <v>31563</v>
      </c>
      <c r="L310" s="20">
        <f>F310+H310+J310</f>
        <v>252504</v>
      </c>
      <c r="M310" s="18"/>
      <c r="N310" s="44"/>
    </row>
    <row r="311" spans="1:14" ht="21" customHeight="1">
      <c r="A311" s="18" t="s">
        <v>469</v>
      </c>
      <c r="B311" s="18" t="s">
        <v>470</v>
      </c>
      <c r="C311" s="20">
        <v>28</v>
      </c>
      <c r="D311" s="21" t="s">
        <v>201</v>
      </c>
      <c r="E311" s="20">
        <v>0</v>
      </c>
      <c r="F311" s="20">
        <f>ROUND(E311*C311,0)</f>
        <v>0</v>
      </c>
      <c r="G311" s="20">
        <v>31563</v>
      </c>
      <c r="H311" s="20">
        <f>ROUND(G311*C311,0)</f>
        <v>883764</v>
      </c>
      <c r="I311" s="20">
        <v>0</v>
      </c>
      <c r="J311" s="20">
        <f>ROUND(I311*C311,0)</f>
        <v>0</v>
      </c>
      <c r="K311" s="20">
        <f>E311+G311+I311</f>
        <v>31563</v>
      </c>
      <c r="L311" s="20">
        <f>F311+H311+J311</f>
        <v>883764</v>
      </c>
      <c r="M311" s="18"/>
      <c r="N311" s="44"/>
    </row>
    <row r="312" spans="1:14" ht="21" customHeight="1">
      <c r="A312" s="18" t="s">
        <v>471</v>
      </c>
      <c r="B312" s="18"/>
      <c r="C312" s="19"/>
      <c r="D312" s="19"/>
      <c r="E312" s="19">
        <v>0</v>
      </c>
      <c r="F312" s="19"/>
      <c r="G312" s="19"/>
      <c r="H312" s="19"/>
      <c r="I312" s="19">
        <v>0</v>
      </c>
      <c r="J312" s="19"/>
      <c r="K312" s="19"/>
      <c r="L312" s="19"/>
      <c r="M312" s="19"/>
      <c r="N312" s="44"/>
    </row>
    <row r="313" spans="1:14" ht="21" customHeight="1">
      <c r="A313" s="18" t="s">
        <v>322</v>
      </c>
      <c r="B313" s="18" t="s">
        <v>247</v>
      </c>
      <c r="C313" s="20">
        <v>11</v>
      </c>
      <c r="D313" s="21" t="s">
        <v>99</v>
      </c>
      <c r="E313" s="20">
        <v>0</v>
      </c>
      <c r="F313" s="20">
        <f t="shared" ref="F313:F322" si="77">ROUND(E313*C313,0)</f>
        <v>0</v>
      </c>
      <c r="G313" s="20">
        <v>11110</v>
      </c>
      <c r="H313" s="20">
        <f t="shared" ref="H313:H322" si="78">ROUND(G313*C313,0)</f>
        <v>122210</v>
      </c>
      <c r="I313" s="20">
        <v>21048.5308</v>
      </c>
      <c r="J313" s="20">
        <f t="shared" ref="J313:J322" si="79">ROUND(I313*C313,0)</f>
        <v>231534</v>
      </c>
      <c r="K313" s="20">
        <f t="shared" ref="K313:K322" si="80">E313+G313+I313</f>
        <v>32158.5308</v>
      </c>
      <c r="L313" s="20">
        <f t="shared" ref="L313:L322" si="81">F313+H313+J313</f>
        <v>353744</v>
      </c>
      <c r="M313" s="18"/>
      <c r="N313" s="44"/>
    </row>
    <row r="314" spans="1:14" ht="21" customHeight="1">
      <c r="A314" s="18" t="s">
        <v>323</v>
      </c>
      <c r="B314" s="18" t="s">
        <v>472</v>
      </c>
      <c r="C314" s="20">
        <v>29</v>
      </c>
      <c r="D314" s="21" t="s">
        <v>93</v>
      </c>
      <c r="E314" s="20">
        <v>0</v>
      </c>
      <c r="F314" s="20">
        <f t="shared" si="77"/>
        <v>0</v>
      </c>
      <c r="G314" s="20">
        <v>20200</v>
      </c>
      <c r="H314" s="20">
        <f t="shared" si="78"/>
        <v>585800</v>
      </c>
      <c r="I314" s="20">
        <v>4093.2412999999997</v>
      </c>
      <c r="J314" s="20">
        <f t="shared" si="79"/>
        <v>118704</v>
      </c>
      <c r="K314" s="20">
        <f t="shared" si="80"/>
        <v>24293.241300000002</v>
      </c>
      <c r="L314" s="20">
        <f t="shared" si="81"/>
        <v>704504</v>
      </c>
      <c r="M314" s="18"/>
      <c r="N314" s="44"/>
    </row>
    <row r="315" spans="1:14" ht="21" customHeight="1">
      <c r="A315" s="18" t="s">
        <v>473</v>
      </c>
      <c r="B315" s="18" t="s">
        <v>474</v>
      </c>
      <c r="C315" s="22">
        <v>7.3</v>
      </c>
      <c r="D315" s="21" t="s">
        <v>231</v>
      </c>
      <c r="E315" s="20">
        <v>0</v>
      </c>
      <c r="F315" s="20">
        <f t="shared" si="77"/>
        <v>0</v>
      </c>
      <c r="G315" s="20">
        <v>21066</v>
      </c>
      <c r="H315" s="20">
        <f t="shared" si="78"/>
        <v>153782</v>
      </c>
      <c r="I315" s="20">
        <v>0</v>
      </c>
      <c r="J315" s="20">
        <f t="shared" si="79"/>
        <v>0</v>
      </c>
      <c r="K315" s="20">
        <f t="shared" si="80"/>
        <v>21066</v>
      </c>
      <c r="L315" s="20">
        <f t="shared" si="81"/>
        <v>153782</v>
      </c>
      <c r="M315" s="18"/>
      <c r="N315" s="44"/>
    </row>
    <row r="316" spans="1:14" ht="21" customHeight="1">
      <c r="A316" s="18" t="s">
        <v>475</v>
      </c>
      <c r="B316" s="18" t="s">
        <v>451</v>
      </c>
      <c r="C316" s="22">
        <v>2.1</v>
      </c>
      <c r="D316" s="21" t="s">
        <v>231</v>
      </c>
      <c r="E316" s="20">
        <v>0</v>
      </c>
      <c r="F316" s="20">
        <f t="shared" si="77"/>
        <v>0</v>
      </c>
      <c r="G316" s="20">
        <v>26512</v>
      </c>
      <c r="H316" s="20">
        <f t="shared" si="78"/>
        <v>55675</v>
      </c>
      <c r="I316" s="20">
        <v>0</v>
      </c>
      <c r="J316" s="20">
        <f t="shared" si="79"/>
        <v>0</v>
      </c>
      <c r="K316" s="20">
        <f t="shared" si="80"/>
        <v>26512</v>
      </c>
      <c r="L316" s="20">
        <f t="shared" si="81"/>
        <v>55675</v>
      </c>
      <c r="M316" s="18"/>
      <c r="N316" s="44"/>
    </row>
    <row r="317" spans="1:14" ht="21" customHeight="1">
      <c r="A317" s="18" t="s">
        <v>476</v>
      </c>
      <c r="B317" s="18" t="s">
        <v>477</v>
      </c>
      <c r="C317" s="20">
        <v>14</v>
      </c>
      <c r="D317" s="21" t="s">
        <v>201</v>
      </c>
      <c r="E317" s="20">
        <v>0</v>
      </c>
      <c r="F317" s="20">
        <f t="shared" si="77"/>
        <v>0</v>
      </c>
      <c r="G317" s="20">
        <v>10100</v>
      </c>
      <c r="H317" s="20">
        <f t="shared" si="78"/>
        <v>141400</v>
      </c>
      <c r="I317" s="20">
        <v>0</v>
      </c>
      <c r="J317" s="20">
        <f t="shared" si="79"/>
        <v>0</v>
      </c>
      <c r="K317" s="20">
        <f t="shared" si="80"/>
        <v>10100</v>
      </c>
      <c r="L317" s="20">
        <f t="shared" si="81"/>
        <v>141400</v>
      </c>
      <c r="M317" s="18"/>
      <c r="N317" s="44"/>
    </row>
    <row r="318" spans="1:14" ht="21" customHeight="1">
      <c r="A318" s="18" t="s">
        <v>478</v>
      </c>
      <c r="B318" s="18" t="s">
        <v>357</v>
      </c>
      <c r="C318" s="20">
        <v>7</v>
      </c>
      <c r="D318" s="21" t="s">
        <v>201</v>
      </c>
      <c r="E318" s="20">
        <v>0</v>
      </c>
      <c r="F318" s="20">
        <f t="shared" si="77"/>
        <v>0</v>
      </c>
      <c r="G318" s="20">
        <v>10100</v>
      </c>
      <c r="H318" s="20">
        <f t="shared" si="78"/>
        <v>70700</v>
      </c>
      <c r="I318" s="20">
        <v>0</v>
      </c>
      <c r="J318" s="20">
        <f t="shared" si="79"/>
        <v>0</v>
      </c>
      <c r="K318" s="20">
        <f t="shared" si="80"/>
        <v>10100</v>
      </c>
      <c r="L318" s="20">
        <f t="shared" si="81"/>
        <v>70700</v>
      </c>
      <c r="M318" s="18"/>
      <c r="N318" s="44"/>
    </row>
    <row r="319" spans="1:14" ht="21" customHeight="1">
      <c r="A319" s="18" t="s">
        <v>479</v>
      </c>
      <c r="B319" s="18" t="s">
        <v>477</v>
      </c>
      <c r="C319" s="20">
        <v>21</v>
      </c>
      <c r="D319" s="21" t="s">
        <v>201</v>
      </c>
      <c r="E319" s="20">
        <v>0</v>
      </c>
      <c r="F319" s="20">
        <f t="shared" si="77"/>
        <v>0</v>
      </c>
      <c r="G319" s="20">
        <v>15150</v>
      </c>
      <c r="H319" s="20">
        <f t="shared" si="78"/>
        <v>318150</v>
      </c>
      <c r="I319" s="20">
        <v>0</v>
      </c>
      <c r="J319" s="20">
        <f t="shared" si="79"/>
        <v>0</v>
      </c>
      <c r="K319" s="20">
        <f t="shared" si="80"/>
        <v>15150</v>
      </c>
      <c r="L319" s="20">
        <f t="shared" si="81"/>
        <v>318150</v>
      </c>
      <c r="M319" s="18"/>
      <c r="N319" s="44"/>
    </row>
    <row r="320" spans="1:14" ht="21" customHeight="1">
      <c r="A320" s="18" t="s">
        <v>480</v>
      </c>
      <c r="B320" s="18" t="s">
        <v>357</v>
      </c>
      <c r="C320" s="20">
        <v>14</v>
      </c>
      <c r="D320" s="21" t="s">
        <v>201</v>
      </c>
      <c r="E320" s="20">
        <v>0</v>
      </c>
      <c r="F320" s="20">
        <f t="shared" si="77"/>
        <v>0</v>
      </c>
      <c r="G320" s="20">
        <v>20200</v>
      </c>
      <c r="H320" s="20">
        <f t="shared" si="78"/>
        <v>282800</v>
      </c>
      <c r="I320" s="20">
        <v>0</v>
      </c>
      <c r="J320" s="20">
        <f t="shared" si="79"/>
        <v>0</v>
      </c>
      <c r="K320" s="20">
        <f t="shared" si="80"/>
        <v>20200</v>
      </c>
      <c r="L320" s="20">
        <f t="shared" si="81"/>
        <v>282800</v>
      </c>
      <c r="M320" s="18"/>
      <c r="N320" s="44"/>
    </row>
    <row r="321" spans="1:14" ht="21" customHeight="1">
      <c r="A321" s="18" t="s">
        <v>481</v>
      </c>
      <c r="B321" s="18" t="s">
        <v>482</v>
      </c>
      <c r="C321" s="20">
        <v>7</v>
      </c>
      <c r="D321" s="21" t="s">
        <v>365</v>
      </c>
      <c r="E321" s="20">
        <v>0</v>
      </c>
      <c r="F321" s="20">
        <f t="shared" si="77"/>
        <v>0</v>
      </c>
      <c r="G321" s="20">
        <v>15150</v>
      </c>
      <c r="H321" s="20">
        <f t="shared" si="78"/>
        <v>106050</v>
      </c>
      <c r="I321" s="20">
        <v>0</v>
      </c>
      <c r="J321" s="20">
        <f t="shared" si="79"/>
        <v>0</v>
      </c>
      <c r="K321" s="20">
        <f t="shared" si="80"/>
        <v>15150</v>
      </c>
      <c r="L321" s="20">
        <f t="shared" si="81"/>
        <v>106050</v>
      </c>
      <c r="M321" s="18"/>
      <c r="N321" s="44"/>
    </row>
    <row r="322" spans="1:14" ht="21" customHeight="1">
      <c r="A322" s="18" t="s">
        <v>483</v>
      </c>
      <c r="B322" s="18" t="s">
        <v>484</v>
      </c>
      <c r="C322" s="20">
        <v>7</v>
      </c>
      <c r="D322" s="21" t="s">
        <v>365</v>
      </c>
      <c r="E322" s="20">
        <v>0</v>
      </c>
      <c r="F322" s="20">
        <f t="shared" si="77"/>
        <v>0</v>
      </c>
      <c r="G322" s="20">
        <v>10100</v>
      </c>
      <c r="H322" s="20">
        <f t="shared" si="78"/>
        <v>70700</v>
      </c>
      <c r="I322" s="20">
        <v>0</v>
      </c>
      <c r="J322" s="20">
        <f t="shared" si="79"/>
        <v>0</v>
      </c>
      <c r="K322" s="20">
        <f t="shared" si="80"/>
        <v>10100</v>
      </c>
      <c r="L322" s="20">
        <f t="shared" si="81"/>
        <v>70700</v>
      </c>
      <c r="M322" s="18"/>
      <c r="N322" s="44"/>
    </row>
    <row r="323" spans="1:14" ht="21" customHeight="1">
      <c r="A323" s="18" t="s">
        <v>485</v>
      </c>
      <c r="B323" s="18"/>
      <c r="C323" s="19"/>
      <c r="D323" s="19"/>
      <c r="E323" s="19">
        <v>0</v>
      </c>
      <c r="F323" s="19"/>
      <c r="G323" s="19"/>
      <c r="H323" s="19"/>
      <c r="I323" s="19">
        <v>0</v>
      </c>
      <c r="J323" s="19"/>
      <c r="K323" s="19"/>
      <c r="L323" s="19"/>
      <c r="M323" s="19"/>
      <c r="N323" s="44"/>
    </row>
    <row r="324" spans="1:14" ht="21" customHeight="1">
      <c r="A324" s="18" t="s">
        <v>486</v>
      </c>
      <c r="B324" s="18" t="s">
        <v>276</v>
      </c>
      <c r="C324" s="20">
        <v>430</v>
      </c>
      <c r="D324" s="21" t="s">
        <v>231</v>
      </c>
      <c r="E324" s="20">
        <v>0</v>
      </c>
      <c r="F324" s="20">
        <f>ROUND(E324*C324,0)</f>
        <v>0</v>
      </c>
      <c r="G324" s="20">
        <v>0</v>
      </c>
      <c r="H324" s="20">
        <f>ROUND(G324*C324,0)</f>
        <v>0</v>
      </c>
      <c r="I324" s="20">
        <v>4093.2412999999997</v>
      </c>
      <c r="J324" s="20">
        <f>ROUND(I324*C324,0)</f>
        <v>1760094</v>
      </c>
      <c r="K324" s="20">
        <f t="shared" ref="K324:L326" si="82">E324+G324+I324</f>
        <v>4093.2412999999997</v>
      </c>
      <c r="L324" s="20">
        <f t="shared" si="82"/>
        <v>1760094</v>
      </c>
      <c r="M324" s="18"/>
      <c r="N324" s="44"/>
    </row>
    <row r="325" spans="1:14" ht="21" customHeight="1">
      <c r="A325" s="18" t="s">
        <v>487</v>
      </c>
      <c r="B325" s="18" t="s">
        <v>278</v>
      </c>
      <c r="C325" s="20">
        <v>644</v>
      </c>
      <c r="D325" s="21" t="s">
        <v>231</v>
      </c>
      <c r="E325" s="20">
        <v>535.65350000000001</v>
      </c>
      <c r="F325" s="20">
        <f>ROUND(E325*C325,0)</f>
        <v>344961</v>
      </c>
      <c r="G325" s="20">
        <v>505</v>
      </c>
      <c r="H325" s="20">
        <f>ROUND(G325*C325,0)</f>
        <v>325220</v>
      </c>
      <c r="I325" s="20">
        <v>0</v>
      </c>
      <c r="J325" s="20">
        <f>ROUND(I325*C325,0)</f>
        <v>0</v>
      </c>
      <c r="K325" s="20">
        <f t="shared" si="82"/>
        <v>1040.6534999999999</v>
      </c>
      <c r="L325" s="20">
        <f t="shared" si="82"/>
        <v>670181</v>
      </c>
      <c r="M325" s="18"/>
      <c r="N325" s="44"/>
    </row>
    <row r="326" spans="1:14" ht="21" customHeight="1">
      <c r="A326" s="18" t="s">
        <v>488</v>
      </c>
      <c r="B326" s="18" t="s">
        <v>357</v>
      </c>
      <c r="C326" s="20">
        <v>9</v>
      </c>
      <c r="D326" s="21" t="s">
        <v>186</v>
      </c>
      <c r="E326" s="20">
        <v>0</v>
      </c>
      <c r="F326" s="20">
        <f>ROUND(E326*C326,0)</f>
        <v>0</v>
      </c>
      <c r="G326" s="20">
        <v>0</v>
      </c>
      <c r="H326" s="20">
        <f>ROUND(G326*C326,0)</f>
        <v>0</v>
      </c>
      <c r="I326" s="20">
        <v>409276.39850000001</v>
      </c>
      <c r="J326" s="20">
        <f>ROUND(I326*C326,0)</f>
        <v>3683488</v>
      </c>
      <c r="K326" s="20">
        <f t="shared" si="82"/>
        <v>409276.39850000001</v>
      </c>
      <c r="L326" s="20">
        <f t="shared" si="82"/>
        <v>3683488</v>
      </c>
      <c r="M326" s="18"/>
      <c r="N326" s="44"/>
    </row>
    <row r="327" spans="1:14" ht="21" customHeight="1">
      <c r="A327" s="18" t="s">
        <v>489</v>
      </c>
      <c r="B327" s="18"/>
      <c r="C327" s="19"/>
      <c r="D327" s="19"/>
      <c r="E327" s="19">
        <v>0</v>
      </c>
      <c r="F327" s="19"/>
      <c r="G327" s="19"/>
      <c r="H327" s="19"/>
      <c r="I327" s="19">
        <v>0</v>
      </c>
      <c r="J327" s="19"/>
      <c r="K327" s="19"/>
      <c r="L327" s="19"/>
      <c r="M327" s="19"/>
      <c r="N327" s="44"/>
    </row>
    <row r="328" spans="1:14" ht="21" customHeight="1">
      <c r="A328" s="18" t="s">
        <v>490</v>
      </c>
      <c r="B328" s="18" t="s">
        <v>491</v>
      </c>
      <c r="C328" s="20">
        <v>8</v>
      </c>
      <c r="D328" s="21" t="s">
        <v>201</v>
      </c>
      <c r="E328" s="20">
        <v>16069.605</v>
      </c>
      <c r="F328" s="20">
        <f>ROUND(E328*C328,0)</f>
        <v>128557</v>
      </c>
      <c r="G328" s="20">
        <v>25250</v>
      </c>
      <c r="H328" s="20">
        <f>ROUND(G328*C328,0)</f>
        <v>202000</v>
      </c>
      <c r="I328" s="20">
        <v>0</v>
      </c>
      <c r="J328" s="20">
        <f>ROUND(I328*C328,0)</f>
        <v>0</v>
      </c>
      <c r="K328" s="20">
        <f t="shared" ref="K328:L330" si="83">E328+G328+I328</f>
        <v>41319.604999999996</v>
      </c>
      <c r="L328" s="20">
        <f t="shared" si="83"/>
        <v>330557</v>
      </c>
      <c r="M328" s="18"/>
      <c r="N328" s="44"/>
    </row>
    <row r="329" spans="1:14" ht="21" customHeight="1">
      <c r="A329" s="18" t="s">
        <v>492</v>
      </c>
      <c r="B329" s="18" t="s">
        <v>493</v>
      </c>
      <c r="C329" s="20">
        <v>8</v>
      </c>
      <c r="D329" s="21" t="s">
        <v>201</v>
      </c>
      <c r="E329" s="20">
        <v>21426.14</v>
      </c>
      <c r="F329" s="20">
        <f>ROUND(E329*C329,0)</f>
        <v>171409</v>
      </c>
      <c r="G329" s="20">
        <v>25250</v>
      </c>
      <c r="H329" s="20">
        <f>ROUND(G329*C329,0)</f>
        <v>202000</v>
      </c>
      <c r="I329" s="20">
        <v>0</v>
      </c>
      <c r="J329" s="20">
        <f>ROUND(I329*C329,0)</f>
        <v>0</v>
      </c>
      <c r="K329" s="20">
        <f t="shared" si="83"/>
        <v>46676.14</v>
      </c>
      <c r="L329" s="20">
        <f t="shared" si="83"/>
        <v>373409</v>
      </c>
      <c r="M329" s="18"/>
      <c r="N329" s="44"/>
    </row>
    <row r="330" spans="1:14" ht="21" customHeight="1">
      <c r="A330" s="18" t="s">
        <v>494</v>
      </c>
      <c r="B330" s="18" t="s">
        <v>495</v>
      </c>
      <c r="C330" s="20">
        <v>8</v>
      </c>
      <c r="D330" s="21" t="s">
        <v>365</v>
      </c>
      <c r="E330" s="20">
        <v>10713.07</v>
      </c>
      <c r="F330" s="20">
        <f>ROUND(E330*C330,0)</f>
        <v>85705</v>
      </c>
      <c r="G330" s="20">
        <v>25250</v>
      </c>
      <c r="H330" s="20">
        <f>ROUND(G330*C330,0)</f>
        <v>202000</v>
      </c>
      <c r="I330" s="20">
        <v>0</v>
      </c>
      <c r="J330" s="20">
        <f>ROUND(I330*C330,0)</f>
        <v>0</v>
      </c>
      <c r="K330" s="20">
        <f t="shared" si="83"/>
        <v>35963.07</v>
      </c>
      <c r="L330" s="20">
        <f t="shared" si="83"/>
        <v>287705</v>
      </c>
      <c r="M330" s="18"/>
      <c r="N330" s="44"/>
    </row>
    <row r="331" spans="1:14" ht="21" customHeight="1">
      <c r="A331" s="18" t="s">
        <v>496</v>
      </c>
      <c r="B331" s="18"/>
      <c r="C331" s="19"/>
      <c r="D331" s="19"/>
      <c r="E331" s="19">
        <v>0</v>
      </c>
      <c r="F331" s="19"/>
      <c r="G331" s="19"/>
      <c r="H331" s="19"/>
      <c r="I331" s="19">
        <v>0</v>
      </c>
      <c r="J331" s="19"/>
      <c r="K331" s="19"/>
      <c r="L331" s="19"/>
      <c r="M331" s="19"/>
      <c r="N331" s="44"/>
    </row>
    <row r="332" spans="1:14" ht="21" customHeight="1">
      <c r="A332" s="18" t="s">
        <v>373</v>
      </c>
      <c r="B332" s="18"/>
      <c r="C332" s="19"/>
      <c r="D332" s="19"/>
      <c r="E332" s="19">
        <v>0</v>
      </c>
      <c r="F332" s="19"/>
      <c r="G332" s="19"/>
      <c r="H332" s="19"/>
      <c r="I332" s="19">
        <v>0</v>
      </c>
      <c r="J332" s="19"/>
      <c r="K332" s="19"/>
      <c r="L332" s="19"/>
      <c r="M332" s="19"/>
      <c r="N332" s="44"/>
    </row>
    <row r="333" spans="1:14" ht="21" customHeight="1">
      <c r="A333" s="18" t="s">
        <v>374</v>
      </c>
      <c r="B333" s="18" t="s">
        <v>375</v>
      </c>
      <c r="C333" s="20">
        <v>11</v>
      </c>
      <c r="D333" s="21" t="s">
        <v>376</v>
      </c>
      <c r="E333" s="20">
        <v>6320.7112999999999</v>
      </c>
      <c r="F333" s="20">
        <f>ROUND(E333*C333,0)</f>
        <v>69528</v>
      </c>
      <c r="G333" s="20">
        <v>0</v>
      </c>
      <c r="H333" s="20">
        <f>ROUND(G333*C333,0)</f>
        <v>0</v>
      </c>
      <c r="I333" s="20">
        <v>0</v>
      </c>
      <c r="J333" s="20">
        <f>ROUND(I333*C333,0)</f>
        <v>0</v>
      </c>
      <c r="K333" s="20">
        <f>E333+G333+I333</f>
        <v>6320.7112999999999</v>
      </c>
      <c r="L333" s="20">
        <f>F333+H333+J333</f>
        <v>69528</v>
      </c>
      <c r="M333" s="18"/>
      <c r="N333" s="44"/>
    </row>
    <row r="334" spans="1:14" ht="21" customHeight="1">
      <c r="A334" s="18" t="s">
        <v>497</v>
      </c>
      <c r="B334" s="18" t="s">
        <v>380</v>
      </c>
      <c r="C334" s="20">
        <v>11</v>
      </c>
      <c r="D334" s="21" t="s">
        <v>376</v>
      </c>
      <c r="E334" s="20">
        <v>0</v>
      </c>
      <c r="F334" s="20">
        <f>ROUND(E334*C334,0)</f>
        <v>0</v>
      </c>
      <c r="G334" s="20">
        <v>0</v>
      </c>
      <c r="H334" s="20">
        <f>ROUND(G334*C334,0)</f>
        <v>0</v>
      </c>
      <c r="I334" s="20">
        <v>1168.8914</v>
      </c>
      <c r="J334" s="20">
        <f>ROUND(I334*C334,0)</f>
        <v>12858</v>
      </c>
      <c r="K334" s="20">
        <f>E334+G334+I334</f>
        <v>1168.8914</v>
      </c>
      <c r="L334" s="20">
        <f>F334+H334+J334</f>
        <v>12858</v>
      </c>
      <c r="M334" s="18"/>
      <c r="N334" s="44"/>
    </row>
    <row r="335" spans="1:14" ht="21" customHeight="1">
      <c r="A335" s="18" t="s">
        <v>381</v>
      </c>
      <c r="B335" s="18"/>
      <c r="C335" s="19"/>
      <c r="D335" s="19"/>
      <c r="E335" s="19">
        <v>0</v>
      </c>
      <c r="F335" s="19"/>
      <c r="G335" s="19"/>
      <c r="H335" s="19"/>
      <c r="I335" s="19">
        <v>0</v>
      </c>
      <c r="J335" s="19"/>
      <c r="K335" s="19"/>
      <c r="L335" s="19"/>
      <c r="M335" s="19"/>
      <c r="N335" s="44"/>
    </row>
    <row r="336" spans="1:14" ht="21" customHeight="1">
      <c r="A336" s="18" t="s">
        <v>382</v>
      </c>
      <c r="B336" s="18" t="s">
        <v>383</v>
      </c>
      <c r="C336" s="20">
        <v>187</v>
      </c>
      <c r="D336" s="21" t="s">
        <v>99</v>
      </c>
      <c r="E336" s="20">
        <v>27853.982</v>
      </c>
      <c r="F336" s="20">
        <f>ROUND(E336*C336,0)</f>
        <v>5208695</v>
      </c>
      <c r="G336" s="20">
        <v>0</v>
      </c>
      <c r="H336" s="20">
        <f>ROUND(G336*C336,0)</f>
        <v>0</v>
      </c>
      <c r="I336" s="20">
        <v>0</v>
      </c>
      <c r="J336" s="20">
        <f>ROUND(I336*C336,0)</f>
        <v>0</v>
      </c>
      <c r="K336" s="20">
        <f>E336+G336+I336</f>
        <v>27853.982</v>
      </c>
      <c r="L336" s="20">
        <f>F336+H336+J336</f>
        <v>5208695</v>
      </c>
      <c r="M336" s="18"/>
      <c r="N336" s="44"/>
    </row>
    <row r="337" spans="1:14" ht="21" customHeight="1">
      <c r="A337" s="18" t="s">
        <v>388</v>
      </c>
      <c r="B337" s="18"/>
      <c r="C337" s="19"/>
      <c r="D337" s="19"/>
      <c r="E337" s="19">
        <v>0</v>
      </c>
      <c r="F337" s="19"/>
      <c r="G337" s="19"/>
      <c r="H337" s="19"/>
      <c r="I337" s="19">
        <v>0</v>
      </c>
      <c r="J337" s="19"/>
      <c r="K337" s="19"/>
      <c r="L337" s="19"/>
      <c r="M337" s="19"/>
      <c r="N337" s="44"/>
    </row>
    <row r="338" spans="1:14" ht="21" customHeight="1">
      <c r="A338" s="18" t="s">
        <v>389</v>
      </c>
      <c r="B338" s="18" t="s">
        <v>390</v>
      </c>
      <c r="C338" s="22">
        <v>0.51</v>
      </c>
      <c r="D338" s="21" t="s">
        <v>391</v>
      </c>
      <c r="E338" s="20">
        <v>986050.05539999995</v>
      </c>
      <c r="F338" s="20">
        <f>ROUND(E338*C338,0)</f>
        <v>502886</v>
      </c>
      <c r="G338" s="20">
        <v>0</v>
      </c>
      <c r="H338" s="20">
        <f>ROUND(G338*C338,0)</f>
        <v>0</v>
      </c>
      <c r="I338" s="20">
        <v>0</v>
      </c>
      <c r="J338" s="20">
        <f>ROUND(I338*C338,0)</f>
        <v>0</v>
      </c>
      <c r="K338" s="20">
        <f t="shared" ref="K338:L341" si="84">E338+G338+I338</f>
        <v>986050.05539999995</v>
      </c>
      <c r="L338" s="20">
        <f t="shared" si="84"/>
        <v>502886</v>
      </c>
      <c r="M338" s="18"/>
      <c r="N338" s="44"/>
    </row>
    <row r="339" spans="1:14" ht="21" customHeight="1">
      <c r="A339" s="18" t="s">
        <v>498</v>
      </c>
      <c r="B339" s="18" t="s">
        <v>499</v>
      </c>
      <c r="C339" s="22">
        <v>0.58699999999999997</v>
      </c>
      <c r="D339" s="21" t="s">
        <v>391</v>
      </c>
      <c r="E339" s="20">
        <v>985464.549</v>
      </c>
      <c r="F339" s="20">
        <f>ROUND(E339*C339,0)</f>
        <v>578468</v>
      </c>
      <c r="G339" s="20">
        <v>0</v>
      </c>
      <c r="H339" s="20">
        <f>ROUND(G339*C339,0)</f>
        <v>0</v>
      </c>
      <c r="I339" s="20">
        <v>0</v>
      </c>
      <c r="J339" s="20">
        <f>ROUND(I339*C339,0)</f>
        <v>0</v>
      </c>
      <c r="K339" s="20">
        <f t="shared" si="84"/>
        <v>985464.549</v>
      </c>
      <c r="L339" s="20">
        <f t="shared" si="84"/>
        <v>578468</v>
      </c>
      <c r="M339" s="18"/>
      <c r="N339" s="44"/>
    </row>
    <row r="340" spans="1:14" ht="21" customHeight="1">
      <c r="A340" s="18" t="s">
        <v>500</v>
      </c>
      <c r="B340" s="18" t="s">
        <v>399</v>
      </c>
      <c r="C340" s="22">
        <v>1.097</v>
      </c>
      <c r="D340" s="21" t="s">
        <v>391</v>
      </c>
      <c r="E340" s="20">
        <v>0</v>
      </c>
      <c r="F340" s="20">
        <f>ROUND(E340*C340,0)</f>
        <v>0</v>
      </c>
      <c r="G340" s="20">
        <v>0</v>
      </c>
      <c r="H340" s="20">
        <f>ROUND(G340*C340,0)</f>
        <v>0</v>
      </c>
      <c r="I340" s="20">
        <v>23387.374299999999</v>
      </c>
      <c r="J340" s="20">
        <f>ROUND(I340*C340,0)</f>
        <v>25656</v>
      </c>
      <c r="K340" s="20">
        <f t="shared" si="84"/>
        <v>23387.374299999999</v>
      </c>
      <c r="L340" s="20">
        <f t="shared" si="84"/>
        <v>25656</v>
      </c>
      <c r="M340" s="18"/>
      <c r="N340" s="44"/>
    </row>
    <row r="341" spans="1:14" ht="21" customHeight="1">
      <c r="A341" s="18" t="s">
        <v>501</v>
      </c>
      <c r="B341" s="18" t="s">
        <v>401</v>
      </c>
      <c r="C341" s="22">
        <v>3.2000000000000001E-2</v>
      </c>
      <c r="D341" s="21" t="s">
        <v>391</v>
      </c>
      <c r="E341" s="20">
        <v>-424280</v>
      </c>
      <c r="F341" s="20">
        <f>ROUND(E341*C341,0)</f>
        <v>-13577</v>
      </c>
      <c r="G341" s="20">
        <v>0</v>
      </c>
      <c r="H341" s="20">
        <f>ROUND(G341*C341,0)</f>
        <v>0</v>
      </c>
      <c r="I341" s="20">
        <v>0</v>
      </c>
      <c r="J341" s="20">
        <f>ROUND(I341*C341,0)</f>
        <v>0</v>
      </c>
      <c r="K341" s="20">
        <f t="shared" si="84"/>
        <v>-424280</v>
      </c>
      <c r="L341" s="20">
        <f t="shared" si="84"/>
        <v>-13577</v>
      </c>
      <c r="M341" s="18"/>
      <c r="N341" s="44"/>
    </row>
    <row r="342" spans="1:14" ht="21" customHeight="1">
      <c r="A342" s="18" t="s">
        <v>402</v>
      </c>
      <c r="B342" s="18"/>
      <c r="C342" s="19"/>
      <c r="D342" s="19"/>
      <c r="E342" s="19">
        <v>0</v>
      </c>
      <c r="F342" s="19"/>
      <c r="G342" s="19"/>
      <c r="H342" s="19"/>
      <c r="I342" s="19">
        <v>0</v>
      </c>
      <c r="J342" s="19"/>
      <c r="K342" s="19"/>
      <c r="L342" s="19"/>
      <c r="M342" s="19"/>
      <c r="N342" s="44"/>
    </row>
    <row r="343" spans="1:14" ht="21" customHeight="1">
      <c r="A343" s="18" t="s">
        <v>403</v>
      </c>
      <c r="B343" s="18" t="s">
        <v>404</v>
      </c>
      <c r="C343" s="20">
        <v>32</v>
      </c>
      <c r="D343" s="21" t="s">
        <v>99</v>
      </c>
      <c r="E343" s="20">
        <v>94275.016000000003</v>
      </c>
      <c r="F343" s="20">
        <f>ROUND(E343*C343,0)</f>
        <v>3016801</v>
      </c>
      <c r="G343" s="20">
        <v>0</v>
      </c>
      <c r="H343" s="20">
        <f>ROUND(G343*C343,0)</f>
        <v>0</v>
      </c>
      <c r="I343" s="20">
        <v>0</v>
      </c>
      <c r="J343" s="20">
        <f>ROUND(I343*C343,0)</f>
        <v>0</v>
      </c>
      <c r="K343" s="20">
        <f>E343+G343+I343</f>
        <v>94275.016000000003</v>
      </c>
      <c r="L343" s="20">
        <f>F343+H343+J343</f>
        <v>3016801</v>
      </c>
      <c r="M343" s="18"/>
      <c r="N343" s="44"/>
    </row>
    <row r="344" spans="1:14" ht="21" customHeight="1">
      <c r="A344" s="18" t="s">
        <v>405</v>
      </c>
      <c r="B344" s="18" t="s">
        <v>406</v>
      </c>
      <c r="C344" s="20">
        <v>15</v>
      </c>
      <c r="D344" s="21" t="s">
        <v>99</v>
      </c>
      <c r="E344" s="20">
        <v>92346.663400000005</v>
      </c>
      <c r="F344" s="20">
        <f>ROUND(E344*C344,0)</f>
        <v>1385200</v>
      </c>
      <c r="G344" s="20">
        <v>0</v>
      </c>
      <c r="H344" s="20">
        <f>ROUND(G344*C344,0)</f>
        <v>0</v>
      </c>
      <c r="I344" s="20">
        <v>0</v>
      </c>
      <c r="J344" s="20">
        <f>ROUND(I344*C344,0)</f>
        <v>0</v>
      </c>
      <c r="K344" s="20">
        <f>E344+G344+I344</f>
        <v>92346.663400000005</v>
      </c>
      <c r="L344" s="20">
        <f>F344+H344+J344</f>
        <v>1385200</v>
      </c>
      <c r="M344" s="18"/>
      <c r="N344" s="44"/>
    </row>
    <row r="345" spans="1:14" ht="21" customHeight="1">
      <c r="A345" s="18" t="s">
        <v>502</v>
      </c>
      <c r="B345" s="18"/>
      <c r="C345" s="19"/>
      <c r="D345" s="19"/>
      <c r="E345" s="19">
        <v>0</v>
      </c>
      <c r="F345" s="19"/>
      <c r="G345" s="19"/>
      <c r="H345" s="19"/>
      <c r="I345" s="19">
        <v>0</v>
      </c>
      <c r="J345" s="19"/>
      <c r="K345" s="19"/>
      <c r="L345" s="19"/>
      <c r="M345" s="19"/>
      <c r="N345" s="44"/>
    </row>
    <row r="346" spans="1:14" ht="21" customHeight="1">
      <c r="A346" s="18" t="s">
        <v>503</v>
      </c>
      <c r="B346" s="18" t="s">
        <v>504</v>
      </c>
      <c r="C346" s="20">
        <v>15</v>
      </c>
      <c r="D346" s="21" t="s">
        <v>368</v>
      </c>
      <c r="E346" s="20">
        <v>69634.955000000002</v>
      </c>
      <c r="F346" s="20">
        <f>ROUND(E346*C346,0)</f>
        <v>1044524</v>
      </c>
      <c r="G346" s="20">
        <v>0</v>
      </c>
      <c r="H346" s="20">
        <f>ROUND(G346*C346,0)</f>
        <v>0</v>
      </c>
      <c r="I346" s="20">
        <v>0</v>
      </c>
      <c r="J346" s="20">
        <f>ROUND(I346*C346,0)</f>
        <v>0</v>
      </c>
      <c r="K346" s="20">
        <f t="shared" ref="K346:L348" si="85">E346+G346+I346</f>
        <v>69634.955000000002</v>
      </c>
      <c r="L346" s="20">
        <f t="shared" si="85"/>
        <v>1044524</v>
      </c>
      <c r="M346" s="18"/>
      <c r="N346" s="44"/>
    </row>
    <row r="347" spans="1:14" ht="21" customHeight="1">
      <c r="A347" s="18" t="s">
        <v>505</v>
      </c>
      <c r="B347" s="18" t="s">
        <v>506</v>
      </c>
      <c r="C347" s="20">
        <v>2</v>
      </c>
      <c r="D347" s="21" t="s">
        <v>368</v>
      </c>
      <c r="E347" s="20">
        <v>115701.156</v>
      </c>
      <c r="F347" s="20">
        <f>ROUND(E347*C347,0)</f>
        <v>231402</v>
      </c>
      <c r="G347" s="20">
        <v>0</v>
      </c>
      <c r="H347" s="20">
        <f>ROUND(G347*C347,0)</f>
        <v>0</v>
      </c>
      <c r="I347" s="20">
        <v>0</v>
      </c>
      <c r="J347" s="20">
        <f>ROUND(I347*C347,0)</f>
        <v>0</v>
      </c>
      <c r="K347" s="20">
        <f t="shared" si="85"/>
        <v>115701.156</v>
      </c>
      <c r="L347" s="20">
        <f t="shared" si="85"/>
        <v>231402</v>
      </c>
      <c r="M347" s="18"/>
      <c r="N347" s="44"/>
    </row>
    <row r="348" spans="1:14" ht="21" customHeight="1">
      <c r="A348" s="18" t="s">
        <v>507</v>
      </c>
      <c r="B348" s="18" t="s">
        <v>367</v>
      </c>
      <c r="C348" s="20">
        <v>75</v>
      </c>
      <c r="D348" s="21" t="s">
        <v>368</v>
      </c>
      <c r="E348" s="20">
        <v>224974.47</v>
      </c>
      <c r="F348" s="20">
        <f>ROUND(E348*C348,0)</f>
        <v>16873085</v>
      </c>
      <c r="G348" s="20">
        <v>0</v>
      </c>
      <c r="H348" s="20">
        <f>ROUND(G348*C348,0)</f>
        <v>0</v>
      </c>
      <c r="I348" s="20">
        <v>0</v>
      </c>
      <c r="J348" s="20">
        <f>ROUND(I348*C348,0)</f>
        <v>0</v>
      </c>
      <c r="K348" s="20">
        <f t="shared" si="85"/>
        <v>224974.47</v>
      </c>
      <c r="L348" s="20">
        <f t="shared" si="85"/>
        <v>16873085</v>
      </c>
      <c r="M348" s="18"/>
      <c r="N348" s="44"/>
    </row>
    <row r="349" spans="1:14" ht="21" customHeight="1">
      <c r="A349" s="18" t="s">
        <v>437</v>
      </c>
      <c r="B349" s="18"/>
      <c r="C349" s="19"/>
      <c r="D349" s="19"/>
      <c r="E349" s="19">
        <v>0</v>
      </c>
      <c r="F349" s="19"/>
      <c r="G349" s="19"/>
      <c r="H349" s="19"/>
      <c r="I349" s="19">
        <v>0</v>
      </c>
      <c r="J349" s="19"/>
      <c r="K349" s="19"/>
      <c r="L349" s="19"/>
      <c r="M349" s="19"/>
      <c r="N349" s="44"/>
    </row>
    <row r="350" spans="1:14" ht="21" customHeight="1">
      <c r="A350" s="18" t="s">
        <v>438</v>
      </c>
      <c r="B350" s="18" t="s">
        <v>439</v>
      </c>
      <c r="C350" s="20">
        <v>15</v>
      </c>
      <c r="D350" s="21" t="s">
        <v>440</v>
      </c>
      <c r="E350" s="20">
        <v>342818.24</v>
      </c>
      <c r="F350" s="20">
        <f>ROUND(E350*C350,0)</f>
        <v>5142274</v>
      </c>
      <c r="G350" s="20">
        <v>0</v>
      </c>
      <c r="H350" s="20">
        <f>ROUND(G350*C350,0)</f>
        <v>0</v>
      </c>
      <c r="I350" s="20">
        <v>0</v>
      </c>
      <c r="J350" s="20">
        <f>ROUND(I350*C350,0)</f>
        <v>0</v>
      </c>
      <c r="K350" s="20">
        <f>E350+G350+I350</f>
        <v>342818.24</v>
      </c>
      <c r="L350" s="20">
        <f>F350+H350+J350</f>
        <v>5142274</v>
      </c>
      <c r="M350" s="18"/>
      <c r="N350" s="44"/>
    </row>
    <row r="351" spans="1:14" ht="21" customHeight="1">
      <c r="A351" s="18"/>
      <c r="B351" s="18"/>
      <c r="C351" s="20"/>
      <c r="D351" s="21"/>
      <c r="E351" s="20"/>
      <c r="F351" s="20"/>
      <c r="G351" s="20"/>
      <c r="H351" s="20"/>
      <c r="I351" s="20"/>
      <c r="J351" s="20"/>
      <c r="K351" s="20"/>
      <c r="L351" s="20"/>
      <c r="M351" s="18"/>
      <c r="N351" s="44"/>
    </row>
    <row r="352" spans="1:14" ht="21" customHeight="1">
      <c r="A352" s="14" t="s">
        <v>508</v>
      </c>
      <c r="B352" s="15"/>
      <c r="C352" s="16"/>
      <c r="D352" s="16"/>
      <c r="E352" s="16"/>
      <c r="F352" s="17">
        <f>SUM(F356:F480)</f>
        <v>130597022</v>
      </c>
      <c r="G352" s="16"/>
      <c r="H352" s="17">
        <f>SUM(H356:H480)</f>
        <v>84470417</v>
      </c>
      <c r="I352" s="16"/>
      <c r="J352" s="17">
        <f>SUM(J356:J480)</f>
        <v>21214664</v>
      </c>
      <c r="K352" s="16"/>
      <c r="L352" s="17">
        <f>F352+H352+J352</f>
        <v>236282103</v>
      </c>
      <c r="M352" s="16"/>
    </row>
    <row r="353" spans="1:14" ht="21" customHeight="1">
      <c r="A353" s="18" t="s">
        <v>442</v>
      </c>
      <c r="B353" s="18"/>
      <c r="C353" s="19"/>
      <c r="D353" s="19"/>
      <c r="E353" s="19"/>
      <c r="F353" s="19"/>
      <c r="G353" s="19"/>
      <c r="H353" s="19"/>
      <c r="I353" s="19"/>
      <c r="J353" s="19"/>
      <c r="K353" s="19"/>
      <c r="L353" s="19">
        <v>222760534</v>
      </c>
      <c r="M353" s="47">
        <f>+L352/L353</f>
        <v>1.0607000205880275</v>
      </c>
    </row>
    <row r="354" spans="1:14" ht="21" customHeight="1">
      <c r="A354" s="18" t="s">
        <v>212</v>
      </c>
      <c r="B354" s="18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</row>
    <row r="355" spans="1:14" ht="21" customHeight="1">
      <c r="A355" s="18" t="s">
        <v>150</v>
      </c>
      <c r="B355" s="18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</row>
    <row r="356" spans="1:14" ht="21" customHeight="1">
      <c r="A356" s="18" t="s">
        <v>213</v>
      </c>
      <c r="B356" s="18" t="s">
        <v>215</v>
      </c>
      <c r="C356" s="20">
        <v>113</v>
      </c>
      <c r="D356" s="21" t="s">
        <v>99</v>
      </c>
      <c r="E356" s="20">
        <v>1071.307</v>
      </c>
      <c r="F356" s="20">
        <f>ROUND(E356*C356,0)</f>
        <v>121058</v>
      </c>
      <c r="G356" s="20">
        <v>6427.8419999999996</v>
      </c>
      <c r="H356" s="20">
        <f>ROUND(G356*C356,0)</f>
        <v>726346</v>
      </c>
      <c r="I356" s="20">
        <v>1168.8914</v>
      </c>
      <c r="J356" s="20">
        <f>ROUND(I356*C356,0)</f>
        <v>132085</v>
      </c>
      <c r="K356" s="20">
        <f>E356+G356+I356</f>
        <v>8668.0403999999999</v>
      </c>
      <c r="L356" s="20">
        <f>F356+H356+J356</f>
        <v>979489</v>
      </c>
      <c r="M356" s="18"/>
      <c r="N356" s="44"/>
    </row>
    <row r="357" spans="1:14" ht="21" customHeight="1">
      <c r="A357" s="18" t="s">
        <v>214</v>
      </c>
      <c r="B357" s="18" t="s">
        <v>107</v>
      </c>
      <c r="C357" s="20">
        <v>1901</v>
      </c>
      <c r="D357" s="21" t="s">
        <v>99</v>
      </c>
      <c r="E357" s="20">
        <v>1071.307</v>
      </c>
      <c r="F357" s="20">
        <f>ROUND(E357*C357,0)</f>
        <v>2036555</v>
      </c>
      <c r="G357" s="20">
        <v>3213.9209999999998</v>
      </c>
      <c r="H357" s="20">
        <f>ROUND(G357*C357,0)</f>
        <v>6109664</v>
      </c>
      <c r="I357" s="20">
        <v>2338.8434999999999</v>
      </c>
      <c r="J357" s="20">
        <f>ROUND(I357*C357,0)</f>
        <v>4446141</v>
      </c>
      <c r="K357" s="20">
        <f>E357+G357+I357</f>
        <v>6624.0715</v>
      </c>
      <c r="L357" s="20">
        <f>F357+H357+J357</f>
        <v>12592360</v>
      </c>
      <c r="M357" s="18"/>
      <c r="N357" s="44"/>
    </row>
    <row r="358" spans="1:14" ht="21" customHeight="1">
      <c r="A358" s="18" t="s">
        <v>218</v>
      </c>
      <c r="B358" s="18"/>
      <c r="C358" s="19"/>
      <c r="D358" s="19"/>
      <c r="E358" s="19">
        <v>0</v>
      </c>
      <c r="F358" s="19"/>
      <c r="G358" s="19">
        <v>0</v>
      </c>
      <c r="H358" s="19"/>
      <c r="I358" s="19">
        <v>0</v>
      </c>
      <c r="J358" s="19"/>
      <c r="K358" s="19"/>
      <c r="L358" s="19"/>
      <c r="M358" s="19"/>
      <c r="N358" s="44"/>
    </row>
    <row r="359" spans="1:14" ht="21" customHeight="1">
      <c r="A359" s="18" t="s">
        <v>444</v>
      </c>
      <c r="B359" s="18" t="s">
        <v>221</v>
      </c>
      <c r="C359" s="20">
        <v>106</v>
      </c>
      <c r="D359" s="21" t="s">
        <v>99</v>
      </c>
      <c r="E359" s="20">
        <v>1071.307</v>
      </c>
      <c r="F359" s="20">
        <f>ROUND(E359*C359,0)</f>
        <v>113559</v>
      </c>
      <c r="G359" s="20">
        <v>3213.9209999999998</v>
      </c>
      <c r="H359" s="20">
        <f>ROUND(G359*C359,0)</f>
        <v>340676</v>
      </c>
      <c r="I359" s="20">
        <v>3507.7348999999999</v>
      </c>
      <c r="J359" s="20">
        <f>ROUND(I359*C359,0)</f>
        <v>371820</v>
      </c>
      <c r="K359" s="20">
        <f>E359+G359+I359</f>
        <v>7792.9629000000004</v>
      </c>
      <c r="L359" s="20">
        <f>F359+H359+J359</f>
        <v>826055</v>
      </c>
      <c r="M359" s="18"/>
      <c r="N359" s="44"/>
    </row>
    <row r="360" spans="1:14" ht="21" customHeight="1">
      <c r="A360" s="18" t="s">
        <v>509</v>
      </c>
      <c r="B360" s="18" t="s">
        <v>223</v>
      </c>
      <c r="C360" s="20">
        <v>1828</v>
      </c>
      <c r="D360" s="21" t="s">
        <v>99</v>
      </c>
      <c r="E360" s="20">
        <v>1071.307</v>
      </c>
      <c r="F360" s="20">
        <f>ROUND(E360*C360,0)</f>
        <v>1958349</v>
      </c>
      <c r="G360" s="20">
        <v>5356.5349999999999</v>
      </c>
      <c r="H360" s="20">
        <f>ROUND(G360*C360,0)</f>
        <v>9791746</v>
      </c>
      <c r="I360" s="20">
        <v>1168.8914</v>
      </c>
      <c r="J360" s="20">
        <f>ROUND(I360*C360,0)</f>
        <v>2136733</v>
      </c>
      <c r="K360" s="20">
        <f>E360+G360+I360</f>
        <v>7596.7333999999992</v>
      </c>
      <c r="L360" s="20">
        <f>F360+H360+J360</f>
        <v>13886828</v>
      </c>
      <c r="M360" s="18"/>
      <c r="N360" s="44"/>
    </row>
    <row r="361" spans="1:14" ht="21" customHeight="1">
      <c r="A361" s="18" t="s">
        <v>224</v>
      </c>
      <c r="B361" s="18"/>
      <c r="C361" s="19"/>
      <c r="D361" s="19"/>
      <c r="E361" s="19">
        <v>0</v>
      </c>
      <c r="F361" s="19"/>
      <c r="G361" s="19">
        <v>0</v>
      </c>
      <c r="H361" s="19"/>
      <c r="I361" s="19">
        <v>0</v>
      </c>
      <c r="J361" s="19"/>
      <c r="K361" s="19"/>
      <c r="L361" s="19"/>
      <c r="M361" s="19"/>
      <c r="N361" s="44"/>
    </row>
    <row r="362" spans="1:14" ht="21" customHeight="1">
      <c r="A362" s="18" t="s">
        <v>225</v>
      </c>
      <c r="B362" s="18" t="s">
        <v>445</v>
      </c>
      <c r="C362" s="20">
        <v>80</v>
      </c>
      <c r="D362" s="21" t="s">
        <v>99</v>
      </c>
      <c r="E362" s="20">
        <v>0</v>
      </c>
      <c r="F362" s="20">
        <f>ROUND(E362*C362,0)</f>
        <v>0</v>
      </c>
      <c r="G362" s="20">
        <v>0</v>
      </c>
      <c r="H362" s="20">
        <f>ROUND(G362*C362,0)</f>
        <v>0</v>
      </c>
      <c r="I362" s="20">
        <v>11693.156799999999</v>
      </c>
      <c r="J362" s="20">
        <f>ROUND(I362*C362,0)</f>
        <v>935453</v>
      </c>
      <c r="K362" s="20">
        <f>E362+G362+I362</f>
        <v>11693.156799999999</v>
      </c>
      <c r="L362" s="20">
        <f>F362+H362+J362</f>
        <v>935453</v>
      </c>
      <c r="M362" s="18"/>
      <c r="N362" s="44"/>
    </row>
    <row r="363" spans="1:14" ht="21" customHeight="1">
      <c r="A363" s="18" t="s">
        <v>510</v>
      </c>
      <c r="B363" s="18"/>
      <c r="C363" s="19"/>
      <c r="D363" s="19"/>
      <c r="E363" s="19">
        <v>0</v>
      </c>
      <c r="F363" s="19"/>
      <c r="G363" s="19">
        <v>0</v>
      </c>
      <c r="H363" s="19"/>
      <c r="I363" s="19">
        <v>0</v>
      </c>
      <c r="J363" s="19"/>
      <c r="K363" s="19"/>
      <c r="L363" s="19"/>
      <c r="M363" s="19"/>
      <c r="N363" s="44"/>
    </row>
    <row r="364" spans="1:14" ht="21" customHeight="1">
      <c r="A364" s="18" t="s">
        <v>511</v>
      </c>
      <c r="B364" s="18"/>
      <c r="C364" s="19"/>
      <c r="D364" s="19"/>
      <c r="E364" s="19">
        <v>0</v>
      </c>
      <c r="F364" s="19"/>
      <c r="G364" s="19">
        <v>0</v>
      </c>
      <c r="H364" s="19"/>
      <c r="I364" s="19">
        <v>0</v>
      </c>
      <c r="J364" s="19"/>
      <c r="K364" s="19"/>
      <c r="L364" s="19"/>
      <c r="M364" s="19"/>
      <c r="N364" s="44"/>
    </row>
    <row r="365" spans="1:14" ht="21" customHeight="1">
      <c r="A365" s="18" t="s">
        <v>512</v>
      </c>
      <c r="B365" s="18" t="s">
        <v>513</v>
      </c>
      <c r="C365" s="20">
        <v>135</v>
      </c>
      <c r="D365" s="21" t="s">
        <v>231</v>
      </c>
      <c r="E365" s="20">
        <v>3213.9209999999998</v>
      </c>
      <c r="F365" s="20">
        <f>ROUND(E365*C365,0)</f>
        <v>433879</v>
      </c>
      <c r="G365" s="20">
        <v>17140.912</v>
      </c>
      <c r="H365" s="20">
        <f>ROUND(G365*C365,0)</f>
        <v>2314023</v>
      </c>
      <c r="I365" s="20">
        <v>1168.8914</v>
      </c>
      <c r="J365" s="20">
        <f>ROUND(I365*C365,0)</f>
        <v>157800</v>
      </c>
      <c r="K365" s="20">
        <f>E365+G365+I365</f>
        <v>21523.724399999999</v>
      </c>
      <c r="L365" s="20">
        <f>F365+H365+J365</f>
        <v>2905702</v>
      </c>
      <c r="M365" s="18"/>
      <c r="N365" s="44"/>
    </row>
    <row r="366" spans="1:14" ht="21" customHeight="1">
      <c r="A366" s="18" t="s">
        <v>514</v>
      </c>
      <c r="B366" s="18" t="s">
        <v>515</v>
      </c>
      <c r="C366" s="20">
        <v>784</v>
      </c>
      <c r="D366" s="21" t="s">
        <v>231</v>
      </c>
      <c r="E366" s="20">
        <v>4499.4893999999995</v>
      </c>
      <c r="F366" s="20">
        <f>ROUND(E366*C366,0)</f>
        <v>3527600</v>
      </c>
      <c r="G366" s="20">
        <v>18212.219000000001</v>
      </c>
      <c r="H366" s="20">
        <f>ROUND(G366*C366,0)</f>
        <v>14278380</v>
      </c>
      <c r="I366" s="20">
        <v>0</v>
      </c>
      <c r="J366" s="20">
        <f>ROUND(I366*C366,0)</f>
        <v>0</v>
      </c>
      <c r="K366" s="20">
        <f>E366+G366+I366</f>
        <v>22711.7084</v>
      </c>
      <c r="L366" s="20">
        <f>F366+H366+J366</f>
        <v>17805980</v>
      </c>
      <c r="M366" s="18"/>
      <c r="N366" s="44"/>
    </row>
    <row r="367" spans="1:14" ht="21" customHeight="1">
      <c r="A367" s="18" t="s">
        <v>516</v>
      </c>
      <c r="B367" s="18"/>
      <c r="C367" s="19"/>
      <c r="D367" s="19"/>
      <c r="E367" s="19">
        <v>0</v>
      </c>
      <c r="F367" s="19"/>
      <c r="G367" s="19">
        <v>0</v>
      </c>
      <c r="H367" s="19"/>
      <c r="I367" s="19">
        <v>0</v>
      </c>
      <c r="J367" s="19"/>
      <c r="K367" s="19"/>
      <c r="L367" s="19"/>
      <c r="M367" s="19"/>
      <c r="N367" s="44"/>
    </row>
    <row r="368" spans="1:14" ht="21" customHeight="1">
      <c r="A368" s="18" t="s">
        <v>517</v>
      </c>
      <c r="B368" s="18" t="s">
        <v>518</v>
      </c>
      <c r="C368" s="20">
        <v>17</v>
      </c>
      <c r="D368" s="21" t="s">
        <v>201</v>
      </c>
      <c r="E368" s="20">
        <v>18962.133900000001</v>
      </c>
      <c r="F368" s="20">
        <f>ROUND(E368*C368,0)</f>
        <v>322356</v>
      </c>
      <c r="G368" s="20">
        <v>53565.35</v>
      </c>
      <c r="H368" s="20">
        <f>ROUND(G368*C368,0)</f>
        <v>910611</v>
      </c>
      <c r="I368" s="20">
        <v>0</v>
      </c>
      <c r="J368" s="20">
        <f>ROUND(I368*C368,0)</f>
        <v>0</v>
      </c>
      <c r="K368" s="20">
        <f t="shared" ref="K368:L371" si="86">E368+G368+I368</f>
        <v>72527.483899999992</v>
      </c>
      <c r="L368" s="20">
        <f t="shared" si="86"/>
        <v>1232967</v>
      </c>
      <c r="M368" s="18"/>
      <c r="N368" s="44"/>
    </row>
    <row r="369" spans="1:14" ht="21" customHeight="1">
      <c r="A369" s="18" t="s">
        <v>519</v>
      </c>
      <c r="B369" s="18" t="s">
        <v>454</v>
      </c>
      <c r="C369" s="20">
        <v>59</v>
      </c>
      <c r="D369" s="21" t="s">
        <v>201</v>
      </c>
      <c r="E369" s="20">
        <v>26461.282899999998</v>
      </c>
      <c r="F369" s="20">
        <f>ROUND(E369*C369,0)</f>
        <v>1561216</v>
      </c>
      <c r="G369" s="20">
        <v>64278.42</v>
      </c>
      <c r="H369" s="20">
        <f>ROUND(G369*C369,0)</f>
        <v>3792427</v>
      </c>
      <c r="I369" s="20">
        <v>0</v>
      </c>
      <c r="J369" s="20">
        <f>ROUND(I369*C369,0)</f>
        <v>0</v>
      </c>
      <c r="K369" s="20">
        <f t="shared" si="86"/>
        <v>90739.702900000004</v>
      </c>
      <c r="L369" s="20">
        <f t="shared" si="86"/>
        <v>5353643</v>
      </c>
      <c r="M369" s="18"/>
      <c r="N369" s="44"/>
    </row>
    <row r="370" spans="1:14" ht="21" customHeight="1">
      <c r="A370" s="18" t="s">
        <v>520</v>
      </c>
      <c r="B370" s="18" t="s">
        <v>518</v>
      </c>
      <c r="C370" s="20">
        <v>33</v>
      </c>
      <c r="D370" s="21" t="s">
        <v>201</v>
      </c>
      <c r="E370" s="20">
        <v>28389.6355</v>
      </c>
      <c r="F370" s="20">
        <f>ROUND(E370*C370,0)</f>
        <v>936858</v>
      </c>
      <c r="G370" s="20">
        <v>53565.35</v>
      </c>
      <c r="H370" s="20">
        <f>ROUND(G370*C370,0)</f>
        <v>1767657</v>
      </c>
      <c r="I370" s="20">
        <v>0</v>
      </c>
      <c r="J370" s="20">
        <f>ROUND(I370*C370,0)</f>
        <v>0</v>
      </c>
      <c r="K370" s="20">
        <f t="shared" si="86"/>
        <v>81954.985499999995</v>
      </c>
      <c r="L370" s="20">
        <f t="shared" si="86"/>
        <v>2704515</v>
      </c>
      <c r="M370" s="18"/>
      <c r="N370" s="44"/>
    </row>
    <row r="371" spans="1:14" ht="21" customHeight="1">
      <c r="A371" s="18" t="s">
        <v>521</v>
      </c>
      <c r="B371" s="18" t="s">
        <v>454</v>
      </c>
      <c r="C371" s="20">
        <v>76</v>
      </c>
      <c r="D371" s="21" t="s">
        <v>201</v>
      </c>
      <c r="E371" s="20">
        <v>37710.006399999998</v>
      </c>
      <c r="F371" s="20">
        <f>ROUND(E371*C371,0)</f>
        <v>2865960</v>
      </c>
      <c r="G371" s="20">
        <v>64278.42</v>
      </c>
      <c r="H371" s="20">
        <f>ROUND(G371*C371,0)</f>
        <v>4885160</v>
      </c>
      <c r="I371" s="20">
        <v>0</v>
      </c>
      <c r="J371" s="20">
        <f>ROUND(I371*C371,0)</f>
        <v>0</v>
      </c>
      <c r="K371" s="20">
        <f t="shared" si="86"/>
        <v>101988.4264</v>
      </c>
      <c r="L371" s="20">
        <f t="shared" si="86"/>
        <v>7751120</v>
      </c>
      <c r="M371" s="18"/>
      <c r="N371" s="44"/>
    </row>
    <row r="372" spans="1:14" ht="21" customHeight="1">
      <c r="A372" s="18" t="s">
        <v>522</v>
      </c>
      <c r="B372" s="18"/>
      <c r="C372" s="19"/>
      <c r="D372" s="19"/>
      <c r="E372" s="19">
        <v>0</v>
      </c>
      <c r="F372" s="19"/>
      <c r="G372" s="19">
        <v>0</v>
      </c>
      <c r="H372" s="19"/>
      <c r="I372" s="19">
        <v>0</v>
      </c>
      <c r="J372" s="19"/>
      <c r="K372" s="19"/>
      <c r="L372" s="19"/>
      <c r="M372" s="19"/>
      <c r="N372" s="44"/>
    </row>
    <row r="373" spans="1:14" ht="21" customHeight="1">
      <c r="A373" s="18" t="s">
        <v>523</v>
      </c>
      <c r="B373" s="18" t="s">
        <v>518</v>
      </c>
      <c r="C373" s="20">
        <v>12</v>
      </c>
      <c r="D373" s="21" t="s">
        <v>201</v>
      </c>
      <c r="E373" s="20">
        <v>7606.2797</v>
      </c>
      <c r="F373" s="20">
        <f>ROUND(E373*C373,0)</f>
        <v>91275</v>
      </c>
      <c r="G373" s="20">
        <v>21426.14</v>
      </c>
      <c r="H373" s="20">
        <f>ROUND(G373*C373,0)</f>
        <v>257114</v>
      </c>
      <c r="I373" s="20">
        <v>0</v>
      </c>
      <c r="J373" s="20">
        <f>ROUND(I373*C373,0)</f>
        <v>0</v>
      </c>
      <c r="K373" s="20">
        <f>E373+G373+I373</f>
        <v>29032.419699999999</v>
      </c>
      <c r="L373" s="20">
        <f>F373+H373+J373</f>
        <v>348389</v>
      </c>
      <c r="M373" s="18"/>
      <c r="N373" s="44"/>
    </row>
    <row r="374" spans="1:14" ht="21" customHeight="1">
      <c r="A374" s="18" t="s">
        <v>524</v>
      </c>
      <c r="B374" s="18" t="s">
        <v>454</v>
      </c>
      <c r="C374" s="20">
        <v>33</v>
      </c>
      <c r="D374" s="21" t="s">
        <v>201</v>
      </c>
      <c r="E374" s="20">
        <v>12534.2919</v>
      </c>
      <c r="F374" s="20">
        <f>ROUND(E374*C374,0)</f>
        <v>413632</v>
      </c>
      <c r="G374" s="20">
        <v>32139.21</v>
      </c>
      <c r="H374" s="20">
        <f>ROUND(G374*C374,0)</f>
        <v>1060594</v>
      </c>
      <c r="I374" s="20">
        <v>0</v>
      </c>
      <c r="J374" s="20">
        <f>ROUND(I374*C374,0)</f>
        <v>0</v>
      </c>
      <c r="K374" s="20">
        <f>E374+G374+I374</f>
        <v>44673.501900000003</v>
      </c>
      <c r="L374" s="20">
        <f>F374+H374+J374</f>
        <v>1474226</v>
      </c>
      <c r="M374" s="18"/>
      <c r="N374" s="44"/>
    </row>
    <row r="375" spans="1:14" ht="21" customHeight="1">
      <c r="A375" s="18" t="s">
        <v>525</v>
      </c>
      <c r="B375" s="18"/>
      <c r="C375" s="19"/>
      <c r="D375" s="19"/>
      <c r="E375" s="19">
        <v>0</v>
      </c>
      <c r="F375" s="19"/>
      <c r="G375" s="19">
        <v>0</v>
      </c>
      <c r="H375" s="19"/>
      <c r="I375" s="19">
        <v>0</v>
      </c>
      <c r="J375" s="19"/>
      <c r="K375" s="19"/>
      <c r="L375" s="19"/>
      <c r="M375" s="19"/>
      <c r="N375" s="44"/>
    </row>
    <row r="376" spans="1:14" ht="21" customHeight="1">
      <c r="A376" s="18" t="s">
        <v>526</v>
      </c>
      <c r="B376" s="18" t="s">
        <v>518</v>
      </c>
      <c r="C376" s="20">
        <v>57</v>
      </c>
      <c r="D376" s="21" t="s">
        <v>201</v>
      </c>
      <c r="E376" s="20">
        <v>0</v>
      </c>
      <c r="F376" s="20">
        <f>ROUND(E376*C376,0)</f>
        <v>0</v>
      </c>
      <c r="G376" s="20">
        <v>21426.14</v>
      </c>
      <c r="H376" s="20">
        <f>ROUND(G376*C376,0)</f>
        <v>1221290</v>
      </c>
      <c r="I376" s="20">
        <v>0</v>
      </c>
      <c r="J376" s="20">
        <f>ROUND(I376*C376,0)</f>
        <v>0</v>
      </c>
      <c r="K376" s="20">
        <f>E376+G376+I376</f>
        <v>21426.14</v>
      </c>
      <c r="L376" s="20">
        <f>F376+H376+J376</f>
        <v>1221290</v>
      </c>
      <c r="M376" s="18"/>
      <c r="N376" s="44"/>
    </row>
    <row r="377" spans="1:14" ht="21" customHeight="1">
      <c r="A377" s="18" t="s">
        <v>527</v>
      </c>
      <c r="B377" s="18" t="s">
        <v>454</v>
      </c>
      <c r="C377" s="20">
        <v>18</v>
      </c>
      <c r="D377" s="21" t="s">
        <v>201</v>
      </c>
      <c r="E377" s="20">
        <v>0</v>
      </c>
      <c r="F377" s="20">
        <f>ROUND(E377*C377,0)</f>
        <v>0</v>
      </c>
      <c r="G377" s="20">
        <v>32139.21</v>
      </c>
      <c r="H377" s="20">
        <f>ROUND(G377*C377,0)</f>
        <v>578506</v>
      </c>
      <c r="I377" s="20">
        <v>0</v>
      </c>
      <c r="J377" s="20">
        <f>ROUND(I377*C377,0)</f>
        <v>0</v>
      </c>
      <c r="K377" s="20">
        <f>E377+G377+I377</f>
        <v>32139.21</v>
      </c>
      <c r="L377" s="20">
        <f>F377+H377+J377</f>
        <v>578506</v>
      </c>
      <c r="M377" s="18"/>
      <c r="N377" s="44"/>
    </row>
    <row r="378" spans="1:14" ht="21" customHeight="1">
      <c r="A378" s="18" t="s">
        <v>528</v>
      </c>
      <c r="B378" s="18"/>
      <c r="C378" s="19"/>
      <c r="D378" s="19"/>
      <c r="E378" s="19">
        <v>0</v>
      </c>
      <c r="F378" s="19"/>
      <c r="G378" s="19">
        <v>0</v>
      </c>
      <c r="H378" s="19"/>
      <c r="I378" s="19">
        <v>0</v>
      </c>
      <c r="J378" s="19"/>
      <c r="K378" s="19"/>
      <c r="L378" s="19"/>
      <c r="M378" s="19"/>
      <c r="N378" s="44"/>
    </row>
    <row r="379" spans="1:14" ht="21" customHeight="1">
      <c r="A379" s="18" t="s">
        <v>529</v>
      </c>
      <c r="B379" s="18" t="s">
        <v>530</v>
      </c>
      <c r="C379" s="20">
        <v>32</v>
      </c>
      <c r="D379" s="21" t="s">
        <v>231</v>
      </c>
      <c r="E379" s="20">
        <v>0</v>
      </c>
      <c r="F379" s="20">
        <f>ROUND(E379*C379,0)</f>
        <v>0</v>
      </c>
      <c r="G379" s="20">
        <v>3213.9209999999998</v>
      </c>
      <c r="H379" s="20">
        <f>ROUND(G379*C379,0)</f>
        <v>102845</v>
      </c>
      <c r="I379" s="20">
        <v>0</v>
      </c>
      <c r="J379" s="20">
        <f>ROUND(I379*C379,0)</f>
        <v>0</v>
      </c>
      <c r="K379" s="20">
        <f>E379+G379+I379</f>
        <v>3213.9209999999998</v>
      </c>
      <c r="L379" s="20">
        <f>F379+H379+J379</f>
        <v>102845</v>
      </c>
      <c r="M379" s="18"/>
      <c r="N379" s="44"/>
    </row>
    <row r="380" spans="1:14" ht="21" customHeight="1">
      <c r="A380" s="18" t="s">
        <v>531</v>
      </c>
      <c r="B380" s="18" t="s">
        <v>360</v>
      </c>
      <c r="C380" s="20">
        <v>49</v>
      </c>
      <c r="D380" s="21" t="s">
        <v>231</v>
      </c>
      <c r="E380" s="20">
        <v>0</v>
      </c>
      <c r="F380" s="20">
        <f>ROUND(E380*C380,0)</f>
        <v>0</v>
      </c>
      <c r="G380" s="20">
        <v>4285.2280000000001</v>
      </c>
      <c r="H380" s="20">
        <f>ROUND(G380*C380,0)</f>
        <v>209976</v>
      </c>
      <c r="I380" s="20">
        <v>0</v>
      </c>
      <c r="J380" s="20">
        <f>ROUND(I380*C380,0)</f>
        <v>0</v>
      </c>
      <c r="K380" s="20">
        <f>E380+G380+I380</f>
        <v>4285.2280000000001</v>
      </c>
      <c r="L380" s="20">
        <f>F380+H380+J380</f>
        <v>209976</v>
      </c>
      <c r="M380" s="18"/>
      <c r="N380" s="44"/>
    </row>
    <row r="381" spans="1:14" ht="21" customHeight="1">
      <c r="A381" s="18" t="s">
        <v>532</v>
      </c>
      <c r="B381" s="18"/>
      <c r="C381" s="19"/>
      <c r="D381" s="19"/>
      <c r="E381" s="19">
        <v>0</v>
      </c>
      <c r="F381" s="19"/>
      <c r="G381" s="19">
        <v>0</v>
      </c>
      <c r="H381" s="19"/>
      <c r="I381" s="19">
        <v>0</v>
      </c>
      <c r="J381" s="19"/>
      <c r="K381" s="19"/>
      <c r="L381" s="19"/>
      <c r="M381" s="19"/>
      <c r="N381" s="44"/>
    </row>
    <row r="382" spans="1:14" ht="21" customHeight="1">
      <c r="A382" s="18" t="s">
        <v>533</v>
      </c>
      <c r="B382" s="18" t="s">
        <v>530</v>
      </c>
      <c r="C382" s="20">
        <v>6</v>
      </c>
      <c r="D382" s="21" t="s">
        <v>201</v>
      </c>
      <c r="E382" s="20">
        <v>0</v>
      </c>
      <c r="F382" s="20">
        <f>ROUND(E382*C382,0)</f>
        <v>0</v>
      </c>
      <c r="G382" s="20">
        <v>16069.605</v>
      </c>
      <c r="H382" s="20">
        <f>ROUND(G382*C382,0)</f>
        <v>96418</v>
      </c>
      <c r="I382" s="20">
        <v>0</v>
      </c>
      <c r="J382" s="20">
        <f>ROUND(I382*C382,0)</f>
        <v>0</v>
      </c>
      <c r="K382" s="20">
        <f t="shared" ref="K382:L385" si="87">E382+G382+I382</f>
        <v>16069.605</v>
      </c>
      <c r="L382" s="20">
        <f t="shared" si="87"/>
        <v>96418</v>
      </c>
      <c r="M382" s="18"/>
      <c r="N382" s="44"/>
    </row>
    <row r="383" spans="1:14" ht="21" customHeight="1">
      <c r="A383" s="18" t="s">
        <v>534</v>
      </c>
      <c r="B383" s="18" t="s">
        <v>360</v>
      </c>
      <c r="C383" s="20">
        <v>16</v>
      </c>
      <c r="D383" s="21" t="s">
        <v>201</v>
      </c>
      <c r="E383" s="20">
        <v>0</v>
      </c>
      <c r="F383" s="20">
        <f>ROUND(E383*C383,0)</f>
        <v>0</v>
      </c>
      <c r="G383" s="20">
        <v>21426.14</v>
      </c>
      <c r="H383" s="20">
        <f>ROUND(G383*C383,0)</f>
        <v>342818</v>
      </c>
      <c r="I383" s="20">
        <v>0</v>
      </c>
      <c r="J383" s="20">
        <f>ROUND(I383*C383,0)</f>
        <v>0</v>
      </c>
      <c r="K383" s="20">
        <f t="shared" si="87"/>
        <v>21426.14</v>
      </c>
      <c r="L383" s="20">
        <f t="shared" si="87"/>
        <v>342818</v>
      </c>
      <c r="M383" s="18"/>
      <c r="N383" s="44"/>
    </row>
    <row r="384" spans="1:14" ht="21" customHeight="1">
      <c r="A384" s="18" t="s">
        <v>535</v>
      </c>
      <c r="B384" s="18" t="s">
        <v>530</v>
      </c>
      <c r="C384" s="20">
        <v>12</v>
      </c>
      <c r="D384" s="21" t="s">
        <v>201</v>
      </c>
      <c r="E384" s="20">
        <v>0</v>
      </c>
      <c r="F384" s="20">
        <f>ROUND(E384*C384,0)</f>
        <v>0</v>
      </c>
      <c r="G384" s="20">
        <v>21426.14</v>
      </c>
      <c r="H384" s="20">
        <f>ROUND(G384*C384,0)</f>
        <v>257114</v>
      </c>
      <c r="I384" s="20">
        <v>0</v>
      </c>
      <c r="J384" s="20">
        <f>ROUND(I384*C384,0)</f>
        <v>0</v>
      </c>
      <c r="K384" s="20">
        <f t="shared" si="87"/>
        <v>21426.14</v>
      </c>
      <c r="L384" s="20">
        <f t="shared" si="87"/>
        <v>257114</v>
      </c>
      <c r="M384" s="18"/>
      <c r="N384" s="44"/>
    </row>
    <row r="385" spans="1:14" ht="21" customHeight="1">
      <c r="A385" s="18" t="s">
        <v>536</v>
      </c>
      <c r="B385" s="18" t="s">
        <v>360</v>
      </c>
      <c r="C385" s="20">
        <v>32</v>
      </c>
      <c r="D385" s="21" t="s">
        <v>201</v>
      </c>
      <c r="E385" s="20">
        <v>0</v>
      </c>
      <c r="F385" s="20">
        <f>ROUND(E385*C385,0)</f>
        <v>0</v>
      </c>
      <c r="G385" s="20">
        <v>32139.21</v>
      </c>
      <c r="H385" s="20">
        <f>ROUND(G385*C385,0)</f>
        <v>1028455</v>
      </c>
      <c r="I385" s="20">
        <v>0</v>
      </c>
      <c r="J385" s="20">
        <f>ROUND(I385*C385,0)</f>
        <v>0</v>
      </c>
      <c r="K385" s="20">
        <f t="shared" si="87"/>
        <v>32139.21</v>
      </c>
      <c r="L385" s="20">
        <f t="shared" si="87"/>
        <v>1028455</v>
      </c>
      <c r="M385" s="18"/>
      <c r="N385" s="44"/>
    </row>
    <row r="386" spans="1:14" ht="21" customHeight="1">
      <c r="A386" s="18" t="s">
        <v>537</v>
      </c>
      <c r="B386" s="18"/>
      <c r="C386" s="19"/>
      <c r="D386" s="19"/>
      <c r="E386" s="19">
        <v>0</v>
      </c>
      <c r="F386" s="19"/>
      <c r="G386" s="19">
        <v>0</v>
      </c>
      <c r="H386" s="19"/>
      <c r="I386" s="19">
        <v>0</v>
      </c>
      <c r="J386" s="19"/>
      <c r="K386" s="19"/>
      <c r="L386" s="19"/>
      <c r="M386" s="19"/>
      <c r="N386" s="44"/>
    </row>
    <row r="387" spans="1:14" ht="21" customHeight="1">
      <c r="A387" s="18" t="s">
        <v>538</v>
      </c>
      <c r="B387" s="18" t="s">
        <v>530</v>
      </c>
      <c r="C387" s="20">
        <v>3</v>
      </c>
      <c r="D387" s="21" t="s">
        <v>201</v>
      </c>
      <c r="E387" s="20">
        <v>0</v>
      </c>
      <c r="F387" s="20">
        <f>ROUND(E387*C387,0)</f>
        <v>0</v>
      </c>
      <c r="G387" s="20">
        <v>7499.1489999999994</v>
      </c>
      <c r="H387" s="20">
        <f>ROUND(G387*C387,0)</f>
        <v>22497</v>
      </c>
      <c r="I387" s="20">
        <v>0</v>
      </c>
      <c r="J387" s="20">
        <f>ROUND(I387*C387,0)</f>
        <v>0</v>
      </c>
      <c r="K387" s="20">
        <f>E387+G387+I387</f>
        <v>7499.1489999999994</v>
      </c>
      <c r="L387" s="20">
        <f>F387+H387+J387</f>
        <v>22497</v>
      </c>
      <c r="M387" s="18"/>
      <c r="N387" s="44"/>
    </row>
    <row r="388" spans="1:14" ht="21" customHeight="1">
      <c r="A388" s="18" t="s">
        <v>539</v>
      </c>
      <c r="B388" s="18" t="s">
        <v>360</v>
      </c>
      <c r="C388" s="20">
        <v>8</v>
      </c>
      <c r="D388" s="21" t="s">
        <v>201</v>
      </c>
      <c r="E388" s="20">
        <v>0</v>
      </c>
      <c r="F388" s="20">
        <f>ROUND(E388*C388,0)</f>
        <v>0</v>
      </c>
      <c r="G388" s="20">
        <v>10713.07</v>
      </c>
      <c r="H388" s="20">
        <f>ROUND(G388*C388,0)</f>
        <v>85705</v>
      </c>
      <c r="I388" s="20">
        <v>0</v>
      </c>
      <c r="J388" s="20">
        <f>ROUND(I388*C388,0)</f>
        <v>0</v>
      </c>
      <c r="K388" s="20">
        <f>E388+G388+I388</f>
        <v>10713.07</v>
      </c>
      <c r="L388" s="20">
        <f>F388+H388+J388</f>
        <v>85705</v>
      </c>
      <c r="M388" s="18"/>
      <c r="N388" s="44"/>
    </row>
    <row r="389" spans="1:14" ht="21" customHeight="1">
      <c r="A389" s="18" t="s">
        <v>540</v>
      </c>
      <c r="B389" s="18"/>
      <c r="C389" s="19"/>
      <c r="D389" s="19"/>
      <c r="E389" s="19">
        <v>0</v>
      </c>
      <c r="F389" s="19"/>
      <c r="G389" s="19">
        <v>0</v>
      </c>
      <c r="H389" s="19"/>
      <c r="I389" s="19">
        <v>0</v>
      </c>
      <c r="J389" s="19"/>
      <c r="K389" s="19"/>
      <c r="L389" s="19"/>
      <c r="M389" s="19"/>
      <c r="N389" s="44"/>
    </row>
    <row r="390" spans="1:14" ht="21" customHeight="1">
      <c r="A390" s="18" t="s">
        <v>541</v>
      </c>
      <c r="B390" s="18" t="s">
        <v>542</v>
      </c>
      <c r="C390" s="20">
        <v>2</v>
      </c>
      <c r="D390" s="21" t="s">
        <v>201</v>
      </c>
      <c r="E390" s="20">
        <v>53565.35</v>
      </c>
      <c r="F390" s="20">
        <f>ROUND(E390*C390,0)</f>
        <v>107131</v>
      </c>
      <c r="G390" s="20">
        <v>53565.35</v>
      </c>
      <c r="H390" s="20">
        <f>ROUND(G390*C390,0)</f>
        <v>107131</v>
      </c>
      <c r="I390" s="20">
        <v>0</v>
      </c>
      <c r="J390" s="20">
        <f>ROUND(I390*C390,0)</f>
        <v>0</v>
      </c>
      <c r="K390" s="20">
        <f t="shared" ref="K390:L392" si="88">E390+G390+I390</f>
        <v>107130.7</v>
      </c>
      <c r="L390" s="20">
        <f t="shared" si="88"/>
        <v>214262</v>
      </c>
      <c r="M390" s="18"/>
      <c r="N390" s="44"/>
    </row>
    <row r="391" spans="1:14" ht="21" customHeight="1">
      <c r="A391" s="18" t="s">
        <v>543</v>
      </c>
      <c r="B391" s="18" t="s">
        <v>544</v>
      </c>
      <c r="C391" s="20">
        <v>1</v>
      </c>
      <c r="D391" s="21" t="s">
        <v>201</v>
      </c>
      <c r="E391" s="20">
        <v>58921.885000000002</v>
      </c>
      <c r="F391" s="20">
        <f>ROUND(E391*C391,0)</f>
        <v>58922</v>
      </c>
      <c r="G391" s="20">
        <v>53565.35</v>
      </c>
      <c r="H391" s="20">
        <f>ROUND(G391*C391,0)</f>
        <v>53565</v>
      </c>
      <c r="I391" s="20">
        <v>0</v>
      </c>
      <c r="J391" s="20">
        <f>ROUND(I391*C391,0)</f>
        <v>0</v>
      </c>
      <c r="K391" s="20">
        <f t="shared" si="88"/>
        <v>112487.235</v>
      </c>
      <c r="L391" s="20">
        <f t="shared" si="88"/>
        <v>112487</v>
      </c>
      <c r="M391" s="18"/>
      <c r="N391" s="44"/>
    </row>
    <row r="392" spans="1:14" ht="21" customHeight="1">
      <c r="A392" s="18" t="s">
        <v>545</v>
      </c>
      <c r="B392" s="18" t="s">
        <v>546</v>
      </c>
      <c r="C392" s="20">
        <v>8</v>
      </c>
      <c r="D392" s="21" t="s">
        <v>201</v>
      </c>
      <c r="E392" s="20">
        <v>144626.44500000001</v>
      </c>
      <c r="F392" s="20">
        <f>ROUND(E392*C392,0)</f>
        <v>1157012</v>
      </c>
      <c r="G392" s="20">
        <v>53565.35</v>
      </c>
      <c r="H392" s="20">
        <f>ROUND(G392*C392,0)</f>
        <v>428523</v>
      </c>
      <c r="I392" s="20">
        <v>0</v>
      </c>
      <c r="J392" s="20">
        <f>ROUND(I392*C392,0)</f>
        <v>0</v>
      </c>
      <c r="K392" s="20">
        <f t="shared" si="88"/>
        <v>198191.79500000001</v>
      </c>
      <c r="L392" s="20">
        <f t="shared" si="88"/>
        <v>1585535</v>
      </c>
      <c r="M392" s="18"/>
      <c r="N392" s="44"/>
    </row>
    <row r="393" spans="1:14" ht="21" customHeight="1">
      <c r="A393" s="18" t="s">
        <v>547</v>
      </c>
      <c r="B393" s="18"/>
      <c r="C393" s="19"/>
      <c r="D393" s="19"/>
      <c r="E393" s="19">
        <v>0</v>
      </c>
      <c r="F393" s="19"/>
      <c r="G393" s="19">
        <v>0</v>
      </c>
      <c r="H393" s="19"/>
      <c r="I393" s="19">
        <v>0</v>
      </c>
      <c r="J393" s="19"/>
      <c r="K393" s="19"/>
      <c r="L393" s="19"/>
      <c r="M393" s="19"/>
      <c r="N393" s="44"/>
    </row>
    <row r="394" spans="1:14" ht="21" customHeight="1">
      <c r="A394" s="18" t="s">
        <v>548</v>
      </c>
      <c r="B394" s="18"/>
      <c r="C394" s="19"/>
      <c r="D394" s="19"/>
      <c r="E394" s="19">
        <v>0</v>
      </c>
      <c r="F394" s="19"/>
      <c r="G394" s="19">
        <v>0</v>
      </c>
      <c r="H394" s="19"/>
      <c r="I394" s="19">
        <v>0</v>
      </c>
      <c r="J394" s="19"/>
      <c r="K394" s="19"/>
      <c r="L394" s="19"/>
      <c r="M394" s="19"/>
      <c r="N394" s="44"/>
    </row>
    <row r="395" spans="1:14" ht="21" customHeight="1">
      <c r="A395" s="18" t="s">
        <v>549</v>
      </c>
      <c r="B395" s="18" t="s">
        <v>550</v>
      </c>
      <c r="C395" s="20">
        <v>3</v>
      </c>
      <c r="D395" s="21" t="s">
        <v>201</v>
      </c>
      <c r="E395" s="20">
        <v>48208.815000000002</v>
      </c>
      <c r="F395" s="20">
        <f>ROUND(E395*C395,0)</f>
        <v>144626</v>
      </c>
      <c r="G395" s="20">
        <v>26782.674999999999</v>
      </c>
      <c r="H395" s="20">
        <f>ROUND(G395*C395,0)</f>
        <v>80348</v>
      </c>
      <c r="I395" s="20">
        <v>0</v>
      </c>
      <c r="J395" s="20">
        <f>ROUND(I395*C395,0)</f>
        <v>0</v>
      </c>
      <c r="K395" s="20">
        <f>E395+G395+I395</f>
        <v>74991.490000000005</v>
      </c>
      <c r="L395" s="20">
        <f>F395+H395+J395</f>
        <v>224974</v>
      </c>
      <c r="M395" s="18"/>
      <c r="N395" s="44"/>
    </row>
    <row r="396" spans="1:14" ht="21" customHeight="1">
      <c r="A396" s="18" t="s">
        <v>551</v>
      </c>
      <c r="B396" s="18" t="s">
        <v>552</v>
      </c>
      <c r="C396" s="20">
        <v>8</v>
      </c>
      <c r="D396" s="21" t="s">
        <v>201</v>
      </c>
      <c r="E396" s="20">
        <v>128556.84</v>
      </c>
      <c r="F396" s="20">
        <f>ROUND(E396*C396,0)</f>
        <v>1028455</v>
      </c>
      <c r="G396" s="20">
        <v>53565.35</v>
      </c>
      <c r="H396" s="20">
        <f>ROUND(G396*C396,0)</f>
        <v>428523</v>
      </c>
      <c r="I396" s="20">
        <v>0</v>
      </c>
      <c r="J396" s="20">
        <f>ROUND(I396*C396,0)</f>
        <v>0</v>
      </c>
      <c r="K396" s="20">
        <f>E396+G396+I396</f>
        <v>182122.19</v>
      </c>
      <c r="L396" s="20">
        <f>F396+H396+J396</f>
        <v>1456978</v>
      </c>
      <c r="M396" s="18"/>
      <c r="N396" s="44"/>
    </row>
    <row r="397" spans="1:14" ht="21" customHeight="1">
      <c r="A397" s="18" t="s">
        <v>553</v>
      </c>
      <c r="B397" s="18"/>
      <c r="C397" s="19"/>
      <c r="D397" s="19"/>
      <c r="E397" s="19">
        <v>0</v>
      </c>
      <c r="F397" s="19"/>
      <c r="G397" s="19">
        <v>0</v>
      </c>
      <c r="H397" s="19"/>
      <c r="I397" s="19">
        <v>0</v>
      </c>
      <c r="J397" s="19"/>
      <c r="K397" s="19"/>
      <c r="L397" s="19"/>
      <c r="M397" s="19"/>
      <c r="N397" s="44"/>
    </row>
    <row r="398" spans="1:14" ht="21" customHeight="1">
      <c r="A398" s="18" t="s">
        <v>554</v>
      </c>
      <c r="B398" s="18" t="s">
        <v>555</v>
      </c>
      <c r="C398" s="20">
        <v>11</v>
      </c>
      <c r="D398" s="21" t="s">
        <v>201</v>
      </c>
      <c r="E398" s="20">
        <v>10713.07</v>
      </c>
      <c r="F398" s="20">
        <f>ROUND(E398*C398,0)</f>
        <v>117844</v>
      </c>
      <c r="G398" s="20">
        <v>64278.42</v>
      </c>
      <c r="H398" s="20">
        <f>ROUND(G398*C398,0)</f>
        <v>707063</v>
      </c>
      <c r="I398" s="20">
        <v>11693.156799999999</v>
      </c>
      <c r="J398" s="20">
        <f>ROUND(I398*C398,0)</f>
        <v>128625</v>
      </c>
      <c r="K398" s="20">
        <f>E398+G398+I398</f>
        <v>86684.646799999988</v>
      </c>
      <c r="L398" s="20">
        <f>F398+H398+J398</f>
        <v>953532</v>
      </c>
      <c r="M398" s="18"/>
      <c r="N398" s="44"/>
    </row>
    <row r="399" spans="1:14" ht="21" customHeight="1">
      <c r="A399" s="18" t="s">
        <v>556</v>
      </c>
      <c r="B399" s="18" t="s">
        <v>557</v>
      </c>
      <c r="C399" s="20">
        <v>8</v>
      </c>
      <c r="D399" s="21" t="s">
        <v>201</v>
      </c>
      <c r="E399" s="20">
        <v>10713.07</v>
      </c>
      <c r="F399" s="20">
        <f>ROUND(E399*C399,0)</f>
        <v>85705</v>
      </c>
      <c r="G399" s="20">
        <v>85704.56</v>
      </c>
      <c r="H399" s="20">
        <f>ROUND(G399*C399,0)</f>
        <v>685636</v>
      </c>
      <c r="I399" s="20">
        <v>23387.374299999999</v>
      </c>
      <c r="J399" s="20">
        <f>ROUND(I399*C399,0)</f>
        <v>187099</v>
      </c>
      <c r="K399" s="20">
        <f>E399+G399+I399</f>
        <v>119805.0043</v>
      </c>
      <c r="L399" s="20">
        <f>F399+H399+J399</f>
        <v>958440</v>
      </c>
      <c r="M399" s="18"/>
      <c r="N399" s="44"/>
    </row>
    <row r="400" spans="1:14" ht="21" customHeight="1">
      <c r="A400" s="18" t="s">
        <v>558</v>
      </c>
      <c r="B400" s="18"/>
      <c r="C400" s="19"/>
      <c r="D400" s="19"/>
      <c r="E400" s="19">
        <v>0</v>
      </c>
      <c r="F400" s="19"/>
      <c r="G400" s="19">
        <v>0</v>
      </c>
      <c r="H400" s="19"/>
      <c r="I400" s="19">
        <v>0</v>
      </c>
      <c r="J400" s="19"/>
      <c r="K400" s="19"/>
      <c r="L400" s="19"/>
      <c r="M400" s="19"/>
      <c r="N400" s="44"/>
    </row>
    <row r="401" spans="1:14" ht="21" customHeight="1">
      <c r="A401" s="18" t="s">
        <v>559</v>
      </c>
      <c r="B401" s="18" t="s">
        <v>555</v>
      </c>
      <c r="C401" s="20">
        <v>1</v>
      </c>
      <c r="D401" s="21" t="s">
        <v>201</v>
      </c>
      <c r="E401" s="20">
        <v>10713.07</v>
      </c>
      <c r="F401" s="20">
        <f>ROUND(E401*C401,0)</f>
        <v>10713</v>
      </c>
      <c r="G401" s="20">
        <v>53565.35</v>
      </c>
      <c r="H401" s="20">
        <f>ROUND(G401*C401,0)</f>
        <v>53565</v>
      </c>
      <c r="I401" s="20">
        <v>0</v>
      </c>
      <c r="J401" s="20">
        <f>ROUND(I401*C401,0)</f>
        <v>0</v>
      </c>
      <c r="K401" s="20">
        <f>E401+G401+I401</f>
        <v>64278.42</v>
      </c>
      <c r="L401" s="20">
        <f>F401+H401+J401</f>
        <v>64278</v>
      </c>
      <c r="M401" s="18"/>
      <c r="N401" s="44"/>
    </row>
    <row r="402" spans="1:14" ht="21" customHeight="1">
      <c r="A402" s="18" t="s">
        <v>560</v>
      </c>
      <c r="B402" s="18"/>
      <c r="C402" s="19"/>
      <c r="D402" s="19"/>
      <c r="E402" s="19">
        <v>0</v>
      </c>
      <c r="F402" s="19"/>
      <c r="G402" s="19">
        <v>0</v>
      </c>
      <c r="H402" s="19"/>
      <c r="I402" s="19">
        <v>0</v>
      </c>
      <c r="J402" s="19"/>
      <c r="K402" s="19"/>
      <c r="L402" s="19"/>
      <c r="M402" s="19"/>
      <c r="N402" s="44"/>
    </row>
    <row r="403" spans="1:14" ht="21" customHeight="1">
      <c r="A403" s="18" t="s">
        <v>561</v>
      </c>
      <c r="B403" s="18" t="s">
        <v>562</v>
      </c>
      <c r="C403" s="20">
        <v>7</v>
      </c>
      <c r="D403" s="21" t="s">
        <v>201</v>
      </c>
      <c r="E403" s="20">
        <v>524940.42999999993</v>
      </c>
      <c r="F403" s="20">
        <f>ROUND(E403*C403,0)</f>
        <v>3674583</v>
      </c>
      <c r="G403" s="20">
        <v>535653.5</v>
      </c>
      <c r="H403" s="20">
        <f>ROUND(G403*C403,0)</f>
        <v>3749575</v>
      </c>
      <c r="I403" s="20">
        <v>350808.49309999996</v>
      </c>
      <c r="J403" s="20">
        <f>ROUND(I403*C403,0)</f>
        <v>2455659</v>
      </c>
      <c r="K403" s="20">
        <f>E403+G403+I403</f>
        <v>1411402.4230999998</v>
      </c>
      <c r="L403" s="20">
        <f>F403+H403+J403</f>
        <v>9879817</v>
      </c>
      <c r="M403" s="18"/>
      <c r="N403" s="44"/>
    </row>
    <row r="404" spans="1:14" ht="21" customHeight="1">
      <c r="A404" s="18" t="s">
        <v>563</v>
      </c>
      <c r="B404" s="18" t="s">
        <v>564</v>
      </c>
      <c r="C404" s="20">
        <v>7</v>
      </c>
      <c r="D404" s="21" t="s">
        <v>201</v>
      </c>
      <c r="E404" s="20">
        <v>192835.26</v>
      </c>
      <c r="F404" s="20">
        <f>ROUND(E404*C404,0)</f>
        <v>1349847</v>
      </c>
      <c r="G404" s="20">
        <v>214261.4</v>
      </c>
      <c r="H404" s="20">
        <f>ROUND(G404*C404,0)</f>
        <v>1499830</v>
      </c>
      <c r="I404" s="20">
        <v>58467.905399999996</v>
      </c>
      <c r="J404" s="20">
        <f>ROUND(I404*C404,0)</f>
        <v>409275</v>
      </c>
      <c r="K404" s="20">
        <f>E404+G404+I404</f>
        <v>465564.56540000002</v>
      </c>
      <c r="L404" s="20">
        <f>F404+H404+J404</f>
        <v>3258952</v>
      </c>
      <c r="M404" s="18"/>
      <c r="N404" s="44"/>
    </row>
    <row r="405" spans="1:14" ht="21" customHeight="1">
      <c r="A405" s="18" t="s">
        <v>565</v>
      </c>
      <c r="B405" s="18"/>
      <c r="C405" s="19"/>
      <c r="D405" s="19"/>
      <c r="E405" s="19">
        <v>0</v>
      </c>
      <c r="F405" s="19"/>
      <c r="G405" s="19">
        <v>0</v>
      </c>
      <c r="H405" s="19"/>
      <c r="I405" s="19">
        <v>0</v>
      </c>
      <c r="J405" s="19"/>
      <c r="K405" s="19"/>
      <c r="L405" s="19"/>
      <c r="M405" s="19"/>
      <c r="N405" s="44"/>
    </row>
    <row r="406" spans="1:14" ht="21" customHeight="1">
      <c r="A406" s="18" t="s">
        <v>566</v>
      </c>
      <c r="B406" s="18" t="s">
        <v>567</v>
      </c>
      <c r="C406" s="20">
        <v>1</v>
      </c>
      <c r="D406" s="21" t="s">
        <v>93</v>
      </c>
      <c r="E406" s="20">
        <v>5356.5349999999999</v>
      </c>
      <c r="F406" s="20">
        <f>ROUND(E406*C406,0)</f>
        <v>5357</v>
      </c>
      <c r="G406" s="20">
        <v>10713.07</v>
      </c>
      <c r="H406" s="20">
        <f>ROUND(G406*C406,0)</f>
        <v>10713</v>
      </c>
      <c r="I406" s="20">
        <v>2338.8434999999999</v>
      </c>
      <c r="J406" s="20">
        <f>ROUND(I406*C406,0)</f>
        <v>2339</v>
      </c>
      <c r="K406" s="20">
        <f t="shared" ref="K406:L408" si="89">E406+G406+I406</f>
        <v>18408.448499999999</v>
      </c>
      <c r="L406" s="20">
        <f t="shared" si="89"/>
        <v>18409</v>
      </c>
      <c r="M406" s="18"/>
      <c r="N406" s="44"/>
    </row>
    <row r="407" spans="1:14" ht="21" customHeight="1">
      <c r="A407" s="18" t="s">
        <v>568</v>
      </c>
      <c r="B407" s="18" t="s">
        <v>569</v>
      </c>
      <c r="C407" s="20">
        <v>23</v>
      </c>
      <c r="D407" s="21" t="s">
        <v>93</v>
      </c>
      <c r="E407" s="20">
        <v>5356.5349999999999</v>
      </c>
      <c r="F407" s="20">
        <f>ROUND(E407*C407,0)</f>
        <v>123200</v>
      </c>
      <c r="G407" s="20">
        <v>10713.07</v>
      </c>
      <c r="H407" s="20">
        <f>ROUND(G407*C407,0)</f>
        <v>246401</v>
      </c>
      <c r="I407" s="20">
        <v>2338.8434999999999</v>
      </c>
      <c r="J407" s="20">
        <f>ROUND(I407*C407,0)</f>
        <v>53793</v>
      </c>
      <c r="K407" s="20">
        <f t="shared" si="89"/>
        <v>18408.448499999999</v>
      </c>
      <c r="L407" s="20">
        <f t="shared" si="89"/>
        <v>423394</v>
      </c>
      <c r="M407" s="18"/>
      <c r="N407" s="44"/>
    </row>
    <row r="408" spans="1:14" ht="21" customHeight="1">
      <c r="A408" s="18" t="s">
        <v>570</v>
      </c>
      <c r="B408" s="18" t="s">
        <v>571</v>
      </c>
      <c r="C408" s="20">
        <v>7</v>
      </c>
      <c r="D408" s="21" t="s">
        <v>201</v>
      </c>
      <c r="E408" s="20">
        <v>107130.7</v>
      </c>
      <c r="F408" s="20">
        <f>ROUND(E408*C408,0)</f>
        <v>749915</v>
      </c>
      <c r="G408" s="20">
        <v>107130.7</v>
      </c>
      <c r="H408" s="20">
        <f>ROUND(G408*C408,0)</f>
        <v>749915</v>
      </c>
      <c r="I408" s="20">
        <v>58467.905399999996</v>
      </c>
      <c r="J408" s="20">
        <f>ROUND(I408*C408,0)</f>
        <v>409275</v>
      </c>
      <c r="K408" s="20">
        <f t="shared" si="89"/>
        <v>272729.30540000001</v>
      </c>
      <c r="L408" s="20">
        <f t="shared" si="89"/>
        <v>1909105</v>
      </c>
      <c r="M408" s="18"/>
      <c r="N408" s="44"/>
    </row>
    <row r="409" spans="1:14" ht="21" customHeight="1">
      <c r="A409" s="18" t="s">
        <v>572</v>
      </c>
      <c r="B409" s="18"/>
      <c r="C409" s="19"/>
      <c r="D409" s="19"/>
      <c r="E409" s="19">
        <v>0</v>
      </c>
      <c r="F409" s="19"/>
      <c r="G409" s="19">
        <v>0</v>
      </c>
      <c r="H409" s="19"/>
      <c r="I409" s="19">
        <v>0</v>
      </c>
      <c r="J409" s="19"/>
      <c r="K409" s="19"/>
      <c r="L409" s="19"/>
      <c r="M409" s="19"/>
      <c r="N409" s="44"/>
    </row>
    <row r="410" spans="1:14" ht="21" customHeight="1">
      <c r="A410" s="18" t="s">
        <v>573</v>
      </c>
      <c r="B410" s="18" t="s">
        <v>574</v>
      </c>
      <c r="C410" s="20">
        <v>1</v>
      </c>
      <c r="D410" s="21" t="s">
        <v>201</v>
      </c>
      <c r="E410" s="20">
        <v>13369911.359999999</v>
      </c>
      <c r="F410" s="20">
        <f>ROUND(E410*C410,0)</f>
        <v>13369911</v>
      </c>
      <c r="G410" s="20">
        <v>107130.7</v>
      </c>
      <c r="H410" s="20">
        <f>ROUND(G410*C410,0)</f>
        <v>107131</v>
      </c>
      <c r="I410" s="20">
        <v>584680.11470000003</v>
      </c>
      <c r="J410" s="20">
        <f>ROUND(I410*C410,0)</f>
        <v>584680</v>
      </c>
      <c r="K410" s="20">
        <f>E410+G410+I410</f>
        <v>14061722.174699999</v>
      </c>
      <c r="L410" s="20">
        <f>F410+H410+J410</f>
        <v>14061722</v>
      </c>
      <c r="M410" s="18"/>
      <c r="N410" s="44"/>
    </row>
    <row r="411" spans="1:14" ht="21" customHeight="1">
      <c r="A411" s="18" t="s">
        <v>575</v>
      </c>
      <c r="B411" s="18"/>
      <c r="C411" s="19"/>
      <c r="D411" s="19"/>
      <c r="E411" s="19">
        <v>0</v>
      </c>
      <c r="F411" s="19"/>
      <c r="G411" s="19">
        <v>0</v>
      </c>
      <c r="H411" s="19"/>
      <c r="I411" s="19">
        <v>0</v>
      </c>
      <c r="J411" s="19"/>
      <c r="K411" s="19"/>
      <c r="L411" s="19"/>
      <c r="M411" s="19"/>
      <c r="N411" s="44"/>
    </row>
    <row r="412" spans="1:14" ht="21" customHeight="1">
      <c r="A412" s="18" t="s">
        <v>576</v>
      </c>
      <c r="B412" s="18"/>
      <c r="C412" s="19"/>
      <c r="D412" s="19"/>
      <c r="E412" s="19">
        <v>0</v>
      </c>
      <c r="F412" s="19"/>
      <c r="G412" s="19">
        <v>0</v>
      </c>
      <c r="H412" s="19"/>
      <c r="I412" s="19">
        <v>0</v>
      </c>
      <c r="J412" s="19"/>
      <c r="K412" s="19"/>
      <c r="L412" s="19"/>
      <c r="M412" s="19"/>
      <c r="N412" s="44"/>
    </row>
    <row r="413" spans="1:14" ht="21" customHeight="1">
      <c r="A413" s="18" t="s">
        <v>577</v>
      </c>
      <c r="B413" s="18" t="s">
        <v>578</v>
      </c>
      <c r="C413" s="20">
        <v>1</v>
      </c>
      <c r="D413" s="21" t="s">
        <v>201</v>
      </c>
      <c r="E413" s="20">
        <v>1071307</v>
      </c>
      <c r="F413" s="20">
        <f>ROUND(E413*C413,0)</f>
        <v>1071307</v>
      </c>
      <c r="G413" s="20">
        <v>4285228</v>
      </c>
      <c r="H413" s="20">
        <f>ROUND(G413*C413,0)</f>
        <v>4285228</v>
      </c>
      <c r="I413" s="20">
        <v>1169361.2900999999</v>
      </c>
      <c r="J413" s="20">
        <f>ROUND(I413*C413,0)</f>
        <v>1169361</v>
      </c>
      <c r="K413" s="20">
        <f t="shared" ref="K413:L415" si="90">E413+G413+I413</f>
        <v>6525896.2900999999</v>
      </c>
      <c r="L413" s="20">
        <f t="shared" si="90"/>
        <v>6525896</v>
      </c>
      <c r="M413" s="18"/>
      <c r="N413" s="44"/>
    </row>
    <row r="414" spans="1:14" ht="21" customHeight="1">
      <c r="A414" s="18" t="s">
        <v>579</v>
      </c>
      <c r="B414" s="18" t="s">
        <v>580</v>
      </c>
      <c r="C414" s="20">
        <v>1</v>
      </c>
      <c r="D414" s="21" t="s">
        <v>201</v>
      </c>
      <c r="E414" s="20">
        <v>321392.09999999998</v>
      </c>
      <c r="F414" s="20">
        <f>ROUND(E414*C414,0)</f>
        <v>321392</v>
      </c>
      <c r="G414" s="20">
        <v>107130.7</v>
      </c>
      <c r="H414" s="20">
        <f>ROUND(G414*C414,0)</f>
        <v>107131</v>
      </c>
      <c r="I414" s="20">
        <v>116935.81079999999</v>
      </c>
      <c r="J414" s="20">
        <f>ROUND(I414*C414,0)</f>
        <v>116936</v>
      </c>
      <c r="K414" s="20">
        <f t="shared" si="90"/>
        <v>545458.61080000002</v>
      </c>
      <c r="L414" s="20">
        <f t="shared" si="90"/>
        <v>545459</v>
      </c>
      <c r="M414" s="18"/>
      <c r="N414" s="44"/>
    </row>
    <row r="415" spans="1:14" ht="21" customHeight="1">
      <c r="A415" s="18" t="s">
        <v>581</v>
      </c>
      <c r="B415" s="18" t="s">
        <v>580</v>
      </c>
      <c r="C415" s="20">
        <v>3</v>
      </c>
      <c r="D415" s="21" t="s">
        <v>201</v>
      </c>
      <c r="E415" s="20">
        <v>321392.09999999998</v>
      </c>
      <c r="F415" s="20">
        <f>ROUND(E415*C415,0)</f>
        <v>964176</v>
      </c>
      <c r="G415" s="20">
        <v>107130.7</v>
      </c>
      <c r="H415" s="20">
        <f>ROUND(G415*C415,0)</f>
        <v>321392</v>
      </c>
      <c r="I415" s="20">
        <v>116935.81079999999</v>
      </c>
      <c r="J415" s="20">
        <f>ROUND(I415*C415,0)</f>
        <v>350807</v>
      </c>
      <c r="K415" s="20">
        <f t="shared" si="90"/>
        <v>545458.61080000002</v>
      </c>
      <c r="L415" s="20">
        <f t="shared" si="90"/>
        <v>1636375</v>
      </c>
      <c r="M415" s="18"/>
      <c r="N415" s="44"/>
    </row>
    <row r="416" spans="1:14" ht="21" customHeight="1">
      <c r="A416" s="18" t="s">
        <v>582</v>
      </c>
      <c r="B416" s="18"/>
      <c r="C416" s="19"/>
      <c r="D416" s="19"/>
      <c r="E416" s="19">
        <v>0</v>
      </c>
      <c r="F416" s="19"/>
      <c r="G416" s="19">
        <v>0</v>
      </c>
      <c r="H416" s="19"/>
      <c r="I416" s="19">
        <v>0</v>
      </c>
      <c r="J416" s="19"/>
      <c r="K416" s="19"/>
      <c r="L416" s="19"/>
      <c r="M416" s="19"/>
      <c r="N416" s="44"/>
    </row>
    <row r="417" spans="1:14" ht="21" customHeight="1">
      <c r="A417" s="18" t="s">
        <v>583</v>
      </c>
      <c r="B417" s="18" t="s">
        <v>584</v>
      </c>
      <c r="C417" s="20">
        <v>1</v>
      </c>
      <c r="D417" s="21" t="s">
        <v>201</v>
      </c>
      <c r="E417" s="20">
        <v>535653.5</v>
      </c>
      <c r="F417" s="20">
        <f>ROUND(E417*C417,0)</f>
        <v>535654</v>
      </c>
      <c r="G417" s="20">
        <v>2142614</v>
      </c>
      <c r="H417" s="20">
        <f>ROUND(G417*C417,0)</f>
        <v>2142614</v>
      </c>
      <c r="I417" s="20">
        <v>584680.11470000003</v>
      </c>
      <c r="J417" s="20">
        <f>ROUND(I417*C417,0)</f>
        <v>584680</v>
      </c>
      <c r="K417" s="20">
        <f>E417+G417+I417</f>
        <v>3262947.6146999998</v>
      </c>
      <c r="L417" s="20">
        <f>F417+H417+J417</f>
        <v>3262948</v>
      </c>
      <c r="M417" s="18"/>
      <c r="N417" s="44"/>
    </row>
    <row r="418" spans="1:14" ht="21" customHeight="1">
      <c r="A418" s="18" t="s">
        <v>585</v>
      </c>
      <c r="B418" s="18"/>
      <c r="C418" s="19"/>
      <c r="D418" s="19"/>
      <c r="E418" s="19">
        <v>0</v>
      </c>
      <c r="F418" s="19"/>
      <c r="G418" s="19">
        <v>0</v>
      </c>
      <c r="H418" s="19"/>
      <c r="I418" s="19">
        <v>0</v>
      </c>
      <c r="J418" s="19"/>
      <c r="K418" s="19"/>
      <c r="L418" s="19"/>
      <c r="M418" s="19"/>
      <c r="N418" s="44"/>
    </row>
    <row r="419" spans="1:14" ht="21" customHeight="1">
      <c r="A419" s="18" t="s">
        <v>586</v>
      </c>
      <c r="B419" s="18" t="s">
        <v>584</v>
      </c>
      <c r="C419" s="20">
        <v>2</v>
      </c>
      <c r="D419" s="21" t="s">
        <v>201</v>
      </c>
      <c r="E419" s="20">
        <v>535653.5</v>
      </c>
      <c r="F419" s="20">
        <f>ROUND(E419*C419,0)</f>
        <v>1071307</v>
      </c>
      <c r="G419" s="20">
        <v>2142614</v>
      </c>
      <c r="H419" s="20">
        <f>ROUND(G419*C419,0)</f>
        <v>4285228</v>
      </c>
      <c r="I419" s="20">
        <v>584680.11470000003</v>
      </c>
      <c r="J419" s="20">
        <f>ROUND(I419*C419,0)</f>
        <v>1169360</v>
      </c>
      <c r="K419" s="20">
        <f>E419+G419+I419</f>
        <v>3262947.6146999998</v>
      </c>
      <c r="L419" s="20">
        <f>F419+H419+J419</f>
        <v>6525895</v>
      </c>
      <c r="M419" s="18"/>
      <c r="N419" s="44"/>
    </row>
    <row r="420" spans="1:14" ht="21" customHeight="1">
      <c r="A420" s="18" t="s">
        <v>587</v>
      </c>
      <c r="B420" s="18"/>
      <c r="C420" s="19"/>
      <c r="D420" s="19"/>
      <c r="E420" s="19">
        <v>0</v>
      </c>
      <c r="F420" s="19"/>
      <c r="G420" s="19">
        <v>0</v>
      </c>
      <c r="H420" s="19"/>
      <c r="I420" s="19">
        <v>0</v>
      </c>
      <c r="J420" s="19"/>
      <c r="K420" s="19"/>
      <c r="L420" s="19"/>
      <c r="M420" s="19"/>
      <c r="N420" s="44"/>
    </row>
    <row r="421" spans="1:14" ht="21" customHeight="1">
      <c r="A421" s="18" t="s">
        <v>588</v>
      </c>
      <c r="B421" s="18" t="s">
        <v>589</v>
      </c>
      <c r="C421" s="20">
        <v>1</v>
      </c>
      <c r="D421" s="21" t="s">
        <v>201</v>
      </c>
      <c r="E421" s="20">
        <v>1071307</v>
      </c>
      <c r="F421" s="20">
        <f>ROUND(E421*C421,0)</f>
        <v>1071307</v>
      </c>
      <c r="G421" s="20">
        <v>4285228</v>
      </c>
      <c r="H421" s="20">
        <f>ROUND(G421*C421,0)</f>
        <v>4285228</v>
      </c>
      <c r="I421" s="20">
        <v>1169361.2900999999</v>
      </c>
      <c r="J421" s="20">
        <f>ROUND(I421*C421,0)</f>
        <v>1169361</v>
      </c>
      <c r="K421" s="20">
        <f>E421+G421+I421</f>
        <v>6525896.2900999999</v>
      </c>
      <c r="L421" s="20">
        <f>F421+H421+J421</f>
        <v>6525896</v>
      </c>
      <c r="M421" s="18"/>
      <c r="N421" s="44"/>
    </row>
    <row r="422" spans="1:14" ht="21" customHeight="1">
      <c r="A422" s="18" t="s">
        <v>590</v>
      </c>
      <c r="B422" s="18"/>
      <c r="C422" s="19"/>
      <c r="D422" s="19"/>
      <c r="E422" s="19">
        <v>0</v>
      </c>
      <c r="F422" s="19"/>
      <c r="G422" s="19">
        <v>0</v>
      </c>
      <c r="H422" s="19"/>
      <c r="I422" s="19">
        <v>0</v>
      </c>
      <c r="J422" s="19"/>
      <c r="K422" s="19"/>
      <c r="L422" s="19"/>
      <c r="M422" s="19"/>
      <c r="N422" s="44"/>
    </row>
    <row r="423" spans="1:14" ht="21" customHeight="1">
      <c r="A423" s="18" t="s">
        <v>591</v>
      </c>
      <c r="B423" s="18"/>
      <c r="C423" s="19"/>
      <c r="D423" s="19"/>
      <c r="E423" s="19">
        <v>0</v>
      </c>
      <c r="F423" s="19"/>
      <c r="G423" s="19">
        <v>0</v>
      </c>
      <c r="H423" s="19"/>
      <c r="I423" s="19">
        <v>0</v>
      </c>
      <c r="J423" s="19"/>
      <c r="K423" s="19"/>
      <c r="L423" s="19"/>
      <c r="M423" s="19"/>
      <c r="N423" s="44"/>
    </row>
    <row r="424" spans="1:14" ht="21" customHeight="1">
      <c r="A424" s="18" t="s">
        <v>592</v>
      </c>
      <c r="B424" s="18" t="s">
        <v>593</v>
      </c>
      <c r="C424" s="20">
        <v>3</v>
      </c>
      <c r="D424" s="21" t="s">
        <v>201</v>
      </c>
      <c r="E424" s="20">
        <v>18212.219000000001</v>
      </c>
      <c r="F424" s="20">
        <f>ROUND(E424*C424,0)</f>
        <v>54637</v>
      </c>
      <c r="G424" s="20">
        <v>53565.35</v>
      </c>
      <c r="H424" s="20">
        <f>ROUND(G424*C424,0)</f>
        <v>160696</v>
      </c>
      <c r="I424" s="20">
        <v>1168.8914</v>
      </c>
      <c r="J424" s="20">
        <f>ROUND(I424*C424,0)</f>
        <v>3507</v>
      </c>
      <c r="K424" s="20">
        <f>E424+G424+I424</f>
        <v>72946.460399999996</v>
      </c>
      <c r="L424" s="20">
        <f>F424+H424+J424</f>
        <v>218840</v>
      </c>
      <c r="M424" s="18"/>
      <c r="N424" s="44"/>
    </row>
    <row r="425" spans="1:14" ht="21" customHeight="1">
      <c r="A425" s="18" t="s">
        <v>594</v>
      </c>
      <c r="B425" s="18" t="s">
        <v>595</v>
      </c>
      <c r="C425" s="20">
        <v>8</v>
      </c>
      <c r="D425" s="21" t="s">
        <v>201</v>
      </c>
      <c r="E425" s="20">
        <v>18212.219000000001</v>
      </c>
      <c r="F425" s="20">
        <f>ROUND(E425*C425,0)</f>
        <v>145698</v>
      </c>
      <c r="G425" s="20">
        <v>53565.35</v>
      </c>
      <c r="H425" s="20">
        <f>ROUND(G425*C425,0)</f>
        <v>428523</v>
      </c>
      <c r="I425" s="20">
        <v>2338.8434999999999</v>
      </c>
      <c r="J425" s="20">
        <f>ROUND(I425*C425,0)</f>
        <v>18711</v>
      </c>
      <c r="K425" s="20">
        <f>E425+G425+I425</f>
        <v>74116.412500000006</v>
      </c>
      <c r="L425" s="20">
        <f>F425+H425+J425</f>
        <v>592932</v>
      </c>
      <c r="M425" s="18"/>
      <c r="N425" s="44"/>
    </row>
    <row r="426" spans="1:14" ht="21" customHeight="1">
      <c r="A426" s="18" t="s">
        <v>596</v>
      </c>
      <c r="B426" s="18"/>
      <c r="C426" s="19"/>
      <c r="D426" s="19"/>
      <c r="E426" s="19">
        <v>0</v>
      </c>
      <c r="F426" s="19"/>
      <c r="G426" s="19">
        <v>0</v>
      </c>
      <c r="H426" s="19"/>
      <c r="I426" s="19">
        <v>0</v>
      </c>
      <c r="J426" s="19"/>
      <c r="K426" s="19"/>
      <c r="L426" s="19"/>
      <c r="M426" s="19"/>
      <c r="N426" s="44"/>
    </row>
    <row r="427" spans="1:14" ht="21" customHeight="1">
      <c r="A427" s="18" t="s">
        <v>597</v>
      </c>
      <c r="B427" s="18" t="s">
        <v>518</v>
      </c>
      <c r="C427" s="20">
        <v>7</v>
      </c>
      <c r="D427" s="21" t="s">
        <v>201</v>
      </c>
      <c r="E427" s="20">
        <v>18212.219000000001</v>
      </c>
      <c r="F427" s="20">
        <f>ROUND(E427*C427,0)</f>
        <v>127486</v>
      </c>
      <c r="G427" s="20">
        <v>53565.35</v>
      </c>
      <c r="H427" s="20">
        <f>ROUND(G427*C427,0)</f>
        <v>374957</v>
      </c>
      <c r="I427" s="20">
        <v>11693.156799999999</v>
      </c>
      <c r="J427" s="20">
        <f>ROUND(I427*C427,0)</f>
        <v>81852</v>
      </c>
      <c r="K427" s="20">
        <f>E427+G427+I427</f>
        <v>83470.7258</v>
      </c>
      <c r="L427" s="20">
        <f>F427+H427+J427</f>
        <v>584295</v>
      </c>
      <c r="M427" s="18"/>
      <c r="N427" s="44"/>
    </row>
    <row r="428" spans="1:14" ht="21" customHeight="1">
      <c r="A428" s="18" t="s">
        <v>598</v>
      </c>
      <c r="B428" s="18" t="s">
        <v>454</v>
      </c>
      <c r="C428" s="20">
        <v>2</v>
      </c>
      <c r="D428" s="21" t="s">
        <v>201</v>
      </c>
      <c r="E428" s="20">
        <v>18212.219000000001</v>
      </c>
      <c r="F428" s="20">
        <f>ROUND(E428*C428,0)</f>
        <v>36424</v>
      </c>
      <c r="G428" s="20">
        <v>53565.35</v>
      </c>
      <c r="H428" s="20">
        <f>ROUND(G428*C428,0)</f>
        <v>107131</v>
      </c>
      <c r="I428" s="20">
        <v>23387.374299999999</v>
      </c>
      <c r="J428" s="20">
        <f>ROUND(I428*C428,0)</f>
        <v>46775</v>
      </c>
      <c r="K428" s="20">
        <f>E428+G428+I428</f>
        <v>95164.943299999999</v>
      </c>
      <c r="L428" s="20">
        <f>F428+H428+J428</f>
        <v>190330</v>
      </c>
      <c r="M428" s="18"/>
      <c r="N428" s="44"/>
    </row>
    <row r="429" spans="1:14" ht="21" customHeight="1">
      <c r="A429" s="18" t="s">
        <v>485</v>
      </c>
      <c r="B429" s="18"/>
      <c r="C429" s="19"/>
      <c r="D429" s="19"/>
      <c r="E429" s="19">
        <v>0</v>
      </c>
      <c r="F429" s="19"/>
      <c r="G429" s="19">
        <v>0</v>
      </c>
      <c r="H429" s="19"/>
      <c r="I429" s="19">
        <v>0</v>
      </c>
      <c r="J429" s="19"/>
      <c r="K429" s="19"/>
      <c r="L429" s="19"/>
      <c r="M429" s="19"/>
      <c r="N429" s="44"/>
    </row>
    <row r="430" spans="1:14" ht="21" customHeight="1">
      <c r="A430" s="18" t="s">
        <v>599</v>
      </c>
      <c r="B430" s="18"/>
      <c r="C430" s="19"/>
      <c r="D430" s="19"/>
      <c r="E430" s="19">
        <v>0</v>
      </c>
      <c r="F430" s="19"/>
      <c r="G430" s="19">
        <v>0</v>
      </c>
      <c r="H430" s="19"/>
      <c r="I430" s="19">
        <v>0</v>
      </c>
      <c r="J430" s="19"/>
      <c r="K430" s="19"/>
      <c r="L430" s="19"/>
      <c r="M430" s="19"/>
      <c r="N430" s="44"/>
    </row>
    <row r="431" spans="1:14" ht="21" customHeight="1">
      <c r="A431" s="18" t="s">
        <v>490</v>
      </c>
      <c r="B431" s="18" t="s">
        <v>491</v>
      </c>
      <c r="C431" s="20">
        <v>11</v>
      </c>
      <c r="D431" s="21" t="s">
        <v>201</v>
      </c>
      <c r="E431" s="20">
        <v>5356.5349999999999</v>
      </c>
      <c r="F431" s="20">
        <f>ROUND(E431*C431,0)</f>
        <v>58922</v>
      </c>
      <c r="G431" s="20">
        <v>26782.674999999999</v>
      </c>
      <c r="H431" s="20">
        <f>ROUND(G431*C431,0)</f>
        <v>294609</v>
      </c>
      <c r="I431" s="20">
        <v>5846.5783999999994</v>
      </c>
      <c r="J431" s="20">
        <f>ROUND(I431*C431,0)</f>
        <v>64312</v>
      </c>
      <c r="K431" s="20">
        <f t="shared" ref="K431:L433" si="91">E431+G431+I431</f>
        <v>37985.788399999998</v>
      </c>
      <c r="L431" s="20">
        <f t="shared" si="91"/>
        <v>417843</v>
      </c>
      <c r="M431" s="18"/>
      <c r="N431" s="44"/>
    </row>
    <row r="432" spans="1:14" ht="21" customHeight="1">
      <c r="A432" s="18" t="s">
        <v>492</v>
      </c>
      <c r="B432" s="18" t="s">
        <v>493</v>
      </c>
      <c r="C432" s="20">
        <v>57</v>
      </c>
      <c r="D432" s="21" t="s">
        <v>201</v>
      </c>
      <c r="E432" s="20">
        <v>8570.4560000000001</v>
      </c>
      <c r="F432" s="20">
        <f>ROUND(E432*C432,0)</f>
        <v>488516</v>
      </c>
      <c r="G432" s="20">
        <v>107130.7</v>
      </c>
      <c r="H432" s="20">
        <f>ROUND(G432*C432,0)</f>
        <v>6106450</v>
      </c>
      <c r="I432" s="20">
        <v>0</v>
      </c>
      <c r="J432" s="20">
        <f>ROUND(I432*C432,0)</f>
        <v>0</v>
      </c>
      <c r="K432" s="20">
        <f t="shared" si="91"/>
        <v>115701.156</v>
      </c>
      <c r="L432" s="20">
        <f t="shared" si="91"/>
        <v>6594966</v>
      </c>
      <c r="M432" s="18"/>
      <c r="N432" s="44"/>
    </row>
    <row r="433" spans="1:14" ht="21" customHeight="1">
      <c r="A433" s="18" t="s">
        <v>600</v>
      </c>
      <c r="B433" s="18" t="s">
        <v>278</v>
      </c>
      <c r="C433" s="20">
        <v>1379</v>
      </c>
      <c r="D433" s="21" t="s">
        <v>231</v>
      </c>
      <c r="E433" s="20">
        <v>535.65350000000001</v>
      </c>
      <c r="F433" s="20">
        <f>ROUND(E433*C433,0)</f>
        <v>738666</v>
      </c>
      <c r="G433" s="20">
        <v>535.65350000000001</v>
      </c>
      <c r="H433" s="20">
        <f>ROUND(G433*C433,0)</f>
        <v>738666</v>
      </c>
      <c r="I433" s="20">
        <v>0</v>
      </c>
      <c r="J433" s="20">
        <f>ROUND(I433*C433,0)</f>
        <v>0</v>
      </c>
      <c r="K433" s="20">
        <f t="shared" si="91"/>
        <v>1071.307</v>
      </c>
      <c r="L433" s="20">
        <f t="shared" si="91"/>
        <v>1477332</v>
      </c>
      <c r="M433" s="18"/>
      <c r="N433" s="44"/>
    </row>
    <row r="434" spans="1:14" ht="21" customHeight="1">
      <c r="A434" s="18" t="s">
        <v>601</v>
      </c>
      <c r="B434" s="18"/>
      <c r="C434" s="19"/>
      <c r="D434" s="19"/>
      <c r="E434" s="19">
        <v>0</v>
      </c>
      <c r="F434" s="19"/>
      <c r="G434" s="19">
        <v>0</v>
      </c>
      <c r="H434" s="19"/>
      <c r="I434" s="19">
        <v>0</v>
      </c>
      <c r="J434" s="19"/>
      <c r="K434" s="19"/>
      <c r="L434" s="19"/>
      <c r="M434" s="19"/>
      <c r="N434" s="44"/>
    </row>
    <row r="435" spans="1:14" ht="21" customHeight="1">
      <c r="A435" s="18" t="s">
        <v>602</v>
      </c>
      <c r="B435" s="18"/>
      <c r="C435" s="20">
        <v>919</v>
      </c>
      <c r="D435" s="21" t="s">
        <v>231</v>
      </c>
      <c r="E435" s="20">
        <v>1071.307</v>
      </c>
      <c r="F435" s="20">
        <f>ROUND(E435*C435,0)</f>
        <v>984531</v>
      </c>
      <c r="G435" s="20">
        <v>1606.9604999999999</v>
      </c>
      <c r="H435" s="20">
        <f>ROUND(G435*C435,0)</f>
        <v>1476797</v>
      </c>
      <c r="I435" s="20">
        <v>1168.8914</v>
      </c>
      <c r="J435" s="20">
        <f>ROUND(I435*C435,0)</f>
        <v>1074211</v>
      </c>
      <c r="K435" s="20">
        <f>E435+G435+I435</f>
        <v>3847.1588999999999</v>
      </c>
      <c r="L435" s="20">
        <f>F435+H435+J435</f>
        <v>3535539</v>
      </c>
      <c r="M435" s="18"/>
      <c r="N435" s="44"/>
    </row>
    <row r="436" spans="1:14" ht="21" customHeight="1">
      <c r="A436" s="18" t="s">
        <v>603</v>
      </c>
      <c r="B436" s="18" t="s">
        <v>604</v>
      </c>
      <c r="C436" s="20">
        <v>150</v>
      </c>
      <c r="D436" s="21" t="s">
        <v>99</v>
      </c>
      <c r="E436" s="20">
        <v>2142.614</v>
      </c>
      <c r="F436" s="20">
        <f>ROUND(E436*C436,0)</f>
        <v>321392</v>
      </c>
      <c r="G436" s="20">
        <v>0</v>
      </c>
      <c r="H436" s="20">
        <f>ROUND(G436*C436,0)</f>
        <v>0</v>
      </c>
      <c r="I436" s="20">
        <v>0</v>
      </c>
      <c r="J436" s="20">
        <f>ROUND(I436*C436,0)</f>
        <v>0</v>
      </c>
      <c r="K436" s="20">
        <f>E436+G436+I436</f>
        <v>2142.614</v>
      </c>
      <c r="L436" s="20">
        <f>F436+H436+J436</f>
        <v>321392</v>
      </c>
      <c r="M436" s="18"/>
      <c r="N436" s="44"/>
    </row>
    <row r="437" spans="1:14" ht="21" customHeight="1">
      <c r="A437" s="18" t="s">
        <v>605</v>
      </c>
      <c r="B437" s="18"/>
      <c r="C437" s="19"/>
      <c r="D437" s="19"/>
      <c r="E437" s="19">
        <v>0</v>
      </c>
      <c r="F437" s="19"/>
      <c r="G437" s="19">
        <v>0</v>
      </c>
      <c r="H437" s="19"/>
      <c r="I437" s="19">
        <v>0</v>
      </c>
      <c r="J437" s="19"/>
      <c r="K437" s="19"/>
      <c r="L437" s="19"/>
      <c r="M437" s="19"/>
      <c r="N437" s="44"/>
    </row>
    <row r="438" spans="1:14" ht="21" customHeight="1">
      <c r="A438" s="18" t="s">
        <v>606</v>
      </c>
      <c r="B438" s="18" t="s">
        <v>518</v>
      </c>
      <c r="C438" s="20">
        <v>1</v>
      </c>
      <c r="D438" s="21" t="s">
        <v>186</v>
      </c>
      <c r="E438" s="20">
        <v>0</v>
      </c>
      <c r="F438" s="20">
        <f>ROUND(E438*C438,0)</f>
        <v>0</v>
      </c>
      <c r="G438" s="20">
        <v>53565.35</v>
      </c>
      <c r="H438" s="20">
        <f>ROUND(G438*C438,0)</f>
        <v>53565</v>
      </c>
      <c r="I438" s="20">
        <v>292340.58769999997</v>
      </c>
      <c r="J438" s="20">
        <f>ROUND(I438*C438,0)</f>
        <v>292341</v>
      </c>
      <c r="K438" s="20">
        <f>E438+G438+I438</f>
        <v>345905.93769999995</v>
      </c>
      <c r="L438" s="20">
        <f>F438+H438+J438</f>
        <v>345906</v>
      </c>
      <c r="M438" s="18"/>
      <c r="N438" s="44"/>
    </row>
    <row r="439" spans="1:14" ht="21" customHeight="1">
      <c r="A439" s="18" t="s">
        <v>607</v>
      </c>
      <c r="B439" s="18" t="s">
        <v>454</v>
      </c>
      <c r="C439" s="20">
        <v>4</v>
      </c>
      <c r="D439" s="21" t="s">
        <v>186</v>
      </c>
      <c r="E439" s="20">
        <v>0</v>
      </c>
      <c r="F439" s="20">
        <f>ROUND(E439*C439,0)</f>
        <v>0</v>
      </c>
      <c r="G439" s="20">
        <v>53565.35</v>
      </c>
      <c r="H439" s="20">
        <f>ROUND(G439*C439,0)</f>
        <v>214261</v>
      </c>
      <c r="I439" s="20">
        <v>350808.49309999996</v>
      </c>
      <c r="J439" s="20">
        <f>ROUND(I439*C439,0)</f>
        <v>1403234</v>
      </c>
      <c r="K439" s="20">
        <f>E439+G439+I439</f>
        <v>404373.84309999994</v>
      </c>
      <c r="L439" s="20">
        <f>F439+H439+J439</f>
        <v>1617495</v>
      </c>
      <c r="M439" s="18"/>
      <c r="N439" s="44"/>
    </row>
    <row r="440" spans="1:14" ht="21" customHeight="1">
      <c r="A440" s="18" t="s">
        <v>496</v>
      </c>
      <c r="B440" s="18"/>
      <c r="C440" s="19"/>
      <c r="D440" s="19"/>
      <c r="E440" s="19">
        <v>0</v>
      </c>
      <c r="F440" s="19"/>
      <c r="G440" s="19">
        <v>0</v>
      </c>
      <c r="H440" s="19"/>
      <c r="I440" s="19">
        <v>0</v>
      </c>
      <c r="J440" s="19"/>
      <c r="K440" s="19"/>
      <c r="L440" s="19"/>
      <c r="M440" s="19"/>
      <c r="N440" s="44"/>
    </row>
    <row r="441" spans="1:14" ht="21" customHeight="1">
      <c r="A441" s="18" t="s">
        <v>608</v>
      </c>
      <c r="B441" s="18"/>
      <c r="C441" s="19"/>
      <c r="D441" s="19"/>
      <c r="E441" s="19">
        <v>0</v>
      </c>
      <c r="F441" s="19"/>
      <c r="G441" s="19">
        <v>0</v>
      </c>
      <c r="H441" s="19"/>
      <c r="I441" s="19">
        <v>0</v>
      </c>
      <c r="J441" s="19"/>
      <c r="K441" s="19"/>
      <c r="L441" s="19"/>
      <c r="M441" s="19"/>
      <c r="N441" s="44"/>
    </row>
    <row r="442" spans="1:14" ht="21" customHeight="1">
      <c r="A442" s="18" t="s">
        <v>403</v>
      </c>
      <c r="B442" s="18" t="s">
        <v>609</v>
      </c>
      <c r="C442" s="20">
        <v>2</v>
      </c>
      <c r="D442" s="21" t="s">
        <v>99</v>
      </c>
      <c r="E442" s="20">
        <v>96631.891399999993</v>
      </c>
      <c r="F442" s="20">
        <f>ROUND(E442*C442,0)</f>
        <v>193264</v>
      </c>
      <c r="G442" s="20">
        <v>0</v>
      </c>
      <c r="H442" s="20">
        <f>ROUND(G442*C442,0)</f>
        <v>0</v>
      </c>
      <c r="I442" s="20">
        <v>0</v>
      </c>
      <c r="J442" s="20">
        <f>ROUND(I442*C442,0)</f>
        <v>0</v>
      </c>
      <c r="K442" s="20">
        <f t="shared" ref="K442:L444" si="92">E442+G442+I442</f>
        <v>96631.891399999993</v>
      </c>
      <c r="L442" s="20">
        <f t="shared" si="92"/>
        <v>193264</v>
      </c>
      <c r="M442" s="18"/>
      <c r="N442" s="44"/>
    </row>
    <row r="443" spans="1:14" ht="21" customHeight="1">
      <c r="A443" s="18" t="s">
        <v>405</v>
      </c>
      <c r="B443" s="18" t="s">
        <v>404</v>
      </c>
      <c r="C443" s="20">
        <v>35</v>
      </c>
      <c r="D443" s="21" t="s">
        <v>99</v>
      </c>
      <c r="E443" s="20">
        <v>94275.016000000003</v>
      </c>
      <c r="F443" s="20">
        <f>ROUND(E443*C443,0)</f>
        <v>3299626</v>
      </c>
      <c r="G443" s="20">
        <v>0</v>
      </c>
      <c r="H443" s="20">
        <f>ROUND(G443*C443,0)</f>
        <v>0</v>
      </c>
      <c r="I443" s="20">
        <v>0</v>
      </c>
      <c r="J443" s="20">
        <f>ROUND(I443*C443,0)</f>
        <v>0</v>
      </c>
      <c r="K443" s="20">
        <f t="shared" si="92"/>
        <v>94275.016000000003</v>
      </c>
      <c r="L443" s="20">
        <f t="shared" si="92"/>
        <v>3299626</v>
      </c>
      <c r="M443" s="18"/>
      <c r="N443" s="44"/>
    </row>
    <row r="444" spans="1:14" ht="21" customHeight="1">
      <c r="A444" s="18" t="s">
        <v>610</v>
      </c>
      <c r="B444" s="18" t="s">
        <v>406</v>
      </c>
      <c r="C444" s="20">
        <v>6</v>
      </c>
      <c r="D444" s="21" t="s">
        <v>99</v>
      </c>
      <c r="E444" s="20">
        <v>92346.663400000005</v>
      </c>
      <c r="F444" s="20">
        <f>ROUND(E444*C444,0)</f>
        <v>554080</v>
      </c>
      <c r="G444" s="20">
        <v>0</v>
      </c>
      <c r="H444" s="20">
        <f>ROUND(G444*C444,0)</f>
        <v>0</v>
      </c>
      <c r="I444" s="20">
        <v>0</v>
      </c>
      <c r="J444" s="20">
        <f>ROUND(I444*C444,0)</f>
        <v>0</v>
      </c>
      <c r="K444" s="20">
        <f t="shared" si="92"/>
        <v>92346.663400000005</v>
      </c>
      <c r="L444" s="20">
        <f t="shared" si="92"/>
        <v>554080</v>
      </c>
      <c r="M444" s="18"/>
      <c r="N444" s="44"/>
    </row>
    <row r="445" spans="1:14" ht="21" customHeight="1">
      <c r="A445" s="18" t="s">
        <v>611</v>
      </c>
      <c r="B445" s="18"/>
      <c r="C445" s="19"/>
      <c r="D445" s="19"/>
      <c r="E445" s="19">
        <v>0</v>
      </c>
      <c r="F445" s="19"/>
      <c r="G445" s="19">
        <v>0</v>
      </c>
      <c r="H445" s="19"/>
      <c r="I445" s="19">
        <v>0</v>
      </c>
      <c r="J445" s="19"/>
      <c r="K445" s="19"/>
      <c r="L445" s="19"/>
      <c r="M445" s="19"/>
      <c r="N445" s="44"/>
    </row>
    <row r="446" spans="1:14" ht="21" customHeight="1">
      <c r="A446" s="18" t="s">
        <v>389</v>
      </c>
      <c r="B446" s="18" t="s">
        <v>390</v>
      </c>
      <c r="C446" s="22">
        <v>1.64</v>
      </c>
      <c r="D446" s="21" t="s">
        <v>391</v>
      </c>
      <c r="E446" s="20">
        <v>986051.11609999998</v>
      </c>
      <c r="F446" s="20">
        <f>ROUND(E446*C446,0)</f>
        <v>1617124</v>
      </c>
      <c r="G446" s="20">
        <v>0</v>
      </c>
      <c r="H446" s="20">
        <f>ROUND(G446*C446,0)</f>
        <v>0</v>
      </c>
      <c r="I446" s="20">
        <v>0</v>
      </c>
      <c r="J446" s="20">
        <f>ROUND(I446*C446,0)</f>
        <v>0</v>
      </c>
      <c r="K446" s="20">
        <f t="shared" ref="K446:L449" si="93">E446+G446+I446</f>
        <v>986051.11609999998</v>
      </c>
      <c r="L446" s="20">
        <f t="shared" si="93"/>
        <v>1617124</v>
      </c>
      <c r="M446" s="18"/>
      <c r="N446" s="44"/>
    </row>
    <row r="447" spans="1:14" ht="21" customHeight="1">
      <c r="A447" s="18" t="s">
        <v>498</v>
      </c>
      <c r="B447" s="18" t="s">
        <v>499</v>
      </c>
      <c r="C447" s="22">
        <v>2.5299999999999998</v>
      </c>
      <c r="D447" s="21" t="s">
        <v>391</v>
      </c>
      <c r="E447" s="20">
        <v>985465.60970000003</v>
      </c>
      <c r="F447" s="20">
        <f>ROUND(E447*C447,0)</f>
        <v>2493228</v>
      </c>
      <c r="G447" s="20">
        <v>0</v>
      </c>
      <c r="H447" s="20">
        <f>ROUND(G447*C447,0)</f>
        <v>0</v>
      </c>
      <c r="I447" s="20">
        <v>0</v>
      </c>
      <c r="J447" s="20">
        <f>ROUND(I447*C447,0)</f>
        <v>0</v>
      </c>
      <c r="K447" s="20">
        <f t="shared" si="93"/>
        <v>985465.60970000003</v>
      </c>
      <c r="L447" s="20">
        <f t="shared" si="93"/>
        <v>2493228</v>
      </c>
      <c r="M447" s="18"/>
      <c r="N447" s="44"/>
    </row>
    <row r="448" spans="1:14" ht="21" customHeight="1">
      <c r="A448" s="18" t="s">
        <v>500</v>
      </c>
      <c r="B448" s="18" t="s">
        <v>399</v>
      </c>
      <c r="C448" s="22">
        <v>4.16</v>
      </c>
      <c r="D448" s="21" t="s">
        <v>391</v>
      </c>
      <c r="E448" s="20">
        <v>0</v>
      </c>
      <c r="F448" s="20">
        <f>ROUND(E448*C448,0)</f>
        <v>0</v>
      </c>
      <c r="G448" s="20">
        <v>0</v>
      </c>
      <c r="H448" s="20">
        <f>ROUND(G448*C448,0)</f>
        <v>0</v>
      </c>
      <c r="I448" s="20">
        <v>23387.374299999999</v>
      </c>
      <c r="J448" s="20">
        <f>ROUND(I448*C448,0)</f>
        <v>97291</v>
      </c>
      <c r="K448" s="20">
        <f t="shared" si="93"/>
        <v>23387.374299999999</v>
      </c>
      <c r="L448" s="20">
        <f t="shared" si="93"/>
        <v>97291</v>
      </c>
      <c r="M448" s="18"/>
      <c r="N448" s="44"/>
    </row>
    <row r="449" spans="1:14" ht="21" customHeight="1">
      <c r="A449" s="18" t="s">
        <v>501</v>
      </c>
      <c r="B449" s="18" t="s">
        <v>401</v>
      </c>
      <c r="C449" s="22">
        <v>0.08</v>
      </c>
      <c r="D449" s="21" t="s">
        <v>391</v>
      </c>
      <c r="E449" s="20">
        <v>-424280</v>
      </c>
      <c r="F449" s="20">
        <f>ROUND(E449*C449,0)</f>
        <v>-33942</v>
      </c>
      <c r="G449" s="20">
        <v>0</v>
      </c>
      <c r="H449" s="20">
        <f>ROUND(G449*C449,0)</f>
        <v>0</v>
      </c>
      <c r="I449" s="20">
        <v>0</v>
      </c>
      <c r="J449" s="20">
        <f>ROUND(I449*C449,0)</f>
        <v>0</v>
      </c>
      <c r="K449" s="20">
        <f t="shared" si="93"/>
        <v>-424280</v>
      </c>
      <c r="L449" s="20">
        <f t="shared" si="93"/>
        <v>-33942</v>
      </c>
      <c r="M449" s="18"/>
      <c r="N449" s="44"/>
    </row>
    <row r="450" spans="1:14" ht="21" customHeight="1">
      <c r="A450" s="18" t="s">
        <v>612</v>
      </c>
      <c r="B450" s="18"/>
      <c r="C450" s="19"/>
      <c r="D450" s="19"/>
      <c r="E450" s="19">
        <v>0</v>
      </c>
      <c r="F450" s="19"/>
      <c r="G450" s="19">
        <v>0</v>
      </c>
      <c r="H450" s="19"/>
      <c r="I450" s="19">
        <v>0</v>
      </c>
      <c r="J450" s="19"/>
      <c r="K450" s="19"/>
      <c r="L450" s="19"/>
      <c r="M450" s="19"/>
      <c r="N450" s="44"/>
    </row>
    <row r="451" spans="1:14" ht="21" customHeight="1">
      <c r="A451" s="18" t="s">
        <v>374</v>
      </c>
      <c r="B451" s="18" t="s">
        <v>375</v>
      </c>
      <c r="C451" s="20">
        <v>73</v>
      </c>
      <c r="D451" s="21" t="s">
        <v>376</v>
      </c>
      <c r="E451" s="20">
        <v>6320.7112999999999</v>
      </c>
      <c r="F451" s="20">
        <f>ROUND(E451*C451,0)</f>
        <v>461412</v>
      </c>
      <c r="G451" s="20">
        <v>0</v>
      </c>
      <c r="H451" s="20">
        <f>ROUND(G451*C451,0)</f>
        <v>0</v>
      </c>
      <c r="I451" s="20">
        <v>0</v>
      </c>
      <c r="J451" s="20">
        <f>ROUND(I451*C451,0)</f>
        <v>0</v>
      </c>
      <c r="K451" s="20">
        <f>E451+G451+I451</f>
        <v>6320.7112999999999</v>
      </c>
      <c r="L451" s="20">
        <f>F451+H451+J451</f>
        <v>461412</v>
      </c>
      <c r="M451" s="18"/>
      <c r="N451" s="44"/>
    </row>
    <row r="452" spans="1:14" ht="21" customHeight="1">
      <c r="A452" s="18" t="s">
        <v>497</v>
      </c>
      <c r="B452" s="18" t="s">
        <v>380</v>
      </c>
      <c r="C452" s="20">
        <v>73</v>
      </c>
      <c r="D452" s="21" t="s">
        <v>376</v>
      </c>
      <c r="E452" s="20">
        <v>0</v>
      </c>
      <c r="F452" s="20">
        <f>ROUND(E452*C452,0)</f>
        <v>0</v>
      </c>
      <c r="G452" s="20">
        <v>0</v>
      </c>
      <c r="H452" s="20">
        <f>ROUND(G452*C452,0)</f>
        <v>0</v>
      </c>
      <c r="I452" s="20">
        <v>1168.8914</v>
      </c>
      <c r="J452" s="20">
        <f>ROUND(I452*C452,0)</f>
        <v>85329</v>
      </c>
      <c r="K452" s="20">
        <f>E452+G452+I452</f>
        <v>1168.8914</v>
      </c>
      <c r="L452" s="20">
        <f>F452+H452+J452</f>
        <v>85329</v>
      </c>
      <c r="M452" s="18"/>
      <c r="N452" s="44"/>
    </row>
    <row r="453" spans="1:14" ht="21" customHeight="1">
      <c r="A453" s="18" t="s">
        <v>613</v>
      </c>
      <c r="B453" s="18"/>
      <c r="C453" s="19"/>
      <c r="D453" s="19"/>
      <c r="E453" s="19">
        <v>0</v>
      </c>
      <c r="F453" s="19"/>
      <c r="G453" s="19">
        <v>0</v>
      </c>
      <c r="H453" s="19"/>
      <c r="I453" s="19">
        <v>0</v>
      </c>
      <c r="J453" s="19"/>
      <c r="K453" s="19"/>
      <c r="L453" s="19"/>
      <c r="M453" s="19"/>
      <c r="N453" s="44"/>
    </row>
    <row r="454" spans="1:14" ht="21" customHeight="1">
      <c r="A454" s="18" t="s">
        <v>382</v>
      </c>
      <c r="B454" s="18" t="s">
        <v>383</v>
      </c>
      <c r="C454" s="20">
        <v>4</v>
      </c>
      <c r="D454" s="21" t="s">
        <v>99</v>
      </c>
      <c r="E454" s="20">
        <v>27853.982</v>
      </c>
      <c r="F454" s="20">
        <f>ROUND(E454*C454,0)</f>
        <v>111416</v>
      </c>
      <c r="G454" s="20">
        <v>0</v>
      </c>
      <c r="H454" s="20">
        <f>ROUND(G454*C454,0)</f>
        <v>0</v>
      </c>
      <c r="I454" s="20">
        <v>0</v>
      </c>
      <c r="J454" s="20">
        <f>ROUND(I454*C454,0)</f>
        <v>0</v>
      </c>
      <c r="K454" s="20">
        <f t="shared" ref="K454:L458" si="94">E454+G454+I454</f>
        <v>27853.982</v>
      </c>
      <c r="L454" s="20">
        <f t="shared" si="94"/>
        <v>111416</v>
      </c>
      <c r="M454" s="18"/>
      <c r="N454" s="44"/>
    </row>
    <row r="455" spans="1:14" ht="21" customHeight="1">
      <c r="A455" s="18" t="s">
        <v>384</v>
      </c>
      <c r="B455" s="18" t="s">
        <v>385</v>
      </c>
      <c r="C455" s="20">
        <v>5</v>
      </c>
      <c r="D455" s="21" t="s">
        <v>99</v>
      </c>
      <c r="E455" s="20">
        <v>27853.982</v>
      </c>
      <c r="F455" s="20">
        <f>ROUND(E455*C455,0)</f>
        <v>139270</v>
      </c>
      <c r="G455" s="20">
        <v>0</v>
      </c>
      <c r="H455" s="20">
        <f>ROUND(G455*C455,0)</f>
        <v>0</v>
      </c>
      <c r="I455" s="20">
        <v>0</v>
      </c>
      <c r="J455" s="20">
        <f>ROUND(I455*C455,0)</f>
        <v>0</v>
      </c>
      <c r="K455" s="20">
        <f t="shared" si="94"/>
        <v>27853.982</v>
      </c>
      <c r="L455" s="20">
        <f t="shared" si="94"/>
        <v>139270</v>
      </c>
      <c r="M455" s="18"/>
      <c r="N455" s="44"/>
    </row>
    <row r="456" spans="1:14" ht="21" customHeight="1">
      <c r="A456" s="18" t="s">
        <v>614</v>
      </c>
      <c r="B456" s="18" t="s">
        <v>615</v>
      </c>
      <c r="C456" s="20">
        <v>1</v>
      </c>
      <c r="D456" s="21" t="s">
        <v>99</v>
      </c>
      <c r="E456" s="20">
        <v>27853.982</v>
      </c>
      <c r="F456" s="20">
        <f>ROUND(E456*C456,0)</f>
        <v>27854</v>
      </c>
      <c r="G456" s="20">
        <v>0</v>
      </c>
      <c r="H456" s="20">
        <f>ROUND(G456*C456,0)</f>
        <v>0</v>
      </c>
      <c r="I456" s="20">
        <v>0</v>
      </c>
      <c r="J456" s="20">
        <f>ROUND(I456*C456,0)</f>
        <v>0</v>
      </c>
      <c r="K456" s="20">
        <f t="shared" si="94"/>
        <v>27853.982</v>
      </c>
      <c r="L456" s="20">
        <f t="shared" si="94"/>
        <v>27854</v>
      </c>
      <c r="M456" s="18"/>
      <c r="N456" s="44"/>
    </row>
    <row r="457" spans="1:14" ht="21" customHeight="1">
      <c r="A457" s="18" t="s">
        <v>616</v>
      </c>
      <c r="B457" s="18" t="s">
        <v>617</v>
      </c>
      <c r="C457" s="20">
        <v>5</v>
      </c>
      <c r="D457" s="21" t="s">
        <v>99</v>
      </c>
      <c r="E457" s="20">
        <v>19283.525999999998</v>
      </c>
      <c r="F457" s="20">
        <f>ROUND(E457*C457,0)</f>
        <v>96418</v>
      </c>
      <c r="G457" s="20">
        <v>0</v>
      </c>
      <c r="H457" s="20">
        <f>ROUND(G457*C457,0)</f>
        <v>0</v>
      </c>
      <c r="I457" s="20">
        <v>0</v>
      </c>
      <c r="J457" s="20">
        <f>ROUND(I457*C457,0)</f>
        <v>0</v>
      </c>
      <c r="K457" s="20">
        <f t="shared" si="94"/>
        <v>19283.525999999998</v>
      </c>
      <c r="L457" s="20">
        <f t="shared" si="94"/>
        <v>96418</v>
      </c>
      <c r="M457" s="18"/>
      <c r="N457" s="44"/>
    </row>
    <row r="458" spans="1:14" ht="21" customHeight="1">
      <c r="A458" s="18" t="s">
        <v>618</v>
      </c>
      <c r="B458" s="18" t="s">
        <v>387</v>
      </c>
      <c r="C458" s="20">
        <v>1</v>
      </c>
      <c r="D458" s="21" t="s">
        <v>99</v>
      </c>
      <c r="E458" s="20">
        <v>19283.525999999998</v>
      </c>
      <c r="F458" s="20">
        <f>ROUND(E458*C458,0)</f>
        <v>19284</v>
      </c>
      <c r="G458" s="20">
        <v>0</v>
      </c>
      <c r="H458" s="20">
        <f>ROUND(G458*C458,0)</f>
        <v>0</v>
      </c>
      <c r="I458" s="20">
        <v>0</v>
      </c>
      <c r="J458" s="20">
        <f>ROUND(I458*C458,0)</f>
        <v>0</v>
      </c>
      <c r="K458" s="20">
        <f t="shared" si="94"/>
        <v>19283.525999999998</v>
      </c>
      <c r="L458" s="20">
        <f t="shared" si="94"/>
        <v>19284</v>
      </c>
      <c r="M458" s="18"/>
      <c r="N458" s="44"/>
    </row>
    <row r="459" spans="1:14" ht="21" customHeight="1">
      <c r="A459" s="18" t="s">
        <v>619</v>
      </c>
      <c r="B459" s="18"/>
      <c r="C459" s="19"/>
      <c r="D459" s="19"/>
      <c r="E459" s="19">
        <v>0</v>
      </c>
      <c r="F459" s="19"/>
      <c r="G459" s="19">
        <v>0</v>
      </c>
      <c r="H459" s="19"/>
      <c r="I459" s="19">
        <v>0</v>
      </c>
      <c r="J459" s="19"/>
      <c r="K459" s="19"/>
      <c r="L459" s="19"/>
      <c r="M459" s="19"/>
      <c r="N459" s="44"/>
    </row>
    <row r="460" spans="1:14" ht="21" customHeight="1">
      <c r="A460" s="18" t="s">
        <v>620</v>
      </c>
      <c r="B460" s="18" t="s">
        <v>621</v>
      </c>
      <c r="C460" s="20">
        <v>24</v>
      </c>
      <c r="D460" s="21" t="s">
        <v>368</v>
      </c>
      <c r="E460" s="20">
        <v>253899.75899999999</v>
      </c>
      <c r="F460" s="20">
        <f>ROUND(E460*C460,0)</f>
        <v>6093594</v>
      </c>
      <c r="G460" s="20">
        <v>0</v>
      </c>
      <c r="H460" s="20">
        <f>ROUND(G460*C460,0)</f>
        <v>0</v>
      </c>
      <c r="I460" s="20">
        <v>0</v>
      </c>
      <c r="J460" s="20">
        <f>ROUND(I460*C460,0)</f>
        <v>0</v>
      </c>
      <c r="K460" s="20">
        <f t="shared" ref="K460:L463" si="95">E460+G460+I460</f>
        <v>253899.75899999999</v>
      </c>
      <c r="L460" s="20">
        <f t="shared" si="95"/>
        <v>6093594</v>
      </c>
      <c r="M460" s="18"/>
      <c r="N460" s="44"/>
    </row>
    <row r="461" spans="1:14" ht="21" customHeight="1">
      <c r="A461" s="18" t="s">
        <v>622</v>
      </c>
      <c r="B461" s="18" t="s">
        <v>623</v>
      </c>
      <c r="C461" s="20">
        <v>135</v>
      </c>
      <c r="D461" s="21" t="s">
        <v>368</v>
      </c>
      <c r="E461" s="20">
        <v>392098.36199999996</v>
      </c>
      <c r="F461" s="20">
        <f>ROUND(E461*C461,0)</f>
        <v>52933279</v>
      </c>
      <c r="G461" s="20">
        <v>0</v>
      </c>
      <c r="H461" s="20">
        <f>ROUND(G461*C461,0)</f>
        <v>0</v>
      </c>
      <c r="I461" s="20">
        <v>0</v>
      </c>
      <c r="J461" s="20">
        <f>ROUND(I461*C461,0)</f>
        <v>0</v>
      </c>
      <c r="K461" s="20">
        <f t="shared" si="95"/>
        <v>392098.36199999996</v>
      </c>
      <c r="L461" s="20">
        <f t="shared" si="95"/>
        <v>52933279</v>
      </c>
      <c r="M461" s="18"/>
      <c r="N461" s="44"/>
    </row>
    <row r="462" spans="1:14" ht="21" customHeight="1">
      <c r="A462" s="18" t="s">
        <v>624</v>
      </c>
      <c r="B462" s="18" t="s">
        <v>625</v>
      </c>
      <c r="C462" s="20">
        <v>1977</v>
      </c>
      <c r="D462" s="21" t="s">
        <v>626</v>
      </c>
      <c r="E462" s="20">
        <v>3749.5744999999997</v>
      </c>
      <c r="F462" s="20">
        <f>ROUND(E462*C462,0)</f>
        <v>7412909</v>
      </c>
      <c r="G462" s="20">
        <v>0</v>
      </c>
      <c r="H462" s="20">
        <f>ROUND(G462*C462,0)</f>
        <v>0</v>
      </c>
      <c r="I462" s="20">
        <v>0</v>
      </c>
      <c r="J462" s="20">
        <f>ROUND(I462*C462,0)</f>
        <v>0</v>
      </c>
      <c r="K462" s="20">
        <f t="shared" si="95"/>
        <v>3749.5744999999997</v>
      </c>
      <c r="L462" s="20">
        <f t="shared" si="95"/>
        <v>7412909</v>
      </c>
      <c r="M462" s="18"/>
      <c r="N462" s="44"/>
    </row>
    <row r="463" spans="1:14" ht="21" customHeight="1">
      <c r="A463" s="18" t="s">
        <v>627</v>
      </c>
      <c r="B463" s="18" t="s">
        <v>628</v>
      </c>
      <c r="C463" s="20">
        <v>46</v>
      </c>
      <c r="D463" s="21" t="s">
        <v>629</v>
      </c>
      <c r="E463" s="20">
        <v>0</v>
      </c>
      <c r="F463" s="20">
        <f>ROUND(E463*C463,0)</f>
        <v>0</v>
      </c>
      <c r="G463" s="20">
        <v>0</v>
      </c>
      <c r="H463" s="20">
        <f>ROUND(G463*C463,0)</f>
        <v>0</v>
      </c>
      <c r="I463" s="20">
        <v>23387.374299999999</v>
      </c>
      <c r="J463" s="20">
        <f>ROUND(I463*C463,0)</f>
        <v>1075819</v>
      </c>
      <c r="K463" s="20">
        <f t="shared" si="95"/>
        <v>23387.374299999999</v>
      </c>
      <c r="L463" s="20">
        <f t="shared" si="95"/>
        <v>1075819</v>
      </c>
      <c r="M463" s="18"/>
      <c r="N463" s="44"/>
    </row>
    <row r="464" spans="1:14" ht="21" customHeight="1">
      <c r="A464" s="18" t="s">
        <v>630</v>
      </c>
      <c r="B464" s="18"/>
      <c r="C464" s="19"/>
      <c r="D464" s="19"/>
      <c r="E464" s="19">
        <v>0</v>
      </c>
      <c r="F464" s="19"/>
      <c r="G464" s="19">
        <v>0</v>
      </c>
      <c r="H464" s="19"/>
      <c r="I464" s="19">
        <v>0</v>
      </c>
      <c r="J464" s="19"/>
      <c r="K464" s="19"/>
      <c r="L464" s="19"/>
      <c r="M464" s="19"/>
      <c r="N464" s="44"/>
    </row>
    <row r="465" spans="1:14" ht="21" customHeight="1">
      <c r="A465" s="18" t="s">
        <v>631</v>
      </c>
      <c r="B465" s="18" t="s">
        <v>632</v>
      </c>
      <c r="C465" s="20">
        <v>39</v>
      </c>
      <c r="D465" s="21" t="s">
        <v>231</v>
      </c>
      <c r="E465" s="20">
        <v>4285.2280000000001</v>
      </c>
      <c r="F465" s="20">
        <f t="shared" ref="F465:F474" si="96">ROUND(E465*C465,0)</f>
        <v>167124</v>
      </c>
      <c r="G465" s="20">
        <v>0</v>
      </c>
      <c r="H465" s="20">
        <f t="shared" ref="H465:H474" si="97">ROUND(G465*C465,0)</f>
        <v>0</v>
      </c>
      <c r="I465" s="20">
        <v>0</v>
      </c>
      <c r="J465" s="20">
        <f t="shared" ref="J465:J474" si="98">ROUND(I465*C465,0)</f>
        <v>0</v>
      </c>
      <c r="K465" s="20">
        <f t="shared" ref="K465:K474" si="99">E465+G465+I465</f>
        <v>4285.2280000000001</v>
      </c>
      <c r="L465" s="20">
        <f t="shared" ref="L465:L474" si="100">F465+H465+J465</f>
        <v>167124</v>
      </c>
      <c r="M465" s="18"/>
      <c r="N465" s="44"/>
    </row>
    <row r="466" spans="1:14" ht="21" customHeight="1">
      <c r="A466" s="18" t="s">
        <v>633</v>
      </c>
      <c r="B466" s="18" t="s">
        <v>363</v>
      </c>
      <c r="C466" s="20">
        <v>51</v>
      </c>
      <c r="D466" s="21" t="s">
        <v>231</v>
      </c>
      <c r="E466" s="20">
        <v>7499.1489999999994</v>
      </c>
      <c r="F466" s="20">
        <f t="shared" si="96"/>
        <v>382457</v>
      </c>
      <c r="G466" s="20">
        <v>0</v>
      </c>
      <c r="H466" s="20">
        <f t="shared" si="97"/>
        <v>0</v>
      </c>
      <c r="I466" s="20">
        <v>0</v>
      </c>
      <c r="J466" s="20">
        <f t="shared" si="98"/>
        <v>0</v>
      </c>
      <c r="K466" s="20">
        <f t="shared" si="99"/>
        <v>7499.1489999999994</v>
      </c>
      <c r="L466" s="20">
        <f t="shared" si="100"/>
        <v>382457</v>
      </c>
      <c r="M466" s="18"/>
      <c r="N466" s="44"/>
    </row>
    <row r="467" spans="1:14" ht="21" customHeight="1">
      <c r="A467" s="18" t="s">
        <v>634</v>
      </c>
      <c r="B467" s="18" t="s">
        <v>635</v>
      </c>
      <c r="C467" s="20">
        <v>3</v>
      </c>
      <c r="D467" s="21" t="s">
        <v>365</v>
      </c>
      <c r="E467" s="20">
        <v>19283.525999999998</v>
      </c>
      <c r="F467" s="20">
        <f t="shared" si="96"/>
        <v>57851</v>
      </c>
      <c r="G467" s="20">
        <v>0</v>
      </c>
      <c r="H467" s="20">
        <f t="shared" si="97"/>
        <v>0</v>
      </c>
      <c r="I467" s="20">
        <v>0</v>
      </c>
      <c r="J467" s="20">
        <f t="shared" si="98"/>
        <v>0</v>
      </c>
      <c r="K467" s="20">
        <f t="shared" si="99"/>
        <v>19283.525999999998</v>
      </c>
      <c r="L467" s="20">
        <f t="shared" si="100"/>
        <v>57851</v>
      </c>
      <c r="M467" s="18"/>
      <c r="N467" s="44"/>
    </row>
    <row r="468" spans="1:14" ht="21" customHeight="1">
      <c r="A468" s="18" t="s">
        <v>636</v>
      </c>
      <c r="B468" s="18" t="s">
        <v>637</v>
      </c>
      <c r="C468" s="20">
        <v>8</v>
      </c>
      <c r="D468" s="21" t="s">
        <v>365</v>
      </c>
      <c r="E468" s="20">
        <v>44994.894</v>
      </c>
      <c r="F468" s="20">
        <f t="shared" si="96"/>
        <v>359959</v>
      </c>
      <c r="G468" s="20">
        <v>0</v>
      </c>
      <c r="H468" s="20">
        <f t="shared" si="97"/>
        <v>0</v>
      </c>
      <c r="I468" s="20">
        <v>0</v>
      </c>
      <c r="J468" s="20">
        <f t="shared" si="98"/>
        <v>0</v>
      </c>
      <c r="K468" s="20">
        <f t="shared" si="99"/>
        <v>44994.894</v>
      </c>
      <c r="L468" s="20">
        <f t="shared" si="100"/>
        <v>359959</v>
      </c>
      <c r="M468" s="18"/>
      <c r="N468" s="44"/>
    </row>
    <row r="469" spans="1:14" ht="21" customHeight="1">
      <c r="A469" s="18" t="s">
        <v>638</v>
      </c>
      <c r="B469" s="18" t="s">
        <v>632</v>
      </c>
      <c r="C469" s="20">
        <v>3</v>
      </c>
      <c r="D469" s="21" t="s">
        <v>365</v>
      </c>
      <c r="E469" s="20">
        <v>13926.991</v>
      </c>
      <c r="F469" s="20">
        <f t="shared" si="96"/>
        <v>41781</v>
      </c>
      <c r="G469" s="20">
        <v>0</v>
      </c>
      <c r="H469" s="20">
        <f t="shared" si="97"/>
        <v>0</v>
      </c>
      <c r="I469" s="20">
        <v>0</v>
      </c>
      <c r="J469" s="20">
        <f t="shared" si="98"/>
        <v>0</v>
      </c>
      <c r="K469" s="20">
        <f t="shared" si="99"/>
        <v>13926.991</v>
      </c>
      <c r="L469" s="20">
        <f t="shared" si="100"/>
        <v>41781</v>
      </c>
      <c r="M469" s="18"/>
      <c r="N469" s="44"/>
    </row>
    <row r="470" spans="1:14" ht="21" customHeight="1">
      <c r="A470" s="18" t="s">
        <v>639</v>
      </c>
      <c r="B470" s="18" t="s">
        <v>363</v>
      </c>
      <c r="C470" s="20">
        <v>8</v>
      </c>
      <c r="D470" s="21" t="s">
        <v>365</v>
      </c>
      <c r="E470" s="20">
        <v>26782.674999999999</v>
      </c>
      <c r="F470" s="20">
        <f t="shared" si="96"/>
        <v>214261</v>
      </c>
      <c r="G470" s="20">
        <v>0</v>
      </c>
      <c r="H470" s="20">
        <f t="shared" si="97"/>
        <v>0</v>
      </c>
      <c r="I470" s="20">
        <v>0</v>
      </c>
      <c r="J470" s="20">
        <f t="shared" si="98"/>
        <v>0</v>
      </c>
      <c r="K470" s="20">
        <f t="shared" si="99"/>
        <v>26782.674999999999</v>
      </c>
      <c r="L470" s="20">
        <f t="shared" si="100"/>
        <v>214261</v>
      </c>
      <c r="M470" s="18"/>
      <c r="N470" s="44"/>
    </row>
    <row r="471" spans="1:14" ht="21" customHeight="1">
      <c r="A471" s="18" t="s">
        <v>640</v>
      </c>
      <c r="B471" s="18" t="s">
        <v>632</v>
      </c>
      <c r="C471" s="20">
        <v>3</v>
      </c>
      <c r="D471" s="21" t="s">
        <v>365</v>
      </c>
      <c r="E471" s="20">
        <v>5356.5349999999999</v>
      </c>
      <c r="F471" s="20">
        <f t="shared" si="96"/>
        <v>16070</v>
      </c>
      <c r="G471" s="20">
        <v>0</v>
      </c>
      <c r="H471" s="20">
        <f t="shared" si="97"/>
        <v>0</v>
      </c>
      <c r="I471" s="20">
        <v>0</v>
      </c>
      <c r="J471" s="20">
        <f t="shared" si="98"/>
        <v>0</v>
      </c>
      <c r="K471" s="20">
        <f t="shared" si="99"/>
        <v>5356.5349999999999</v>
      </c>
      <c r="L471" s="20">
        <f t="shared" si="100"/>
        <v>16070</v>
      </c>
      <c r="M471" s="18"/>
      <c r="N471" s="44"/>
    </row>
    <row r="472" spans="1:14" ht="21" customHeight="1">
      <c r="A472" s="18" t="s">
        <v>641</v>
      </c>
      <c r="B472" s="18" t="s">
        <v>363</v>
      </c>
      <c r="C472" s="20">
        <v>8</v>
      </c>
      <c r="D472" s="21" t="s">
        <v>365</v>
      </c>
      <c r="E472" s="20">
        <v>12855.683999999999</v>
      </c>
      <c r="F472" s="20">
        <f t="shared" si="96"/>
        <v>102845</v>
      </c>
      <c r="G472" s="20">
        <v>0</v>
      </c>
      <c r="H472" s="20">
        <f t="shared" si="97"/>
        <v>0</v>
      </c>
      <c r="I472" s="20">
        <v>0</v>
      </c>
      <c r="J472" s="20">
        <f t="shared" si="98"/>
        <v>0</v>
      </c>
      <c r="K472" s="20">
        <f t="shared" si="99"/>
        <v>12855.683999999999</v>
      </c>
      <c r="L472" s="20">
        <f t="shared" si="100"/>
        <v>102845</v>
      </c>
      <c r="M472" s="18"/>
      <c r="N472" s="44"/>
    </row>
    <row r="473" spans="1:14" ht="21" customHeight="1">
      <c r="A473" s="18" t="s">
        <v>642</v>
      </c>
      <c r="B473" s="18" t="s">
        <v>632</v>
      </c>
      <c r="C473" s="20">
        <v>3</v>
      </c>
      <c r="D473" s="21" t="s">
        <v>365</v>
      </c>
      <c r="E473" s="20">
        <v>11784.377</v>
      </c>
      <c r="F473" s="20">
        <f t="shared" si="96"/>
        <v>35353</v>
      </c>
      <c r="G473" s="20">
        <v>0</v>
      </c>
      <c r="H473" s="20">
        <f t="shared" si="97"/>
        <v>0</v>
      </c>
      <c r="I473" s="20">
        <v>0</v>
      </c>
      <c r="J473" s="20">
        <f t="shared" si="98"/>
        <v>0</v>
      </c>
      <c r="K473" s="20">
        <f t="shared" si="99"/>
        <v>11784.377</v>
      </c>
      <c r="L473" s="20">
        <f t="shared" si="100"/>
        <v>35353</v>
      </c>
      <c r="M473" s="18"/>
      <c r="N473" s="44"/>
    </row>
    <row r="474" spans="1:14" ht="21" customHeight="1">
      <c r="A474" s="18" t="s">
        <v>643</v>
      </c>
      <c r="B474" s="18" t="s">
        <v>363</v>
      </c>
      <c r="C474" s="20">
        <v>8</v>
      </c>
      <c r="D474" s="21" t="s">
        <v>365</v>
      </c>
      <c r="E474" s="20">
        <v>21426.14</v>
      </c>
      <c r="F474" s="20">
        <f t="shared" si="96"/>
        <v>171409</v>
      </c>
      <c r="G474" s="20">
        <v>0</v>
      </c>
      <c r="H474" s="20">
        <f t="shared" si="97"/>
        <v>0</v>
      </c>
      <c r="I474" s="20">
        <v>0</v>
      </c>
      <c r="J474" s="20">
        <f t="shared" si="98"/>
        <v>0</v>
      </c>
      <c r="K474" s="20">
        <f t="shared" si="99"/>
        <v>21426.14</v>
      </c>
      <c r="L474" s="20">
        <f t="shared" si="100"/>
        <v>171409</v>
      </c>
      <c r="M474" s="18"/>
      <c r="N474" s="44"/>
    </row>
    <row r="475" spans="1:14" ht="21" customHeight="1">
      <c r="A475" s="18" t="s">
        <v>644</v>
      </c>
      <c r="B475" s="18"/>
      <c r="C475" s="19"/>
      <c r="D475" s="19"/>
      <c r="E475" s="19">
        <v>0</v>
      </c>
      <c r="F475" s="19"/>
      <c r="G475" s="19">
        <v>0</v>
      </c>
      <c r="H475" s="19"/>
      <c r="I475" s="19">
        <v>0</v>
      </c>
      <c r="J475" s="19"/>
      <c r="K475" s="19"/>
      <c r="L475" s="19"/>
      <c r="M475" s="19"/>
      <c r="N475" s="44"/>
    </row>
    <row r="476" spans="1:14" ht="21" customHeight="1">
      <c r="A476" s="18" t="s">
        <v>645</v>
      </c>
      <c r="B476" s="18" t="s">
        <v>555</v>
      </c>
      <c r="C476" s="20">
        <v>11</v>
      </c>
      <c r="D476" s="21" t="s">
        <v>365</v>
      </c>
      <c r="E476" s="20">
        <v>181050.883</v>
      </c>
      <c r="F476" s="20">
        <f>ROUND(E476*C476,0)</f>
        <v>1991560</v>
      </c>
      <c r="G476" s="20">
        <v>0</v>
      </c>
      <c r="H476" s="20">
        <f>ROUND(G476*C476,0)</f>
        <v>0</v>
      </c>
      <c r="I476" s="20">
        <v>0</v>
      </c>
      <c r="J476" s="20">
        <f>ROUND(I476*C476,0)</f>
        <v>0</v>
      </c>
      <c r="K476" s="20">
        <f t="shared" ref="K476:L478" si="101">E476+G476+I476</f>
        <v>181050.883</v>
      </c>
      <c r="L476" s="20">
        <f t="shared" si="101"/>
        <v>1991560</v>
      </c>
      <c r="M476" s="18"/>
      <c r="N476" s="44"/>
    </row>
    <row r="477" spans="1:14" ht="21" customHeight="1">
      <c r="A477" s="18" t="s">
        <v>646</v>
      </c>
      <c r="B477" s="18" t="s">
        <v>557</v>
      </c>
      <c r="C477" s="20">
        <v>8</v>
      </c>
      <c r="D477" s="21" t="s">
        <v>365</v>
      </c>
      <c r="E477" s="20">
        <v>356745.23099999997</v>
      </c>
      <c r="F477" s="20">
        <f>ROUND(E477*C477,0)</f>
        <v>2853962</v>
      </c>
      <c r="G477" s="20">
        <v>0</v>
      </c>
      <c r="H477" s="20">
        <f>ROUND(G477*C477,0)</f>
        <v>0</v>
      </c>
      <c r="I477" s="20">
        <v>0</v>
      </c>
      <c r="J477" s="20">
        <f>ROUND(I477*C477,0)</f>
        <v>0</v>
      </c>
      <c r="K477" s="20">
        <f t="shared" si="101"/>
        <v>356745.23099999997</v>
      </c>
      <c r="L477" s="20">
        <f t="shared" si="101"/>
        <v>2853962</v>
      </c>
      <c r="M477" s="18"/>
      <c r="N477" s="44"/>
    </row>
    <row r="478" spans="1:14" ht="21" customHeight="1">
      <c r="A478" s="18" t="s">
        <v>647</v>
      </c>
      <c r="B478" s="18" t="s">
        <v>648</v>
      </c>
      <c r="C478" s="20">
        <v>1</v>
      </c>
      <c r="D478" s="21" t="s">
        <v>365</v>
      </c>
      <c r="E478" s="20">
        <v>232473.61900000001</v>
      </c>
      <c r="F478" s="20">
        <f>ROUND(E478*C478,0)</f>
        <v>232474</v>
      </c>
      <c r="G478" s="20">
        <v>0</v>
      </c>
      <c r="H478" s="20">
        <f>ROUND(G478*C478,0)</f>
        <v>0</v>
      </c>
      <c r="I478" s="20">
        <v>0</v>
      </c>
      <c r="J478" s="20">
        <f>ROUND(I478*C478,0)</f>
        <v>0</v>
      </c>
      <c r="K478" s="20">
        <f t="shared" si="101"/>
        <v>232473.61900000001</v>
      </c>
      <c r="L478" s="20">
        <f t="shared" si="101"/>
        <v>232474</v>
      </c>
      <c r="M478" s="18"/>
      <c r="N478" s="44"/>
    </row>
    <row r="479" spans="1:14" ht="21" customHeight="1">
      <c r="A479" s="18" t="s">
        <v>649</v>
      </c>
      <c r="B479" s="18"/>
      <c r="C479" s="19"/>
      <c r="D479" s="19"/>
      <c r="E479" s="19">
        <v>0</v>
      </c>
      <c r="F479" s="19"/>
      <c r="G479" s="19">
        <v>0</v>
      </c>
      <c r="H479" s="19"/>
      <c r="I479" s="19">
        <v>0</v>
      </c>
      <c r="J479" s="19"/>
      <c r="K479" s="19"/>
      <c r="L479" s="19"/>
      <c r="M479" s="19"/>
      <c r="N479" s="44"/>
    </row>
    <row r="480" spans="1:14" ht="21" customHeight="1">
      <c r="A480" s="18" t="s">
        <v>438</v>
      </c>
      <c r="B480" s="18" t="s">
        <v>650</v>
      </c>
      <c r="C480" s="20">
        <v>9</v>
      </c>
      <c r="D480" s="21" t="s">
        <v>440</v>
      </c>
      <c r="E480" s="20">
        <v>466018.54499999998</v>
      </c>
      <c r="F480" s="20">
        <f>ROUND(E480*C480,0)</f>
        <v>4194167</v>
      </c>
      <c r="G480" s="20">
        <v>0</v>
      </c>
      <c r="H480" s="20">
        <f>ROUND(G480*C480,0)</f>
        <v>0</v>
      </c>
      <c r="I480" s="20">
        <v>0</v>
      </c>
      <c r="J480" s="20">
        <f>ROUND(I480*C480,0)</f>
        <v>0</v>
      </c>
      <c r="K480" s="20">
        <f>E480+G480+I480</f>
        <v>466018.54499999998</v>
      </c>
      <c r="L480" s="20">
        <f>F480+H480+J480</f>
        <v>4194167</v>
      </c>
      <c r="M480" s="18"/>
      <c r="N480" s="44"/>
    </row>
    <row r="481" spans="1:14" ht="21" customHeight="1">
      <c r="A481" s="18"/>
      <c r="B481" s="18"/>
      <c r="C481" s="20"/>
      <c r="D481" s="21"/>
      <c r="E481" s="20"/>
      <c r="F481" s="20"/>
      <c r="G481" s="20"/>
      <c r="H481" s="20"/>
      <c r="I481" s="20"/>
      <c r="J481" s="20"/>
      <c r="K481" s="20"/>
      <c r="L481" s="20"/>
      <c r="M481" s="18"/>
      <c r="N481" s="44"/>
    </row>
    <row r="482" spans="1:14" ht="21" customHeight="1">
      <c r="A482" s="14" t="s">
        <v>651</v>
      </c>
      <c r="B482" s="15"/>
      <c r="C482" s="16"/>
      <c r="D482" s="16"/>
      <c r="E482" s="16"/>
      <c r="F482" s="17">
        <f>SUM(F485:F578)</f>
        <v>579476922</v>
      </c>
      <c r="G482" s="16"/>
      <c r="H482" s="17">
        <f>SUM(H485:H578)</f>
        <v>135390547</v>
      </c>
      <c r="I482" s="16"/>
      <c r="J482" s="17">
        <f>SUM(J485:J578)</f>
        <v>121868378</v>
      </c>
      <c r="K482" s="16"/>
      <c r="L482" s="17">
        <f>F482+H482+J482</f>
        <v>836735847</v>
      </c>
      <c r="M482" s="16"/>
    </row>
    <row r="483" spans="1:14" ht="21" customHeight="1">
      <c r="A483" s="18" t="s">
        <v>211</v>
      </c>
      <c r="B483" s="18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</row>
    <row r="484" spans="1:14" ht="21" customHeight="1">
      <c r="A484" s="18" t="s">
        <v>212</v>
      </c>
      <c r="B484" s="18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</row>
    <row r="485" spans="1:14" ht="21" customHeight="1">
      <c r="A485" s="18" t="s">
        <v>652</v>
      </c>
      <c r="B485" s="18" t="s">
        <v>443</v>
      </c>
      <c r="C485" s="20">
        <v>66</v>
      </c>
      <c r="D485" s="21" t="s">
        <v>99</v>
      </c>
      <c r="E485" s="20">
        <v>0</v>
      </c>
      <c r="F485" s="20">
        <f>ROUND(E485*C485,0)</f>
        <v>0</v>
      </c>
      <c r="G485" s="20">
        <v>2249.7446999999997</v>
      </c>
      <c r="H485" s="20">
        <f>ROUND(G485*C485,0)</f>
        <v>148483</v>
      </c>
      <c r="I485" s="20">
        <v>4093.2412999999997</v>
      </c>
      <c r="J485" s="20">
        <f>ROUND(I485*C485,0)</f>
        <v>270154</v>
      </c>
      <c r="K485" s="20">
        <f>E485+G485+I485</f>
        <v>6342.985999999999</v>
      </c>
      <c r="L485" s="20">
        <f>F485+H485+J485</f>
        <v>418637</v>
      </c>
      <c r="M485" s="18"/>
      <c r="N485" s="44"/>
    </row>
    <row r="486" spans="1:14" ht="21" customHeight="1">
      <c r="A486" s="18" t="s">
        <v>218</v>
      </c>
      <c r="B486" s="18"/>
      <c r="C486" s="19"/>
      <c r="D486" s="19"/>
      <c r="E486" s="19">
        <v>0</v>
      </c>
      <c r="F486" s="19"/>
      <c r="G486" s="19">
        <v>0</v>
      </c>
      <c r="H486" s="19"/>
      <c r="I486" s="19">
        <v>0</v>
      </c>
      <c r="J486" s="19"/>
      <c r="K486" s="19"/>
      <c r="L486" s="19"/>
      <c r="M486" s="19"/>
      <c r="N486" s="44"/>
    </row>
    <row r="487" spans="1:14" ht="21" customHeight="1">
      <c r="A487" s="18" t="s">
        <v>219</v>
      </c>
      <c r="B487" s="18" t="s">
        <v>653</v>
      </c>
      <c r="C487" s="20">
        <v>60</v>
      </c>
      <c r="D487" s="21" t="s">
        <v>99</v>
      </c>
      <c r="E487" s="20">
        <v>0</v>
      </c>
      <c r="F487" s="20">
        <f>ROUND(E487*C487,0)</f>
        <v>0</v>
      </c>
      <c r="G487" s="20">
        <v>2678.2674999999999</v>
      </c>
      <c r="H487" s="20">
        <f>ROUND(G487*C487,0)</f>
        <v>160696</v>
      </c>
      <c r="I487" s="20">
        <v>5262.1327000000001</v>
      </c>
      <c r="J487" s="20">
        <f>ROUND(I487*C487,0)</f>
        <v>315728</v>
      </c>
      <c r="K487" s="20">
        <f>E487+G487+I487</f>
        <v>7940.4002</v>
      </c>
      <c r="L487" s="20">
        <f>F487+H487+J487</f>
        <v>476424</v>
      </c>
      <c r="M487" s="18"/>
      <c r="N487" s="44"/>
    </row>
    <row r="488" spans="1:14" ht="21" customHeight="1">
      <c r="A488" s="18" t="s">
        <v>224</v>
      </c>
      <c r="B488" s="18"/>
      <c r="C488" s="19"/>
      <c r="D488" s="19"/>
      <c r="E488" s="19">
        <v>0</v>
      </c>
      <c r="F488" s="19"/>
      <c r="G488" s="19">
        <v>0</v>
      </c>
      <c r="H488" s="19"/>
      <c r="I488" s="19">
        <v>0</v>
      </c>
      <c r="J488" s="19"/>
      <c r="K488" s="19"/>
      <c r="L488" s="19"/>
      <c r="M488" s="19"/>
      <c r="N488" s="44"/>
    </row>
    <row r="489" spans="1:14" ht="21" customHeight="1">
      <c r="A489" s="18" t="s">
        <v>225</v>
      </c>
      <c r="B489" s="18" t="s">
        <v>445</v>
      </c>
      <c r="C489" s="20">
        <v>7</v>
      </c>
      <c r="D489" s="21" t="s">
        <v>99</v>
      </c>
      <c r="E489" s="20">
        <v>0</v>
      </c>
      <c r="F489" s="20">
        <f>ROUND(E489*C489,0)</f>
        <v>0</v>
      </c>
      <c r="G489" s="20">
        <v>0</v>
      </c>
      <c r="H489" s="20">
        <f>ROUND(G489*C489,0)</f>
        <v>0</v>
      </c>
      <c r="I489" s="20">
        <v>11693.156799999999</v>
      </c>
      <c r="J489" s="20">
        <f>ROUND(I489*C489,0)</f>
        <v>81852</v>
      </c>
      <c r="K489" s="20">
        <f>E489+G489+I489</f>
        <v>11693.156799999999</v>
      </c>
      <c r="L489" s="20">
        <f>F489+H489+J489</f>
        <v>81852</v>
      </c>
      <c r="M489" s="18"/>
      <c r="N489" s="44"/>
    </row>
    <row r="490" spans="1:14" ht="21" customHeight="1">
      <c r="A490" s="18" t="s">
        <v>654</v>
      </c>
      <c r="B490" s="18"/>
      <c r="C490" s="19"/>
      <c r="D490" s="19"/>
      <c r="E490" s="19">
        <v>0</v>
      </c>
      <c r="F490" s="19"/>
      <c r="G490" s="19">
        <v>0</v>
      </c>
      <c r="H490" s="19"/>
      <c r="I490" s="19">
        <v>0</v>
      </c>
      <c r="J490" s="19"/>
      <c r="K490" s="19"/>
      <c r="L490" s="19"/>
      <c r="M490" s="19"/>
      <c r="N490" s="44"/>
    </row>
    <row r="491" spans="1:14" ht="21" customHeight="1">
      <c r="A491" s="18" t="s">
        <v>655</v>
      </c>
      <c r="B491" s="18" t="s">
        <v>656</v>
      </c>
      <c r="C491" s="20">
        <v>6959</v>
      </c>
      <c r="D491" s="21" t="s">
        <v>93</v>
      </c>
      <c r="E491" s="20">
        <v>0</v>
      </c>
      <c r="F491" s="20">
        <f t="shared" ref="F491:F497" si="102">ROUND(E491*C491,0)</f>
        <v>0</v>
      </c>
      <c r="G491" s="20">
        <v>268.3571</v>
      </c>
      <c r="H491" s="20">
        <f t="shared" ref="H491:H497" si="103">ROUND(G491*C491,0)</f>
        <v>1867497</v>
      </c>
      <c r="I491" s="20">
        <v>3625.4726000000001</v>
      </c>
      <c r="J491" s="20">
        <f t="shared" ref="J491:J497" si="104">ROUND(I491*C491,0)</f>
        <v>25229664</v>
      </c>
      <c r="K491" s="20">
        <f t="shared" ref="K491:L497" si="105">E491+G491+I491</f>
        <v>3893.8297000000002</v>
      </c>
      <c r="L491" s="20">
        <f t="shared" si="105"/>
        <v>27097161</v>
      </c>
      <c r="M491" s="18"/>
      <c r="N491" s="44"/>
    </row>
    <row r="492" spans="1:14" ht="21" customHeight="1">
      <c r="A492" s="18" t="s">
        <v>657</v>
      </c>
      <c r="B492" s="18" t="s">
        <v>656</v>
      </c>
      <c r="C492" s="20">
        <v>4880</v>
      </c>
      <c r="D492" s="21" t="s">
        <v>93</v>
      </c>
      <c r="E492" s="20">
        <v>0</v>
      </c>
      <c r="F492" s="20">
        <f t="shared" si="102"/>
        <v>0</v>
      </c>
      <c r="G492" s="20">
        <v>268.3571</v>
      </c>
      <c r="H492" s="20">
        <f t="shared" si="103"/>
        <v>1309583</v>
      </c>
      <c r="I492" s="20">
        <v>3625.4726000000001</v>
      </c>
      <c r="J492" s="20">
        <f t="shared" si="104"/>
        <v>17692306</v>
      </c>
      <c r="K492" s="20">
        <f t="shared" si="105"/>
        <v>3893.8297000000002</v>
      </c>
      <c r="L492" s="20">
        <f t="shared" si="105"/>
        <v>19001889</v>
      </c>
      <c r="M492" s="18"/>
      <c r="N492" s="44"/>
    </row>
    <row r="493" spans="1:14" ht="21" customHeight="1">
      <c r="A493" s="18" t="s">
        <v>658</v>
      </c>
      <c r="B493" s="18" t="s">
        <v>659</v>
      </c>
      <c r="C493" s="20">
        <v>6952</v>
      </c>
      <c r="D493" s="21" t="s">
        <v>93</v>
      </c>
      <c r="E493" s="20">
        <v>0</v>
      </c>
      <c r="F493" s="20">
        <f t="shared" si="102"/>
        <v>0</v>
      </c>
      <c r="G493" s="20">
        <v>268.3571</v>
      </c>
      <c r="H493" s="20">
        <f t="shared" si="103"/>
        <v>1865619</v>
      </c>
      <c r="I493" s="20">
        <v>3625.4726000000001</v>
      </c>
      <c r="J493" s="20">
        <f t="shared" si="104"/>
        <v>25204286</v>
      </c>
      <c r="K493" s="20">
        <f t="shared" si="105"/>
        <v>3893.8297000000002</v>
      </c>
      <c r="L493" s="20">
        <f t="shared" si="105"/>
        <v>27069905</v>
      </c>
      <c r="M493" s="18"/>
      <c r="N493" s="44"/>
    </row>
    <row r="494" spans="1:14" ht="21" customHeight="1">
      <c r="A494" s="18" t="s">
        <v>660</v>
      </c>
      <c r="B494" s="18" t="s">
        <v>661</v>
      </c>
      <c r="C494" s="20">
        <v>4880</v>
      </c>
      <c r="D494" s="21" t="s">
        <v>93</v>
      </c>
      <c r="E494" s="20">
        <v>0</v>
      </c>
      <c r="F494" s="20">
        <f t="shared" si="102"/>
        <v>0</v>
      </c>
      <c r="G494" s="20">
        <v>0</v>
      </c>
      <c r="H494" s="20">
        <f t="shared" si="103"/>
        <v>0</v>
      </c>
      <c r="I494" s="20">
        <v>584.44569999999999</v>
      </c>
      <c r="J494" s="20">
        <f t="shared" si="104"/>
        <v>2852095</v>
      </c>
      <c r="K494" s="20">
        <f t="shared" si="105"/>
        <v>584.44569999999999</v>
      </c>
      <c r="L494" s="20">
        <f t="shared" si="105"/>
        <v>2852095</v>
      </c>
      <c r="M494" s="18"/>
      <c r="N494" s="44"/>
    </row>
    <row r="495" spans="1:14" ht="21" customHeight="1">
      <c r="A495" s="18" t="s">
        <v>662</v>
      </c>
      <c r="B495" s="18" t="s">
        <v>663</v>
      </c>
      <c r="C495" s="20">
        <v>2079</v>
      </c>
      <c r="D495" s="21" t="s">
        <v>93</v>
      </c>
      <c r="E495" s="20">
        <v>0</v>
      </c>
      <c r="F495" s="20">
        <f t="shared" si="102"/>
        <v>0</v>
      </c>
      <c r="G495" s="20">
        <v>0</v>
      </c>
      <c r="H495" s="20">
        <f t="shared" si="103"/>
        <v>0</v>
      </c>
      <c r="I495" s="20">
        <v>584.44569999999999</v>
      </c>
      <c r="J495" s="20">
        <f t="shared" si="104"/>
        <v>1215063</v>
      </c>
      <c r="K495" s="20">
        <f t="shared" si="105"/>
        <v>584.44569999999999</v>
      </c>
      <c r="L495" s="20">
        <f t="shared" si="105"/>
        <v>1215063</v>
      </c>
      <c r="M495" s="18"/>
      <c r="N495" s="44"/>
    </row>
    <row r="496" spans="1:14" ht="21" customHeight="1">
      <c r="A496" s="18" t="s">
        <v>664</v>
      </c>
      <c r="B496" s="18" t="s">
        <v>665</v>
      </c>
      <c r="C496" s="20">
        <v>6945</v>
      </c>
      <c r="D496" s="21" t="s">
        <v>93</v>
      </c>
      <c r="E496" s="20">
        <v>0</v>
      </c>
      <c r="F496" s="20">
        <f t="shared" si="102"/>
        <v>0</v>
      </c>
      <c r="G496" s="20">
        <v>0</v>
      </c>
      <c r="H496" s="20">
        <f t="shared" si="103"/>
        <v>0</v>
      </c>
      <c r="I496" s="20">
        <v>584.44569999999999</v>
      </c>
      <c r="J496" s="20">
        <f t="shared" si="104"/>
        <v>4058975</v>
      </c>
      <c r="K496" s="20">
        <f t="shared" si="105"/>
        <v>584.44569999999999</v>
      </c>
      <c r="L496" s="20">
        <f t="shared" si="105"/>
        <v>4058975</v>
      </c>
      <c r="M496" s="18"/>
      <c r="N496" s="44"/>
    </row>
    <row r="497" spans="1:14" ht="21" customHeight="1">
      <c r="A497" s="18" t="s">
        <v>666</v>
      </c>
      <c r="B497" s="18" t="s">
        <v>667</v>
      </c>
      <c r="C497" s="20">
        <v>1625</v>
      </c>
      <c r="D497" s="21" t="s">
        <v>99</v>
      </c>
      <c r="E497" s="20">
        <v>0</v>
      </c>
      <c r="F497" s="20">
        <f t="shared" si="102"/>
        <v>0</v>
      </c>
      <c r="G497" s="20">
        <v>1606.9604999999999</v>
      </c>
      <c r="H497" s="20">
        <f t="shared" si="103"/>
        <v>2611311</v>
      </c>
      <c r="I497" s="20">
        <v>5262.1327000000001</v>
      </c>
      <c r="J497" s="20">
        <f t="shared" si="104"/>
        <v>8550966</v>
      </c>
      <c r="K497" s="20">
        <f t="shared" si="105"/>
        <v>6869.0932000000003</v>
      </c>
      <c r="L497" s="20">
        <f t="shared" si="105"/>
        <v>11162277</v>
      </c>
      <c r="M497" s="18"/>
      <c r="N497" s="44"/>
    </row>
    <row r="498" spans="1:14" ht="21" customHeight="1">
      <c r="A498" s="18" t="s">
        <v>668</v>
      </c>
      <c r="B498" s="18"/>
      <c r="C498" s="19"/>
      <c r="D498" s="19"/>
      <c r="E498" s="19">
        <v>0</v>
      </c>
      <c r="F498" s="19"/>
      <c r="G498" s="19">
        <v>0</v>
      </c>
      <c r="H498" s="19"/>
      <c r="I498" s="19">
        <v>0</v>
      </c>
      <c r="J498" s="19"/>
      <c r="K498" s="19"/>
      <c r="L498" s="19"/>
      <c r="M498" s="19"/>
      <c r="N498" s="44"/>
    </row>
    <row r="499" spans="1:14" ht="21" customHeight="1">
      <c r="A499" s="18" t="s">
        <v>669</v>
      </c>
      <c r="B499" s="18"/>
      <c r="C499" s="19"/>
      <c r="D499" s="19"/>
      <c r="E499" s="19">
        <v>0</v>
      </c>
      <c r="F499" s="19"/>
      <c r="G499" s="19">
        <v>0</v>
      </c>
      <c r="H499" s="19"/>
      <c r="I499" s="19">
        <v>0</v>
      </c>
      <c r="J499" s="19"/>
      <c r="K499" s="19"/>
      <c r="L499" s="19"/>
      <c r="M499" s="19"/>
      <c r="N499" s="44"/>
    </row>
    <row r="500" spans="1:14" ht="21" customHeight="1">
      <c r="A500" s="18" t="s">
        <v>670</v>
      </c>
      <c r="B500" s="18" t="s">
        <v>671</v>
      </c>
      <c r="C500" s="20">
        <v>2645</v>
      </c>
      <c r="D500" s="21" t="s">
        <v>93</v>
      </c>
      <c r="E500" s="20">
        <v>0</v>
      </c>
      <c r="F500" s="20">
        <f>ROUND(E500*C500,0)</f>
        <v>0</v>
      </c>
      <c r="G500" s="20">
        <v>16069.605</v>
      </c>
      <c r="H500" s="20">
        <f>ROUND(G500*C500,0)</f>
        <v>42504105</v>
      </c>
      <c r="I500" s="20">
        <v>2654.9321</v>
      </c>
      <c r="J500" s="20">
        <f>ROUND(I500*C500,0)</f>
        <v>7022295</v>
      </c>
      <c r="K500" s="20">
        <f>E500+G500+I500</f>
        <v>18724.537100000001</v>
      </c>
      <c r="L500" s="20">
        <f>F500+H500+J500</f>
        <v>49526400</v>
      </c>
      <c r="M500" s="18"/>
      <c r="N500" s="44"/>
    </row>
    <row r="501" spans="1:14" ht="21" customHeight="1">
      <c r="A501" s="18" t="s">
        <v>672</v>
      </c>
      <c r="B501" s="18" t="s">
        <v>673</v>
      </c>
      <c r="C501" s="20">
        <v>290</v>
      </c>
      <c r="D501" s="21" t="s">
        <v>99</v>
      </c>
      <c r="E501" s="20">
        <v>0</v>
      </c>
      <c r="F501" s="20">
        <f>ROUND(E501*C501,0)</f>
        <v>0</v>
      </c>
      <c r="G501" s="20">
        <v>1606.9604999999999</v>
      </c>
      <c r="H501" s="20">
        <f>ROUND(G501*C501,0)</f>
        <v>466019</v>
      </c>
      <c r="I501" s="20">
        <v>5262.1327000000001</v>
      </c>
      <c r="J501" s="20">
        <f>ROUND(I501*C501,0)</f>
        <v>1526018</v>
      </c>
      <c r="K501" s="20">
        <f>E501+G501+I501</f>
        <v>6869.0932000000003</v>
      </c>
      <c r="L501" s="20">
        <f>F501+H501+J501</f>
        <v>1992037</v>
      </c>
      <c r="M501" s="18"/>
      <c r="N501" s="44"/>
    </row>
    <row r="502" spans="1:14" ht="21" customHeight="1">
      <c r="A502" s="18" t="s">
        <v>674</v>
      </c>
      <c r="B502" s="18"/>
      <c r="C502" s="19"/>
      <c r="D502" s="19"/>
      <c r="E502" s="19">
        <v>0</v>
      </c>
      <c r="F502" s="19"/>
      <c r="G502" s="19">
        <v>0</v>
      </c>
      <c r="H502" s="19"/>
      <c r="I502" s="19">
        <v>0</v>
      </c>
      <c r="J502" s="19"/>
      <c r="K502" s="19"/>
      <c r="L502" s="19"/>
      <c r="M502" s="19"/>
      <c r="N502" s="44"/>
    </row>
    <row r="503" spans="1:14" ht="21" customHeight="1">
      <c r="A503" s="18" t="s">
        <v>675</v>
      </c>
      <c r="B503" s="18"/>
      <c r="C503" s="19"/>
      <c r="D503" s="19"/>
      <c r="E503" s="19">
        <v>0</v>
      </c>
      <c r="F503" s="19"/>
      <c r="G503" s="19">
        <v>0</v>
      </c>
      <c r="H503" s="19"/>
      <c r="I503" s="19">
        <v>0</v>
      </c>
      <c r="J503" s="19"/>
      <c r="K503" s="19"/>
      <c r="L503" s="19"/>
      <c r="M503" s="19"/>
      <c r="N503" s="44"/>
    </row>
    <row r="504" spans="1:14" ht="21" customHeight="1">
      <c r="A504" s="18" t="s">
        <v>676</v>
      </c>
      <c r="B504" s="18" t="s">
        <v>677</v>
      </c>
      <c r="C504" s="20">
        <v>26</v>
      </c>
      <c r="D504" s="21" t="s">
        <v>93</v>
      </c>
      <c r="E504" s="20">
        <v>0</v>
      </c>
      <c r="F504" s="20">
        <f>ROUND(E504*C504,0)</f>
        <v>0</v>
      </c>
      <c r="G504" s="20">
        <v>13926.991</v>
      </c>
      <c r="H504" s="20">
        <f>ROUND(G504*C504,0)</f>
        <v>362102</v>
      </c>
      <c r="I504" s="20">
        <v>2654.9321</v>
      </c>
      <c r="J504" s="20">
        <f>ROUND(I504*C504,0)</f>
        <v>69028</v>
      </c>
      <c r="K504" s="20">
        <f t="shared" ref="K504:L506" si="106">E504+G504+I504</f>
        <v>16581.9231</v>
      </c>
      <c r="L504" s="20">
        <f t="shared" si="106"/>
        <v>431130</v>
      </c>
      <c r="M504" s="18"/>
      <c r="N504" s="44"/>
    </row>
    <row r="505" spans="1:14" ht="21" customHeight="1">
      <c r="A505" s="18" t="s">
        <v>678</v>
      </c>
      <c r="B505" s="18" t="s">
        <v>677</v>
      </c>
      <c r="C505" s="20">
        <v>57</v>
      </c>
      <c r="D505" s="21" t="s">
        <v>93</v>
      </c>
      <c r="E505" s="20">
        <v>0</v>
      </c>
      <c r="F505" s="20">
        <f>ROUND(E505*C505,0)</f>
        <v>0</v>
      </c>
      <c r="G505" s="20">
        <v>13926.991</v>
      </c>
      <c r="H505" s="20">
        <f>ROUND(G505*C505,0)</f>
        <v>793838</v>
      </c>
      <c r="I505" s="20">
        <v>2654.9321</v>
      </c>
      <c r="J505" s="20">
        <f>ROUND(I505*C505,0)</f>
        <v>151331</v>
      </c>
      <c r="K505" s="20">
        <f t="shared" si="106"/>
        <v>16581.9231</v>
      </c>
      <c r="L505" s="20">
        <f t="shared" si="106"/>
        <v>945169</v>
      </c>
      <c r="M505" s="18"/>
      <c r="N505" s="44"/>
    </row>
    <row r="506" spans="1:14" ht="21" customHeight="1">
      <c r="A506" s="18" t="s">
        <v>679</v>
      </c>
      <c r="B506" s="18" t="s">
        <v>680</v>
      </c>
      <c r="C506" s="20">
        <v>9</v>
      </c>
      <c r="D506" s="21" t="s">
        <v>99</v>
      </c>
      <c r="E506" s="20">
        <v>0</v>
      </c>
      <c r="F506" s="20">
        <f>ROUND(E506*C506,0)</f>
        <v>0</v>
      </c>
      <c r="G506" s="20">
        <v>1606.9604999999999</v>
      </c>
      <c r="H506" s="20">
        <f>ROUND(G506*C506,0)</f>
        <v>14463</v>
      </c>
      <c r="I506" s="20">
        <v>5262.1327000000001</v>
      </c>
      <c r="J506" s="20">
        <f>ROUND(I506*C506,0)</f>
        <v>47359</v>
      </c>
      <c r="K506" s="20">
        <f t="shared" si="106"/>
        <v>6869.0932000000003</v>
      </c>
      <c r="L506" s="20">
        <f t="shared" si="106"/>
        <v>61822</v>
      </c>
      <c r="M506" s="18"/>
      <c r="N506" s="44"/>
    </row>
    <row r="507" spans="1:14" ht="21" customHeight="1">
      <c r="A507" s="18" t="s">
        <v>681</v>
      </c>
      <c r="B507" s="18"/>
      <c r="C507" s="19"/>
      <c r="D507" s="19"/>
      <c r="E507" s="19">
        <v>0</v>
      </c>
      <c r="F507" s="19"/>
      <c r="G507" s="19">
        <v>0</v>
      </c>
      <c r="H507" s="19"/>
      <c r="I507" s="19">
        <v>0</v>
      </c>
      <c r="J507" s="19"/>
      <c r="K507" s="19"/>
      <c r="L507" s="19"/>
      <c r="M507" s="19"/>
      <c r="N507" s="44"/>
    </row>
    <row r="508" spans="1:14" ht="21" customHeight="1">
      <c r="A508" s="18" t="s">
        <v>682</v>
      </c>
      <c r="B508" s="18" t="s">
        <v>683</v>
      </c>
      <c r="C508" s="20">
        <v>1612</v>
      </c>
      <c r="D508" s="21" t="s">
        <v>93</v>
      </c>
      <c r="E508" s="20">
        <v>6963.4955</v>
      </c>
      <c r="F508" s="20">
        <f>ROUND(E508*C508,0)</f>
        <v>11225155</v>
      </c>
      <c r="G508" s="20">
        <v>14998.297999999999</v>
      </c>
      <c r="H508" s="20">
        <f>ROUND(G508*C508,0)</f>
        <v>24177256</v>
      </c>
      <c r="I508" s="20">
        <v>3507.7348999999999</v>
      </c>
      <c r="J508" s="20">
        <f>ROUND(I508*C508,0)</f>
        <v>5654469</v>
      </c>
      <c r="K508" s="20">
        <f>E508+G508+I508</f>
        <v>25469.528399999999</v>
      </c>
      <c r="L508" s="20">
        <f>F508+H508+J508</f>
        <v>41056880</v>
      </c>
      <c r="M508" s="18"/>
      <c r="N508" s="44"/>
    </row>
    <row r="509" spans="1:14" ht="21" customHeight="1">
      <c r="A509" s="18" t="s">
        <v>684</v>
      </c>
      <c r="B509" s="18" t="s">
        <v>685</v>
      </c>
      <c r="C509" s="19"/>
      <c r="D509" s="19"/>
      <c r="E509" s="19">
        <v>0</v>
      </c>
      <c r="F509" s="19"/>
      <c r="G509" s="19">
        <v>0</v>
      </c>
      <c r="H509" s="19"/>
      <c r="I509" s="19">
        <v>0</v>
      </c>
      <c r="J509" s="19"/>
      <c r="K509" s="19"/>
      <c r="L509" s="19"/>
      <c r="M509" s="19"/>
      <c r="N509" s="44"/>
    </row>
    <row r="510" spans="1:14" ht="21" customHeight="1">
      <c r="A510" s="18" t="s">
        <v>655</v>
      </c>
      <c r="B510" s="18" t="s">
        <v>686</v>
      </c>
      <c r="C510" s="20">
        <v>79</v>
      </c>
      <c r="D510" s="21" t="s">
        <v>93</v>
      </c>
      <c r="E510" s="20">
        <v>0</v>
      </c>
      <c r="F510" s="20">
        <f>ROUND(E510*C510,0)</f>
        <v>0</v>
      </c>
      <c r="G510" s="20">
        <v>10852.021699999999</v>
      </c>
      <c r="H510" s="20">
        <f>ROUND(G510*C510,0)</f>
        <v>857310</v>
      </c>
      <c r="I510" s="20">
        <v>22942.940999999999</v>
      </c>
      <c r="J510" s="20">
        <f>ROUND(I510*C510,0)</f>
        <v>1812492</v>
      </c>
      <c r="K510" s="20">
        <f t="shared" ref="K510:L514" si="107">E510+G510+I510</f>
        <v>33794.962699999996</v>
      </c>
      <c r="L510" s="20">
        <f t="shared" si="107"/>
        <v>2669802</v>
      </c>
      <c r="M510" s="18"/>
      <c r="N510" s="44"/>
    </row>
    <row r="511" spans="1:14" ht="21" customHeight="1">
      <c r="A511" s="18" t="s">
        <v>687</v>
      </c>
      <c r="B511" s="18" t="s">
        <v>663</v>
      </c>
      <c r="C511" s="20">
        <v>256</v>
      </c>
      <c r="D511" s="21" t="s">
        <v>93</v>
      </c>
      <c r="E511" s="20">
        <v>0</v>
      </c>
      <c r="F511" s="20">
        <f>ROUND(E511*C511,0)</f>
        <v>0</v>
      </c>
      <c r="G511" s="20">
        <v>0</v>
      </c>
      <c r="H511" s="20">
        <f>ROUND(G511*C511,0)</f>
        <v>0</v>
      </c>
      <c r="I511" s="20">
        <v>584.44569999999999</v>
      </c>
      <c r="J511" s="20">
        <f>ROUND(I511*C511,0)</f>
        <v>149618</v>
      </c>
      <c r="K511" s="20">
        <f t="shared" si="107"/>
        <v>584.44569999999999</v>
      </c>
      <c r="L511" s="20">
        <f t="shared" si="107"/>
        <v>149618</v>
      </c>
      <c r="M511" s="18"/>
      <c r="N511" s="44"/>
    </row>
    <row r="512" spans="1:14" ht="21" customHeight="1">
      <c r="A512" s="18" t="s">
        <v>688</v>
      </c>
      <c r="B512" s="18" t="s">
        <v>689</v>
      </c>
      <c r="C512" s="20">
        <v>64</v>
      </c>
      <c r="D512" s="21" t="s">
        <v>93</v>
      </c>
      <c r="E512" s="20">
        <v>6963.4955</v>
      </c>
      <c r="F512" s="20">
        <f>ROUND(E512*C512,0)</f>
        <v>445664</v>
      </c>
      <c r="G512" s="20">
        <v>9106.1095000000005</v>
      </c>
      <c r="H512" s="20">
        <f>ROUND(G512*C512,0)</f>
        <v>582791</v>
      </c>
      <c r="I512" s="20">
        <v>1168.8914</v>
      </c>
      <c r="J512" s="20">
        <f>ROUND(I512*C512,0)</f>
        <v>74809</v>
      </c>
      <c r="K512" s="20">
        <f t="shared" si="107"/>
        <v>17238.4964</v>
      </c>
      <c r="L512" s="20">
        <f t="shared" si="107"/>
        <v>1103264</v>
      </c>
      <c r="M512" s="18"/>
      <c r="N512" s="44"/>
    </row>
    <row r="513" spans="1:14" ht="21" customHeight="1">
      <c r="A513" s="18" t="s">
        <v>690</v>
      </c>
      <c r="B513" s="18" t="s">
        <v>691</v>
      </c>
      <c r="C513" s="20">
        <v>64</v>
      </c>
      <c r="D513" s="21" t="s">
        <v>93</v>
      </c>
      <c r="E513" s="20">
        <v>6963.4955</v>
      </c>
      <c r="F513" s="20">
        <f>ROUND(E513*C513,0)</f>
        <v>445664</v>
      </c>
      <c r="G513" s="20">
        <v>9106.1095000000005</v>
      </c>
      <c r="H513" s="20">
        <f>ROUND(G513*C513,0)</f>
        <v>582791</v>
      </c>
      <c r="I513" s="20">
        <v>1168.8914</v>
      </c>
      <c r="J513" s="20">
        <f>ROUND(I513*C513,0)</f>
        <v>74809</v>
      </c>
      <c r="K513" s="20">
        <f t="shared" si="107"/>
        <v>17238.4964</v>
      </c>
      <c r="L513" s="20">
        <f t="shared" si="107"/>
        <v>1103264</v>
      </c>
      <c r="M513" s="18"/>
      <c r="N513" s="44"/>
    </row>
    <row r="514" spans="1:14" ht="21" customHeight="1">
      <c r="A514" s="18" t="s">
        <v>692</v>
      </c>
      <c r="B514" s="18" t="s">
        <v>693</v>
      </c>
      <c r="C514" s="20">
        <v>128</v>
      </c>
      <c r="D514" s="21" t="s">
        <v>93</v>
      </c>
      <c r="E514" s="20">
        <v>0</v>
      </c>
      <c r="F514" s="20">
        <f>ROUND(E514*C514,0)</f>
        <v>0</v>
      </c>
      <c r="G514" s="20">
        <v>4820.8814999999995</v>
      </c>
      <c r="H514" s="20">
        <f>ROUND(G514*C514,0)</f>
        <v>617073</v>
      </c>
      <c r="I514" s="20">
        <v>1168.8914</v>
      </c>
      <c r="J514" s="20">
        <f>ROUND(I514*C514,0)</f>
        <v>149618</v>
      </c>
      <c r="K514" s="20">
        <f t="shared" si="107"/>
        <v>5989.7728999999999</v>
      </c>
      <c r="L514" s="20">
        <f t="shared" si="107"/>
        <v>766691</v>
      </c>
      <c r="M514" s="18"/>
      <c r="N514" s="44"/>
    </row>
    <row r="515" spans="1:14" ht="21" customHeight="1">
      <c r="A515" s="18" t="s">
        <v>694</v>
      </c>
      <c r="B515" s="18" t="s">
        <v>695</v>
      </c>
      <c r="C515" s="19"/>
      <c r="D515" s="19"/>
      <c r="E515" s="19">
        <v>0</v>
      </c>
      <c r="F515" s="19"/>
      <c r="G515" s="19">
        <v>0</v>
      </c>
      <c r="H515" s="19"/>
      <c r="I515" s="19">
        <v>0</v>
      </c>
      <c r="J515" s="19"/>
      <c r="K515" s="19"/>
      <c r="L515" s="19"/>
      <c r="M515" s="19"/>
      <c r="N515" s="44"/>
    </row>
    <row r="516" spans="1:14" ht="21" customHeight="1">
      <c r="A516" s="18" t="s">
        <v>655</v>
      </c>
      <c r="B516" s="18" t="s">
        <v>656</v>
      </c>
      <c r="C516" s="20">
        <v>96</v>
      </c>
      <c r="D516" s="21" t="s">
        <v>93</v>
      </c>
      <c r="E516" s="20">
        <v>0</v>
      </c>
      <c r="F516" s="20">
        <f t="shared" ref="F516:F522" si="108">ROUND(E516*C516,0)</f>
        <v>0</v>
      </c>
      <c r="G516" s="20">
        <v>10852.021699999999</v>
      </c>
      <c r="H516" s="20">
        <f t="shared" ref="H516:H522" si="109">ROUND(G516*C516,0)</f>
        <v>1041794</v>
      </c>
      <c r="I516" s="20">
        <v>22942.940999999999</v>
      </c>
      <c r="J516" s="20">
        <f t="shared" ref="J516:J522" si="110">ROUND(I516*C516,0)</f>
        <v>2202522</v>
      </c>
      <c r="K516" s="20">
        <f t="shared" ref="K516:L522" si="111">E516+G516+I516</f>
        <v>33794.962699999996</v>
      </c>
      <c r="L516" s="20">
        <f t="shared" si="111"/>
        <v>3244316</v>
      </c>
      <c r="M516" s="18"/>
      <c r="N516" s="44"/>
    </row>
    <row r="517" spans="1:14" ht="21" customHeight="1">
      <c r="A517" s="18" t="s">
        <v>687</v>
      </c>
      <c r="B517" s="18" t="s">
        <v>663</v>
      </c>
      <c r="C517" s="20">
        <v>193</v>
      </c>
      <c r="D517" s="21" t="s">
        <v>93</v>
      </c>
      <c r="E517" s="20">
        <v>0</v>
      </c>
      <c r="F517" s="20">
        <f t="shared" si="108"/>
        <v>0</v>
      </c>
      <c r="G517" s="20">
        <v>0</v>
      </c>
      <c r="H517" s="20">
        <f t="shared" si="109"/>
        <v>0</v>
      </c>
      <c r="I517" s="20">
        <v>584.44569999999999</v>
      </c>
      <c r="J517" s="20">
        <f t="shared" si="110"/>
        <v>112798</v>
      </c>
      <c r="K517" s="20">
        <f t="shared" si="111"/>
        <v>584.44569999999999</v>
      </c>
      <c r="L517" s="20">
        <f t="shared" si="111"/>
        <v>112798</v>
      </c>
      <c r="M517" s="18"/>
      <c r="N517" s="44"/>
    </row>
    <row r="518" spans="1:14" ht="21" customHeight="1">
      <c r="A518" s="18" t="s">
        <v>696</v>
      </c>
      <c r="B518" s="18" t="s">
        <v>683</v>
      </c>
      <c r="C518" s="20">
        <v>48</v>
      </c>
      <c r="D518" s="21" t="s">
        <v>93</v>
      </c>
      <c r="E518" s="20">
        <v>6963.4955</v>
      </c>
      <c r="F518" s="20">
        <f t="shared" si="108"/>
        <v>334248</v>
      </c>
      <c r="G518" s="20">
        <v>14998.297999999999</v>
      </c>
      <c r="H518" s="20">
        <f t="shared" si="109"/>
        <v>719918</v>
      </c>
      <c r="I518" s="20">
        <v>3507.7348999999999</v>
      </c>
      <c r="J518" s="20">
        <f t="shared" si="110"/>
        <v>168371</v>
      </c>
      <c r="K518" s="20">
        <f t="shared" si="111"/>
        <v>25469.528399999999</v>
      </c>
      <c r="L518" s="20">
        <f t="shared" si="111"/>
        <v>1222537</v>
      </c>
      <c r="M518" s="18"/>
      <c r="N518" s="44"/>
    </row>
    <row r="519" spans="1:14" ht="21" customHeight="1">
      <c r="A519" s="18" t="s">
        <v>690</v>
      </c>
      <c r="B519" s="18" t="s">
        <v>697</v>
      </c>
      <c r="C519" s="20">
        <v>24</v>
      </c>
      <c r="D519" s="21" t="s">
        <v>93</v>
      </c>
      <c r="E519" s="20">
        <v>6963.4955</v>
      </c>
      <c r="F519" s="20">
        <f t="shared" si="108"/>
        <v>167124</v>
      </c>
      <c r="G519" s="20">
        <v>11784.377</v>
      </c>
      <c r="H519" s="20">
        <f t="shared" si="109"/>
        <v>282825</v>
      </c>
      <c r="I519" s="20">
        <v>1168.8914</v>
      </c>
      <c r="J519" s="20">
        <f t="shared" si="110"/>
        <v>28053</v>
      </c>
      <c r="K519" s="20">
        <f t="shared" si="111"/>
        <v>19916.763900000002</v>
      </c>
      <c r="L519" s="20">
        <f t="shared" si="111"/>
        <v>478002</v>
      </c>
      <c r="M519" s="18"/>
      <c r="N519" s="44"/>
    </row>
    <row r="520" spans="1:14" ht="21" customHeight="1">
      <c r="A520" s="18" t="s">
        <v>698</v>
      </c>
      <c r="B520" s="18" t="s">
        <v>699</v>
      </c>
      <c r="C520" s="20">
        <v>2</v>
      </c>
      <c r="D520" s="21" t="s">
        <v>93</v>
      </c>
      <c r="E520" s="20">
        <v>6963.4955</v>
      </c>
      <c r="F520" s="20">
        <f t="shared" si="108"/>
        <v>13927</v>
      </c>
      <c r="G520" s="20">
        <v>11784.377</v>
      </c>
      <c r="H520" s="20">
        <f t="shared" si="109"/>
        <v>23569</v>
      </c>
      <c r="I520" s="20">
        <v>1168.8914</v>
      </c>
      <c r="J520" s="20">
        <f t="shared" si="110"/>
        <v>2338</v>
      </c>
      <c r="K520" s="20">
        <f t="shared" si="111"/>
        <v>19916.763900000002</v>
      </c>
      <c r="L520" s="20">
        <f t="shared" si="111"/>
        <v>39834</v>
      </c>
      <c r="M520" s="18"/>
      <c r="N520" s="44"/>
    </row>
    <row r="521" spans="1:14" ht="21" customHeight="1">
      <c r="A521" s="18" t="s">
        <v>700</v>
      </c>
      <c r="B521" s="18" t="s">
        <v>697</v>
      </c>
      <c r="C521" s="20">
        <v>24</v>
      </c>
      <c r="D521" s="21" t="s">
        <v>93</v>
      </c>
      <c r="E521" s="20">
        <v>6963.4955</v>
      </c>
      <c r="F521" s="20">
        <f t="shared" si="108"/>
        <v>167124</v>
      </c>
      <c r="G521" s="20">
        <v>11784.377</v>
      </c>
      <c r="H521" s="20">
        <f t="shared" si="109"/>
        <v>282825</v>
      </c>
      <c r="I521" s="20">
        <v>1168.8914</v>
      </c>
      <c r="J521" s="20">
        <f t="shared" si="110"/>
        <v>28053</v>
      </c>
      <c r="K521" s="20">
        <f t="shared" si="111"/>
        <v>19916.763900000002</v>
      </c>
      <c r="L521" s="20">
        <f t="shared" si="111"/>
        <v>478002</v>
      </c>
      <c r="M521" s="18"/>
      <c r="N521" s="44"/>
    </row>
    <row r="522" spans="1:14" ht="21" customHeight="1">
      <c r="A522" s="18" t="s">
        <v>701</v>
      </c>
      <c r="B522" s="18" t="s">
        <v>699</v>
      </c>
      <c r="C522" s="20">
        <v>2</v>
      </c>
      <c r="D522" s="21" t="s">
        <v>93</v>
      </c>
      <c r="E522" s="20">
        <v>0</v>
      </c>
      <c r="F522" s="20">
        <f t="shared" si="108"/>
        <v>0</v>
      </c>
      <c r="G522" s="20">
        <v>4820.8814999999995</v>
      </c>
      <c r="H522" s="20">
        <f t="shared" si="109"/>
        <v>9642</v>
      </c>
      <c r="I522" s="20">
        <v>0</v>
      </c>
      <c r="J522" s="20">
        <f t="shared" si="110"/>
        <v>0</v>
      </c>
      <c r="K522" s="20">
        <f t="shared" si="111"/>
        <v>4820.8814999999995</v>
      </c>
      <c r="L522" s="20">
        <f t="shared" si="111"/>
        <v>9642</v>
      </c>
      <c r="M522" s="18"/>
      <c r="N522" s="44"/>
    </row>
    <row r="523" spans="1:14" ht="21" customHeight="1">
      <c r="A523" s="18" t="s">
        <v>702</v>
      </c>
      <c r="B523" s="18"/>
      <c r="C523" s="19"/>
      <c r="D523" s="19"/>
      <c r="E523" s="19">
        <v>0</v>
      </c>
      <c r="F523" s="19"/>
      <c r="G523" s="19">
        <v>0</v>
      </c>
      <c r="H523" s="19"/>
      <c r="I523" s="19">
        <v>0</v>
      </c>
      <c r="J523" s="19"/>
      <c r="K523" s="19"/>
      <c r="L523" s="19"/>
      <c r="M523" s="19"/>
      <c r="N523" s="44"/>
    </row>
    <row r="524" spans="1:14" ht="21" customHeight="1">
      <c r="A524" s="18" t="s">
        <v>703</v>
      </c>
      <c r="B524" s="18"/>
      <c r="C524" s="19"/>
      <c r="D524" s="19"/>
      <c r="E524" s="19">
        <v>0</v>
      </c>
      <c r="F524" s="19"/>
      <c r="G524" s="19">
        <v>0</v>
      </c>
      <c r="H524" s="19"/>
      <c r="I524" s="19">
        <v>0</v>
      </c>
      <c r="J524" s="19"/>
      <c r="K524" s="19"/>
      <c r="L524" s="19"/>
      <c r="M524" s="19"/>
      <c r="N524" s="44"/>
    </row>
    <row r="525" spans="1:14" ht="21" customHeight="1">
      <c r="A525" s="18" t="s">
        <v>704</v>
      </c>
      <c r="B525" s="18" t="s">
        <v>705</v>
      </c>
      <c r="C525" s="20">
        <v>1235</v>
      </c>
      <c r="D525" s="21" t="s">
        <v>231</v>
      </c>
      <c r="E525" s="20">
        <v>0</v>
      </c>
      <c r="F525" s="20">
        <f>ROUND(E525*C525,0)</f>
        <v>0</v>
      </c>
      <c r="G525" s="20">
        <v>14998.297999999999</v>
      </c>
      <c r="H525" s="20">
        <f>ROUND(G525*C525,0)</f>
        <v>18522898</v>
      </c>
      <c r="I525" s="20">
        <v>5683.2305999999999</v>
      </c>
      <c r="J525" s="20">
        <f>ROUND(I525*C525,0)</f>
        <v>7018790</v>
      </c>
      <c r="K525" s="20">
        <f t="shared" ref="K525:L528" si="112">E525+G525+I525</f>
        <v>20681.528599999998</v>
      </c>
      <c r="L525" s="20">
        <f t="shared" si="112"/>
        <v>25541688</v>
      </c>
      <c r="M525" s="18"/>
      <c r="N525" s="44"/>
    </row>
    <row r="526" spans="1:14" ht="21" customHeight="1">
      <c r="A526" s="18" t="s">
        <v>706</v>
      </c>
      <c r="B526" s="18" t="s">
        <v>707</v>
      </c>
      <c r="C526" s="20">
        <v>114</v>
      </c>
      <c r="D526" s="21" t="s">
        <v>231</v>
      </c>
      <c r="E526" s="20">
        <v>0</v>
      </c>
      <c r="F526" s="20">
        <f>ROUND(E526*C526,0)</f>
        <v>0</v>
      </c>
      <c r="G526" s="20">
        <v>14998.297999999999</v>
      </c>
      <c r="H526" s="20">
        <f>ROUND(G526*C526,0)</f>
        <v>1709806</v>
      </c>
      <c r="I526" s="20">
        <v>5683.2305999999999</v>
      </c>
      <c r="J526" s="20">
        <f>ROUND(I526*C526,0)</f>
        <v>647888</v>
      </c>
      <c r="K526" s="20">
        <f t="shared" si="112"/>
        <v>20681.528599999998</v>
      </c>
      <c r="L526" s="20">
        <f t="shared" si="112"/>
        <v>2357694</v>
      </c>
      <c r="M526" s="18"/>
      <c r="N526" s="44"/>
    </row>
    <row r="527" spans="1:14" ht="21" customHeight="1">
      <c r="A527" s="18" t="s">
        <v>708</v>
      </c>
      <c r="B527" s="18" t="s">
        <v>709</v>
      </c>
      <c r="C527" s="20">
        <v>84</v>
      </c>
      <c r="D527" s="21" t="s">
        <v>231</v>
      </c>
      <c r="E527" s="20">
        <v>0</v>
      </c>
      <c r="F527" s="20">
        <f>ROUND(E527*C527,0)</f>
        <v>0</v>
      </c>
      <c r="G527" s="20">
        <v>14998.297999999999</v>
      </c>
      <c r="H527" s="20">
        <f>ROUND(G527*C527,0)</f>
        <v>1259857</v>
      </c>
      <c r="I527" s="20">
        <v>5683.2305999999999</v>
      </c>
      <c r="J527" s="20">
        <f>ROUND(I527*C527,0)</f>
        <v>477391</v>
      </c>
      <c r="K527" s="20">
        <f t="shared" si="112"/>
        <v>20681.528599999998</v>
      </c>
      <c r="L527" s="20">
        <f t="shared" si="112"/>
        <v>1737248</v>
      </c>
      <c r="M527" s="18"/>
      <c r="N527" s="44"/>
    </row>
    <row r="528" spans="1:14" ht="21" customHeight="1">
      <c r="A528" s="18" t="s">
        <v>710</v>
      </c>
      <c r="B528" s="18" t="s">
        <v>711</v>
      </c>
      <c r="C528" s="20">
        <v>113</v>
      </c>
      <c r="D528" s="21" t="s">
        <v>231</v>
      </c>
      <c r="E528" s="20">
        <v>0</v>
      </c>
      <c r="F528" s="20">
        <f>ROUND(E528*C528,0)</f>
        <v>0</v>
      </c>
      <c r="G528" s="20">
        <v>14998.297999999999</v>
      </c>
      <c r="H528" s="20">
        <f>ROUND(G528*C528,0)</f>
        <v>1694808</v>
      </c>
      <c r="I528" s="20">
        <v>5683.2305999999999</v>
      </c>
      <c r="J528" s="20">
        <f>ROUND(I528*C528,0)</f>
        <v>642205</v>
      </c>
      <c r="K528" s="20">
        <f t="shared" si="112"/>
        <v>20681.528599999998</v>
      </c>
      <c r="L528" s="20">
        <f t="shared" si="112"/>
        <v>2337013</v>
      </c>
      <c r="M528" s="18"/>
      <c r="N528" s="44"/>
    </row>
    <row r="529" spans="1:14" ht="21" customHeight="1">
      <c r="A529" s="18" t="s">
        <v>712</v>
      </c>
      <c r="B529" s="18"/>
      <c r="C529" s="19"/>
      <c r="D529" s="19"/>
      <c r="E529" s="19">
        <v>0</v>
      </c>
      <c r="F529" s="19"/>
      <c r="G529" s="19">
        <v>0</v>
      </c>
      <c r="H529" s="19"/>
      <c r="I529" s="19">
        <v>0</v>
      </c>
      <c r="J529" s="19"/>
      <c r="K529" s="19"/>
      <c r="L529" s="19"/>
      <c r="M529" s="19"/>
      <c r="N529" s="44"/>
    </row>
    <row r="530" spans="1:14" ht="21" customHeight="1">
      <c r="A530" s="18" t="s">
        <v>713</v>
      </c>
      <c r="B530" s="18" t="s">
        <v>714</v>
      </c>
      <c r="C530" s="20">
        <v>1297</v>
      </c>
      <c r="D530" s="21" t="s">
        <v>231</v>
      </c>
      <c r="E530" s="20">
        <v>0</v>
      </c>
      <c r="F530" s="20">
        <f>ROUND(E530*C530,0)</f>
        <v>0</v>
      </c>
      <c r="G530" s="20">
        <v>12855.683999999999</v>
      </c>
      <c r="H530" s="20">
        <f>ROUND(G530*C530,0)</f>
        <v>16673822</v>
      </c>
      <c r="I530" s="20">
        <v>4093.2412999999997</v>
      </c>
      <c r="J530" s="20">
        <f>ROUND(I530*C530,0)</f>
        <v>5308934</v>
      </c>
      <c r="K530" s="20">
        <f>E530+G530+I530</f>
        <v>16948.925299999999</v>
      </c>
      <c r="L530" s="20">
        <f>F530+H530+J530</f>
        <v>21982756</v>
      </c>
      <c r="M530" s="18"/>
      <c r="N530" s="44"/>
    </row>
    <row r="531" spans="1:14" ht="21" customHeight="1">
      <c r="A531" s="18" t="s">
        <v>715</v>
      </c>
      <c r="B531" s="18"/>
      <c r="C531" s="19"/>
      <c r="D531" s="19"/>
      <c r="E531" s="19">
        <v>0</v>
      </c>
      <c r="F531" s="19"/>
      <c r="G531" s="19">
        <v>0</v>
      </c>
      <c r="H531" s="19"/>
      <c r="I531" s="19">
        <v>0</v>
      </c>
      <c r="J531" s="19"/>
      <c r="K531" s="19"/>
      <c r="L531" s="19"/>
      <c r="M531" s="19"/>
      <c r="N531" s="44"/>
    </row>
    <row r="532" spans="1:14" ht="21" customHeight="1">
      <c r="A532" s="18" t="s">
        <v>716</v>
      </c>
      <c r="B532" s="18"/>
      <c r="C532" s="19"/>
      <c r="D532" s="19"/>
      <c r="E532" s="19">
        <v>0</v>
      </c>
      <c r="F532" s="19"/>
      <c r="G532" s="19">
        <v>0</v>
      </c>
      <c r="H532" s="19"/>
      <c r="I532" s="19">
        <v>0</v>
      </c>
      <c r="J532" s="19"/>
      <c r="K532" s="19"/>
      <c r="L532" s="19"/>
      <c r="M532" s="19"/>
      <c r="N532" s="44"/>
    </row>
    <row r="533" spans="1:14" ht="21" customHeight="1">
      <c r="A533" s="18" t="s">
        <v>717</v>
      </c>
      <c r="B533" s="18" t="s">
        <v>718</v>
      </c>
      <c r="C533" s="20">
        <v>6</v>
      </c>
      <c r="D533" s="21" t="s">
        <v>179</v>
      </c>
      <c r="E533" s="20">
        <v>94275.016000000003</v>
      </c>
      <c r="F533" s="20">
        <f t="shared" ref="F533:F541" si="113">ROUND(E533*C533,0)</f>
        <v>565650</v>
      </c>
      <c r="G533" s="20">
        <v>53565.35</v>
      </c>
      <c r="H533" s="20">
        <f t="shared" ref="H533:H541" si="114">ROUND(G533*C533,0)</f>
        <v>321392</v>
      </c>
      <c r="I533" s="20">
        <v>0</v>
      </c>
      <c r="J533" s="20">
        <f t="shared" ref="J533:J541" si="115">ROUND(I533*C533,0)</f>
        <v>0</v>
      </c>
      <c r="K533" s="20">
        <f t="shared" ref="K533:K541" si="116">E533+G533+I533</f>
        <v>147840.36600000001</v>
      </c>
      <c r="L533" s="20">
        <f t="shared" ref="L533:L541" si="117">F533+H533+J533</f>
        <v>887042</v>
      </c>
      <c r="M533" s="18"/>
      <c r="N533" s="44"/>
    </row>
    <row r="534" spans="1:14" ht="21" customHeight="1">
      <c r="A534" s="18" t="s">
        <v>719</v>
      </c>
      <c r="B534" s="18" t="s">
        <v>720</v>
      </c>
      <c r="C534" s="20">
        <v>6</v>
      </c>
      <c r="D534" s="21" t="s">
        <v>179</v>
      </c>
      <c r="E534" s="20">
        <v>94275.016000000003</v>
      </c>
      <c r="F534" s="20">
        <f t="shared" si="113"/>
        <v>565650</v>
      </c>
      <c r="G534" s="20">
        <v>53565.35</v>
      </c>
      <c r="H534" s="20">
        <f t="shared" si="114"/>
        <v>321392</v>
      </c>
      <c r="I534" s="20">
        <v>0</v>
      </c>
      <c r="J534" s="20">
        <f t="shared" si="115"/>
        <v>0</v>
      </c>
      <c r="K534" s="20">
        <f t="shared" si="116"/>
        <v>147840.36600000001</v>
      </c>
      <c r="L534" s="20">
        <f t="shared" si="117"/>
        <v>887042</v>
      </c>
      <c r="M534" s="18"/>
      <c r="N534" s="44"/>
    </row>
    <row r="535" spans="1:14" ht="21" customHeight="1">
      <c r="A535" s="18" t="s">
        <v>721</v>
      </c>
      <c r="B535" s="18" t="s">
        <v>722</v>
      </c>
      <c r="C535" s="20">
        <v>1</v>
      </c>
      <c r="D535" s="21" t="s">
        <v>179</v>
      </c>
      <c r="E535" s="20">
        <v>94275.016000000003</v>
      </c>
      <c r="F535" s="20">
        <f t="shared" si="113"/>
        <v>94275</v>
      </c>
      <c r="G535" s="20">
        <v>53565.35</v>
      </c>
      <c r="H535" s="20">
        <f t="shared" si="114"/>
        <v>53565</v>
      </c>
      <c r="I535" s="20">
        <v>0</v>
      </c>
      <c r="J535" s="20">
        <f t="shared" si="115"/>
        <v>0</v>
      </c>
      <c r="K535" s="20">
        <f t="shared" si="116"/>
        <v>147840.36600000001</v>
      </c>
      <c r="L535" s="20">
        <f t="shared" si="117"/>
        <v>147840</v>
      </c>
      <c r="M535" s="18"/>
      <c r="N535" s="44"/>
    </row>
    <row r="536" spans="1:14" ht="21" customHeight="1">
      <c r="A536" s="18" t="s">
        <v>723</v>
      </c>
      <c r="B536" s="18" t="s">
        <v>724</v>
      </c>
      <c r="C536" s="20">
        <v>2</v>
      </c>
      <c r="D536" s="21" t="s">
        <v>179</v>
      </c>
      <c r="E536" s="20">
        <v>85704.56</v>
      </c>
      <c r="F536" s="20">
        <f t="shared" si="113"/>
        <v>171409</v>
      </c>
      <c r="G536" s="20">
        <v>53565.35</v>
      </c>
      <c r="H536" s="20">
        <f t="shared" si="114"/>
        <v>107131</v>
      </c>
      <c r="I536" s="20">
        <v>0</v>
      </c>
      <c r="J536" s="20">
        <f t="shared" si="115"/>
        <v>0</v>
      </c>
      <c r="K536" s="20">
        <f t="shared" si="116"/>
        <v>139269.91</v>
      </c>
      <c r="L536" s="20">
        <f t="shared" si="117"/>
        <v>278540</v>
      </c>
      <c r="M536" s="18"/>
      <c r="N536" s="44"/>
    </row>
    <row r="537" spans="1:14" ht="21" customHeight="1">
      <c r="A537" s="18" t="s">
        <v>725</v>
      </c>
      <c r="B537" s="18" t="s">
        <v>718</v>
      </c>
      <c r="C537" s="20">
        <v>1</v>
      </c>
      <c r="D537" s="21" t="s">
        <v>179</v>
      </c>
      <c r="E537" s="20">
        <v>94275.016000000003</v>
      </c>
      <c r="F537" s="20">
        <f t="shared" si="113"/>
        <v>94275</v>
      </c>
      <c r="G537" s="20">
        <v>53565.35</v>
      </c>
      <c r="H537" s="20">
        <f t="shared" si="114"/>
        <v>53565</v>
      </c>
      <c r="I537" s="20">
        <v>0</v>
      </c>
      <c r="J537" s="20">
        <f t="shared" si="115"/>
        <v>0</v>
      </c>
      <c r="K537" s="20">
        <f t="shared" si="116"/>
        <v>147840.36600000001</v>
      </c>
      <c r="L537" s="20">
        <f t="shared" si="117"/>
        <v>147840</v>
      </c>
      <c r="M537" s="18"/>
      <c r="N537" s="44"/>
    </row>
    <row r="538" spans="1:14" ht="21" customHeight="1">
      <c r="A538" s="18" t="s">
        <v>726</v>
      </c>
      <c r="B538" s="18" t="s">
        <v>718</v>
      </c>
      <c r="C538" s="20">
        <v>1</v>
      </c>
      <c r="D538" s="21" t="s">
        <v>179</v>
      </c>
      <c r="E538" s="20">
        <v>94275.016000000003</v>
      </c>
      <c r="F538" s="20">
        <f t="shared" si="113"/>
        <v>94275</v>
      </c>
      <c r="G538" s="20">
        <v>53565.35</v>
      </c>
      <c r="H538" s="20">
        <f t="shared" si="114"/>
        <v>53565</v>
      </c>
      <c r="I538" s="20">
        <v>0</v>
      </c>
      <c r="J538" s="20">
        <f t="shared" si="115"/>
        <v>0</v>
      </c>
      <c r="K538" s="20">
        <f t="shared" si="116"/>
        <v>147840.36600000001</v>
      </c>
      <c r="L538" s="20">
        <f t="shared" si="117"/>
        <v>147840</v>
      </c>
      <c r="M538" s="18"/>
      <c r="N538" s="44"/>
    </row>
    <row r="539" spans="1:14" ht="21" customHeight="1">
      <c r="A539" s="18" t="s">
        <v>727</v>
      </c>
      <c r="B539" s="18" t="s">
        <v>728</v>
      </c>
      <c r="C539" s="20">
        <v>1</v>
      </c>
      <c r="D539" s="21" t="s">
        <v>179</v>
      </c>
      <c r="E539" s="20">
        <v>94275.016000000003</v>
      </c>
      <c r="F539" s="20">
        <f t="shared" si="113"/>
        <v>94275</v>
      </c>
      <c r="G539" s="20">
        <v>53565.35</v>
      </c>
      <c r="H539" s="20">
        <f t="shared" si="114"/>
        <v>53565</v>
      </c>
      <c r="I539" s="20">
        <v>0</v>
      </c>
      <c r="J539" s="20">
        <f t="shared" si="115"/>
        <v>0</v>
      </c>
      <c r="K539" s="20">
        <f t="shared" si="116"/>
        <v>147840.36600000001</v>
      </c>
      <c r="L539" s="20">
        <f t="shared" si="117"/>
        <v>147840</v>
      </c>
      <c r="M539" s="18"/>
      <c r="N539" s="44"/>
    </row>
    <row r="540" spans="1:14" ht="21" customHeight="1">
      <c r="A540" s="18" t="s">
        <v>729</v>
      </c>
      <c r="B540" s="18" t="s">
        <v>722</v>
      </c>
      <c r="C540" s="20">
        <v>1</v>
      </c>
      <c r="D540" s="21" t="s">
        <v>179</v>
      </c>
      <c r="E540" s="20">
        <v>94275.016000000003</v>
      </c>
      <c r="F540" s="20">
        <f t="shared" si="113"/>
        <v>94275</v>
      </c>
      <c r="G540" s="20">
        <v>53565.35</v>
      </c>
      <c r="H540" s="20">
        <f t="shared" si="114"/>
        <v>53565</v>
      </c>
      <c r="I540" s="20">
        <v>0</v>
      </c>
      <c r="J540" s="20">
        <f t="shared" si="115"/>
        <v>0</v>
      </c>
      <c r="K540" s="20">
        <f t="shared" si="116"/>
        <v>147840.36600000001</v>
      </c>
      <c r="L540" s="20">
        <f t="shared" si="117"/>
        <v>147840</v>
      </c>
      <c r="M540" s="18"/>
      <c r="N540" s="44"/>
    </row>
    <row r="541" spans="1:14" ht="21" customHeight="1">
      <c r="A541" s="18" t="s">
        <v>730</v>
      </c>
      <c r="B541" s="18" t="s">
        <v>731</v>
      </c>
      <c r="C541" s="20">
        <v>4</v>
      </c>
      <c r="D541" s="21" t="s">
        <v>179</v>
      </c>
      <c r="E541" s="20">
        <v>91061.095000000001</v>
      </c>
      <c r="F541" s="20">
        <f t="shared" si="113"/>
        <v>364244</v>
      </c>
      <c r="G541" s="20">
        <v>53565.35</v>
      </c>
      <c r="H541" s="20">
        <f t="shared" si="114"/>
        <v>214261</v>
      </c>
      <c r="I541" s="20">
        <v>0</v>
      </c>
      <c r="J541" s="20">
        <f t="shared" si="115"/>
        <v>0</v>
      </c>
      <c r="K541" s="20">
        <f t="shared" si="116"/>
        <v>144626.44500000001</v>
      </c>
      <c r="L541" s="20">
        <f t="shared" si="117"/>
        <v>578505</v>
      </c>
      <c r="M541" s="18"/>
      <c r="N541" s="44"/>
    </row>
    <row r="542" spans="1:14" ht="21" customHeight="1">
      <c r="A542" s="18" t="s">
        <v>732</v>
      </c>
      <c r="B542" s="18"/>
      <c r="C542" s="19"/>
      <c r="D542" s="19"/>
      <c r="E542" s="19">
        <v>0</v>
      </c>
      <c r="F542" s="19"/>
      <c r="G542" s="19">
        <v>0</v>
      </c>
      <c r="H542" s="19"/>
      <c r="I542" s="19">
        <v>0</v>
      </c>
      <c r="J542" s="19"/>
      <c r="K542" s="19"/>
      <c r="L542" s="19"/>
      <c r="M542" s="19"/>
      <c r="N542" s="44"/>
    </row>
    <row r="543" spans="1:14" ht="21" customHeight="1">
      <c r="A543" s="18" t="s">
        <v>733</v>
      </c>
      <c r="B543" s="18" t="s">
        <v>691</v>
      </c>
      <c r="C543" s="20">
        <v>111</v>
      </c>
      <c r="D543" s="21" t="s">
        <v>93</v>
      </c>
      <c r="E543" s="20">
        <v>6963.4955</v>
      </c>
      <c r="F543" s="20">
        <f t="shared" ref="F543:F551" si="118">ROUND(E543*C543,0)</f>
        <v>772948</v>
      </c>
      <c r="G543" s="20">
        <v>9106.1095000000005</v>
      </c>
      <c r="H543" s="20">
        <f t="shared" ref="H543:H551" si="119">ROUND(G543*C543,0)</f>
        <v>1010778</v>
      </c>
      <c r="I543" s="20">
        <v>1168.8914</v>
      </c>
      <c r="J543" s="20">
        <f t="shared" ref="J543:J551" si="120">ROUND(I543*C543,0)</f>
        <v>129747</v>
      </c>
      <c r="K543" s="20">
        <f t="shared" ref="K543:K551" si="121">E543+G543+I543</f>
        <v>17238.4964</v>
      </c>
      <c r="L543" s="20">
        <f t="shared" ref="L543:L551" si="122">F543+H543+J543</f>
        <v>1913473</v>
      </c>
      <c r="M543" s="18"/>
      <c r="N543" s="44"/>
    </row>
    <row r="544" spans="1:14" ht="21" customHeight="1">
      <c r="A544" s="18" t="s">
        <v>734</v>
      </c>
      <c r="B544" s="18" t="s">
        <v>689</v>
      </c>
      <c r="C544" s="20">
        <v>214</v>
      </c>
      <c r="D544" s="21" t="s">
        <v>93</v>
      </c>
      <c r="E544" s="20">
        <v>6963.4955</v>
      </c>
      <c r="F544" s="20">
        <f t="shared" si="118"/>
        <v>1490188</v>
      </c>
      <c r="G544" s="20">
        <v>9106.1095000000005</v>
      </c>
      <c r="H544" s="20">
        <f t="shared" si="119"/>
        <v>1948707</v>
      </c>
      <c r="I544" s="20">
        <v>1168.8914</v>
      </c>
      <c r="J544" s="20">
        <f t="shared" si="120"/>
        <v>250143</v>
      </c>
      <c r="K544" s="20">
        <f t="shared" si="121"/>
        <v>17238.4964</v>
      </c>
      <c r="L544" s="20">
        <f t="shared" si="122"/>
        <v>3689038</v>
      </c>
      <c r="M544" s="18"/>
      <c r="N544" s="44"/>
    </row>
    <row r="545" spans="1:14" ht="21" customHeight="1">
      <c r="A545" s="18" t="s">
        <v>735</v>
      </c>
      <c r="B545" s="18" t="s">
        <v>736</v>
      </c>
      <c r="C545" s="20">
        <v>1</v>
      </c>
      <c r="D545" s="21" t="s">
        <v>93</v>
      </c>
      <c r="E545" s="20">
        <v>6963.4955</v>
      </c>
      <c r="F545" s="20">
        <f t="shared" si="118"/>
        <v>6963</v>
      </c>
      <c r="G545" s="20">
        <v>9106.1095000000005</v>
      </c>
      <c r="H545" s="20">
        <f t="shared" si="119"/>
        <v>9106</v>
      </c>
      <c r="I545" s="20">
        <v>1168.8914</v>
      </c>
      <c r="J545" s="20">
        <f t="shared" si="120"/>
        <v>1169</v>
      </c>
      <c r="K545" s="20">
        <f t="shared" si="121"/>
        <v>17238.4964</v>
      </c>
      <c r="L545" s="20">
        <f t="shared" si="122"/>
        <v>17238</v>
      </c>
      <c r="M545" s="18"/>
      <c r="N545" s="44"/>
    </row>
    <row r="546" spans="1:14" ht="21" customHeight="1">
      <c r="A546" s="18" t="s">
        <v>737</v>
      </c>
      <c r="B546" s="18" t="s">
        <v>697</v>
      </c>
      <c r="C546" s="20">
        <v>211</v>
      </c>
      <c r="D546" s="21" t="s">
        <v>93</v>
      </c>
      <c r="E546" s="20">
        <v>6963.4955</v>
      </c>
      <c r="F546" s="20">
        <f t="shared" si="118"/>
        <v>1469298</v>
      </c>
      <c r="G546" s="20">
        <v>9106.1095000000005</v>
      </c>
      <c r="H546" s="20">
        <f t="shared" si="119"/>
        <v>1921389</v>
      </c>
      <c r="I546" s="20">
        <v>1168.8914</v>
      </c>
      <c r="J546" s="20">
        <f t="shared" si="120"/>
        <v>246636</v>
      </c>
      <c r="K546" s="20">
        <f t="shared" si="121"/>
        <v>17238.4964</v>
      </c>
      <c r="L546" s="20">
        <f t="shared" si="122"/>
        <v>3637323</v>
      </c>
      <c r="M546" s="18"/>
      <c r="N546" s="44"/>
    </row>
    <row r="547" spans="1:14" ht="21" customHeight="1">
      <c r="A547" s="18" t="s">
        <v>738</v>
      </c>
      <c r="B547" s="18" t="s">
        <v>699</v>
      </c>
      <c r="C547" s="20">
        <v>26</v>
      </c>
      <c r="D547" s="21" t="s">
        <v>93</v>
      </c>
      <c r="E547" s="20">
        <v>6963.4955</v>
      </c>
      <c r="F547" s="20">
        <f t="shared" si="118"/>
        <v>181051</v>
      </c>
      <c r="G547" s="20">
        <v>9106.1095000000005</v>
      </c>
      <c r="H547" s="20">
        <f t="shared" si="119"/>
        <v>236759</v>
      </c>
      <c r="I547" s="20">
        <v>1168.8914</v>
      </c>
      <c r="J547" s="20">
        <f t="shared" si="120"/>
        <v>30391</v>
      </c>
      <c r="K547" s="20">
        <f t="shared" si="121"/>
        <v>17238.4964</v>
      </c>
      <c r="L547" s="20">
        <f t="shared" si="122"/>
        <v>448201</v>
      </c>
      <c r="M547" s="18"/>
      <c r="N547" s="44"/>
    </row>
    <row r="548" spans="1:14" ht="21" customHeight="1">
      <c r="A548" s="18" t="s">
        <v>739</v>
      </c>
      <c r="B548" s="18" t="s">
        <v>693</v>
      </c>
      <c r="C548" s="20">
        <v>324</v>
      </c>
      <c r="D548" s="21" t="s">
        <v>93</v>
      </c>
      <c r="E548" s="20">
        <v>6963.4955</v>
      </c>
      <c r="F548" s="20">
        <f t="shared" si="118"/>
        <v>2256173</v>
      </c>
      <c r="G548" s="20">
        <v>4820.8814999999995</v>
      </c>
      <c r="H548" s="20">
        <f t="shared" si="119"/>
        <v>1561966</v>
      </c>
      <c r="I548" s="20">
        <v>1168.8914</v>
      </c>
      <c r="J548" s="20">
        <f t="shared" si="120"/>
        <v>378721</v>
      </c>
      <c r="K548" s="20">
        <f t="shared" si="121"/>
        <v>12953.268400000001</v>
      </c>
      <c r="L548" s="20">
        <f t="shared" si="122"/>
        <v>4196860</v>
      </c>
      <c r="M548" s="18"/>
      <c r="N548" s="44"/>
    </row>
    <row r="549" spans="1:14" ht="21" customHeight="1">
      <c r="A549" s="18" t="s">
        <v>740</v>
      </c>
      <c r="B549" s="18" t="s">
        <v>741</v>
      </c>
      <c r="C549" s="20">
        <v>1</v>
      </c>
      <c r="D549" s="21" t="s">
        <v>93</v>
      </c>
      <c r="E549" s="20">
        <v>6963.4955</v>
      </c>
      <c r="F549" s="20">
        <f t="shared" si="118"/>
        <v>6963</v>
      </c>
      <c r="G549" s="20">
        <v>4820.8814999999995</v>
      </c>
      <c r="H549" s="20">
        <f t="shared" si="119"/>
        <v>4821</v>
      </c>
      <c r="I549" s="20">
        <v>1168.8914</v>
      </c>
      <c r="J549" s="20">
        <f t="shared" si="120"/>
        <v>1169</v>
      </c>
      <c r="K549" s="20">
        <f t="shared" si="121"/>
        <v>12953.268400000001</v>
      </c>
      <c r="L549" s="20">
        <f t="shared" si="122"/>
        <v>12953</v>
      </c>
      <c r="M549" s="18"/>
      <c r="N549" s="44"/>
    </row>
    <row r="550" spans="1:14" ht="21" customHeight="1">
      <c r="A550" s="18" t="s">
        <v>742</v>
      </c>
      <c r="B550" s="18" t="s">
        <v>697</v>
      </c>
      <c r="C550" s="20">
        <v>211</v>
      </c>
      <c r="D550" s="21" t="s">
        <v>93</v>
      </c>
      <c r="E550" s="20">
        <v>6963.4955</v>
      </c>
      <c r="F550" s="20">
        <f t="shared" si="118"/>
        <v>1469298</v>
      </c>
      <c r="G550" s="20">
        <v>4820.8814999999995</v>
      </c>
      <c r="H550" s="20">
        <f t="shared" si="119"/>
        <v>1017206</v>
      </c>
      <c r="I550" s="20">
        <v>1168.8914</v>
      </c>
      <c r="J550" s="20">
        <f t="shared" si="120"/>
        <v>246636</v>
      </c>
      <c r="K550" s="20">
        <f t="shared" si="121"/>
        <v>12953.268400000001</v>
      </c>
      <c r="L550" s="20">
        <f t="shared" si="122"/>
        <v>2733140</v>
      </c>
      <c r="M550" s="18"/>
      <c r="N550" s="44"/>
    </row>
    <row r="551" spans="1:14" ht="21" customHeight="1">
      <c r="A551" s="18" t="s">
        <v>743</v>
      </c>
      <c r="B551" s="18" t="s">
        <v>699</v>
      </c>
      <c r="C551" s="20">
        <v>26</v>
      </c>
      <c r="D551" s="21" t="s">
        <v>93</v>
      </c>
      <c r="E551" s="20">
        <v>6963.4955</v>
      </c>
      <c r="F551" s="20">
        <f t="shared" si="118"/>
        <v>181051</v>
      </c>
      <c r="G551" s="20">
        <v>4820.8814999999995</v>
      </c>
      <c r="H551" s="20">
        <f t="shared" si="119"/>
        <v>125343</v>
      </c>
      <c r="I551" s="20">
        <v>1168.8914</v>
      </c>
      <c r="J551" s="20">
        <f t="shared" si="120"/>
        <v>30391</v>
      </c>
      <c r="K551" s="20">
        <f t="shared" si="121"/>
        <v>12953.268400000001</v>
      </c>
      <c r="L551" s="20">
        <f t="shared" si="122"/>
        <v>336785</v>
      </c>
      <c r="M551" s="18"/>
      <c r="N551" s="44"/>
    </row>
    <row r="552" spans="1:14" ht="21" customHeight="1">
      <c r="A552" s="18" t="s">
        <v>744</v>
      </c>
      <c r="B552" s="18"/>
      <c r="C552" s="19"/>
      <c r="D552" s="19"/>
      <c r="E552" s="19">
        <v>0</v>
      </c>
      <c r="F552" s="19"/>
      <c r="G552" s="19">
        <v>0</v>
      </c>
      <c r="H552" s="19"/>
      <c r="I552" s="19">
        <v>0</v>
      </c>
      <c r="J552" s="19"/>
      <c r="K552" s="19"/>
      <c r="L552" s="19"/>
      <c r="M552" s="19"/>
      <c r="N552" s="44"/>
    </row>
    <row r="553" spans="1:14" ht="21" customHeight="1">
      <c r="A553" s="18" t="s">
        <v>745</v>
      </c>
      <c r="B553" s="18" t="s">
        <v>746</v>
      </c>
      <c r="C553" s="20">
        <v>41</v>
      </c>
      <c r="D553" s="21" t="s">
        <v>179</v>
      </c>
      <c r="E553" s="20">
        <v>48208.815000000002</v>
      </c>
      <c r="F553" s="20">
        <f>ROUND(E553*C553,0)</f>
        <v>1976561</v>
      </c>
      <c r="G553" s="20">
        <v>37495.745000000003</v>
      </c>
      <c r="H553" s="20">
        <f>ROUND(G553*C553,0)</f>
        <v>1537326</v>
      </c>
      <c r="I553" s="20">
        <v>5846.5783999999994</v>
      </c>
      <c r="J553" s="20">
        <f>ROUND(I553*C553,0)</f>
        <v>239710</v>
      </c>
      <c r="K553" s="20">
        <f t="shared" ref="K553:L556" si="123">E553+G553+I553</f>
        <v>91551.138399999996</v>
      </c>
      <c r="L553" s="20">
        <f t="shared" si="123"/>
        <v>3753597</v>
      </c>
      <c r="M553" s="18"/>
      <c r="N553" s="44"/>
    </row>
    <row r="554" spans="1:14" ht="21" customHeight="1">
      <c r="A554" s="18" t="s">
        <v>747</v>
      </c>
      <c r="B554" s="18" t="s">
        <v>748</v>
      </c>
      <c r="C554" s="20">
        <v>6</v>
      </c>
      <c r="D554" s="21" t="s">
        <v>179</v>
      </c>
      <c r="E554" s="20">
        <v>321392.09999999998</v>
      </c>
      <c r="F554" s="20">
        <f>ROUND(E554*C554,0)</f>
        <v>1928353</v>
      </c>
      <c r="G554" s="20">
        <v>160696.04999999999</v>
      </c>
      <c r="H554" s="20">
        <f>ROUND(G554*C554,0)</f>
        <v>964176</v>
      </c>
      <c r="I554" s="20">
        <v>0</v>
      </c>
      <c r="J554" s="20">
        <f>ROUND(I554*C554,0)</f>
        <v>0</v>
      </c>
      <c r="K554" s="20">
        <f t="shared" si="123"/>
        <v>482088.14999999997</v>
      </c>
      <c r="L554" s="20">
        <f t="shared" si="123"/>
        <v>2892529</v>
      </c>
      <c r="M554" s="18"/>
      <c r="N554" s="44"/>
    </row>
    <row r="555" spans="1:14" ht="21" customHeight="1">
      <c r="A555" s="18" t="s">
        <v>749</v>
      </c>
      <c r="B555" s="18" t="s">
        <v>750</v>
      </c>
      <c r="C555" s="20">
        <v>25</v>
      </c>
      <c r="D555" s="21" t="s">
        <v>201</v>
      </c>
      <c r="E555" s="20">
        <v>267826.75</v>
      </c>
      <c r="F555" s="20">
        <f>ROUND(E555*C555,0)</f>
        <v>6695669</v>
      </c>
      <c r="G555" s="20">
        <v>107130.7</v>
      </c>
      <c r="H555" s="20">
        <f>ROUND(G555*C555,0)</f>
        <v>2678268</v>
      </c>
      <c r="I555" s="20">
        <v>58467.905399999996</v>
      </c>
      <c r="J555" s="20">
        <f>ROUND(I555*C555,0)</f>
        <v>1461698</v>
      </c>
      <c r="K555" s="20">
        <f t="shared" si="123"/>
        <v>433425.3554</v>
      </c>
      <c r="L555" s="20">
        <f t="shared" si="123"/>
        <v>10835635</v>
      </c>
      <c r="M555" s="18"/>
      <c r="N555" s="44"/>
    </row>
    <row r="556" spans="1:14" ht="21" customHeight="1">
      <c r="A556" s="18" t="s">
        <v>751</v>
      </c>
      <c r="B556" s="18" t="s">
        <v>380</v>
      </c>
      <c r="C556" s="20">
        <v>10</v>
      </c>
      <c r="D556" s="21" t="s">
        <v>376</v>
      </c>
      <c r="E556" s="20">
        <v>0</v>
      </c>
      <c r="F556" s="20">
        <f>ROUND(E556*C556,0)</f>
        <v>0</v>
      </c>
      <c r="G556" s="20">
        <v>0</v>
      </c>
      <c r="H556" s="20">
        <f>ROUND(G556*C556,0)</f>
        <v>0</v>
      </c>
      <c r="I556" s="20">
        <v>1168.8914</v>
      </c>
      <c r="J556" s="20">
        <f>ROUND(I556*C556,0)</f>
        <v>11689</v>
      </c>
      <c r="K556" s="20">
        <f t="shared" si="123"/>
        <v>1168.8914</v>
      </c>
      <c r="L556" s="20">
        <f t="shared" si="123"/>
        <v>11689</v>
      </c>
      <c r="M556" s="18"/>
      <c r="N556" s="44"/>
    </row>
    <row r="557" spans="1:14" ht="21" customHeight="1">
      <c r="A557" s="18" t="s">
        <v>752</v>
      </c>
      <c r="B557" s="18"/>
      <c r="C557" s="19"/>
      <c r="D557" s="19"/>
      <c r="E557" s="19">
        <v>0</v>
      </c>
      <c r="F557" s="19"/>
      <c r="G557" s="19">
        <v>0</v>
      </c>
      <c r="H557" s="19"/>
      <c r="I557" s="19">
        <v>0</v>
      </c>
      <c r="J557" s="19"/>
      <c r="K557" s="19"/>
      <c r="L557" s="19"/>
      <c r="M557" s="19"/>
      <c r="N557" s="44"/>
    </row>
    <row r="558" spans="1:14" ht="21" customHeight="1">
      <c r="A558" s="18" t="s">
        <v>608</v>
      </c>
      <c r="B558" s="18" t="s">
        <v>404</v>
      </c>
      <c r="C558" s="20">
        <v>188</v>
      </c>
      <c r="D558" s="21" t="s">
        <v>99</v>
      </c>
      <c r="E558" s="20">
        <v>94275.016000000003</v>
      </c>
      <c r="F558" s="20">
        <f t="shared" ref="F558:F578" si="124">ROUND(E558*C558,0)</f>
        <v>17723703</v>
      </c>
      <c r="G558" s="20">
        <v>0</v>
      </c>
      <c r="H558" s="20">
        <f t="shared" ref="H558:H578" si="125">ROUND(G558*C558,0)</f>
        <v>0</v>
      </c>
      <c r="I558" s="20">
        <v>0</v>
      </c>
      <c r="J558" s="20">
        <f t="shared" ref="J558:J578" si="126">ROUND(I558*C558,0)</f>
        <v>0</v>
      </c>
      <c r="K558" s="20">
        <f t="shared" ref="K558:K578" si="127">E558+G558+I558</f>
        <v>94275.016000000003</v>
      </c>
      <c r="L558" s="20">
        <f t="shared" ref="L558:L578" si="128">F558+H558+J558</f>
        <v>17723703</v>
      </c>
      <c r="M558" s="18"/>
      <c r="N558" s="44"/>
    </row>
    <row r="559" spans="1:14" ht="21" customHeight="1">
      <c r="A559" s="18" t="s">
        <v>753</v>
      </c>
      <c r="B559" s="18" t="s">
        <v>754</v>
      </c>
      <c r="C559" s="20">
        <v>42</v>
      </c>
      <c r="D559" s="21" t="s">
        <v>99</v>
      </c>
      <c r="E559" s="20">
        <v>92346.663400000005</v>
      </c>
      <c r="F559" s="20">
        <f t="shared" si="124"/>
        <v>3878560</v>
      </c>
      <c r="G559" s="20">
        <v>0</v>
      </c>
      <c r="H559" s="20">
        <f t="shared" si="125"/>
        <v>0</v>
      </c>
      <c r="I559" s="20">
        <v>0</v>
      </c>
      <c r="J559" s="20">
        <f t="shared" si="126"/>
        <v>0</v>
      </c>
      <c r="K559" s="20">
        <f t="shared" si="127"/>
        <v>92346.663400000005</v>
      </c>
      <c r="L559" s="20">
        <f t="shared" si="128"/>
        <v>3878560</v>
      </c>
      <c r="M559" s="18"/>
      <c r="N559" s="44"/>
    </row>
    <row r="560" spans="1:14" ht="21" customHeight="1">
      <c r="A560" s="18" t="s">
        <v>755</v>
      </c>
      <c r="B560" s="18" t="s">
        <v>375</v>
      </c>
      <c r="C560" s="20">
        <v>10</v>
      </c>
      <c r="D560" s="21" t="s">
        <v>376</v>
      </c>
      <c r="E560" s="20">
        <v>6320.7112999999999</v>
      </c>
      <c r="F560" s="20">
        <f t="shared" si="124"/>
        <v>63207</v>
      </c>
      <c r="G560" s="20">
        <v>0</v>
      </c>
      <c r="H560" s="20">
        <f t="shared" si="125"/>
        <v>0</v>
      </c>
      <c r="I560" s="20">
        <v>0</v>
      </c>
      <c r="J560" s="20">
        <f t="shared" si="126"/>
        <v>0</v>
      </c>
      <c r="K560" s="20">
        <f t="shared" si="127"/>
        <v>6320.7112999999999</v>
      </c>
      <c r="L560" s="20">
        <f t="shared" si="128"/>
        <v>63207</v>
      </c>
      <c r="M560" s="18"/>
      <c r="N560" s="44"/>
    </row>
    <row r="561" spans="1:14" ht="21" customHeight="1">
      <c r="A561" s="18" t="s">
        <v>756</v>
      </c>
      <c r="B561" s="18" t="s">
        <v>383</v>
      </c>
      <c r="C561" s="20">
        <v>88</v>
      </c>
      <c r="D561" s="21" t="s">
        <v>99</v>
      </c>
      <c r="E561" s="20">
        <v>27853.982</v>
      </c>
      <c r="F561" s="20">
        <f t="shared" si="124"/>
        <v>2451150</v>
      </c>
      <c r="G561" s="20">
        <v>0</v>
      </c>
      <c r="H561" s="20">
        <f t="shared" si="125"/>
        <v>0</v>
      </c>
      <c r="I561" s="20">
        <v>0</v>
      </c>
      <c r="J561" s="20">
        <f t="shared" si="126"/>
        <v>0</v>
      </c>
      <c r="K561" s="20">
        <f t="shared" si="127"/>
        <v>27853.982</v>
      </c>
      <c r="L561" s="20">
        <f t="shared" si="128"/>
        <v>2451150</v>
      </c>
      <c r="M561" s="18"/>
      <c r="N561" s="44"/>
    </row>
    <row r="562" spans="1:14" ht="21" customHeight="1">
      <c r="A562" s="18" t="s">
        <v>757</v>
      </c>
      <c r="B562" s="18" t="s">
        <v>615</v>
      </c>
      <c r="C562" s="20">
        <v>311</v>
      </c>
      <c r="D562" s="21" t="s">
        <v>99</v>
      </c>
      <c r="E562" s="20">
        <v>19283.525999999998</v>
      </c>
      <c r="F562" s="20">
        <f t="shared" si="124"/>
        <v>5997177</v>
      </c>
      <c r="G562" s="20">
        <v>0</v>
      </c>
      <c r="H562" s="20">
        <f t="shared" si="125"/>
        <v>0</v>
      </c>
      <c r="I562" s="20">
        <v>0</v>
      </c>
      <c r="J562" s="20">
        <f t="shared" si="126"/>
        <v>0</v>
      </c>
      <c r="K562" s="20">
        <f t="shared" si="127"/>
        <v>19283.525999999998</v>
      </c>
      <c r="L562" s="20">
        <f t="shared" si="128"/>
        <v>5997177</v>
      </c>
      <c r="M562" s="18"/>
      <c r="N562" s="44"/>
    </row>
    <row r="563" spans="1:14" ht="21" customHeight="1">
      <c r="A563" s="18" t="s">
        <v>758</v>
      </c>
      <c r="B563" s="18" t="s">
        <v>759</v>
      </c>
      <c r="C563" s="20">
        <v>1014</v>
      </c>
      <c r="D563" s="21" t="s">
        <v>99</v>
      </c>
      <c r="E563" s="20">
        <v>19283.525999999998</v>
      </c>
      <c r="F563" s="20">
        <f t="shared" si="124"/>
        <v>19553495</v>
      </c>
      <c r="G563" s="20">
        <v>0</v>
      </c>
      <c r="H563" s="20">
        <f t="shared" si="125"/>
        <v>0</v>
      </c>
      <c r="I563" s="20">
        <v>0</v>
      </c>
      <c r="J563" s="20">
        <f t="shared" si="126"/>
        <v>0</v>
      </c>
      <c r="K563" s="20">
        <f t="shared" si="127"/>
        <v>19283.525999999998</v>
      </c>
      <c r="L563" s="20">
        <f t="shared" si="128"/>
        <v>19553495</v>
      </c>
      <c r="M563" s="18"/>
      <c r="N563" s="44"/>
    </row>
    <row r="564" spans="1:14" ht="21" customHeight="1">
      <c r="A564" s="18" t="s">
        <v>760</v>
      </c>
      <c r="B564" s="18" t="s">
        <v>759</v>
      </c>
      <c r="C564" s="20">
        <v>676</v>
      </c>
      <c r="D564" s="21" t="s">
        <v>99</v>
      </c>
      <c r="E564" s="20">
        <v>19283.525999999998</v>
      </c>
      <c r="F564" s="20">
        <f t="shared" si="124"/>
        <v>13035664</v>
      </c>
      <c r="G564" s="20">
        <v>0</v>
      </c>
      <c r="H564" s="20">
        <f t="shared" si="125"/>
        <v>0</v>
      </c>
      <c r="I564" s="20">
        <v>0</v>
      </c>
      <c r="J564" s="20">
        <f t="shared" si="126"/>
        <v>0</v>
      </c>
      <c r="K564" s="20">
        <f t="shared" si="127"/>
        <v>19283.525999999998</v>
      </c>
      <c r="L564" s="20">
        <f t="shared" si="128"/>
        <v>13035664</v>
      </c>
      <c r="M564" s="18"/>
      <c r="N564" s="44"/>
    </row>
    <row r="565" spans="1:14" ht="21" customHeight="1">
      <c r="A565" s="18" t="s">
        <v>761</v>
      </c>
      <c r="B565" s="18" t="s">
        <v>762</v>
      </c>
      <c r="C565" s="20">
        <v>54</v>
      </c>
      <c r="D565" s="21" t="s">
        <v>763</v>
      </c>
      <c r="E565" s="20">
        <v>289252.89</v>
      </c>
      <c r="F565" s="20">
        <f t="shared" si="124"/>
        <v>15619656</v>
      </c>
      <c r="G565" s="20">
        <v>0</v>
      </c>
      <c r="H565" s="20">
        <f t="shared" si="125"/>
        <v>0</v>
      </c>
      <c r="I565" s="20">
        <v>0</v>
      </c>
      <c r="J565" s="20">
        <f t="shared" si="126"/>
        <v>0</v>
      </c>
      <c r="K565" s="20">
        <f t="shared" si="127"/>
        <v>289252.89</v>
      </c>
      <c r="L565" s="20">
        <f t="shared" si="128"/>
        <v>15619656</v>
      </c>
      <c r="M565" s="18"/>
      <c r="N565" s="44"/>
    </row>
    <row r="566" spans="1:14" ht="21" customHeight="1">
      <c r="A566" s="18" t="s">
        <v>764</v>
      </c>
      <c r="B566" s="18" t="s">
        <v>765</v>
      </c>
      <c r="C566" s="20">
        <v>46</v>
      </c>
      <c r="D566" s="21" t="s">
        <v>763</v>
      </c>
      <c r="E566" s="20">
        <v>289252.89</v>
      </c>
      <c r="F566" s="20">
        <f t="shared" si="124"/>
        <v>13305633</v>
      </c>
      <c r="G566" s="20">
        <v>0</v>
      </c>
      <c r="H566" s="20">
        <f t="shared" si="125"/>
        <v>0</v>
      </c>
      <c r="I566" s="20">
        <v>0</v>
      </c>
      <c r="J566" s="20">
        <f t="shared" si="126"/>
        <v>0</v>
      </c>
      <c r="K566" s="20">
        <f t="shared" si="127"/>
        <v>289252.89</v>
      </c>
      <c r="L566" s="20">
        <f t="shared" si="128"/>
        <v>13305633</v>
      </c>
      <c r="M566" s="18"/>
      <c r="N566" s="44"/>
    </row>
    <row r="567" spans="1:14" ht="21" customHeight="1">
      <c r="A567" s="18" t="s">
        <v>766</v>
      </c>
      <c r="B567" s="18" t="s">
        <v>767</v>
      </c>
      <c r="C567" s="20">
        <v>880</v>
      </c>
      <c r="D567" s="21" t="s">
        <v>391</v>
      </c>
      <c r="E567" s="20">
        <v>108202.007</v>
      </c>
      <c r="F567" s="20">
        <f t="shared" si="124"/>
        <v>95217766</v>
      </c>
      <c r="G567" s="20">
        <v>0</v>
      </c>
      <c r="H567" s="20">
        <f t="shared" si="125"/>
        <v>0</v>
      </c>
      <c r="I567" s="20">
        <v>0</v>
      </c>
      <c r="J567" s="20">
        <f t="shared" si="126"/>
        <v>0</v>
      </c>
      <c r="K567" s="20">
        <f t="shared" si="127"/>
        <v>108202.007</v>
      </c>
      <c r="L567" s="20">
        <f t="shared" si="128"/>
        <v>95217766</v>
      </c>
      <c r="M567" s="18"/>
      <c r="N567" s="44"/>
    </row>
    <row r="568" spans="1:14" ht="21" customHeight="1">
      <c r="A568" s="18" t="s">
        <v>768</v>
      </c>
      <c r="B568" s="18" t="s">
        <v>769</v>
      </c>
      <c r="C568" s="20">
        <v>702</v>
      </c>
      <c r="D568" s="21" t="s">
        <v>391</v>
      </c>
      <c r="E568" s="20">
        <v>101774.16499999999</v>
      </c>
      <c r="F568" s="20">
        <f t="shared" si="124"/>
        <v>71445464</v>
      </c>
      <c r="G568" s="20">
        <v>0</v>
      </c>
      <c r="H568" s="20">
        <f t="shared" si="125"/>
        <v>0</v>
      </c>
      <c r="I568" s="20">
        <v>0</v>
      </c>
      <c r="J568" s="20">
        <f t="shared" si="126"/>
        <v>0</v>
      </c>
      <c r="K568" s="20">
        <f t="shared" si="127"/>
        <v>101774.16499999999</v>
      </c>
      <c r="L568" s="20">
        <f t="shared" si="128"/>
        <v>71445464</v>
      </c>
      <c r="M568" s="18"/>
      <c r="N568" s="44"/>
    </row>
    <row r="569" spans="1:14" ht="21" customHeight="1">
      <c r="A569" s="18" t="s">
        <v>770</v>
      </c>
      <c r="B569" s="18" t="s">
        <v>771</v>
      </c>
      <c r="C569" s="20">
        <v>669</v>
      </c>
      <c r="D569" s="21" t="s">
        <v>391</v>
      </c>
      <c r="E569" s="20">
        <v>97488.936999999991</v>
      </c>
      <c r="F569" s="20">
        <f t="shared" si="124"/>
        <v>65220099</v>
      </c>
      <c r="G569" s="20">
        <v>0</v>
      </c>
      <c r="H569" s="20">
        <f t="shared" si="125"/>
        <v>0</v>
      </c>
      <c r="I569" s="20">
        <v>0</v>
      </c>
      <c r="J569" s="20">
        <f t="shared" si="126"/>
        <v>0</v>
      </c>
      <c r="K569" s="20">
        <f t="shared" si="127"/>
        <v>97488.936999999991</v>
      </c>
      <c r="L569" s="20">
        <f t="shared" si="128"/>
        <v>65220099</v>
      </c>
      <c r="M569" s="18"/>
      <c r="N569" s="44"/>
    </row>
    <row r="570" spans="1:14" ht="21" customHeight="1">
      <c r="A570" s="18" t="s">
        <v>772</v>
      </c>
      <c r="B570" s="18" t="s">
        <v>773</v>
      </c>
      <c r="C570" s="20">
        <v>1501</v>
      </c>
      <c r="D570" s="21" t="s">
        <v>391</v>
      </c>
      <c r="E570" s="20">
        <v>91061.095000000001</v>
      </c>
      <c r="F570" s="20">
        <f t="shared" si="124"/>
        <v>136682704</v>
      </c>
      <c r="G570" s="20">
        <v>0</v>
      </c>
      <c r="H570" s="20">
        <f t="shared" si="125"/>
        <v>0</v>
      </c>
      <c r="I570" s="20">
        <v>0</v>
      </c>
      <c r="J570" s="20">
        <f t="shared" si="126"/>
        <v>0</v>
      </c>
      <c r="K570" s="20">
        <f t="shared" si="127"/>
        <v>91061.095000000001</v>
      </c>
      <c r="L570" s="20">
        <f t="shared" si="128"/>
        <v>136682704</v>
      </c>
      <c r="M570" s="18"/>
      <c r="N570" s="44"/>
    </row>
    <row r="571" spans="1:14" ht="21" customHeight="1">
      <c r="A571" s="18" t="s">
        <v>774</v>
      </c>
      <c r="B571" s="18" t="s">
        <v>775</v>
      </c>
      <c r="C571" s="20">
        <v>1272</v>
      </c>
      <c r="D571" s="21" t="s">
        <v>365</v>
      </c>
      <c r="E571" s="20">
        <v>19283.525999999998</v>
      </c>
      <c r="F571" s="20">
        <f t="shared" si="124"/>
        <v>24528645</v>
      </c>
      <c r="G571" s="20">
        <v>0</v>
      </c>
      <c r="H571" s="20">
        <f t="shared" si="125"/>
        <v>0</v>
      </c>
      <c r="I571" s="20">
        <v>0</v>
      </c>
      <c r="J571" s="20">
        <f t="shared" si="126"/>
        <v>0</v>
      </c>
      <c r="K571" s="20">
        <f t="shared" si="127"/>
        <v>19283.525999999998</v>
      </c>
      <c r="L571" s="20">
        <f t="shared" si="128"/>
        <v>24528645</v>
      </c>
      <c r="M571" s="18"/>
      <c r="N571" s="44"/>
    </row>
    <row r="572" spans="1:14" ht="21" customHeight="1">
      <c r="A572" s="18" t="s">
        <v>776</v>
      </c>
      <c r="B572" s="18" t="s">
        <v>777</v>
      </c>
      <c r="C572" s="20">
        <v>117</v>
      </c>
      <c r="D572" s="21" t="s">
        <v>365</v>
      </c>
      <c r="E572" s="20">
        <v>28925.289000000001</v>
      </c>
      <c r="F572" s="20">
        <f t="shared" si="124"/>
        <v>3384259</v>
      </c>
      <c r="G572" s="20">
        <v>0</v>
      </c>
      <c r="H572" s="20">
        <f t="shared" si="125"/>
        <v>0</v>
      </c>
      <c r="I572" s="20">
        <v>0</v>
      </c>
      <c r="J572" s="20">
        <f t="shared" si="126"/>
        <v>0</v>
      </c>
      <c r="K572" s="20">
        <f t="shared" si="127"/>
        <v>28925.289000000001</v>
      </c>
      <c r="L572" s="20">
        <f t="shared" si="128"/>
        <v>3384259</v>
      </c>
      <c r="M572" s="18"/>
      <c r="N572" s="44"/>
    </row>
    <row r="573" spans="1:14" ht="21" customHeight="1">
      <c r="A573" s="18" t="s">
        <v>778</v>
      </c>
      <c r="B573" s="18" t="s">
        <v>779</v>
      </c>
      <c r="C573" s="20">
        <v>87</v>
      </c>
      <c r="D573" s="21" t="s">
        <v>365</v>
      </c>
      <c r="E573" s="20">
        <v>31067.902999999998</v>
      </c>
      <c r="F573" s="20">
        <f t="shared" si="124"/>
        <v>2702908</v>
      </c>
      <c r="G573" s="20">
        <v>0</v>
      </c>
      <c r="H573" s="20">
        <f t="shared" si="125"/>
        <v>0</v>
      </c>
      <c r="I573" s="20">
        <v>0</v>
      </c>
      <c r="J573" s="20">
        <f t="shared" si="126"/>
        <v>0</v>
      </c>
      <c r="K573" s="20">
        <f t="shared" si="127"/>
        <v>31067.902999999998</v>
      </c>
      <c r="L573" s="20">
        <f t="shared" si="128"/>
        <v>2702908</v>
      </c>
      <c r="M573" s="18"/>
      <c r="N573" s="44"/>
    </row>
    <row r="574" spans="1:14" ht="21" customHeight="1">
      <c r="A574" s="18" t="s">
        <v>780</v>
      </c>
      <c r="B574" s="18" t="s">
        <v>781</v>
      </c>
      <c r="C574" s="20">
        <v>116</v>
      </c>
      <c r="D574" s="21" t="s">
        <v>365</v>
      </c>
      <c r="E574" s="20">
        <v>18212.219000000001</v>
      </c>
      <c r="F574" s="20">
        <f t="shared" si="124"/>
        <v>2112617</v>
      </c>
      <c r="G574" s="20">
        <v>0</v>
      </c>
      <c r="H574" s="20">
        <f t="shared" si="125"/>
        <v>0</v>
      </c>
      <c r="I574" s="20">
        <v>0</v>
      </c>
      <c r="J574" s="20">
        <f t="shared" si="126"/>
        <v>0</v>
      </c>
      <c r="K574" s="20">
        <f t="shared" si="127"/>
        <v>18212.219000000001</v>
      </c>
      <c r="L574" s="20">
        <f t="shared" si="128"/>
        <v>2112617</v>
      </c>
      <c r="M574" s="18"/>
      <c r="N574" s="44"/>
    </row>
    <row r="575" spans="1:14" ht="21" customHeight="1">
      <c r="A575" s="18" t="s">
        <v>782</v>
      </c>
      <c r="B575" s="18" t="s">
        <v>783</v>
      </c>
      <c r="C575" s="20">
        <v>1336</v>
      </c>
      <c r="D575" s="21" t="s">
        <v>365</v>
      </c>
      <c r="E575" s="20">
        <v>9106.1095000000005</v>
      </c>
      <c r="F575" s="20">
        <f t="shared" si="124"/>
        <v>12165762</v>
      </c>
      <c r="G575" s="20">
        <v>0</v>
      </c>
      <c r="H575" s="20">
        <f t="shared" si="125"/>
        <v>0</v>
      </c>
      <c r="I575" s="20">
        <v>0</v>
      </c>
      <c r="J575" s="20">
        <f t="shared" si="126"/>
        <v>0</v>
      </c>
      <c r="K575" s="20">
        <f t="shared" si="127"/>
        <v>9106.1095000000005</v>
      </c>
      <c r="L575" s="20">
        <f t="shared" si="128"/>
        <v>12165762</v>
      </c>
      <c r="M575" s="18"/>
      <c r="N575" s="44"/>
    </row>
    <row r="576" spans="1:14" ht="21" customHeight="1">
      <c r="A576" s="18" t="s">
        <v>784</v>
      </c>
      <c r="B576" s="18" t="s">
        <v>785</v>
      </c>
      <c r="C576" s="20">
        <v>2750</v>
      </c>
      <c r="D576" s="21" t="s">
        <v>93</v>
      </c>
      <c r="E576" s="20">
        <v>13498.468199999999</v>
      </c>
      <c r="F576" s="20">
        <f t="shared" si="124"/>
        <v>37120788</v>
      </c>
      <c r="G576" s="20">
        <v>0</v>
      </c>
      <c r="H576" s="20">
        <f t="shared" si="125"/>
        <v>0</v>
      </c>
      <c r="I576" s="20">
        <v>0</v>
      </c>
      <c r="J576" s="20">
        <f t="shared" si="126"/>
        <v>0</v>
      </c>
      <c r="K576" s="20">
        <f t="shared" si="127"/>
        <v>13498.468199999999</v>
      </c>
      <c r="L576" s="20">
        <f t="shared" si="128"/>
        <v>37120788</v>
      </c>
      <c r="M576" s="18"/>
      <c r="N576" s="44"/>
    </row>
    <row r="577" spans="1:14" ht="21" customHeight="1">
      <c r="A577" s="18" t="s">
        <v>786</v>
      </c>
      <c r="B577" s="18" t="s">
        <v>787</v>
      </c>
      <c r="C577" s="20">
        <v>300</v>
      </c>
      <c r="D577" s="21" t="s">
        <v>365</v>
      </c>
      <c r="E577" s="20">
        <v>4070.9665999999997</v>
      </c>
      <c r="F577" s="20">
        <f t="shared" si="124"/>
        <v>1221290</v>
      </c>
      <c r="G577" s="20">
        <v>0</v>
      </c>
      <c r="H577" s="20">
        <f t="shared" si="125"/>
        <v>0</v>
      </c>
      <c r="I577" s="20">
        <v>0</v>
      </c>
      <c r="J577" s="20">
        <f t="shared" si="126"/>
        <v>0</v>
      </c>
      <c r="K577" s="20">
        <f t="shared" si="127"/>
        <v>4070.9665999999997</v>
      </c>
      <c r="L577" s="20">
        <f t="shared" si="128"/>
        <v>1221290</v>
      </c>
      <c r="M577" s="18"/>
      <c r="N577" s="44"/>
    </row>
    <row r="578" spans="1:14" ht="21" customHeight="1">
      <c r="A578" s="18" t="s">
        <v>788</v>
      </c>
      <c r="B578" s="18" t="s">
        <v>787</v>
      </c>
      <c r="C578" s="20">
        <v>657</v>
      </c>
      <c r="D578" s="21" t="s">
        <v>365</v>
      </c>
      <c r="E578" s="20">
        <v>4070.9665999999997</v>
      </c>
      <c r="F578" s="20">
        <f t="shared" si="124"/>
        <v>2674625</v>
      </c>
      <c r="G578" s="20">
        <v>0</v>
      </c>
      <c r="H578" s="20">
        <f t="shared" si="125"/>
        <v>0</v>
      </c>
      <c r="I578" s="20">
        <v>0</v>
      </c>
      <c r="J578" s="20">
        <f t="shared" si="126"/>
        <v>0</v>
      </c>
      <c r="K578" s="20">
        <f t="shared" si="127"/>
        <v>4070.9665999999997</v>
      </c>
      <c r="L578" s="20">
        <f t="shared" si="128"/>
        <v>2674625</v>
      </c>
      <c r="M578" s="18"/>
      <c r="N578" s="44"/>
    </row>
    <row r="579" spans="1:14" ht="21" customHeight="1">
      <c r="A579" s="18"/>
      <c r="B579" s="18"/>
      <c r="C579" s="20"/>
      <c r="D579" s="21"/>
      <c r="E579" s="20"/>
      <c r="F579" s="20"/>
      <c r="G579" s="20"/>
      <c r="H579" s="20"/>
      <c r="I579" s="20"/>
      <c r="J579" s="20"/>
      <c r="K579" s="20"/>
      <c r="L579" s="20"/>
      <c r="M579" s="18"/>
      <c r="N579" s="44"/>
    </row>
    <row r="580" spans="1:14" ht="21" customHeight="1">
      <c r="A580" s="14" t="s">
        <v>789</v>
      </c>
      <c r="B580" s="15"/>
      <c r="C580" s="16"/>
      <c r="D580" s="16"/>
      <c r="E580" s="16"/>
      <c r="F580" s="17">
        <f>SUM(F582:F632)</f>
        <v>55404947</v>
      </c>
      <c r="G580" s="16"/>
      <c r="H580" s="17">
        <f>SUM(H582:H632)</f>
        <v>32846006</v>
      </c>
      <c r="I580" s="16"/>
      <c r="J580" s="17">
        <f>SUM(J582:J632)</f>
        <v>20683982</v>
      </c>
      <c r="K580" s="16"/>
      <c r="L580" s="17">
        <f>F580+H580+J580</f>
        <v>108934935</v>
      </c>
      <c r="M580" s="16"/>
    </row>
    <row r="581" spans="1:14" ht="21" customHeight="1">
      <c r="A581" s="18" t="s">
        <v>790</v>
      </c>
      <c r="B581" s="18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</row>
    <row r="582" spans="1:14" ht="21" customHeight="1">
      <c r="A582" s="18" t="s">
        <v>791</v>
      </c>
      <c r="B582" s="18" t="s">
        <v>344</v>
      </c>
      <c r="C582" s="20">
        <v>131</v>
      </c>
      <c r="D582" s="21" t="s">
        <v>99</v>
      </c>
      <c r="E582" s="20">
        <v>0</v>
      </c>
      <c r="F582" s="20">
        <f t="shared" ref="F582:F597" si="129">ROUND(E582*C582,0)</f>
        <v>0</v>
      </c>
      <c r="G582" s="20">
        <v>14998.297999999999</v>
      </c>
      <c r="H582" s="20">
        <f t="shared" ref="H582:H597" si="130">ROUND(G582*C582,0)</f>
        <v>1964777</v>
      </c>
      <c r="I582" s="20">
        <v>14383.092000000001</v>
      </c>
      <c r="J582" s="20">
        <f t="shared" ref="J582:J597" si="131">ROUND(I582*C582,0)</f>
        <v>1884185</v>
      </c>
      <c r="K582" s="20">
        <f t="shared" ref="K582:K597" si="132">E582+G582+I582</f>
        <v>29381.39</v>
      </c>
      <c r="L582" s="20">
        <f t="shared" ref="L582:L597" si="133">F582+H582+J582</f>
        <v>3848962</v>
      </c>
      <c r="M582" s="18"/>
      <c r="N582" s="44"/>
    </row>
    <row r="583" spans="1:14" ht="21" customHeight="1">
      <c r="A583" s="18" t="s">
        <v>792</v>
      </c>
      <c r="B583" s="18" t="s">
        <v>247</v>
      </c>
      <c r="C583" s="20">
        <v>16</v>
      </c>
      <c r="D583" s="21" t="s">
        <v>99</v>
      </c>
      <c r="E583" s="20">
        <v>0</v>
      </c>
      <c r="F583" s="20">
        <f t="shared" si="129"/>
        <v>0</v>
      </c>
      <c r="G583" s="20">
        <v>13926.991</v>
      </c>
      <c r="H583" s="20">
        <f t="shared" si="130"/>
        <v>222832</v>
      </c>
      <c r="I583" s="20">
        <v>12863.108899999999</v>
      </c>
      <c r="J583" s="20">
        <f t="shared" si="131"/>
        <v>205810</v>
      </c>
      <c r="K583" s="20">
        <f t="shared" si="132"/>
        <v>26790.099900000001</v>
      </c>
      <c r="L583" s="20">
        <f t="shared" si="133"/>
        <v>428642</v>
      </c>
      <c r="M583" s="18"/>
      <c r="N583" s="44"/>
    </row>
    <row r="584" spans="1:14" ht="21" customHeight="1">
      <c r="A584" s="18" t="s">
        <v>793</v>
      </c>
      <c r="B584" s="18" t="s">
        <v>794</v>
      </c>
      <c r="C584" s="22">
        <v>9.6229999999999993</v>
      </c>
      <c r="D584" s="21" t="s">
        <v>629</v>
      </c>
      <c r="E584" s="20">
        <v>80348.024999999994</v>
      </c>
      <c r="F584" s="20">
        <f t="shared" si="129"/>
        <v>773189</v>
      </c>
      <c r="G584" s="20">
        <v>589218.85</v>
      </c>
      <c r="H584" s="20">
        <f t="shared" si="130"/>
        <v>5670053</v>
      </c>
      <c r="I584" s="20">
        <v>99396.075599999996</v>
      </c>
      <c r="J584" s="20">
        <f t="shared" si="131"/>
        <v>956488</v>
      </c>
      <c r="K584" s="20">
        <f t="shared" si="132"/>
        <v>768962.95059999998</v>
      </c>
      <c r="L584" s="20">
        <f t="shared" si="133"/>
        <v>7399730</v>
      </c>
      <c r="M584" s="18"/>
      <c r="N584" s="44"/>
    </row>
    <row r="585" spans="1:14" ht="21" customHeight="1">
      <c r="A585" s="18" t="s">
        <v>795</v>
      </c>
      <c r="B585" s="18" t="s">
        <v>796</v>
      </c>
      <c r="C585" s="20">
        <v>136</v>
      </c>
      <c r="D585" s="21" t="s">
        <v>93</v>
      </c>
      <c r="E585" s="20">
        <v>5677.9270999999999</v>
      </c>
      <c r="F585" s="20">
        <f t="shared" si="129"/>
        <v>772198</v>
      </c>
      <c r="G585" s="20">
        <v>19283.525999999998</v>
      </c>
      <c r="H585" s="20">
        <f t="shared" si="130"/>
        <v>2622560</v>
      </c>
      <c r="I585" s="20">
        <v>2338.8434999999999</v>
      </c>
      <c r="J585" s="20">
        <f t="shared" si="131"/>
        <v>318083</v>
      </c>
      <c r="K585" s="20">
        <f t="shared" si="132"/>
        <v>27300.296599999998</v>
      </c>
      <c r="L585" s="20">
        <f t="shared" si="133"/>
        <v>3712841</v>
      </c>
      <c r="M585" s="18"/>
      <c r="N585" s="44"/>
    </row>
    <row r="586" spans="1:14" ht="21" customHeight="1">
      <c r="A586" s="18" t="s">
        <v>797</v>
      </c>
      <c r="B586" s="18" t="s">
        <v>472</v>
      </c>
      <c r="C586" s="20">
        <v>244</v>
      </c>
      <c r="D586" s="21" t="s">
        <v>93</v>
      </c>
      <c r="E586" s="20">
        <v>10177.416499999999</v>
      </c>
      <c r="F586" s="20">
        <f t="shared" si="129"/>
        <v>2483290</v>
      </c>
      <c r="G586" s="20">
        <v>34281.824000000001</v>
      </c>
      <c r="H586" s="20">
        <f t="shared" si="130"/>
        <v>8364765</v>
      </c>
      <c r="I586" s="20">
        <v>2338.8434999999999</v>
      </c>
      <c r="J586" s="20">
        <f t="shared" si="131"/>
        <v>570678</v>
      </c>
      <c r="K586" s="20">
        <f t="shared" si="132"/>
        <v>46798.084000000003</v>
      </c>
      <c r="L586" s="20">
        <f t="shared" si="133"/>
        <v>11418733</v>
      </c>
      <c r="M586" s="18"/>
      <c r="N586" s="44"/>
    </row>
    <row r="587" spans="1:14" ht="21" customHeight="1">
      <c r="A587" s="18" t="s">
        <v>798</v>
      </c>
      <c r="B587" s="18" t="s">
        <v>249</v>
      </c>
      <c r="C587" s="20">
        <v>6</v>
      </c>
      <c r="D587" s="21" t="s">
        <v>93</v>
      </c>
      <c r="E587" s="20">
        <v>8034.8024999999998</v>
      </c>
      <c r="F587" s="20">
        <f t="shared" si="129"/>
        <v>48209</v>
      </c>
      <c r="G587" s="20">
        <v>21426.14</v>
      </c>
      <c r="H587" s="20">
        <f t="shared" si="130"/>
        <v>128557</v>
      </c>
      <c r="I587" s="20">
        <v>4093.2412999999997</v>
      </c>
      <c r="J587" s="20">
        <f t="shared" si="131"/>
        <v>24559</v>
      </c>
      <c r="K587" s="20">
        <f t="shared" si="132"/>
        <v>33554.183799999999</v>
      </c>
      <c r="L587" s="20">
        <f t="shared" si="133"/>
        <v>201325</v>
      </c>
      <c r="M587" s="18"/>
      <c r="N587" s="44"/>
    </row>
    <row r="588" spans="1:14" ht="21" customHeight="1">
      <c r="A588" s="18" t="s">
        <v>799</v>
      </c>
      <c r="B588" s="18" t="s">
        <v>800</v>
      </c>
      <c r="C588" s="20">
        <v>127</v>
      </c>
      <c r="D588" s="21" t="s">
        <v>93</v>
      </c>
      <c r="E588" s="20">
        <v>4820.8814999999995</v>
      </c>
      <c r="F588" s="20">
        <f t="shared" si="129"/>
        <v>612252</v>
      </c>
      <c r="G588" s="20">
        <v>12855.683999999999</v>
      </c>
      <c r="H588" s="20">
        <f t="shared" si="130"/>
        <v>1632672</v>
      </c>
      <c r="I588" s="20">
        <v>2338.8434999999999</v>
      </c>
      <c r="J588" s="20">
        <f t="shared" si="131"/>
        <v>297033</v>
      </c>
      <c r="K588" s="20">
        <f t="shared" si="132"/>
        <v>20015.408999999996</v>
      </c>
      <c r="L588" s="20">
        <f t="shared" si="133"/>
        <v>2541957</v>
      </c>
      <c r="M588" s="18"/>
      <c r="N588" s="44"/>
    </row>
    <row r="589" spans="1:14" ht="21" customHeight="1">
      <c r="A589" s="18" t="s">
        <v>801</v>
      </c>
      <c r="B589" s="18" t="s">
        <v>802</v>
      </c>
      <c r="C589" s="20">
        <v>229</v>
      </c>
      <c r="D589" s="21" t="s">
        <v>93</v>
      </c>
      <c r="E589" s="20">
        <v>535.65350000000001</v>
      </c>
      <c r="F589" s="20">
        <f t="shared" si="129"/>
        <v>122665</v>
      </c>
      <c r="G589" s="20">
        <v>1071.307</v>
      </c>
      <c r="H589" s="20">
        <f t="shared" si="130"/>
        <v>245329</v>
      </c>
      <c r="I589" s="20">
        <v>0</v>
      </c>
      <c r="J589" s="20">
        <f t="shared" si="131"/>
        <v>0</v>
      </c>
      <c r="K589" s="20">
        <f t="shared" si="132"/>
        <v>1606.9605000000001</v>
      </c>
      <c r="L589" s="20">
        <f t="shared" si="133"/>
        <v>367994</v>
      </c>
      <c r="M589" s="18"/>
      <c r="N589" s="44"/>
    </row>
    <row r="590" spans="1:14" ht="21" customHeight="1">
      <c r="A590" s="18" t="s">
        <v>803</v>
      </c>
      <c r="B590" s="18" t="s">
        <v>804</v>
      </c>
      <c r="C590" s="20">
        <v>136</v>
      </c>
      <c r="D590" s="21" t="s">
        <v>93</v>
      </c>
      <c r="E590" s="20">
        <v>535.65350000000001</v>
      </c>
      <c r="F590" s="20">
        <f t="shared" si="129"/>
        <v>72849</v>
      </c>
      <c r="G590" s="20">
        <v>1071.307</v>
      </c>
      <c r="H590" s="20">
        <f t="shared" si="130"/>
        <v>145698</v>
      </c>
      <c r="I590" s="20">
        <v>0</v>
      </c>
      <c r="J590" s="20">
        <f t="shared" si="131"/>
        <v>0</v>
      </c>
      <c r="K590" s="20">
        <f t="shared" si="132"/>
        <v>1606.9605000000001</v>
      </c>
      <c r="L590" s="20">
        <f t="shared" si="133"/>
        <v>218547</v>
      </c>
      <c r="M590" s="18"/>
      <c r="N590" s="44"/>
    </row>
    <row r="591" spans="1:14" ht="21" customHeight="1">
      <c r="A591" s="18" t="s">
        <v>805</v>
      </c>
      <c r="B591" s="18" t="s">
        <v>806</v>
      </c>
      <c r="C591" s="20">
        <v>5</v>
      </c>
      <c r="D591" s="21" t="s">
        <v>231</v>
      </c>
      <c r="E591" s="20">
        <v>10713.07</v>
      </c>
      <c r="F591" s="20">
        <f t="shared" si="129"/>
        <v>53565</v>
      </c>
      <c r="G591" s="20">
        <v>5570.7964000000002</v>
      </c>
      <c r="H591" s="20">
        <f t="shared" si="130"/>
        <v>27854</v>
      </c>
      <c r="I591" s="20">
        <v>0</v>
      </c>
      <c r="J591" s="20">
        <f t="shared" si="131"/>
        <v>0</v>
      </c>
      <c r="K591" s="20">
        <f t="shared" si="132"/>
        <v>16283.866399999999</v>
      </c>
      <c r="L591" s="20">
        <f t="shared" si="133"/>
        <v>81419</v>
      </c>
      <c r="M591" s="18"/>
      <c r="N591" s="44"/>
    </row>
    <row r="592" spans="1:14" ht="21" customHeight="1">
      <c r="A592" s="18" t="s">
        <v>807</v>
      </c>
      <c r="B592" s="18" t="s">
        <v>808</v>
      </c>
      <c r="C592" s="20">
        <v>113</v>
      </c>
      <c r="D592" s="21" t="s">
        <v>93</v>
      </c>
      <c r="E592" s="20">
        <v>4917.4052000000001</v>
      </c>
      <c r="F592" s="20">
        <f t="shared" si="129"/>
        <v>555667</v>
      </c>
      <c r="G592" s="20">
        <v>9856.0244000000002</v>
      </c>
      <c r="H592" s="20">
        <f t="shared" si="130"/>
        <v>1113731</v>
      </c>
      <c r="I592" s="20">
        <v>701.12270000000001</v>
      </c>
      <c r="J592" s="20">
        <f t="shared" si="131"/>
        <v>79227</v>
      </c>
      <c r="K592" s="20">
        <f t="shared" si="132"/>
        <v>15474.552299999999</v>
      </c>
      <c r="L592" s="20">
        <f t="shared" si="133"/>
        <v>1748625</v>
      </c>
      <c r="M592" s="18"/>
      <c r="N592" s="44"/>
    </row>
    <row r="593" spans="1:14" ht="21" customHeight="1">
      <c r="A593" s="18" t="s">
        <v>809</v>
      </c>
      <c r="B593" s="18"/>
      <c r="C593" s="20">
        <v>113</v>
      </c>
      <c r="D593" s="21" t="s">
        <v>93</v>
      </c>
      <c r="E593" s="20">
        <v>1285.5683999999999</v>
      </c>
      <c r="F593" s="20">
        <f t="shared" si="129"/>
        <v>145269</v>
      </c>
      <c r="G593" s="20">
        <v>1071.307</v>
      </c>
      <c r="H593" s="20">
        <f t="shared" si="130"/>
        <v>121058</v>
      </c>
      <c r="I593" s="20">
        <v>0</v>
      </c>
      <c r="J593" s="20">
        <f t="shared" si="131"/>
        <v>0</v>
      </c>
      <c r="K593" s="20">
        <f t="shared" si="132"/>
        <v>2356.8753999999999</v>
      </c>
      <c r="L593" s="20">
        <f t="shared" si="133"/>
        <v>266327</v>
      </c>
      <c r="M593" s="18"/>
      <c r="N593" s="44"/>
    </row>
    <row r="594" spans="1:14" ht="21" customHeight="1">
      <c r="A594" s="18" t="s">
        <v>810</v>
      </c>
      <c r="B594" s="18" t="s">
        <v>811</v>
      </c>
      <c r="C594" s="20">
        <v>15</v>
      </c>
      <c r="D594" s="21" t="s">
        <v>93</v>
      </c>
      <c r="E594" s="20">
        <v>13391.3375</v>
      </c>
      <c r="F594" s="20">
        <f t="shared" si="129"/>
        <v>200870</v>
      </c>
      <c r="G594" s="20">
        <v>10713.07</v>
      </c>
      <c r="H594" s="20">
        <f t="shared" si="130"/>
        <v>160696</v>
      </c>
      <c r="I594" s="20">
        <v>0</v>
      </c>
      <c r="J594" s="20">
        <f t="shared" si="131"/>
        <v>0</v>
      </c>
      <c r="K594" s="20">
        <f t="shared" si="132"/>
        <v>24104.407500000001</v>
      </c>
      <c r="L594" s="20">
        <f t="shared" si="133"/>
        <v>361566</v>
      </c>
      <c r="M594" s="18"/>
      <c r="N594" s="44"/>
    </row>
    <row r="595" spans="1:14" ht="21" customHeight="1">
      <c r="A595" s="18" t="s">
        <v>812</v>
      </c>
      <c r="B595" s="18" t="s">
        <v>813</v>
      </c>
      <c r="C595" s="20">
        <v>307</v>
      </c>
      <c r="D595" s="21" t="s">
        <v>365</v>
      </c>
      <c r="E595" s="20">
        <v>13712.729600000001</v>
      </c>
      <c r="F595" s="20">
        <f t="shared" si="129"/>
        <v>4209808</v>
      </c>
      <c r="G595" s="20">
        <v>2678.2674999999999</v>
      </c>
      <c r="H595" s="20">
        <f t="shared" si="130"/>
        <v>822228</v>
      </c>
      <c r="I595" s="20">
        <v>0</v>
      </c>
      <c r="J595" s="20">
        <f t="shared" si="131"/>
        <v>0</v>
      </c>
      <c r="K595" s="20">
        <f t="shared" si="132"/>
        <v>16390.997100000001</v>
      </c>
      <c r="L595" s="20">
        <f t="shared" si="133"/>
        <v>5032036</v>
      </c>
      <c r="M595" s="18"/>
      <c r="N595" s="44"/>
    </row>
    <row r="596" spans="1:14" ht="21" customHeight="1">
      <c r="A596" s="18" t="s">
        <v>814</v>
      </c>
      <c r="B596" s="18" t="s">
        <v>815</v>
      </c>
      <c r="C596" s="20">
        <v>117</v>
      </c>
      <c r="D596" s="21" t="s">
        <v>231</v>
      </c>
      <c r="E596" s="20">
        <v>3428.1824000000001</v>
      </c>
      <c r="F596" s="20">
        <f t="shared" si="129"/>
        <v>401097</v>
      </c>
      <c r="G596" s="20">
        <v>6963.4955</v>
      </c>
      <c r="H596" s="20">
        <f t="shared" si="130"/>
        <v>814729</v>
      </c>
      <c r="I596" s="20">
        <v>0</v>
      </c>
      <c r="J596" s="20">
        <f t="shared" si="131"/>
        <v>0</v>
      </c>
      <c r="K596" s="20">
        <f t="shared" si="132"/>
        <v>10391.677900000001</v>
      </c>
      <c r="L596" s="20">
        <f t="shared" si="133"/>
        <v>1215826</v>
      </c>
      <c r="M596" s="18"/>
      <c r="N596" s="44"/>
    </row>
    <row r="597" spans="1:14" ht="21" customHeight="1">
      <c r="A597" s="18" t="s">
        <v>816</v>
      </c>
      <c r="B597" s="18" t="s">
        <v>817</v>
      </c>
      <c r="C597" s="20">
        <v>137</v>
      </c>
      <c r="D597" s="21" t="s">
        <v>99</v>
      </c>
      <c r="E597" s="20">
        <v>0</v>
      </c>
      <c r="F597" s="20">
        <f t="shared" si="129"/>
        <v>0</v>
      </c>
      <c r="G597" s="20">
        <v>2678.2674999999999</v>
      </c>
      <c r="H597" s="20">
        <f t="shared" si="130"/>
        <v>366923</v>
      </c>
      <c r="I597" s="20">
        <v>3647.7473</v>
      </c>
      <c r="J597" s="20">
        <f t="shared" si="131"/>
        <v>499741</v>
      </c>
      <c r="K597" s="20">
        <f t="shared" si="132"/>
        <v>6326.0147999999999</v>
      </c>
      <c r="L597" s="20">
        <f t="shared" si="133"/>
        <v>866664</v>
      </c>
      <c r="M597" s="18"/>
      <c r="N597" s="44"/>
    </row>
    <row r="598" spans="1:14" ht="21" customHeight="1">
      <c r="A598" s="18" t="s">
        <v>818</v>
      </c>
      <c r="B598" s="18"/>
      <c r="C598" s="19"/>
      <c r="D598" s="19"/>
      <c r="E598" s="19">
        <v>0</v>
      </c>
      <c r="F598" s="19"/>
      <c r="G598" s="19">
        <v>0</v>
      </c>
      <c r="H598" s="19"/>
      <c r="I598" s="19">
        <v>0</v>
      </c>
      <c r="J598" s="19"/>
      <c r="K598" s="19"/>
      <c r="L598" s="19"/>
      <c r="M598" s="19"/>
      <c r="N598" s="44"/>
    </row>
    <row r="599" spans="1:14" ht="21" customHeight="1">
      <c r="A599" s="18" t="s">
        <v>819</v>
      </c>
      <c r="B599" s="18" t="s">
        <v>399</v>
      </c>
      <c r="C599" s="22">
        <v>14.018000000000001</v>
      </c>
      <c r="D599" s="21" t="s">
        <v>391</v>
      </c>
      <c r="E599" s="20">
        <v>0</v>
      </c>
      <c r="F599" s="20">
        <f>ROUND(E599*C599,0)</f>
        <v>0</v>
      </c>
      <c r="G599" s="20">
        <v>0</v>
      </c>
      <c r="H599" s="20">
        <f>ROUND(G599*C599,0)</f>
        <v>0</v>
      </c>
      <c r="I599" s="20">
        <v>23387.374299999999</v>
      </c>
      <c r="J599" s="20">
        <f>ROUND(I599*C599,0)</f>
        <v>327844</v>
      </c>
      <c r="K599" s="20">
        <f>E599+G599+I599</f>
        <v>23387.374299999999</v>
      </c>
      <c r="L599" s="20">
        <f>F599+H599+J599</f>
        <v>327844</v>
      </c>
      <c r="M599" s="18"/>
      <c r="N599" s="44"/>
    </row>
    <row r="600" spans="1:14" ht="21" customHeight="1">
      <c r="A600" s="18" t="s">
        <v>820</v>
      </c>
      <c r="B600" s="18" t="s">
        <v>401</v>
      </c>
      <c r="C600" s="22">
        <v>0.40799999999999997</v>
      </c>
      <c r="D600" s="21" t="s">
        <v>391</v>
      </c>
      <c r="E600" s="20">
        <v>-424280</v>
      </c>
      <c r="F600" s="20">
        <f>ROUND(E600*C600,0)</f>
        <v>-173106</v>
      </c>
      <c r="G600" s="20">
        <v>0</v>
      </c>
      <c r="H600" s="20">
        <f>ROUND(G600*C600,0)</f>
        <v>0</v>
      </c>
      <c r="I600" s="20">
        <v>0</v>
      </c>
      <c r="J600" s="20">
        <f>ROUND(I600*C600,0)</f>
        <v>0</v>
      </c>
      <c r="K600" s="20">
        <f>E600+G600+I600</f>
        <v>-424280</v>
      </c>
      <c r="L600" s="20">
        <f>F600+H600+J600</f>
        <v>-173106</v>
      </c>
      <c r="M600" s="18"/>
      <c r="N600" s="44"/>
    </row>
    <row r="601" spans="1:14" ht="21" customHeight="1">
      <c r="A601" s="18" t="s">
        <v>821</v>
      </c>
      <c r="B601" s="18"/>
      <c r="C601" s="19"/>
      <c r="D601" s="19"/>
      <c r="E601" s="19">
        <v>0</v>
      </c>
      <c r="F601" s="19"/>
      <c r="G601" s="19">
        <v>0</v>
      </c>
      <c r="H601" s="19"/>
      <c r="I601" s="19">
        <v>0</v>
      </c>
      <c r="J601" s="19"/>
      <c r="K601" s="19"/>
      <c r="L601" s="19"/>
      <c r="M601" s="19"/>
      <c r="N601" s="44"/>
    </row>
    <row r="602" spans="1:14" ht="21" customHeight="1">
      <c r="A602" s="18" t="s">
        <v>403</v>
      </c>
      <c r="B602" s="18" t="s">
        <v>822</v>
      </c>
      <c r="C602" s="20">
        <v>132</v>
      </c>
      <c r="D602" s="21" t="s">
        <v>99</v>
      </c>
      <c r="E602" s="20">
        <v>101238.51149999999</v>
      </c>
      <c r="F602" s="20">
        <f t="shared" ref="F602:F608" si="134">ROUND(E602*C602,0)</f>
        <v>13363484</v>
      </c>
      <c r="G602" s="20">
        <v>0</v>
      </c>
      <c r="H602" s="20">
        <f t="shared" ref="H602:H608" si="135">ROUND(G602*C602,0)</f>
        <v>0</v>
      </c>
      <c r="I602" s="20">
        <v>0</v>
      </c>
      <c r="J602" s="20">
        <f t="shared" ref="J602:J608" si="136">ROUND(I602*C602,0)</f>
        <v>0</v>
      </c>
      <c r="K602" s="20">
        <f t="shared" ref="K602:L608" si="137">E602+G602+I602</f>
        <v>101238.51149999999</v>
      </c>
      <c r="L602" s="20">
        <f t="shared" si="137"/>
        <v>13363484</v>
      </c>
      <c r="M602" s="18"/>
      <c r="N602" s="44"/>
    </row>
    <row r="603" spans="1:14" ht="21" customHeight="1">
      <c r="A603" s="18" t="s">
        <v>405</v>
      </c>
      <c r="B603" s="18" t="s">
        <v>823</v>
      </c>
      <c r="C603" s="20">
        <v>16</v>
      </c>
      <c r="D603" s="21" t="s">
        <v>99</v>
      </c>
      <c r="E603" s="20">
        <v>94275.016000000003</v>
      </c>
      <c r="F603" s="20">
        <f t="shared" si="134"/>
        <v>1508400</v>
      </c>
      <c r="G603" s="20">
        <v>0</v>
      </c>
      <c r="H603" s="20">
        <f t="shared" si="135"/>
        <v>0</v>
      </c>
      <c r="I603" s="20">
        <v>0</v>
      </c>
      <c r="J603" s="20">
        <f t="shared" si="136"/>
        <v>0</v>
      </c>
      <c r="K603" s="20">
        <f t="shared" si="137"/>
        <v>94275.016000000003</v>
      </c>
      <c r="L603" s="20">
        <f t="shared" si="137"/>
        <v>1508400</v>
      </c>
      <c r="M603" s="18"/>
      <c r="N603" s="44"/>
    </row>
    <row r="604" spans="1:14" ht="21" customHeight="1">
      <c r="A604" s="18" t="s">
        <v>386</v>
      </c>
      <c r="B604" s="18" t="s">
        <v>759</v>
      </c>
      <c r="C604" s="20">
        <v>143</v>
      </c>
      <c r="D604" s="21" t="s">
        <v>99</v>
      </c>
      <c r="E604" s="20">
        <v>19283.525999999998</v>
      </c>
      <c r="F604" s="20">
        <f t="shared" si="134"/>
        <v>2757544</v>
      </c>
      <c r="G604" s="20">
        <v>0</v>
      </c>
      <c r="H604" s="20">
        <f t="shared" si="135"/>
        <v>0</v>
      </c>
      <c r="I604" s="20">
        <v>0</v>
      </c>
      <c r="J604" s="20">
        <f t="shared" si="136"/>
        <v>0</v>
      </c>
      <c r="K604" s="20">
        <f t="shared" si="137"/>
        <v>19283.525999999998</v>
      </c>
      <c r="L604" s="20">
        <f t="shared" si="137"/>
        <v>2757544</v>
      </c>
      <c r="M604" s="18"/>
      <c r="N604" s="44"/>
    </row>
    <row r="605" spans="1:14" ht="21" customHeight="1">
      <c r="A605" s="18" t="s">
        <v>396</v>
      </c>
      <c r="B605" s="18" t="s">
        <v>824</v>
      </c>
      <c r="C605" s="22">
        <v>4.1059999999999999</v>
      </c>
      <c r="D605" s="21" t="s">
        <v>825</v>
      </c>
      <c r="E605" s="20">
        <v>953519.44709999999</v>
      </c>
      <c r="F605" s="20">
        <f t="shared" si="134"/>
        <v>3915151</v>
      </c>
      <c r="G605" s="20">
        <v>0</v>
      </c>
      <c r="H605" s="20">
        <f t="shared" si="135"/>
        <v>0</v>
      </c>
      <c r="I605" s="20">
        <v>0</v>
      </c>
      <c r="J605" s="20">
        <f t="shared" si="136"/>
        <v>0</v>
      </c>
      <c r="K605" s="20">
        <f t="shared" si="137"/>
        <v>953519.44709999999</v>
      </c>
      <c r="L605" s="20">
        <f t="shared" si="137"/>
        <v>3915151</v>
      </c>
      <c r="M605" s="18"/>
      <c r="N605" s="44"/>
    </row>
    <row r="606" spans="1:14" ht="21" customHeight="1">
      <c r="A606" s="18" t="s">
        <v>826</v>
      </c>
      <c r="B606" s="18" t="s">
        <v>827</v>
      </c>
      <c r="C606" s="22">
        <v>5.2549999999999999</v>
      </c>
      <c r="D606" s="21" t="s">
        <v>825</v>
      </c>
      <c r="E606" s="20">
        <v>953532.17550000001</v>
      </c>
      <c r="F606" s="20">
        <f t="shared" si="134"/>
        <v>5010812</v>
      </c>
      <c r="G606" s="20">
        <v>0</v>
      </c>
      <c r="H606" s="20">
        <f t="shared" si="135"/>
        <v>0</v>
      </c>
      <c r="I606" s="20">
        <v>0</v>
      </c>
      <c r="J606" s="20">
        <f t="shared" si="136"/>
        <v>0</v>
      </c>
      <c r="K606" s="20">
        <f t="shared" si="137"/>
        <v>953532.17550000001</v>
      </c>
      <c r="L606" s="20">
        <f t="shared" si="137"/>
        <v>5010812</v>
      </c>
      <c r="M606" s="18"/>
      <c r="N606" s="44"/>
    </row>
    <row r="607" spans="1:14" ht="21" customHeight="1">
      <c r="A607" s="18" t="s">
        <v>828</v>
      </c>
      <c r="B607" s="18" t="s">
        <v>829</v>
      </c>
      <c r="C607" s="22">
        <v>4.2249999999999996</v>
      </c>
      <c r="D607" s="21" t="s">
        <v>825</v>
      </c>
      <c r="E607" s="20">
        <v>953335.946</v>
      </c>
      <c r="F607" s="20">
        <f t="shared" si="134"/>
        <v>4027844</v>
      </c>
      <c r="G607" s="20">
        <v>0</v>
      </c>
      <c r="H607" s="20">
        <f t="shared" si="135"/>
        <v>0</v>
      </c>
      <c r="I607" s="20">
        <v>0</v>
      </c>
      <c r="J607" s="20">
        <f t="shared" si="136"/>
        <v>0</v>
      </c>
      <c r="K607" s="20">
        <f t="shared" si="137"/>
        <v>953335.946</v>
      </c>
      <c r="L607" s="20">
        <f t="shared" si="137"/>
        <v>4027844</v>
      </c>
      <c r="M607" s="18"/>
      <c r="N607" s="44"/>
    </row>
    <row r="608" spans="1:14" ht="21" customHeight="1">
      <c r="A608" s="18" t="s">
        <v>830</v>
      </c>
      <c r="B608" s="18" t="s">
        <v>831</v>
      </c>
      <c r="C608" s="22">
        <v>0.432</v>
      </c>
      <c r="D608" s="21" t="s">
        <v>825</v>
      </c>
      <c r="E608" s="20">
        <v>953107.89549999998</v>
      </c>
      <c r="F608" s="20">
        <f t="shared" si="134"/>
        <v>411743</v>
      </c>
      <c r="G608" s="20">
        <v>0</v>
      </c>
      <c r="H608" s="20">
        <f t="shared" si="135"/>
        <v>0</v>
      </c>
      <c r="I608" s="20">
        <v>0</v>
      </c>
      <c r="J608" s="20">
        <f t="shared" si="136"/>
        <v>0</v>
      </c>
      <c r="K608" s="20">
        <f t="shared" si="137"/>
        <v>953107.89549999998</v>
      </c>
      <c r="L608" s="20">
        <f t="shared" si="137"/>
        <v>411743</v>
      </c>
      <c r="M608" s="18"/>
      <c r="N608" s="44"/>
    </row>
    <row r="609" spans="1:14" ht="21" customHeight="1">
      <c r="A609" s="18" t="s">
        <v>832</v>
      </c>
      <c r="B609" s="18"/>
      <c r="C609" s="19"/>
      <c r="D609" s="19"/>
      <c r="E609" s="19">
        <v>0</v>
      </c>
      <c r="F609" s="19"/>
      <c r="G609" s="19">
        <v>0</v>
      </c>
      <c r="H609" s="19"/>
      <c r="I609" s="19">
        <v>0</v>
      </c>
      <c r="J609" s="19"/>
      <c r="K609" s="19"/>
      <c r="L609" s="19"/>
      <c r="M609" s="19"/>
      <c r="N609" s="44"/>
    </row>
    <row r="610" spans="1:14" ht="21" customHeight="1">
      <c r="A610" s="18" t="s">
        <v>833</v>
      </c>
      <c r="B610" s="18"/>
      <c r="C610" s="19"/>
      <c r="D610" s="19"/>
      <c r="E610" s="19">
        <v>0</v>
      </c>
      <c r="F610" s="19"/>
      <c r="G610" s="19">
        <v>0</v>
      </c>
      <c r="H610" s="19"/>
      <c r="I610" s="19">
        <v>0</v>
      </c>
      <c r="J610" s="19"/>
      <c r="K610" s="19"/>
      <c r="L610" s="19"/>
      <c r="M610" s="19"/>
      <c r="N610" s="44"/>
    </row>
    <row r="611" spans="1:14" ht="21" customHeight="1">
      <c r="A611" s="18" t="s">
        <v>834</v>
      </c>
      <c r="B611" s="18" t="s">
        <v>107</v>
      </c>
      <c r="C611" s="20">
        <v>449</v>
      </c>
      <c r="D611" s="21" t="s">
        <v>99</v>
      </c>
      <c r="E611" s="20">
        <v>0</v>
      </c>
      <c r="F611" s="20">
        <f>ROUND(E611*C611,0)</f>
        <v>0</v>
      </c>
      <c r="G611" s="20">
        <v>0</v>
      </c>
      <c r="H611" s="20">
        <f>ROUND(G611*C611,0)</f>
        <v>0</v>
      </c>
      <c r="I611" s="20">
        <v>1871.0747999999999</v>
      </c>
      <c r="J611" s="20">
        <f>ROUND(I611*C611,0)</f>
        <v>840113</v>
      </c>
      <c r="K611" s="20">
        <f t="shared" ref="K611:L615" si="138">E611+G611+I611</f>
        <v>1871.0747999999999</v>
      </c>
      <c r="L611" s="20">
        <f t="shared" si="138"/>
        <v>840113</v>
      </c>
      <c r="M611" s="18"/>
      <c r="N611" s="44"/>
    </row>
    <row r="612" spans="1:14" ht="21" customHeight="1">
      <c r="A612" s="18" t="s">
        <v>220</v>
      </c>
      <c r="B612" s="18" t="s">
        <v>223</v>
      </c>
      <c r="C612" s="20">
        <v>34</v>
      </c>
      <c r="D612" s="21" t="s">
        <v>99</v>
      </c>
      <c r="E612" s="20">
        <v>0</v>
      </c>
      <c r="F612" s="20">
        <f>ROUND(E612*C612,0)</f>
        <v>0</v>
      </c>
      <c r="G612" s="20">
        <v>2678.2674999999999</v>
      </c>
      <c r="H612" s="20">
        <f>ROUND(G612*C612,0)</f>
        <v>91061</v>
      </c>
      <c r="I612" s="20">
        <v>5262.1327000000001</v>
      </c>
      <c r="J612" s="20">
        <f>ROUND(I612*C612,0)</f>
        <v>178913</v>
      </c>
      <c r="K612" s="20">
        <f t="shared" si="138"/>
        <v>7940.4002</v>
      </c>
      <c r="L612" s="20">
        <f t="shared" si="138"/>
        <v>269974</v>
      </c>
      <c r="M612" s="18"/>
      <c r="N612" s="44"/>
    </row>
    <row r="613" spans="1:14" ht="21" customHeight="1">
      <c r="A613" s="18" t="s">
        <v>835</v>
      </c>
      <c r="B613" s="18" t="s">
        <v>226</v>
      </c>
      <c r="C613" s="20">
        <v>415</v>
      </c>
      <c r="D613" s="21" t="s">
        <v>99</v>
      </c>
      <c r="E613" s="20">
        <v>0</v>
      </c>
      <c r="F613" s="20">
        <f>ROUND(E613*C613,0)</f>
        <v>0</v>
      </c>
      <c r="G613" s="20">
        <v>0</v>
      </c>
      <c r="H613" s="20">
        <f>ROUND(G613*C613,0)</f>
        <v>0</v>
      </c>
      <c r="I613" s="20">
        <v>11693.156799999999</v>
      </c>
      <c r="J613" s="20">
        <f>ROUND(I613*C613,0)</f>
        <v>4852660</v>
      </c>
      <c r="K613" s="20">
        <f t="shared" si="138"/>
        <v>11693.156799999999</v>
      </c>
      <c r="L613" s="20">
        <f t="shared" si="138"/>
        <v>4852660</v>
      </c>
      <c r="M613" s="18"/>
      <c r="N613" s="44"/>
    </row>
    <row r="614" spans="1:14" ht="21" customHeight="1">
      <c r="A614" s="18" t="s">
        <v>836</v>
      </c>
      <c r="B614" s="18" t="s">
        <v>249</v>
      </c>
      <c r="C614" s="20">
        <v>43</v>
      </c>
      <c r="D614" s="21" t="s">
        <v>93</v>
      </c>
      <c r="E614" s="20">
        <v>8034.8024999999998</v>
      </c>
      <c r="F614" s="20">
        <f>ROUND(E614*C614,0)</f>
        <v>345497</v>
      </c>
      <c r="G614" s="20">
        <v>21426.14</v>
      </c>
      <c r="H614" s="20">
        <f>ROUND(G614*C614,0)</f>
        <v>921324</v>
      </c>
      <c r="I614" s="20">
        <v>4093.2412999999997</v>
      </c>
      <c r="J614" s="20">
        <f>ROUND(I614*C614,0)</f>
        <v>176009</v>
      </c>
      <c r="K614" s="20">
        <f t="shared" si="138"/>
        <v>33554.183799999999</v>
      </c>
      <c r="L614" s="20">
        <f t="shared" si="138"/>
        <v>1442830</v>
      </c>
      <c r="M614" s="18"/>
      <c r="N614" s="44"/>
    </row>
    <row r="615" spans="1:14" ht="21" customHeight="1">
      <c r="A615" s="18" t="s">
        <v>837</v>
      </c>
      <c r="B615" s="18" t="s">
        <v>247</v>
      </c>
      <c r="C615" s="20">
        <v>21</v>
      </c>
      <c r="D615" s="21" t="s">
        <v>99</v>
      </c>
      <c r="E615" s="20">
        <v>0</v>
      </c>
      <c r="F615" s="20">
        <f>ROUND(E615*C615,0)</f>
        <v>0</v>
      </c>
      <c r="G615" s="20">
        <v>13926.991</v>
      </c>
      <c r="H615" s="20">
        <f>ROUND(G615*C615,0)</f>
        <v>292467</v>
      </c>
      <c r="I615" s="20">
        <v>12863.108899999999</v>
      </c>
      <c r="J615" s="20">
        <f>ROUND(I615*C615,0)</f>
        <v>270125</v>
      </c>
      <c r="K615" s="20">
        <f t="shared" si="138"/>
        <v>26790.099900000001</v>
      </c>
      <c r="L615" s="20">
        <f t="shared" si="138"/>
        <v>562592</v>
      </c>
      <c r="M615" s="18"/>
      <c r="N615" s="44"/>
    </row>
    <row r="616" spans="1:14" ht="21" customHeight="1">
      <c r="A616" s="18" t="s">
        <v>838</v>
      </c>
      <c r="B616" s="18"/>
      <c r="C616" s="19"/>
      <c r="D616" s="19"/>
      <c r="E616" s="19">
        <v>0</v>
      </c>
      <c r="F616" s="19"/>
      <c r="G616" s="19">
        <v>0</v>
      </c>
      <c r="H616" s="19"/>
      <c r="I616" s="19">
        <v>0</v>
      </c>
      <c r="J616" s="19"/>
      <c r="K616" s="19"/>
      <c r="L616" s="19"/>
      <c r="M616" s="19"/>
      <c r="N616" s="44"/>
    </row>
    <row r="617" spans="1:14" ht="21" customHeight="1">
      <c r="A617" s="18" t="s">
        <v>839</v>
      </c>
      <c r="B617" s="18" t="s">
        <v>840</v>
      </c>
      <c r="C617" s="20">
        <v>9</v>
      </c>
      <c r="D617" s="21" t="s">
        <v>93</v>
      </c>
      <c r="E617" s="20">
        <v>0</v>
      </c>
      <c r="F617" s="20">
        <f>ROUND(E617*C617,0)</f>
        <v>0</v>
      </c>
      <c r="G617" s="20">
        <v>26782.674999999999</v>
      </c>
      <c r="H617" s="20">
        <f>ROUND(G617*C617,0)</f>
        <v>241044</v>
      </c>
      <c r="I617" s="20">
        <v>11693.156799999999</v>
      </c>
      <c r="J617" s="20">
        <f>ROUND(I617*C617,0)</f>
        <v>105238</v>
      </c>
      <c r="K617" s="20">
        <f>E617+G617+I617</f>
        <v>38475.8318</v>
      </c>
      <c r="L617" s="20">
        <f>F617+H617+J617</f>
        <v>346282</v>
      </c>
      <c r="M617" s="18"/>
      <c r="N617" s="44"/>
    </row>
    <row r="618" spans="1:14" ht="21" customHeight="1">
      <c r="A618" s="18" t="s">
        <v>841</v>
      </c>
      <c r="B618" s="18" t="s">
        <v>842</v>
      </c>
      <c r="C618" s="20">
        <v>166</v>
      </c>
      <c r="D618" s="21" t="s">
        <v>93</v>
      </c>
      <c r="E618" s="20">
        <v>0</v>
      </c>
      <c r="F618" s="20">
        <f>ROUND(E618*C618,0)</f>
        <v>0</v>
      </c>
      <c r="G618" s="20">
        <v>26782.674999999999</v>
      </c>
      <c r="H618" s="20">
        <f>ROUND(G618*C618,0)</f>
        <v>4445924</v>
      </c>
      <c r="I618" s="20">
        <v>11693.156799999999</v>
      </c>
      <c r="J618" s="20">
        <f>ROUND(I618*C618,0)</f>
        <v>1941064</v>
      </c>
      <c r="K618" s="20">
        <f>E618+G618+I618</f>
        <v>38475.8318</v>
      </c>
      <c r="L618" s="20">
        <f>F618+H618+J618</f>
        <v>6386988</v>
      </c>
      <c r="M618" s="18"/>
      <c r="N618" s="44"/>
    </row>
    <row r="619" spans="1:14" ht="21" customHeight="1">
      <c r="A619" s="18" t="s">
        <v>843</v>
      </c>
      <c r="B619" s="18"/>
      <c r="C619" s="19"/>
      <c r="D619" s="19"/>
      <c r="E619" s="19">
        <v>0</v>
      </c>
      <c r="F619" s="19"/>
      <c r="G619" s="19">
        <v>0</v>
      </c>
      <c r="H619" s="19"/>
      <c r="I619" s="19">
        <v>0</v>
      </c>
      <c r="J619" s="19"/>
      <c r="K619" s="19"/>
      <c r="L619" s="19"/>
      <c r="M619" s="19"/>
      <c r="N619" s="44"/>
    </row>
    <row r="620" spans="1:14" ht="21" customHeight="1">
      <c r="A620" s="18" t="s">
        <v>844</v>
      </c>
      <c r="B620" s="18"/>
      <c r="C620" s="20">
        <v>1134</v>
      </c>
      <c r="D620" s="21" t="s">
        <v>99</v>
      </c>
      <c r="E620" s="20">
        <v>0</v>
      </c>
      <c r="F620" s="20">
        <f>ROUND(E620*C620,0)</f>
        <v>0</v>
      </c>
      <c r="G620" s="20">
        <v>2142.614</v>
      </c>
      <c r="H620" s="20">
        <f>ROUND(G620*C620,0)</f>
        <v>2429724</v>
      </c>
      <c r="I620" s="20">
        <v>5846.5783999999994</v>
      </c>
      <c r="J620" s="20">
        <f>ROUND(I620*C620,0)</f>
        <v>6630020</v>
      </c>
      <c r="K620" s="20">
        <f>E620+G620+I620</f>
        <v>7989.1923999999999</v>
      </c>
      <c r="L620" s="20">
        <f>F620+H620+J620</f>
        <v>9059744</v>
      </c>
      <c r="M620" s="18"/>
      <c r="N620" s="44"/>
    </row>
    <row r="621" spans="1:14" ht="21" customHeight="1">
      <c r="A621" s="18" t="s">
        <v>845</v>
      </c>
      <c r="B621" s="18"/>
      <c r="C621" s="19"/>
      <c r="D621" s="19"/>
      <c r="E621" s="19">
        <v>0</v>
      </c>
      <c r="F621" s="19"/>
      <c r="G621" s="19">
        <v>0</v>
      </c>
      <c r="H621" s="19"/>
      <c r="I621" s="19">
        <v>0</v>
      </c>
      <c r="J621" s="19"/>
      <c r="K621" s="19"/>
      <c r="L621" s="19"/>
      <c r="M621" s="19"/>
      <c r="N621" s="44"/>
    </row>
    <row r="622" spans="1:14" ht="21" customHeight="1">
      <c r="A622" s="18" t="s">
        <v>846</v>
      </c>
      <c r="B622" s="18" t="s">
        <v>847</v>
      </c>
      <c r="C622" s="20">
        <v>9</v>
      </c>
      <c r="D622" s="21" t="s">
        <v>93</v>
      </c>
      <c r="E622" s="20">
        <v>0</v>
      </c>
      <c r="F622" s="20">
        <f>ROUND(E622*C622,0)</f>
        <v>0</v>
      </c>
      <c r="G622" s="20">
        <v>0</v>
      </c>
      <c r="H622" s="20">
        <f>ROUND(G622*C622,0)</f>
        <v>0</v>
      </c>
      <c r="I622" s="20">
        <v>2923.2891999999997</v>
      </c>
      <c r="J622" s="20">
        <f>ROUND(I622*C622,0)</f>
        <v>26310</v>
      </c>
      <c r="K622" s="20">
        <f>E622+G622+I622</f>
        <v>2923.2891999999997</v>
      </c>
      <c r="L622" s="20">
        <f>F622+H622+J622</f>
        <v>26310</v>
      </c>
      <c r="M622" s="18"/>
      <c r="N622" s="44"/>
    </row>
    <row r="623" spans="1:14" ht="21" customHeight="1">
      <c r="A623" s="18" t="s">
        <v>848</v>
      </c>
      <c r="B623" s="18" t="s">
        <v>847</v>
      </c>
      <c r="C623" s="20">
        <v>171</v>
      </c>
      <c r="D623" s="21" t="s">
        <v>93</v>
      </c>
      <c r="E623" s="20">
        <v>0</v>
      </c>
      <c r="F623" s="20">
        <f>ROUND(E623*C623,0)</f>
        <v>0</v>
      </c>
      <c r="G623" s="20">
        <v>0</v>
      </c>
      <c r="H623" s="20">
        <f>ROUND(G623*C623,0)</f>
        <v>0</v>
      </c>
      <c r="I623" s="20">
        <v>2923.2891999999997</v>
      </c>
      <c r="J623" s="20">
        <f>ROUND(I623*C623,0)</f>
        <v>499882</v>
      </c>
      <c r="K623" s="20">
        <f>E623+G623+I623</f>
        <v>2923.2891999999997</v>
      </c>
      <c r="L623" s="20">
        <f>F623+H623+J623</f>
        <v>499882</v>
      </c>
      <c r="M623" s="18"/>
      <c r="N623" s="44"/>
    </row>
    <row r="624" spans="1:14" ht="21" customHeight="1">
      <c r="A624" s="18" t="s">
        <v>849</v>
      </c>
      <c r="B624" s="18"/>
      <c r="C624" s="19"/>
      <c r="D624" s="19"/>
      <c r="E624" s="19">
        <v>0</v>
      </c>
      <c r="F624" s="19"/>
      <c r="G624" s="19">
        <v>0</v>
      </c>
      <c r="H624" s="19"/>
      <c r="I624" s="19">
        <v>0</v>
      </c>
      <c r="J624" s="19"/>
      <c r="K624" s="19"/>
      <c r="L624" s="19"/>
      <c r="M624" s="19"/>
      <c r="N624" s="44"/>
    </row>
    <row r="625" spans="1:14" ht="21" customHeight="1">
      <c r="A625" s="18" t="s">
        <v>403</v>
      </c>
      <c r="B625" s="18" t="s">
        <v>609</v>
      </c>
      <c r="C625" s="20">
        <v>21</v>
      </c>
      <c r="D625" s="21" t="s">
        <v>99</v>
      </c>
      <c r="E625" s="20">
        <v>96631.891399999993</v>
      </c>
      <c r="F625" s="20">
        <f t="shared" ref="F625:F632" si="139">ROUND(E625*C625,0)</f>
        <v>2029270</v>
      </c>
      <c r="G625" s="20">
        <v>0</v>
      </c>
      <c r="H625" s="20">
        <f t="shared" ref="H625:H632" si="140">ROUND(G625*C625,0)</f>
        <v>0</v>
      </c>
      <c r="I625" s="20">
        <v>0</v>
      </c>
      <c r="J625" s="20">
        <f t="shared" ref="J625:J632" si="141">ROUND(I625*C625,0)</f>
        <v>0</v>
      </c>
      <c r="K625" s="20">
        <f t="shared" ref="K625:L632" si="142">E625+G625+I625</f>
        <v>96631.891399999993</v>
      </c>
      <c r="L625" s="20">
        <f t="shared" si="142"/>
        <v>2029270</v>
      </c>
      <c r="M625" s="18"/>
      <c r="N625" s="44"/>
    </row>
    <row r="626" spans="1:14" ht="21" customHeight="1">
      <c r="A626" s="18" t="s">
        <v>384</v>
      </c>
      <c r="B626" s="18" t="s">
        <v>385</v>
      </c>
      <c r="C626" s="20">
        <v>86</v>
      </c>
      <c r="D626" s="21" t="s">
        <v>99</v>
      </c>
      <c r="E626" s="20">
        <v>27853.982</v>
      </c>
      <c r="F626" s="20">
        <f t="shared" si="139"/>
        <v>2395442</v>
      </c>
      <c r="G626" s="20">
        <v>0</v>
      </c>
      <c r="H626" s="20">
        <f t="shared" si="140"/>
        <v>0</v>
      </c>
      <c r="I626" s="20">
        <v>0</v>
      </c>
      <c r="J626" s="20">
        <f t="shared" si="141"/>
        <v>0</v>
      </c>
      <c r="K626" s="20">
        <f t="shared" si="142"/>
        <v>27853.982</v>
      </c>
      <c r="L626" s="20">
        <f t="shared" si="142"/>
        <v>2395442</v>
      </c>
      <c r="M626" s="18"/>
      <c r="N626" s="44"/>
    </row>
    <row r="627" spans="1:14" ht="21" customHeight="1">
      <c r="A627" s="18" t="s">
        <v>850</v>
      </c>
      <c r="B627" s="18" t="s">
        <v>454</v>
      </c>
      <c r="C627" s="20">
        <v>74</v>
      </c>
      <c r="D627" s="21" t="s">
        <v>231</v>
      </c>
      <c r="E627" s="20">
        <v>5570.7964000000002</v>
      </c>
      <c r="F627" s="20">
        <f t="shared" si="139"/>
        <v>412239</v>
      </c>
      <c r="G627" s="20">
        <v>0</v>
      </c>
      <c r="H627" s="20">
        <f t="shared" si="140"/>
        <v>0</v>
      </c>
      <c r="I627" s="20">
        <v>0</v>
      </c>
      <c r="J627" s="20">
        <f t="shared" si="141"/>
        <v>0</v>
      </c>
      <c r="K627" s="20">
        <f t="shared" si="142"/>
        <v>5570.7964000000002</v>
      </c>
      <c r="L627" s="20">
        <f t="shared" si="142"/>
        <v>412239</v>
      </c>
      <c r="M627" s="18"/>
      <c r="N627" s="44"/>
    </row>
    <row r="628" spans="1:14" ht="21" customHeight="1">
      <c r="A628" s="18" t="s">
        <v>851</v>
      </c>
      <c r="B628" s="18" t="s">
        <v>852</v>
      </c>
      <c r="C628" s="20">
        <v>74</v>
      </c>
      <c r="D628" s="21" t="s">
        <v>93</v>
      </c>
      <c r="E628" s="20">
        <v>6427.8419999999996</v>
      </c>
      <c r="F628" s="20">
        <f t="shared" si="139"/>
        <v>475660</v>
      </c>
      <c r="G628" s="20">
        <v>0</v>
      </c>
      <c r="H628" s="20">
        <f t="shared" si="140"/>
        <v>0</v>
      </c>
      <c r="I628" s="20">
        <v>0</v>
      </c>
      <c r="J628" s="20">
        <f t="shared" si="141"/>
        <v>0</v>
      </c>
      <c r="K628" s="20">
        <f t="shared" si="142"/>
        <v>6427.8419999999996</v>
      </c>
      <c r="L628" s="20">
        <f t="shared" si="142"/>
        <v>475660</v>
      </c>
      <c r="M628" s="18"/>
      <c r="N628" s="44"/>
    </row>
    <row r="629" spans="1:14" ht="21" customHeight="1">
      <c r="A629" s="18" t="s">
        <v>853</v>
      </c>
      <c r="B629" s="18" t="s">
        <v>840</v>
      </c>
      <c r="C629" s="20">
        <v>9</v>
      </c>
      <c r="D629" s="21" t="s">
        <v>93</v>
      </c>
      <c r="E629" s="20">
        <v>24640.060999999998</v>
      </c>
      <c r="F629" s="20">
        <f t="shared" si="139"/>
        <v>221761</v>
      </c>
      <c r="G629" s="20">
        <v>0</v>
      </c>
      <c r="H629" s="20">
        <f t="shared" si="140"/>
        <v>0</v>
      </c>
      <c r="I629" s="20">
        <v>0</v>
      </c>
      <c r="J629" s="20">
        <f t="shared" si="141"/>
        <v>0</v>
      </c>
      <c r="K629" s="20">
        <f t="shared" si="142"/>
        <v>24640.060999999998</v>
      </c>
      <c r="L629" s="20">
        <f t="shared" si="142"/>
        <v>221761</v>
      </c>
      <c r="M629" s="18"/>
      <c r="N629" s="44"/>
    </row>
    <row r="630" spans="1:14" ht="21" customHeight="1">
      <c r="A630" s="18" t="s">
        <v>854</v>
      </c>
      <c r="B630" s="18" t="s">
        <v>842</v>
      </c>
      <c r="C630" s="20">
        <v>171</v>
      </c>
      <c r="D630" s="21" t="s">
        <v>93</v>
      </c>
      <c r="E630" s="20">
        <v>34281.824000000001</v>
      </c>
      <c r="F630" s="20">
        <f t="shared" si="139"/>
        <v>5862192</v>
      </c>
      <c r="G630" s="20">
        <v>0</v>
      </c>
      <c r="H630" s="20">
        <f t="shared" si="140"/>
        <v>0</v>
      </c>
      <c r="I630" s="20">
        <v>0</v>
      </c>
      <c r="J630" s="20">
        <f t="shared" si="141"/>
        <v>0</v>
      </c>
      <c r="K630" s="20">
        <f t="shared" si="142"/>
        <v>34281.824000000001</v>
      </c>
      <c r="L630" s="20">
        <f t="shared" si="142"/>
        <v>5862192</v>
      </c>
      <c r="M630" s="18"/>
      <c r="N630" s="44"/>
    </row>
    <row r="631" spans="1:14" ht="21" customHeight="1">
      <c r="A631" s="18" t="s">
        <v>855</v>
      </c>
      <c r="B631" s="18" t="s">
        <v>856</v>
      </c>
      <c r="C631" s="20">
        <v>1166</v>
      </c>
      <c r="D631" s="21" t="s">
        <v>93</v>
      </c>
      <c r="E631" s="20">
        <v>1714.0912000000001</v>
      </c>
      <c r="F631" s="20">
        <f t="shared" si="139"/>
        <v>1998630</v>
      </c>
      <c r="G631" s="20">
        <v>0</v>
      </c>
      <c r="H631" s="20">
        <f t="shared" si="140"/>
        <v>0</v>
      </c>
      <c r="I631" s="20">
        <v>0</v>
      </c>
      <c r="J631" s="20">
        <f t="shared" si="141"/>
        <v>0</v>
      </c>
      <c r="K631" s="20">
        <f t="shared" si="142"/>
        <v>1714.0912000000001</v>
      </c>
      <c r="L631" s="20">
        <f t="shared" si="142"/>
        <v>1998630</v>
      </c>
      <c r="M631" s="18"/>
      <c r="N631" s="44"/>
    </row>
    <row r="632" spans="1:14" ht="21" customHeight="1">
      <c r="A632" s="18" t="s">
        <v>857</v>
      </c>
      <c r="B632" s="18" t="s">
        <v>858</v>
      </c>
      <c r="C632" s="20">
        <v>203</v>
      </c>
      <c r="D632" s="21" t="s">
        <v>93</v>
      </c>
      <c r="E632" s="20">
        <v>1928.3525999999999</v>
      </c>
      <c r="F632" s="20">
        <f t="shared" si="139"/>
        <v>391456</v>
      </c>
      <c r="G632" s="20">
        <v>0</v>
      </c>
      <c r="H632" s="20">
        <f t="shared" si="140"/>
        <v>0</v>
      </c>
      <c r="I632" s="20">
        <v>0</v>
      </c>
      <c r="J632" s="20">
        <f t="shared" si="141"/>
        <v>0</v>
      </c>
      <c r="K632" s="20">
        <f t="shared" si="142"/>
        <v>1928.3525999999999</v>
      </c>
      <c r="L632" s="20">
        <f t="shared" si="142"/>
        <v>391456</v>
      </c>
      <c r="M632" s="18"/>
      <c r="N632" s="44"/>
    </row>
    <row r="633" spans="1:14" ht="21" customHeight="1">
      <c r="A633" s="18"/>
      <c r="B633" s="18"/>
      <c r="C633" s="20"/>
      <c r="D633" s="21"/>
      <c r="E633" s="20"/>
      <c r="F633" s="20"/>
      <c r="G633" s="20"/>
      <c r="H633" s="20"/>
      <c r="I633" s="20"/>
      <c r="J633" s="20"/>
      <c r="K633" s="20"/>
      <c r="L633" s="20"/>
      <c r="M633" s="18"/>
      <c r="N633" s="44"/>
    </row>
    <row r="634" spans="1:14" ht="21" customHeight="1">
      <c r="A634" s="14" t="s">
        <v>859</v>
      </c>
      <c r="B634" s="15"/>
      <c r="C634" s="16"/>
      <c r="D634" s="16"/>
      <c r="E634" s="16"/>
      <c r="F634" s="17">
        <f>SUM(F637:F689)</f>
        <v>137267397</v>
      </c>
      <c r="G634" s="16"/>
      <c r="H634" s="17">
        <f>SUM(H637:H689)</f>
        <v>172060870</v>
      </c>
      <c r="I634" s="16"/>
      <c r="J634" s="17">
        <f>SUM(J637:J689)</f>
        <v>331559738</v>
      </c>
      <c r="K634" s="16"/>
      <c r="L634" s="17">
        <f>F634+H634+J634</f>
        <v>640888005</v>
      </c>
      <c r="M634" s="16"/>
    </row>
    <row r="635" spans="1:14" ht="21" customHeight="1">
      <c r="A635" s="18" t="s">
        <v>860</v>
      </c>
      <c r="B635" s="18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</row>
    <row r="636" spans="1:14" ht="21" customHeight="1">
      <c r="A636" s="18" t="s">
        <v>212</v>
      </c>
      <c r="B636" s="18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</row>
    <row r="637" spans="1:14" ht="21" customHeight="1">
      <c r="A637" s="18" t="s">
        <v>834</v>
      </c>
      <c r="B637" s="18" t="s">
        <v>217</v>
      </c>
      <c r="C637" s="20">
        <v>3</v>
      </c>
      <c r="D637" s="21" t="s">
        <v>99</v>
      </c>
      <c r="E637" s="20">
        <v>0</v>
      </c>
      <c r="F637" s="20">
        <f>ROUND(E637*C637,0)</f>
        <v>0</v>
      </c>
      <c r="G637" s="20">
        <v>69634.955000000002</v>
      </c>
      <c r="H637" s="20">
        <f>ROUND(G637*C637,0)</f>
        <v>208905</v>
      </c>
      <c r="I637" s="20">
        <v>0</v>
      </c>
      <c r="J637" s="20">
        <f>ROUND(I637*C637,0)</f>
        <v>0</v>
      </c>
      <c r="K637" s="20">
        <f>E637+G637+I637</f>
        <v>69634.955000000002</v>
      </c>
      <c r="L637" s="20">
        <f>F637+H637+J637</f>
        <v>208905</v>
      </c>
      <c r="M637" s="18"/>
      <c r="N637" s="44"/>
    </row>
    <row r="638" spans="1:14" ht="21" customHeight="1">
      <c r="A638" s="18" t="s">
        <v>106</v>
      </c>
      <c r="B638" s="18" t="s">
        <v>107</v>
      </c>
      <c r="C638" s="20">
        <v>1040</v>
      </c>
      <c r="D638" s="21" t="s">
        <v>99</v>
      </c>
      <c r="E638" s="20">
        <v>0</v>
      </c>
      <c r="F638" s="20">
        <f>ROUND(E638*C638,0)</f>
        <v>0</v>
      </c>
      <c r="G638" s="20">
        <v>0</v>
      </c>
      <c r="H638" s="20">
        <f>ROUND(G638*C638,0)</f>
        <v>0</v>
      </c>
      <c r="I638" s="20">
        <v>1871.0747999999999</v>
      </c>
      <c r="J638" s="20">
        <f>ROUND(I638*C638,0)</f>
        <v>1945918</v>
      </c>
      <c r="K638" s="20">
        <f>E638+G638+I638</f>
        <v>1871.0747999999999</v>
      </c>
      <c r="L638" s="20">
        <f>F638+H638+J638</f>
        <v>1945918</v>
      </c>
      <c r="M638" s="18"/>
      <c r="N638" s="44"/>
    </row>
    <row r="639" spans="1:14" ht="21" customHeight="1">
      <c r="A639" s="18" t="s">
        <v>218</v>
      </c>
      <c r="B639" s="18"/>
      <c r="C639" s="19"/>
      <c r="D639" s="19"/>
      <c r="E639" s="19">
        <v>0</v>
      </c>
      <c r="F639" s="19"/>
      <c r="G639" s="19">
        <v>0</v>
      </c>
      <c r="H639" s="19"/>
      <c r="I639" s="19">
        <v>0</v>
      </c>
      <c r="J639" s="19"/>
      <c r="K639" s="19"/>
      <c r="L639" s="19"/>
      <c r="M639" s="19"/>
      <c r="N639" s="44"/>
    </row>
    <row r="640" spans="1:14" ht="21" customHeight="1">
      <c r="A640" s="18" t="s">
        <v>861</v>
      </c>
      <c r="B640" s="18" t="s">
        <v>217</v>
      </c>
      <c r="C640" s="20">
        <v>2</v>
      </c>
      <c r="D640" s="21" t="s">
        <v>99</v>
      </c>
      <c r="E640" s="20">
        <v>0</v>
      </c>
      <c r="F640" s="20">
        <f>ROUND(E640*C640,0)</f>
        <v>0</v>
      </c>
      <c r="G640" s="20">
        <v>30339.202099999999</v>
      </c>
      <c r="H640" s="20">
        <f>ROUND(G640*C640,0)</f>
        <v>60678</v>
      </c>
      <c r="I640" s="20">
        <v>16605.2585</v>
      </c>
      <c r="J640" s="20">
        <f>ROUND(I640*C640,0)</f>
        <v>33211</v>
      </c>
      <c r="K640" s="20">
        <f>E640+G640+I640</f>
        <v>46944.460599999999</v>
      </c>
      <c r="L640" s="20">
        <f>F640+H640+J640</f>
        <v>93889</v>
      </c>
      <c r="M640" s="18"/>
      <c r="N640" s="44"/>
    </row>
    <row r="641" spans="1:14" ht="21" customHeight="1">
      <c r="A641" s="18" t="s">
        <v>862</v>
      </c>
      <c r="B641" s="18" t="s">
        <v>109</v>
      </c>
      <c r="C641" s="20">
        <v>1040</v>
      </c>
      <c r="D641" s="21" t="s">
        <v>99</v>
      </c>
      <c r="E641" s="20">
        <v>0</v>
      </c>
      <c r="F641" s="20">
        <f>ROUND(E641*C641,0)</f>
        <v>0</v>
      </c>
      <c r="G641" s="20">
        <v>2678.2674999999999</v>
      </c>
      <c r="H641" s="20">
        <f>ROUND(G641*C641,0)</f>
        <v>2785398</v>
      </c>
      <c r="I641" s="20">
        <v>5262.1327000000001</v>
      </c>
      <c r="J641" s="20">
        <f>ROUND(I641*C641,0)</f>
        <v>5472618</v>
      </c>
      <c r="K641" s="20">
        <f>E641+G641+I641</f>
        <v>7940.4002</v>
      </c>
      <c r="L641" s="20">
        <f>F641+H641+J641</f>
        <v>8258016</v>
      </c>
      <c r="M641" s="18"/>
      <c r="N641" s="44"/>
    </row>
    <row r="642" spans="1:14" ht="21" customHeight="1">
      <c r="A642" s="18" t="s">
        <v>224</v>
      </c>
      <c r="B642" s="18"/>
      <c r="C642" s="19"/>
      <c r="D642" s="19"/>
      <c r="E642" s="19">
        <v>0</v>
      </c>
      <c r="F642" s="19"/>
      <c r="G642" s="19">
        <v>0</v>
      </c>
      <c r="H642" s="19"/>
      <c r="I642" s="19">
        <v>0</v>
      </c>
      <c r="J642" s="19"/>
      <c r="K642" s="19"/>
      <c r="L642" s="19"/>
      <c r="M642" s="19"/>
      <c r="N642" s="44"/>
    </row>
    <row r="643" spans="1:14" ht="21" customHeight="1">
      <c r="A643" s="18" t="s">
        <v>225</v>
      </c>
      <c r="B643" s="18" t="s">
        <v>445</v>
      </c>
      <c r="C643" s="20">
        <v>1</v>
      </c>
      <c r="D643" s="21" t="s">
        <v>99</v>
      </c>
      <c r="E643" s="20">
        <v>0</v>
      </c>
      <c r="F643" s="20">
        <f>ROUND(E643*C643,0)</f>
        <v>0</v>
      </c>
      <c r="G643" s="20">
        <v>0</v>
      </c>
      <c r="H643" s="20">
        <f>ROUND(G643*C643,0)</f>
        <v>0</v>
      </c>
      <c r="I643" s="20">
        <v>11693.156799999999</v>
      </c>
      <c r="J643" s="20">
        <f>ROUND(I643*C643,0)</f>
        <v>11693</v>
      </c>
      <c r="K643" s="20">
        <f>E643+G643+I643</f>
        <v>11693.156799999999</v>
      </c>
      <c r="L643" s="20">
        <f>F643+H643+J643</f>
        <v>11693</v>
      </c>
      <c r="M643" s="18"/>
      <c r="N643" s="44"/>
    </row>
    <row r="644" spans="1:14" ht="21" customHeight="1">
      <c r="A644" s="18" t="s">
        <v>863</v>
      </c>
      <c r="B644" s="18"/>
      <c r="C644" s="19"/>
      <c r="D644" s="19"/>
      <c r="E644" s="19">
        <v>0</v>
      </c>
      <c r="F644" s="19"/>
      <c r="G644" s="19">
        <v>0</v>
      </c>
      <c r="H644" s="19"/>
      <c r="I644" s="19">
        <v>0</v>
      </c>
      <c r="J644" s="19"/>
      <c r="K644" s="19"/>
      <c r="L644" s="19"/>
      <c r="M644" s="19"/>
      <c r="N644" s="44"/>
    </row>
    <row r="645" spans="1:14" ht="21" customHeight="1">
      <c r="A645" s="18" t="s">
        <v>864</v>
      </c>
      <c r="B645" s="18" t="s">
        <v>865</v>
      </c>
      <c r="C645" s="20">
        <v>1242</v>
      </c>
      <c r="D645" s="21" t="s">
        <v>231</v>
      </c>
      <c r="E645" s="20">
        <v>57100.663099999998</v>
      </c>
      <c r="F645" s="20">
        <f>ROUND(E645*C645,0)</f>
        <v>70919024</v>
      </c>
      <c r="G645" s="20">
        <v>21426.14</v>
      </c>
      <c r="H645" s="20">
        <f>ROUND(G645*C645,0)</f>
        <v>26611266</v>
      </c>
      <c r="I645" s="20">
        <v>15201.9524</v>
      </c>
      <c r="J645" s="20">
        <f>ROUND(I645*C645,0)</f>
        <v>18880825</v>
      </c>
      <c r="K645" s="20">
        <f>E645+G645+I645</f>
        <v>93728.755499999985</v>
      </c>
      <c r="L645" s="20">
        <f>F645+H645+J645</f>
        <v>116411115</v>
      </c>
      <c r="M645" s="18"/>
      <c r="N645" s="44"/>
    </row>
    <row r="646" spans="1:14" ht="21" customHeight="1">
      <c r="A646" s="18" t="s">
        <v>866</v>
      </c>
      <c r="B646" s="18"/>
      <c r="C646" s="19"/>
      <c r="D646" s="19"/>
      <c r="E646" s="19">
        <v>0</v>
      </c>
      <c r="F646" s="19"/>
      <c r="G646" s="19">
        <v>0</v>
      </c>
      <c r="H646" s="19"/>
      <c r="I646" s="19">
        <v>0</v>
      </c>
      <c r="J646" s="19"/>
      <c r="K646" s="19"/>
      <c r="L646" s="19"/>
      <c r="M646" s="19"/>
      <c r="N646" s="44"/>
    </row>
    <row r="647" spans="1:14" ht="21" customHeight="1">
      <c r="A647" s="18" t="s">
        <v>867</v>
      </c>
      <c r="B647" s="18" t="s">
        <v>868</v>
      </c>
      <c r="C647" s="20">
        <v>272</v>
      </c>
      <c r="D647" s="21" t="s">
        <v>93</v>
      </c>
      <c r="E647" s="20">
        <v>353.2131</v>
      </c>
      <c r="F647" s="20">
        <f>ROUND(E647*C647,0)</f>
        <v>96074</v>
      </c>
      <c r="G647" s="20">
        <v>1189.0446999999999</v>
      </c>
      <c r="H647" s="20">
        <f>ROUND(G647*C647,0)</f>
        <v>323420</v>
      </c>
      <c r="I647" s="20">
        <v>0</v>
      </c>
      <c r="J647" s="20">
        <f>ROUND(I647*C647,0)</f>
        <v>0</v>
      </c>
      <c r="K647" s="20">
        <f t="shared" ref="K647:L650" si="143">E647+G647+I647</f>
        <v>1542.2577999999999</v>
      </c>
      <c r="L647" s="20">
        <f t="shared" si="143"/>
        <v>419494</v>
      </c>
      <c r="M647" s="18"/>
      <c r="N647" s="44"/>
    </row>
    <row r="648" spans="1:14" ht="21" customHeight="1">
      <c r="A648" s="18" t="s">
        <v>869</v>
      </c>
      <c r="B648" s="18" t="s">
        <v>870</v>
      </c>
      <c r="C648" s="20">
        <v>57</v>
      </c>
      <c r="D648" s="21" t="s">
        <v>365</v>
      </c>
      <c r="E648" s="20">
        <v>10713.07</v>
      </c>
      <c r="F648" s="20">
        <f>ROUND(E648*C648,0)</f>
        <v>610645</v>
      </c>
      <c r="G648" s="20">
        <v>21426.14</v>
      </c>
      <c r="H648" s="20">
        <f>ROUND(G648*C648,0)</f>
        <v>1221290</v>
      </c>
      <c r="I648" s="20">
        <v>18709.687299999998</v>
      </c>
      <c r="J648" s="20">
        <f>ROUND(I648*C648,0)</f>
        <v>1066452</v>
      </c>
      <c r="K648" s="20">
        <f t="shared" si="143"/>
        <v>50848.897299999997</v>
      </c>
      <c r="L648" s="20">
        <f t="shared" si="143"/>
        <v>2898387</v>
      </c>
      <c r="M648" s="18"/>
      <c r="N648" s="44"/>
    </row>
    <row r="649" spans="1:14" ht="21" customHeight="1">
      <c r="A649" s="18" t="s">
        <v>871</v>
      </c>
      <c r="B649" s="18" t="s">
        <v>872</v>
      </c>
      <c r="C649" s="20">
        <v>9</v>
      </c>
      <c r="D649" s="21" t="s">
        <v>231</v>
      </c>
      <c r="E649" s="20">
        <v>0</v>
      </c>
      <c r="F649" s="20">
        <f>ROUND(E649*C649,0)</f>
        <v>0</v>
      </c>
      <c r="G649" s="20">
        <v>40066.881799999996</v>
      </c>
      <c r="H649" s="20">
        <f>ROUND(G649*C649,0)</f>
        <v>360602</v>
      </c>
      <c r="I649" s="20">
        <v>44389.234299999996</v>
      </c>
      <c r="J649" s="20">
        <f>ROUND(I649*C649,0)</f>
        <v>399503</v>
      </c>
      <c r="K649" s="20">
        <f t="shared" si="143"/>
        <v>84456.116099999985</v>
      </c>
      <c r="L649" s="20">
        <f t="shared" si="143"/>
        <v>760105</v>
      </c>
      <c r="M649" s="18"/>
      <c r="N649" s="44"/>
    </row>
    <row r="650" spans="1:14" ht="21" customHeight="1">
      <c r="A650" s="18" t="s">
        <v>873</v>
      </c>
      <c r="B650" s="18" t="s">
        <v>874</v>
      </c>
      <c r="C650" s="20">
        <v>108</v>
      </c>
      <c r="D650" s="21" t="s">
        <v>99</v>
      </c>
      <c r="E650" s="20">
        <v>0</v>
      </c>
      <c r="F650" s="20">
        <f>ROUND(E650*C650,0)</f>
        <v>0</v>
      </c>
      <c r="G650" s="20">
        <v>1606.9604999999999</v>
      </c>
      <c r="H650" s="20">
        <f>ROUND(G650*C650,0)</f>
        <v>173552</v>
      </c>
      <c r="I650" s="20">
        <v>5846.5783999999994</v>
      </c>
      <c r="J650" s="20">
        <f>ROUND(I650*C650,0)</f>
        <v>631430</v>
      </c>
      <c r="K650" s="20">
        <f t="shared" si="143"/>
        <v>7453.5388999999996</v>
      </c>
      <c r="L650" s="20">
        <f t="shared" si="143"/>
        <v>804982</v>
      </c>
      <c r="M650" s="18"/>
      <c r="N650" s="44"/>
    </row>
    <row r="651" spans="1:14" ht="21" customHeight="1">
      <c r="A651" s="18" t="s">
        <v>875</v>
      </c>
      <c r="B651" s="18"/>
      <c r="C651" s="19"/>
      <c r="D651" s="19"/>
      <c r="E651" s="19">
        <v>0</v>
      </c>
      <c r="F651" s="19"/>
      <c r="G651" s="19">
        <v>0</v>
      </c>
      <c r="H651" s="19"/>
      <c r="I651" s="19">
        <v>0</v>
      </c>
      <c r="J651" s="19"/>
      <c r="K651" s="19"/>
      <c r="L651" s="19"/>
      <c r="M651" s="19"/>
      <c r="N651" s="44"/>
    </row>
    <row r="652" spans="1:14" ht="21" customHeight="1">
      <c r="A652" s="18" t="s">
        <v>867</v>
      </c>
      <c r="B652" s="18" t="s">
        <v>868</v>
      </c>
      <c r="C652" s="20">
        <v>1895</v>
      </c>
      <c r="D652" s="21" t="s">
        <v>93</v>
      </c>
      <c r="E652" s="20">
        <v>353.2131</v>
      </c>
      <c r="F652" s="20">
        <f>ROUND(E652*C652,0)</f>
        <v>669339</v>
      </c>
      <c r="G652" s="20">
        <v>1189.0446999999999</v>
      </c>
      <c r="H652" s="20">
        <f>ROUND(G652*C652,0)</f>
        <v>2253240</v>
      </c>
      <c r="I652" s="20">
        <v>0</v>
      </c>
      <c r="J652" s="20">
        <f>ROUND(I652*C652,0)</f>
        <v>0</v>
      </c>
      <c r="K652" s="20">
        <f t="shared" ref="K652:L654" si="144">E652+G652+I652</f>
        <v>1542.2577999999999</v>
      </c>
      <c r="L652" s="20">
        <f t="shared" si="144"/>
        <v>2922579</v>
      </c>
      <c r="M652" s="18"/>
      <c r="N652" s="44"/>
    </row>
    <row r="653" spans="1:14" ht="21" customHeight="1">
      <c r="A653" s="18" t="s">
        <v>876</v>
      </c>
      <c r="B653" s="18" t="s">
        <v>877</v>
      </c>
      <c r="C653" s="20">
        <v>1178</v>
      </c>
      <c r="D653" s="21" t="s">
        <v>365</v>
      </c>
      <c r="E653" s="20">
        <v>321.39209999999997</v>
      </c>
      <c r="F653" s="20">
        <f>ROUND(E653*C653,0)</f>
        <v>378600</v>
      </c>
      <c r="G653" s="20">
        <v>5442.4516999999996</v>
      </c>
      <c r="H653" s="20">
        <f>ROUND(G653*C653,0)</f>
        <v>6411208</v>
      </c>
      <c r="I653" s="20">
        <v>0</v>
      </c>
      <c r="J653" s="20">
        <f>ROUND(I653*C653,0)</f>
        <v>0</v>
      </c>
      <c r="K653" s="20">
        <f t="shared" si="144"/>
        <v>5763.8437999999996</v>
      </c>
      <c r="L653" s="20">
        <f t="shared" si="144"/>
        <v>6789808</v>
      </c>
      <c r="M653" s="18"/>
      <c r="N653" s="44"/>
    </row>
    <row r="654" spans="1:14" ht="21" customHeight="1">
      <c r="A654" s="18" t="s">
        <v>878</v>
      </c>
      <c r="B654" s="18" t="s">
        <v>874</v>
      </c>
      <c r="C654" s="20">
        <v>259</v>
      </c>
      <c r="D654" s="21" t="s">
        <v>99</v>
      </c>
      <c r="E654" s="20">
        <v>0</v>
      </c>
      <c r="F654" s="20">
        <f>ROUND(E654*C654,0)</f>
        <v>0</v>
      </c>
      <c r="G654" s="20">
        <v>1606.9604999999999</v>
      </c>
      <c r="H654" s="20">
        <f>ROUND(G654*C654,0)</f>
        <v>416203</v>
      </c>
      <c r="I654" s="20">
        <v>5846.5783999999994</v>
      </c>
      <c r="J654" s="20">
        <f>ROUND(I654*C654,0)</f>
        <v>1514264</v>
      </c>
      <c r="K654" s="20">
        <f t="shared" si="144"/>
        <v>7453.5388999999996</v>
      </c>
      <c r="L654" s="20">
        <f t="shared" si="144"/>
        <v>1930467</v>
      </c>
      <c r="M654" s="18"/>
      <c r="N654" s="44"/>
    </row>
    <row r="655" spans="1:14" ht="21" customHeight="1">
      <c r="A655" s="18" t="s">
        <v>879</v>
      </c>
      <c r="B655" s="18"/>
      <c r="C655" s="19"/>
      <c r="D655" s="19"/>
      <c r="E655" s="19">
        <v>0</v>
      </c>
      <c r="F655" s="19"/>
      <c r="G655" s="19">
        <v>0</v>
      </c>
      <c r="H655" s="19"/>
      <c r="I655" s="19">
        <v>0</v>
      </c>
      <c r="J655" s="19"/>
      <c r="K655" s="19"/>
      <c r="L655" s="19"/>
      <c r="M655" s="19"/>
      <c r="N655" s="44"/>
    </row>
    <row r="656" spans="1:14" ht="21" customHeight="1">
      <c r="A656" s="18" t="s">
        <v>880</v>
      </c>
      <c r="B656" s="18" t="s">
        <v>881</v>
      </c>
      <c r="C656" s="20">
        <v>1</v>
      </c>
      <c r="D656" s="21" t="s">
        <v>201</v>
      </c>
      <c r="E656" s="20">
        <v>16069605</v>
      </c>
      <c r="F656" s="20">
        <f>ROUND(E656*C656,0)</f>
        <v>16069605</v>
      </c>
      <c r="G656" s="20">
        <v>3749574.5</v>
      </c>
      <c r="H656" s="20">
        <f>ROUND(G656*C656,0)</f>
        <v>3749575</v>
      </c>
      <c r="I656" s="20">
        <v>3741954.4312</v>
      </c>
      <c r="J656" s="20">
        <f>ROUND(I656*C656,0)</f>
        <v>3741954</v>
      </c>
      <c r="K656" s="20">
        <f>E656+G656+I656</f>
        <v>23561133.931200001</v>
      </c>
      <c r="L656" s="20">
        <f>F656+H656+J656</f>
        <v>23561134</v>
      </c>
      <c r="M656" s="18"/>
      <c r="N656" s="44"/>
    </row>
    <row r="657" spans="1:14" ht="21" customHeight="1">
      <c r="A657" s="18" t="s">
        <v>882</v>
      </c>
      <c r="B657" s="18" t="s">
        <v>881</v>
      </c>
      <c r="C657" s="20">
        <v>1</v>
      </c>
      <c r="D657" s="21" t="s">
        <v>201</v>
      </c>
      <c r="E657" s="20">
        <v>29139550.399999999</v>
      </c>
      <c r="F657" s="20">
        <f>ROUND(E657*C657,0)</f>
        <v>29139550</v>
      </c>
      <c r="G657" s="20">
        <v>127485533</v>
      </c>
      <c r="H657" s="20">
        <f>ROUND(G657*C657,0)</f>
        <v>127485533</v>
      </c>
      <c r="I657" s="20">
        <v>0</v>
      </c>
      <c r="J657" s="20">
        <f>ROUND(I657*C657,0)</f>
        <v>0</v>
      </c>
      <c r="K657" s="20">
        <f>E657+G657+I657</f>
        <v>156625083.40000001</v>
      </c>
      <c r="L657" s="20">
        <f>F657+H657+J657</f>
        <v>156625083</v>
      </c>
      <c r="M657" s="18"/>
      <c r="N657" s="44"/>
    </row>
    <row r="658" spans="1:14" ht="21" customHeight="1">
      <c r="A658" s="18" t="s">
        <v>883</v>
      </c>
      <c r="B658" s="18"/>
      <c r="C658" s="19"/>
      <c r="D658" s="19"/>
      <c r="E658" s="19">
        <v>0</v>
      </c>
      <c r="F658" s="19"/>
      <c r="G658" s="19">
        <v>0</v>
      </c>
      <c r="H658" s="19"/>
      <c r="I658" s="19">
        <v>0</v>
      </c>
      <c r="J658" s="19"/>
      <c r="K658" s="19"/>
      <c r="L658" s="19"/>
      <c r="M658" s="19"/>
      <c r="N658" s="44"/>
    </row>
    <row r="659" spans="1:14" ht="21" customHeight="1">
      <c r="A659" s="18" t="s">
        <v>884</v>
      </c>
      <c r="B659" s="18" t="s">
        <v>885</v>
      </c>
      <c r="C659" s="20">
        <v>1</v>
      </c>
      <c r="D659" s="21" t="s">
        <v>201</v>
      </c>
      <c r="E659" s="20">
        <v>1606960.5</v>
      </c>
      <c r="F659" s="20">
        <f>ROUND(E659*C659,0)</f>
        <v>1606961</v>
      </c>
      <c r="G659" s="20">
        <v>0</v>
      </c>
      <c r="H659" s="20">
        <f>ROUND(G659*C659,0)</f>
        <v>0</v>
      </c>
      <c r="I659" s="20">
        <v>0</v>
      </c>
      <c r="J659" s="20">
        <f>ROUND(I659*C659,0)</f>
        <v>0</v>
      </c>
      <c r="K659" s="20">
        <f>E659+G659+I659</f>
        <v>1606960.5</v>
      </c>
      <c r="L659" s="20">
        <f>F659+H659+J659</f>
        <v>1606961</v>
      </c>
      <c r="M659" s="18"/>
      <c r="N659" s="44"/>
    </row>
    <row r="660" spans="1:14" ht="21" customHeight="1">
      <c r="A660" s="18" t="s">
        <v>886</v>
      </c>
      <c r="B660" s="18"/>
      <c r="C660" s="19"/>
      <c r="D660" s="19"/>
      <c r="E660" s="19">
        <v>0</v>
      </c>
      <c r="F660" s="19"/>
      <c r="G660" s="19">
        <v>0</v>
      </c>
      <c r="H660" s="19"/>
      <c r="I660" s="19">
        <v>0</v>
      </c>
      <c r="J660" s="19"/>
      <c r="K660" s="19"/>
      <c r="L660" s="19"/>
      <c r="M660" s="19"/>
      <c r="N660" s="44"/>
    </row>
    <row r="661" spans="1:14" ht="21" customHeight="1">
      <c r="A661" s="18" t="s">
        <v>887</v>
      </c>
      <c r="B661" s="18"/>
      <c r="C661" s="19"/>
      <c r="D661" s="19"/>
      <c r="E661" s="19">
        <v>0</v>
      </c>
      <c r="F661" s="19"/>
      <c r="G661" s="19">
        <v>0</v>
      </c>
      <c r="H661" s="19"/>
      <c r="I661" s="19">
        <v>0</v>
      </c>
      <c r="J661" s="19"/>
      <c r="K661" s="19"/>
      <c r="L661" s="19"/>
      <c r="M661" s="19"/>
      <c r="N661" s="44"/>
    </row>
    <row r="662" spans="1:14" ht="21" customHeight="1">
      <c r="A662" s="18" t="s">
        <v>888</v>
      </c>
      <c r="B662" s="18" t="s">
        <v>889</v>
      </c>
      <c r="C662" s="20">
        <v>100</v>
      </c>
      <c r="D662" s="21" t="s">
        <v>93</v>
      </c>
      <c r="E662" s="20">
        <v>0</v>
      </c>
      <c r="F662" s="20">
        <f t="shared" ref="F662:F668" si="145">ROUND(E662*C662,0)</f>
        <v>0</v>
      </c>
      <c r="G662" s="20">
        <v>0</v>
      </c>
      <c r="H662" s="20">
        <f t="shared" ref="H662:H668" si="146">ROUND(G662*C662,0)</f>
        <v>0</v>
      </c>
      <c r="I662" s="20">
        <v>233872.68229999999</v>
      </c>
      <c r="J662" s="20">
        <f t="shared" ref="J662:J668" si="147">ROUND(I662*C662,0)</f>
        <v>23387268</v>
      </c>
      <c r="K662" s="20">
        <f t="shared" ref="K662:L668" si="148">E662+G662+I662</f>
        <v>233872.68229999999</v>
      </c>
      <c r="L662" s="20">
        <f t="shared" si="148"/>
        <v>23387268</v>
      </c>
      <c r="M662" s="18"/>
      <c r="N662" s="44"/>
    </row>
    <row r="663" spans="1:14" ht="21" customHeight="1">
      <c r="A663" s="18" t="s">
        <v>890</v>
      </c>
      <c r="B663" s="18" t="s">
        <v>889</v>
      </c>
      <c r="C663" s="20">
        <v>130</v>
      </c>
      <c r="D663" s="21" t="s">
        <v>93</v>
      </c>
      <c r="E663" s="20">
        <v>0</v>
      </c>
      <c r="F663" s="20">
        <f t="shared" si="145"/>
        <v>0</v>
      </c>
      <c r="G663" s="20">
        <v>0</v>
      </c>
      <c r="H663" s="20">
        <f t="shared" si="146"/>
        <v>0</v>
      </c>
      <c r="I663" s="20">
        <v>233872.68229999999</v>
      </c>
      <c r="J663" s="20">
        <f t="shared" si="147"/>
        <v>30403449</v>
      </c>
      <c r="K663" s="20">
        <f t="shared" si="148"/>
        <v>233872.68229999999</v>
      </c>
      <c r="L663" s="20">
        <f t="shared" si="148"/>
        <v>30403449</v>
      </c>
      <c r="M663" s="18"/>
      <c r="N663" s="44"/>
    </row>
    <row r="664" spans="1:14" ht="21" customHeight="1">
      <c r="A664" s="18" t="s">
        <v>891</v>
      </c>
      <c r="B664" s="18" t="s">
        <v>889</v>
      </c>
      <c r="C664" s="20">
        <v>80</v>
      </c>
      <c r="D664" s="21" t="s">
        <v>93</v>
      </c>
      <c r="E664" s="20">
        <v>0</v>
      </c>
      <c r="F664" s="20">
        <f t="shared" si="145"/>
        <v>0</v>
      </c>
      <c r="G664" s="20">
        <v>0</v>
      </c>
      <c r="H664" s="20">
        <f t="shared" si="146"/>
        <v>0</v>
      </c>
      <c r="I664" s="20">
        <v>233872.68229999999</v>
      </c>
      <c r="J664" s="20">
        <f t="shared" si="147"/>
        <v>18709815</v>
      </c>
      <c r="K664" s="20">
        <f t="shared" si="148"/>
        <v>233872.68229999999</v>
      </c>
      <c r="L664" s="20">
        <f t="shared" si="148"/>
        <v>18709815</v>
      </c>
      <c r="M664" s="18"/>
      <c r="N664" s="44"/>
    </row>
    <row r="665" spans="1:14" ht="21" customHeight="1">
      <c r="A665" s="18" t="s">
        <v>892</v>
      </c>
      <c r="B665" s="18" t="s">
        <v>889</v>
      </c>
      <c r="C665" s="20">
        <v>20</v>
      </c>
      <c r="D665" s="21" t="s">
        <v>93</v>
      </c>
      <c r="E665" s="20">
        <v>0</v>
      </c>
      <c r="F665" s="20">
        <f t="shared" si="145"/>
        <v>0</v>
      </c>
      <c r="G665" s="20">
        <v>0</v>
      </c>
      <c r="H665" s="20">
        <f t="shared" si="146"/>
        <v>0</v>
      </c>
      <c r="I665" s="20">
        <v>233872.68229999999</v>
      </c>
      <c r="J665" s="20">
        <f t="shared" si="147"/>
        <v>4677454</v>
      </c>
      <c r="K665" s="20">
        <f t="shared" si="148"/>
        <v>233872.68229999999</v>
      </c>
      <c r="L665" s="20">
        <f t="shared" si="148"/>
        <v>4677454</v>
      </c>
      <c r="M665" s="18"/>
      <c r="N665" s="44"/>
    </row>
    <row r="666" spans="1:14" ht="21" customHeight="1">
      <c r="A666" s="18" t="s">
        <v>893</v>
      </c>
      <c r="B666" s="18" t="s">
        <v>889</v>
      </c>
      <c r="C666" s="20">
        <v>100</v>
      </c>
      <c r="D666" s="21" t="s">
        <v>93</v>
      </c>
      <c r="E666" s="20">
        <v>0</v>
      </c>
      <c r="F666" s="20">
        <f t="shared" si="145"/>
        <v>0</v>
      </c>
      <c r="G666" s="20">
        <v>0</v>
      </c>
      <c r="H666" s="20">
        <f t="shared" si="146"/>
        <v>0</v>
      </c>
      <c r="I666" s="20">
        <v>233872.68229999999</v>
      </c>
      <c r="J666" s="20">
        <f t="shared" si="147"/>
        <v>23387268</v>
      </c>
      <c r="K666" s="20">
        <f t="shared" si="148"/>
        <v>233872.68229999999</v>
      </c>
      <c r="L666" s="20">
        <f t="shared" si="148"/>
        <v>23387268</v>
      </c>
      <c r="M666" s="18"/>
      <c r="N666" s="44"/>
    </row>
    <row r="667" spans="1:14" ht="21" customHeight="1">
      <c r="A667" s="18" t="s">
        <v>894</v>
      </c>
      <c r="B667" s="18" t="s">
        <v>889</v>
      </c>
      <c r="C667" s="20">
        <v>120</v>
      </c>
      <c r="D667" s="21" t="s">
        <v>93</v>
      </c>
      <c r="E667" s="20">
        <v>0</v>
      </c>
      <c r="F667" s="20">
        <f t="shared" si="145"/>
        <v>0</v>
      </c>
      <c r="G667" s="20">
        <v>0</v>
      </c>
      <c r="H667" s="20">
        <f t="shared" si="146"/>
        <v>0</v>
      </c>
      <c r="I667" s="20">
        <v>233872.68229999999</v>
      </c>
      <c r="J667" s="20">
        <f t="shared" si="147"/>
        <v>28064722</v>
      </c>
      <c r="K667" s="20">
        <f t="shared" si="148"/>
        <v>233872.68229999999</v>
      </c>
      <c r="L667" s="20">
        <f t="shared" si="148"/>
        <v>28064722</v>
      </c>
      <c r="M667" s="18"/>
      <c r="N667" s="44"/>
    </row>
    <row r="668" spans="1:14" ht="21" customHeight="1">
      <c r="A668" s="18" t="s">
        <v>895</v>
      </c>
      <c r="B668" s="18" t="s">
        <v>896</v>
      </c>
      <c r="C668" s="20">
        <v>1</v>
      </c>
      <c r="D668" s="21" t="s">
        <v>201</v>
      </c>
      <c r="E668" s="20">
        <v>0</v>
      </c>
      <c r="F668" s="20">
        <f t="shared" si="145"/>
        <v>0</v>
      </c>
      <c r="G668" s="20">
        <v>0</v>
      </c>
      <c r="H668" s="20">
        <f t="shared" si="146"/>
        <v>0</v>
      </c>
      <c r="I668" s="20">
        <v>2923401.6341999997</v>
      </c>
      <c r="J668" s="20">
        <f t="shared" si="147"/>
        <v>2923402</v>
      </c>
      <c r="K668" s="20">
        <f t="shared" si="148"/>
        <v>2923401.6341999997</v>
      </c>
      <c r="L668" s="20">
        <f t="shared" si="148"/>
        <v>2923402</v>
      </c>
      <c r="M668" s="18"/>
      <c r="N668" s="44"/>
    </row>
    <row r="669" spans="1:14" ht="21" customHeight="1">
      <c r="A669" s="18" t="s">
        <v>897</v>
      </c>
      <c r="B669" s="18"/>
      <c r="C669" s="19"/>
      <c r="D669" s="19"/>
      <c r="E669" s="19">
        <v>0</v>
      </c>
      <c r="F669" s="19"/>
      <c r="G669" s="19">
        <v>0</v>
      </c>
      <c r="H669" s="19"/>
      <c r="I669" s="19">
        <v>0</v>
      </c>
      <c r="J669" s="19"/>
      <c r="K669" s="19"/>
      <c r="L669" s="19"/>
      <c r="M669" s="19"/>
      <c r="N669" s="44"/>
    </row>
    <row r="670" spans="1:14" ht="21" customHeight="1">
      <c r="A670" s="18" t="s">
        <v>898</v>
      </c>
      <c r="B670" s="18" t="s">
        <v>899</v>
      </c>
      <c r="C670" s="20">
        <v>64150</v>
      </c>
      <c r="D670" s="21" t="s">
        <v>900</v>
      </c>
      <c r="E670" s="20">
        <v>0</v>
      </c>
      <c r="F670" s="20">
        <f>ROUND(E670*C670,0)</f>
        <v>0</v>
      </c>
      <c r="G670" s="20">
        <v>0</v>
      </c>
      <c r="H670" s="20">
        <f>ROUND(G670*C670,0)</f>
        <v>0</v>
      </c>
      <c r="I670" s="20">
        <v>2478.8559</v>
      </c>
      <c r="J670" s="20">
        <f>ROUND(I670*C670,0)</f>
        <v>159018606</v>
      </c>
      <c r="K670" s="20">
        <f>E670+G670+I670</f>
        <v>2478.8559</v>
      </c>
      <c r="L670" s="20">
        <f>F670+H670+J670</f>
        <v>159018606</v>
      </c>
      <c r="M670" s="18"/>
      <c r="N670" s="44"/>
    </row>
    <row r="671" spans="1:14" ht="21" customHeight="1">
      <c r="A671" s="18" t="s">
        <v>901</v>
      </c>
      <c r="B671" s="18"/>
      <c r="C671" s="19"/>
      <c r="D671" s="19"/>
      <c r="E671" s="19">
        <v>0</v>
      </c>
      <c r="F671" s="19"/>
      <c r="G671" s="19">
        <v>0</v>
      </c>
      <c r="H671" s="19"/>
      <c r="I671" s="19">
        <v>0</v>
      </c>
      <c r="J671" s="19"/>
      <c r="K671" s="19"/>
      <c r="L671" s="19"/>
      <c r="M671" s="19"/>
      <c r="N671" s="44"/>
    </row>
    <row r="672" spans="1:14" ht="21" customHeight="1">
      <c r="A672" s="18" t="s">
        <v>902</v>
      </c>
      <c r="B672" s="18" t="s">
        <v>903</v>
      </c>
      <c r="C672" s="20">
        <v>1</v>
      </c>
      <c r="D672" s="21" t="s">
        <v>201</v>
      </c>
      <c r="E672" s="20">
        <v>0</v>
      </c>
      <c r="F672" s="20">
        <f>ROUND(E672*C672,0)</f>
        <v>0</v>
      </c>
      <c r="G672" s="20">
        <v>0</v>
      </c>
      <c r="H672" s="20">
        <f>ROUND(G672*C672,0)</f>
        <v>0</v>
      </c>
      <c r="I672" s="20">
        <v>5846804.3290999997</v>
      </c>
      <c r="J672" s="20">
        <f>ROUND(I672*C672,0)</f>
        <v>5846804</v>
      </c>
      <c r="K672" s="20">
        <f>E672+G672+I672</f>
        <v>5846804.3290999997</v>
      </c>
      <c r="L672" s="20">
        <f>F672+H672+J672</f>
        <v>5846804</v>
      </c>
      <c r="M672" s="18"/>
      <c r="N672" s="44"/>
    </row>
    <row r="673" spans="1:14" ht="21" customHeight="1">
      <c r="A673" s="18" t="s">
        <v>904</v>
      </c>
      <c r="B673" s="18"/>
      <c r="C673" s="19"/>
      <c r="D673" s="19"/>
      <c r="E673" s="19">
        <v>0</v>
      </c>
      <c r="F673" s="19"/>
      <c r="G673" s="19">
        <v>0</v>
      </c>
      <c r="H673" s="19"/>
      <c r="I673" s="19">
        <v>0</v>
      </c>
      <c r="J673" s="19"/>
      <c r="K673" s="19"/>
      <c r="L673" s="19"/>
      <c r="M673" s="19"/>
      <c r="N673" s="44"/>
    </row>
    <row r="674" spans="1:14" ht="21" customHeight="1">
      <c r="A674" s="18" t="s">
        <v>905</v>
      </c>
      <c r="B674" s="18" t="s">
        <v>906</v>
      </c>
      <c r="C674" s="20">
        <v>38</v>
      </c>
      <c r="D674" s="21" t="s">
        <v>907</v>
      </c>
      <c r="E674" s="20">
        <v>0</v>
      </c>
      <c r="F674" s="20">
        <f>ROUND(E674*C674,0)</f>
        <v>0</v>
      </c>
      <c r="G674" s="20">
        <v>0</v>
      </c>
      <c r="H674" s="20">
        <f>ROUND(G674*C674,0)</f>
        <v>0</v>
      </c>
      <c r="I674" s="20">
        <v>11693.156799999999</v>
      </c>
      <c r="J674" s="20">
        <f>ROUND(I674*C674,0)</f>
        <v>444340</v>
      </c>
      <c r="K674" s="20">
        <f t="shared" ref="K674:L676" si="149">E674+G674+I674</f>
        <v>11693.156799999999</v>
      </c>
      <c r="L674" s="20">
        <f t="shared" si="149"/>
        <v>444340</v>
      </c>
      <c r="M674" s="18"/>
      <c r="N674" s="44"/>
    </row>
    <row r="675" spans="1:14" ht="21" customHeight="1">
      <c r="A675" s="18" t="s">
        <v>908</v>
      </c>
      <c r="B675" s="18" t="s">
        <v>909</v>
      </c>
      <c r="C675" s="20">
        <v>70</v>
      </c>
      <c r="D675" s="21" t="s">
        <v>907</v>
      </c>
      <c r="E675" s="20">
        <v>0</v>
      </c>
      <c r="F675" s="20">
        <f>ROUND(E675*C675,0)</f>
        <v>0</v>
      </c>
      <c r="G675" s="20">
        <v>0</v>
      </c>
      <c r="H675" s="20">
        <f>ROUND(G675*C675,0)</f>
        <v>0</v>
      </c>
      <c r="I675" s="20">
        <v>11693.156799999999</v>
      </c>
      <c r="J675" s="20">
        <f>ROUND(I675*C675,0)</f>
        <v>818521</v>
      </c>
      <c r="K675" s="20">
        <f t="shared" si="149"/>
        <v>11693.156799999999</v>
      </c>
      <c r="L675" s="20">
        <f t="shared" si="149"/>
        <v>818521</v>
      </c>
      <c r="M675" s="18"/>
      <c r="N675" s="44"/>
    </row>
    <row r="676" spans="1:14" ht="21" customHeight="1">
      <c r="A676" s="18" t="s">
        <v>910</v>
      </c>
      <c r="B676" s="18" t="s">
        <v>911</v>
      </c>
      <c r="C676" s="20">
        <v>11</v>
      </c>
      <c r="D676" s="21" t="s">
        <v>907</v>
      </c>
      <c r="E676" s="20">
        <v>0</v>
      </c>
      <c r="F676" s="20">
        <f>ROUND(E676*C676,0)</f>
        <v>0</v>
      </c>
      <c r="G676" s="20">
        <v>0</v>
      </c>
      <c r="H676" s="20">
        <f>ROUND(G676*C676,0)</f>
        <v>0</v>
      </c>
      <c r="I676" s="20">
        <v>11693.156799999999</v>
      </c>
      <c r="J676" s="20">
        <f>ROUND(I676*C676,0)</f>
        <v>128625</v>
      </c>
      <c r="K676" s="20">
        <f t="shared" si="149"/>
        <v>11693.156799999999</v>
      </c>
      <c r="L676" s="20">
        <f t="shared" si="149"/>
        <v>128625</v>
      </c>
      <c r="M676" s="18"/>
      <c r="N676" s="44"/>
    </row>
    <row r="677" spans="1:14" ht="21" customHeight="1">
      <c r="A677" s="18" t="s">
        <v>912</v>
      </c>
      <c r="B677" s="18"/>
      <c r="C677" s="19"/>
      <c r="D677" s="19"/>
      <c r="E677" s="19">
        <v>0</v>
      </c>
      <c r="F677" s="19"/>
      <c r="G677" s="19">
        <v>0</v>
      </c>
      <c r="H677" s="19"/>
      <c r="I677" s="19">
        <v>0</v>
      </c>
      <c r="J677" s="19"/>
      <c r="K677" s="19"/>
      <c r="L677" s="19"/>
      <c r="M677" s="19"/>
      <c r="N677" s="44"/>
    </row>
    <row r="678" spans="1:14" ht="21" customHeight="1">
      <c r="A678" s="18" t="s">
        <v>913</v>
      </c>
      <c r="B678" s="18"/>
      <c r="C678" s="19"/>
      <c r="D678" s="19"/>
      <c r="E678" s="19">
        <v>0</v>
      </c>
      <c r="F678" s="19"/>
      <c r="G678" s="19">
        <v>0</v>
      </c>
      <c r="H678" s="19"/>
      <c r="I678" s="19">
        <v>0</v>
      </c>
      <c r="J678" s="19"/>
      <c r="K678" s="19"/>
      <c r="L678" s="19"/>
      <c r="M678" s="19"/>
      <c r="N678" s="44"/>
    </row>
    <row r="679" spans="1:14" ht="21" customHeight="1">
      <c r="A679" s="18" t="s">
        <v>914</v>
      </c>
      <c r="B679" s="18" t="s">
        <v>615</v>
      </c>
      <c r="C679" s="20">
        <v>57</v>
      </c>
      <c r="D679" s="21" t="s">
        <v>99</v>
      </c>
      <c r="E679" s="20">
        <v>19283.525999999998</v>
      </c>
      <c r="F679" s="20">
        <f>ROUND(E679*C679,0)</f>
        <v>1099161</v>
      </c>
      <c r="G679" s="20">
        <v>0</v>
      </c>
      <c r="H679" s="20">
        <f>ROUND(G679*C679,0)</f>
        <v>0</v>
      </c>
      <c r="I679" s="20">
        <v>0</v>
      </c>
      <c r="J679" s="20">
        <f>ROUND(I679*C679,0)</f>
        <v>0</v>
      </c>
      <c r="K679" s="20">
        <f>E679+G679+I679</f>
        <v>19283.525999999998</v>
      </c>
      <c r="L679" s="20">
        <f>F679+H679+J679</f>
        <v>1099161</v>
      </c>
      <c r="M679" s="18"/>
      <c r="N679" s="44"/>
    </row>
    <row r="680" spans="1:14" ht="21" customHeight="1">
      <c r="A680" s="18" t="s">
        <v>611</v>
      </c>
      <c r="B680" s="18"/>
      <c r="C680" s="19"/>
      <c r="D680" s="19"/>
      <c r="E680" s="19">
        <v>0</v>
      </c>
      <c r="F680" s="19"/>
      <c r="G680" s="19">
        <v>0</v>
      </c>
      <c r="H680" s="19"/>
      <c r="I680" s="19">
        <v>0</v>
      </c>
      <c r="J680" s="19"/>
      <c r="K680" s="19"/>
      <c r="L680" s="19"/>
      <c r="M680" s="19"/>
      <c r="N680" s="44"/>
    </row>
    <row r="681" spans="1:14" ht="21" customHeight="1">
      <c r="A681" s="18" t="s">
        <v>389</v>
      </c>
      <c r="B681" s="18" t="s">
        <v>390</v>
      </c>
      <c r="C681" s="22">
        <v>0.872</v>
      </c>
      <c r="D681" s="21" t="s">
        <v>391</v>
      </c>
      <c r="E681" s="20">
        <v>986051.11609999998</v>
      </c>
      <c r="F681" s="20">
        <f>ROUND(E681*C681,0)</f>
        <v>859837</v>
      </c>
      <c r="G681" s="20">
        <v>0</v>
      </c>
      <c r="H681" s="20">
        <f>ROUND(G681*C681,0)</f>
        <v>0</v>
      </c>
      <c r="I681" s="20">
        <v>0</v>
      </c>
      <c r="J681" s="20">
        <f>ROUND(I681*C681,0)</f>
        <v>0</v>
      </c>
      <c r="K681" s="20">
        <f t="shared" ref="K681:L683" si="150">E681+G681+I681</f>
        <v>986051.11609999998</v>
      </c>
      <c r="L681" s="20">
        <f t="shared" si="150"/>
        <v>859837</v>
      </c>
      <c r="M681" s="18"/>
      <c r="N681" s="44"/>
    </row>
    <row r="682" spans="1:14" ht="21" customHeight="1">
      <c r="A682" s="18" t="s">
        <v>915</v>
      </c>
      <c r="B682" s="18" t="s">
        <v>916</v>
      </c>
      <c r="C682" s="22">
        <v>0.872</v>
      </c>
      <c r="D682" s="21" t="s">
        <v>629</v>
      </c>
      <c r="E682" s="20">
        <v>0</v>
      </c>
      <c r="F682" s="20">
        <f>ROUND(E682*C682,0)</f>
        <v>0</v>
      </c>
      <c r="G682" s="20">
        <v>0</v>
      </c>
      <c r="H682" s="20">
        <f>ROUND(G682*C682,0)</f>
        <v>0</v>
      </c>
      <c r="I682" s="20">
        <v>23387.374299999999</v>
      </c>
      <c r="J682" s="20">
        <f>ROUND(I682*C682,0)</f>
        <v>20394</v>
      </c>
      <c r="K682" s="20">
        <f t="shared" si="150"/>
        <v>23387.374299999999</v>
      </c>
      <c r="L682" s="20">
        <f t="shared" si="150"/>
        <v>20394</v>
      </c>
      <c r="M682" s="18"/>
      <c r="N682" s="44"/>
    </row>
    <row r="683" spans="1:14" ht="21" customHeight="1">
      <c r="A683" s="18" t="s">
        <v>917</v>
      </c>
      <c r="B683" s="18" t="s">
        <v>401</v>
      </c>
      <c r="C683" s="22">
        <v>2.5999999999999999E-2</v>
      </c>
      <c r="D683" s="21" t="s">
        <v>391</v>
      </c>
      <c r="E683" s="20">
        <v>-424280</v>
      </c>
      <c r="F683" s="20">
        <f>ROUND(E683*C683,0)</f>
        <v>-11031</v>
      </c>
      <c r="G683" s="20">
        <v>0</v>
      </c>
      <c r="H683" s="20">
        <f>ROUND(G683*C683,0)</f>
        <v>0</v>
      </c>
      <c r="I683" s="20">
        <v>0</v>
      </c>
      <c r="J683" s="20">
        <f>ROUND(I683*C683,0)</f>
        <v>0</v>
      </c>
      <c r="K683" s="20">
        <f t="shared" si="150"/>
        <v>-424280</v>
      </c>
      <c r="L683" s="20">
        <f t="shared" si="150"/>
        <v>-11031</v>
      </c>
      <c r="M683" s="18"/>
      <c r="N683" s="44"/>
    </row>
    <row r="684" spans="1:14" ht="21" customHeight="1">
      <c r="A684" s="18" t="s">
        <v>918</v>
      </c>
      <c r="B684" s="18"/>
      <c r="C684" s="19"/>
      <c r="D684" s="19"/>
      <c r="E684" s="19">
        <v>0</v>
      </c>
      <c r="F684" s="19"/>
      <c r="G684" s="19">
        <v>0</v>
      </c>
      <c r="H684" s="19"/>
      <c r="I684" s="19">
        <v>0</v>
      </c>
      <c r="J684" s="19"/>
      <c r="K684" s="19"/>
      <c r="L684" s="19"/>
      <c r="M684" s="19"/>
      <c r="N684" s="44"/>
    </row>
    <row r="685" spans="1:14" ht="21" customHeight="1">
      <c r="A685" s="18" t="s">
        <v>403</v>
      </c>
      <c r="B685" s="18" t="s">
        <v>919</v>
      </c>
      <c r="C685" s="20">
        <v>51</v>
      </c>
      <c r="D685" s="21" t="s">
        <v>99</v>
      </c>
      <c r="E685" s="20">
        <v>98667.3747</v>
      </c>
      <c r="F685" s="20">
        <f>ROUND(E685*C685,0)</f>
        <v>5032036</v>
      </c>
      <c r="G685" s="20">
        <v>0</v>
      </c>
      <c r="H685" s="20">
        <f>ROUND(G685*C685,0)</f>
        <v>0</v>
      </c>
      <c r="I685" s="20">
        <v>0</v>
      </c>
      <c r="J685" s="20">
        <f>ROUND(I685*C685,0)</f>
        <v>0</v>
      </c>
      <c r="K685" s="20">
        <f>E685+G685+I685</f>
        <v>98667.3747</v>
      </c>
      <c r="L685" s="20">
        <f>F685+H685+J685</f>
        <v>5032036</v>
      </c>
      <c r="M685" s="18"/>
      <c r="N685" s="44"/>
    </row>
    <row r="686" spans="1:14" ht="21" customHeight="1">
      <c r="A686" s="18" t="s">
        <v>405</v>
      </c>
      <c r="B686" s="18" t="s">
        <v>754</v>
      </c>
      <c r="C686" s="20">
        <v>109</v>
      </c>
      <c r="D686" s="21" t="s">
        <v>99</v>
      </c>
      <c r="E686" s="20">
        <v>92346.663400000005</v>
      </c>
      <c r="F686" s="20">
        <f>ROUND(E686*C686,0)</f>
        <v>10065786</v>
      </c>
      <c r="G686" s="20">
        <v>0</v>
      </c>
      <c r="H686" s="20">
        <f>ROUND(G686*C686,0)</f>
        <v>0</v>
      </c>
      <c r="I686" s="20">
        <v>0</v>
      </c>
      <c r="J686" s="20">
        <f>ROUND(I686*C686,0)</f>
        <v>0</v>
      </c>
      <c r="K686" s="20">
        <f>E686+G686+I686</f>
        <v>92346.663400000005</v>
      </c>
      <c r="L686" s="20">
        <f>F686+H686+J686</f>
        <v>10065786</v>
      </c>
      <c r="M686" s="18"/>
      <c r="N686" s="44"/>
    </row>
    <row r="687" spans="1:14" ht="21" customHeight="1">
      <c r="A687" s="18" t="s">
        <v>920</v>
      </c>
      <c r="B687" s="18"/>
      <c r="C687" s="19"/>
      <c r="D687" s="19"/>
      <c r="E687" s="19">
        <v>0</v>
      </c>
      <c r="F687" s="19"/>
      <c r="G687" s="19">
        <v>0</v>
      </c>
      <c r="H687" s="19"/>
      <c r="I687" s="19">
        <v>0</v>
      </c>
      <c r="J687" s="19"/>
      <c r="K687" s="19"/>
      <c r="L687" s="19"/>
      <c r="M687" s="19"/>
      <c r="N687" s="44"/>
    </row>
    <row r="688" spans="1:14" ht="21" customHeight="1">
      <c r="A688" s="18" t="s">
        <v>408</v>
      </c>
      <c r="B688" s="18" t="s">
        <v>921</v>
      </c>
      <c r="C688" s="20">
        <v>9</v>
      </c>
      <c r="D688" s="21" t="s">
        <v>410</v>
      </c>
      <c r="E688" s="20">
        <v>81312.201300000001</v>
      </c>
      <c r="F688" s="20">
        <f>ROUND(E688*C688,0)</f>
        <v>731810</v>
      </c>
      <c r="G688" s="20">
        <v>0</v>
      </c>
      <c r="H688" s="20">
        <f>ROUND(G688*C688,0)</f>
        <v>0</v>
      </c>
      <c r="I688" s="20">
        <v>0</v>
      </c>
      <c r="J688" s="20">
        <f>ROUND(I688*C688,0)</f>
        <v>0</v>
      </c>
      <c r="K688" s="20">
        <f>E688+G688+I688</f>
        <v>81312.201300000001</v>
      </c>
      <c r="L688" s="20">
        <f>F688+H688+J688</f>
        <v>731810</v>
      </c>
      <c r="M688" s="18"/>
      <c r="N688" s="44"/>
    </row>
    <row r="689" spans="1:14" ht="21" customHeight="1">
      <c r="A689" s="18" t="s">
        <v>922</v>
      </c>
      <c r="B689" s="18" t="s">
        <v>923</v>
      </c>
      <c r="C689" s="20">
        <v>4</v>
      </c>
      <c r="D689" s="21" t="s">
        <v>368</v>
      </c>
      <c r="E689" s="20">
        <v>0</v>
      </c>
      <c r="F689" s="20">
        <f>ROUND(E689*C689,0)</f>
        <v>0</v>
      </c>
      <c r="G689" s="20">
        <v>0</v>
      </c>
      <c r="H689" s="20">
        <f>ROUND(G689*C689,0)</f>
        <v>0</v>
      </c>
      <c r="I689" s="20">
        <v>7800.3877999999995</v>
      </c>
      <c r="J689" s="20">
        <f>ROUND(I689*C689,0)</f>
        <v>31202</v>
      </c>
      <c r="K689" s="20">
        <f>E689+G689+I689</f>
        <v>7800.3877999999995</v>
      </c>
      <c r="L689" s="20">
        <f>F689+H689+J689</f>
        <v>31202</v>
      </c>
      <c r="M689" s="18"/>
      <c r="N689" s="44"/>
    </row>
    <row r="690" spans="1:14" ht="21" customHeight="1">
      <c r="A690" s="18" t="s">
        <v>924</v>
      </c>
      <c r="B690" s="18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</row>
    <row r="691" spans="1:14" ht="21" customHeight="1">
      <c r="A691" s="18"/>
      <c r="B691" s="18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</row>
    <row r="692" spans="1:14" ht="21" customHeight="1">
      <c r="A692" s="14" t="s">
        <v>925</v>
      </c>
      <c r="B692" s="15" t="s">
        <v>926</v>
      </c>
      <c r="C692" s="16"/>
      <c r="D692" s="16"/>
      <c r="E692" s="16"/>
      <c r="F692" s="17">
        <f>SUM(F695:F771)</f>
        <v>44205670</v>
      </c>
      <c r="G692" s="16"/>
      <c r="H692" s="17">
        <f>SUM(H695:H771)</f>
        <v>37212134</v>
      </c>
      <c r="I692" s="16"/>
      <c r="J692" s="17">
        <f>SUM(J695:J771)</f>
        <v>334836442</v>
      </c>
      <c r="K692" s="16"/>
      <c r="L692" s="17">
        <f>F692+H692+J692</f>
        <v>416254246</v>
      </c>
      <c r="M692" s="16"/>
    </row>
    <row r="693" spans="1:14" ht="21" customHeight="1">
      <c r="A693" s="18" t="s">
        <v>927</v>
      </c>
      <c r="B693" s="18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</row>
    <row r="694" spans="1:14" ht="21" customHeight="1">
      <c r="A694" s="18" t="s">
        <v>928</v>
      </c>
      <c r="B694" s="18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</row>
    <row r="695" spans="1:14" ht="21" customHeight="1">
      <c r="A695" s="18" t="s">
        <v>834</v>
      </c>
      <c r="B695" s="18" t="s">
        <v>107</v>
      </c>
      <c r="C695" s="20">
        <v>397</v>
      </c>
      <c r="D695" s="21" t="s">
        <v>99</v>
      </c>
      <c r="E695" s="20">
        <v>0</v>
      </c>
      <c r="F695" s="20">
        <f>ROUND(E695*C695,0)</f>
        <v>0</v>
      </c>
      <c r="G695" s="20">
        <v>0</v>
      </c>
      <c r="H695" s="20">
        <f>ROUND(G695*C695,0)</f>
        <v>0</v>
      </c>
      <c r="I695" s="20">
        <v>1859.4070999999999</v>
      </c>
      <c r="J695" s="20">
        <f>ROUND(I695*C695,0)</f>
        <v>738185</v>
      </c>
      <c r="K695" s="20">
        <f>E695+G695+I695</f>
        <v>1859.4070999999999</v>
      </c>
      <c r="L695" s="20">
        <f>F695+H695+J695</f>
        <v>738185</v>
      </c>
      <c r="M695" s="18"/>
      <c r="N695" s="44"/>
    </row>
    <row r="696" spans="1:14" ht="21" customHeight="1">
      <c r="A696" s="18" t="s">
        <v>929</v>
      </c>
      <c r="B696" s="18" t="s">
        <v>930</v>
      </c>
      <c r="C696" s="20">
        <v>264</v>
      </c>
      <c r="D696" s="21" t="s">
        <v>99</v>
      </c>
      <c r="E696" s="20">
        <v>0</v>
      </c>
      <c r="F696" s="20">
        <f>ROUND(E696*C696,0)</f>
        <v>0</v>
      </c>
      <c r="G696" s="20">
        <v>2525</v>
      </c>
      <c r="H696" s="20">
        <f>ROUND(G696*C696,0)</f>
        <v>666600</v>
      </c>
      <c r="I696" s="20">
        <v>5262.1327000000001</v>
      </c>
      <c r="J696" s="20">
        <f>ROUND(I696*C696,0)</f>
        <v>1389203</v>
      </c>
      <c r="K696" s="20">
        <f>E696+G696+I696</f>
        <v>7787.1327000000001</v>
      </c>
      <c r="L696" s="20">
        <f>F696+H696+J696</f>
        <v>2055803</v>
      </c>
      <c r="M696" s="18"/>
      <c r="N696" s="44"/>
    </row>
    <row r="697" spans="1:14" ht="21" customHeight="1">
      <c r="A697" s="18" t="s">
        <v>931</v>
      </c>
      <c r="B697" s="18"/>
      <c r="C697" s="19"/>
      <c r="D697" s="19"/>
      <c r="E697" s="19">
        <v>0</v>
      </c>
      <c r="F697" s="19"/>
      <c r="G697" s="19"/>
      <c r="H697" s="19"/>
      <c r="I697" s="19">
        <v>0</v>
      </c>
      <c r="J697" s="19"/>
      <c r="K697" s="19"/>
      <c r="L697" s="19"/>
      <c r="M697" s="19"/>
      <c r="N697" s="44"/>
    </row>
    <row r="698" spans="1:14" ht="21" customHeight="1">
      <c r="A698" s="18" t="s">
        <v>932</v>
      </c>
      <c r="B698" s="18" t="s">
        <v>933</v>
      </c>
      <c r="C698" s="20">
        <v>110</v>
      </c>
      <c r="D698" s="21" t="s">
        <v>99</v>
      </c>
      <c r="E698" s="20">
        <v>0</v>
      </c>
      <c r="F698" s="20">
        <f t="shared" ref="F698:F712" si="151">ROUND(E698*C698,0)</f>
        <v>0</v>
      </c>
      <c r="G698" s="20">
        <v>14140</v>
      </c>
      <c r="H698" s="20">
        <f t="shared" ref="H698:H712" si="152">ROUND(G698*C698,0)</f>
        <v>1555400</v>
      </c>
      <c r="I698" s="20">
        <v>14383.092000000001</v>
      </c>
      <c r="J698" s="20">
        <f t="shared" ref="J698:J712" si="153">ROUND(I698*C698,0)</f>
        <v>1582140</v>
      </c>
      <c r="K698" s="20">
        <f t="shared" ref="K698:K712" si="154">E698+G698+I698</f>
        <v>28523.092000000001</v>
      </c>
      <c r="L698" s="20">
        <f t="shared" ref="L698:L712" si="155">F698+H698+J698</f>
        <v>3137540</v>
      </c>
      <c r="M698" s="18"/>
      <c r="N698" s="44"/>
    </row>
    <row r="699" spans="1:14" ht="21" customHeight="1">
      <c r="A699" s="18" t="s">
        <v>934</v>
      </c>
      <c r="B699" s="18" t="s">
        <v>247</v>
      </c>
      <c r="C699" s="20">
        <v>6</v>
      </c>
      <c r="D699" s="21" t="s">
        <v>99</v>
      </c>
      <c r="E699" s="20">
        <v>0</v>
      </c>
      <c r="F699" s="20">
        <f t="shared" si="151"/>
        <v>0</v>
      </c>
      <c r="G699" s="20">
        <v>13130</v>
      </c>
      <c r="H699" s="20">
        <f t="shared" si="152"/>
        <v>78780</v>
      </c>
      <c r="I699" s="20">
        <v>12863.108899999999</v>
      </c>
      <c r="J699" s="20">
        <f t="shared" si="153"/>
        <v>77179</v>
      </c>
      <c r="K699" s="20">
        <f t="shared" si="154"/>
        <v>25993.108899999999</v>
      </c>
      <c r="L699" s="20">
        <f t="shared" si="155"/>
        <v>155959</v>
      </c>
      <c r="M699" s="18"/>
      <c r="N699" s="44"/>
    </row>
    <row r="700" spans="1:14" ht="21" customHeight="1">
      <c r="A700" s="18" t="s">
        <v>346</v>
      </c>
      <c r="B700" s="18" t="s">
        <v>935</v>
      </c>
      <c r="C700" s="20">
        <v>47</v>
      </c>
      <c r="D700" s="21" t="s">
        <v>93</v>
      </c>
      <c r="E700" s="20">
        <v>10177.416499999999</v>
      </c>
      <c r="F700" s="20">
        <f t="shared" si="151"/>
        <v>478339</v>
      </c>
      <c r="G700" s="20">
        <v>32320</v>
      </c>
      <c r="H700" s="20">
        <f t="shared" si="152"/>
        <v>1519040</v>
      </c>
      <c r="I700" s="20">
        <v>14032.0003</v>
      </c>
      <c r="J700" s="20">
        <f t="shared" si="153"/>
        <v>659504</v>
      </c>
      <c r="K700" s="20">
        <f t="shared" si="154"/>
        <v>56529.416799999999</v>
      </c>
      <c r="L700" s="20">
        <f t="shared" si="155"/>
        <v>2656883</v>
      </c>
      <c r="M700" s="18"/>
      <c r="N700" s="44"/>
    </row>
    <row r="701" spans="1:14" ht="21" customHeight="1">
      <c r="A701" s="18" t="s">
        <v>836</v>
      </c>
      <c r="B701" s="18" t="s">
        <v>249</v>
      </c>
      <c r="C701" s="20">
        <v>3</v>
      </c>
      <c r="D701" s="21" t="s">
        <v>93</v>
      </c>
      <c r="E701" s="20">
        <v>8034.8024999999998</v>
      </c>
      <c r="F701" s="20">
        <f t="shared" si="151"/>
        <v>24104</v>
      </c>
      <c r="G701" s="20">
        <v>20200</v>
      </c>
      <c r="H701" s="20">
        <f t="shared" si="152"/>
        <v>60600</v>
      </c>
      <c r="I701" s="20">
        <v>4093.2412999999997</v>
      </c>
      <c r="J701" s="20">
        <f t="shared" si="153"/>
        <v>12280</v>
      </c>
      <c r="K701" s="20">
        <f t="shared" si="154"/>
        <v>32328.043799999999</v>
      </c>
      <c r="L701" s="20">
        <f t="shared" si="155"/>
        <v>96984</v>
      </c>
      <c r="M701" s="18"/>
      <c r="N701" s="44"/>
    </row>
    <row r="702" spans="1:14" ht="21" customHeight="1">
      <c r="A702" s="18" t="s">
        <v>936</v>
      </c>
      <c r="B702" s="18" t="s">
        <v>937</v>
      </c>
      <c r="C702" s="20">
        <v>362</v>
      </c>
      <c r="D702" s="21" t="s">
        <v>93</v>
      </c>
      <c r="E702" s="20">
        <v>10177.416499999999</v>
      </c>
      <c r="F702" s="20">
        <f t="shared" si="151"/>
        <v>3684225</v>
      </c>
      <c r="G702" s="20">
        <v>31310</v>
      </c>
      <c r="H702" s="20">
        <f t="shared" si="152"/>
        <v>11334220</v>
      </c>
      <c r="I702" s="20">
        <v>4093.2412999999997</v>
      </c>
      <c r="J702" s="20">
        <f t="shared" si="153"/>
        <v>1481753</v>
      </c>
      <c r="K702" s="20">
        <f t="shared" si="154"/>
        <v>45580.657800000001</v>
      </c>
      <c r="L702" s="20">
        <f t="shared" si="155"/>
        <v>16500198</v>
      </c>
      <c r="M702" s="18"/>
      <c r="N702" s="44"/>
    </row>
    <row r="703" spans="1:14" ht="21" customHeight="1">
      <c r="A703" s="18" t="s">
        <v>938</v>
      </c>
      <c r="B703" s="18" t="s">
        <v>939</v>
      </c>
      <c r="C703" s="22">
        <v>11.558999999999999</v>
      </c>
      <c r="D703" s="21" t="s">
        <v>629</v>
      </c>
      <c r="E703" s="20">
        <v>77395.036200000002</v>
      </c>
      <c r="F703" s="20">
        <f t="shared" si="151"/>
        <v>894609</v>
      </c>
      <c r="G703" s="20">
        <v>535085</v>
      </c>
      <c r="H703" s="20">
        <f t="shared" si="152"/>
        <v>6185048</v>
      </c>
      <c r="I703" s="20">
        <v>95743.024799999999</v>
      </c>
      <c r="J703" s="20">
        <f t="shared" si="153"/>
        <v>1106694</v>
      </c>
      <c r="K703" s="20">
        <f t="shared" si="154"/>
        <v>708223.06099999999</v>
      </c>
      <c r="L703" s="20">
        <f t="shared" si="155"/>
        <v>8186351</v>
      </c>
      <c r="M703" s="18"/>
      <c r="N703" s="44"/>
    </row>
    <row r="704" spans="1:14" ht="21" customHeight="1">
      <c r="A704" s="18" t="s">
        <v>940</v>
      </c>
      <c r="B704" s="18" t="s">
        <v>800</v>
      </c>
      <c r="C704" s="20">
        <v>201</v>
      </c>
      <c r="D704" s="21" t="s">
        <v>93</v>
      </c>
      <c r="E704" s="20">
        <v>6427.8419999999996</v>
      </c>
      <c r="F704" s="20">
        <f t="shared" si="151"/>
        <v>1291996</v>
      </c>
      <c r="G704" s="20">
        <v>8585</v>
      </c>
      <c r="H704" s="20">
        <f t="shared" si="152"/>
        <v>1725585</v>
      </c>
      <c r="I704" s="20">
        <v>5846.5783999999994</v>
      </c>
      <c r="J704" s="20">
        <f t="shared" si="153"/>
        <v>1175162</v>
      </c>
      <c r="K704" s="20">
        <f t="shared" si="154"/>
        <v>20859.420399999999</v>
      </c>
      <c r="L704" s="20">
        <f t="shared" si="155"/>
        <v>4192743</v>
      </c>
      <c r="M704" s="18"/>
      <c r="N704" s="44"/>
    </row>
    <row r="705" spans="1:14" ht="21" customHeight="1">
      <c r="A705" s="18" t="s">
        <v>941</v>
      </c>
      <c r="B705" s="18" t="s">
        <v>800</v>
      </c>
      <c r="C705" s="20">
        <v>130</v>
      </c>
      <c r="D705" s="21" t="s">
        <v>942</v>
      </c>
      <c r="E705" s="20">
        <v>5570.7964000000002</v>
      </c>
      <c r="F705" s="20">
        <f t="shared" si="151"/>
        <v>724204</v>
      </c>
      <c r="G705" s="20">
        <v>7676</v>
      </c>
      <c r="H705" s="20">
        <f t="shared" si="152"/>
        <v>997880</v>
      </c>
      <c r="I705" s="20">
        <v>3507.7348999999999</v>
      </c>
      <c r="J705" s="20">
        <f t="shared" si="153"/>
        <v>456006</v>
      </c>
      <c r="K705" s="20">
        <f t="shared" si="154"/>
        <v>16754.531299999999</v>
      </c>
      <c r="L705" s="20">
        <f t="shared" si="155"/>
        <v>2178090</v>
      </c>
      <c r="M705" s="18"/>
      <c r="N705" s="44"/>
    </row>
    <row r="706" spans="1:14" ht="21" customHeight="1">
      <c r="A706" s="18" t="s">
        <v>943</v>
      </c>
      <c r="B706" s="18" t="s">
        <v>804</v>
      </c>
      <c r="C706" s="20">
        <v>47</v>
      </c>
      <c r="D706" s="21" t="s">
        <v>93</v>
      </c>
      <c r="E706" s="20">
        <v>535.65350000000001</v>
      </c>
      <c r="F706" s="20">
        <f t="shared" si="151"/>
        <v>25176</v>
      </c>
      <c r="G706" s="20">
        <v>1010</v>
      </c>
      <c r="H706" s="20">
        <f t="shared" si="152"/>
        <v>47470</v>
      </c>
      <c r="I706" s="20">
        <v>0</v>
      </c>
      <c r="J706" s="20">
        <f t="shared" si="153"/>
        <v>0</v>
      </c>
      <c r="K706" s="20">
        <f t="shared" si="154"/>
        <v>1545.6534999999999</v>
      </c>
      <c r="L706" s="20">
        <f t="shared" si="155"/>
        <v>72646</v>
      </c>
      <c r="M706" s="18"/>
      <c r="N706" s="44"/>
    </row>
    <row r="707" spans="1:14" ht="21" customHeight="1">
      <c r="A707" s="18" t="s">
        <v>944</v>
      </c>
      <c r="B707" s="18" t="s">
        <v>802</v>
      </c>
      <c r="C707" s="20">
        <v>362</v>
      </c>
      <c r="D707" s="21" t="s">
        <v>93</v>
      </c>
      <c r="E707" s="20">
        <v>535.65350000000001</v>
      </c>
      <c r="F707" s="20">
        <f t="shared" si="151"/>
        <v>193907</v>
      </c>
      <c r="G707" s="20">
        <v>1010</v>
      </c>
      <c r="H707" s="20">
        <f t="shared" si="152"/>
        <v>365620</v>
      </c>
      <c r="I707" s="20">
        <v>0</v>
      </c>
      <c r="J707" s="20">
        <f t="shared" si="153"/>
        <v>0</v>
      </c>
      <c r="K707" s="20">
        <f t="shared" si="154"/>
        <v>1545.6534999999999</v>
      </c>
      <c r="L707" s="20">
        <f t="shared" si="155"/>
        <v>559527</v>
      </c>
      <c r="M707" s="18"/>
      <c r="N707" s="44"/>
    </row>
    <row r="708" spans="1:14" ht="21" customHeight="1">
      <c r="A708" s="18" t="s">
        <v>945</v>
      </c>
      <c r="B708" s="18"/>
      <c r="C708" s="20">
        <v>30</v>
      </c>
      <c r="D708" s="21" t="s">
        <v>93</v>
      </c>
      <c r="E708" s="20">
        <v>0</v>
      </c>
      <c r="F708" s="20">
        <f t="shared" si="151"/>
        <v>0</v>
      </c>
      <c r="G708" s="20">
        <v>30576</v>
      </c>
      <c r="H708" s="20">
        <f t="shared" si="152"/>
        <v>917280</v>
      </c>
      <c r="I708" s="20">
        <v>2832.069</v>
      </c>
      <c r="J708" s="20">
        <f t="shared" si="153"/>
        <v>84962</v>
      </c>
      <c r="K708" s="20">
        <f t="shared" si="154"/>
        <v>33408.069000000003</v>
      </c>
      <c r="L708" s="20">
        <f t="shared" si="155"/>
        <v>1002242</v>
      </c>
      <c r="M708" s="18"/>
      <c r="N708" s="44"/>
    </row>
    <row r="709" spans="1:14" ht="21" customHeight="1">
      <c r="A709" s="18" t="s">
        <v>946</v>
      </c>
      <c r="B709" s="18" t="s">
        <v>947</v>
      </c>
      <c r="C709" s="20">
        <v>80</v>
      </c>
      <c r="D709" s="21" t="s">
        <v>231</v>
      </c>
      <c r="E709" s="20">
        <v>4820.8814999999995</v>
      </c>
      <c r="F709" s="20">
        <f t="shared" si="151"/>
        <v>385671</v>
      </c>
      <c r="G709" s="20">
        <v>15150</v>
      </c>
      <c r="H709" s="20">
        <f t="shared" si="152"/>
        <v>1212000</v>
      </c>
      <c r="I709" s="20">
        <v>0</v>
      </c>
      <c r="J709" s="20">
        <f t="shared" si="153"/>
        <v>0</v>
      </c>
      <c r="K709" s="20">
        <f t="shared" si="154"/>
        <v>19970.8815</v>
      </c>
      <c r="L709" s="20">
        <f t="shared" si="155"/>
        <v>1597671</v>
      </c>
      <c r="M709" s="18"/>
      <c r="N709" s="44"/>
    </row>
    <row r="710" spans="1:14" ht="21" customHeight="1">
      <c r="A710" s="18" t="s">
        <v>948</v>
      </c>
      <c r="B710" s="18" t="s">
        <v>949</v>
      </c>
      <c r="C710" s="20">
        <v>166</v>
      </c>
      <c r="D710" s="21" t="s">
        <v>950</v>
      </c>
      <c r="E710" s="20">
        <v>0</v>
      </c>
      <c r="F710" s="20">
        <f t="shared" si="151"/>
        <v>0</v>
      </c>
      <c r="G710" s="20">
        <v>0</v>
      </c>
      <c r="H710" s="20">
        <f t="shared" si="152"/>
        <v>0</v>
      </c>
      <c r="I710" s="20">
        <v>18709.687299999998</v>
      </c>
      <c r="J710" s="20">
        <f t="shared" si="153"/>
        <v>3105808</v>
      </c>
      <c r="K710" s="20">
        <f t="shared" si="154"/>
        <v>18709.687299999998</v>
      </c>
      <c r="L710" s="20">
        <f t="shared" si="155"/>
        <v>3105808</v>
      </c>
      <c r="M710" s="18"/>
      <c r="N710" s="44"/>
    </row>
    <row r="711" spans="1:14" ht="21" customHeight="1">
      <c r="A711" s="18" t="s">
        <v>951</v>
      </c>
      <c r="B711" s="18" t="s">
        <v>952</v>
      </c>
      <c r="C711" s="20">
        <v>252</v>
      </c>
      <c r="D711" s="21" t="s">
        <v>950</v>
      </c>
      <c r="E711" s="20">
        <v>0</v>
      </c>
      <c r="F711" s="20">
        <f t="shared" si="151"/>
        <v>0</v>
      </c>
      <c r="G711" s="20">
        <v>0</v>
      </c>
      <c r="H711" s="20">
        <f t="shared" si="152"/>
        <v>0</v>
      </c>
      <c r="I711" s="20">
        <v>17540.795900000001</v>
      </c>
      <c r="J711" s="20">
        <f t="shared" si="153"/>
        <v>4420281</v>
      </c>
      <c r="K711" s="20">
        <f t="shared" si="154"/>
        <v>17540.795900000001</v>
      </c>
      <c r="L711" s="20">
        <f t="shared" si="155"/>
        <v>4420281</v>
      </c>
      <c r="M711" s="18"/>
      <c r="N711" s="44"/>
    </row>
    <row r="712" spans="1:14" ht="21" customHeight="1">
      <c r="A712" s="18" t="s">
        <v>953</v>
      </c>
      <c r="B712" s="18" t="s">
        <v>949</v>
      </c>
      <c r="C712" s="20">
        <v>57</v>
      </c>
      <c r="D712" s="21" t="s">
        <v>950</v>
      </c>
      <c r="E712" s="20">
        <v>0</v>
      </c>
      <c r="F712" s="20">
        <f t="shared" si="151"/>
        <v>0</v>
      </c>
      <c r="G712" s="20">
        <v>0</v>
      </c>
      <c r="H712" s="20">
        <f t="shared" si="152"/>
        <v>0</v>
      </c>
      <c r="I712" s="20">
        <v>18709.687299999998</v>
      </c>
      <c r="J712" s="20">
        <f t="shared" si="153"/>
        <v>1066452</v>
      </c>
      <c r="K712" s="20">
        <f t="shared" si="154"/>
        <v>18709.687299999998</v>
      </c>
      <c r="L712" s="20">
        <f t="shared" si="155"/>
        <v>1066452</v>
      </c>
      <c r="M712" s="18"/>
      <c r="N712" s="44"/>
    </row>
    <row r="713" spans="1:14" ht="21" customHeight="1">
      <c r="A713" s="18" t="s">
        <v>954</v>
      </c>
      <c r="B713" s="18"/>
      <c r="C713" s="19"/>
      <c r="D713" s="19"/>
      <c r="E713" s="19">
        <v>0</v>
      </c>
      <c r="F713" s="19"/>
      <c r="G713" s="19"/>
      <c r="H713" s="19"/>
      <c r="I713" s="19">
        <v>0</v>
      </c>
      <c r="J713" s="19"/>
      <c r="K713" s="19"/>
      <c r="L713" s="19"/>
      <c r="M713" s="19"/>
      <c r="N713" s="44"/>
    </row>
    <row r="714" spans="1:14" ht="21" customHeight="1">
      <c r="A714" s="18" t="s">
        <v>403</v>
      </c>
      <c r="B714" s="18" t="s">
        <v>955</v>
      </c>
      <c r="C714" s="20">
        <v>111</v>
      </c>
      <c r="D714" s="21" t="s">
        <v>99</v>
      </c>
      <c r="E714" s="20">
        <v>103916.77899999999</v>
      </c>
      <c r="F714" s="20">
        <f t="shared" ref="F714:F720" si="156">ROUND(E714*C714,0)</f>
        <v>11534762</v>
      </c>
      <c r="G714" s="20">
        <v>0</v>
      </c>
      <c r="H714" s="20">
        <f t="shared" ref="H714:H720" si="157">ROUND(G714*C714,0)</f>
        <v>0</v>
      </c>
      <c r="I714" s="20">
        <v>0</v>
      </c>
      <c r="J714" s="20">
        <f t="shared" ref="J714:J720" si="158">ROUND(I714*C714,0)</f>
        <v>0</v>
      </c>
      <c r="K714" s="20">
        <f t="shared" ref="K714:L720" si="159">E714+G714+I714</f>
        <v>103916.77899999999</v>
      </c>
      <c r="L714" s="20">
        <f t="shared" si="159"/>
        <v>11534762</v>
      </c>
      <c r="M714" s="18"/>
      <c r="N714" s="44"/>
    </row>
    <row r="715" spans="1:14" ht="21" customHeight="1">
      <c r="A715" s="18" t="s">
        <v>405</v>
      </c>
      <c r="B715" s="18" t="s">
        <v>754</v>
      </c>
      <c r="C715" s="20">
        <v>6</v>
      </c>
      <c r="D715" s="21" t="s">
        <v>99</v>
      </c>
      <c r="E715" s="20">
        <v>92346.663400000005</v>
      </c>
      <c r="F715" s="20">
        <f t="shared" si="156"/>
        <v>554080</v>
      </c>
      <c r="G715" s="20">
        <v>0</v>
      </c>
      <c r="H715" s="20">
        <f t="shared" si="157"/>
        <v>0</v>
      </c>
      <c r="I715" s="20">
        <v>0</v>
      </c>
      <c r="J715" s="20">
        <f t="shared" si="158"/>
        <v>0</v>
      </c>
      <c r="K715" s="20">
        <f t="shared" si="159"/>
        <v>92346.663400000005</v>
      </c>
      <c r="L715" s="20">
        <f t="shared" si="159"/>
        <v>554080</v>
      </c>
      <c r="M715" s="18"/>
      <c r="N715" s="44"/>
    </row>
    <row r="716" spans="1:14" ht="21" customHeight="1">
      <c r="A716" s="18" t="s">
        <v>394</v>
      </c>
      <c r="B716" s="18" t="s">
        <v>824</v>
      </c>
      <c r="C716" s="22">
        <v>3.9</v>
      </c>
      <c r="D716" s="21" t="s">
        <v>825</v>
      </c>
      <c r="E716" s="20">
        <v>929681.27529999998</v>
      </c>
      <c r="F716" s="20">
        <f t="shared" si="156"/>
        <v>3625757</v>
      </c>
      <c r="G716" s="20">
        <v>0</v>
      </c>
      <c r="H716" s="20">
        <f t="shared" si="157"/>
        <v>0</v>
      </c>
      <c r="I716" s="20">
        <v>0</v>
      </c>
      <c r="J716" s="20">
        <f t="shared" si="158"/>
        <v>0</v>
      </c>
      <c r="K716" s="20">
        <f t="shared" si="159"/>
        <v>929681.27529999998</v>
      </c>
      <c r="L716" s="20">
        <f t="shared" si="159"/>
        <v>3625757</v>
      </c>
      <c r="M716" s="18"/>
      <c r="N716" s="44"/>
    </row>
    <row r="717" spans="1:14" ht="21" customHeight="1">
      <c r="A717" s="18" t="s">
        <v>396</v>
      </c>
      <c r="B717" s="18" t="s">
        <v>827</v>
      </c>
      <c r="C717" s="22">
        <v>7.3810000000000002</v>
      </c>
      <c r="D717" s="21" t="s">
        <v>825</v>
      </c>
      <c r="E717" s="20">
        <v>1005431.1658</v>
      </c>
      <c r="F717" s="20">
        <f t="shared" si="156"/>
        <v>7421087</v>
      </c>
      <c r="G717" s="20">
        <v>0</v>
      </c>
      <c r="H717" s="20">
        <f t="shared" si="157"/>
        <v>0</v>
      </c>
      <c r="I717" s="20">
        <v>0</v>
      </c>
      <c r="J717" s="20">
        <f t="shared" si="158"/>
        <v>0</v>
      </c>
      <c r="K717" s="20">
        <f t="shared" si="159"/>
        <v>1005431.1658</v>
      </c>
      <c r="L717" s="20">
        <f t="shared" si="159"/>
        <v>7421087</v>
      </c>
      <c r="M717" s="18"/>
      <c r="N717" s="44"/>
    </row>
    <row r="718" spans="1:14" ht="21" customHeight="1">
      <c r="A718" s="18" t="s">
        <v>826</v>
      </c>
      <c r="B718" s="18" t="s">
        <v>829</v>
      </c>
      <c r="C718" s="22">
        <v>0.625</v>
      </c>
      <c r="D718" s="21" t="s">
        <v>825</v>
      </c>
      <c r="E718" s="20">
        <v>595834.43590000004</v>
      </c>
      <c r="F718" s="20">
        <f t="shared" si="156"/>
        <v>372397</v>
      </c>
      <c r="G718" s="20">
        <v>0</v>
      </c>
      <c r="H718" s="20">
        <f t="shared" si="157"/>
        <v>0</v>
      </c>
      <c r="I718" s="20">
        <v>0</v>
      </c>
      <c r="J718" s="20">
        <f t="shared" si="158"/>
        <v>0</v>
      </c>
      <c r="K718" s="20">
        <f t="shared" si="159"/>
        <v>595834.43590000004</v>
      </c>
      <c r="L718" s="20">
        <f t="shared" si="159"/>
        <v>372397</v>
      </c>
      <c r="M718" s="18"/>
      <c r="N718" s="44"/>
    </row>
    <row r="719" spans="1:14" ht="21" customHeight="1">
      <c r="A719" s="18" t="s">
        <v>956</v>
      </c>
      <c r="B719" s="18" t="s">
        <v>957</v>
      </c>
      <c r="C719" s="22">
        <v>11.906000000000001</v>
      </c>
      <c r="D719" s="21" t="s">
        <v>629</v>
      </c>
      <c r="E719" s="20">
        <v>0</v>
      </c>
      <c r="F719" s="20">
        <f t="shared" si="156"/>
        <v>0</v>
      </c>
      <c r="G719" s="20">
        <v>0</v>
      </c>
      <c r="H719" s="20">
        <f t="shared" si="157"/>
        <v>0</v>
      </c>
      <c r="I719" s="20">
        <v>23203.873199999998</v>
      </c>
      <c r="J719" s="20">
        <f t="shared" si="158"/>
        <v>276265</v>
      </c>
      <c r="K719" s="20">
        <f t="shared" si="159"/>
        <v>23203.873199999998</v>
      </c>
      <c r="L719" s="20">
        <f t="shared" si="159"/>
        <v>276265</v>
      </c>
      <c r="M719" s="18"/>
      <c r="N719" s="44"/>
    </row>
    <row r="720" spans="1:14" ht="21" customHeight="1">
      <c r="A720" s="18" t="s">
        <v>958</v>
      </c>
      <c r="B720" s="18" t="s">
        <v>401</v>
      </c>
      <c r="C720" s="22">
        <v>0.34699999999999998</v>
      </c>
      <c r="D720" s="21" t="s">
        <v>391</v>
      </c>
      <c r="E720" s="20">
        <v>-424280</v>
      </c>
      <c r="F720" s="20">
        <f t="shared" si="156"/>
        <v>-147225</v>
      </c>
      <c r="G720" s="20">
        <v>0</v>
      </c>
      <c r="H720" s="20">
        <f t="shared" si="157"/>
        <v>0</v>
      </c>
      <c r="I720" s="20">
        <v>0</v>
      </c>
      <c r="J720" s="20">
        <f t="shared" si="158"/>
        <v>0</v>
      </c>
      <c r="K720" s="20">
        <f t="shared" si="159"/>
        <v>-424280</v>
      </c>
      <c r="L720" s="20">
        <f t="shared" si="159"/>
        <v>-147225</v>
      </c>
      <c r="M720" s="18"/>
      <c r="N720" s="44"/>
    </row>
    <row r="721" spans="1:14" ht="21" customHeight="1">
      <c r="A721" s="18" t="s">
        <v>959</v>
      </c>
      <c r="B721" s="18"/>
      <c r="C721" s="19"/>
      <c r="D721" s="19"/>
      <c r="E721" s="19">
        <v>0</v>
      </c>
      <c r="F721" s="19"/>
      <c r="G721" s="19"/>
      <c r="H721" s="19"/>
      <c r="I721" s="19">
        <v>0</v>
      </c>
      <c r="J721" s="19"/>
      <c r="K721" s="19"/>
      <c r="L721" s="19"/>
      <c r="M721" s="19"/>
      <c r="N721" s="44"/>
    </row>
    <row r="722" spans="1:14" ht="21" customHeight="1">
      <c r="A722" s="18" t="s">
        <v>960</v>
      </c>
      <c r="B722" s="18"/>
      <c r="C722" s="19"/>
      <c r="D722" s="19"/>
      <c r="E722" s="19">
        <v>0</v>
      </c>
      <c r="F722" s="19"/>
      <c r="G722" s="19"/>
      <c r="H722" s="19"/>
      <c r="I722" s="19">
        <v>0</v>
      </c>
      <c r="J722" s="19"/>
      <c r="K722" s="19"/>
      <c r="L722" s="19"/>
      <c r="M722" s="19"/>
      <c r="N722" s="44"/>
    </row>
    <row r="723" spans="1:14" ht="21" customHeight="1">
      <c r="A723" s="18" t="s">
        <v>961</v>
      </c>
      <c r="B723" s="18"/>
      <c r="C723" s="19"/>
      <c r="D723" s="19"/>
      <c r="E723" s="19">
        <v>0</v>
      </c>
      <c r="F723" s="19"/>
      <c r="G723" s="19"/>
      <c r="H723" s="19"/>
      <c r="I723" s="19">
        <v>0</v>
      </c>
      <c r="J723" s="19"/>
      <c r="K723" s="19"/>
      <c r="L723" s="19"/>
      <c r="M723" s="19"/>
      <c r="N723" s="44"/>
    </row>
    <row r="724" spans="1:14" ht="21" customHeight="1">
      <c r="A724" s="18" t="s">
        <v>962</v>
      </c>
      <c r="B724" s="18"/>
      <c r="C724" s="19"/>
      <c r="D724" s="19"/>
      <c r="E724" s="19">
        <v>0</v>
      </c>
      <c r="F724" s="19"/>
      <c r="G724" s="19"/>
      <c r="H724" s="19"/>
      <c r="I724" s="19">
        <v>0</v>
      </c>
      <c r="J724" s="19"/>
      <c r="K724" s="19"/>
      <c r="L724" s="19"/>
      <c r="M724" s="19"/>
      <c r="N724" s="44"/>
    </row>
    <row r="725" spans="1:14" ht="21" customHeight="1">
      <c r="A725" s="18" t="s">
        <v>963</v>
      </c>
      <c r="B725" s="18"/>
      <c r="C725" s="19"/>
      <c r="D725" s="19"/>
      <c r="E725" s="19">
        <v>0</v>
      </c>
      <c r="F725" s="19"/>
      <c r="G725" s="19"/>
      <c r="H725" s="19"/>
      <c r="I725" s="19">
        <v>0</v>
      </c>
      <c r="J725" s="19"/>
      <c r="K725" s="19"/>
      <c r="L725" s="19"/>
      <c r="M725" s="19"/>
      <c r="N725" s="44"/>
    </row>
    <row r="726" spans="1:14" ht="21" customHeight="1">
      <c r="A726" s="18" t="s">
        <v>928</v>
      </c>
      <c r="B726" s="18"/>
      <c r="C726" s="19"/>
      <c r="D726" s="19"/>
      <c r="E726" s="19">
        <v>0</v>
      </c>
      <c r="F726" s="19"/>
      <c r="G726" s="19"/>
      <c r="H726" s="19"/>
      <c r="I726" s="19">
        <v>0</v>
      </c>
      <c r="J726" s="19"/>
      <c r="K726" s="19"/>
      <c r="L726" s="19"/>
      <c r="M726" s="19"/>
      <c r="N726" s="44"/>
    </row>
    <row r="727" spans="1:14" ht="21" customHeight="1">
      <c r="A727" s="18" t="s">
        <v>652</v>
      </c>
      <c r="B727" s="18" t="s">
        <v>136</v>
      </c>
      <c r="C727" s="20">
        <v>63</v>
      </c>
      <c r="D727" s="21" t="s">
        <v>99</v>
      </c>
      <c r="E727" s="20">
        <v>0</v>
      </c>
      <c r="F727" s="20">
        <f>ROUND(E727*C727,0)</f>
        <v>0</v>
      </c>
      <c r="G727" s="20">
        <v>0</v>
      </c>
      <c r="H727" s="20">
        <f>ROUND(G727*C727,0)</f>
        <v>0</v>
      </c>
      <c r="I727" s="20">
        <v>1871.0747999999999</v>
      </c>
      <c r="J727" s="20">
        <f>ROUND(I727*C727,0)</f>
        <v>117878</v>
      </c>
      <c r="K727" s="20">
        <f t="shared" ref="K727:L731" si="160">E727+G727+I727</f>
        <v>1871.0747999999999</v>
      </c>
      <c r="L727" s="20">
        <f t="shared" si="160"/>
        <v>117878</v>
      </c>
      <c r="M727" s="18"/>
      <c r="N727" s="44"/>
    </row>
    <row r="728" spans="1:14" ht="21" customHeight="1">
      <c r="A728" s="18" t="s">
        <v>964</v>
      </c>
      <c r="B728" s="18" t="s">
        <v>443</v>
      </c>
      <c r="C728" s="20">
        <v>16</v>
      </c>
      <c r="D728" s="21" t="s">
        <v>99</v>
      </c>
      <c r="E728" s="20">
        <v>0</v>
      </c>
      <c r="F728" s="20">
        <f>ROUND(E728*C728,0)</f>
        <v>0</v>
      </c>
      <c r="G728" s="20">
        <v>3131</v>
      </c>
      <c r="H728" s="20">
        <f>ROUND(G728*C728,0)</f>
        <v>50096</v>
      </c>
      <c r="I728" s="20">
        <v>4677.6869999999999</v>
      </c>
      <c r="J728" s="20">
        <f>ROUND(I728*C728,0)</f>
        <v>74843</v>
      </c>
      <c r="K728" s="20">
        <f t="shared" si="160"/>
        <v>7808.6869999999999</v>
      </c>
      <c r="L728" s="20">
        <f t="shared" si="160"/>
        <v>124939</v>
      </c>
      <c r="M728" s="18"/>
      <c r="N728" s="44"/>
    </row>
    <row r="729" spans="1:14" ht="21" customHeight="1">
      <c r="A729" s="18" t="s">
        <v>965</v>
      </c>
      <c r="B729" s="18" t="s">
        <v>217</v>
      </c>
      <c r="C729" s="20">
        <v>18</v>
      </c>
      <c r="D729" s="21" t="s">
        <v>99</v>
      </c>
      <c r="E729" s="20">
        <v>0</v>
      </c>
      <c r="F729" s="20">
        <f>ROUND(E729*C729,0)</f>
        <v>0</v>
      </c>
      <c r="G729" s="20">
        <v>65650</v>
      </c>
      <c r="H729" s="20">
        <f>ROUND(G729*C729,0)</f>
        <v>1181700</v>
      </c>
      <c r="I729" s="20">
        <v>0</v>
      </c>
      <c r="J729" s="20">
        <f>ROUND(I729*C729,0)</f>
        <v>0</v>
      </c>
      <c r="K729" s="20">
        <f t="shared" si="160"/>
        <v>65650</v>
      </c>
      <c r="L729" s="20">
        <f t="shared" si="160"/>
        <v>1181700</v>
      </c>
      <c r="M729" s="18"/>
      <c r="N729" s="44"/>
    </row>
    <row r="730" spans="1:14" ht="21" customHeight="1">
      <c r="A730" s="18" t="s">
        <v>966</v>
      </c>
      <c r="B730" s="18" t="s">
        <v>223</v>
      </c>
      <c r="C730" s="20">
        <v>92</v>
      </c>
      <c r="D730" s="21" t="s">
        <v>99</v>
      </c>
      <c r="E730" s="20">
        <v>0</v>
      </c>
      <c r="F730" s="20">
        <f>ROUND(E730*C730,0)</f>
        <v>0</v>
      </c>
      <c r="G730" s="20">
        <v>2525</v>
      </c>
      <c r="H730" s="20">
        <f>ROUND(G730*C730,0)</f>
        <v>232300</v>
      </c>
      <c r="I730" s="20">
        <v>5262.1327000000001</v>
      </c>
      <c r="J730" s="20">
        <f>ROUND(I730*C730,0)</f>
        <v>484116</v>
      </c>
      <c r="K730" s="20">
        <f t="shared" si="160"/>
        <v>7787.1327000000001</v>
      </c>
      <c r="L730" s="20">
        <f t="shared" si="160"/>
        <v>716416</v>
      </c>
      <c r="M730" s="18"/>
      <c r="N730" s="44"/>
    </row>
    <row r="731" spans="1:14" ht="21" customHeight="1">
      <c r="A731" s="18" t="s">
        <v>967</v>
      </c>
      <c r="B731" s="18" t="s">
        <v>445</v>
      </c>
      <c r="C731" s="20">
        <v>5</v>
      </c>
      <c r="D731" s="21" t="s">
        <v>99</v>
      </c>
      <c r="E731" s="20">
        <v>0</v>
      </c>
      <c r="F731" s="20">
        <f>ROUND(E731*C731,0)</f>
        <v>0</v>
      </c>
      <c r="G731" s="20">
        <v>0</v>
      </c>
      <c r="H731" s="20">
        <f>ROUND(G731*C731,0)</f>
        <v>0</v>
      </c>
      <c r="I731" s="20">
        <v>11693.156799999999</v>
      </c>
      <c r="J731" s="20">
        <f>ROUND(I731*C731,0)</f>
        <v>58466</v>
      </c>
      <c r="K731" s="20">
        <f t="shared" si="160"/>
        <v>11693.156799999999</v>
      </c>
      <c r="L731" s="20">
        <f t="shared" si="160"/>
        <v>58466</v>
      </c>
      <c r="M731" s="18"/>
      <c r="N731" s="44"/>
    </row>
    <row r="732" spans="1:14" ht="21" customHeight="1">
      <c r="A732" s="18" t="s">
        <v>968</v>
      </c>
      <c r="B732" s="18"/>
      <c r="C732" s="19"/>
      <c r="D732" s="19"/>
      <c r="E732" s="19">
        <v>0</v>
      </c>
      <c r="F732" s="19"/>
      <c r="G732" s="19"/>
      <c r="H732" s="19"/>
      <c r="I732" s="19">
        <v>0</v>
      </c>
      <c r="J732" s="19"/>
      <c r="K732" s="19"/>
      <c r="L732" s="19"/>
      <c r="M732" s="19"/>
      <c r="N732" s="44"/>
    </row>
    <row r="733" spans="1:14" ht="21" customHeight="1">
      <c r="A733" s="18" t="s">
        <v>969</v>
      </c>
      <c r="B733" s="18" t="s">
        <v>656</v>
      </c>
      <c r="C733" s="20">
        <v>142</v>
      </c>
      <c r="D733" s="21" t="s">
        <v>93</v>
      </c>
      <c r="E733" s="20">
        <v>0</v>
      </c>
      <c r="F733" s="20">
        <f>ROUND(E733*C733,0)</f>
        <v>0</v>
      </c>
      <c r="G733" s="20">
        <v>10231</v>
      </c>
      <c r="H733" s="20">
        <f>ROUND(G733*C733,0)</f>
        <v>1452802</v>
      </c>
      <c r="I733" s="20">
        <v>38589.326699999998</v>
      </c>
      <c r="J733" s="20">
        <f>ROUND(I733*C733,0)</f>
        <v>5479684</v>
      </c>
      <c r="K733" s="20">
        <f t="shared" ref="K733:L737" si="161">E733+G733+I733</f>
        <v>48820.326699999998</v>
      </c>
      <c r="L733" s="20">
        <f t="shared" si="161"/>
        <v>6932486</v>
      </c>
      <c r="M733" s="18"/>
      <c r="N733" s="44"/>
    </row>
    <row r="734" spans="1:14" ht="21" customHeight="1">
      <c r="A734" s="18" t="s">
        <v>970</v>
      </c>
      <c r="B734" s="18" t="s">
        <v>971</v>
      </c>
      <c r="C734" s="20">
        <v>142</v>
      </c>
      <c r="D734" s="21" t="s">
        <v>93</v>
      </c>
      <c r="E734" s="20">
        <v>0</v>
      </c>
      <c r="F734" s="20">
        <f>ROUND(E734*C734,0)</f>
        <v>0</v>
      </c>
      <c r="G734" s="20">
        <v>10231</v>
      </c>
      <c r="H734" s="20">
        <f>ROUND(G734*C734,0)</f>
        <v>1452802</v>
      </c>
      <c r="I734" s="20">
        <v>38589.326699999998</v>
      </c>
      <c r="J734" s="20">
        <f>ROUND(I734*C734,0)</f>
        <v>5479684</v>
      </c>
      <c r="K734" s="20">
        <f t="shared" si="161"/>
        <v>48820.326699999998</v>
      </c>
      <c r="L734" s="20">
        <f t="shared" si="161"/>
        <v>6932486</v>
      </c>
      <c r="M734" s="18"/>
      <c r="N734" s="44"/>
    </row>
    <row r="735" spans="1:14" ht="21" customHeight="1">
      <c r="A735" s="18" t="s">
        <v>972</v>
      </c>
      <c r="B735" s="18" t="s">
        <v>663</v>
      </c>
      <c r="C735" s="20">
        <v>142</v>
      </c>
      <c r="D735" s="21" t="s">
        <v>93</v>
      </c>
      <c r="E735" s="20">
        <v>0</v>
      </c>
      <c r="F735" s="20">
        <f>ROUND(E735*C735,0)</f>
        <v>0</v>
      </c>
      <c r="G735" s="20">
        <v>0</v>
      </c>
      <c r="H735" s="20">
        <f>ROUND(G735*C735,0)</f>
        <v>0</v>
      </c>
      <c r="I735" s="20">
        <v>584.44569999999999</v>
      </c>
      <c r="J735" s="20">
        <f>ROUND(I735*C735,0)</f>
        <v>82991</v>
      </c>
      <c r="K735" s="20">
        <f t="shared" si="161"/>
        <v>584.44569999999999</v>
      </c>
      <c r="L735" s="20">
        <f t="shared" si="161"/>
        <v>82991</v>
      </c>
      <c r="M735" s="18"/>
      <c r="N735" s="44"/>
    </row>
    <row r="736" spans="1:14" ht="21" customHeight="1">
      <c r="A736" s="18" t="s">
        <v>973</v>
      </c>
      <c r="B736" s="18" t="s">
        <v>665</v>
      </c>
      <c r="C736" s="20">
        <v>142</v>
      </c>
      <c r="D736" s="21" t="s">
        <v>93</v>
      </c>
      <c r="E736" s="20">
        <v>0</v>
      </c>
      <c r="F736" s="20">
        <f>ROUND(E736*C736,0)</f>
        <v>0</v>
      </c>
      <c r="G736" s="20">
        <v>0</v>
      </c>
      <c r="H736" s="20">
        <f>ROUND(G736*C736,0)</f>
        <v>0</v>
      </c>
      <c r="I736" s="20">
        <v>584.44569999999999</v>
      </c>
      <c r="J736" s="20">
        <f>ROUND(I736*C736,0)</f>
        <v>82991</v>
      </c>
      <c r="K736" s="20">
        <f t="shared" si="161"/>
        <v>584.44569999999999</v>
      </c>
      <c r="L736" s="20">
        <f t="shared" si="161"/>
        <v>82991</v>
      </c>
      <c r="M736" s="18"/>
      <c r="N736" s="44"/>
    </row>
    <row r="737" spans="1:14" ht="21" customHeight="1">
      <c r="A737" s="18" t="s">
        <v>974</v>
      </c>
      <c r="B737" s="18" t="s">
        <v>975</v>
      </c>
      <c r="C737" s="20">
        <v>36</v>
      </c>
      <c r="D737" s="21" t="s">
        <v>99</v>
      </c>
      <c r="E737" s="20">
        <v>0</v>
      </c>
      <c r="F737" s="20">
        <f>ROUND(E737*C737,0)</f>
        <v>0</v>
      </c>
      <c r="G737" s="20">
        <v>2525</v>
      </c>
      <c r="H737" s="20">
        <f>ROUND(G737*C737,0)</f>
        <v>90900</v>
      </c>
      <c r="I737" s="20">
        <v>5262.1327000000001</v>
      </c>
      <c r="J737" s="20">
        <f>ROUND(I737*C737,0)</f>
        <v>189437</v>
      </c>
      <c r="K737" s="20">
        <f t="shared" si="161"/>
        <v>7787.1327000000001</v>
      </c>
      <c r="L737" s="20">
        <f t="shared" si="161"/>
        <v>280337</v>
      </c>
      <c r="M737" s="18"/>
      <c r="N737" s="44"/>
    </row>
    <row r="738" spans="1:14" ht="21" customHeight="1">
      <c r="A738" s="18" t="s">
        <v>976</v>
      </c>
      <c r="B738" s="18"/>
      <c r="C738" s="19"/>
      <c r="D738" s="19"/>
      <c r="E738" s="19">
        <v>0</v>
      </c>
      <c r="F738" s="19"/>
      <c r="G738" s="19"/>
      <c r="H738" s="19"/>
      <c r="I738" s="19">
        <v>0</v>
      </c>
      <c r="J738" s="19"/>
      <c r="K738" s="19"/>
      <c r="L738" s="19"/>
      <c r="M738" s="19"/>
      <c r="N738" s="44"/>
    </row>
    <row r="739" spans="1:14" ht="21" customHeight="1">
      <c r="A739" s="18" t="s">
        <v>704</v>
      </c>
      <c r="B739" s="18" t="s">
        <v>705</v>
      </c>
      <c r="C739" s="20">
        <v>63</v>
      </c>
      <c r="D739" s="21" t="s">
        <v>231</v>
      </c>
      <c r="E739" s="20">
        <v>0</v>
      </c>
      <c r="F739" s="20">
        <f>ROUND(E739*C739,0)</f>
        <v>0</v>
      </c>
      <c r="G739" s="20">
        <v>14140</v>
      </c>
      <c r="H739" s="20">
        <f>ROUND(G739*C739,0)</f>
        <v>890820</v>
      </c>
      <c r="I739" s="20">
        <v>5683.2305999999999</v>
      </c>
      <c r="J739" s="20">
        <f>ROUND(I739*C739,0)</f>
        <v>358044</v>
      </c>
      <c r="K739" s="20">
        <f>E739+G739+I739</f>
        <v>19823.230599999999</v>
      </c>
      <c r="L739" s="20">
        <f>F739+H739+J739</f>
        <v>1248864</v>
      </c>
      <c r="M739" s="18"/>
      <c r="N739" s="44"/>
    </row>
    <row r="740" spans="1:14" ht="21" customHeight="1">
      <c r="A740" s="18" t="s">
        <v>977</v>
      </c>
      <c r="B740" s="18"/>
      <c r="C740" s="19"/>
      <c r="D740" s="19"/>
      <c r="E740" s="19">
        <v>0</v>
      </c>
      <c r="F740" s="19"/>
      <c r="G740" s="19"/>
      <c r="H740" s="19"/>
      <c r="I740" s="19">
        <v>0</v>
      </c>
      <c r="J740" s="19"/>
      <c r="K740" s="19"/>
      <c r="L740" s="19"/>
      <c r="M740" s="19"/>
      <c r="N740" s="44"/>
    </row>
    <row r="741" spans="1:14" ht="21" customHeight="1">
      <c r="A741" s="18" t="s">
        <v>733</v>
      </c>
      <c r="B741" s="18" t="s">
        <v>689</v>
      </c>
      <c r="C741" s="20">
        <v>11</v>
      </c>
      <c r="D741" s="21" t="s">
        <v>93</v>
      </c>
      <c r="E741" s="20">
        <v>6963.4955</v>
      </c>
      <c r="F741" s="20">
        <f>ROUND(E741*C741,0)</f>
        <v>76598</v>
      </c>
      <c r="G741" s="20">
        <v>8585</v>
      </c>
      <c r="H741" s="20">
        <f>ROUND(G741*C741,0)</f>
        <v>94435</v>
      </c>
      <c r="I741" s="20">
        <v>1168.8914</v>
      </c>
      <c r="J741" s="20">
        <f>ROUND(I741*C741,0)</f>
        <v>12858</v>
      </c>
      <c r="K741" s="20">
        <f>E741+G741+I741</f>
        <v>16717.386900000001</v>
      </c>
      <c r="L741" s="20">
        <f>F741+H741+J741</f>
        <v>183891</v>
      </c>
      <c r="M741" s="18"/>
      <c r="N741" s="44"/>
    </row>
    <row r="742" spans="1:14" ht="21" customHeight="1">
      <c r="A742" s="18" t="s">
        <v>978</v>
      </c>
      <c r="B742" s="18"/>
      <c r="C742" s="19"/>
      <c r="D742" s="19"/>
      <c r="E742" s="19">
        <v>0</v>
      </c>
      <c r="F742" s="19"/>
      <c r="G742" s="19"/>
      <c r="H742" s="19"/>
      <c r="I742" s="19">
        <v>0</v>
      </c>
      <c r="J742" s="19"/>
      <c r="K742" s="19"/>
      <c r="L742" s="19"/>
      <c r="M742" s="19"/>
      <c r="N742" s="44"/>
    </row>
    <row r="743" spans="1:14" ht="21" customHeight="1">
      <c r="A743" s="18" t="s">
        <v>229</v>
      </c>
      <c r="B743" s="18" t="s">
        <v>230</v>
      </c>
      <c r="C743" s="20">
        <v>44</v>
      </c>
      <c r="D743" s="21" t="s">
        <v>231</v>
      </c>
      <c r="E743" s="20">
        <v>2249.7446999999997</v>
      </c>
      <c r="F743" s="20">
        <f>ROUND(E743*C743,0)</f>
        <v>98989</v>
      </c>
      <c r="G743" s="20">
        <v>31512</v>
      </c>
      <c r="H743" s="20">
        <f>ROUND(G743*C743,0)</f>
        <v>1386528</v>
      </c>
      <c r="I743" s="20">
        <v>40342.663800000002</v>
      </c>
      <c r="J743" s="20">
        <f>ROUND(I743*C743,0)</f>
        <v>1775077</v>
      </c>
      <c r="K743" s="20">
        <f t="shared" ref="K743:L746" si="162">E743+G743+I743</f>
        <v>74104.408500000005</v>
      </c>
      <c r="L743" s="20">
        <f t="shared" si="162"/>
        <v>3260594</v>
      </c>
      <c r="M743" s="18"/>
      <c r="N743" s="44"/>
    </row>
    <row r="744" spans="1:14" ht="21" customHeight="1">
      <c r="A744" s="18" t="s">
        <v>262</v>
      </c>
      <c r="B744" s="18" t="s">
        <v>261</v>
      </c>
      <c r="C744" s="20">
        <v>6</v>
      </c>
      <c r="D744" s="21" t="s">
        <v>201</v>
      </c>
      <c r="E744" s="20">
        <v>0</v>
      </c>
      <c r="F744" s="20">
        <f>ROUND(E744*C744,0)</f>
        <v>0</v>
      </c>
      <c r="G744" s="20">
        <v>64590</v>
      </c>
      <c r="H744" s="20">
        <f>ROUND(G744*C744,0)</f>
        <v>387540</v>
      </c>
      <c r="I744" s="20">
        <v>22451.836899999998</v>
      </c>
      <c r="J744" s="20">
        <f>ROUND(I744*C744,0)</f>
        <v>134711</v>
      </c>
      <c r="K744" s="20">
        <f t="shared" si="162"/>
        <v>87041.836899999995</v>
      </c>
      <c r="L744" s="20">
        <f t="shared" si="162"/>
        <v>522251</v>
      </c>
      <c r="M744" s="18"/>
      <c r="N744" s="44"/>
    </row>
    <row r="745" spans="1:14" ht="21" customHeight="1">
      <c r="A745" s="18" t="s">
        <v>979</v>
      </c>
      <c r="B745" s="18" t="s">
        <v>310</v>
      </c>
      <c r="C745" s="20">
        <v>5</v>
      </c>
      <c r="D745" s="21" t="s">
        <v>201</v>
      </c>
      <c r="E745" s="20">
        <v>70170.608500000002</v>
      </c>
      <c r="F745" s="20">
        <f>ROUND(E745*C745,0)</f>
        <v>350853</v>
      </c>
      <c r="G745" s="20">
        <v>54540</v>
      </c>
      <c r="H745" s="20">
        <f>ROUND(G745*C745,0)</f>
        <v>272700</v>
      </c>
      <c r="I745" s="20">
        <v>78300.873999999996</v>
      </c>
      <c r="J745" s="20">
        <f>ROUND(I745*C745,0)</f>
        <v>391504</v>
      </c>
      <c r="K745" s="20">
        <f t="shared" si="162"/>
        <v>203011.48249999998</v>
      </c>
      <c r="L745" s="20">
        <f t="shared" si="162"/>
        <v>1015057</v>
      </c>
      <c r="M745" s="18"/>
      <c r="N745" s="44"/>
    </row>
    <row r="746" spans="1:14" ht="21" customHeight="1">
      <c r="A746" s="18" t="s">
        <v>980</v>
      </c>
      <c r="B746" s="18" t="s">
        <v>981</v>
      </c>
      <c r="C746" s="20">
        <v>1</v>
      </c>
      <c r="D746" s="21" t="s">
        <v>201</v>
      </c>
      <c r="E746" s="20">
        <v>482088.14999999997</v>
      </c>
      <c r="F746" s="20">
        <f>ROUND(E746*C746,0)</f>
        <v>482088</v>
      </c>
      <c r="G746" s="20">
        <v>104788</v>
      </c>
      <c r="H746" s="20">
        <f>ROUND(G746*C746,0)</f>
        <v>104788</v>
      </c>
      <c r="I746" s="20">
        <v>138862.6012</v>
      </c>
      <c r="J746" s="20">
        <f>ROUND(I746*C746,0)</f>
        <v>138863</v>
      </c>
      <c r="K746" s="20">
        <f t="shared" si="162"/>
        <v>725738.75119999994</v>
      </c>
      <c r="L746" s="20">
        <f t="shared" si="162"/>
        <v>725739</v>
      </c>
      <c r="M746" s="18"/>
      <c r="N746" s="44"/>
    </row>
    <row r="747" spans="1:14" ht="21" customHeight="1">
      <c r="A747" s="18" t="s">
        <v>982</v>
      </c>
      <c r="B747" s="18"/>
      <c r="C747" s="19"/>
      <c r="D747" s="19"/>
      <c r="E747" s="19">
        <v>0</v>
      </c>
      <c r="F747" s="19"/>
      <c r="G747" s="19"/>
      <c r="H747" s="19"/>
      <c r="I747" s="19">
        <v>0</v>
      </c>
      <c r="J747" s="19"/>
      <c r="K747" s="19"/>
      <c r="L747" s="19"/>
      <c r="M747" s="19"/>
      <c r="N747" s="44"/>
    </row>
    <row r="748" spans="1:14" ht="21" customHeight="1">
      <c r="A748" s="18" t="s">
        <v>983</v>
      </c>
      <c r="B748" s="18" t="s">
        <v>984</v>
      </c>
      <c r="C748" s="20">
        <v>86</v>
      </c>
      <c r="D748" s="21" t="s">
        <v>231</v>
      </c>
      <c r="E748" s="20">
        <v>15802.3086</v>
      </c>
      <c r="F748" s="20">
        <f>ROUND(E748*C748,0)</f>
        <v>1358999</v>
      </c>
      <c r="G748" s="20">
        <v>28280</v>
      </c>
      <c r="H748" s="20">
        <f>ROUND(G748*C748,0)</f>
        <v>2432080</v>
      </c>
      <c r="I748" s="20">
        <v>5846.5783999999994</v>
      </c>
      <c r="J748" s="20">
        <f>ROUND(I748*C748,0)</f>
        <v>502806</v>
      </c>
      <c r="K748" s="20">
        <f>E748+G748+I748</f>
        <v>49928.887000000002</v>
      </c>
      <c r="L748" s="20">
        <f>F748+H748+J748</f>
        <v>4293885</v>
      </c>
      <c r="M748" s="18"/>
      <c r="N748" s="44"/>
    </row>
    <row r="749" spans="1:14" ht="21" customHeight="1">
      <c r="A749" s="18" t="s">
        <v>985</v>
      </c>
      <c r="B749" s="18"/>
      <c r="C749" s="19"/>
      <c r="D749" s="19"/>
      <c r="E749" s="19">
        <v>0</v>
      </c>
      <c r="F749" s="19"/>
      <c r="G749" s="19"/>
      <c r="H749" s="19"/>
      <c r="I749" s="19">
        <v>0</v>
      </c>
      <c r="J749" s="19"/>
      <c r="K749" s="19"/>
      <c r="L749" s="19"/>
      <c r="M749" s="19"/>
      <c r="N749" s="44"/>
    </row>
    <row r="750" spans="1:14" ht="21" customHeight="1">
      <c r="A750" s="18" t="s">
        <v>986</v>
      </c>
      <c r="B750" s="18" t="s">
        <v>987</v>
      </c>
      <c r="C750" s="20">
        <v>2</v>
      </c>
      <c r="D750" s="21" t="s">
        <v>201</v>
      </c>
      <c r="E750" s="20">
        <v>128556.84</v>
      </c>
      <c r="F750" s="20">
        <f>ROUND(E750*C750,0)</f>
        <v>257114</v>
      </c>
      <c r="G750" s="20">
        <v>258560</v>
      </c>
      <c r="H750" s="20">
        <f>ROUND(G750*C750,0)</f>
        <v>517120</v>
      </c>
      <c r="I750" s="20">
        <v>52621.326999999997</v>
      </c>
      <c r="J750" s="20">
        <f>ROUND(I750*C750,0)</f>
        <v>105243</v>
      </c>
      <c r="K750" s="20">
        <f>E750+G750+I750</f>
        <v>439738.16699999996</v>
      </c>
      <c r="L750" s="20">
        <f>F750+H750+J750</f>
        <v>879477</v>
      </c>
      <c r="M750" s="18"/>
      <c r="N750" s="44"/>
    </row>
    <row r="751" spans="1:14" ht="21" customHeight="1">
      <c r="A751" s="18" t="s">
        <v>988</v>
      </c>
      <c r="B751" s="18"/>
      <c r="C751" s="19"/>
      <c r="D751" s="19"/>
      <c r="E751" s="19">
        <v>0</v>
      </c>
      <c r="F751" s="19"/>
      <c r="G751" s="19"/>
      <c r="H751" s="19"/>
      <c r="I751" s="19">
        <v>0</v>
      </c>
      <c r="J751" s="19"/>
      <c r="K751" s="19"/>
      <c r="L751" s="19"/>
      <c r="M751" s="19"/>
      <c r="N751" s="44"/>
    </row>
    <row r="752" spans="1:14" ht="21" customHeight="1">
      <c r="A752" s="18" t="s">
        <v>403</v>
      </c>
      <c r="B752" s="18" t="s">
        <v>754</v>
      </c>
      <c r="C752" s="20">
        <v>10</v>
      </c>
      <c r="D752" s="21" t="s">
        <v>99</v>
      </c>
      <c r="E752" s="20">
        <v>92346.663400000005</v>
      </c>
      <c r="F752" s="20">
        <f t="shared" ref="F752:F771" si="163">ROUND(E752*C752,0)</f>
        <v>923467</v>
      </c>
      <c r="G752" s="20">
        <v>0</v>
      </c>
      <c r="H752" s="20">
        <f t="shared" ref="H752:H771" si="164">ROUND(G752*C752,0)</f>
        <v>0</v>
      </c>
      <c r="I752" s="20">
        <v>0</v>
      </c>
      <c r="J752" s="20">
        <f t="shared" ref="J752:J771" si="165">ROUND(I752*C752,0)</f>
        <v>0</v>
      </c>
      <c r="K752" s="20">
        <f t="shared" ref="K752:K771" si="166">E752+G752+I752</f>
        <v>92346.663400000005</v>
      </c>
      <c r="L752" s="20">
        <f t="shared" ref="L752:L771" si="167">F752+H752+J752</f>
        <v>923467</v>
      </c>
      <c r="M752" s="18"/>
      <c r="N752" s="44"/>
    </row>
    <row r="753" spans="1:14" ht="21" customHeight="1">
      <c r="A753" s="18" t="s">
        <v>989</v>
      </c>
      <c r="B753" s="18" t="s">
        <v>759</v>
      </c>
      <c r="C753" s="20">
        <v>37</v>
      </c>
      <c r="D753" s="21" t="s">
        <v>99</v>
      </c>
      <c r="E753" s="20">
        <v>19283.525999999998</v>
      </c>
      <c r="F753" s="20">
        <f t="shared" si="163"/>
        <v>713490</v>
      </c>
      <c r="G753" s="20">
        <v>0</v>
      </c>
      <c r="H753" s="20">
        <f t="shared" si="164"/>
        <v>0</v>
      </c>
      <c r="I753" s="20">
        <v>0</v>
      </c>
      <c r="J753" s="20">
        <f t="shared" si="165"/>
        <v>0</v>
      </c>
      <c r="K753" s="20">
        <f t="shared" si="166"/>
        <v>19283.525999999998</v>
      </c>
      <c r="L753" s="20">
        <f t="shared" si="167"/>
        <v>713490</v>
      </c>
      <c r="M753" s="18"/>
      <c r="N753" s="44"/>
    </row>
    <row r="754" spans="1:14" ht="21" customHeight="1">
      <c r="A754" s="18" t="s">
        <v>990</v>
      </c>
      <c r="B754" s="18" t="s">
        <v>762</v>
      </c>
      <c r="C754" s="20">
        <v>1</v>
      </c>
      <c r="D754" s="21" t="s">
        <v>763</v>
      </c>
      <c r="E754" s="20">
        <v>289252.89</v>
      </c>
      <c r="F754" s="20">
        <f t="shared" si="163"/>
        <v>289253</v>
      </c>
      <c r="G754" s="20">
        <v>0</v>
      </c>
      <c r="H754" s="20">
        <f t="shared" si="164"/>
        <v>0</v>
      </c>
      <c r="I754" s="20">
        <v>0</v>
      </c>
      <c r="J754" s="20">
        <f t="shared" si="165"/>
        <v>0</v>
      </c>
      <c r="K754" s="20">
        <f t="shared" si="166"/>
        <v>289252.89</v>
      </c>
      <c r="L754" s="20">
        <f t="shared" si="167"/>
        <v>289253</v>
      </c>
      <c r="M754" s="18"/>
      <c r="N754" s="44"/>
    </row>
    <row r="755" spans="1:14" ht="21" customHeight="1">
      <c r="A755" s="18" t="s">
        <v>991</v>
      </c>
      <c r="B755" s="18" t="s">
        <v>765</v>
      </c>
      <c r="C755" s="20">
        <v>1</v>
      </c>
      <c r="D755" s="21" t="s">
        <v>763</v>
      </c>
      <c r="E755" s="20">
        <v>289252.89</v>
      </c>
      <c r="F755" s="20">
        <f t="shared" si="163"/>
        <v>289253</v>
      </c>
      <c r="G755" s="20">
        <v>0</v>
      </c>
      <c r="H755" s="20">
        <f t="shared" si="164"/>
        <v>0</v>
      </c>
      <c r="I755" s="20">
        <v>0</v>
      </c>
      <c r="J755" s="20">
        <f t="shared" si="165"/>
        <v>0</v>
      </c>
      <c r="K755" s="20">
        <f t="shared" si="166"/>
        <v>289252.89</v>
      </c>
      <c r="L755" s="20">
        <f t="shared" si="167"/>
        <v>289253</v>
      </c>
      <c r="M755" s="18"/>
      <c r="N755" s="44"/>
    </row>
    <row r="756" spans="1:14" ht="21" customHeight="1">
      <c r="A756" s="18" t="s">
        <v>992</v>
      </c>
      <c r="B756" s="18" t="s">
        <v>767</v>
      </c>
      <c r="C756" s="20">
        <v>17</v>
      </c>
      <c r="D756" s="21" t="s">
        <v>391</v>
      </c>
      <c r="E756" s="20">
        <v>108202.007</v>
      </c>
      <c r="F756" s="20">
        <f t="shared" si="163"/>
        <v>1839434</v>
      </c>
      <c r="G756" s="20">
        <v>0</v>
      </c>
      <c r="H756" s="20">
        <f t="shared" si="164"/>
        <v>0</v>
      </c>
      <c r="I756" s="20">
        <v>0</v>
      </c>
      <c r="J756" s="20">
        <f t="shared" si="165"/>
        <v>0</v>
      </c>
      <c r="K756" s="20">
        <f t="shared" si="166"/>
        <v>108202.007</v>
      </c>
      <c r="L756" s="20">
        <f t="shared" si="167"/>
        <v>1839434</v>
      </c>
      <c r="M756" s="18"/>
      <c r="N756" s="44"/>
    </row>
    <row r="757" spans="1:14" ht="21" customHeight="1">
      <c r="A757" s="18" t="s">
        <v>993</v>
      </c>
      <c r="B757" s="18" t="s">
        <v>771</v>
      </c>
      <c r="C757" s="20">
        <v>44</v>
      </c>
      <c r="D757" s="21" t="s">
        <v>391</v>
      </c>
      <c r="E757" s="20">
        <v>97488.936999999991</v>
      </c>
      <c r="F757" s="20">
        <f t="shared" si="163"/>
        <v>4289513</v>
      </c>
      <c r="G757" s="20">
        <v>0</v>
      </c>
      <c r="H757" s="20">
        <f t="shared" si="164"/>
        <v>0</v>
      </c>
      <c r="I757" s="20">
        <v>0</v>
      </c>
      <c r="J757" s="20">
        <f t="shared" si="165"/>
        <v>0</v>
      </c>
      <c r="K757" s="20">
        <f t="shared" si="166"/>
        <v>97488.936999999991</v>
      </c>
      <c r="L757" s="20">
        <f t="shared" si="167"/>
        <v>4289513</v>
      </c>
      <c r="M757" s="18"/>
      <c r="N757" s="44"/>
    </row>
    <row r="758" spans="1:14" ht="21" customHeight="1">
      <c r="A758" s="18" t="s">
        <v>994</v>
      </c>
      <c r="B758" s="18" t="s">
        <v>775</v>
      </c>
      <c r="C758" s="20">
        <v>65</v>
      </c>
      <c r="D758" s="21" t="s">
        <v>365</v>
      </c>
      <c r="E758" s="20">
        <v>19283.525999999998</v>
      </c>
      <c r="F758" s="20">
        <f t="shared" si="163"/>
        <v>1253429</v>
      </c>
      <c r="G758" s="20">
        <v>0</v>
      </c>
      <c r="H758" s="20">
        <f t="shared" si="164"/>
        <v>0</v>
      </c>
      <c r="I758" s="20">
        <v>0</v>
      </c>
      <c r="J758" s="20">
        <f t="shared" si="165"/>
        <v>0</v>
      </c>
      <c r="K758" s="20">
        <f t="shared" si="166"/>
        <v>19283.525999999998</v>
      </c>
      <c r="L758" s="20">
        <f t="shared" si="167"/>
        <v>1253429</v>
      </c>
      <c r="M758" s="18"/>
      <c r="N758" s="44"/>
    </row>
    <row r="759" spans="1:14" ht="21" customHeight="1">
      <c r="A759" s="18" t="s">
        <v>995</v>
      </c>
      <c r="B759" s="18" t="s">
        <v>375</v>
      </c>
      <c r="C759" s="20">
        <v>1</v>
      </c>
      <c r="D759" s="21" t="s">
        <v>376</v>
      </c>
      <c r="E759" s="20">
        <v>6320.7112999999999</v>
      </c>
      <c r="F759" s="20">
        <f t="shared" si="163"/>
        <v>6321</v>
      </c>
      <c r="G759" s="20">
        <v>0</v>
      </c>
      <c r="H759" s="20">
        <f t="shared" si="164"/>
        <v>0</v>
      </c>
      <c r="I759" s="20">
        <v>0</v>
      </c>
      <c r="J759" s="20">
        <f t="shared" si="165"/>
        <v>0</v>
      </c>
      <c r="K759" s="20">
        <f t="shared" si="166"/>
        <v>6320.7112999999999</v>
      </c>
      <c r="L759" s="20">
        <f t="shared" si="167"/>
        <v>6321</v>
      </c>
      <c r="M759" s="18"/>
      <c r="N759" s="44"/>
    </row>
    <row r="760" spans="1:14" ht="21" customHeight="1">
      <c r="A760" s="18" t="s">
        <v>996</v>
      </c>
      <c r="B760" s="18" t="s">
        <v>380</v>
      </c>
      <c r="C760" s="20">
        <v>1</v>
      </c>
      <c r="D760" s="21" t="s">
        <v>376</v>
      </c>
      <c r="E760" s="20">
        <v>0</v>
      </c>
      <c r="F760" s="20">
        <f t="shared" si="163"/>
        <v>0</v>
      </c>
      <c r="G760" s="20">
        <v>0</v>
      </c>
      <c r="H760" s="20">
        <f t="shared" si="164"/>
        <v>0</v>
      </c>
      <c r="I760" s="20">
        <v>1168.8914</v>
      </c>
      <c r="J760" s="20">
        <f t="shared" si="165"/>
        <v>1169</v>
      </c>
      <c r="K760" s="20">
        <f t="shared" si="166"/>
        <v>1168.8914</v>
      </c>
      <c r="L760" s="20">
        <f t="shared" si="167"/>
        <v>1169</v>
      </c>
      <c r="M760" s="18"/>
      <c r="N760" s="44"/>
    </row>
    <row r="761" spans="1:14" ht="21" customHeight="1">
      <c r="A761" s="18" t="s">
        <v>997</v>
      </c>
      <c r="B761" s="18" t="s">
        <v>409</v>
      </c>
      <c r="C761" s="20">
        <v>46</v>
      </c>
      <c r="D761" s="21" t="s">
        <v>410</v>
      </c>
      <c r="E761" s="20">
        <v>19864.7896</v>
      </c>
      <c r="F761" s="20">
        <f t="shared" si="163"/>
        <v>913780</v>
      </c>
      <c r="G761" s="20">
        <v>0</v>
      </c>
      <c r="H761" s="20">
        <f t="shared" si="164"/>
        <v>0</v>
      </c>
      <c r="I761" s="20">
        <v>0</v>
      </c>
      <c r="J761" s="20">
        <f t="shared" si="165"/>
        <v>0</v>
      </c>
      <c r="K761" s="20">
        <f t="shared" si="166"/>
        <v>19864.7896</v>
      </c>
      <c r="L761" s="20">
        <f t="shared" si="167"/>
        <v>913780</v>
      </c>
      <c r="M761" s="18"/>
      <c r="N761" s="44"/>
    </row>
    <row r="762" spans="1:14" ht="21" customHeight="1">
      <c r="A762" s="18" t="s">
        <v>429</v>
      </c>
      <c r="B762" s="18" t="s">
        <v>424</v>
      </c>
      <c r="C762" s="20">
        <v>19</v>
      </c>
      <c r="D762" s="21" t="s">
        <v>368</v>
      </c>
      <c r="E762" s="20">
        <v>0</v>
      </c>
      <c r="F762" s="20">
        <f t="shared" si="163"/>
        <v>0</v>
      </c>
      <c r="G762" s="20">
        <v>0</v>
      </c>
      <c r="H762" s="20">
        <f t="shared" si="164"/>
        <v>0</v>
      </c>
      <c r="I762" s="20">
        <v>2058.8186999999998</v>
      </c>
      <c r="J762" s="20">
        <f t="shared" si="165"/>
        <v>39118</v>
      </c>
      <c r="K762" s="20">
        <f t="shared" si="166"/>
        <v>2058.8186999999998</v>
      </c>
      <c r="L762" s="20">
        <f t="shared" si="167"/>
        <v>39118</v>
      </c>
      <c r="M762" s="18"/>
      <c r="N762" s="44"/>
    </row>
    <row r="763" spans="1:14" ht="21" customHeight="1">
      <c r="A763" s="18" t="s">
        <v>998</v>
      </c>
      <c r="B763" s="18"/>
      <c r="C763" s="20">
        <v>1</v>
      </c>
      <c r="D763" s="21" t="s">
        <v>23</v>
      </c>
      <c r="E763" s="20">
        <v>0</v>
      </c>
      <c r="F763" s="20">
        <f t="shared" si="163"/>
        <v>0</v>
      </c>
      <c r="G763" s="20">
        <v>0</v>
      </c>
      <c r="H763" s="20">
        <f t="shared" si="164"/>
        <v>0</v>
      </c>
      <c r="I763" s="20">
        <v>99395667.230499998</v>
      </c>
      <c r="J763" s="20">
        <f t="shared" si="165"/>
        <v>99395667</v>
      </c>
      <c r="K763" s="20">
        <f t="shared" si="166"/>
        <v>99395667.230499998</v>
      </c>
      <c r="L763" s="20">
        <f t="shared" si="167"/>
        <v>99395667</v>
      </c>
      <c r="M763" s="18"/>
      <c r="N763" s="44"/>
    </row>
    <row r="764" spans="1:14" ht="21" customHeight="1">
      <c r="A764" s="18" t="s">
        <v>999</v>
      </c>
      <c r="B764" s="18"/>
      <c r="C764" s="20">
        <v>1</v>
      </c>
      <c r="D764" s="21" t="s">
        <v>23</v>
      </c>
      <c r="E764" s="20">
        <v>0</v>
      </c>
      <c r="F764" s="20">
        <f t="shared" si="163"/>
        <v>0</v>
      </c>
      <c r="G764" s="20">
        <v>0</v>
      </c>
      <c r="H764" s="20">
        <f t="shared" si="164"/>
        <v>0</v>
      </c>
      <c r="I764" s="20">
        <v>17540411.926599998</v>
      </c>
      <c r="J764" s="20">
        <f t="shared" si="165"/>
        <v>17540412</v>
      </c>
      <c r="K764" s="20">
        <f t="shared" si="166"/>
        <v>17540411.926599998</v>
      </c>
      <c r="L764" s="20">
        <f t="shared" si="167"/>
        <v>17540412</v>
      </c>
      <c r="M764" s="18"/>
      <c r="N764" s="44"/>
    </row>
    <row r="765" spans="1:14" ht="21" customHeight="1">
      <c r="A765" s="18" t="s">
        <v>1000</v>
      </c>
      <c r="B765" s="18"/>
      <c r="C765" s="20">
        <v>1</v>
      </c>
      <c r="D765" s="21" t="s">
        <v>23</v>
      </c>
      <c r="E765" s="20">
        <v>0</v>
      </c>
      <c r="F765" s="20">
        <f t="shared" si="163"/>
        <v>0</v>
      </c>
      <c r="G765" s="20">
        <v>0</v>
      </c>
      <c r="H765" s="20">
        <f t="shared" si="164"/>
        <v>0</v>
      </c>
      <c r="I765" s="20">
        <v>23387216.2557</v>
      </c>
      <c r="J765" s="20">
        <f t="shared" si="165"/>
        <v>23387216</v>
      </c>
      <c r="K765" s="20">
        <f t="shared" si="166"/>
        <v>23387216.2557</v>
      </c>
      <c r="L765" s="20">
        <f t="shared" si="167"/>
        <v>23387216</v>
      </c>
      <c r="M765" s="18"/>
      <c r="N765" s="44"/>
    </row>
    <row r="766" spans="1:14" ht="21" customHeight="1">
      <c r="A766" s="18" t="s">
        <v>1001</v>
      </c>
      <c r="B766" s="18" t="s">
        <v>1002</v>
      </c>
      <c r="C766" s="20">
        <v>1</v>
      </c>
      <c r="D766" s="21" t="s">
        <v>23</v>
      </c>
      <c r="E766" s="20">
        <v>0</v>
      </c>
      <c r="F766" s="20">
        <f t="shared" si="163"/>
        <v>0</v>
      </c>
      <c r="G766" s="20">
        <v>0</v>
      </c>
      <c r="H766" s="20">
        <f t="shared" si="164"/>
        <v>0</v>
      </c>
      <c r="I766" s="20">
        <v>17540411.926599998</v>
      </c>
      <c r="J766" s="20">
        <f t="shared" si="165"/>
        <v>17540412</v>
      </c>
      <c r="K766" s="20">
        <f t="shared" si="166"/>
        <v>17540411.926599998</v>
      </c>
      <c r="L766" s="20">
        <f t="shared" si="167"/>
        <v>17540412</v>
      </c>
      <c r="M766" s="18"/>
      <c r="N766" s="44"/>
    </row>
    <row r="767" spans="1:14" ht="21" customHeight="1">
      <c r="A767" s="18" t="s">
        <v>1003</v>
      </c>
      <c r="B767" s="18" t="s">
        <v>1002</v>
      </c>
      <c r="C767" s="20">
        <v>1</v>
      </c>
      <c r="D767" s="21" t="s">
        <v>23</v>
      </c>
      <c r="E767" s="20">
        <v>0</v>
      </c>
      <c r="F767" s="20">
        <f t="shared" si="163"/>
        <v>0</v>
      </c>
      <c r="G767" s="20">
        <v>0</v>
      </c>
      <c r="H767" s="20">
        <f t="shared" si="164"/>
        <v>0</v>
      </c>
      <c r="I767" s="20">
        <v>17540411.926599998</v>
      </c>
      <c r="J767" s="20">
        <f t="shared" si="165"/>
        <v>17540412</v>
      </c>
      <c r="K767" s="20">
        <f t="shared" si="166"/>
        <v>17540411.926599998</v>
      </c>
      <c r="L767" s="20">
        <f t="shared" si="167"/>
        <v>17540412</v>
      </c>
      <c r="M767" s="18"/>
      <c r="N767" s="44"/>
    </row>
    <row r="768" spans="1:14" ht="21" customHeight="1">
      <c r="A768" s="18" t="s">
        <v>1004</v>
      </c>
      <c r="B768" s="18"/>
      <c r="C768" s="20">
        <v>1</v>
      </c>
      <c r="D768" s="21" t="s">
        <v>23</v>
      </c>
      <c r="E768" s="20">
        <v>0</v>
      </c>
      <c r="F768" s="20">
        <f t="shared" si="163"/>
        <v>0</v>
      </c>
      <c r="G768" s="20">
        <v>0</v>
      </c>
      <c r="H768" s="20">
        <f t="shared" si="164"/>
        <v>0</v>
      </c>
      <c r="I768" s="20">
        <v>35080823.853199996</v>
      </c>
      <c r="J768" s="20">
        <f t="shared" si="165"/>
        <v>35080824</v>
      </c>
      <c r="K768" s="20">
        <f t="shared" si="166"/>
        <v>35080823.853199996</v>
      </c>
      <c r="L768" s="20">
        <f t="shared" si="167"/>
        <v>35080824</v>
      </c>
      <c r="M768" s="18"/>
      <c r="N768" s="44"/>
    </row>
    <row r="769" spans="1:14" ht="21" customHeight="1">
      <c r="A769" s="18" t="s">
        <v>1005</v>
      </c>
      <c r="B769" s="18"/>
      <c r="C769" s="20">
        <v>1</v>
      </c>
      <c r="D769" s="21" t="s">
        <v>23</v>
      </c>
      <c r="E769" s="20">
        <v>0</v>
      </c>
      <c r="F769" s="20">
        <f t="shared" si="163"/>
        <v>0</v>
      </c>
      <c r="G769" s="20">
        <v>0</v>
      </c>
      <c r="H769" s="20">
        <f t="shared" si="164"/>
        <v>0</v>
      </c>
      <c r="I769" s="20">
        <v>11693607.5975</v>
      </c>
      <c r="J769" s="20">
        <f t="shared" si="165"/>
        <v>11693608</v>
      </c>
      <c r="K769" s="20">
        <f t="shared" si="166"/>
        <v>11693607.5975</v>
      </c>
      <c r="L769" s="20">
        <f t="shared" si="167"/>
        <v>11693608</v>
      </c>
      <c r="M769" s="18"/>
      <c r="N769" s="44"/>
    </row>
    <row r="770" spans="1:14" ht="21" customHeight="1">
      <c r="A770" s="18" t="s">
        <v>1006</v>
      </c>
      <c r="B770" s="18"/>
      <c r="C770" s="20">
        <v>1</v>
      </c>
      <c r="D770" s="21" t="s">
        <v>23</v>
      </c>
      <c r="E770" s="20">
        <v>0</v>
      </c>
      <c r="F770" s="20">
        <f t="shared" si="163"/>
        <v>0</v>
      </c>
      <c r="G770" s="20">
        <v>0</v>
      </c>
      <c r="H770" s="20">
        <f t="shared" si="164"/>
        <v>0</v>
      </c>
      <c r="I770" s="20">
        <v>9354886.0779999997</v>
      </c>
      <c r="J770" s="20">
        <f t="shared" si="165"/>
        <v>9354886</v>
      </c>
      <c r="K770" s="20">
        <f t="shared" si="166"/>
        <v>9354886.0779999997</v>
      </c>
      <c r="L770" s="20">
        <f t="shared" si="167"/>
        <v>9354886</v>
      </c>
      <c r="M770" s="18"/>
      <c r="N770" s="44"/>
    </row>
    <row r="771" spans="1:14" ht="21" customHeight="1">
      <c r="A771" s="18" t="s">
        <v>1007</v>
      </c>
      <c r="B771" s="18" t="s">
        <v>1008</v>
      </c>
      <c r="C771" s="20">
        <v>1</v>
      </c>
      <c r="D771" s="21" t="s">
        <v>23</v>
      </c>
      <c r="E771" s="20">
        <v>0</v>
      </c>
      <c r="F771" s="20">
        <f t="shared" si="163"/>
        <v>0</v>
      </c>
      <c r="G771" s="20">
        <v>0</v>
      </c>
      <c r="H771" s="20">
        <f t="shared" si="164"/>
        <v>0</v>
      </c>
      <c r="I771" s="20">
        <v>70161647.706399992</v>
      </c>
      <c r="J771" s="20">
        <f t="shared" si="165"/>
        <v>70161648</v>
      </c>
      <c r="K771" s="20">
        <f t="shared" si="166"/>
        <v>70161647.706399992</v>
      </c>
      <c r="L771" s="20">
        <f t="shared" si="167"/>
        <v>70161648</v>
      </c>
      <c r="M771" s="18"/>
      <c r="N771" s="44"/>
    </row>
    <row r="772" spans="1:14" ht="21" customHeight="1">
      <c r="A772" s="18"/>
      <c r="B772" s="18"/>
      <c r="C772" s="20"/>
      <c r="D772" s="21"/>
      <c r="E772" s="20"/>
      <c r="F772" s="20"/>
      <c r="G772" s="20"/>
      <c r="H772" s="20"/>
      <c r="I772" s="20"/>
      <c r="J772" s="20"/>
      <c r="K772" s="20"/>
      <c r="L772" s="20"/>
      <c r="M772" s="18"/>
      <c r="N772" s="44"/>
    </row>
    <row r="773" spans="1:14" ht="21" customHeight="1">
      <c r="A773" s="14" t="s">
        <v>1009</v>
      </c>
      <c r="B773" s="15" t="s">
        <v>1010</v>
      </c>
      <c r="C773" s="16"/>
      <c r="D773" s="16"/>
      <c r="E773" s="16"/>
      <c r="F773" s="17">
        <f>SUM(F776:F788)</f>
        <v>396840609</v>
      </c>
      <c r="G773" s="16"/>
      <c r="H773" s="17">
        <f>SUM(H776:H788)</f>
        <v>147234419</v>
      </c>
      <c r="I773" s="16"/>
      <c r="J773" s="17">
        <f>SUM(J776:J788)</f>
        <v>112134434</v>
      </c>
      <c r="K773" s="16"/>
      <c r="L773" s="17">
        <f>F773+H773+J773</f>
        <v>656209462</v>
      </c>
      <c r="M773" s="16"/>
    </row>
    <row r="774" spans="1:14" ht="21" customHeight="1">
      <c r="A774" s="18" t="s">
        <v>211</v>
      </c>
      <c r="B774" s="18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</row>
    <row r="775" spans="1:14" ht="21" customHeight="1">
      <c r="A775" s="18" t="s">
        <v>212</v>
      </c>
      <c r="B775" s="18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</row>
    <row r="776" spans="1:14" ht="21" customHeight="1">
      <c r="A776" s="18" t="s">
        <v>834</v>
      </c>
      <c r="B776" s="18" t="s">
        <v>107</v>
      </c>
      <c r="C776" s="20">
        <v>6487</v>
      </c>
      <c r="D776" s="21" t="s">
        <v>99</v>
      </c>
      <c r="E776" s="20">
        <v>0</v>
      </c>
      <c r="F776" s="20">
        <f>ROUND(E776*C776,0)</f>
        <v>0</v>
      </c>
      <c r="G776" s="20">
        <v>260.93219999999997</v>
      </c>
      <c r="H776" s="20">
        <f>ROUND(G776*C776,0)</f>
        <v>1692667</v>
      </c>
      <c r="I776" s="20">
        <v>1465.8874000000001</v>
      </c>
      <c r="J776" s="20">
        <f>ROUND(I776*C776,0)</f>
        <v>9509212</v>
      </c>
      <c r="K776" s="20">
        <f>E776+G776+I776</f>
        <v>1726.8196</v>
      </c>
      <c r="L776" s="20">
        <f>F776+H776+J776</f>
        <v>11201879</v>
      </c>
      <c r="M776" s="18"/>
      <c r="N776" s="44"/>
    </row>
    <row r="777" spans="1:14" ht="21" customHeight="1">
      <c r="A777" s="18" t="s">
        <v>218</v>
      </c>
      <c r="B777" s="18"/>
      <c r="C777" s="19"/>
      <c r="D777" s="19"/>
      <c r="E777" s="19">
        <v>0</v>
      </c>
      <c r="F777" s="19"/>
      <c r="G777" s="19">
        <v>0</v>
      </c>
      <c r="H777" s="19"/>
      <c r="I777" s="19">
        <v>0</v>
      </c>
      <c r="J777" s="19"/>
      <c r="K777" s="19"/>
      <c r="L777" s="19"/>
      <c r="M777" s="19"/>
      <c r="N777" s="44"/>
    </row>
    <row r="778" spans="1:14" ht="21" customHeight="1">
      <c r="A778" s="18" t="s">
        <v>219</v>
      </c>
      <c r="B778" s="18" t="s">
        <v>223</v>
      </c>
      <c r="C778" s="20">
        <v>1834</v>
      </c>
      <c r="D778" s="21" t="s">
        <v>99</v>
      </c>
      <c r="E778" s="20">
        <v>0</v>
      </c>
      <c r="F778" s="20">
        <f>ROUND(E778*C778,0)</f>
        <v>0</v>
      </c>
      <c r="G778" s="20">
        <v>728.70089999999993</v>
      </c>
      <c r="H778" s="20">
        <f>ROUND(G778*C778,0)</f>
        <v>1336437</v>
      </c>
      <c r="I778" s="20">
        <v>2888.2860999999998</v>
      </c>
      <c r="J778" s="20">
        <f>ROUND(I778*C778,0)</f>
        <v>5297117</v>
      </c>
      <c r="K778" s="20">
        <f>E778+G778+I778</f>
        <v>3616.9869999999996</v>
      </c>
      <c r="L778" s="20">
        <f>F778+H778+J778</f>
        <v>6633554</v>
      </c>
      <c r="M778" s="18"/>
      <c r="N778" s="44"/>
    </row>
    <row r="779" spans="1:14" ht="21" customHeight="1">
      <c r="A779" s="18" t="s">
        <v>224</v>
      </c>
      <c r="B779" s="18"/>
      <c r="C779" s="19"/>
      <c r="D779" s="19"/>
      <c r="E779" s="19">
        <v>0</v>
      </c>
      <c r="F779" s="19"/>
      <c r="G779" s="19">
        <v>0</v>
      </c>
      <c r="H779" s="19"/>
      <c r="I779" s="19">
        <v>0</v>
      </c>
      <c r="J779" s="19"/>
      <c r="K779" s="19"/>
      <c r="L779" s="19"/>
      <c r="M779" s="19"/>
      <c r="N779" s="44"/>
    </row>
    <row r="780" spans="1:14" ht="21" customHeight="1">
      <c r="A780" s="18" t="s">
        <v>225</v>
      </c>
      <c r="B780" s="18" t="s">
        <v>226</v>
      </c>
      <c r="C780" s="20">
        <v>4653</v>
      </c>
      <c r="D780" s="21" t="s">
        <v>99</v>
      </c>
      <c r="E780" s="20">
        <v>0</v>
      </c>
      <c r="F780" s="20">
        <f>ROUND(E780*C780,0)</f>
        <v>0</v>
      </c>
      <c r="G780" s="20">
        <v>0</v>
      </c>
      <c r="H780" s="20">
        <f>ROUND(G780*C780,0)</f>
        <v>0</v>
      </c>
      <c r="I780" s="20">
        <v>11693.156799999999</v>
      </c>
      <c r="J780" s="20">
        <f>ROUND(I780*C780,0)</f>
        <v>54408259</v>
      </c>
      <c r="K780" s="20">
        <f>E780+G780+I780</f>
        <v>11693.156799999999</v>
      </c>
      <c r="L780" s="20">
        <f>F780+H780+J780</f>
        <v>54408259</v>
      </c>
      <c r="M780" s="18"/>
      <c r="N780" s="44"/>
    </row>
    <row r="781" spans="1:14" ht="21" customHeight="1">
      <c r="A781" s="18" t="s">
        <v>1011</v>
      </c>
      <c r="B781" s="18"/>
      <c r="C781" s="19"/>
      <c r="D781" s="19"/>
      <c r="E781" s="19">
        <v>0</v>
      </c>
      <c r="F781" s="19"/>
      <c r="G781" s="19">
        <v>0</v>
      </c>
      <c r="H781" s="19"/>
      <c r="I781" s="19">
        <v>0</v>
      </c>
      <c r="J781" s="19"/>
      <c r="K781" s="19"/>
      <c r="L781" s="19"/>
      <c r="M781" s="19"/>
      <c r="N781" s="44"/>
    </row>
    <row r="782" spans="1:14" ht="21" customHeight="1">
      <c r="A782" s="18" t="s">
        <v>1012</v>
      </c>
      <c r="B782" s="18" t="s">
        <v>1013</v>
      </c>
      <c r="C782" s="20">
        <v>45</v>
      </c>
      <c r="D782" s="21" t="s">
        <v>950</v>
      </c>
      <c r="E782" s="20">
        <v>3428.1824000000001</v>
      </c>
      <c r="F782" s="20">
        <f>ROUND(E782*C782,0)</f>
        <v>154268</v>
      </c>
      <c r="G782" s="20">
        <v>4713.7507999999998</v>
      </c>
      <c r="H782" s="20">
        <f>ROUND(G782*C782,0)</f>
        <v>212119</v>
      </c>
      <c r="I782" s="20">
        <v>1168.8914</v>
      </c>
      <c r="J782" s="20">
        <f>ROUND(I782*C782,0)</f>
        <v>52600</v>
      </c>
      <c r="K782" s="20">
        <f t="shared" ref="K782:L786" si="168">E782+G782+I782</f>
        <v>9310.8245999999999</v>
      </c>
      <c r="L782" s="20">
        <f t="shared" si="168"/>
        <v>418987</v>
      </c>
      <c r="M782" s="18"/>
      <c r="N782" s="44"/>
    </row>
    <row r="783" spans="1:14" ht="21" customHeight="1">
      <c r="A783" s="18" t="s">
        <v>1014</v>
      </c>
      <c r="B783" s="18"/>
      <c r="C783" s="20">
        <v>1693</v>
      </c>
      <c r="D783" s="21" t="s">
        <v>1015</v>
      </c>
      <c r="E783" s="20">
        <v>225617.2542</v>
      </c>
      <c r="F783" s="20">
        <f>ROUND(E783*C783,0)</f>
        <v>381970011</v>
      </c>
      <c r="G783" s="20">
        <v>83776.207399999999</v>
      </c>
      <c r="H783" s="20">
        <f>ROUND(G783*C783,0)</f>
        <v>141833119</v>
      </c>
      <c r="I783" s="20">
        <v>18125.241600000001</v>
      </c>
      <c r="J783" s="20">
        <f>ROUND(I783*C783,0)</f>
        <v>30686034</v>
      </c>
      <c r="K783" s="20">
        <f t="shared" si="168"/>
        <v>327518.70319999999</v>
      </c>
      <c r="L783" s="20">
        <f t="shared" si="168"/>
        <v>554489164</v>
      </c>
      <c r="M783" s="18"/>
      <c r="N783" s="44"/>
    </row>
    <row r="784" spans="1:14" ht="21" customHeight="1">
      <c r="A784" s="18" t="s">
        <v>1016</v>
      </c>
      <c r="B784" s="18" t="s">
        <v>1017</v>
      </c>
      <c r="C784" s="20">
        <v>1250</v>
      </c>
      <c r="D784" s="21" t="s">
        <v>950</v>
      </c>
      <c r="E784" s="20">
        <v>964.17629999999997</v>
      </c>
      <c r="F784" s="20">
        <f>ROUND(E784*C784,0)</f>
        <v>1205220</v>
      </c>
      <c r="G784" s="20">
        <v>214.26140000000001</v>
      </c>
      <c r="H784" s="20">
        <f>ROUND(G784*C784,0)</f>
        <v>267827</v>
      </c>
      <c r="I784" s="20">
        <v>0</v>
      </c>
      <c r="J784" s="20">
        <f>ROUND(I784*C784,0)</f>
        <v>0</v>
      </c>
      <c r="K784" s="20">
        <f t="shared" si="168"/>
        <v>1178.4376999999999</v>
      </c>
      <c r="L784" s="20">
        <f t="shared" si="168"/>
        <v>1473047</v>
      </c>
      <c r="M784" s="18"/>
      <c r="N784" s="44"/>
    </row>
    <row r="785" spans="1:14" ht="21" customHeight="1">
      <c r="A785" s="18" t="s">
        <v>1018</v>
      </c>
      <c r="B785" s="18" t="s">
        <v>1019</v>
      </c>
      <c r="C785" s="20">
        <v>1</v>
      </c>
      <c r="D785" s="21" t="s">
        <v>201</v>
      </c>
      <c r="E785" s="20">
        <v>499871.84619999997</v>
      </c>
      <c r="F785" s="20">
        <f>ROUND(E785*C785,0)</f>
        <v>499872</v>
      </c>
      <c r="G785" s="20">
        <v>167980.9376</v>
      </c>
      <c r="H785" s="20">
        <f>ROUND(G785*C785,0)</f>
        <v>167981</v>
      </c>
      <c r="I785" s="20">
        <v>96706.140400000004</v>
      </c>
      <c r="J785" s="20">
        <f>ROUND(I785*C785,0)</f>
        <v>96706</v>
      </c>
      <c r="K785" s="20">
        <f t="shared" si="168"/>
        <v>764558.92420000001</v>
      </c>
      <c r="L785" s="20">
        <f t="shared" si="168"/>
        <v>764559</v>
      </c>
      <c r="M785" s="18"/>
      <c r="N785" s="44"/>
    </row>
    <row r="786" spans="1:14" ht="21" customHeight="1">
      <c r="A786" s="18" t="s">
        <v>1020</v>
      </c>
      <c r="B786" s="18" t="s">
        <v>1021</v>
      </c>
      <c r="C786" s="20">
        <v>87</v>
      </c>
      <c r="D786" s="21" t="s">
        <v>201</v>
      </c>
      <c r="E786" s="20">
        <v>149554.4572</v>
      </c>
      <c r="F786" s="20">
        <f>ROUND(E786*C786,0)</f>
        <v>13011238</v>
      </c>
      <c r="G786" s="20">
        <v>19819.179499999998</v>
      </c>
      <c r="H786" s="20">
        <f>ROUND(G786*C786,0)</f>
        <v>1724269</v>
      </c>
      <c r="I786" s="20">
        <v>4911.0410000000002</v>
      </c>
      <c r="J786" s="20">
        <f>ROUND(I786*C786,0)</f>
        <v>427261</v>
      </c>
      <c r="K786" s="20">
        <f t="shared" si="168"/>
        <v>174284.6777</v>
      </c>
      <c r="L786" s="20">
        <f t="shared" si="168"/>
        <v>15162768</v>
      </c>
      <c r="M786" s="18"/>
      <c r="N786" s="44"/>
    </row>
    <row r="787" spans="1:14" ht="21" customHeight="1">
      <c r="A787" s="18" t="s">
        <v>1022</v>
      </c>
      <c r="B787" s="18"/>
      <c r="C787" s="19"/>
      <c r="D787" s="19"/>
      <c r="E787" s="19">
        <v>0</v>
      </c>
      <c r="F787" s="19"/>
      <c r="G787" s="19">
        <v>0</v>
      </c>
      <c r="H787" s="19"/>
      <c r="I787" s="19">
        <v>0</v>
      </c>
      <c r="J787" s="19"/>
      <c r="K787" s="19"/>
      <c r="L787" s="19"/>
      <c r="M787" s="19"/>
      <c r="N787" s="44"/>
    </row>
    <row r="788" spans="1:14" ht="21" customHeight="1">
      <c r="A788" s="18" t="s">
        <v>1023</v>
      </c>
      <c r="B788" s="18" t="s">
        <v>1024</v>
      </c>
      <c r="C788" s="22">
        <v>3115.12</v>
      </c>
      <c r="D788" s="21" t="s">
        <v>391</v>
      </c>
      <c r="E788" s="20">
        <v>0</v>
      </c>
      <c r="F788" s="20">
        <f>ROUND(E788*C788,0)</f>
        <v>0</v>
      </c>
      <c r="G788" s="20">
        <v>0</v>
      </c>
      <c r="H788" s="20">
        <f>ROUND(G788*C788,0)</f>
        <v>0</v>
      </c>
      <c r="I788" s="20">
        <v>3742.1495999999997</v>
      </c>
      <c r="J788" s="20">
        <f>ROUND(I788*C788,0)</f>
        <v>11657245</v>
      </c>
      <c r="K788" s="20">
        <f>E788+G788+I788</f>
        <v>3742.1495999999997</v>
      </c>
      <c r="L788" s="20">
        <f>F788+H788+J788</f>
        <v>11657245</v>
      </c>
      <c r="M788" s="18"/>
      <c r="N788" s="44"/>
    </row>
    <row r="789" spans="1:14" ht="21" customHeight="1">
      <c r="A789" s="18"/>
      <c r="B789" s="18"/>
      <c r="C789" s="22"/>
      <c r="D789" s="21"/>
      <c r="E789" s="20"/>
      <c r="F789" s="20"/>
      <c r="G789" s="20"/>
      <c r="H789" s="20"/>
      <c r="I789" s="20"/>
      <c r="J789" s="20"/>
      <c r="K789" s="20"/>
      <c r="L789" s="20"/>
      <c r="M789" s="18"/>
      <c r="N789" s="44"/>
    </row>
    <row r="790" spans="1:14" ht="21" customHeight="1">
      <c r="A790" s="14" t="s">
        <v>1025</v>
      </c>
      <c r="B790" s="15"/>
      <c r="C790" s="16"/>
      <c r="D790" s="16"/>
      <c r="E790" s="16"/>
      <c r="F790" s="17">
        <f>SUM(F793:F892)</f>
        <v>77500490</v>
      </c>
      <c r="G790" s="16"/>
      <c r="H790" s="17">
        <f>SUM(H793:H892)</f>
        <v>57019245</v>
      </c>
      <c r="I790" s="16"/>
      <c r="J790" s="17">
        <f>SUM(J793:J892)</f>
        <v>691209114</v>
      </c>
      <c r="K790" s="16"/>
      <c r="L790" s="17">
        <f>F790+H790+J790</f>
        <v>825728849</v>
      </c>
      <c r="M790" s="16"/>
    </row>
    <row r="791" spans="1:14" ht="21" customHeight="1">
      <c r="A791" s="18" t="s">
        <v>1026</v>
      </c>
      <c r="B791" s="18"/>
      <c r="C791" s="19"/>
      <c r="D791" s="19"/>
      <c r="E791" s="19"/>
      <c r="F791" s="19"/>
      <c r="G791" s="19"/>
      <c r="H791" s="19"/>
      <c r="I791" s="19"/>
      <c r="J791" s="19"/>
      <c r="K791" s="19"/>
      <c r="L791" s="19">
        <v>778475388</v>
      </c>
      <c r="M791" s="19">
        <f>+L790/L791</f>
        <v>1.0607000063565273</v>
      </c>
    </row>
    <row r="792" spans="1:14" ht="21" customHeight="1">
      <c r="A792" s="18" t="s">
        <v>1027</v>
      </c>
      <c r="B792" s="18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</row>
    <row r="793" spans="1:14" ht="21" customHeight="1">
      <c r="A793" s="18" t="s">
        <v>1028</v>
      </c>
      <c r="B793" s="18" t="s">
        <v>1029</v>
      </c>
      <c r="C793" s="20">
        <v>10</v>
      </c>
      <c r="D793" s="21" t="s">
        <v>190</v>
      </c>
      <c r="E793" s="20">
        <v>0</v>
      </c>
      <c r="F793" s="20">
        <f t="shared" ref="F793:F803" si="169">ROUND(E793*C793,0)</f>
        <v>0</v>
      </c>
      <c r="G793" s="20">
        <v>0</v>
      </c>
      <c r="H793" s="20">
        <f t="shared" ref="H793:H803" si="170">ROUND(G793*C793,0)</f>
        <v>0</v>
      </c>
      <c r="I793" s="20">
        <v>643148.02009999997</v>
      </c>
      <c r="J793" s="20">
        <f t="shared" ref="J793:J803" si="171">ROUND(I793*C793,0)</f>
        <v>6431480</v>
      </c>
      <c r="K793" s="20">
        <f t="shared" ref="K793:K803" si="172">E793+G793+I793</f>
        <v>643148.02009999997</v>
      </c>
      <c r="L793" s="20">
        <f t="shared" ref="L793:L803" si="173">F793+H793+J793</f>
        <v>6431480</v>
      </c>
      <c r="M793" s="18"/>
      <c r="N793" s="44"/>
    </row>
    <row r="794" spans="1:14" ht="21" customHeight="1">
      <c r="A794" s="18" t="s">
        <v>1030</v>
      </c>
      <c r="B794" s="18" t="s">
        <v>1031</v>
      </c>
      <c r="C794" s="20">
        <v>55</v>
      </c>
      <c r="D794" s="21" t="s">
        <v>190</v>
      </c>
      <c r="E794" s="20">
        <v>0</v>
      </c>
      <c r="F794" s="20">
        <f t="shared" si="169"/>
        <v>0</v>
      </c>
      <c r="G794" s="20">
        <v>0</v>
      </c>
      <c r="H794" s="20">
        <f t="shared" si="170"/>
        <v>0</v>
      </c>
      <c r="I794" s="20">
        <v>993956.51319999993</v>
      </c>
      <c r="J794" s="20">
        <f t="shared" si="171"/>
        <v>54667608</v>
      </c>
      <c r="K794" s="20">
        <f t="shared" si="172"/>
        <v>993956.51319999993</v>
      </c>
      <c r="L794" s="20">
        <f t="shared" si="173"/>
        <v>54667608</v>
      </c>
      <c r="M794" s="18"/>
      <c r="N794" s="44"/>
    </row>
    <row r="795" spans="1:14" ht="21" customHeight="1">
      <c r="A795" s="18" t="s">
        <v>1032</v>
      </c>
      <c r="B795" s="18" t="s">
        <v>1033</v>
      </c>
      <c r="C795" s="20">
        <v>7</v>
      </c>
      <c r="D795" s="21" t="s">
        <v>190</v>
      </c>
      <c r="E795" s="20">
        <v>0</v>
      </c>
      <c r="F795" s="20">
        <f t="shared" si="169"/>
        <v>0</v>
      </c>
      <c r="G795" s="20">
        <v>0</v>
      </c>
      <c r="H795" s="20">
        <f t="shared" si="170"/>
        <v>0</v>
      </c>
      <c r="I795" s="20">
        <v>175403.7162</v>
      </c>
      <c r="J795" s="20">
        <f t="shared" si="171"/>
        <v>1227826</v>
      </c>
      <c r="K795" s="20">
        <f t="shared" si="172"/>
        <v>175403.7162</v>
      </c>
      <c r="L795" s="20">
        <f t="shared" si="173"/>
        <v>1227826</v>
      </c>
      <c r="M795" s="18"/>
      <c r="N795" s="44"/>
    </row>
    <row r="796" spans="1:14" ht="21" customHeight="1">
      <c r="A796" s="18" t="s">
        <v>1034</v>
      </c>
      <c r="B796" s="18" t="s">
        <v>1035</v>
      </c>
      <c r="C796" s="20">
        <v>3</v>
      </c>
      <c r="D796" s="21" t="s">
        <v>190</v>
      </c>
      <c r="E796" s="20">
        <v>0</v>
      </c>
      <c r="F796" s="20">
        <f t="shared" si="169"/>
        <v>0</v>
      </c>
      <c r="G796" s="20">
        <v>0</v>
      </c>
      <c r="H796" s="20">
        <f t="shared" si="170"/>
        <v>0</v>
      </c>
      <c r="I796" s="20">
        <v>140323.1851</v>
      </c>
      <c r="J796" s="20">
        <f t="shared" si="171"/>
        <v>420970</v>
      </c>
      <c r="K796" s="20">
        <f t="shared" si="172"/>
        <v>140323.1851</v>
      </c>
      <c r="L796" s="20">
        <f t="shared" si="173"/>
        <v>420970</v>
      </c>
      <c r="M796" s="18"/>
      <c r="N796" s="44"/>
    </row>
    <row r="797" spans="1:14" ht="21" customHeight="1">
      <c r="A797" s="18" t="s">
        <v>1036</v>
      </c>
      <c r="B797" s="18" t="s">
        <v>1037</v>
      </c>
      <c r="C797" s="20">
        <v>8</v>
      </c>
      <c r="D797" s="21" t="s">
        <v>190</v>
      </c>
      <c r="E797" s="20">
        <v>0</v>
      </c>
      <c r="F797" s="20">
        <f t="shared" si="169"/>
        <v>0</v>
      </c>
      <c r="G797" s="20">
        <v>0</v>
      </c>
      <c r="H797" s="20">
        <f t="shared" si="170"/>
        <v>0</v>
      </c>
      <c r="I797" s="20">
        <v>175403.7162</v>
      </c>
      <c r="J797" s="20">
        <f t="shared" si="171"/>
        <v>1403230</v>
      </c>
      <c r="K797" s="20">
        <f t="shared" si="172"/>
        <v>175403.7162</v>
      </c>
      <c r="L797" s="20">
        <f t="shared" si="173"/>
        <v>1403230</v>
      </c>
      <c r="M797" s="18"/>
      <c r="N797" s="44"/>
    </row>
    <row r="798" spans="1:14" ht="21" customHeight="1">
      <c r="A798" s="18" t="s">
        <v>1038</v>
      </c>
      <c r="B798" s="18" t="s">
        <v>1039</v>
      </c>
      <c r="C798" s="20">
        <v>15</v>
      </c>
      <c r="D798" s="21" t="s">
        <v>190</v>
      </c>
      <c r="E798" s="20">
        <v>0</v>
      </c>
      <c r="F798" s="20">
        <f t="shared" si="169"/>
        <v>0</v>
      </c>
      <c r="G798" s="20">
        <v>0</v>
      </c>
      <c r="H798" s="20">
        <f t="shared" si="170"/>
        <v>0</v>
      </c>
      <c r="I798" s="20">
        <v>140323.1851</v>
      </c>
      <c r="J798" s="20">
        <f t="shared" si="171"/>
        <v>2104848</v>
      </c>
      <c r="K798" s="20">
        <f t="shared" si="172"/>
        <v>140323.1851</v>
      </c>
      <c r="L798" s="20">
        <f t="shared" si="173"/>
        <v>2104848</v>
      </c>
      <c r="M798" s="18"/>
      <c r="N798" s="44"/>
    </row>
    <row r="799" spans="1:14" ht="21" customHeight="1">
      <c r="A799" s="18" t="s">
        <v>1040</v>
      </c>
      <c r="B799" s="18" t="s">
        <v>1039</v>
      </c>
      <c r="C799" s="20">
        <v>21</v>
      </c>
      <c r="D799" s="21" t="s">
        <v>190</v>
      </c>
      <c r="E799" s="20">
        <v>0</v>
      </c>
      <c r="F799" s="20">
        <f t="shared" si="169"/>
        <v>0</v>
      </c>
      <c r="G799" s="20">
        <v>0</v>
      </c>
      <c r="H799" s="20">
        <f t="shared" si="170"/>
        <v>0</v>
      </c>
      <c r="I799" s="20">
        <v>140323.1851</v>
      </c>
      <c r="J799" s="20">
        <f t="shared" si="171"/>
        <v>2946787</v>
      </c>
      <c r="K799" s="20">
        <f t="shared" si="172"/>
        <v>140323.1851</v>
      </c>
      <c r="L799" s="20">
        <f t="shared" si="173"/>
        <v>2946787</v>
      </c>
      <c r="M799" s="18"/>
      <c r="N799" s="44"/>
    </row>
    <row r="800" spans="1:14" ht="21" customHeight="1">
      <c r="A800" s="18" t="s">
        <v>1041</v>
      </c>
      <c r="B800" s="18" t="s">
        <v>1042</v>
      </c>
      <c r="C800" s="20">
        <v>20</v>
      </c>
      <c r="D800" s="21" t="s">
        <v>190</v>
      </c>
      <c r="E800" s="20">
        <v>0</v>
      </c>
      <c r="F800" s="20">
        <f t="shared" si="169"/>
        <v>0</v>
      </c>
      <c r="G800" s="20">
        <v>0</v>
      </c>
      <c r="H800" s="20">
        <f t="shared" si="170"/>
        <v>0</v>
      </c>
      <c r="I800" s="20">
        <v>157863.981</v>
      </c>
      <c r="J800" s="20">
        <f t="shared" si="171"/>
        <v>3157280</v>
      </c>
      <c r="K800" s="20">
        <f t="shared" si="172"/>
        <v>157863.981</v>
      </c>
      <c r="L800" s="20">
        <f t="shared" si="173"/>
        <v>3157280</v>
      </c>
      <c r="M800" s="18"/>
      <c r="N800" s="44"/>
    </row>
    <row r="801" spans="1:14" ht="21" customHeight="1">
      <c r="A801" s="18" t="s">
        <v>1043</v>
      </c>
      <c r="B801" s="18" t="s">
        <v>1044</v>
      </c>
      <c r="C801" s="20">
        <v>1770</v>
      </c>
      <c r="D801" s="21" t="s">
        <v>190</v>
      </c>
      <c r="E801" s="20">
        <v>0</v>
      </c>
      <c r="F801" s="20">
        <f t="shared" si="169"/>
        <v>0</v>
      </c>
      <c r="G801" s="20">
        <v>0</v>
      </c>
      <c r="H801" s="20">
        <f t="shared" si="170"/>
        <v>0</v>
      </c>
      <c r="I801" s="20">
        <v>4093.2412999999997</v>
      </c>
      <c r="J801" s="20">
        <f t="shared" si="171"/>
        <v>7245037</v>
      </c>
      <c r="K801" s="20">
        <f t="shared" si="172"/>
        <v>4093.2412999999997</v>
      </c>
      <c r="L801" s="20">
        <f t="shared" si="173"/>
        <v>7245037</v>
      </c>
      <c r="M801" s="18"/>
      <c r="N801" s="44"/>
    </row>
    <row r="802" spans="1:14" ht="21" customHeight="1">
      <c r="A802" s="18" t="s">
        <v>1045</v>
      </c>
      <c r="B802" s="18" t="s">
        <v>1044</v>
      </c>
      <c r="C802" s="20">
        <v>1250</v>
      </c>
      <c r="D802" s="21" t="s">
        <v>190</v>
      </c>
      <c r="E802" s="20">
        <v>0</v>
      </c>
      <c r="F802" s="20">
        <f t="shared" si="169"/>
        <v>0</v>
      </c>
      <c r="G802" s="20">
        <v>0</v>
      </c>
      <c r="H802" s="20">
        <f t="shared" si="170"/>
        <v>0</v>
      </c>
      <c r="I802" s="20">
        <v>4093.2412999999997</v>
      </c>
      <c r="J802" s="20">
        <f t="shared" si="171"/>
        <v>5116552</v>
      </c>
      <c r="K802" s="20">
        <f t="shared" si="172"/>
        <v>4093.2412999999997</v>
      </c>
      <c r="L802" s="20">
        <f t="shared" si="173"/>
        <v>5116552</v>
      </c>
      <c r="M802" s="18"/>
      <c r="N802" s="44"/>
    </row>
    <row r="803" spans="1:14" ht="21" customHeight="1">
      <c r="A803" s="18" t="s">
        <v>1046</v>
      </c>
      <c r="B803" s="18" t="s">
        <v>1047</v>
      </c>
      <c r="C803" s="20">
        <v>1100</v>
      </c>
      <c r="D803" s="21" t="s">
        <v>950</v>
      </c>
      <c r="E803" s="20">
        <v>0</v>
      </c>
      <c r="F803" s="20">
        <f t="shared" si="169"/>
        <v>0</v>
      </c>
      <c r="G803" s="20">
        <v>0</v>
      </c>
      <c r="H803" s="20">
        <f t="shared" si="170"/>
        <v>0</v>
      </c>
      <c r="I803" s="20">
        <v>19879.6394</v>
      </c>
      <c r="J803" s="20">
        <f t="shared" si="171"/>
        <v>21867603</v>
      </c>
      <c r="K803" s="20">
        <f t="shared" si="172"/>
        <v>19879.6394</v>
      </c>
      <c r="L803" s="20">
        <f t="shared" si="173"/>
        <v>21867603</v>
      </c>
      <c r="M803" s="18"/>
      <c r="N803" s="44"/>
    </row>
    <row r="804" spans="1:14" ht="21" customHeight="1">
      <c r="A804" s="18" t="s">
        <v>1048</v>
      </c>
      <c r="B804" s="18"/>
      <c r="C804" s="19"/>
      <c r="D804" s="19"/>
      <c r="E804" s="19">
        <v>0</v>
      </c>
      <c r="F804" s="19"/>
      <c r="G804" s="19">
        <v>0</v>
      </c>
      <c r="H804" s="19"/>
      <c r="I804" s="19">
        <v>0</v>
      </c>
      <c r="J804" s="19"/>
      <c r="K804" s="19"/>
      <c r="L804" s="19"/>
      <c r="M804" s="19"/>
      <c r="N804" s="44"/>
    </row>
    <row r="805" spans="1:14" ht="21" customHeight="1">
      <c r="A805" s="18" t="s">
        <v>1049</v>
      </c>
      <c r="B805" s="18" t="s">
        <v>1050</v>
      </c>
      <c r="C805" s="20">
        <v>1</v>
      </c>
      <c r="D805" s="21" t="s">
        <v>1051</v>
      </c>
      <c r="E805" s="20">
        <v>0</v>
      </c>
      <c r="F805" s="20">
        <f t="shared" ref="F805:F811" si="174">ROUND(E805*C805,0)</f>
        <v>0</v>
      </c>
      <c r="G805" s="20">
        <v>0</v>
      </c>
      <c r="H805" s="20">
        <f t="shared" ref="H805:H811" si="175">ROUND(G805*C805,0)</f>
        <v>0</v>
      </c>
      <c r="I805" s="20">
        <v>2923401.6341999997</v>
      </c>
      <c r="J805" s="20">
        <f t="shared" ref="J805:J811" si="176">ROUND(I805*C805,0)</f>
        <v>2923402</v>
      </c>
      <c r="K805" s="20">
        <f t="shared" ref="K805:L811" si="177">E805+G805+I805</f>
        <v>2923401.6341999997</v>
      </c>
      <c r="L805" s="20">
        <f t="shared" si="177"/>
        <v>2923402</v>
      </c>
      <c r="M805" s="18"/>
      <c r="N805" s="44"/>
    </row>
    <row r="806" spans="1:14" ht="21" customHeight="1">
      <c r="A806" s="18" t="s">
        <v>1052</v>
      </c>
      <c r="B806" s="18" t="s">
        <v>1053</v>
      </c>
      <c r="C806" s="20">
        <v>1</v>
      </c>
      <c r="D806" s="21" t="s">
        <v>1051</v>
      </c>
      <c r="E806" s="20">
        <v>0</v>
      </c>
      <c r="F806" s="20">
        <f t="shared" si="174"/>
        <v>0</v>
      </c>
      <c r="G806" s="20">
        <v>0</v>
      </c>
      <c r="H806" s="20">
        <f t="shared" si="175"/>
        <v>0</v>
      </c>
      <c r="I806" s="20">
        <v>4677443.0389999999</v>
      </c>
      <c r="J806" s="20">
        <f t="shared" si="176"/>
        <v>4677443</v>
      </c>
      <c r="K806" s="20">
        <f t="shared" si="177"/>
        <v>4677443.0389999999</v>
      </c>
      <c r="L806" s="20">
        <f t="shared" si="177"/>
        <v>4677443</v>
      </c>
      <c r="M806" s="18"/>
      <c r="N806" s="44"/>
    </row>
    <row r="807" spans="1:14" ht="21" customHeight="1">
      <c r="A807" s="18" t="s">
        <v>1054</v>
      </c>
      <c r="B807" s="18" t="s">
        <v>1055</v>
      </c>
      <c r="C807" s="20">
        <v>1</v>
      </c>
      <c r="D807" s="21" t="s">
        <v>1051</v>
      </c>
      <c r="E807" s="20">
        <v>0</v>
      </c>
      <c r="F807" s="20">
        <f t="shared" si="174"/>
        <v>0</v>
      </c>
      <c r="G807" s="20">
        <v>0</v>
      </c>
      <c r="H807" s="20">
        <f t="shared" si="175"/>
        <v>0</v>
      </c>
      <c r="I807" s="20">
        <v>4092762.9243000001</v>
      </c>
      <c r="J807" s="20">
        <f t="shared" si="176"/>
        <v>4092763</v>
      </c>
      <c r="K807" s="20">
        <f t="shared" si="177"/>
        <v>4092762.9243000001</v>
      </c>
      <c r="L807" s="20">
        <f t="shared" si="177"/>
        <v>4092763</v>
      </c>
      <c r="M807" s="18"/>
      <c r="N807" s="44"/>
    </row>
    <row r="808" spans="1:14" ht="21" customHeight="1">
      <c r="A808" s="18" t="s">
        <v>1056</v>
      </c>
      <c r="B808" s="18" t="s">
        <v>1057</v>
      </c>
      <c r="C808" s="20">
        <v>1</v>
      </c>
      <c r="D808" s="21" t="s">
        <v>1051</v>
      </c>
      <c r="E808" s="20">
        <v>0</v>
      </c>
      <c r="F808" s="20">
        <f t="shared" si="174"/>
        <v>0</v>
      </c>
      <c r="G808" s="20">
        <v>0</v>
      </c>
      <c r="H808" s="20">
        <f t="shared" si="175"/>
        <v>0</v>
      </c>
      <c r="I808" s="20">
        <v>4092762.9243000001</v>
      </c>
      <c r="J808" s="20">
        <f t="shared" si="176"/>
        <v>4092763</v>
      </c>
      <c r="K808" s="20">
        <f t="shared" si="177"/>
        <v>4092762.9243000001</v>
      </c>
      <c r="L808" s="20">
        <f t="shared" si="177"/>
        <v>4092763</v>
      </c>
      <c r="M808" s="18"/>
      <c r="N808" s="44"/>
    </row>
    <row r="809" spans="1:14" ht="21" customHeight="1">
      <c r="A809" s="18" t="s">
        <v>1058</v>
      </c>
      <c r="B809" s="18" t="s">
        <v>1059</v>
      </c>
      <c r="C809" s="20">
        <v>1</v>
      </c>
      <c r="D809" s="21" t="s">
        <v>201</v>
      </c>
      <c r="E809" s="20">
        <v>0</v>
      </c>
      <c r="F809" s="20">
        <f t="shared" si="174"/>
        <v>0</v>
      </c>
      <c r="G809" s="20">
        <v>0</v>
      </c>
      <c r="H809" s="20">
        <f t="shared" si="175"/>
        <v>0</v>
      </c>
      <c r="I809" s="20">
        <v>14617010.292399999</v>
      </c>
      <c r="J809" s="20">
        <f t="shared" si="176"/>
        <v>14617010</v>
      </c>
      <c r="K809" s="20">
        <f t="shared" si="177"/>
        <v>14617010.292399999</v>
      </c>
      <c r="L809" s="20">
        <f t="shared" si="177"/>
        <v>14617010</v>
      </c>
      <c r="M809" s="18"/>
      <c r="N809" s="44"/>
    </row>
    <row r="810" spans="1:14" ht="21" customHeight="1">
      <c r="A810" s="18" t="s">
        <v>1060</v>
      </c>
      <c r="B810" s="18" t="s">
        <v>1061</v>
      </c>
      <c r="C810" s="20">
        <v>9</v>
      </c>
      <c r="D810" s="21" t="s">
        <v>1051</v>
      </c>
      <c r="E810" s="20">
        <v>0</v>
      </c>
      <c r="F810" s="20">
        <f t="shared" si="174"/>
        <v>0</v>
      </c>
      <c r="G810" s="20">
        <v>0</v>
      </c>
      <c r="H810" s="20">
        <f t="shared" si="175"/>
        <v>0</v>
      </c>
      <c r="I810" s="20">
        <v>1578636.6279</v>
      </c>
      <c r="J810" s="20">
        <f t="shared" si="176"/>
        <v>14207730</v>
      </c>
      <c r="K810" s="20">
        <f t="shared" si="177"/>
        <v>1578636.6279</v>
      </c>
      <c r="L810" s="20">
        <f t="shared" si="177"/>
        <v>14207730</v>
      </c>
      <c r="M810" s="18"/>
      <c r="N810" s="44"/>
    </row>
    <row r="811" spans="1:14" ht="21" customHeight="1">
      <c r="A811" s="18" t="s">
        <v>1062</v>
      </c>
      <c r="B811" s="18" t="s">
        <v>1063</v>
      </c>
      <c r="C811" s="20">
        <v>3</v>
      </c>
      <c r="D811" s="21" t="s">
        <v>1051</v>
      </c>
      <c r="E811" s="20">
        <v>0</v>
      </c>
      <c r="F811" s="20">
        <f t="shared" si="174"/>
        <v>0</v>
      </c>
      <c r="G811" s="20">
        <v>0</v>
      </c>
      <c r="H811" s="20">
        <f t="shared" si="175"/>
        <v>0</v>
      </c>
      <c r="I811" s="20">
        <v>2455657.3303</v>
      </c>
      <c r="J811" s="20">
        <f t="shared" si="176"/>
        <v>7366972</v>
      </c>
      <c r="K811" s="20">
        <f t="shared" si="177"/>
        <v>2455657.3303</v>
      </c>
      <c r="L811" s="20">
        <f t="shared" si="177"/>
        <v>7366972</v>
      </c>
      <c r="M811" s="18"/>
      <c r="N811" s="44"/>
    </row>
    <row r="812" spans="1:14" ht="21" customHeight="1">
      <c r="A812" s="18" t="s">
        <v>1064</v>
      </c>
      <c r="B812" s="18"/>
      <c r="C812" s="19"/>
      <c r="D812" s="19"/>
      <c r="E812" s="19">
        <v>0</v>
      </c>
      <c r="F812" s="19"/>
      <c r="G812" s="19">
        <v>0</v>
      </c>
      <c r="H812" s="19"/>
      <c r="I812" s="19">
        <v>0</v>
      </c>
      <c r="J812" s="19"/>
      <c r="K812" s="19"/>
      <c r="L812" s="19"/>
      <c r="M812" s="19"/>
      <c r="N812" s="44"/>
    </row>
    <row r="813" spans="1:14" ht="21" customHeight="1">
      <c r="A813" s="18" t="s">
        <v>1065</v>
      </c>
      <c r="B813" s="18" t="s">
        <v>1066</v>
      </c>
      <c r="C813" s="20">
        <v>68</v>
      </c>
      <c r="D813" s="21" t="s">
        <v>950</v>
      </c>
      <c r="E813" s="20">
        <v>0</v>
      </c>
      <c r="F813" s="20">
        <f t="shared" ref="F813:F819" si="178">ROUND(E813*C813,0)</f>
        <v>0</v>
      </c>
      <c r="G813" s="20">
        <v>0</v>
      </c>
      <c r="H813" s="20">
        <f t="shared" ref="H813:H819" si="179">ROUND(G813*C813,0)</f>
        <v>0</v>
      </c>
      <c r="I813" s="20">
        <v>22802.928599999999</v>
      </c>
      <c r="J813" s="20">
        <f t="shared" ref="J813:J819" si="180">ROUND(I813*C813,0)</f>
        <v>1550599</v>
      </c>
      <c r="K813" s="20">
        <f t="shared" ref="K813:L819" si="181">E813+G813+I813</f>
        <v>22802.928599999999</v>
      </c>
      <c r="L813" s="20">
        <f t="shared" si="181"/>
        <v>1550599</v>
      </c>
      <c r="M813" s="18"/>
      <c r="N813" s="44"/>
    </row>
    <row r="814" spans="1:14" ht="21" customHeight="1">
      <c r="A814" s="18" t="s">
        <v>1067</v>
      </c>
      <c r="B814" s="18" t="s">
        <v>1068</v>
      </c>
      <c r="C814" s="20">
        <v>143</v>
      </c>
      <c r="D814" s="21" t="s">
        <v>950</v>
      </c>
      <c r="E814" s="20">
        <v>0</v>
      </c>
      <c r="F814" s="20">
        <f t="shared" si="178"/>
        <v>0</v>
      </c>
      <c r="G814" s="20">
        <v>0</v>
      </c>
      <c r="H814" s="20">
        <f t="shared" si="179"/>
        <v>0</v>
      </c>
      <c r="I814" s="20">
        <v>34496.085399999996</v>
      </c>
      <c r="J814" s="20">
        <f t="shared" si="180"/>
        <v>4932940</v>
      </c>
      <c r="K814" s="20">
        <f t="shared" si="181"/>
        <v>34496.085399999996</v>
      </c>
      <c r="L814" s="20">
        <f t="shared" si="181"/>
        <v>4932940</v>
      </c>
      <c r="M814" s="18"/>
      <c r="N814" s="44"/>
    </row>
    <row r="815" spans="1:14" ht="21" customHeight="1">
      <c r="A815" s="18" t="s">
        <v>1069</v>
      </c>
      <c r="B815" s="18" t="s">
        <v>1070</v>
      </c>
      <c r="C815" s="20">
        <v>224</v>
      </c>
      <c r="D815" s="21" t="s">
        <v>950</v>
      </c>
      <c r="E815" s="20">
        <v>0</v>
      </c>
      <c r="F815" s="20">
        <f t="shared" si="178"/>
        <v>0</v>
      </c>
      <c r="G815" s="20">
        <v>0</v>
      </c>
      <c r="H815" s="20">
        <f t="shared" si="179"/>
        <v>0</v>
      </c>
      <c r="I815" s="20">
        <v>49113.592100000002</v>
      </c>
      <c r="J815" s="20">
        <f t="shared" si="180"/>
        <v>11001445</v>
      </c>
      <c r="K815" s="20">
        <f t="shared" si="181"/>
        <v>49113.592100000002</v>
      </c>
      <c r="L815" s="20">
        <f t="shared" si="181"/>
        <v>11001445</v>
      </c>
      <c r="M815" s="18"/>
      <c r="N815" s="44"/>
    </row>
    <row r="816" spans="1:14" ht="21" customHeight="1">
      <c r="A816" s="18" t="s">
        <v>1071</v>
      </c>
      <c r="B816" s="18" t="s">
        <v>1072</v>
      </c>
      <c r="C816" s="20">
        <v>315</v>
      </c>
      <c r="D816" s="21" t="s">
        <v>231</v>
      </c>
      <c r="E816" s="20">
        <v>0</v>
      </c>
      <c r="F816" s="20">
        <f t="shared" si="178"/>
        <v>0</v>
      </c>
      <c r="G816" s="20">
        <v>0</v>
      </c>
      <c r="H816" s="20">
        <f t="shared" si="179"/>
        <v>0</v>
      </c>
      <c r="I816" s="20">
        <v>29233.952699999998</v>
      </c>
      <c r="J816" s="20">
        <f t="shared" si="180"/>
        <v>9208695</v>
      </c>
      <c r="K816" s="20">
        <f t="shared" si="181"/>
        <v>29233.952699999998</v>
      </c>
      <c r="L816" s="20">
        <f t="shared" si="181"/>
        <v>9208695</v>
      </c>
      <c r="M816" s="18"/>
      <c r="N816" s="44"/>
    </row>
    <row r="817" spans="1:14" ht="21" customHeight="1">
      <c r="A817" s="18" t="s">
        <v>1073</v>
      </c>
      <c r="B817" s="18" t="s">
        <v>1074</v>
      </c>
      <c r="C817" s="20">
        <v>17</v>
      </c>
      <c r="D817" s="21" t="s">
        <v>950</v>
      </c>
      <c r="E817" s="20">
        <v>0</v>
      </c>
      <c r="F817" s="20">
        <f t="shared" si="178"/>
        <v>0</v>
      </c>
      <c r="G817" s="20">
        <v>0</v>
      </c>
      <c r="H817" s="20">
        <f t="shared" si="179"/>
        <v>0</v>
      </c>
      <c r="I817" s="20">
        <v>40927.109499999999</v>
      </c>
      <c r="J817" s="20">
        <f t="shared" si="180"/>
        <v>695761</v>
      </c>
      <c r="K817" s="20">
        <f t="shared" si="181"/>
        <v>40927.109499999999</v>
      </c>
      <c r="L817" s="20">
        <f t="shared" si="181"/>
        <v>695761</v>
      </c>
      <c r="M817" s="18"/>
      <c r="N817" s="44"/>
    </row>
    <row r="818" spans="1:14" ht="21" customHeight="1">
      <c r="A818" s="18" t="s">
        <v>1075</v>
      </c>
      <c r="B818" s="18" t="s">
        <v>1076</v>
      </c>
      <c r="C818" s="20">
        <v>459</v>
      </c>
      <c r="D818" s="21" t="s">
        <v>231</v>
      </c>
      <c r="E818" s="20">
        <v>0</v>
      </c>
      <c r="F818" s="20">
        <f t="shared" si="178"/>
        <v>0</v>
      </c>
      <c r="G818" s="20">
        <v>0</v>
      </c>
      <c r="H818" s="20">
        <f t="shared" si="179"/>
        <v>0</v>
      </c>
      <c r="I818" s="20">
        <v>22217.422200000001</v>
      </c>
      <c r="J818" s="20">
        <f t="shared" si="180"/>
        <v>10197797</v>
      </c>
      <c r="K818" s="20">
        <f t="shared" si="181"/>
        <v>22217.422200000001</v>
      </c>
      <c r="L818" s="20">
        <f t="shared" si="181"/>
        <v>10197797</v>
      </c>
      <c r="M818" s="18"/>
      <c r="N818" s="44"/>
    </row>
    <row r="819" spans="1:14" ht="21" customHeight="1">
      <c r="A819" s="18" t="s">
        <v>1077</v>
      </c>
      <c r="B819" s="18" t="s">
        <v>1078</v>
      </c>
      <c r="C819" s="20">
        <v>10</v>
      </c>
      <c r="D819" s="21" t="s">
        <v>231</v>
      </c>
      <c r="E819" s="20">
        <v>0</v>
      </c>
      <c r="F819" s="20">
        <f t="shared" si="178"/>
        <v>0</v>
      </c>
      <c r="G819" s="20">
        <v>0</v>
      </c>
      <c r="H819" s="20">
        <f t="shared" si="179"/>
        <v>0</v>
      </c>
      <c r="I819" s="20">
        <v>19879.6394</v>
      </c>
      <c r="J819" s="20">
        <f t="shared" si="180"/>
        <v>198796</v>
      </c>
      <c r="K819" s="20">
        <f t="shared" si="181"/>
        <v>19879.6394</v>
      </c>
      <c r="L819" s="20">
        <f t="shared" si="181"/>
        <v>198796</v>
      </c>
      <c r="M819" s="18"/>
      <c r="N819" s="44"/>
    </row>
    <row r="820" spans="1:14" ht="21" customHeight="1">
      <c r="A820" s="18" t="s">
        <v>1079</v>
      </c>
      <c r="B820" s="18"/>
      <c r="C820" s="19"/>
      <c r="D820" s="19"/>
      <c r="E820" s="19">
        <v>0</v>
      </c>
      <c r="F820" s="19"/>
      <c r="G820" s="19">
        <v>0</v>
      </c>
      <c r="H820" s="19"/>
      <c r="I820" s="19">
        <v>0</v>
      </c>
      <c r="J820" s="19"/>
      <c r="K820" s="19"/>
      <c r="L820" s="19"/>
      <c r="M820" s="19"/>
      <c r="N820" s="44"/>
    </row>
    <row r="821" spans="1:14" ht="21" customHeight="1">
      <c r="A821" s="18" t="s">
        <v>1080</v>
      </c>
      <c r="B821" s="18" t="s">
        <v>1081</v>
      </c>
      <c r="C821" s="20">
        <v>4</v>
      </c>
      <c r="D821" s="21" t="s">
        <v>1051</v>
      </c>
      <c r="E821" s="20">
        <v>0</v>
      </c>
      <c r="F821" s="20">
        <f>ROUND(E821*C821,0)</f>
        <v>0</v>
      </c>
      <c r="G821" s="20">
        <v>0</v>
      </c>
      <c r="H821" s="20">
        <f>ROUND(G821*C821,0)</f>
        <v>0</v>
      </c>
      <c r="I821" s="20">
        <v>409276.39850000001</v>
      </c>
      <c r="J821" s="20">
        <f>ROUND(I821*C821,0)</f>
        <v>1637106</v>
      </c>
      <c r="K821" s="20">
        <f t="shared" ref="K821:L825" si="182">E821+G821+I821</f>
        <v>409276.39850000001</v>
      </c>
      <c r="L821" s="20">
        <f t="shared" si="182"/>
        <v>1637106</v>
      </c>
      <c r="M821" s="18"/>
      <c r="N821" s="44"/>
    </row>
    <row r="822" spans="1:14" ht="21" customHeight="1">
      <c r="A822" s="18" t="s">
        <v>1082</v>
      </c>
      <c r="B822" s="18" t="s">
        <v>1083</v>
      </c>
      <c r="C822" s="20">
        <v>24</v>
      </c>
      <c r="D822" s="21" t="s">
        <v>1084</v>
      </c>
      <c r="E822" s="20">
        <v>0</v>
      </c>
      <c r="F822" s="20">
        <f>ROUND(E822*C822,0)</f>
        <v>0</v>
      </c>
      <c r="G822" s="20">
        <v>0</v>
      </c>
      <c r="H822" s="20">
        <f>ROUND(G822*C822,0)</f>
        <v>0</v>
      </c>
      <c r="I822" s="20">
        <v>18709.687299999998</v>
      </c>
      <c r="J822" s="20">
        <f>ROUND(I822*C822,0)</f>
        <v>449032</v>
      </c>
      <c r="K822" s="20">
        <f t="shared" si="182"/>
        <v>18709.687299999998</v>
      </c>
      <c r="L822" s="20">
        <f t="shared" si="182"/>
        <v>449032</v>
      </c>
      <c r="M822" s="18"/>
      <c r="N822" s="44"/>
    </row>
    <row r="823" spans="1:14" ht="21" customHeight="1">
      <c r="A823" s="18" t="s">
        <v>1085</v>
      </c>
      <c r="B823" s="18" t="s">
        <v>1086</v>
      </c>
      <c r="C823" s="20">
        <v>32</v>
      </c>
      <c r="D823" s="21" t="s">
        <v>1084</v>
      </c>
      <c r="E823" s="20">
        <v>0</v>
      </c>
      <c r="F823" s="20">
        <f>ROUND(E823*C823,0)</f>
        <v>0</v>
      </c>
      <c r="G823" s="20">
        <v>0</v>
      </c>
      <c r="H823" s="20">
        <f>ROUND(G823*C823,0)</f>
        <v>0</v>
      </c>
      <c r="I823" s="20">
        <v>15201.9524</v>
      </c>
      <c r="J823" s="20">
        <f>ROUND(I823*C823,0)</f>
        <v>486462</v>
      </c>
      <c r="K823" s="20">
        <f t="shared" si="182"/>
        <v>15201.9524</v>
      </c>
      <c r="L823" s="20">
        <f t="shared" si="182"/>
        <v>486462</v>
      </c>
      <c r="M823" s="18"/>
      <c r="N823" s="44"/>
    </row>
    <row r="824" spans="1:14" ht="21" customHeight="1">
      <c r="A824" s="18" t="s">
        <v>1087</v>
      </c>
      <c r="B824" s="18" t="s">
        <v>1083</v>
      </c>
      <c r="C824" s="20">
        <v>61</v>
      </c>
      <c r="D824" s="21" t="s">
        <v>231</v>
      </c>
      <c r="E824" s="20">
        <v>0</v>
      </c>
      <c r="F824" s="20">
        <f>ROUND(E824*C824,0)</f>
        <v>0</v>
      </c>
      <c r="G824" s="20">
        <v>0</v>
      </c>
      <c r="H824" s="20">
        <f>ROUND(G824*C824,0)</f>
        <v>0</v>
      </c>
      <c r="I824" s="20">
        <v>40927.109499999999</v>
      </c>
      <c r="J824" s="20">
        <f>ROUND(I824*C824,0)</f>
        <v>2496554</v>
      </c>
      <c r="K824" s="20">
        <f t="shared" si="182"/>
        <v>40927.109499999999</v>
      </c>
      <c r="L824" s="20">
        <f t="shared" si="182"/>
        <v>2496554</v>
      </c>
      <c r="M824" s="18"/>
      <c r="N824" s="44"/>
    </row>
    <row r="825" spans="1:14" ht="21" customHeight="1">
      <c r="A825" s="18" t="s">
        <v>1088</v>
      </c>
      <c r="B825" s="18" t="s">
        <v>1089</v>
      </c>
      <c r="C825" s="20">
        <v>48</v>
      </c>
      <c r="D825" s="21" t="s">
        <v>231</v>
      </c>
      <c r="E825" s="20">
        <v>0</v>
      </c>
      <c r="F825" s="20">
        <f>ROUND(E825*C825,0)</f>
        <v>0</v>
      </c>
      <c r="G825" s="20">
        <v>0</v>
      </c>
      <c r="H825" s="20">
        <f>ROUND(G825*C825,0)</f>
        <v>0</v>
      </c>
      <c r="I825" s="20">
        <v>146169.7635</v>
      </c>
      <c r="J825" s="20">
        <f>ROUND(I825*C825,0)</f>
        <v>7016149</v>
      </c>
      <c r="K825" s="20">
        <f t="shared" si="182"/>
        <v>146169.7635</v>
      </c>
      <c r="L825" s="20">
        <f t="shared" si="182"/>
        <v>7016149</v>
      </c>
      <c r="M825" s="18"/>
      <c r="N825" s="44"/>
    </row>
    <row r="826" spans="1:14" ht="21" customHeight="1">
      <c r="A826" s="18" t="s">
        <v>1090</v>
      </c>
      <c r="B826" s="18"/>
      <c r="C826" s="19"/>
      <c r="D826" s="19"/>
      <c r="E826" s="19">
        <v>0</v>
      </c>
      <c r="F826" s="19"/>
      <c r="G826" s="19">
        <v>0</v>
      </c>
      <c r="H826" s="19"/>
      <c r="I826" s="19">
        <v>0</v>
      </c>
      <c r="J826" s="19"/>
      <c r="K826" s="19"/>
      <c r="L826" s="19"/>
      <c r="M826" s="19"/>
      <c r="N826" s="44"/>
    </row>
    <row r="827" spans="1:14" ht="21" customHeight="1">
      <c r="A827" s="18" t="s">
        <v>1027</v>
      </c>
      <c r="B827" s="18"/>
      <c r="C827" s="19"/>
      <c r="D827" s="19"/>
      <c r="E827" s="19">
        <v>0</v>
      </c>
      <c r="F827" s="19"/>
      <c r="G827" s="19">
        <v>0</v>
      </c>
      <c r="H827" s="19"/>
      <c r="I827" s="19">
        <v>0</v>
      </c>
      <c r="J827" s="19"/>
      <c r="K827" s="19"/>
      <c r="L827" s="19"/>
      <c r="M827" s="19"/>
      <c r="N827" s="44"/>
    </row>
    <row r="828" spans="1:14" ht="21" customHeight="1">
      <c r="A828" s="18" t="s">
        <v>1028</v>
      </c>
      <c r="B828" s="18" t="s">
        <v>1029</v>
      </c>
      <c r="C828" s="20">
        <v>9</v>
      </c>
      <c r="D828" s="21" t="s">
        <v>190</v>
      </c>
      <c r="E828" s="20">
        <v>0</v>
      </c>
      <c r="F828" s="20">
        <f t="shared" ref="F828:F842" si="183">ROUND(E828*C828,0)</f>
        <v>0</v>
      </c>
      <c r="G828" s="20">
        <v>0</v>
      </c>
      <c r="H828" s="20">
        <f t="shared" ref="H828:H842" si="184">ROUND(G828*C828,0)</f>
        <v>0</v>
      </c>
      <c r="I828" s="20">
        <v>643148.02009999997</v>
      </c>
      <c r="J828" s="20">
        <f t="shared" ref="J828:J842" si="185">ROUND(I828*C828,0)</f>
        <v>5788332</v>
      </c>
      <c r="K828" s="20">
        <f t="shared" ref="K828:K842" si="186">E828+G828+I828</f>
        <v>643148.02009999997</v>
      </c>
      <c r="L828" s="20">
        <f t="shared" ref="L828:L842" si="187">F828+H828+J828</f>
        <v>5788332</v>
      </c>
      <c r="M828" s="18"/>
      <c r="N828" s="44"/>
    </row>
    <row r="829" spans="1:14" ht="21" customHeight="1">
      <c r="A829" s="18" t="s">
        <v>1030</v>
      </c>
      <c r="B829" s="18" t="s">
        <v>1031</v>
      </c>
      <c r="C829" s="20">
        <v>27</v>
      </c>
      <c r="D829" s="21" t="s">
        <v>190</v>
      </c>
      <c r="E829" s="20">
        <v>0</v>
      </c>
      <c r="F829" s="20">
        <f t="shared" si="183"/>
        <v>0</v>
      </c>
      <c r="G829" s="20">
        <v>0</v>
      </c>
      <c r="H829" s="20">
        <f t="shared" si="184"/>
        <v>0</v>
      </c>
      <c r="I829" s="20">
        <v>993956.51319999993</v>
      </c>
      <c r="J829" s="20">
        <f t="shared" si="185"/>
        <v>26836826</v>
      </c>
      <c r="K829" s="20">
        <f t="shared" si="186"/>
        <v>993956.51319999993</v>
      </c>
      <c r="L829" s="20">
        <f t="shared" si="187"/>
        <v>26836826</v>
      </c>
      <c r="M829" s="18"/>
      <c r="N829" s="44"/>
    </row>
    <row r="830" spans="1:14" ht="21" customHeight="1">
      <c r="A830" s="18" t="s">
        <v>1032</v>
      </c>
      <c r="B830" s="18" t="s">
        <v>1033</v>
      </c>
      <c r="C830" s="20">
        <v>11</v>
      </c>
      <c r="D830" s="21" t="s">
        <v>190</v>
      </c>
      <c r="E830" s="20">
        <v>0</v>
      </c>
      <c r="F830" s="20">
        <f t="shared" si="183"/>
        <v>0</v>
      </c>
      <c r="G830" s="20">
        <v>0</v>
      </c>
      <c r="H830" s="20">
        <f t="shared" si="184"/>
        <v>0</v>
      </c>
      <c r="I830" s="20">
        <v>175403.7162</v>
      </c>
      <c r="J830" s="20">
        <f t="shared" si="185"/>
        <v>1929441</v>
      </c>
      <c r="K830" s="20">
        <f t="shared" si="186"/>
        <v>175403.7162</v>
      </c>
      <c r="L830" s="20">
        <f t="shared" si="187"/>
        <v>1929441</v>
      </c>
      <c r="M830" s="18"/>
      <c r="N830" s="44"/>
    </row>
    <row r="831" spans="1:14" ht="21" customHeight="1">
      <c r="A831" s="18" t="s">
        <v>1034</v>
      </c>
      <c r="B831" s="18" t="s">
        <v>1035</v>
      </c>
      <c r="C831" s="20">
        <v>3</v>
      </c>
      <c r="D831" s="21" t="s">
        <v>190</v>
      </c>
      <c r="E831" s="20">
        <v>0</v>
      </c>
      <c r="F831" s="20">
        <f t="shared" si="183"/>
        <v>0</v>
      </c>
      <c r="G831" s="20">
        <v>0</v>
      </c>
      <c r="H831" s="20">
        <f t="shared" si="184"/>
        <v>0</v>
      </c>
      <c r="I831" s="20">
        <v>140323.1851</v>
      </c>
      <c r="J831" s="20">
        <f t="shared" si="185"/>
        <v>420970</v>
      </c>
      <c r="K831" s="20">
        <f t="shared" si="186"/>
        <v>140323.1851</v>
      </c>
      <c r="L831" s="20">
        <f t="shared" si="187"/>
        <v>420970</v>
      </c>
      <c r="M831" s="18"/>
      <c r="N831" s="44"/>
    </row>
    <row r="832" spans="1:14" ht="21" customHeight="1">
      <c r="A832" s="18" t="s">
        <v>1036</v>
      </c>
      <c r="B832" s="18" t="s">
        <v>1037</v>
      </c>
      <c r="C832" s="20">
        <v>14</v>
      </c>
      <c r="D832" s="21" t="s">
        <v>190</v>
      </c>
      <c r="E832" s="20">
        <v>0</v>
      </c>
      <c r="F832" s="20">
        <f t="shared" si="183"/>
        <v>0</v>
      </c>
      <c r="G832" s="20">
        <v>0</v>
      </c>
      <c r="H832" s="20">
        <f t="shared" si="184"/>
        <v>0</v>
      </c>
      <c r="I832" s="20">
        <v>175403.7162</v>
      </c>
      <c r="J832" s="20">
        <f t="shared" si="185"/>
        <v>2455652</v>
      </c>
      <c r="K832" s="20">
        <f t="shared" si="186"/>
        <v>175403.7162</v>
      </c>
      <c r="L832" s="20">
        <f t="shared" si="187"/>
        <v>2455652</v>
      </c>
      <c r="M832" s="18"/>
      <c r="N832" s="44"/>
    </row>
    <row r="833" spans="1:14" ht="21" customHeight="1">
      <c r="A833" s="18" t="s">
        <v>1038</v>
      </c>
      <c r="B833" s="18" t="s">
        <v>1039</v>
      </c>
      <c r="C833" s="20">
        <v>5</v>
      </c>
      <c r="D833" s="21" t="s">
        <v>190</v>
      </c>
      <c r="E833" s="20">
        <v>0</v>
      </c>
      <c r="F833" s="20">
        <f t="shared" si="183"/>
        <v>0</v>
      </c>
      <c r="G833" s="20">
        <v>0</v>
      </c>
      <c r="H833" s="20">
        <f t="shared" si="184"/>
        <v>0</v>
      </c>
      <c r="I833" s="20">
        <v>140323.1851</v>
      </c>
      <c r="J833" s="20">
        <f t="shared" si="185"/>
        <v>701616</v>
      </c>
      <c r="K833" s="20">
        <f t="shared" si="186"/>
        <v>140323.1851</v>
      </c>
      <c r="L833" s="20">
        <f t="shared" si="187"/>
        <v>701616</v>
      </c>
      <c r="M833" s="18"/>
      <c r="N833" s="44"/>
    </row>
    <row r="834" spans="1:14" ht="21" customHeight="1">
      <c r="A834" s="18" t="s">
        <v>1040</v>
      </c>
      <c r="B834" s="18" t="s">
        <v>1039</v>
      </c>
      <c r="C834" s="20">
        <v>6</v>
      </c>
      <c r="D834" s="21" t="s">
        <v>190</v>
      </c>
      <c r="E834" s="20">
        <v>0</v>
      </c>
      <c r="F834" s="20">
        <f t="shared" si="183"/>
        <v>0</v>
      </c>
      <c r="G834" s="20">
        <v>0</v>
      </c>
      <c r="H834" s="20">
        <f t="shared" si="184"/>
        <v>0</v>
      </c>
      <c r="I834" s="20">
        <v>140323.1851</v>
      </c>
      <c r="J834" s="20">
        <f t="shared" si="185"/>
        <v>841939</v>
      </c>
      <c r="K834" s="20">
        <f t="shared" si="186"/>
        <v>140323.1851</v>
      </c>
      <c r="L834" s="20">
        <f t="shared" si="187"/>
        <v>841939</v>
      </c>
      <c r="M834" s="18"/>
      <c r="N834" s="44"/>
    </row>
    <row r="835" spans="1:14" ht="21" customHeight="1">
      <c r="A835" s="18" t="s">
        <v>1091</v>
      </c>
      <c r="B835" s="18" t="s">
        <v>1042</v>
      </c>
      <c r="C835" s="20">
        <v>6</v>
      </c>
      <c r="D835" s="21" t="s">
        <v>190</v>
      </c>
      <c r="E835" s="20">
        <v>0</v>
      </c>
      <c r="F835" s="20">
        <f t="shared" si="183"/>
        <v>0</v>
      </c>
      <c r="G835" s="20">
        <v>0</v>
      </c>
      <c r="H835" s="20">
        <f t="shared" si="184"/>
        <v>0</v>
      </c>
      <c r="I835" s="20">
        <v>175403.7162</v>
      </c>
      <c r="J835" s="20">
        <f t="shared" si="185"/>
        <v>1052422</v>
      </c>
      <c r="K835" s="20">
        <f t="shared" si="186"/>
        <v>175403.7162</v>
      </c>
      <c r="L835" s="20">
        <f t="shared" si="187"/>
        <v>1052422</v>
      </c>
      <c r="M835" s="18"/>
      <c r="N835" s="44"/>
    </row>
    <row r="836" spans="1:14" ht="21" customHeight="1">
      <c r="A836" s="18" t="s">
        <v>1092</v>
      </c>
      <c r="B836" s="18" t="s">
        <v>1042</v>
      </c>
      <c r="C836" s="20">
        <v>5</v>
      </c>
      <c r="D836" s="21" t="s">
        <v>190</v>
      </c>
      <c r="E836" s="20">
        <v>0</v>
      </c>
      <c r="F836" s="20">
        <f t="shared" si="183"/>
        <v>0</v>
      </c>
      <c r="G836" s="20">
        <v>0</v>
      </c>
      <c r="H836" s="20">
        <f t="shared" si="184"/>
        <v>0</v>
      </c>
      <c r="I836" s="20">
        <v>175403.7162</v>
      </c>
      <c r="J836" s="20">
        <f t="shared" si="185"/>
        <v>877019</v>
      </c>
      <c r="K836" s="20">
        <f t="shared" si="186"/>
        <v>175403.7162</v>
      </c>
      <c r="L836" s="20">
        <f t="shared" si="187"/>
        <v>877019</v>
      </c>
      <c r="M836" s="18"/>
      <c r="N836" s="44"/>
    </row>
    <row r="837" spans="1:14" ht="21" customHeight="1">
      <c r="A837" s="18" t="s">
        <v>1093</v>
      </c>
      <c r="B837" s="18" t="s">
        <v>1042</v>
      </c>
      <c r="C837" s="20">
        <v>5</v>
      </c>
      <c r="D837" s="21" t="s">
        <v>190</v>
      </c>
      <c r="E837" s="20">
        <v>0</v>
      </c>
      <c r="F837" s="20">
        <f t="shared" si="183"/>
        <v>0</v>
      </c>
      <c r="G837" s="20">
        <v>0</v>
      </c>
      <c r="H837" s="20">
        <f t="shared" si="184"/>
        <v>0</v>
      </c>
      <c r="I837" s="20">
        <v>175403.7162</v>
      </c>
      <c r="J837" s="20">
        <f t="shared" si="185"/>
        <v>877019</v>
      </c>
      <c r="K837" s="20">
        <f t="shared" si="186"/>
        <v>175403.7162</v>
      </c>
      <c r="L837" s="20">
        <f t="shared" si="187"/>
        <v>877019</v>
      </c>
      <c r="M837" s="18"/>
      <c r="N837" s="44"/>
    </row>
    <row r="838" spans="1:14" ht="21" customHeight="1">
      <c r="A838" s="18" t="s">
        <v>1094</v>
      </c>
      <c r="B838" s="18" t="s">
        <v>1044</v>
      </c>
      <c r="C838" s="20">
        <v>160</v>
      </c>
      <c r="D838" s="21" t="s">
        <v>190</v>
      </c>
      <c r="E838" s="20">
        <v>0</v>
      </c>
      <c r="F838" s="20">
        <f t="shared" si="183"/>
        <v>0</v>
      </c>
      <c r="G838" s="20">
        <v>0</v>
      </c>
      <c r="H838" s="20">
        <f t="shared" si="184"/>
        <v>0</v>
      </c>
      <c r="I838" s="20">
        <v>4093.2412999999997</v>
      </c>
      <c r="J838" s="20">
        <f t="shared" si="185"/>
        <v>654919</v>
      </c>
      <c r="K838" s="20">
        <f t="shared" si="186"/>
        <v>4093.2412999999997</v>
      </c>
      <c r="L838" s="20">
        <f t="shared" si="187"/>
        <v>654919</v>
      </c>
      <c r="M838" s="18"/>
      <c r="N838" s="44"/>
    </row>
    <row r="839" spans="1:14" ht="21" customHeight="1">
      <c r="A839" s="18" t="s">
        <v>1095</v>
      </c>
      <c r="B839" s="18" t="s">
        <v>1044</v>
      </c>
      <c r="C839" s="20">
        <v>800</v>
      </c>
      <c r="D839" s="21" t="s">
        <v>190</v>
      </c>
      <c r="E839" s="20">
        <v>0</v>
      </c>
      <c r="F839" s="20">
        <f t="shared" si="183"/>
        <v>0</v>
      </c>
      <c r="G839" s="20">
        <v>0</v>
      </c>
      <c r="H839" s="20">
        <f t="shared" si="184"/>
        <v>0</v>
      </c>
      <c r="I839" s="20">
        <v>4093.2412999999997</v>
      </c>
      <c r="J839" s="20">
        <f t="shared" si="185"/>
        <v>3274593</v>
      </c>
      <c r="K839" s="20">
        <f t="shared" si="186"/>
        <v>4093.2412999999997</v>
      </c>
      <c r="L839" s="20">
        <f t="shared" si="187"/>
        <v>3274593</v>
      </c>
      <c r="M839" s="18"/>
      <c r="N839" s="44"/>
    </row>
    <row r="840" spans="1:14" ht="21" customHeight="1">
      <c r="A840" s="18" t="s">
        <v>1096</v>
      </c>
      <c r="B840" s="18" t="s">
        <v>1044</v>
      </c>
      <c r="C840" s="20">
        <v>330</v>
      </c>
      <c r="D840" s="21" t="s">
        <v>190</v>
      </c>
      <c r="E840" s="20">
        <v>0</v>
      </c>
      <c r="F840" s="20">
        <f t="shared" si="183"/>
        <v>0</v>
      </c>
      <c r="G840" s="20">
        <v>0</v>
      </c>
      <c r="H840" s="20">
        <f t="shared" si="184"/>
        <v>0</v>
      </c>
      <c r="I840" s="20">
        <v>4093.2412999999997</v>
      </c>
      <c r="J840" s="20">
        <f t="shared" si="185"/>
        <v>1350770</v>
      </c>
      <c r="K840" s="20">
        <f t="shared" si="186"/>
        <v>4093.2412999999997</v>
      </c>
      <c r="L840" s="20">
        <f t="shared" si="187"/>
        <v>1350770</v>
      </c>
      <c r="M840" s="18"/>
      <c r="N840" s="44"/>
    </row>
    <row r="841" spans="1:14" ht="21" customHeight="1">
      <c r="A841" s="18" t="s">
        <v>1097</v>
      </c>
      <c r="B841" s="18" t="s">
        <v>1098</v>
      </c>
      <c r="C841" s="20">
        <v>720</v>
      </c>
      <c r="D841" s="21" t="s">
        <v>190</v>
      </c>
      <c r="E841" s="20">
        <v>0</v>
      </c>
      <c r="F841" s="20">
        <f t="shared" si="183"/>
        <v>0</v>
      </c>
      <c r="G841" s="20">
        <v>0</v>
      </c>
      <c r="H841" s="20">
        <f t="shared" si="184"/>
        <v>0</v>
      </c>
      <c r="I841" s="20">
        <v>4093.2412999999997</v>
      </c>
      <c r="J841" s="20">
        <f t="shared" si="185"/>
        <v>2947134</v>
      </c>
      <c r="K841" s="20">
        <f t="shared" si="186"/>
        <v>4093.2412999999997</v>
      </c>
      <c r="L841" s="20">
        <f t="shared" si="187"/>
        <v>2947134</v>
      </c>
      <c r="M841" s="18"/>
      <c r="N841" s="44"/>
    </row>
    <row r="842" spans="1:14" ht="21" customHeight="1">
      <c r="A842" s="18" t="s">
        <v>1099</v>
      </c>
      <c r="B842" s="18" t="s">
        <v>1047</v>
      </c>
      <c r="C842" s="20">
        <v>1100</v>
      </c>
      <c r="D842" s="21" t="s">
        <v>950</v>
      </c>
      <c r="E842" s="20">
        <v>0</v>
      </c>
      <c r="F842" s="20">
        <f t="shared" si="183"/>
        <v>0</v>
      </c>
      <c r="G842" s="20">
        <v>0</v>
      </c>
      <c r="H842" s="20">
        <f t="shared" si="184"/>
        <v>0</v>
      </c>
      <c r="I842" s="20">
        <v>19879.6394</v>
      </c>
      <c r="J842" s="20">
        <f t="shared" si="185"/>
        <v>21867603</v>
      </c>
      <c r="K842" s="20">
        <f t="shared" si="186"/>
        <v>19879.6394</v>
      </c>
      <c r="L842" s="20">
        <f t="shared" si="187"/>
        <v>21867603</v>
      </c>
      <c r="M842" s="18"/>
      <c r="N842" s="44"/>
    </row>
    <row r="843" spans="1:14" ht="21" customHeight="1">
      <c r="A843" s="18" t="s">
        <v>1048</v>
      </c>
      <c r="B843" s="18"/>
      <c r="C843" s="19"/>
      <c r="D843" s="19"/>
      <c r="E843" s="19">
        <v>0</v>
      </c>
      <c r="F843" s="19"/>
      <c r="G843" s="19">
        <v>0</v>
      </c>
      <c r="H843" s="19"/>
      <c r="I843" s="19">
        <v>0</v>
      </c>
      <c r="J843" s="19"/>
      <c r="K843" s="19"/>
      <c r="L843" s="19"/>
      <c r="M843" s="19"/>
      <c r="N843" s="44"/>
    </row>
    <row r="844" spans="1:14" ht="21" customHeight="1">
      <c r="A844" s="18" t="s">
        <v>1100</v>
      </c>
      <c r="B844" s="18" t="s">
        <v>1101</v>
      </c>
      <c r="C844" s="20">
        <v>1</v>
      </c>
      <c r="D844" s="21" t="s">
        <v>1051</v>
      </c>
      <c r="E844" s="20">
        <v>0</v>
      </c>
      <c r="F844" s="20">
        <f t="shared" ref="F844:F851" si="188">ROUND(E844*C844,0)</f>
        <v>0</v>
      </c>
      <c r="G844" s="20">
        <v>0</v>
      </c>
      <c r="H844" s="20">
        <f t="shared" ref="H844:H851" si="189">ROUND(G844*C844,0)</f>
        <v>0</v>
      </c>
      <c r="I844" s="20">
        <v>4092762.9243000001</v>
      </c>
      <c r="J844" s="20">
        <f t="shared" ref="J844:J851" si="190">ROUND(I844*C844,0)</f>
        <v>4092763</v>
      </c>
      <c r="K844" s="20">
        <f t="shared" ref="K844:L851" si="191">E844+G844+I844</f>
        <v>4092762.9243000001</v>
      </c>
      <c r="L844" s="20">
        <f t="shared" si="191"/>
        <v>4092763</v>
      </c>
      <c r="M844" s="18"/>
      <c r="N844" s="44"/>
    </row>
    <row r="845" spans="1:14" ht="21" customHeight="1">
      <c r="A845" s="18" t="s">
        <v>1102</v>
      </c>
      <c r="B845" s="18" t="s">
        <v>1103</v>
      </c>
      <c r="C845" s="20">
        <v>1</v>
      </c>
      <c r="D845" s="21" t="s">
        <v>1051</v>
      </c>
      <c r="E845" s="20">
        <v>0</v>
      </c>
      <c r="F845" s="20">
        <f t="shared" si="188"/>
        <v>0</v>
      </c>
      <c r="G845" s="20">
        <v>0</v>
      </c>
      <c r="H845" s="20">
        <f t="shared" si="189"/>
        <v>0</v>
      </c>
      <c r="I845" s="20">
        <v>4677443.0389999999</v>
      </c>
      <c r="J845" s="20">
        <f t="shared" si="190"/>
        <v>4677443</v>
      </c>
      <c r="K845" s="20">
        <f t="shared" si="191"/>
        <v>4677443.0389999999</v>
      </c>
      <c r="L845" s="20">
        <f t="shared" si="191"/>
        <v>4677443</v>
      </c>
      <c r="M845" s="18"/>
      <c r="N845" s="44"/>
    </row>
    <row r="846" spans="1:14" ht="21" customHeight="1">
      <c r="A846" s="18" t="s">
        <v>1104</v>
      </c>
      <c r="B846" s="18" t="s">
        <v>1105</v>
      </c>
      <c r="C846" s="20">
        <v>1</v>
      </c>
      <c r="D846" s="21" t="s">
        <v>1051</v>
      </c>
      <c r="E846" s="20">
        <v>0</v>
      </c>
      <c r="F846" s="20">
        <f t="shared" si="188"/>
        <v>0</v>
      </c>
      <c r="G846" s="20">
        <v>0</v>
      </c>
      <c r="H846" s="20">
        <f t="shared" si="189"/>
        <v>0</v>
      </c>
      <c r="I846" s="20">
        <v>4092762.9243000001</v>
      </c>
      <c r="J846" s="20">
        <f t="shared" si="190"/>
        <v>4092763</v>
      </c>
      <c r="K846" s="20">
        <f t="shared" si="191"/>
        <v>4092762.9243000001</v>
      </c>
      <c r="L846" s="20">
        <f t="shared" si="191"/>
        <v>4092763</v>
      </c>
      <c r="M846" s="18"/>
      <c r="N846" s="44"/>
    </row>
    <row r="847" spans="1:14" ht="21" customHeight="1">
      <c r="A847" s="18" t="s">
        <v>1106</v>
      </c>
      <c r="B847" s="18" t="s">
        <v>1107</v>
      </c>
      <c r="C847" s="20">
        <v>1</v>
      </c>
      <c r="D847" s="21" t="s">
        <v>201</v>
      </c>
      <c r="E847" s="20">
        <v>0</v>
      </c>
      <c r="F847" s="20">
        <f t="shared" si="188"/>
        <v>0</v>
      </c>
      <c r="G847" s="20">
        <v>0</v>
      </c>
      <c r="H847" s="20">
        <f t="shared" si="189"/>
        <v>0</v>
      </c>
      <c r="I847" s="20">
        <v>14617010.292399999</v>
      </c>
      <c r="J847" s="20">
        <f t="shared" si="190"/>
        <v>14617010</v>
      </c>
      <c r="K847" s="20">
        <f t="shared" si="191"/>
        <v>14617010.292399999</v>
      </c>
      <c r="L847" s="20">
        <f t="shared" si="191"/>
        <v>14617010</v>
      </c>
      <c r="M847" s="18"/>
      <c r="N847" s="44"/>
    </row>
    <row r="848" spans="1:14" ht="21" customHeight="1">
      <c r="A848" s="18" t="s">
        <v>1108</v>
      </c>
      <c r="B848" s="18" t="s">
        <v>1109</v>
      </c>
      <c r="C848" s="20">
        <v>3</v>
      </c>
      <c r="D848" s="21" t="s">
        <v>1051</v>
      </c>
      <c r="E848" s="20">
        <v>0</v>
      </c>
      <c r="F848" s="20">
        <f t="shared" si="188"/>
        <v>0</v>
      </c>
      <c r="G848" s="20">
        <v>0</v>
      </c>
      <c r="H848" s="20">
        <f t="shared" si="189"/>
        <v>0</v>
      </c>
      <c r="I848" s="20">
        <v>1578636.6279</v>
      </c>
      <c r="J848" s="20">
        <f t="shared" si="190"/>
        <v>4735910</v>
      </c>
      <c r="K848" s="20">
        <f t="shared" si="191"/>
        <v>1578636.6279</v>
      </c>
      <c r="L848" s="20">
        <f t="shared" si="191"/>
        <v>4735910</v>
      </c>
      <c r="M848" s="18"/>
      <c r="N848" s="44"/>
    </row>
    <row r="849" spans="1:14" ht="21" customHeight="1">
      <c r="A849" s="18" t="s">
        <v>1060</v>
      </c>
      <c r="B849" s="18" t="s">
        <v>1061</v>
      </c>
      <c r="C849" s="20">
        <v>4</v>
      </c>
      <c r="D849" s="21" t="s">
        <v>1051</v>
      </c>
      <c r="E849" s="20">
        <v>0</v>
      </c>
      <c r="F849" s="20">
        <f t="shared" si="188"/>
        <v>0</v>
      </c>
      <c r="G849" s="20">
        <v>0</v>
      </c>
      <c r="H849" s="20">
        <f t="shared" si="189"/>
        <v>0</v>
      </c>
      <c r="I849" s="20">
        <v>1578636.6279</v>
      </c>
      <c r="J849" s="20">
        <f t="shared" si="190"/>
        <v>6314547</v>
      </c>
      <c r="K849" s="20">
        <f t="shared" si="191"/>
        <v>1578636.6279</v>
      </c>
      <c r="L849" s="20">
        <f t="shared" si="191"/>
        <v>6314547</v>
      </c>
      <c r="M849" s="18"/>
      <c r="N849" s="44"/>
    </row>
    <row r="850" spans="1:14" ht="21" customHeight="1">
      <c r="A850" s="18" t="s">
        <v>1062</v>
      </c>
      <c r="B850" s="18" t="s">
        <v>1063</v>
      </c>
      <c r="C850" s="20">
        <v>3</v>
      </c>
      <c r="D850" s="21" t="s">
        <v>1051</v>
      </c>
      <c r="E850" s="20">
        <v>0</v>
      </c>
      <c r="F850" s="20">
        <f t="shared" si="188"/>
        <v>0</v>
      </c>
      <c r="G850" s="20">
        <v>0</v>
      </c>
      <c r="H850" s="20">
        <f t="shared" si="189"/>
        <v>0</v>
      </c>
      <c r="I850" s="20">
        <v>2455657.3303</v>
      </c>
      <c r="J850" s="20">
        <f t="shared" si="190"/>
        <v>7366972</v>
      </c>
      <c r="K850" s="20">
        <f t="shared" si="191"/>
        <v>2455657.3303</v>
      </c>
      <c r="L850" s="20">
        <f t="shared" si="191"/>
        <v>7366972</v>
      </c>
      <c r="M850" s="18"/>
      <c r="N850" s="44"/>
    </row>
    <row r="851" spans="1:14" ht="21" customHeight="1">
      <c r="A851" s="18" t="s">
        <v>1110</v>
      </c>
      <c r="B851" s="18" t="s">
        <v>1063</v>
      </c>
      <c r="C851" s="20">
        <v>23</v>
      </c>
      <c r="D851" s="21" t="s">
        <v>1111</v>
      </c>
      <c r="E851" s="20">
        <v>0</v>
      </c>
      <c r="F851" s="20">
        <f t="shared" si="188"/>
        <v>0</v>
      </c>
      <c r="G851" s="20">
        <v>0</v>
      </c>
      <c r="H851" s="20">
        <f t="shared" si="189"/>
        <v>0</v>
      </c>
      <c r="I851" s="20">
        <v>55544.616199999997</v>
      </c>
      <c r="J851" s="20">
        <f t="shared" si="190"/>
        <v>1277526</v>
      </c>
      <c r="K851" s="20">
        <f t="shared" si="191"/>
        <v>55544.616199999997</v>
      </c>
      <c r="L851" s="20">
        <f t="shared" si="191"/>
        <v>1277526</v>
      </c>
      <c r="M851" s="18"/>
      <c r="N851" s="44"/>
    </row>
    <row r="852" spans="1:14" ht="21" customHeight="1">
      <c r="A852" s="18" t="s">
        <v>1064</v>
      </c>
      <c r="B852" s="18"/>
      <c r="C852" s="19"/>
      <c r="D852" s="19"/>
      <c r="E852" s="19">
        <v>0</v>
      </c>
      <c r="F852" s="19"/>
      <c r="G852" s="19">
        <v>0</v>
      </c>
      <c r="H852" s="19"/>
      <c r="I852" s="19">
        <v>0</v>
      </c>
      <c r="J852" s="19"/>
      <c r="K852" s="19"/>
      <c r="L852" s="19"/>
      <c r="M852" s="19"/>
      <c r="N852" s="44"/>
    </row>
    <row r="853" spans="1:14" ht="21" customHeight="1">
      <c r="A853" s="18" t="s">
        <v>1065</v>
      </c>
      <c r="B853" s="18" t="s">
        <v>1066</v>
      </c>
      <c r="C853" s="20">
        <v>122</v>
      </c>
      <c r="D853" s="21" t="s">
        <v>950</v>
      </c>
      <c r="E853" s="20">
        <v>0</v>
      </c>
      <c r="F853" s="20">
        <f t="shared" ref="F853:F858" si="192">ROUND(E853*C853,0)</f>
        <v>0</v>
      </c>
      <c r="G853" s="20">
        <v>0</v>
      </c>
      <c r="H853" s="20">
        <f t="shared" ref="H853:H858" si="193">ROUND(G853*C853,0)</f>
        <v>0</v>
      </c>
      <c r="I853" s="20">
        <v>22802.928599999999</v>
      </c>
      <c r="J853" s="20">
        <f t="shared" ref="J853:J858" si="194">ROUND(I853*C853,0)</f>
        <v>2781957</v>
      </c>
      <c r="K853" s="20">
        <f t="shared" ref="K853:L858" si="195">E853+G853+I853</f>
        <v>22802.928599999999</v>
      </c>
      <c r="L853" s="20">
        <f t="shared" si="195"/>
        <v>2781957</v>
      </c>
      <c r="M853" s="18"/>
      <c r="N853" s="44"/>
    </row>
    <row r="854" spans="1:14" ht="21" customHeight="1">
      <c r="A854" s="18" t="s">
        <v>1067</v>
      </c>
      <c r="B854" s="18" t="s">
        <v>1068</v>
      </c>
      <c r="C854" s="20">
        <v>21</v>
      </c>
      <c r="D854" s="21" t="s">
        <v>950</v>
      </c>
      <c r="E854" s="20">
        <v>0</v>
      </c>
      <c r="F854" s="20">
        <f t="shared" si="192"/>
        <v>0</v>
      </c>
      <c r="G854" s="20">
        <v>0</v>
      </c>
      <c r="H854" s="20">
        <f t="shared" si="193"/>
        <v>0</v>
      </c>
      <c r="I854" s="20">
        <v>34496.085399999996</v>
      </c>
      <c r="J854" s="20">
        <f t="shared" si="194"/>
        <v>724418</v>
      </c>
      <c r="K854" s="20">
        <f t="shared" si="195"/>
        <v>34496.085399999996</v>
      </c>
      <c r="L854" s="20">
        <f t="shared" si="195"/>
        <v>724418</v>
      </c>
      <c r="M854" s="18"/>
      <c r="N854" s="44"/>
    </row>
    <row r="855" spans="1:14" ht="21" customHeight="1">
      <c r="A855" s="18" t="s">
        <v>1069</v>
      </c>
      <c r="B855" s="18" t="s">
        <v>1070</v>
      </c>
      <c r="C855" s="20">
        <v>169</v>
      </c>
      <c r="D855" s="21" t="s">
        <v>950</v>
      </c>
      <c r="E855" s="20">
        <v>0</v>
      </c>
      <c r="F855" s="20">
        <f t="shared" si="192"/>
        <v>0</v>
      </c>
      <c r="G855" s="20">
        <v>0</v>
      </c>
      <c r="H855" s="20">
        <f t="shared" si="193"/>
        <v>0</v>
      </c>
      <c r="I855" s="20">
        <v>49113.592100000002</v>
      </c>
      <c r="J855" s="20">
        <f t="shared" si="194"/>
        <v>8300197</v>
      </c>
      <c r="K855" s="20">
        <f t="shared" si="195"/>
        <v>49113.592100000002</v>
      </c>
      <c r="L855" s="20">
        <f t="shared" si="195"/>
        <v>8300197</v>
      </c>
      <c r="M855" s="18"/>
      <c r="N855" s="44"/>
    </row>
    <row r="856" spans="1:14" ht="21" customHeight="1">
      <c r="A856" s="18" t="s">
        <v>1071</v>
      </c>
      <c r="B856" s="18" t="s">
        <v>1072</v>
      </c>
      <c r="C856" s="20">
        <v>225</v>
      </c>
      <c r="D856" s="21" t="s">
        <v>231</v>
      </c>
      <c r="E856" s="20">
        <v>0</v>
      </c>
      <c r="F856" s="20">
        <f t="shared" si="192"/>
        <v>0</v>
      </c>
      <c r="G856" s="20">
        <v>0</v>
      </c>
      <c r="H856" s="20">
        <f t="shared" si="193"/>
        <v>0</v>
      </c>
      <c r="I856" s="20">
        <v>29233.952699999998</v>
      </c>
      <c r="J856" s="20">
        <f t="shared" si="194"/>
        <v>6577639</v>
      </c>
      <c r="K856" s="20">
        <f t="shared" si="195"/>
        <v>29233.952699999998</v>
      </c>
      <c r="L856" s="20">
        <f t="shared" si="195"/>
        <v>6577639</v>
      </c>
      <c r="M856" s="18"/>
      <c r="N856" s="44"/>
    </row>
    <row r="857" spans="1:14" ht="21" customHeight="1">
      <c r="A857" s="18" t="s">
        <v>1112</v>
      </c>
      <c r="B857" s="18" t="s">
        <v>1076</v>
      </c>
      <c r="C857" s="20">
        <v>243</v>
      </c>
      <c r="D857" s="21" t="s">
        <v>231</v>
      </c>
      <c r="E857" s="20">
        <v>0</v>
      </c>
      <c r="F857" s="20">
        <f t="shared" si="192"/>
        <v>0</v>
      </c>
      <c r="G857" s="20">
        <v>0</v>
      </c>
      <c r="H857" s="20">
        <f t="shared" si="193"/>
        <v>0</v>
      </c>
      <c r="I857" s="20">
        <v>22217.422200000001</v>
      </c>
      <c r="J857" s="20">
        <f t="shared" si="194"/>
        <v>5398834</v>
      </c>
      <c r="K857" s="20">
        <f t="shared" si="195"/>
        <v>22217.422200000001</v>
      </c>
      <c r="L857" s="20">
        <f t="shared" si="195"/>
        <v>5398834</v>
      </c>
      <c r="M857" s="18"/>
      <c r="N857" s="44"/>
    </row>
    <row r="858" spans="1:14" ht="21" customHeight="1">
      <c r="A858" s="18" t="s">
        <v>1113</v>
      </c>
      <c r="B858" s="18" t="s">
        <v>1078</v>
      </c>
      <c r="C858" s="20">
        <v>29</v>
      </c>
      <c r="D858" s="21" t="s">
        <v>231</v>
      </c>
      <c r="E858" s="20">
        <v>0</v>
      </c>
      <c r="F858" s="20">
        <f t="shared" si="192"/>
        <v>0</v>
      </c>
      <c r="G858" s="20">
        <v>0</v>
      </c>
      <c r="H858" s="20">
        <f t="shared" si="193"/>
        <v>0</v>
      </c>
      <c r="I858" s="20">
        <v>19879.6394</v>
      </c>
      <c r="J858" s="20">
        <f t="shared" si="194"/>
        <v>576510</v>
      </c>
      <c r="K858" s="20">
        <f t="shared" si="195"/>
        <v>19879.6394</v>
      </c>
      <c r="L858" s="20">
        <f t="shared" si="195"/>
        <v>576510</v>
      </c>
      <c r="M858" s="18"/>
      <c r="N858" s="44"/>
    </row>
    <row r="859" spans="1:14" ht="21" customHeight="1">
      <c r="A859" s="18" t="s">
        <v>1079</v>
      </c>
      <c r="B859" s="18"/>
      <c r="C859" s="19"/>
      <c r="D859" s="19"/>
      <c r="E859" s="19">
        <v>0</v>
      </c>
      <c r="F859" s="19"/>
      <c r="G859" s="19">
        <v>0</v>
      </c>
      <c r="H859" s="19"/>
      <c r="I859" s="19">
        <v>0</v>
      </c>
      <c r="J859" s="19"/>
      <c r="K859" s="19"/>
      <c r="L859" s="19"/>
      <c r="M859" s="19"/>
      <c r="N859" s="44"/>
    </row>
    <row r="860" spans="1:14" ht="21" customHeight="1">
      <c r="A860" s="18" t="s">
        <v>1080</v>
      </c>
      <c r="B860" s="18" t="s">
        <v>1081</v>
      </c>
      <c r="C860" s="20">
        <v>8</v>
      </c>
      <c r="D860" s="21" t="s">
        <v>1051</v>
      </c>
      <c r="E860" s="20">
        <v>0</v>
      </c>
      <c r="F860" s="20">
        <f>ROUND(E860*C860,0)</f>
        <v>0</v>
      </c>
      <c r="G860" s="20">
        <v>0</v>
      </c>
      <c r="H860" s="20">
        <f>ROUND(G860*C860,0)</f>
        <v>0</v>
      </c>
      <c r="I860" s="20">
        <v>409276.39850000001</v>
      </c>
      <c r="J860" s="20">
        <f>ROUND(I860*C860,0)</f>
        <v>3274211</v>
      </c>
      <c r="K860" s="20">
        <f t="shared" ref="K860:L863" si="196">E860+G860+I860</f>
        <v>409276.39850000001</v>
      </c>
      <c r="L860" s="20">
        <f t="shared" si="196"/>
        <v>3274211</v>
      </c>
      <c r="M860" s="18"/>
      <c r="N860" s="44"/>
    </row>
    <row r="861" spans="1:14" ht="21" customHeight="1">
      <c r="A861" s="18" t="s">
        <v>1082</v>
      </c>
      <c r="B861" s="18" t="s">
        <v>1083</v>
      </c>
      <c r="C861" s="20">
        <v>20</v>
      </c>
      <c r="D861" s="21" t="s">
        <v>1084</v>
      </c>
      <c r="E861" s="20">
        <v>0</v>
      </c>
      <c r="F861" s="20">
        <f>ROUND(E861*C861,0)</f>
        <v>0</v>
      </c>
      <c r="G861" s="20">
        <v>0</v>
      </c>
      <c r="H861" s="20">
        <f>ROUND(G861*C861,0)</f>
        <v>0</v>
      </c>
      <c r="I861" s="20">
        <v>18709.687299999998</v>
      </c>
      <c r="J861" s="20">
        <f>ROUND(I861*C861,0)</f>
        <v>374194</v>
      </c>
      <c r="K861" s="20">
        <f t="shared" si="196"/>
        <v>18709.687299999998</v>
      </c>
      <c r="L861" s="20">
        <f t="shared" si="196"/>
        <v>374194</v>
      </c>
      <c r="M861" s="18"/>
      <c r="N861" s="44"/>
    </row>
    <row r="862" spans="1:14" ht="21" customHeight="1">
      <c r="A862" s="18" t="s">
        <v>1085</v>
      </c>
      <c r="B862" s="18" t="s">
        <v>1086</v>
      </c>
      <c r="C862" s="20">
        <v>82</v>
      </c>
      <c r="D862" s="21" t="s">
        <v>1084</v>
      </c>
      <c r="E862" s="20">
        <v>0</v>
      </c>
      <c r="F862" s="20">
        <f>ROUND(E862*C862,0)</f>
        <v>0</v>
      </c>
      <c r="G862" s="20">
        <v>0</v>
      </c>
      <c r="H862" s="20">
        <f>ROUND(G862*C862,0)</f>
        <v>0</v>
      </c>
      <c r="I862" s="20">
        <v>15201.9524</v>
      </c>
      <c r="J862" s="20">
        <f>ROUND(I862*C862,0)</f>
        <v>1246560</v>
      </c>
      <c r="K862" s="20">
        <f t="shared" si="196"/>
        <v>15201.9524</v>
      </c>
      <c r="L862" s="20">
        <f t="shared" si="196"/>
        <v>1246560</v>
      </c>
      <c r="M862" s="18"/>
      <c r="N862" s="44"/>
    </row>
    <row r="863" spans="1:14" ht="21" customHeight="1">
      <c r="A863" s="18" t="s">
        <v>1087</v>
      </c>
      <c r="B863" s="18" t="s">
        <v>1083</v>
      </c>
      <c r="C863" s="20">
        <v>88</v>
      </c>
      <c r="D863" s="21" t="s">
        <v>231</v>
      </c>
      <c r="E863" s="20">
        <v>0</v>
      </c>
      <c r="F863" s="20">
        <f>ROUND(E863*C863,0)</f>
        <v>0</v>
      </c>
      <c r="G863" s="20">
        <v>0</v>
      </c>
      <c r="H863" s="20">
        <f>ROUND(G863*C863,0)</f>
        <v>0</v>
      </c>
      <c r="I863" s="20">
        <v>40927.109499999999</v>
      </c>
      <c r="J863" s="20">
        <f>ROUND(I863*C863,0)</f>
        <v>3601586</v>
      </c>
      <c r="K863" s="20">
        <f t="shared" si="196"/>
        <v>40927.109499999999</v>
      </c>
      <c r="L863" s="20">
        <f t="shared" si="196"/>
        <v>3601586</v>
      </c>
      <c r="M863" s="18"/>
      <c r="N863" s="44"/>
    </row>
    <row r="864" spans="1:14" ht="21" customHeight="1">
      <c r="A864" s="18" t="s">
        <v>1114</v>
      </c>
      <c r="B864" s="18"/>
      <c r="C864" s="19"/>
      <c r="D864" s="19"/>
      <c r="E864" s="19">
        <v>0</v>
      </c>
      <c r="F864" s="19"/>
      <c r="G864" s="19">
        <v>0</v>
      </c>
      <c r="H864" s="19"/>
      <c r="I864" s="19">
        <v>0</v>
      </c>
      <c r="J864" s="19"/>
      <c r="K864" s="19"/>
      <c r="L864" s="19"/>
      <c r="M864" s="19"/>
      <c r="N864" s="44"/>
    </row>
    <row r="865" spans="1:14" ht="21" customHeight="1">
      <c r="A865" s="18" t="s">
        <v>1027</v>
      </c>
      <c r="B865" s="18"/>
      <c r="C865" s="19"/>
      <c r="D865" s="19"/>
      <c r="E865" s="19">
        <v>0</v>
      </c>
      <c r="F865" s="19"/>
      <c r="G865" s="19">
        <v>0</v>
      </c>
      <c r="H865" s="19"/>
      <c r="I865" s="19">
        <v>0</v>
      </c>
      <c r="J865" s="19"/>
      <c r="K865" s="19"/>
      <c r="L865" s="19"/>
      <c r="M865" s="19"/>
      <c r="N865" s="44"/>
    </row>
    <row r="866" spans="1:14" ht="21" customHeight="1">
      <c r="A866" s="18" t="s">
        <v>1115</v>
      </c>
      <c r="B866" s="18" t="s">
        <v>1116</v>
      </c>
      <c r="C866" s="20">
        <v>55</v>
      </c>
      <c r="D866" s="21" t="s">
        <v>190</v>
      </c>
      <c r="E866" s="20">
        <v>152125.59399999998</v>
      </c>
      <c r="F866" s="20">
        <f t="shared" ref="F866:F872" si="197">ROUND(E866*C866,0)</f>
        <v>8366908</v>
      </c>
      <c r="G866" s="20">
        <v>141412.524</v>
      </c>
      <c r="H866" s="20">
        <f t="shared" ref="H866:H872" si="198">ROUND(G866*C866,0)</f>
        <v>7777689</v>
      </c>
      <c r="I866" s="20">
        <v>24556.2657</v>
      </c>
      <c r="J866" s="20">
        <f t="shared" ref="J866:J872" si="199">ROUND(I866*C866,0)</f>
        <v>1350595</v>
      </c>
      <c r="K866" s="20">
        <f t="shared" ref="K866:L872" si="200">E866+G866+I866</f>
        <v>318094.38370000001</v>
      </c>
      <c r="L866" s="20">
        <f t="shared" si="200"/>
        <v>17495192</v>
      </c>
      <c r="M866" s="18"/>
      <c r="N866" s="44"/>
    </row>
    <row r="867" spans="1:14" ht="21" customHeight="1">
      <c r="A867" s="18" t="s">
        <v>1117</v>
      </c>
      <c r="B867" s="18" t="s">
        <v>1118</v>
      </c>
      <c r="C867" s="20">
        <v>5</v>
      </c>
      <c r="D867" s="21" t="s">
        <v>190</v>
      </c>
      <c r="E867" s="20">
        <v>257113.68</v>
      </c>
      <c r="F867" s="20">
        <f t="shared" si="197"/>
        <v>1285568</v>
      </c>
      <c r="G867" s="20">
        <v>267826.75</v>
      </c>
      <c r="H867" s="20">
        <f t="shared" si="198"/>
        <v>1339134</v>
      </c>
      <c r="I867" s="20">
        <v>70162.122900000002</v>
      </c>
      <c r="J867" s="20">
        <f t="shared" si="199"/>
        <v>350811</v>
      </c>
      <c r="K867" s="20">
        <f t="shared" si="200"/>
        <v>595102.55289999989</v>
      </c>
      <c r="L867" s="20">
        <f t="shared" si="200"/>
        <v>2975513</v>
      </c>
      <c r="M867" s="18"/>
      <c r="N867" s="44"/>
    </row>
    <row r="868" spans="1:14" ht="21" customHeight="1">
      <c r="A868" s="18" t="s">
        <v>1119</v>
      </c>
      <c r="B868" s="18" t="s">
        <v>1031</v>
      </c>
      <c r="C868" s="20">
        <v>45</v>
      </c>
      <c r="D868" s="21" t="s">
        <v>190</v>
      </c>
      <c r="E868" s="20">
        <v>0</v>
      </c>
      <c r="F868" s="20">
        <f t="shared" si="197"/>
        <v>0</v>
      </c>
      <c r="G868" s="20">
        <v>0</v>
      </c>
      <c r="H868" s="20">
        <f t="shared" si="198"/>
        <v>0</v>
      </c>
      <c r="I868" s="20">
        <v>993956.51319999993</v>
      </c>
      <c r="J868" s="20">
        <f t="shared" si="199"/>
        <v>44728043</v>
      </c>
      <c r="K868" s="20">
        <f t="shared" si="200"/>
        <v>993956.51319999993</v>
      </c>
      <c r="L868" s="20">
        <f t="shared" si="200"/>
        <v>44728043</v>
      </c>
      <c r="M868" s="18"/>
      <c r="N868" s="44"/>
    </row>
    <row r="869" spans="1:14" ht="21" customHeight="1">
      <c r="A869" s="18" t="s">
        <v>1120</v>
      </c>
      <c r="B869" s="18" t="s">
        <v>1042</v>
      </c>
      <c r="C869" s="20">
        <v>35</v>
      </c>
      <c r="D869" s="21" t="s">
        <v>190</v>
      </c>
      <c r="E869" s="20">
        <v>0</v>
      </c>
      <c r="F869" s="20">
        <f t="shared" si="197"/>
        <v>0</v>
      </c>
      <c r="G869" s="20">
        <v>0</v>
      </c>
      <c r="H869" s="20">
        <f t="shared" si="198"/>
        <v>0</v>
      </c>
      <c r="I869" s="20">
        <v>175403.7162</v>
      </c>
      <c r="J869" s="20">
        <f t="shared" si="199"/>
        <v>6139130</v>
      </c>
      <c r="K869" s="20">
        <f t="shared" si="200"/>
        <v>175403.7162</v>
      </c>
      <c r="L869" s="20">
        <f t="shared" si="200"/>
        <v>6139130</v>
      </c>
      <c r="M869" s="18"/>
      <c r="N869" s="44"/>
    </row>
    <row r="870" spans="1:14" ht="21" customHeight="1">
      <c r="A870" s="18" t="s">
        <v>1121</v>
      </c>
      <c r="B870" s="18" t="s">
        <v>1039</v>
      </c>
      <c r="C870" s="20">
        <v>35</v>
      </c>
      <c r="D870" s="21" t="s">
        <v>190</v>
      </c>
      <c r="E870" s="20">
        <v>0</v>
      </c>
      <c r="F870" s="20">
        <f t="shared" si="197"/>
        <v>0</v>
      </c>
      <c r="G870" s="20">
        <v>0</v>
      </c>
      <c r="H870" s="20">
        <f t="shared" si="198"/>
        <v>0</v>
      </c>
      <c r="I870" s="20">
        <v>175403.7162</v>
      </c>
      <c r="J870" s="20">
        <f t="shared" si="199"/>
        <v>6139130</v>
      </c>
      <c r="K870" s="20">
        <f t="shared" si="200"/>
        <v>175403.7162</v>
      </c>
      <c r="L870" s="20">
        <f t="shared" si="200"/>
        <v>6139130</v>
      </c>
      <c r="M870" s="18"/>
      <c r="N870" s="44"/>
    </row>
    <row r="871" spans="1:14" ht="21" customHeight="1">
      <c r="A871" s="18" t="s">
        <v>1122</v>
      </c>
      <c r="B871" s="18" t="s">
        <v>1044</v>
      </c>
      <c r="C871" s="20">
        <v>1470</v>
      </c>
      <c r="D871" s="21" t="s">
        <v>190</v>
      </c>
      <c r="E871" s="20">
        <v>0</v>
      </c>
      <c r="F871" s="20">
        <f t="shared" si="197"/>
        <v>0</v>
      </c>
      <c r="G871" s="20">
        <v>0</v>
      </c>
      <c r="H871" s="20">
        <f t="shared" si="198"/>
        <v>0</v>
      </c>
      <c r="I871" s="20">
        <v>4093.2412999999997</v>
      </c>
      <c r="J871" s="20">
        <f t="shared" si="199"/>
        <v>6017065</v>
      </c>
      <c r="K871" s="20">
        <f t="shared" si="200"/>
        <v>4093.2412999999997</v>
      </c>
      <c r="L871" s="20">
        <f t="shared" si="200"/>
        <v>6017065</v>
      </c>
      <c r="M871" s="18"/>
      <c r="N871" s="44"/>
    </row>
    <row r="872" spans="1:14" ht="21" customHeight="1">
      <c r="A872" s="18" t="s">
        <v>1123</v>
      </c>
      <c r="B872" s="18" t="s">
        <v>112</v>
      </c>
      <c r="C872" s="20">
        <v>2900</v>
      </c>
      <c r="D872" s="21" t="s">
        <v>93</v>
      </c>
      <c r="E872" s="20">
        <v>0</v>
      </c>
      <c r="F872" s="20">
        <f t="shared" si="197"/>
        <v>0</v>
      </c>
      <c r="G872" s="20">
        <v>0</v>
      </c>
      <c r="H872" s="20">
        <f t="shared" si="198"/>
        <v>0</v>
      </c>
      <c r="I872" s="20">
        <v>8769.8675999999996</v>
      </c>
      <c r="J872" s="20">
        <f t="shared" si="199"/>
        <v>25432616</v>
      </c>
      <c r="K872" s="20">
        <f t="shared" si="200"/>
        <v>8769.8675999999996</v>
      </c>
      <c r="L872" s="20">
        <f t="shared" si="200"/>
        <v>25432616</v>
      </c>
      <c r="M872" s="18"/>
      <c r="N872" s="44"/>
    </row>
    <row r="873" spans="1:14" ht="21" customHeight="1">
      <c r="A873" s="18" t="s">
        <v>1124</v>
      </c>
      <c r="B873" s="18"/>
      <c r="C873" s="19"/>
      <c r="D873" s="19"/>
      <c r="E873" s="19">
        <v>0</v>
      </c>
      <c r="F873" s="19"/>
      <c r="G873" s="19">
        <v>0</v>
      </c>
      <c r="H873" s="19"/>
      <c r="I873" s="19">
        <v>0</v>
      </c>
      <c r="J873" s="19"/>
      <c r="K873" s="19"/>
      <c r="L873" s="19"/>
      <c r="M873" s="19"/>
      <c r="N873" s="44"/>
    </row>
    <row r="874" spans="1:14" ht="21" customHeight="1">
      <c r="A874" s="18" t="s">
        <v>1027</v>
      </c>
      <c r="B874" s="18"/>
      <c r="C874" s="19"/>
      <c r="D874" s="19"/>
      <c r="E874" s="19">
        <v>0</v>
      </c>
      <c r="F874" s="19"/>
      <c r="G874" s="19">
        <v>0</v>
      </c>
      <c r="H874" s="19"/>
      <c r="I874" s="19">
        <v>0</v>
      </c>
      <c r="J874" s="19"/>
      <c r="K874" s="19"/>
      <c r="L874" s="19"/>
      <c r="M874" s="19"/>
      <c r="N874" s="44"/>
    </row>
    <row r="875" spans="1:14" ht="21" customHeight="1">
      <c r="A875" s="18" t="s">
        <v>1115</v>
      </c>
      <c r="B875" s="18" t="s">
        <v>1125</v>
      </c>
      <c r="C875" s="20">
        <v>300</v>
      </c>
      <c r="D875" s="21" t="s">
        <v>190</v>
      </c>
      <c r="E875" s="20">
        <v>152125.59399999998</v>
      </c>
      <c r="F875" s="20">
        <f t="shared" ref="F875:F882" si="201">ROUND(E875*C875,0)</f>
        <v>45637678</v>
      </c>
      <c r="G875" s="20">
        <v>141412.524</v>
      </c>
      <c r="H875" s="20">
        <f t="shared" ref="H875:H882" si="202">ROUND(G875*C875,0)</f>
        <v>42423757</v>
      </c>
      <c r="I875" s="20">
        <v>24556.2657</v>
      </c>
      <c r="J875" s="20">
        <f t="shared" ref="J875:J882" si="203">ROUND(I875*C875,0)</f>
        <v>7366880</v>
      </c>
      <c r="K875" s="20">
        <f t="shared" ref="K875:L882" si="204">E875+G875+I875</f>
        <v>318094.38370000001</v>
      </c>
      <c r="L875" s="20">
        <f t="shared" si="204"/>
        <v>95428315</v>
      </c>
      <c r="M875" s="18"/>
      <c r="N875" s="44"/>
    </row>
    <row r="876" spans="1:14" ht="21" customHeight="1">
      <c r="A876" s="18" t="s">
        <v>1126</v>
      </c>
      <c r="B876" s="18" t="s">
        <v>1118</v>
      </c>
      <c r="C876" s="20">
        <v>26</v>
      </c>
      <c r="D876" s="21" t="s">
        <v>190</v>
      </c>
      <c r="E876" s="20">
        <v>152125.59399999998</v>
      </c>
      <c r="F876" s="20">
        <f t="shared" si="201"/>
        <v>3955265</v>
      </c>
      <c r="G876" s="20">
        <v>141412.524</v>
      </c>
      <c r="H876" s="20">
        <f t="shared" si="202"/>
        <v>3676726</v>
      </c>
      <c r="I876" s="20">
        <v>24556.2657</v>
      </c>
      <c r="J876" s="20">
        <f t="shared" si="203"/>
        <v>638463</v>
      </c>
      <c r="K876" s="20">
        <f t="shared" si="204"/>
        <v>318094.38370000001</v>
      </c>
      <c r="L876" s="20">
        <f t="shared" si="204"/>
        <v>8270454</v>
      </c>
      <c r="M876" s="18"/>
      <c r="N876" s="44"/>
    </row>
    <row r="877" spans="1:14" ht="21" customHeight="1">
      <c r="A877" s="18" t="s">
        <v>1127</v>
      </c>
      <c r="B877" s="18" t="s">
        <v>1128</v>
      </c>
      <c r="C877" s="20">
        <v>5</v>
      </c>
      <c r="D877" s="21" t="s">
        <v>190</v>
      </c>
      <c r="E877" s="20">
        <v>257113.68</v>
      </c>
      <c r="F877" s="20">
        <f t="shared" si="201"/>
        <v>1285568</v>
      </c>
      <c r="G877" s="20">
        <v>267826.75</v>
      </c>
      <c r="H877" s="20">
        <f t="shared" si="202"/>
        <v>1339134</v>
      </c>
      <c r="I877" s="20">
        <v>70162.122900000002</v>
      </c>
      <c r="J877" s="20">
        <f t="shared" si="203"/>
        <v>350811</v>
      </c>
      <c r="K877" s="20">
        <f t="shared" si="204"/>
        <v>595102.55289999989</v>
      </c>
      <c r="L877" s="20">
        <f t="shared" si="204"/>
        <v>2975513</v>
      </c>
      <c r="M877" s="18"/>
      <c r="N877" s="44"/>
    </row>
    <row r="878" spans="1:14" ht="21" customHeight="1">
      <c r="A878" s="18" t="s">
        <v>1129</v>
      </c>
      <c r="B878" s="18" t="s">
        <v>1031</v>
      </c>
      <c r="C878" s="20">
        <v>141</v>
      </c>
      <c r="D878" s="21" t="s">
        <v>190</v>
      </c>
      <c r="E878" s="20">
        <v>0</v>
      </c>
      <c r="F878" s="20">
        <f t="shared" si="201"/>
        <v>0</v>
      </c>
      <c r="G878" s="20">
        <v>0</v>
      </c>
      <c r="H878" s="20">
        <f t="shared" si="202"/>
        <v>0</v>
      </c>
      <c r="I878" s="20">
        <v>993956.51319999993</v>
      </c>
      <c r="J878" s="20">
        <f t="shared" si="203"/>
        <v>140147868</v>
      </c>
      <c r="K878" s="20">
        <f t="shared" si="204"/>
        <v>993956.51319999993</v>
      </c>
      <c r="L878" s="20">
        <f t="shared" si="204"/>
        <v>140147868</v>
      </c>
      <c r="M878" s="18"/>
      <c r="N878" s="44"/>
    </row>
    <row r="879" spans="1:14" ht="21" customHeight="1">
      <c r="A879" s="18" t="s">
        <v>1130</v>
      </c>
      <c r="B879" s="18" t="s">
        <v>1042</v>
      </c>
      <c r="C879" s="20">
        <v>50</v>
      </c>
      <c r="D879" s="21" t="s">
        <v>190</v>
      </c>
      <c r="E879" s="20">
        <v>0</v>
      </c>
      <c r="F879" s="20">
        <f t="shared" si="201"/>
        <v>0</v>
      </c>
      <c r="G879" s="20">
        <v>0</v>
      </c>
      <c r="H879" s="20">
        <f t="shared" si="202"/>
        <v>0</v>
      </c>
      <c r="I879" s="20">
        <v>175403.7162</v>
      </c>
      <c r="J879" s="20">
        <f t="shared" si="203"/>
        <v>8770186</v>
      </c>
      <c r="K879" s="20">
        <f t="shared" si="204"/>
        <v>175403.7162</v>
      </c>
      <c r="L879" s="20">
        <f t="shared" si="204"/>
        <v>8770186</v>
      </c>
      <c r="M879" s="18"/>
      <c r="N879" s="44"/>
    </row>
    <row r="880" spans="1:14" ht="21" customHeight="1">
      <c r="A880" s="18" t="s">
        <v>1038</v>
      </c>
      <c r="B880" s="18" t="s">
        <v>1039</v>
      </c>
      <c r="C880" s="20">
        <v>45</v>
      </c>
      <c r="D880" s="21" t="s">
        <v>190</v>
      </c>
      <c r="E880" s="20">
        <v>0</v>
      </c>
      <c r="F880" s="20">
        <f t="shared" si="201"/>
        <v>0</v>
      </c>
      <c r="G880" s="20">
        <v>0</v>
      </c>
      <c r="H880" s="20">
        <f t="shared" si="202"/>
        <v>0</v>
      </c>
      <c r="I880" s="20">
        <v>175403.7162</v>
      </c>
      <c r="J880" s="20">
        <f t="shared" si="203"/>
        <v>7893167</v>
      </c>
      <c r="K880" s="20">
        <f t="shared" si="204"/>
        <v>175403.7162</v>
      </c>
      <c r="L880" s="20">
        <f t="shared" si="204"/>
        <v>7893167</v>
      </c>
      <c r="M880" s="18"/>
      <c r="N880" s="44"/>
    </row>
    <row r="881" spans="1:14" ht="21" customHeight="1">
      <c r="A881" s="18" t="s">
        <v>1131</v>
      </c>
      <c r="B881" s="18" t="s">
        <v>1044</v>
      </c>
      <c r="C881" s="20">
        <v>2670</v>
      </c>
      <c r="D881" s="21" t="s">
        <v>190</v>
      </c>
      <c r="E881" s="20">
        <v>0</v>
      </c>
      <c r="F881" s="20">
        <f t="shared" si="201"/>
        <v>0</v>
      </c>
      <c r="G881" s="20">
        <v>0</v>
      </c>
      <c r="H881" s="20">
        <f t="shared" si="202"/>
        <v>0</v>
      </c>
      <c r="I881" s="20">
        <v>4093.2412999999997</v>
      </c>
      <c r="J881" s="20">
        <f t="shared" si="203"/>
        <v>10928954</v>
      </c>
      <c r="K881" s="20">
        <f t="shared" si="204"/>
        <v>4093.2412999999997</v>
      </c>
      <c r="L881" s="20">
        <f t="shared" si="204"/>
        <v>10928954</v>
      </c>
      <c r="M881" s="18"/>
      <c r="N881" s="44"/>
    </row>
    <row r="882" spans="1:14" ht="21" customHeight="1">
      <c r="A882" s="18" t="s">
        <v>1132</v>
      </c>
      <c r="B882" s="18" t="s">
        <v>112</v>
      </c>
      <c r="C882" s="20">
        <v>7300</v>
      </c>
      <c r="D882" s="21" t="s">
        <v>93</v>
      </c>
      <c r="E882" s="20">
        <v>0</v>
      </c>
      <c r="F882" s="20">
        <f t="shared" si="201"/>
        <v>0</v>
      </c>
      <c r="G882" s="20">
        <v>0</v>
      </c>
      <c r="H882" s="20">
        <f t="shared" si="202"/>
        <v>0</v>
      </c>
      <c r="I882" s="20">
        <v>8769.8675999999996</v>
      </c>
      <c r="J882" s="20">
        <f t="shared" si="203"/>
        <v>64020033</v>
      </c>
      <c r="K882" s="20">
        <f t="shared" si="204"/>
        <v>8769.8675999999996</v>
      </c>
      <c r="L882" s="20">
        <f t="shared" si="204"/>
        <v>64020033</v>
      </c>
      <c r="M882" s="18"/>
      <c r="N882" s="44"/>
    </row>
    <row r="883" spans="1:14" ht="21" customHeight="1">
      <c r="A883" s="18" t="s">
        <v>1133</v>
      </c>
      <c r="B883" s="18"/>
      <c r="C883" s="19"/>
      <c r="D883" s="19"/>
      <c r="E883" s="19">
        <v>0</v>
      </c>
      <c r="F883" s="19"/>
      <c r="G883" s="19">
        <v>0</v>
      </c>
      <c r="H883" s="19"/>
      <c r="I883" s="19">
        <v>0</v>
      </c>
      <c r="J883" s="19"/>
      <c r="K883" s="19"/>
      <c r="L883" s="19"/>
      <c r="M883" s="19"/>
      <c r="N883" s="44"/>
    </row>
    <row r="884" spans="1:14" ht="21" customHeight="1">
      <c r="A884" s="18" t="s">
        <v>1027</v>
      </c>
      <c r="B884" s="18"/>
      <c r="C884" s="19"/>
      <c r="D884" s="19"/>
      <c r="E884" s="19">
        <v>0</v>
      </c>
      <c r="F884" s="19"/>
      <c r="G884" s="19">
        <v>0</v>
      </c>
      <c r="H884" s="19"/>
      <c r="I884" s="19">
        <v>0</v>
      </c>
      <c r="J884" s="19"/>
      <c r="K884" s="19"/>
      <c r="L884" s="19"/>
      <c r="M884" s="19"/>
      <c r="N884" s="44"/>
    </row>
    <row r="885" spans="1:14" ht="21" customHeight="1">
      <c r="A885" s="18" t="s">
        <v>1134</v>
      </c>
      <c r="B885" s="18" t="s">
        <v>1135</v>
      </c>
      <c r="C885" s="20">
        <v>144</v>
      </c>
      <c r="D885" s="21" t="s">
        <v>190</v>
      </c>
      <c r="E885" s="20">
        <v>0</v>
      </c>
      <c r="F885" s="20">
        <f>ROUND(E885*C885,0)</f>
        <v>0</v>
      </c>
      <c r="G885" s="20">
        <v>0</v>
      </c>
      <c r="H885" s="20">
        <f>ROUND(G885*C885,0)</f>
        <v>0</v>
      </c>
      <c r="I885" s="20">
        <v>4093.2412999999997</v>
      </c>
      <c r="J885" s="20">
        <f>ROUND(I885*C885,0)</f>
        <v>589427</v>
      </c>
      <c r="K885" s="20">
        <f>E885+G885+I885</f>
        <v>4093.2412999999997</v>
      </c>
      <c r="L885" s="20">
        <f>F885+H885+J885</f>
        <v>589427</v>
      </c>
      <c r="M885" s="18"/>
      <c r="N885" s="44"/>
    </row>
    <row r="886" spans="1:14" ht="21" customHeight="1">
      <c r="A886" s="18" t="s">
        <v>1048</v>
      </c>
      <c r="B886" s="18"/>
      <c r="C886" s="19"/>
      <c r="D886" s="19"/>
      <c r="E886" s="19">
        <v>0</v>
      </c>
      <c r="F886" s="19"/>
      <c r="G886" s="19">
        <v>0</v>
      </c>
      <c r="H886" s="19"/>
      <c r="I886" s="19">
        <v>0</v>
      </c>
      <c r="J886" s="19"/>
      <c r="K886" s="19"/>
      <c r="L886" s="19"/>
      <c r="M886" s="19"/>
      <c r="N886" s="44"/>
    </row>
    <row r="887" spans="1:14" ht="21" customHeight="1">
      <c r="A887" s="18" t="s">
        <v>1136</v>
      </c>
      <c r="B887" s="18" t="s">
        <v>1137</v>
      </c>
      <c r="C887" s="20">
        <v>144</v>
      </c>
      <c r="D887" s="21" t="s">
        <v>1051</v>
      </c>
      <c r="E887" s="20">
        <v>117843.77</v>
      </c>
      <c r="F887" s="20">
        <f>ROUND(E887*C887,0)</f>
        <v>16969503</v>
      </c>
      <c r="G887" s="20">
        <v>3213.9209999999998</v>
      </c>
      <c r="H887" s="20">
        <f>ROUND(G887*C887,0)</f>
        <v>462805</v>
      </c>
      <c r="I887" s="20">
        <v>0</v>
      </c>
      <c r="J887" s="20">
        <f>ROUND(I887*C887,0)</f>
        <v>0</v>
      </c>
      <c r="K887" s="20">
        <f t="shared" ref="K887:L890" si="205">E887+G887+I887</f>
        <v>121057.69100000001</v>
      </c>
      <c r="L887" s="20">
        <f t="shared" si="205"/>
        <v>17432308</v>
      </c>
      <c r="M887" s="18"/>
      <c r="N887" s="44"/>
    </row>
    <row r="888" spans="1:14" ht="21" customHeight="1">
      <c r="A888" s="18" t="s">
        <v>1138</v>
      </c>
      <c r="B888" s="18"/>
      <c r="C888" s="20">
        <v>1</v>
      </c>
      <c r="D888" s="21" t="s">
        <v>1139</v>
      </c>
      <c r="E888" s="20">
        <v>0</v>
      </c>
      <c r="F888" s="20">
        <f>ROUND(E888*C888,0)</f>
        <v>0</v>
      </c>
      <c r="G888" s="20">
        <v>0</v>
      </c>
      <c r="H888" s="20">
        <f>ROUND(G888*C888,0)</f>
        <v>0</v>
      </c>
      <c r="I888" s="20">
        <v>0</v>
      </c>
      <c r="J888" s="20">
        <f>ROUND(I888*C888,0)</f>
        <v>0</v>
      </c>
      <c r="K888" s="20">
        <f t="shared" si="205"/>
        <v>0</v>
      </c>
      <c r="L888" s="20">
        <f t="shared" si="205"/>
        <v>0</v>
      </c>
      <c r="M888" s="18" t="s">
        <v>1140</v>
      </c>
      <c r="N888" s="44"/>
    </row>
    <row r="889" spans="1:14" ht="21" customHeight="1">
      <c r="A889" s="18" t="s">
        <v>1141</v>
      </c>
      <c r="B889" s="18"/>
      <c r="C889" s="20">
        <v>1</v>
      </c>
      <c r="D889" s="21" t="s">
        <v>1139</v>
      </c>
      <c r="E889" s="20">
        <v>0</v>
      </c>
      <c r="F889" s="20">
        <f>ROUND(E889*C889,0)</f>
        <v>0</v>
      </c>
      <c r="G889" s="20">
        <v>0</v>
      </c>
      <c r="H889" s="20">
        <f>ROUND(G889*C889,0)</f>
        <v>0</v>
      </c>
      <c r="I889" s="20">
        <v>0</v>
      </c>
      <c r="J889" s="20">
        <f>ROUND(I889*C889,0)</f>
        <v>0</v>
      </c>
      <c r="K889" s="20">
        <f t="shared" si="205"/>
        <v>0</v>
      </c>
      <c r="L889" s="20">
        <f t="shared" si="205"/>
        <v>0</v>
      </c>
      <c r="M889" s="18" t="s">
        <v>1140</v>
      </c>
      <c r="N889" s="44"/>
    </row>
    <row r="890" spans="1:14" ht="21" customHeight="1">
      <c r="A890" s="18" t="s">
        <v>1142</v>
      </c>
      <c r="B890" s="18"/>
      <c r="C890" s="20">
        <v>1</v>
      </c>
      <c r="D890" s="21" t="s">
        <v>1143</v>
      </c>
      <c r="E890" s="20">
        <v>0</v>
      </c>
      <c r="F890" s="20">
        <f>ROUND(E890*C890,0)</f>
        <v>0</v>
      </c>
      <c r="G890" s="20">
        <v>0</v>
      </c>
      <c r="H890" s="20">
        <f>ROUND(G890*C890,0)</f>
        <v>0</v>
      </c>
      <c r="I890" s="20">
        <v>0</v>
      </c>
      <c r="J890" s="20">
        <f>ROUND(I890*C890,0)</f>
        <v>0</v>
      </c>
      <c r="K890" s="20">
        <f t="shared" si="205"/>
        <v>0</v>
      </c>
      <c r="L890" s="20">
        <f t="shared" si="205"/>
        <v>0</v>
      </c>
      <c r="M890" s="18" t="s">
        <v>1144</v>
      </c>
      <c r="N890" s="44"/>
    </row>
    <row r="891" spans="1:14" ht="21" customHeight="1">
      <c r="A891" s="18" t="s">
        <v>1145</v>
      </c>
      <c r="B891" s="18"/>
      <c r="C891" s="19"/>
      <c r="D891" s="19"/>
      <c r="E891" s="19">
        <v>0</v>
      </c>
      <c r="F891" s="19"/>
      <c r="G891" s="19">
        <v>0</v>
      </c>
      <c r="H891" s="19"/>
      <c r="I891" s="19">
        <v>0</v>
      </c>
      <c r="J891" s="19"/>
      <c r="K891" s="19"/>
      <c r="L891" s="19"/>
      <c r="M891" s="19"/>
      <c r="N891" s="44"/>
    </row>
    <row r="892" spans="1:14" ht="21" customHeight="1">
      <c r="A892" s="18" t="s">
        <v>1146</v>
      </c>
      <c r="B892" s="18" t="s">
        <v>1147</v>
      </c>
      <c r="C892" s="20">
        <v>14</v>
      </c>
      <c r="D892" s="21" t="s">
        <v>1148</v>
      </c>
      <c r="E892" s="20">
        <v>0</v>
      </c>
      <c r="F892" s="20">
        <f>ROUND(E892*C892,0)</f>
        <v>0</v>
      </c>
      <c r="G892" s="20">
        <v>0</v>
      </c>
      <c r="H892" s="20">
        <f>ROUND(G892*C892,0)</f>
        <v>0</v>
      </c>
      <c r="I892" s="20">
        <v>0</v>
      </c>
      <c r="J892" s="20">
        <f>ROUND(I892*C892,0)</f>
        <v>0</v>
      </c>
      <c r="K892" s="20">
        <f>E892+G892+I892</f>
        <v>0</v>
      </c>
      <c r="L892" s="20">
        <f>F892+H892+J892</f>
        <v>0</v>
      </c>
      <c r="M892" s="18" t="s">
        <v>1144</v>
      </c>
      <c r="N892" s="44"/>
    </row>
    <row r="893" spans="1:14" ht="21" customHeight="1">
      <c r="A893" s="14" t="s">
        <v>1149</v>
      </c>
      <c r="B893" s="15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</row>
    <row r="894" spans="1:14" ht="21" customHeight="1">
      <c r="A894" s="14" t="s">
        <v>1150</v>
      </c>
      <c r="B894" s="15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</row>
    <row r="895" spans="1:14" ht="21" customHeight="1">
      <c r="A895" s="14" t="s">
        <v>1149</v>
      </c>
      <c r="B895" s="15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</row>
    <row r="896" spans="1:14" ht="21" customHeight="1">
      <c r="A896" s="18" t="s">
        <v>1151</v>
      </c>
      <c r="B896" s="18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</row>
    <row r="897" spans="1:14" ht="21" customHeight="1">
      <c r="A897" s="14" t="s">
        <v>1150</v>
      </c>
      <c r="B897" s="15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</row>
    <row r="898" spans="1:14" ht="21" customHeight="1">
      <c r="A898" s="23" t="s">
        <v>1152</v>
      </c>
      <c r="B898" s="24"/>
      <c r="C898" s="24"/>
      <c r="D898" s="24"/>
      <c r="E898" s="24"/>
      <c r="F898" s="25">
        <f>F65+F145+F283+F352+F482+F580+F634+F692+F773+F790</f>
        <v>2041994590</v>
      </c>
      <c r="G898" s="24"/>
      <c r="H898" s="25">
        <f>H65+H145+H283+H352+H482+H580+H634+H692+H773+H790</f>
        <v>1021115015</v>
      </c>
      <c r="I898" s="24"/>
      <c r="J898" s="25">
        <f>J65+J145+J283+J352+J482+J580+J634+J692+J773+J790</f>
        <v>2384977654</v>
      </c>
      <c r="K898" s="24"/>
      <c r="L898" s="25">
        <f>F898+H898+J898</f>
        <v>5448087259</v>
      </c>
      <c r="M898" s="24"/>
    </row>
    <row r="900" spans="1:14" ht="21" customHeight="1">
      <c r="A900" s="134" t="s">
        <v>1153</v>
      </c>
      <c r="B900" s="135"/>
      <c r="C900" s="135"/>
      <c r="D900" s="135"/>
      <c r="E900" s="135"/>
      <c r="F900" s="135"/>
      <c r="G900" s="135"/>
      <c r="H900" s="135"/>
      <c r="I900" s="135"/>
      <c r="J900" s="135"/>
      <c r="K900" s="135"/>
      <c r="L900" s="135"/>
      <c r="M900" s="135"/>
    </row>
    <row r="901" spans="1:14" ht="21" customHeight="1">
      <c r="A901" s="14" t="s">
        <v>89</v>
      </c>
      <c r="B901" s="15"/>
      <c r="C901" s="16"/>
      <c r="D901" s="16"/>
      <c r="E901" s="16"/>
      <c r="F901" s="17">
        <f>SUM(F903:F939)</f>
        <v>11833096</v>
      </c>
      <c r="G901" s="16"/>
      <c r="H901" s="17">
        <f>SUM(H903:H939)</f>
        <v>22879517</v>
      </c>
      <c r="I901" s="16"/>
      <c r="J901" s="17">
        <f>SUM(J903:J939)</f>
        <v>66029706</v>
      </c>
      <c r="K901" s="16"/>
      <c r="L901" s="17">
        <f>F901+H901+J901</f>
        <v>100742319</v>
      </c>
      <c r="M901" s="16"/>
    </row>
    <row r="902" spans="1:14" ht="21" customHeight="1">
      <c r="A902" s="18" t="s">
        <v>1154</v>
      </c>
      <c r="B902" s="18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</row>
    <row r="903" spans="1:14" ht="21" customHeight="1">
      <c r="A903" s="18" t="s">
        <v>1155</v>
      </c>
      <c r="B903" s="18" t="s">
        <v>1156</v>
      </c>
      <c r="C903" s="20">
        <v>1418</v>
      </c>
      <c r="D903" s="21" t="s">
        <v>950</v>
      </c>
      <c r="E903" s="20">
        <v>0</v>
      </c>
      <c r="F903" s="20">
        <f>ROUND(E903*C903,0)</f>
        <v>0</v>
      </c>
      <c r="G903" s="20">
        <v>764.76469999999995</v>
      </c>
      <c r="H903" s="20">
        <f>ROUND(G903*C903,0)</f>
        <v>1084436</v>
      </c>
      <c r="I903" s="20">
        <v>1192.2267999999999</v>
      </c>
      <c r="J903" s="20">
        <f>ROUND(I903*C903,0)</f>
        <v>1690578</v>
      </c>
      <c r="K903" s="20">
        <f>E903+G903+I903</f>
        <v>1956.9914999999999</v>
      </c>
      <c r="L903" s="20">
        <f>F903+H903+J903</f>
        <v>2775014</v>
      </c>
      <c r="M903" s="18"/>
      <c r="N903" s="44"/>
    </row>
    <row r="904" spans="1:14" ht="21" customHeight="1">
      <c r="A904" s="18" t="s">
        <v>1157</v>
      </c>
      <c r="B904" s="18"/>
      <c r="C904" s="19"/>
      <c r="D904" s="19"/>
      <c r="E904" s="19">
        <v>0</v>
      </c>
      <c r="F904" s="19"/>
      <c r="G904" s="19"/>
      <c r="H904" s="19"/>
      <c r="I904" s="19">
        <v>0</v>
      </c>
      <c r="J904" s="19"/>
      <c r="K904" s="19"/>
      <c r="L904" s="19"/>
      <c r="M904" s="19"/>
      <c r="N904" s="44"/>
    </row>
    <row r="905" spans="1:14" ht="21" customHeight="1">
      <c r="A905" s="18" t="s">
        <v>111</v>
      </c>
      <c r="B905" s="18" t="s">
        <v>112</v>
      </c>
      <c r="C905" s="20">
        <v>1640</v>
      </c>
      <c r="D905" s="21" t="s">
        <v>93</v>
      </c>
      <c r="E905" s="20">
        <v>6773.6301999999996</v>
      </c>
      <c r="F905" s="20">
        <f>ROUND(E905*C905,0)</f>
        <v>11108754</v>
      </c>
      <c r="G905" s="20">
        <v>1420.2773</v>
      </c>
      <c r="H905" s="20">
        <f>ROUND(G905*C905,0)</f>
        <v>2329255</v>
      </c>
      <c r="I905" s="20">
        <v>0</v>
      </c>
      <c r="J905" s="20">
        <f>ROUND(I905*C905,0)</f>
        <v>0</v>
      </c>
      <c r="K905" s="20">
        <f>E905+G905+I905</f>
        <v>8193.9074999999993</v>
      </c>
      <c r="L905" s="20">
        <f>F905+H905+J905</f>
        <v>13438009</v>
      </c>
      <c r="M905" s="18"/>
      <c r="N905" s="44"/>
    </row>
    <row r="906" spans="1:14" ht="21" customHeight="1">
      <c r="A906" s="18" t="s">
        <v>113</v>
      </c>
      <c r="B906" s="18" t="s">
        <v>114</v>
      </c>
      <c r="C906" s="20">
        <v>0</v>
      </c>
      <c r="D906" s="21" t="s">
        <v>93</v>
      </c>
      <c r="E906" s="20">
        <v>0</v>
      </c>
      <c r="F906" s="20">
        <f>ROUND(E906*C906,0)</f>
        <v>0</v>
      </c>
      <c r="G906" s="20">
        <v>0</v>
      </c>
      <c r="H906" s="20">
        <f>ROUND(G906*C906,0)</f>
        <v>0</v>
      </c>
      <c r="I906" s="20">
        <v>0</v>
      </c>
      <c r="J906" s="20">
        <f>ROUND(I906*C906,0)</f>
        <v>0</v>
      </c>
      <c r="K906" s="20">
        <f>E906+G906+I906</f>
        <v>0</v>
      </c>
      <c r="L906" s="20">
        <f>F906+H906+J906</f>
        <v>0</v>
      </c>
      <c r="M906" s="18"/>
      <c r="N906" s="44"/>
    </row>
    <row r="907" spans="1:14" ht="21" customHeight="1">
      <c r="A907" s="18" t="s">
        <v>1158</v>
      </c>
      <c r="B907" s="18"/>
      <c r="C907" s="19"/>
      <c r="D907" s="19"/>
      <c r="E907" s="19">
        <v>0</v>
      </c>
      <c r="F907" s="19"/>
      <c r="G907" s="19">
        <v>0</v>
      </c>
      <c r="H907" s="19"/>
      <c r="I907" s="19">
        <v>0</v>
      </c>
      <c r="J907" s="19"/>
      <c r="K907" s="19"/>
      <c r="L907" s="19"/>
      <c r="M907" s="19"/>
      <c r="N907" s="44"/>
    </row>
    <row r="908" spans="1:14" ht="21" customHeight="1">
      <c r="A908" s="18" t="s">
        <v>116</v>
      </c>
      <c r="B908" s="18"/>
      <c r="C908" s="19"/>
      <c r="D908" s="19"/>
      <c r="E908" s="19">
        <v>0</v>
      </c>
      <c r="F908" s="19"/>
      <c r="G908" s="19">
        <v>0</v>
      </c>
      <c r="H908" s="19"/>
      <c r="I908" s="19">
        <v>0</v>
      </c>
      <c r="J908" s="19"/>
      <c r="K908" s="19"/>
      <c r="L908" s="19"/>
      <c r="M908" s="19"/>
      <c r="N908" s="44"/>
    </row>
    <row r="909" spans="1:14" ht="21" customHeight="1">
      <c r="A909" s="18" t="s">
        <v>119</v>
      </c>
      <c r="B909" s="18" t="s">
        <v>120</v>
      </c>
      <c r="C909" s="20">
        <v>725</v>
      </c>
      <c r="D909" s="21" t="s">
        <v>99</v>
      </c>
      <c r="E909" s="20">
        <v>0</v>
      </c>
      <c r="F909" s="20">
        <f>ROUND(E909*C909,0)</f>
        <v>0</v>
      </c>
      <c r="G909" s="20">
        <v>397.76249999999999</v>
      </c>
      <c r="H909" s="20">
        <f>ROUND(G909*C909,0)</f>
        <v>288378</v>
      </c>
      <c r="I909" s="20">
        <v>2227.4699999999998</v>
      </c>
      <c r="J909" s="20">
        <f>ROUND(I909*C909,0)</f>
        <v>1614916</v>
      </c>
      <c r="K909" s="20">
        <f>E909+G909+I909</f>
        <v>2625.2324999999996</v>
      </c>
      <c r="L909" s="20">
        <f>F909+H909+J909</f>
        <v>1903294</v>
      </c>
      <c r="M909" s="18"/>
      <c r="N909" s="44"/>
    </row>
    <row r="910" spans="1:14" ht="21" customHeight="1">
      <c r="A910" s="18" t="s">
        <v>1159</v>
      </c>
      <c r="B910" s="18"/>
      <c r="C910" s="19"/>
      <c r="D910" s="19"/>
      <c r="E910" s="19">
        <v>0</v>
      </c>
      <c r="F910" s="19"/>
      <c r="G910" s="19">
        <v>0</v>
      </c>
      <c r="H910" s="19"/>
      <c r="I910" s="19">
        <v>0</v>
      </c>
      <c r="J910" s="19"/>
      <c r="K910" s="19"/>
      <c r="L910" s="19"/>
      <c r="M910" s="19"/>
      <c r="N910" s="44"/>
    </row>
    <row r="911" spans="1:14" ht="21" customHeight="1">
      <c r="A911" s="18" t="s">
        <v>135</v>
      </c>
      <c r="B911" s="18" t="s">
        <v>136</v>
      </c>
      <c r="C911" s="20">
        <v>142</v>
      </c>
      <c r="D911" s="21" t="s">
        <v>99</v>
      </c>
      <c r="E911" s="20">
        <v>0</v>
      </c>
      <c r="F911" s="20">
        <f>ROUND(E911*C911,0)</f>
        <v>0</v>
      </c>
      <c r="G911" s="20">
        <v>338.36329999999998</v>
      </c>
      <c r="H911" s="20">
        <f>ROUND(G911*C911,0)</f>
        <v>48048</v>
      </c>
      <c r="I911" s="20">
        <v>1895.4709</v>
      </c>
      <c r="J911" s="20">
        <f>ROUND(I911*C911,0)</f>
        <v>269157</v>
      </c>
      <c r="K911" s="20">
        <f>E911+G911+I911</f>
        <v>2233.8342000000002</v>
      </c>
      <c r="L911" s="20">
        <f>F911+H911+J911</f>
        <v>317205</v>
      </c>
      <c r="M911" s="18"/>
      <c r="N911" s="44"/>
    </row>
    <row r="912" spans="1:14" ht="21" customHeight="1">
      <c r="A912" s="18" t="s">
        <v>1160</v>
      </c>
      <c r="B912" s="18"/>
      <c r="C912" s="19"/>
      <c r="D912" s="19"/>
      <c r="E912" s="19">
        <v>0</v>
      </c>
      <c r="F912" s="19"/>
      <c r="G912" s="19">
        <v>0</v>
      </c>
      <c r="H912" s="19"/>
      <c r="I912" s="19">
        <v>0</v>
      </c>
      <c r="J912" s="19"/>
      <c r="K912" s="19"/>
      <c r="L912" s="19"/>
      <c r="M912" s="19"/>
      <c r="N912" s="44"/>
    </row>
    <row r="913" spans="1:14" ht="21" customHeight="1">
      <c r="A913" s="18" t="s">
        <v>1161</v>
      </c>
      <c r="B913" s="18"/>
      <c r="C913" s="19"/>
      <c r="D913" s="19"/>
      <c r="E913" s="19">
        <v>0</v>
      </c>
      <c r="F913" s="19"/>
      <c r="G913" s="19">
        <v>0</v>
      </c>
      <c r="H913" s="19"/>
      <c r="I913" s="19">
        <v>0</v>
      </c>
      <c r="J913" s="19"/>
      <c r="K913" s="19"/>
      <c r="L913" s="19"/>
      <c r="M913" s="19"/>
      <c r="N913" s="44"/>
    </row>
    <row r="914" spans="1:14" ht="21" customHeight="1">
      <c r="A914" s="18" t="s">
        <v>143</v>
      </c>
      <c r="B914" s="18" t="s">
        <v>144</v>
      </c>
      <c r="C914" s="20">
        <v>1710</v>
      </c>
      <c r="D914" s="21" t="s">
        <v>99</v>
      </c>
      <c r="E914" s="20">
        <v>0</v>
      </c>
      <c r="F914" s="20">
        <f>ROUND(E914*C914,0)</f>
        <v>0</v>
      </c>
      <c r="G914" s="20">
        <v>523.98580000000004</v>
      </c>
      <c r="H914" s="20">
        <f>ROUND(G914*C914,0)</f>
        <v>896016</v>
      </c>
      <c r="I914" s="20">
        <v>3323.1731</v>
      </c>
      <c r="J914" s="20">
        <f>ROUND(I914*C914,0)</f>
        <v>5682626</v>
      </c>
      <c r="K914" s="20">
        <f>E914+G914+I914</f>
        <v>3847.1588999999999</v>
      </c>
      <c r="L914" s="20">
        <f>F914+H914+J914</f>
        <v>6578642</v>
      </c>
      <c r="M914" s="18"/>
      <c r="N914" s="44"/>
    </row>
    <row r="915" spans="1:14" ht="21" customHeight="1">
      <c r="A915" s="18" t="s">
        <v>1162</v>
      </c>
      <c r="B915" s="18"/>
      <c r="C915" s="19"/>
      <c r="D915" s="19"/>
      <c r="E915" s="19">
        <v>0</v>
      </c>
      <c r="F915" s="19"/>
      <c r="G915" s="19">
        <v>0</v>
      </c>
      <c r="H915" s="19"/>
      <c r="I915" s="19">
        <v>0</v>
      </c>
      <c r="J915" s="19"/>
      <c r="K915" s="19"/>
      <c r="L915" s="19"/>
      <c r="M915" s="19"/>
      <c r="N915" s="44"/>
    </row>
    <row r="916" spans="1:14" ht="21" customHeight="1">
      <c r="A916" s="18" t="s">
        <v>143</v>
      </c>
      <c r="B916" s="18" t="s">
        <v>146</v>
      </c>
      <c r="C916" s="20">
        <v>25732</v>
      </c>
      <c r="D916" s="21" t="s">
        <v>99</v>
      </c>
      <c r="E916" s="20">
        <v>0</v>
      </c>
      <c r="F916" s="20">
        <f>ROUND(E916*C916,0)</f>
        <v>0</v>
      </c>
      <c r="G916" s="20">
        <v>523.98580000000004</v>
      </c>
      <c r="H916" s="20">
        <f>ROUND(G916*C916,0)</f>
        <v>13483203</v>
      </c>
      <c r="I916" s="20">
        <v>1984.5697</v>
      </c>
      <c r="J916" s="20">
        <f>ROUND(I916*C916,0)</f>
        <v>51066948</v>
      </c>
      <c r="K916" s="20">
        <f>E916+G916+I916</f>
        <v>2508.5554999999999</v>
      </c>
      <c r="L916" s="20">
        <f>F916+H916+J916</f>
        <v>64550151</v>
      </c>
      <c r="M916" s="18"/>
      <c r="N916" s="44"/>
    </row>
    <row r="917" spans="1:14" ht="21" customHeight="1">
      <c r="A917" s="18" t="s">
        <v>1163</v>
      </c>
      <c r="B917" s="18"/>
      <c r="C917" s="19"/>
      <c r="D917" s="19"/>
      <c r="E917" s="19">
        <v>0</v>
      </c>
      <c r="F917" s="19"/>
      <c r="G917" s="19">
        <v>0</v>
      </c>
      <c r="H917" s="19"/>
      <c r="I917" s="19">
        <v>0</v>
      </c>
      <c r="J917" s="19"/>
      <c r="K917" s="19"/>
      <c r="L917" s="19"/>
      <c r="M917" s="19"/>
      <c r="N917" s="44"/>
    </row>
    <row r="918" spans="1:14" ht="21" customHeight="1">
      <c r="A918" s="18" t="s">
        <v>143</v>
      </c>
      <c r="B918" s="18" t="s">
        <v>146</v>
      </c>
      <c r="C918" s="20">
        <v>34</v>
      </c>
      <c r="D918" s="21" t="s">
        <v>99</v>
      </c>
      <c r="E918" s="20">
        <v>0</v>
      </c>
      <c r="F918" s="20">
        <f>ROUND(E918*C918,0)</f>
        <v>0</v>
      </c>
      <c r="G918" s="20">
        <v>523.98580000000004</v>
      </c>
      <c r="H918" s="20">
        <f>ROUND(G918*C918,0)</f>
        <v>17816</v>
      </c>
      <c r="I918" s="20">
        <v>1984.5697</v>
      </c>
      <c r="J918" s="20">
        <f>ROUND(I918*C918,0)</f>
        <v>67475</v>
      </c>
      <c r="K918" s="20">
        <f>E918+G918+I918</f>
        <v>2508.5554999999999</v>
      </c>
      <c r="L918" s="20">
        <f>F918+H918+J918</f>
        <v>85291</v>
      </c>
      <c r="M918" s="18"/>
      <c r="N918" s="44"/>
    </row>
    <row r="919" spans="1:14" ht="21" customHeight="1">
      <c r="A919" s="18" t="s">
        <v>1164</v>
      </c>
      <c r="B919" s="18"/>
      <c r="C919" s="19"/>
      <c r="D919" s="19"/>
      <c r="E919" s="19">
        <v>0</v>
      </c>
      <c r="F919" s="19"/>
      <c r="G919" s="19">
        <v>0</v>
      </c>
      <c r="H919" s="19"/>
      <c r="I919" s="19">
        <v>0</v>
      </c>
      <c r="J919" s="19"/>
      <c r="K919" s="19"/>
      <c r="L919" s="19"/>
      <c r="M919" s="19"/>
      <c r="N919" s="44"/>
    </row>
    <row r="920" spans="1:14" ht="21" customHeight="1">
      <c r="A920" s="18" t="s">
        <v>1165</v>
      </c>
      <c r="B920" s="18"/>
      <c r="C920" s="20">
        <v>774</v>
      </c>
      <c r="D920" s="21" t="s">
        <v>1015</v>
      </c>
      <c r="E920" s="20">
        <v>0</v>
      </c>
      <c r="F920" s="20">
        <f>ROUND(E920*C920,0)</f>
        <v>0</v>
      </c>
      <c r="G920" s="20">
        <v>372.3057</v>
      </c>
      <c r="H920" s="20">
        <f>ROUND(G920*C920,0)</f>
        <v>288165</v>
      </c>
      <c r="I920" s="20">
        <v>2087.4575999999997</v>
      </c>
      <c r="J920" s="20">
        <f>ROUND(I920*C920,0)</f>
        <v>1615692</v>
      </c>
      <c r="K920" s="20">
        <f>E920+G920+I920</f>
        <v>2459.7632999999996</v>
      </c>
      <c r="L920" s="20">
        <f>F920+H920+J920</f>
        <v>1903857</v>
      </c>
      <c r="M920" s="18"/>
      <c r="N920" s="44"/>
    </row>
    <row r="921" spans="1:14" ht="21" customHeight="1">
      <c r="A921" s="18" t="s">
        <v>148</v>
      </c>
      <c r="B921" s="18"/>
      <c r="C921" s="19"/>
      <c r="D921" s="19"/>
      <c r="E921" s="19">
        <v>0</v>
      </c>
      <c r="F921" s="19"/>
      <c r="G921" s="19">
        <v>0</v>
      </c>
      <c r="H921" s="19"/>
      <c r="I921" s="19">
        <v>0</v>
      </c>
      <c r="J921" s="19"/>
      <c r="K921" s="19"/>
      <c r="L921" s="19"/>
      <c r="M921" s="19"/>
      <c r="N921" s="44"/>
    </row>
    <row r="922" spans="1:14" ht="21" customHeight="1">
      <c r="A922" s="18" t="s">
        <v>149</v>
      </c>
      <c r="B922" s="18"/>
      <c r="C922" s="19"/>
      <c r="D922" s="19"/>
      <c r="E922" s="19">
        <v>0</v>
      </c>
      <c r="F922" s="19"/>
      <c r="G922" s="19">
        <v>0</v>
      </c>
      <c r="H922" s="19"/>
      <c r="I922" s="19">
        <v>0</v>
      </c>
      <c r="J922" s="19"/>
      <c r="K922" s="19"/>
      <c r="L922" s="19"/>
      <c r="M922" s="19"/>
      <c r="N922" s="44"/>
    </row>
    <row r="923" spans="1:14" ht="21" customHeight="1">
      <c r="A923" s="18" t="s">
        <v>150</v>
      </c>
      <c r="B923" s="18"/>
      <c r="C923" s="20">
        <v>1266</v>
      </c>
      <c r="D923" s="21" t="s">
        <v>99</v>
      </c>
      <c r="E923" s="20">
        <v>0</v>
      </c>
      <c r="F923" s="20">
        <f>ROUND(E923*C923,0)</f>
        <v>0</v>
      </c>
      <c r="G923" s="20">
        <v>76.370400000000004</v>
      </c>
      <c r="H923" s="20">
        <f>ROUND(G923*C923,0)</f>
        <v>96685</v>
      </c>
      <c r="I923" s="20">
        <v>516.56089999999995</v>
      </c>
      <c r="J923" s="20">
        <f>ROUND(I923*C923,0)</f>
        <v>653966</v>
      </c>
      <c r="K923" s="20">
        <f>E923+G923+I923</f>
        <v>592.93129999999996</v>
      </c>
      <c r="L923" s="20">
        <f>F923+H923+J923</f>
        <v>750651</v>
      </c>
      <c r="M923" s="18"/>
      <c r="N923" s="44"/>
    </row>
    <row r="924" spans="1:14" ht="21" customHeight="1">
      <c r="A924" s="18" t="s">
        <v>151</v>
      </c>
      <c r="B924" s="18"/>
      <c r="C924" s="19"/>
      <c r="D924" s="19"/>
      <c r="E924" s="19">
        <v>0</v>
      </c>
      <c r="F924" s="19"/>
      <c r="G924" s="19">
        <v>0</v>
      </c>
      <c r="H924" s="19"/>
      <c r="I924" s="19">
        <v>0</v>
      </c>
      <c r="J924" s="19"/>
      <c r="K924" s="19"/>
      <c r="L924" s="19"/>
      <c r="M924" s="19"/>
      <c r="N924" s="44"/>
    </row>
    <row r="925" spans="1:14" ht="21" customHeight="1">
      <c r="A925" s="18" t="s">
        <v>152</v>
      </c>
      <c r="B925" s="18" t="s">
        <v>1166</v>
      </c>
      <c r="C925" s="20">
        <v>185</v>
      </c>
      <c r="D925" s="21" t="s">
        <v>99</v>
      </c>
      <c r="E925" s="20">
        <v>0</v>
      </c>
      <c r="F925" s="20">
        <f>ROUND(E925*C925,0)</f>
        <v>0</v>
      </c>
      <c r="G925" s="20">
        <v>259.87149999999997</v>
      </c>
      <c r="H925" s="20">
        <f>ROUND(G925*C925,0)</f>
        <v>48076</v>
      </c>
      <c r="I925" s="20">
        <v>1767.1261999999999</v>
      </c>
      <c r="J925" s="20">
        <f>ROUND(I925*C925,0)</f>
        <v>326918</v>
      </c>
      <c r="K925" s="20">
        <f>E925+G925+I925</f>
        <v>2026.9976999999999</v>
      </c>
      <c r="L925" s="20">
        <f>F925+H925+J925</f>
        <v>374994</v>
      </c>
      <c r="M925" s="18"/>
      <c r="N925" s="44"/>
    </row>
    <row r="926" spans="1:14" ht="21" customHeight="1">
      <c r="A926" s="18" t="s">
        <v>156</v>
      </c>
      <c r="B926" s="18"/>
      <c r="C926" s="19"/>
      <c r="D926" s="19"/>
      <c r="E926" s="19">
        <v>0</v>
      </c>
      <c r="F926" s="19"/>
      <c r="G926" s="19">
        <v>0</v>
      </c>
      <c r="H926" s="19"/>
      <c r="I926" s="19">
        <v>0</v>
      </c>
      <c r="J926" s="19"/>
      <c r="K926" s="19"/>
      <c r="L926" s="19"/>
      <c r="M926" s="19"/>
      <c r="N926" s="44"/>
    </row>
    <row r="927" spans="1:14" ht="21" customHeight="1">
      <c r="A927" s="18" t="s">
        <v>157</v>
      </c>
      <c r="B927" s="18" t="s">
        <v>1167</v>
      </c>
      <c r="C927" s="20">
        <v>136</v>
      </c>
      <c r="D927" s="21" t="s">
        <v>99</v>
      </c>
      <c r="E927" s="20">
        <v>0</v>
      </c>
      <c r="F927" s="20">
        <f>ROUND(E927*C927,0)</f>
        <v>0</v>
      </c>
      <c r="G927" s="20">
        <v>706.42619999999999</v>
      </c>
      <c r="H927" s="20">
        <f>ROUND(G927*C927,0)</f>
        <v>96074</v>
      </c>
      <c r="I927" s="20">
        <v>3545.9200999999998</v>
      </c>
      <c r="J927" s="20">
        <f>ROUND(I927*C927,0)</f>
        <v>482245</v>
      </c>
      <c r="K927" s="20">
        <f>E927+G927+I927</f>
        <v>4252.3463000000002</v>
      </c>
      <c r="L927" s="20">
        <f>F927+H927+J927</f>
        <v>578319</v>
      </c>
      <c r="M927" s="18"/>
      <c r="N927" s="44"/>
    </row>
    <row r="928" spans="1:14" ht="21" customHeight="1">
      <c r="A928" s="18" t="s">
        <v>176</v>
      </c>
      <c r="B928" s="18"/>
      <c r="C928" s="19"/>
      <c r="D928" s="19"/>
      <c r="E928" s="19">
        <v>0</v>
      </c>
      <c r="F928" s="19"/>
      <c r="G928" s="19">
        <v>0</v>
      </c>
      <c r="H928" s="19"/>
      <c r="I928" s="19">
        <v>0</v>
      </c>
      <c r="J928" s="19"/>
      <c r="K928" s="19"/>
      <c r="L928" s="19"/>
      <c r="M928" s="19"/>
      <c r="N928" s="44"/>
    </row>
    <row r="929" spans="1:14" ht="21" customHeight="1">
      <c r="A929" s="18" t="s">
        <v>177</v>
      </c>
      <c r="B929" s="18" t="s">
        <v>178</v>
      </c>
      <c r="C929" s="20">
        <v>36</v>
      </c>
      <c r="D929" s="21" t="s">
        <v>179</v>
      </c>
      <c r="E929" s="20">
        <v>10925.21</v>
      </c>
      <c r="F929" s="20">
        <f>ROUND(E929*C929,0)</f>
        <v>393308</v>
      </c>
      <c r="G929" s="20">
        <v>76913.478399999993</v>
      </c>
      <c r="H929" s="20">
        <f>ROUND(G929*C929,0)</f>
        <v>2768885</v>
      </c>
      <c r="I929" s="20">
        <v>0</v>
      </c>
      <c r="J929" s="20">
        <f>ROUND(I929*C929,0)</f>
        <v>0</v>
      </c>
      <c r="K929" s="20">
        <f>E929+G929+I929</f>
        <v>87838.688399999985</v>
      </c>
      <c r="L929" s="20">
        <f>F929+H929+J929</f>
        <v>3162193</v>
      </c>
      <c r="M929" s="18"/>
      <c r="N929" s="44"/>
    </row>
    <row r="930" spans="1:14" ht="21" customHeight="1">
      <c r="A930" s="18" t="s">
        <v>180</v>
      </c>
      <c r="B930" s="18" t="s">
        <v>181</v>
      </c>
      <c r="C930" s="20">
        <v>6</v>
      </c>
      <c r="D930" s="21" t="s">
        <v>179</v>
      </c>
      <c r="E930" s="20">
        <v>34960.671999999999</v>
      </c>
      <c r="F930" s="20">
        <f>ROUND(E930*C930,0)</f>
        <v>209764</v>
      </c>
      <c r="G930" s="20">
        <v>102150.7135</v>
      </c>
      <c r="H930" s="20">
        <f>ROUND(G930*C930,0)</f>
        <v>612904</v>
      </c>
      <c r="I930" s="20">
        <v>0</v>
      </c>
      <c r="J930" s="20">
        <f>ROUND(I930*C930,0)</f>
        <v>0</v>
      </c>
      <c r="K930" s="20">
        <f>E930+G930+I930</f>
        <v>137111.3855</v>
      </c>
      <c r="L930" s="20">
        <f>F930+H930+J930</f>
        <v>822668</v>
      </c>
      <c r="M930" s="18"/>
      <c r="N930" s="44"/>
    </row>
    <row r="931" spans="1:14" ht="21" customHeight="1">
      <c r="A931" s="18" t="s">
        <v>1168</v>
      </c>
      <c r="B931" s="18"/>
      <c r="C931" s="19"/>
      <c r="D931" s="19"/>
      <c r="E931" s="19">
        <v>0</v>
      </c>
      <c r="F931" s="19"/>
      <c r="G931" s="19">
        <v>0</v>
      </c>
      <c r="H931" s="19"/>
      <c r="I931" s="19">
        <v>0</v>
      </c>
      <c r="J931" s="19"/>
      <c r="K931" s="19"/>
      <c r="L931" s="19"/>
      <c r="M931" s="19"/>
      <c r="N931" s="44"/>
    </row>
    <row r="932" spans="1:14" ht="21" customHeight="1">
      <c r="A932" s="18" t="s">
        <v>203</v>
      </c>
      <c r="B932" s="18"/>
      <c r="C932" s="19"/>
      <c r="D932" s="19"/>
      <c r="E932" s="19">
        <v>0</v>
      </c>
      <c r="F932" s="19"/>
      <c r="G932" s="19">
        <v>0</v>
      </c>
      <c r="H932" s="19"/>
      <c r="I932" s="19">
        <v>0</v>
      </c>
      <c r="J932" s="19"/>
      <c r="K932" s="19"/>
      <c r="L932" s="19"/>
      <c r="M932" s="19"/>
      <c r="N932" s="44"/>
    </row>
    <row r="933" spans="1:14" ht="21" customHeight="1">
      <c r="A933" s="18" t="s">
        <v>204</v>
      </c>
      <c r="B933" s="18" t="s">
        <v>205</v>
      </c>
      <c r="C933" s="20">
        <v>20</v>
      </c>
      <c r="D933" s="21" t="s">
        <v>99</v>
      </c>
      <c r="E933" s="20">
        <v>0</v>
      </c>
      <c r="F933" s="20">
        <f>ROUND(E933*C933,0)</f>
        <v>0</v>
      </c>
      <c r="G933" s="20">
        <v>9614.1847999999991</v>
      </c>
      <c r="H933" s="20">
        <f>ROUND(G933*C933,0)</f>
        <v>192284</v>
      </c>
      <c r="I933" s="20">
        <v>34821.720300000001</v>
      </c>
      <c r="J933" s="20">
        <f>ROUND(I933*C933,0)</f>
        <v>696434</v>
      </c>
      <c r="K933" s="20">
        <f t="shared" ref="K933:L937" si="206">E933+G933+I933</f>
        <v>44435.905100000004</v>
      </c>
      <c r="L933" s="20">
        <f t="shared" si="206"/>
        <v>888718</v>
      </c>
      <c r="M933" s="18"/>
      <c r="N933" s="44"/>
    </row>
    <row r="934" spans="1:14" ht="21" customHeight="1">
      <c r="A934" s="18" t="s">
        <v>206</v>
      </c>
      <c r="B934" s="18" t="s">
        <v>205</v>
      </c>
      <c r="C934" s="20">
        <v>10</v>
      </c>
      <c r="D934" s="21" t="s">
        <v>99</v>
      </c>
      <c r="E934" s="20">
        <v>0</v>
      </c>
      <c r="F934" s="20">
        <f>ROUND(E934*C934,0)</f>
        <v>0</v>
      </c>
      <c r="G934" s="20">
        <v>4807.0923999999995</v>
      </c>
      <c r="H934" s="20">
        <f>ROUND(G934*C934,0)</f>
        <v>48071</v>
      </c>
      <c r="I934" s="20">
        <v>28143.553100000001</v>
      </c>
      <c r="J934" s="20">
        <f>ROUND(I934*C934,0)</f>
        <v>281436</v>
      </c>
      <c r="K934" s="20">
        <f t="shared" si="206"/>
        <v>32950.645499999999</v>
      </c>
      <c r="L934" s="20">
        <f t="shared" si="206"/>
        <v>329507</v>
      </c>
      <c r="M934" s="18"/>
      <c r="N934" s="44"/>
    </row>
    <row r="935" spans="1:14" ht="21" customHeight="1">
      <c r="A935" s="18" t="s">
        <v>1169</v>
      </c>
      <c r="B935" s="18"/>
      <c r="C935" s="20">
        <v>30</v>
      </c>
      <c r="D935" s="21" t="s">
        <v>231</v>
      </c>
      <c r="E935" s="20">
        <v>4042.3276999999998</v>
      </c>
      <c r="F935" s="20">
        <f>ROUND(E935*C935,0)</f>
        <v>121270</v>
      </c>
      <c r="G935" s="20">
        <v>1529.5293999999999</v>
      </c>
      <c r="H935" s="20">
        <f>ROUND(G935*C935,0)</f>
        <v>45886</v>
      </c>
      <c r="I935" s="20">
        <v>0</v>
      </c>
      <c r="J935" s="20">
        <f>ROUND(I935*C935,0)</f>
        <v>0</v>
      </c>
      <c r="K935" s="20">
        <f t="shared" si="206"/>
        <v>5571.8570999999993</v>
      </c>
      <c r="L935" s="20">
        <f t="shared" si="206"/>
        <v>167156</v>
      </c>
      <c r="M935" s="18"/>
      <c r="N935" s="44"/>
    </row>
    <row r="936" spans="1:14" ht="21" customHeight="1">
      <c r="A936" s="18" t="s">
        <v>1170</v>
      </c>
      <c r="B936" s="18" t="s">
        <v>1171</v>
      </c>
      <c r="C936" s="20">
        <v>162</v>
      </c>
      <c r="D936" s="21" t="s">
        <v>1015</v>
      </c>
      <c r="E936" s="20">
        <v>0</v>
      </c>
      <c r="F936" s="20">
        <f>ROUND(E936*C936,0)</f>
        <v>0</v>
      </c>
      <c r="G936" s="20">
        <v>1638.7815000000001</v>
      </c>
      <c r="H936" s="20">
        <f>ROUND(G936*C936,0)</f>
        <v>265483</v>
      </c>
      <c r="I936" s="20">
        <v>5962.1947</v>
      </c>
      <c r="J936" s="20">
        <f>ROUND(I936*C936,0)</f>
        <v>965876</v>
      </c>
      <c r="K936" s="20">
        <f t="shared" si="206"/>
        <v>7600.9762000000001</v>
      </c>
      <c r="L936" s="20">
        <f t="shared" si="206"/>
        <v>1231359</v>
      </c>
      <c r="M936" s="18"/>
      <c r="N936" s="44"/>
    </row>
    <row r="937" spans="1:14" ht="21" customHeight="1">
      <c r="A937" s="18" t="s">
        <v>1172</v>
      </c>
      <c r="B937" s="18" t="s">
        <v>1171</v>
      </c>
      <c r="C937" s="20">
        <v>22</v>
      </c>
      <c r="D937" s="21" t="s">
        <v>1015</v>
      </c>
      <c r="E937" s="20">
        <v>0</v>
      </c>
      <c r="F937" s="20">
        <f>ROUND(E937*C937,0)</f>
        <v>0</v>
      </c>
      <c r="G937" s="20">
        <v>1638.7815000000001</v>
      </c>
      <c r="H937" s="20">
        <f>ROUND(G937*C937,0)</f>
        <v>36053</v>
      </c>
      <c r="I937" s="20">
        <v>4769.9678999999996</v>
      </c>
      <c r="J937" s="20">
        <f>ROUND(I937*C937,0)</f>
        <v>104939</v>
      </c>
      <c r="K937" s="20">
        <f t="shared" si="206"/>
        <v>6408.7493999999997</v>
      </c>
      <c r="L937" s="20">
        <f t="shared" si="206"/>
        <v>140992</v>
      </c>
      <c r="M937" s="18"/>
      <c r="N937" s="44"/>
    </row>
    <row r="938" spans="1:14" ht="21" customHeight="1">
      <c r="A938" s="18" t="s">
        <v>207</v>
      </c>
      <c r="B938" s="18"/>
      <c r="C938" s="19"/>
      <c r="D938" s="19"/>
      <c r="E938" s="19">
        <v>0</v>
      </c>
      <c r="F938" s="19"/>
      <c r="G938" s="19">
        <v>0</v>
      </c>
      <c r="H938" s="19"/>
      <c r="I938" s="19">
        <v>0</v>
      </c>
      <c r="J938" s="19"/>
      <c r="K938" s="19"/>
      <c r="L938" s="19"/>
      <c r="M938" s="19"/>
      <c r="N938" s="44"/>
    </row>
    <row r="939" spans="1:14" ht="21" customHeight="1">
      <c r="A939" s="18" t="s">
        <v>208</v>
      </c>
      <c r="B939" s="18" t="s">
        <v>209</v>
      </c>
      <c r="C939" s="20">
        <v>214</v>
      </c>
      <c r="D939" s="21" t="s">
        <v>99</v>
      </c>
      <c r="E939" s="20">
        <v>0</v>
      </c>
      <c r="F939" s="20">
        <f>ROUND(E939*C939,0)</f>
        <v>0</v>
      </c>
      <c r="G939" s="20">
        <v>1092.521</v>
      </c>
      <c r="H939" s="20">
        <f>ROUND(G939*C939,0)</f>
        <v>233799</v>
      </c>
      <c r="I939" s="20">
        <v>2385.5142999999998</v>
      </c>
      <c r="J939" s="20">
        <f>ROUND(I939*C939,0)</f>
        <v>510500</v>
      </c>
      <c r="K939" s="20">
        <f>E939+G939+I939</f>
        <v>3478.0352999999996</v>
      </c>
      <c r="L939" s="20">
        <f>F939+H939+J939</f>
        <v>744299</v>
      </c>
      <c r="M939" s="18"/>
      <c r="N939" s="44"/>
    </row>
    <row r="940" spans="1:14" ht="21" customHeight="1">
      <c r="A940" s="18"/>
      <c r="B940" s="18"/>
      <c r="C940" s="20"/>
      <c r="D940" s="21"/>
      <c r="E940" s="20"/>
      <c r="F940" s="20"/>
      <c r="G940" s="20"/>
      <c r="H940" s="20"/>
      <c r="I940" s="20"/>
      <c r="J940" s="20"/>
      <c r="K940" s="20"/>
      <c r="L940" s="20"/>
      <c r="M940" s="18"/>
      <c r="N940" s="44"/>
    </row>
    <row r="941" spans="1:14" ht="21" customHeight="1">
      <c r="A941" s="14" t="s">
        <v>210</v>
      </c>
      <c r="B941" s="15"/>
      <c r="C941" s="16"/>
      <c r="D941" s="16"/>
      <c r="E941" s="16"/>
      <c r="F941" s="17">
        <f>SUM(F945:F995)</f>
        <v>113891806</v>
      </c>
      <c r="G941" s="16"/>
      <c r="H941" s="17">
        <f>SUM(H945:H995)</f>
        <v>56125531</v>
      </c>
      <c r="I941" s="16"/>
      <c r="J941" s="17">
        <f>SUM(J945:J995)</f>
        <v>58790980</v>
      </c>
      <c r="K941" s="16"/>
      <c r="L941" s="17">
        <f>F941+H941+J941</f>
        <v>228808317</v>
      </c>
      <c r="M941" s="16"/>
    </row>
    <row r="942" spans="1:14" ht="21" customHeight="1">
      <c r="A942" s="18" t="s">
        <v>211</v>
      </c>
      <c r="B942" s="18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</row>
    <row r="943" spans="1:14" ht="21" customHeight="1">
      <c r="A943" s="18" t="s">
        <v>212</v>
      </c>
      <c r="B943" s="18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</row>
    <row r="944" spans="1:14" ht="21" customHeight="1">
      <c r="A944" s="18" t="s">
        <v>150</v>
      </c>
      <c r="B944" s="18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</row>
    <row r="945" spans="1:14" ht="21" customHeight="1">
      <c r="A945" s="18" t="s">
        <v>213</v>
      </c>
      <c r="B945" s="18" t="s">
        <v>107</v>
      </c>
      <c r="C945" s="20">
        <v>2694</v>
      </c>
      <c r="D945" s="21" t="s">
        <v>99</v>
      </c>
      <c r="E945" s="20">
        <v>0</v>
      </c>
      <c r="F945" s="20">
        <f>ROUND(E945*C945,0)</f>
        <v>0</v>
      </c>
      <c r="G945" s="20">
        <v>2185.0419999999999</v>
      </c>
      <c r="H945" s="20">
        <f>ROUND(G945*C945,0)</f>
        <v>5886503</v>
      </c>
      <c r="I945" s="20">
        <v>5366.0812999999998</v>
      </c>
      <c r="J945" s="20">
        <f>ROUND(I945*C945,0)</f>
        <v>14456223</v>
      </c>
      <c r="K945" s="20">
        <f>E945+G945+I945</f>
        <v>7551.1232999999993</v>
      </c>
      <c r="L945" s="20">
        <f>F945+H945+J945</f>
        <v>20342726</v>
      </c>
      <c r="M945" s="18"/>
      <c r="N945" s="44"/>
    </row>
    <row r="946" spans="1:14" ht="21" customHeight="1">
      <c r="A946" s="18" t="s">
        <v>218</v>
      </c>
      <c r="B946" s="18"/>
      <c r="C946" s="19"/>
      <c r="D946" s="19"/>
      <c r="E946" s="19">
        <v>0</v>
      </c>
      <c r="F946" s="19"/>
      <c r="G946" s="19">
        <v>0</v>
      </c>
      <c r="H946" s="19"/>
      <c r="I946" s="19">
        <v>0</v>
      </c>
      <c r="J946" s="19"/>
      <c r="K946" s="19"/>
      <c r="L946" s="19"/>
      <c r="M946" s="19"/>
      <c r="N946" s="44"/>
    </row>
    <row r="947" spans="1:14" ht="21" customHeight="1">
      <c r="A947" s="18" t="s">
        <v>219</v>
      </c>
      <c r="B947" s="18" t="s">
        <v>223</v>
      </c>
      <c r="C947" s="20">
        <v>2103</v>
      </c>
      <c r="D947" s="21" t="s">
        <v>99</v>
      </c>
      <c r="E947" s="20">
        <v>0</v>
      </c>
      <c r="F947" s="20">
        <f>ROUND(E947*C947,0)</f>
        <v>0</v>
      </c>
      <c r="G947" s="20">
        <v>2185.0419999999999</v>
      </c>
      <c r="H947" s="20">
        <f>ROUND(G947*C947,0)</f>
        <v>4595143</v>
      </c>
      <c r="I947" s="20">
        <v>5962.1947</v>
      </c>
      <c r="J947" s="20">
        <f>ROUND(I947*C947,0)</f>
        <v>12538495</v>
      </c>
      <c r="K947" s="20">
        <f>E947+G947+I947</f>
        <v>8147.2366999999995</v>
      </c>
      <c r="L947" s="20">
        <f>F947+H947+J947</f>
        <v>17133638</v>
      </c>
      <c r="M947" s="18"/>
      <c r="N947" s="44"/>
    </row>
    <row r="948" spans="1:14" ht="21" customHeight="1">
      <c r="A948" s="18" t="s">
        <v>224</v>
      </c>
      <c r="B948" s="18"/>
      <c r="C948" s="19"/>
      <c r="D948" s="19"/>
      <c r="E948" s="19">
        <v>0</v>
      </c>
      <c r="F948" s="19"/>
      <c r="G948" s="19">
        <v>0</v>
      </c>
      <c r="H948" s="19"/>
      <c r="I948" s="19">
        <v>0</v>
      </c>
      <c r="J948" s="19"/>
      <c r="K948" s="19"/>
      <c r="L948" s="19"/>
      <c r="M948" s="19"/>
      <c r="N948" s="44"/>
    </row>
    <row r="949" spans="1:14" ht="21" customHeight="1">
      <c r="A949" s="18" t="s">
        <v>225</v>
      </c>
      <c r="B949" s="18" t="s">
        <v>226</v>
      </c>
      <c r="C949" s="20">
        <v>591</v>
      </c>
      <c r="D949" s="21" t="s">
        <v>99</v>
      </c>
      <c r="E949" s="20">
        <v>0</v>
      </c>
      <c r="F949" s="20">
        <f>ROUND(E949*C949,0)</f>
        <v>0</v>
      </c>
      <c r="G949" s="20">
        <v>0</v>
      </c>
      <c r="H949" s="20">
        <f>ROUND(G949*C949,0)</f>
        <v>0</v>
      </c>
      <c r="I949" s="20">
        <v>11925.4501</v>
      </c>
      <c r="J949" s="20">
        <f>ROUND(I949*C949,0)</f>
        <v>7047941</v>
      </c>
      <c r="K949" s="20">
        <f>E949+G949+I949</f>
        <v>11925.4501</v>
      </c>
      <c r="L949" s="20">
        <f>F949+H949+J949</f>
        <v>7047941</v>
      </c>
      <c r="M949" s="18"/>
      <c r="N949" s="44"/>
    </row>
    <row r="950" spans="1:14" ht="21" customHeight="1">
      <c r="A950" s="18" t="s">
        <v>227</v>
      </c>
      <c r="B950" s="18"/>
      <c r="C950" s="19"/>
      <c r="D950" s="19"/>
      <c r="E950" s="19">
        <v>0</v>
      </c>
      <c r="F950" s="19"/>
      <c r="G950" s="19">
        <v>0</v>
      </c>
      <c r="H950" s="19"/>
      <c r="I950" s="19">
        <v>0</v>
      </c>
      <c r="J950" s="19"/>
      <c r="K950" s="19"/>
      <c r="L950" s="19"/>
      <c r="M950" s="19"/>
      <c r="N950" s="44"/>
    </row>
    <row r="951" spans="1:14" ht="21" customHeight="1">
      <c r="A951" s="18" t="s">
        <v>228</v>
      </c>
      <c r="B951" s="18"/>
      <c r="C951" s="19"/>
      <c r="D951" s="19"/>
      <c r="E951" s="19">
        <v>0</v>
      </c>
      <c r="F951" s="19"/>
      <c r="G951" s="19">
        <v>0</v>
      </c>
      <c r="H951" s="19"/>
      <c r="I951" s="19">
        <v>0</v>
      </c>
      <c r="J951" s="19"/>
      <c r="K951" s="19"/>
      <c r="L951" s="19"/>
      <c r="M951" s="19"/>
      <c r="N951" s="44"/>
    </row>
    <row r="952" spans="1:14" ht="21" customHeight="1">
      <c r="A952" s="18" t="s">
        <v>229</v>
      </c>
      <c r="B952" s="18" t="s">
        <v>230</v>
      </c>
      <c r="C952" s="20">
        <v>107</v>
      </c>
      <c r="D952" s="21" t="s">
        <v>231</v>
      </c>
      <c r="E952" s="20">
        <v>0</v>
      </c>
      <c r="F952" s="20">
        <f>ROUND(E952*C952,0)</f>
        <v>0</v>
      </c>
      <c r="G952" s="20">
        <v>15011.026399999999</v>
      </c>
      <c r="H952" s="20">
        <f>ROUND(G952*C952,0)</f>
        <v>1606180</v>
      </c>
      <c r="I952" s="20">
        <v>15050.272300000001</v>
      </c>
      <c r="J952" s="20">
        <f>ROUND(I952*C952,0)</f>
        <v>1610379</v>
      </c>
      <c r="K952" s="20">
        <f>E952+G952+I952</f>
        <v>30061.298699999999</v>
      </c>
      <c r="L952" s="20">
        <f>F952+H952+J952</f>
        <v>3216559</v>
      </c>
      <c r="M952" s="18"/>
      <c r="N952" s="44"/>
    </row>
    <row r="953" spans="1:14" ht="21" customHeight="1">
      <c r="A953" s="18" t="s">
        <v>234</v>
      </c>
      <c r="B953" s="18" t="s">
        <v>235</v>
      </c>
      <c r="C953" s="20">
        <v>275</v>
      </c>
      <c r="D953" s="21" t="s">
        <v>231</v>
      </c>
      <c r="E953" s="20">
        <v>0</v>
      </c>
      <c r="F953" s="20">
        <f>ROUND(E953*C953,0)</f>
        <v>0</v>
      </c>
      <c r="G953" s="20">
        <v>19469.148499999999</v>
      </c>
      <c r="H953" s="20">
        <f>ROUND(G953*C953,0)</f>
        <v>5354016</v>
      </c>
      <c r="I953" s="20">
        <v>19557.186600000001</v>
      </c>
      <c r="J953" s="20">
        <f>ROUND(I953*C953,0)</f>
        <v>5378226</v>
      </c>
      <c r="K953" s="20">
        <f>E953+G953+I953</f>
        <v>39026.335099999997</v>
      </c>
      <c r="L953" s="20">
        <f>F953+H953+J953</f>
        <v>10732242</v>
      </c>
      <c r="M953" s="18"/>
      <c r="N953" s="44"/>
    </row>
    <row r="954" spans="1:14" ht="21" customHeight="1">
      <c r="A954" s="18" t="s">
        <v>244</v>
      </c>
      <c r="B954" s="18"/>
      <c r="C954" s="19"/>
      <c r="D954" s="19"/>
      <c r="E954" s="19">
        <v>0</v>
      </c>
      <c r="F954" s="19"/>
      <c r="G954" s="19">
        <v>0</v>
      </c>
      <c r="H954" s="19"/>
      <c r="I954" s="19">
        <v>0</v>
      </c>
      <c r="J954" s="19"/>
      <c r="K954" s="19"/>
      <c r="L954" s="19"/>
      <c r="M954" s="19"/>
      <c r="N954" s="44"/>
    </row>
    <row r="955" spans="1:14" ht="21" customHeight="1">
      <c r="A955" s="18" t="s">
        <v>245</v>
      </c>
      <c r="B955" s="18"/>
      <c r="C955" s="19"/>
      <c r="D955" s="19"/>
      <c r="E955" s="19">
        <v>0</v>
      </c>
      <c r="F955" s="19"/>
      <c r="G955" s="19">
        <v>0</v>
      </c>
      <c r="H955" s="19"/>
      <c r="I955" s="19">
        <v>0</v>
      </c>
      <c r="J955" s="19"/>
      <c r="K955" s="19"/>
      <c r="L955" s="19"/>
      <c r="M955" s="19"/>
      <c r="N955" s="44"/>
    </row>
    <row r="956" spans="1:14" ht="21" customHeight="1">
      <c r="A956" s="18" t="s">
        <v>246</v>
      </c>
      <c r="B956" s="18" t="s">
        <v>247</v>
      </c>
      <c r="C956" s="20">
        <v>134</v>
      </c>
      <c r="D956" s="21" t="s">
        <v>99</v>
      </c>
      <c r="E956" s="20">
        <v>0</v>
      </c>
      <c r="F956" s="20">
        <f>ROUND(E956*C956,0)</f>
        <v>0</v>
      </c>
      <c r="G956" s="20">
        <v>10925.21</v>
      </c>
      <c r="H956" s="20">
        <f>ROUND(G956*C956,0)</f>
        <v>1463978</v>
      </c>
      <c r="I956" s="20">
        <v>21465.385900000001</v>
      </c>
      <c r="J956" s="20">
        <f>ROUND(I956*C956,0)</f>
        <v>2876362</v>
      </c>
      <c r="K956" s="20">
        <f>E956+G956+I956</f>
        <v>32390.5959</v>
      </c>
      <c r="L956" s="20">
        <f>F956+H956+J956</f>
        <v>4340340</v>
      </c>
      <c r="M956" s="18"/>
      <c r="N956" s="44"/>
    </row>
    <row r="957" spans="1:14" ht="21" customHeight="1">
      <c r="A957" s="18" t="s">
        <v>248</v>
      </c>
      <c r="B957" s="18" t="s">
        <v>249</v>
      </c>
      <c r="C957" s="20">
        <v>508</v>
      </c>
      <c r="D957" s="21" t="s">
        <v>93</v>
      </c>
      <c r="E957" s="20">
        <v>8193.9074999999993</v>
      </c>
      <c r="F957" s="20">
        <f>ROUND(E957*C957,0)</f>
        <v>4162505</v>
      </c>
      <c r="G957" s="20">
        <v>31136.8485</v>
      </c>
      <c r="H957" s="20">
        <f>ROUND(G957*C957,0)</f>
        <v>15817519</v>
      </c>
      <c r="I957" s="20">
        <v>2385.5142999999998</v>
      </c>
      <c r="J957" s="20">
        <f>ROUND(I957*C957,0)</f>
        <v>1211841</v>
      </c>
      <c r="K957" s="20">
        <f>E957+G957+I957</f>
        <v>41716.270300000004</v>
      </c>
      <c r="L957" s="20">
        <f>F957+H957+J957</f>
        <v>21191865</v>
      </c>
      <c r="M957" s="18"/>
      <c r="N957" s="44"/>
    </row>
    <row r="958" spans="1:14" ht="21" customHeight="1">
      <c r="A958" s="18" t="s">
        <v>250</v>
      </c>
      <c r="B958" s="18"/>
      <c r="C958" s="19"/>
      <c r="D958" s="19"/>
      <c r="E958" s="19">
        <v>0</v>
      </c>
      <c r="F958" s="19"/>
      <c r="G958" s="19">
        <v>0</v>
      </c>
      <c r="H958" s="19"/>
      <c r="I958" s="19">
        <v>0</v>
      </c>
      <c r="J958" s="19"/>
      <c r="K958" s="19"/>
      <c r="L958" s="19"/>
      <c r="M958" s="19"/>
      <c r="N958" s="44"/>
    </row>
    <row r="959" spans="1:14" ht="21" customHeight="1">
      <c r="A959" s="18" t="s">
        <v>251</v>
      </c>
      <c r="B959" s="18" t="s">
        <v>254</v>
      </c>
      <c r="C959" s="20">
        <v>28</v>
      </c>
      <c r="D959" s="21" t="s">
        <v>201</v>
      </c>
      <c r="E959" s="20">
        <v>0</v>
      </c>
      <c r="F959" s="20">
        <f>ROUND(E959*C959,0)</f>
        <v>0</v>
      </c>
      <c r="G959" s="20">
        <v>64458.739000000001</v>
      </c>
      <c r="H959" s="20">
        <f>ROUND(G959*C959,0)</f>
        <v>1804845</v>
      </c>
      <c r="I959" s="20">
        <v>31959.951699999998</v>
      </c>
      <c r="J959" s="20">
        <f>ROUND(I959*C959,0)</f>
        <v>894879</v>
      </c>
      <c r="K959" s="20">
        <f>E959+G959+I959</f>
        <v>96418.690700000006</v>
      </c>
      <c r="L959" s="20">
        <f>F959+H959+J959</f>
        <v>2699724</v>
      </c>
      <c r="M959" s="18"/>
      <c r="N959" s="44"/>
    </row>
    <row r="960" spans="1:14" ht="21" customHeight="1">
      <c r="A960" s="18" t="s">
        <v>259</v>
      </c>
      <c r="B960" s="18"/>
      <c r="C960" s="19"/>
      <c r="D960" s="19"/>
      <c r="E960" s="19">
        <v>0</v>
      </c>
      <c r="F960" s="19"/>
      <c r="G960" s="19">
        <v>0</v>
      </c>
      <c r="H960" s="19"/>
      <c r="I960" s="19">
        <v>0</v>
      </c>
      <c r="J960" s="19"/>
      <c r="K960" s="19"/>
      <c r="L960" s="19"/>
      <c r="M960" s="19"/>
      <c r="N960" s="44"/>
    </row>
    <row r="961" spans="1:14" ht="21" customHeight="1">
      <c r="A961" s="18" t="s">
        <v>260</v>
      </c>
      <c r="B961" s="18" t="s">
        <v>261</v>
      </c>
      <c r="C961" s="20">
        <v>28</v>
      </c>
      <c r="D961" s="21" t="s">
        <v>201</v>
      </c>
      <c r="E961" s="20">
        <v>0</v>
      </c>
      <c r="F961" s="20">
        <f>ROUND(E961*C961,0)</f>
        <v>0</v>
      </c>
      <c r="G961" s="20">
        <v>41363.057199999996</v>
      </c>
      <c r="H961" s="20">
        <f>ROUND(G961*C961,0)</f>
        <v>1158166</v>
      </c>
      <c r="I961" s="20">
        <v>21298.856</v>
      </c>
      <c r="J961" s="20">
        <f>ROUND(I961*C961,0)</f>
        <v>596368</v>
      </c>
      <c r="K961" s="20">
        <f>E961+G961+I961</f>
        <v>62661.913199999995</v>
      </c>
      <c r="L961" s="20">
        <f>F961+H961+J961</f>
        <v>1754534</v>
      </c>
      <c r="M961" s="18"/>
      <c r="N961" s="44"/>
    </row>
    <row r="962" spans="1:14" ht="21" customHeight="1">
      <c r="A962" s="18" t="s">
        <v>262</v>
      </c>
      <c r="B962" s="18" t="s">
        <v>265</v>
      </c>
      <c r="C962" s="20">
        <v>5</v>
      </c>
      <c r="D962" s="21" t="s">
        <v>201</v>
      </c>
      <c r="E962" s="20">
        <v>0</v>
      </c>
      <c r="F962" s="20">
        <f>ROUND(E962*C962,0)</f>
        <v>0</v>
      </c>
      <c r="G962" s="20">
        <v>60088.654999999999</v>
      </c>
      <c r="H962" s="20">
        <f>ROUND(G962*C962,0)</f>
        <v>300443</v>
      </c>
      <c r="I962" s="20">
        <v>29813.0949</v>
      </c>
      <c r="J962" s="20">
        <f>ROUND(I962*C962,0)</f>
        <v>149065</v>
      </c>
      <c r="K962" s="20">
        <f>E962+G962+I962</f>
        <v>89901.749899999995</v>
      </c>
      <c r="L962" s="20">
        <f>F962+H962+J962</f>
        <v>449508</v>
      </c>
      <c r="M962" s="18"/>
      <c r="N962" s="44"/>
    </row>
    <row r="963" spans="1:14" ht="21" customHeight="1">
      <c r="A963" s="18" t="s">
        <v>274</v>
      </c>
      <c r="B963" s="18"/>
      <c r="C963" s="19"/>
      <c r="D963" s="19"/>
      <c r="E963" s="19">
        <v>0</v>
      </c>
      <c r="F963" s="19"/>
      <c r="G963" s="19">
        <v>0</v>
      </c>
      <c r="H963" s="19"/>
      <c r="I963" s="19">
        <v>0</v>
      </c>
      <c r="J963" s="19"/>
      <c r="K963" s="19"/>
      <c r="L963" s="19"/>
      <c r="M963" s="19"/>
      <c r="N963" s="44"/>
    </row>
    <row r="964" spans="1:14" ht="21" customHeight="1">
      <c r="A964" s="18" t="s">
        <v>1173</v>
      </c>
      <c r="B964" s="18" t="s">
        <v>278</v>
      </c>
      <c r="C964" s="20">
        <v>275</v>
      </c>
      <c r="D964" s="21" t="s">
        <v>231</v>
      </c>
      <c r="E964" s="20">
        <v>546.26049999999998</v>
      </c>
      <c r="F964" s="20">
        <f>ROUND(E964*C964,0)</f>
        <v>150222</v>
      </c>
      <c r="G964" s="20">
        <v>546.26049999999998</v>
      </c>
      <c r="H964" s="20">
        <f>ROUND(G964*C964,0)</f>
        <v>150222</v>
      </c>
      <c r="I964" s="20">
        <v>0</v>
      </c>
      <c r="J964" s="20">
        <f>ROUND(I964*C964,0)</f>
        <v>0</v>
      </c>
      <c r="K964" s="20">
        <f>E964+G964+I964</f>
        <v>1092.521</v>
      </c>
      <c r="L964" s="20">
        <f>F964+H964+J964</f>
        <v>300444</v>
      </c>
      <c r="M964" s="18"/>
      <c r="N964" s="44"/>
    </row>
    <row r="965" spans="1:14" ht="21" customHeight="1">
      <c r="A965" s="18" t="s">
        <v>281</v>
      </c>
      <c r="B965" s="18"/>
      <c r="C965" s="19"/>
      <c r="D965" s="19"/>
      <c r="E965" s="19">
        <v>0</v>
      </c>
      <c r="F965" s="19"/>
      <c r="G965" s="19">
        <v>0</v>
      </c>
      <c r="H965" s="19"/>
      <c r="I965" s="19">
        <v>0</v>
      </c>
      <c r="J965" s="19"/>
      <c r="K965" s="19"/>
      <c r="L965" s="19"/>
      <c r="M965" s="19"/>
      <c r="N965" s="44"/>
    </row>
    <row r="966" spans="1:14" ht="21" customHeight="1">
      <c r="A966" s="18" t="s">
        <v>282</v>
      </c>
      <c r="B966" s="18"/>
      <c r="C966" s="19"/>
      <c r="D966" s="19"/>
      <c r="E966" s="19">
        <v>0</v>
      </c>
      <c r="F966" s="19"/>
      <c r="G966" s="19">
        <v>0</v>
      </c>
      <c r="H966" s="19"/>
      <c r="I966" s="19">
        <v>0</v>
      </c>
      <c r="J966" s="19"/>
      <c r="K966" s="19"/>
      <c r="L966" s="19"/>
      <c r="M966" s="19"/>
      <c r="N966" s="44"/>
    </row>
    <row r="967" spans="1:14" ht="21" customHeight="1">
      <c r="A967" s="18" t="s">
        <v>1174</v>
      </c>
      <c r="B967" s="18" t="s">
        <v>1175</v>
      </c>
      <c r="C967" s="20">
        <v>5</v>
      </c>
      <c r="D967" s="21" t="s">
        <v>201</v>
      </c>
      <c r="E967" s="20">
        <v>928642.85</v>
      </c>
      <c r="F967" s="20">
        <f>ROUND(E967*C967,0)</f>
        <v>4643214</v>
      </c>
      <c r="G967" s="20">
        <v>181358.486</v>
      </c>
      <c r="H967" s="20">
        <f>ROUND(G967*C967,0)</f>
        <v>906792</v>
      </c>
      <c r="I967" s="20">
        <v>205769.43580000001</v>
      </c>
      <c r="J967" s="20">
        <f>ROUND(I967*C967,0)</f>
        <v>1028847</v>
      </c>
      <c r="K967" s="20">
        <f>E967+G967+I967</f>
        <v>1315770.7718</v>
      </c>
      <c r="L967" s="20">
        <f>F967+H967+J967</f>
        <v>6578853</v>
      </c>
      <c r="M967" s="18"/>
      <c r="N967" s="44"/>
    </row>
    <row r="968" spans="1:14" ht="21" customHeight="1">
      <c r="A968" s="18" t="s">
        <v>1176</v>
      </c>
      <c r="B968" s="18"/>
      <c r="C968" s="19"/>
      <c r="D968" s="19"/>
      <c r="E968" s="19">
        <v>0</v>
      </c>
      <c r="F968" s="19"/>
      <c r="G968" s="19">
        <v>0</v>
      </c>
      <c r="H968" s="19"/>
      <c r="I968" s="19">
        <v>0</v>
      </c>
      <c r="J968" s="19"/>
      <c r="K968" s="19"/>
      <c r="L968" s="19"/>
      <c r="M968" s="19"/>
      <c r="N968" s="44"/>
    </row>
    <row r="969" spans="1:14" ht="21" customHeight="1">
      <c r="A969" s="18" t="s">
        <v>303</v>
      </c>
      <c r="B969" s="18" t="s">
        <v>304</v>
      </c>
      <c r="C969" s="22">
        <v>1.1579999999999999</v>
      </c>
      <c r="D969" s="21" t="s">
        <v>99</v>
      </c>
      <c r="E969" s="20">
        <v>0</v>
      </c>
      <c r="F969" s="20">
        <f>ROUND(E969*C969,0)</f>
        <v>0</v>
      </c>
      <c r="G969" s="20">
        <v>189770.8977</v>
      </c>
      <c r="H969" s="20">
        <f>ROUND(G969*C969,0)</f>
        <v>219755</v>
      </c>
      <c r="I969" s="20">
        <v>0</v>
      </c>
      <c r="J969" s="20">
        <f>ROUND(I969*C969,0)</f>
        <v>0</v>
      </c>
      <c r="K969" s="20">
        <f>E969+G969+I969</f>
        <v>189770.8977</v>
      </c>
      <c r="L969" s="20">
        <f>F969+H969+J969</f>
        <v>219755</v>
      </c>
      <c r="M969" s="18"/>
      <c r="N969" s="44"/>
    </row>
    <row r="970" spans="1:14" ht="21" customHeight="1">
      <c r="A970" s="18" t="s">
        <v>307</v>
      </c>
      <c r="B970" s="18"/>
      <c r="C970" s="19"/>
      <c r="D970" s="19"/>
      <c r="E970" s="19">
        <v>0</v>
      </c>
      <c r="F970" s="19"/>
      <c r="G970" s="19">
        <v>0</v>
      </c>
      <c r="H970" s="19"/>
      <c r="I970" s="19">
        <v>0</v>
      </c>
      <c r="J970" s="19"/>
      <c r="K970" s="19"/>
      <c r="L970" s="19"/>
      <c r="M970" s="19"/>
      <c r="N970" s="44"/>
    </row>
    <row r="971" spans="1:14" ht="21" customHeight="1">
      <c r="A971" s="18" t="s">
        <v>308</v>
      </c>
      <c r="B971" s="18"/>
      <c r="C971" s="19"/>
      <c r="D971" s="19"/>
      <c r="E971" s="19">
        <v>0</v>
      </c>
      <c r="F971" s="19"/>
      <c r="G971" s="19">
        <v>0</v>
      </c>
      <c r="H971" s="19"/>
      <c r="I971" s="19">
        <v>0</v>
      </c>
      <c r="J971" s="19"/>
      <c r="K971" s="19"/>
      <c r="L971" s="19"/>
      <c r="M971" s="19"/>
      <c r="N971" s="44"/>
    </row>
    <row r="972" spans="1:14" ht="21" customHeight="1">
      <c r="A972" s="18" t="s">
        <v>309</v>
      </c>
      <c r="B972" s="18" t="s">
        <v>310</v>
      </c>
      <c r="C972" s="20">
        <v>28</v>
      </c>
      <c r="D972" s="21" t="s">
        <v>201</v>
      </c>
      <c r="E972" s="20">
        <v>79754.032999999996</v>
      </c>
      <c r="F972" s="20">
        <f>ROUND(E972*C972,0)</f>
        <v>2233113</v>
      </c>
      <c r="G972" s="20">
        <v>54626.049999999996</v>
      </c>
      <c r="H972" s="20">
        <f>ROUND(G972*C972,0)</f>
        <v>1529529</v>
      </c>
      <c r="I972" s="20">
        <v>74532.206900000005</v>
      </c>
      <c r="J972" s="20">
        <f>ROUND(I972*C972,0)</f>
        <v>2086902</v>
      </c>
      <c r="K972" s="20">
        <f>E972+G972+I972</f>
        <v>208912.28989999997</v>
      </c>
      <c r="L972" s="20">
        <f>F972+H972+J972</f>
        <v>5849544</v>
      </c>
      <c r="M972" s="18"/>
      <c r="N972" s="44"/>
    </row>
    <row r="973" spans="1:14" ht="21" customHeight="1">
      <c r="A973" s="18" t="s">
        <v>311</v>
      </c>
      <c r="B973" s="18"/>
      <c r="C973" s="19"/>
      <c r="D973" s="19"/>
      <c r="E973" s="19">
        <v>0</v>
      </c>
      <c r="F973" s="19"/>
      <c r="G973" s="19">
        <v>0</v>
      </c>
      <c r="H973" s="19"/>
      <c r="I973" s="19">
        <v>0</v>
      </c>
      <c r="J973" s="19"/>
      <c r="K973" s="19"/>
      <c r="L973" s="19"/>
      <c r="M973" s="19"/>
      <c r="N973" s="44"/>
    </row>
    <row r="974" spans="1:14" ht="21" customHeight="1">
      <c r="A974" s="18" t="s">
        <v>312</v>
      </c>
      <c r="B974" s="18"/>
      <c r="C974" s="19"/>
      <c r="D974" s="19"/>
      <c r="E974" s="19">
        <v>0</v>
      </c>
      <c r="F974" s="19"/>
      <c r="G974" s="19">
        <v>0</v>
      </c>
      <c r="H974" s="19"/>
      <c r="I974" s="19">
        <v>0</v>
      </c>
      <c r="J974" s="19"/>
      <c r="K974" s="19"/>
      <c r="L974" s="19"/>
      <c r="M974" s="19"/>
      <c r="N974" s="44"/>
    </row>
    <row r="975" spans="1:14" ht="21" customHeight="1">
      <c r="A975" s="18" t="s">
        <v>313</v>
      </c>
      <c r="B975" s="18" t="s">
        <v>314</v>
      </c>
      <c r="C975" s="20">
        <v>72</v>
      </c>
      <c r="D975" s="21" t="s">
        <v>231</v>
      </c>
      <c r="E975" s="20">
        <v>959233.43799999997</v>
      </c>
      <c r="F975" s="20">
        <f>ROUND(E975*C975,0)</f>
        <v>69064808</v>
      </c>
      <c r="G975" s="20">
        <v>196653.78</v>
      </c>
      <c r="H975" s="20">
        <f>ROUND(G975*C975,0)</f>
        <v>14159072</v>
      </c>
      <c r="I975" s="20">
        <v>65588.3845</v>
      </c>
      <c r="J975" s="20">
        <f>ROUND(I975*C975,0)</f>
        <v>4722364</v>
      </c>
      <c r="K975" s="20">
        <f>E975+G975+I975</f>
        <v>1221475.6024999998</v>
      </c>
      <c r="L975" s="20">
        <f>F975+H975+J975</f>
        <v>87946244</v>
      </c>
      <c r="M975" s="18"/>
      <c r="N975" s="44"/>
    </row>
    <row r="976" spans="1:14" ht="21" customHeight="1">
      <c r="A976" s="18" t="s">
        <v>1177</v>
      </c>
      <c r="B976" s="18"/>
      <c r="C976" s="19"/>
      <c r="D976" s="19"/>
      <c r="E976" s="19">
        <v>0</v>
      </c>
      <c r="F976" s="19"/>
      <c r="G976" s="19">
        <v>0</v>
      </c>
      <c r="H976" s="19"/>
      <c r="I976" s="19">
        <v>0</v>
      </c>
      <c r="J976" s="19"/>
      <c r="K976" s="19"/>
      <c r="L976" s="19"/>
      <c r="M976" s="19"/>
      <c r="N976" s="44"/>
    </row>
    <row r="977" spans="1:14" ht="21" customHeight="1">
      <c r="A977" s="18" t="s">
        <v>322</v>
      </c>
      <c r="B977" s="18" t="s">
        <v>247</v>
      </c>
      <c r="C977" s="20">
        <v>18</v>
      </c>
      <c r="D977" s="21" t="s">
        <v>99</v>
      </c>
      <c r="E977" s="20">
        <v>0</v>
      </c>
      <c r="F977" s="20">
        <f>ROUND(E977*C977,0)</f>
        <v>0</v>
      </c>
      <c r="G977" s="20">
        <v>14202.772999999999</v>
      </c>
      <c r="H977" s="20">
        <f>ROUND(G977*C977,0)</f>
        <v>255650</v>
      </c>
      <c r="I977" s="20">
        <v>13117.6769</v>
      </c>
      <c r="J977" s="20">
        <f>ROUND(I977*C977,0)</f>
        <v>236118</v>
      </c>
      <c r="K977" s="20">
        <f>E977+G977+I977</f>
        <v>27320.4499</v>
      </c>
      <c r="L977" s="20">
        <f>F977+H977+J977</f>
        <v>491768</v>
      </c>
      <c r="M977" s="18"/>
      <c r="N977" s="44"/>
    </row>
    <row r="978" spans="1:14" ht="21" customHeight="1">
      <c r="A978" s="18" t="s">
        <v>323</v>
      </c>
      <c r="B978" s="18" t="s">
        <v>249</v>
      </c>
      <c r="C978" s="20">
        <v>30</v>
      </c>
      <c r="D978" s="21" t="s">
        <v>93</v>
      </c>
      <c r="E978" s="20">
        <v>8193.9074999999993</v>
      </c>
      <c r="F978" s="20">
        <f>ROUND(E978*C978,0)</f>
        <v>245817</v>
      </c>
      <c r="G978" s="20">
        <v>30590.588</v>
      </c>
      <c r="H978" s="20">
        <f>ROUND(G978*C978,0)</f>
        <v>917718</v>
      </c>
      <c r="I978" s="20">
        <v>1788.3401999999999</v>
      </c>
      <c r="J978" s="20">
        <f>ROUND(I978*C978,0)</f>
        <v>53650</v>
      </c>
      <c r="K978" s="20">
        <f>E978+G978+I978</f>
        <v>40572.835699999996</v>
      </c>
      <c r="L978" s="20">
        <f>F978+H978+J978</f>
        <v>1217185</v>
      </c>
      <c r="M978" s="18"/>
      <c r="N978" s="44"/>
    </row>
    <row r="979" spans="1:14" ht="21" customHeight="1">
      <c r="A979" s="18" t="s">
        <v>496</v>
      </c>
      <c r="B979" s="18"/>
      <c r="C979" s="19"/>
      <c r="D979" s="19"/>
      <c r="E979" s="19">
        <v>0</v>
      </c>
      <c r="F979" s="19"/>
      <c r="G979" s="19">
        <v>0</v>
      </c>
      <c r="H979" s="19"/>
      <c r="I979" s="19">
        <v>0</v>
      </c>
      <c r="J979" s="19"/>
      <c r="K979" s="19"/>
      <c r="L979" s="19"/>
      <c r="M979" s="19"/>
      <c r="N979" s="44"/>
    </row>
    <row r="980" spans="1:14" ht="21" customHeight="1">
      <c r="A980" s="18" t="s">
        <v>373</v>
      </c>
      <c r="B980" s="18"/>
      <c r="C980" s="19"/>
      <c r="D980" s="19"/>
      <c r="E980" s="19">
        <v>0</v>
      </c>
      <c r="F980" s="19"/>
      <c r="G980" s="19">
        <v>0</v>
      </c>
      <c r="H980" s="19"/>
      <c r="I980" s="19">
        <v>0</v>
      </c>
      <c r="J980" s="19"/>
      <c r="K980" s="19"/>
      <c r="L980" s="19"/>
      <c r="M980" s="19"/>
      <c r="N980" s="44"/>
    </row>
    <row r="981" spans="1:14" ht="21" customHeight="1">
      <c r="A981" s="18" t="s">
        <v>374</v>
      </c>
      <c r="B981" s="18" t="s">
        <v>375</v>
      </c>
      <c r="C981" s="20">
        <v>17</v>
      </c>
      <c r="D981" s="21" t="s">
        <v>376</v>
      </c>
      <c r="E981" s="20">
        <v>6883.9430000000002</v>
      </c>
      <c r="F981" s="20">
        <f>ROUND(E981*C981,0)</f>
        <v>117027</v>
      </c>
      <c r="G981" s="20">
        <v>0</v>
      </c>
      <c r="H981" s="20">
        <f>ROUND(G981*C981,0)</f>
        <v>0</v>
      </c>
      <c r="I981" s="20">
        <v>0</v>
      </c>
      <c r="J981" s="20">
        <f>ROUND(I981*C981,0)</f>
        <v>0</v>
      </c>
      <c r="K981" s="20">
        <f>E981+G981+I981</f>
        <v>6883.9430000000002</v>
      </c>
      <c r="L981" s="20">
        <f>F981+H981+J981</f>
        <v>117027</v>
      </c>
      <c r="M981" s="18"/>
      <c r="N981" s="44"/>
    </row>
    <row r="982" spans="1:14" ht="21" customHeight="1">
      <c r="A982" s="18" t="s">
        <v>497</v>
      </c>
      <c r="B982" s="18" t="s">
        <v>380</v>
      </c>
      <c r="C982" s="20">
        <v>17</v>
      </c>
      <c r="D982" s="21" t="s">
        <v>376</v>
      </c>
      <c r="E982" s="20">
        <v>0</v>
      </c>
      <c r="F982" s="20">
        <f>ROUND(E982*C982,0)</f>
        <v>0</v>
      </c>
      <c r="G982" s="20">
        <v>0</v>
      </c>
      <c r="H982" s="20">
        <f>ROUND(G982*C982,0)</f>
        <v>0</v>
      </c>
      <c r="I982" s="20">
        <v>1273.9006999999999</v>
      </c>
      <c r="J982" s="20">
        <f>ROUND(I982*C982,0)</f>
        <v>21656</v>
      </c>
      <c r="K982" s="20">
        <f>E982+G982+I982</f>
        <v>1273.9006999999999</v>
      </c>
      <c r="L982" s="20">
        <f>F982+H982+J982</f>
        <v>21656</v>
      </c>
      <c r="M982" s="18"/>
      <c r="N982" s="44"/>
    </row>
    <row r="983" spans="1:14" ht="21" customHeight="1">
      <c r="A983" s="18" t="s">
        <v>381</v>
      </c>
      <c r="B983" s="18"/>
      <c r="C983" s="19"/>
      <c r="D983" s="19"/>
      <c r="E983" s="19">
        <v>0</v>
      </c>
      <c r="F983" s="19"/>
      <c r="G983" s="19">
        <v>0</v>
      </c>
      <c r="H983" s="19"/>
      <c r="I983" s="19">
        <v>0</v>
      </c>
      <c r="J983" s="19"/>
      <c r="K983" s="19"/>
      <c r="L983" s="19"/>
      <c r="M983" s="19"/>
      <c r="N983" s="44"/>
    </row>
    <row r="984" spans="1:14" ht="21" customHeight="1">
      <c r="A984" s="18" t="s">
        <v>382</v>
      </c>
      <c r="B984" s="18" t="s">
        <v>383</v>
      </c>
      <c r="C984" s="20">
        <v>18</v>
      </c>
      <c r="D984" s="21" t="s">
        <v>99</v>
      </c>
      <c r="E984" s="20">
        <v>28405.545999999998</v>
      </c>
      <c r="F984" s="20">
        <f>ROUND(E984*C984,0)</f>
        <v>511300</v>
      </c>
      <c r="G984" s="20">
        <v>0</v>
      </c>
      <c r="H984" s="20">
        <f>ROUND(G984*C984,0)</f>
        <v>0</v>
      </c>
      <c r="I984" s="20">
        <v>0</v>
      </c>
      <c r="J984" s="20">
        <f>ROUND(I984*C984,0)</f>
        <v>0</v>
      </c>
      <c r="K984" s="20">
        <f>E984+G984+I984</f>
        <v>28405.545999999998</v>
      </c>
      <c r="L984" s="20">
        <f>F984+H984+J984</f>
        <v>511300</v>
      </c>
      <c r="M984" s="18"/>
      <c r="N984" s="44"/>
    </row>
    <row r="985" spans="1:14" ht="21" customHeight="1">
      <c r="A985" s="18" t="s">
        <v>1178</v>
      </c>
      <c r="B985" s="18" t="s">
        <v>387</v>
      </c>
      <c r="C985" s="20">
        <v>3</v>
      </c>
      <c r="D985" s="21" t="s">
        <v>99</v>
      </c>
      <c r="E985" s="20">
        <v>19665.378000000001</v>
      </c>
      <c r="F985" s="20">
        <f>ROUND(E985*C985,0)</f>
        <v>58996</v>
      </c>
      <c r="G985" s="20">
        <v>0</v>
      </c>
      <c r="H985" s="20">
        <f>ROUND(G985*C985,0)</f>
        <v>0</v>
      </c>
      <c r="I985" s="20">
        <v>0</v>
      </c>
      <c r="J985" s="20">
        <f>ROUND(I985*C985,0)</f>
        <v>0</v>
      </c>
      <c r="K985" s="20">
        <f>E985+G985+I985</f>
        <v>19665.378000000001</v>
      </c>
      <c r="L985" s="20">
        <f>F985+H985+J985</f>
        <v>58996</v>
      </c>
      <c r="M985" s="18"/>
      <c r="N985" s="44"/>
    </row>
    <row r="986" spans="1:14" ht="21" customHeight="1">
      <c r="A986" s="18" t="s">
        <v>918</v>
      </c>
      <c r="B986" s="18"/>
      <c r="C986" s="19"/>
      <c r="D986" s="19"/>
      <c r="E986" s="19">
        <v>0</v>
      </c>
      <c r="F986" s="19"/>
      <c r="G986" s="19">
        <v>0</v>
      </c>
      <c r="H986" s="19"/>
      <c r="I986" s="19">
        <v>0</v>
      </c>
      <c r="J986" s="19"/>
      <c r="K986" s="19"/>
      <c r="L986" s="19"/>
      <c r="M986" s="19"/>
      <c r="N986" s="44"/>
    </row>
    <row r="987" spans="1:14" ht="21" customHeight="1">
      <c r="A987" s="18" t="s">
        <v>403</v>
      </c>
      <c r="B987" s="18" t="s">
        <v>404</v>
      </c>
      <c r="C987" s="20">
        <v>134</v>
      </c>
      <c r="D987" s="21" t="s">
        <v>99</v>
      </c>
      <c r="E987" s="20">
        <v>96141.847999999998</v>
      </c>
      <c r="F987" s="20">
        <f>ROUND(E987*C987,0)</f>
        <v>12883008</v>
      </c>
      <c r="G987" s="20">
        <v>0</v>
      </c>
      <c r="H987" s="20">
        <f>ROUND(G987*C987,0)</f>
        <v>0</v>
      </c>
      <c r="I987" s="20">
        <v>0</v>
      </c>
      <c r="J987" s="20">
        <f>ROUND(I987*C987,0)</f>
        <v>0</v>
      </c>
      <c r="K987" s="20">
        <f>E987+G987+I987</f>
        <v>96141.847999999998</v>
      </c>
      <c r="L987" s="20">
        <f>F987+H987+J987</f>
        <v>12883008</v>
      </c>
      <c r="M987" s="18"/>
      <c r="N987" s="44"/>
    </row>
    <row r="988" spans="1:14" ht="21" customHeight="1">
      <c r="A988" s="18" t="s">
        <v>405</v>
      </c>
      <c r="B988" s="18" t="s">
        <v>406</v>
      </c>
      <c r="C988" s="20">
        <v>18</v>
      </c>
      <c r="D988" s="21" t="s">
        <v>99</v>
      </c>
      <c r="E988" s="20">
        <v>94175.310199999993</v>
      </c>
      <c r="F988" s="20">
        <f>ROUND(E988*C988,0)</f>
        <v>1695156</v>
      </c>
      <c r="G988" s="20">
        <v>0</v>
      </c>
      <c r="H988" s="20">
        <f>ROUND(G988*C988,0)</f>
        <v>0</v>
      </c>
      <c r="I988" s="20">
        <v>0</v>
      </c>
      <c r="J988" s="20">
        <f>ROUND(I988*C988,0)</f>
        <v>0</v>
      </c>
      <c r="K988" s="20">
        <f>E988+G988+I988</f>
        <v>94175.310199999993</v>
      </c>
      <c r="L988" s="20">
        <f>F988+H988+J988</f>
        <v>1695156</v>
      </c>
      <c r="M988" s="18"/>
      <c r="N988" s="44"/>
    </row>
    <row r="989" spans="1:14" ht="21" customHeight="1">
      <c r="A989" s="18" t="s">
        <v>1179</v>
      </c>
      <c r="B989" s="18"/>
      <c r="C989" s="19"/>
      <c r="D989" s="19"/>
      <c r="E989" s="19">
        <v>0</v>
      </c>
      <c r="F989" s="19"/>
      <c r="G989" s="19">
        <v>0</v>
      </c>
      <c r="H989" s="19"/>
      <c r="I989" s="19">
        <v>0</v>
      </c>
      <c r="J989" s="19"/>
      <c r="K989" s="19"/>
      <c r="L989" s="19"/>
      <c r="M989" s="19"/>
      <c r="N989" s="44"/>
    </row>
    <row r="990" spans="1:14" ht="21" customHeight="1">
      <c r="A990" s="18" t="s">
        <v>408</v>
      </c>
      <c r="B990" s="18" t="s">
        <v>409</v>
      </c>
      <c r="C990" s="20">
        <v>107</v>
      </c>
      <c r="D990" s="21" t="s">
        <v>410</v>
      </c>
      <c r="E990" s="20">
        <v>20258.309300000001</v>
      </c>
      <c r="F990" s="20">
        <f>ROUND(E990*C990,0)</f>
        <v>2167639</v>
      </c>
      <c r="G990" s="20">
        <v>0</v>
      </c>
      <c r="H990" s="20">
        <f>ROUND(G990*C990,0)</f>
        <v>0</v>
      </c>
      <c r="I990" s="20">
        <v>5127.4237999999996</v>
      </c>
      <c r="J990" s="20">
        <f>ROUND(I990*C990,0)</f>
        <v>548634</v>
      </c>
      <c r="K990" s="20">
        <f t="shared" ref="K990:L993" si="207">E990+G990+I990</f>
        <v>25385.733100000001</v>
      </c>
      <c r="L990" s="20">
        <f t="shared" si="207"/>
        <v>2716273</v>
      </c>
      <c r="M990" s="18"/>
      <c r="N990" s="44"/>
    </row>
    <row r="991" spans="1:14" ht="21" customHeight="1">
      <c r="A991" s="18" t="s">
        <v>411</v>
      </c>
      <c r="B991" s="18" t="s">
        <v>414</v>
      </c>
      <c r="C991" s="20">
        <v>275</v>
      </c>
      <c r="D991" s="21" t="s">
        <v>410</v>
      </c>
      <c r="E991" s="20">
        <v>51676.243300000002</v>
      </c>
      <c r="F991" s="20">
        <f>ROUND(E991*C991,0)</f>
        <v>14210967</v>
      </c>
      <c r="G991" s="20">
        <v>0</v>
      </c>
      <c r="H991" s="20">
        <f>ROUND(G991*C991,0)</f>
        <v>0</v>
      </c>
      <c r="I991" s="20">
        <v>9778.5933000000005</v>
      </c>
      <c r="J991" s="20">
        <f>ROUND(I991*C991,0)</f>
        <v>2689113</v>
      </c>
      <c r="K991" s="20">
        <f t="shared" si="207"/>
        <v>61454.836600000002</v>
      </c>
      <c r="L991" s="20">
        <f t="shared" si="207"/>
        <v>16900080</v>
      </c>
      <c r="M991" s="18"/>
      <c r="N991" s="44"/>
    </row>
    <row r="992" spans="1:14" ht="21" customHeight="1">
      <c r="A992" s="18" t="s">
        <v>1180</v>
      </c>
      <c r="B992" s="18" t="s">
        <v>424</v>
      </c>
      <c r="C992" s="20">
        <v>43</v>
      </c>
      <c r="D992" s="21" t="s">
        <v>368</v>
      </c>
      <c r="E992" s="20">
        <v>0</v>
      </c>
      <c r="F992" s="20">
        <f>ROUND(E992*C992,0)</f>
        <v>0</v>
      </c>
      <c r="G992" s="20">
        <v>0</v>
      </c>
      <c r="H992" s="20">
        <f>ROUND(G992*C992,0)</f>
        <v>0</v>
      </c>
      <c r="I992" s="20">
        <v>2504.3126999999999</v>
      </c>
      <c r="J992" s="20">
        <f>ROUND(I992*C992,0)</f>
        <v>107685</v>
      </c>
      <c r="K992" s="20">
        <f t="shared" si="207"/>
        <v>2504.3126999999999</v>
      </c>
      <c r="L992" s="20">
        <f t="shared" si="207"/>
        <v>107685</v>
      </c>
      <c r="M992" s="18"/>
      <c r="N992" s="44"/>
    </row>
    <row r="993" spans="1:14" ht="21" customHeight="1">
      <c r="A993" s="18" t="s">
        <v>1181</v>
      </c>
      <c r="B993" s="18" t="s">
        <v>428</v>
      </c>
      <c r="C993" s="20">
        <v>110</v>
      </c>
      <c r="D993" s="21" t="s">
        <v>368</v>
      </c>
      <c r="E993" s="20">
        <v>0</v>
      </c>
      <c r="F993" s="20">
        <f>ROUND(E993*C993,0)</f>
        <v>0</v>
      </c>
      <c r="G993" s="20">
        <v>0</v>
      </c>
      <c r="H993" s="20">
        <f>ROUND(G993*C993,0)</f>
        <v>0</v>
      </c>
      <c r="I993" s="20">
        <v>3899.1331999999998</v>
      </c>
      <c r="J993" s="20">
        <f>ROUND(I993*C993,0)</f>
        <v>428905</v>
      </c>
      <c r="K993" s="20">
        <f t="shared" si="207"/>
        <v>3899.1331999999998</v>
      </c>
      <c r="L993" s="20">
        <f t="shared" si="207"/>
        <v>428905</v>
      </c>
      <c r="M993" s="18"/>
      <c r="N993" s="44"/>
    </row>
    <row r="994" spans="1:14" ht="21" customHeight="1">
      <c r="A994" s="18" t="s">
        <v>1182</v>
      </c>
      <c r="B994" s="18"/>
      <c r="C994" s="19"/>
      <c r="D994" s="19"/>
      <c r="E994" s="19">
        <v>0</v>
      </c>
      <c r="F994" s="19"/>
      <c r="G994" s="19">
        <v>0</v>
      </c>
      <c r="H994" s="19"/>
      <c r="I994" s="19">
        <v>0</v>
      </c>
      <c r="J994" s="19"/>
      <c r="K994" s="19"/>
      <c r="L994" s="19"/>
      <c r="M994" s="19"/>
      <c r="N994" s="44"/>
    </row>
    <row r="995" spans="1:14" ht="21" customHeight="1">
      <c r="A995" s="18" t="s">
        <v>438</v>
      </c>
      <c r="B995" s="18" t="s">
        <v>439</v>
      </c>
      <c r="C995" s="20">
        <v>5</v>
      </c>
      <c r="D995" s="21" t="s">
        <v>440</v>
      </c>
      <c r="E995" s="20">
        <v>349606.72</v>
      </c>
      <c r="F995" s="20">
        <f>ROUND(E995*C995,0)</f>
        <v>1748034</v>
      </c>
      <c r="G995" s="20">
        <v>0</v>
      </c>
      <c r="H995" s="20">
        <f>ROUND(G995*C995,0)</f>
        <v>0</v>
      </c>
      <c r="I995" s="20">
        <v>21465.385900000001</v>
      </c>
      <c r="J995" s="20">
        <f>ROUND(I995*C995,0)</f>
        <v>107327</v>
      </c>
      <c r="K995" s="20">
        <f>E995+G995+I995</f>
        <v>371072.10589999997</v>
      </c>
      <c r="L995" s="20">
        <f>F995+H995+J995</f>
        <v>1855361</v>
      </c>
      <c r="M995" s="18"/>
      <c r="N995" s="44"/>
    </row>
    <row r="996" spans="1:14" ht="21" customHeight="1">
      <c r="A996" s="18"/>
      <c r="B996" s="18"/>
      <c r="C996" s="20"/>
      <c r="D996" s="21"/>
      <c r="E996" s="20"/>
      <c r="F996" s="20"/>
      <c r="G996" s="20"/>
      <c r="H996" s="20"/>
      <c r="I996" s="20"/>
      <c r="J996" s="20"/>
      <c r="K996" s="20"/>
      <c r="L996" s="20"/>
      <c r="M996" s="18"/>
      <c r="N996" s="44"/>
    </row>
    <row r="997" spans="1:14" ht="21" customHeight="1">
      <c r="A997" s="14" t="s">
        <v>1183</v>
      </c>
      <c r="B997" s="15"/>
      <c r="C997" s="16"/>
      <c r="D997" s="16"/>
      <c r="E997" s="16"/>
      <c r="F997" s="17">
        <f>SUM(F1001:F1038)</f>
        <v>19471303</v>
      </c>
      <c r="G997" s="16"/>
      <c r="H997" s="17">
        <f>SUM(H1001:H1038)</f>
        <v>14525613</v>
      </c>
      <c r="I997" s="16"/>
      <c r="J997" s="17">
        <f>SUM(J1001:J1038)</f>
        <v>3648976</v>
      </c>
      <c r="K997" s="16"/>
      <c r="L997" s="17">
        <f>F997+H997+J997</f>
        <v>37645892</v>
      </c>
      <c r="M997" s="16"/>
    </row>
    <row r="998" spans="1:14" ht="21" customHeight="1">
      <c r="A998" s="18" t="s">
        <v>442</v>
      </c>
      <c r="B998" s="18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</row>
    <row r="999" spans="1:14" ht="21" customHeight="1">
      <c r="A999" s="18" t="s">
        <v>212</v>
      </c>
      <c r="B999" s="18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</row>
    <row r="1000" spans="1:14" ht="21" customHeight="1">
      <c r="A1000" s="18" t="s">
        <v>150</v>
      </c>
      <c r="B1000" s="18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</row>
    <row r="1001" spans="1:14" ht="21" customHeight="1">
      <c r="A1001" s="18" t="s">
        <v>213</v>
      </c>
      <c r="B1001" s="18" t="s">
        <v>215</v>
      </c>
      <c r="C1001" s="20">
        <v>328</v>
      </c>
      <c r="D1001" s="21" t="s">
        <v>99</v>
      </c>
      <c r="E1001" s="20">
        <v>1092.521</v>
      </c>
      <c r="F1001" s="20">
        <f>ROUND(E1001*C1001,0)</f>
        <v>358347</v>
      </c>
      <c r="G1001" s="20">
        <v>6555.1260000000002</v>
      </c>
      <c r="H1001" s="20">
        <f>ROUND(G1001*C1001,0)</f>
        <v>2150081</v>
      </c>
      <c r="I1001" s="20">
        <v>1192.2267999999999</v>
      </c>
      <c r="J1001" s="20">
        <f>ROUND(I1001*C1001,0)</f>
        <v>391050</v>
      </c>
      <c r="K1001" s="20">
        <f>E1001+G1001+I1001</f>
        <v>8839.8737999999994</v>
      </c>
      <c r="L1001" s="20">
        <f>F1001+H1001+J1001</f>
        <v>2899478</v>
      </c>
      <c r="M1001" s="18"/>
      <c r="N1001" s="44"/>
    </row>
    <row r="1002" spans="1:14" ht="21" customHeight="1">
      <c r="A1002" s="18" t="s">
        <v>218</v>
      </c>
      <c r="B1002" s="18"/>
      <c r="C1002" s="19"/>
      <c r="D1002" s="19"/>
      <c r="E1002" s="19">
        <v>0</v>
      </c>
      <c r="F1002" s="19"/>
      <c r="G1002" s="19">
        <v>0</v>
      </c>
      <c r="H1002" s="19"/>
      <c r="I1002" s="19">
        <v>0</v>
      </c>
      <c r="J1002" s="19"/>
      <c r="K1002" s="19"/>
      <c r="L1002" s="19"/>
      <c r="M1002" s="19"/>
      <c r="N1002" s="44"/>
    </row>
    <row r="1003" spans="1:14" ht="21" customHeight="1">
      <c r="A1003" s="18" t="s">
        <v>444</v>
      </c>
      <c r="B1003" s="18" t="s">
        <v>221</v>
      </c>
      <c r="C1003" s="20">
        <v>320</v>
      </c>
      <c r="D1003" s="21" t="s">
        <v>99</v>
      </c>
      <c r="E1003" s="20">
        <v>1092.521</v>
      </c>
      <c r="F1003" s="20">
        <f>ROUND(E1003*C1003,0)</f>
        <v>349607</v>
      </c>
      <c r="G1003" s="20">
        <v>3277.5630000000001</v>
      </c>
      <c r="H1003" s="20">
        <f>ROUND(G1003*C1003,0)</f>
        <v>1048820</v>
      </c>
      <c r="I1003" s="20">
        <v>3577.7410999999997</v>
      </c>
      <c r="J1003" s="20">
        <f>ROUND(I1003*C1003,0)</f>
        <v>1144877</v>
      </c>
      <c r="K1003" s="20">
        <f>E1003+G1003+I1003</f>
        <v>7947.8251</v>
      </c>
      <c r="L1003" s="20">
        <f>F1003+H1003+J1003</f>
        <v>2543304</v>
      </c>
      <c r="M1003" s="18"/>
      <c r="N1003" s="44"/>
    </row>
    <row r="1004" spans="1:14" ht="21" customHeight="1">
      <c r="A1004" s="18" t="s">
        <v>224</v>
      </c>
      <c r="B1004" s="18"/>
      <c r="C1004" s="19"/>
      <c r="D1004" s="19"/>
      <c r="E1004" s="19">
        <v>0</v>
      </c>
      <c r="F1004" s="19"/>
      <c r="G1004" s="19">
        <v>0</v>
      </c>
      <c r="H1004" s="19"/>
      <c r="I1004" s="19">
        <v>0</v>
      </c>
      <c r="J1004" s="19"/>
      <c r="K1004" s="19"/>
      <c r="L1004" s="19"/>
      <c r="M1004" s="19"/>
      <c r="N1004" s="44"/>
    </row>
    <row r="1005" spans="1:14" ht="21" customHeight="1">
      <c r="A1005" s="18" t="s">
        <v>225</v>
      </c>
      <c r="B1005" s="18" t="s">
        <v>445</v>
      </c>
      <c r="C1005" s="20">
        <v>8</v>
      </c>
      <c r="D1005" s="21" t="s">
        <v>99</v>
      </c>
      <c r="E1005" s="20">
        <v>0</v>
      </c>
      <c r="F1005" s="20">
        <f>ROUND(E1005*C1005,0)</f>
        <v>0</v>
      </c>
      <c r="G1005" s="20">
        <v>0</v>
      </c>
      <c r="H1005" s="20">
        <f>ROUND(G1005*C1005,0)</f>
        <v>0</v>
      </c>
      <c r="I1005" s="20">
        <v>11925.4501</v>
      </c>
      <c r="J1005" s="20">
        <f>ROUND(I1005*C1005,0)</f>
        <v>95404</v>
      </c>
      <c r="K1005" s="20">
        <f>E1005+G1005+I1005</f>
        <v>11925.4501</v>
      </c>
      <c r="L1005" s="20">
        <f>F1005+H1005+J1005</f>
        <v>95404</v>
      </c>
      <c r="M1005" s="18"/>
      <c r="N1005" s="44"/>
    </row>
    <row r="1006" spans="1:14" ht="21" customHeight="1">
      <c r="A1006" s="18" t="s">
        <v>510</v>
      </c>
      <c r="B1006" s="18"/>
      <c r="C1006" s="19"/>
      <c r="D1006" s="19"/>
      <c r="E1006" s="19">
        <v>0</v>
      </c>
      <c r="F1006" s="19"/>
      <c r="G1006" s="19">
        <v>0</v>
      </c>
      <c r="H1006" s="19"/>
      <c r="I1006" s="19">
        <v>0</v>
      </c>
      <c r="J1006" s="19"/>
      <c r="K1006" s="19"/>
      <c r="L1006" s="19"/>
      <c r="M1006" s="19"/>
      <c r="N1006" s="44"/>
    </row>
    <row r="1007" spans="1:14" ht="21" customHeight="1">
      <c r="A1007" s="18" t="s">
        <v>511</v>
      </c>
      <c r="B1007" s="18"/>
      <c r="C1007" s="19"/>
      <c r="D1007" s="19"/>
      <c r="E1007" s="19">
        <v>0</v>
      </c>
      <c r="F1007" s="19"/>
      <c r="G1007" s="19">
        <v>0</v>
      </c>
      <c r="H1007" s="19"/>
      <c r="I1007" s="19">
        <v>0</v>
      </c>
      <c r="J1007" s="19"/>
      <c r="K1007" s="19"/>
      <c r="L1007" s="19"/>
      <c r="M1007" s="19"/>
      <c r="N1007" s="44"/>
    </row>
    <row r="1008" spans="1:14" ht="21" customHeight="1">
      <c r="A1008" s="18" t="s">
        <v>512</v>
      </c>
      <c r="B1008" s="18" t="s">
        <v>513</v>
      </c>
      <c r="C1008" s="20">
        <v>312</v>
      </c>
      <c r="D1008" s="21" t="s">
        <v>231</v>
      </c>
      <c r="E1008" s="20">
        <v>3277.5630000000001</v>
      </c>
      <c r="F1008" s="20">
        <f>ROUND(E1008*C1008,0)</f>
        <v>1022600</v>
      </c>
      <c r="G1008" s="20">
        <v>17480.335999999999</v>
      </c>
      <c r="H1008" s="20">
        <f>ROUND(G1008*C1008,0)</f>
        <v>5453865</v>
      </c>
      <c r="I1008" s="20">
        <v>1192.2267999999999</v>
      </c>
      <c r="J1008" s="20">
        <f>ROUND(I1008*C1008,0)</f>
        <v>371975</v>
      </c>
      <c r="K1008" s="20">
        <f>E1008+G1008+I1008</f>
        <v>21950.125799999998</v>
      </c>
      <c r="L1008" s="20">
        <f>F1008+H1008+J1008</f>
        <v>6848440</v>
      </c>
      <c r="M1008" s="18"/>
      <c r="N1008" s="44"/>
    </row>
    <row r="1009" spans="1:14" ht="21" customHeight="1">
      <c r="A1009" s="18" t="s">
        <v>516</v>
      </c>
      <c r="B1009" s="18"/>
      <c r="C1009" s="19"/>
      <c r="D1009" s="19"/>
      <c r="E1009" s="19">
        <v>0</v>
      </c>
      <c r="F1009" s="19"/>
      <c r="G1009" s="19">
        <v>0</v>
      </c>
      <c r="H1009" s="19"/>
      <c r="I1009" s="19">
        <v>0</v>
      </c>
      <c r="J1009" s="19"/>
      <c r="K1009" s="19"/>
      <c r="L1009" s="19"/>
      <c r="M1009" s="19"/>
      <c r="N1009" s="44"/>
    </row>
    <row r="1010" spans="1:14" ht="21" customHeight="1">
      <c r="A1010" s="18" t="s">
        <v>517</v>
      </c>
      <c r="B1010" s="18" t="s">
        <v>518</v>
      </c>
      <c r="C1010" s="20">
        <v>6</v>
      </c>
      <c r="D1010" s="21" t="s">
        <v>201</v>
      </c>
      <c r="E1010" s="20">
        <v>19337.6217</v>
      </c>
      <c r="F1010" s="20">
        <f>ROUND(E1010*C1010,0)</f>
        <v>116026</v>
      </c>
      <c r="G1010" s="20">
        <v>54626.049999999996</v>
      </c>
      <c r="H1010" s="20">
        <f>ROUND(G1010*C1010,0)</f>
        <v>327756</v>
      </c>
      <c r="I1010" s="20">
        <v>0</v>
      </c>
      <c r="J1010" s="20">
        <f>ROUND(I1010*C1010,0)</f>
        <v>0</v>
      </c>
      <c r="K1010" s="20">
        <f>E1010+G1010+I1010</f>
        <v>73963.671699999992</v>
      </c>
      <c r="L1010" s="20">
        <f>F1010+H1010+J1010</f>
        <v>443782</v>
      </c>
      <c r="M1010" s="18"/>
      <c r="N1010" s="44"/>
    </row>
    <row r="1011" spans="1:14" ht="21" customHeight="1">
      <c r="A1011" s="18" t="s">
        <v>1184</v>
      </c>
      <c r="B1011" s="18" t="s">
        <v>518</v>
      </c>
      <c r="C1011" s="20">
        <v>6</v>
      </c>
      <c r="D1011" s="21" t="s">
        <v>201</v>
      </c>
      <c r="E1011" s="20">
        <v>28951.806499999999</v>
      </c>
      <c r="F1011" s="20">
        <f>ROUND(E1011*C1011,0)</f>
        <v>173711</v>
      </c>
      <c r="G1011" s="20">
        <v>65551.259999999995</v>
      </c>
      <c r="H1011" s="20">
        <f>ROUND(G1011*C1011,0)</f>
        <v>393308</v>
      </c>
      <c r="I1011" s="20">
        <v>0</v>
      </c>
      <c r="J1011" s="20">
        <f>ROUND(I1011*C1011,0)</f>
        <v>0</v>
      </c>
      <c r="K1011" s="20">
        <f>E1011+G1011+I1011</f>
        <v>94503.066499999986</v>
      </c>
      <c r="L1011" s="20">
        <f>F1011+H1011+J1011</f>
        <v>567019</v>
      </c>
      <c r="M1011" s="18"/>
      <c r="N1011" s="44"/>
    </row>
    <row r="1012" spans="1:14" ht="21" customHeight="1">
      <c r="A1012" s="18" t="s">
        <v>522</v>
      </c>
      <c r="B1012" s="18"/>
      <c r="C1012" s="19"/>
      <c r="D1012" s="19"/>
      <c r="E1012" s="19">
        <v>0</v>
      </c>
      <c r="F1012" s="19"/>
      <c r="G1012" s="19">
        <v>0</v>
      </c>
      <c r="H1012" s="19"/>
      <c r="I1012" s="19">
        <v>0</v>
      </c>
      <c r="J1012" s="19"/>
      <c r="K1012" s="19"/>
      <c r="L1012" s="19"/>
      <c r="M1012" s="19"/>
      <c r="N1012" s="44"/>
    </row>
    <row r="1013" spans="1:14" ht="21" customHeight="1">
      <c r="A1013" s="18" t="s">
        <v>523</v>
      </c>
      <c r="B1013" s="18" t="s">
        <v>518</v>
      </c>
      <c r="C1013" s="20">
        <v>1</v>
      </c>
      <c r="D1013" s="21" t="s">
        <v>201</v>
      </c>
      <c r="E1013" s="20">
        <v>7756.8990999999996</v>
      </c>
      <c r="F1013" s="20">
        <f>ROUND(E1013*C1013,0)</f>
        <v>7757</v>
      </c>
      <c r="G1013" s="20">
        <v>21850.42</v>
      </c>
      <c r="H1013" s="20">
        <f>ROUND(G1013*C1013,0)</f>
        <v>21850</v>
      </c>
      <c r="I1013" s="20">
        <v>0</v>
      </c>
      <c r="J1013" s="20">
        <f>ROUND(I1013*C1013,0)</f>
        <v>0</v>
      </c>
      <c r="K1013" s="20">
        <f>E1013+G1013+I1013</f>
        <v>29607.319099999997</v>
      </c>
      <c r="L1013" s="20">
        <f>F1013+H1013+J1013</f>
        <v>29607</v>
      </c>
      <c r="M1013" s="18"/>
      <c r="N1013" s="44"/>
    </row>
    <row r="1014" spans="1:14" ht="21" customHeight="1">
      <c r="A1014" s="18" t="s">
        <v>525</v>
      </c>
      <c r="B1014" s="18"/>
      <c r="C1014" s="19"/>
      <c r="D1014" s="19"/>
      <c r="E1014" s="19">
        <v>0</v>
      </c>
      <c r="F1014" s="19"/>
      <c r="G1014" s="19">
        <v>0</v>
      </c>
      <c r="H1014" s="19"/>
      <c r="I1014" s="19">
        <v>0</v>
      </c>
      <c r="J1014" s="19"/>
      <c r="K1014" s="19"/>
      <c r="L1014" s="19"/>
      <c r="M1014" s="19"/>
      <c r="N1014" s="44"/>
    </row>
    <row r="1015" spans="1:14" ht="21" customHeight="1">
      <c r="A1015" s="18" t="s">
        <v>526</v>
      </c>
      <c r="B1015" s="18" t="s">
        <v>518</v>
      </c>
      <c r="C1015" s="20">
        <v>6</v>
      </c>
      <c r="D1015" s="21" t="s">
        <v>201</v>
      </c>
      <c r="E1015" s="20">
        <v>0</v>
      </c>
      <c r="F1015" s="20">
        <f>ROUND(E1015*C1015,0)</f>
        <v>0</v>
      </c>
      <c r="G1015" s="20">
        <v>21850.42</v>
      </c>
      <c r="H1015" s="20">
        <f>ROUND(G1015*C1015,0)</f>
        <v>131103</v>
      </c>
      <c r="I1015" s="20">
        <v>0</v>
      </c>
      <c r="J1015" s="20">
        <f>ROUND(I1015*C1015,0)</f>
        <v>0</v>
      </c>
      <c r="K1015" s="20">
        <f>E1015+G1015+I1015</f>
        <v>21850.42</v>
      </c>
      <c r="L1015" s="20">
        <f>F1015+H1015+J1015</f>
        <v>131103</v>
      </c>
      <c r="M1015" s="18"/>
      <c r="N1015" s="44"/>
    </row>
    <row r="1016" spans="1:14" ht="21" customHeight="1">
      <c r="A1016" s="18" t="s">
        <v>547</v>
      </c>
      <c r="B1016" s="18"/>
      <c r="C1016" s="19"/>
      <c r="D1016" s="19"/>
      <c r="E1016" s="19">
        <v>0</v>
      </c>
      <c r="F1016" s="19"/>
      <c r="G1016" s="19">
        <v>0</v>
      </c>
      <c r="H1016" s="19"/>
      <c r="I1016" s="19">
        <v>0</v>
      </c>
      <c r="J1016" s="19"/>
      <c r="K1016" s="19"/>
      <c r="L1016" s="19"/>
      <c r="M1016" s="19"/>
      <c r="N1016" s="44"/>
    </row>
    <row r="1017" spans="1:14" ht="21" customHeight="1">
      <c r="A1017" s="18" t="s">
        <v>1185</v>
      </c>
      <c r="B1017" s="18"/>
      <c r="C1017" s="19"/>
      <c r="D1017" s="19"/>
      <c r="E1017" s="19">
        <v>0</v>
      </c>
      <c r="F1017" s="19"/>
      <c r="G1017" s="19">
        <v>0</v>
      </c>
      <c r="H1017" s="19"/>
      <c r="I1017" s="19">
        <v>0</v>
      </c>
      <c r="J1017" s="19"/>
      <c r="K1017" s="19"/>
      <c r="L1017" s="19"/>
      <c r="M1017" s="19"/>
      <c r="N1017" s="44"/>
    </row>
    <row r="1018" spans="1:14" ht="21" customHeight="1">
      <c r="A1018" s="18" t="s">
        <v>554</v>
      </c>
      <c r="B1018" s="18" t="s">
        <v>555</v>
      </c>
      <c r="C1018" s="20">
        <v>2</v>
      </c>
      <c r="D1018" s="21" t="s">
        <v>201</v>
      </c>
      <c r="E1018" s="20">
        <v>10925.21</v>
      </c>
      <c r="F1018" s="20">
        <f>ROUND(E1018*C1018,0)</f>
        <v>21850</v>
      </c>
      <c r="G1018" s="20">
        <v>65551.259999999995</v>
      </c>
      <c r="H1018" s="20">
        <f>ROUND(G1018*C1018,0)</f>
        <v>131103</v>
      </c>
      <c r="I1018" s="20">
        <v>11925.4501</v>
      </c>
      <c r="J1018" s="20">
        <f>ROUND(I1018*C1018,0)</f>
        <v>23851</v>
      </c>
      <c r="K1018" s="20">
        <f>E1018+G1018+I1018</f>
        <v>88401.920100000003</v>
      </c>
      <c r="L1018" s="20">
        <f>F1018+H1018+J1018</f>
        <v>176804</v>
      </c>
      <c r="M1018" s="18"/>
      <c r="N1018" s="44"/>
    </row>
    <row r="1019" spans="1:14" ht="21" customHeight="1">
      <c r="A1019" s="18" t="s">
        <v>575</v>
      </c>
      <c r="B1019" s="18"/>
      <c r="C1019" s="19"/>
      <c r="D1019" s="19"/>
      <c r="E1019" s="19">
        <v>0</v>
      </c>
      <c r="F1019" s="19"/>
      <c r="G1019" s="19">
        <v>0</v>
      </c>
      <c r="H1019" s="19"/>
      <c r="I1019" s="19">
        <v>0</v>
      </c>
      <c r="J1019" s="19"/>
      <c r="K1019" s="19"/>
      <c r="L1019" s="19"/>
      <c r="M1019" s="19"/>
      <c r="N1019" s="44"/>
    </row>
    <row r="1020" spans="1:14" ht="21" customHeight="1">
      <c r="A1020" s="18" t="s">
        <v>576</v>
      </c>
      <c r="B1020" s="18"/>
      <c r="C1020" s="19"/>
      <c r="D1020" s="19"/>
      <c r="E1020" s="19">
        <v>0</v>
      </c>
      <c r="F1020" s="19"/>
      <c r="G1020" s="19">
        <v>0</v>
      </c>
      <c r="H1020" s="19"/>
      <c r="I1020" s="19">
        <v>0</v>
      </c>
      <c r="J1020" s="19"/>
      <c r="K1020" s="19"/>
      <c r="L1020" s="19"/>
      <c r="M1020" s="19"/>
      <c r="N1020" s="44"/>
    </row>
    <row r="1021" spans="1:14" ht="21" customHeight="1">
      <c r="A1021" s="18" t="s">
        <v>577</v>
      </c>
      <c r="B1021" s="18" t="s">
        <v>578</v>
      </c>
      <c r="C1021" s="20">
        <v>1</v>
      </c>
      <c r="D1021" s="21" t="s">
        <v>201</v>
      </c>
      <c r="E1021" s="20">
        <v>1092521</v>
      </c>
      <c r="F1021" s="20">
        <f>ROUND(E1021*C1021,0)</f>
        <v>1092521</v>
      </c>
      <c r="G1021" s="20">
        <v>4370084</v>
      </c>
      <c r="H1021" s="20">
        <f>ROUND(G1021*C1021,0)</f>
        <v>4370084</v>
      </c>
      <c r="I1021" s="20">
        <v>1192516.3710999999</v>
      </c>
      <c r="J1021" s="20">
        <f>ROUND(I1021*C1021,0)</f>
        <v>1192516</v>
      </c>
      <c r="K1021" s="20">
        <f>E1021+G1021+I1021</f>
        <v>6655121.3711000001</v>
      </c>
      <c r="L1021" s="20">
        <f>F1021+H1021+J1021</f>
        <v>6655121</v>
      </c>
      <c r="M1021" s="18"/>
      <c r="N1021" s="44"/>
    </row>
    <row r="1022" spans="1:14" ht="21" customHeight="1">
      <c r="A1022" s="18" t="s">
        <v>579</v>
      </c>
      <c r="B1022" s="18" t="s">
        <v>580</v>
      </c>
      <c r="C1022" s="20">
        <v>2</v>
      </c>
      <c r="D1022" s="21" t="s">
        <v>201</v>
      </c>
      <c r="E1022" s="20">
        <v>327756.3</v>
      </c>
      <c r="F1022" s="20">
        <f>ROUND(E1022*C1022,0)</f>
        <v>655513</v>
      </c>
      <c r="G1022" s="20">
        <v>109252.09999999999</v>
      </c>
      <c r="H1022" s="20">
        <f>ROUND(G1022*C1022,0)</f>
        <v>218504</v>
      </c>
      <c r="I1022" s="20">
        <v>119251.3189</v>
      </c>
      <c r="J1022" s="20">
        <f>ROUND(I1022*C1022,0)</f>
        <v>238503</v>
      </c>
      <c r="K1022" s="20">
        <f>E1022+G1022+I1022</f>
        <v>556259.71889999998</v>
      </c>
      <c r="L1022" s="20">
        <f>F1022+H1022+J1022</f>
        <v>1112520</v>
      </c>
      <c r="M1022" s="18"/>
      <c r="N1022" s="44"/>
    </row>
    <row r="1023" spans="1:14" ht="21" customHeight="1">
      <c r="A1023" s="18" t="s">
        <v>1186</v>
      </c>
      <c r="B1023" s="18"/>
      <c r="C1023" s="19"/>
      <c r="D1023" s="19"/>
      <c r="E1023" s="19">
        <v>0</v>
      </c>
      <c r="F1023" s="19"/>
      <c r="G1023" s="19">
        <v>0</v>
      </c>
      <c r="H1023" s="19"/>
      <c r="I1023" s="19">
        <v>0</v>
      </c>
      <c r="J1023" s="19"/>
      <c r="K1023" s="19"/>
      <c r="L1023" s="19"/>
      <c r="M1023" s="19"/>
      <c r="N1023" s="44"/>
    </row>
    <row r="1024" spans="1:14" ht="21" customHeight="1">
      <c r="A1024" s="18" t="s">
        <v>597</v>
      </c>
      <c r="B1024" s="18" t="s">
        <v>518</v>
      </c>
      <c r="C1024" s="20">
        <v>2</v>
      </c>
      <c r="D1024" s="21" t="s">
        <v>201</v>
      </c>
      <c r="E1024" s="20">
        <v>18572.857</v>
      </c>
      <c r="F1024" s="20">
        <f>ROUND(E1024*C1024,0)</f>
        <v>37146</v>
      </c>
      <c r="G1024" s="20">
        <v>54626.049999999996</v>
      </c>
      <c r="H1024" s="20">
        <f>ROUND(G1024*C1024,0)</f>
        <v>109252</v>
      </c>
      <c r="I1024" s="20">
        <v>11925.4501</v>
      </c>
      <c r="J1024" s="20">
        <f>ROUND(I1024*C1024,0)</f>
        <v>23851</v>
      </c>
      <c r="K1024" s="20">
        <f>E1024+G1024+I1024</f>
        <v>85124.357099999994</v>
      </c>
      <c r="L1024" s="20">
        <f>F1024+H1024+J1024</f>
        <v>170249</v>
      </c>
      <c r="M1024" s="18"/>
      <c r="N1024" s="44"/>
    </row>
    <row r="1025" spans="1:14" ht="21" customHeight="1">
      <c r="A1025" s="18" t="s">
        <v>485</v>
      </c>
      <c r="B1025" s="18"/>
      <c r="C1025" s="19"/>
      <c r="D1025" s="19"/>
      <c r="E1025" s="19">
        <v>0</v>
      </c>
      <c r="F1025" s="19"/>
      <c r="G1025" s="19">
        <v>0</v>
      </c>
      <c r="H1025" s="19"/>
      <c r="I1025" s="19">
        <v>0</v>
      </c>
      <c r="J1025" s="19"/>
      <c r="K1025" s="19"/>
      <c r="L1025" s="19"/>
      <c r="M1025" s="19"/>
      <c r="N1025" s="44"/>
    </row>
    <row r="1026" spans="1:14" ht="21" customHeight="1">
      <c r="A1026" s="18" t="s">
        <v>599</v>
      </c>
      <c r="B1026" s="18"/>
      <c r="C1026" s="19"/>
      <c r="D1026" s="19"/>
      <c r="E1026" s="19">
        <v>0</v>
      </c>
      <c r="F1026" s="19"/>
      <c r="G1026" s="19">
        <v>0</v>
      </c>
      <c r="H1026" s="19"/>
      <c r="I1026" s="19">
        <v>0</v>
      </c>
      <c r="J1026" s="19"/>
      <c r="K1026" s="19"/>
      <c r="L1026" s="19"/>
      <c r="M1026" s="19"/>
      <c r="N1026" s="44"/>
    </row>
    <row r="1027" spans="1:14" ht="21" customHeight="1">
      <c r="A1027" s="18" t="s">
        <v>1173</v>
      </c>
      <c r="B1027" s="18" t="s">
        <v>278</v>
      </c>
      <c r="C1027" s="20">
        <v>311</v>
      </c>
      <c r="D1027" s="21" t="s">
        <v>231</v>
      </c>
      <c r="E1027" s="20">
        <v>546.26049999999998</v>
      </c>
      <c r="F1027" s="20">
        <f>ROUND(E1027*C1027,0)</f>
        <v>169887</v>
      </c>
      <c r="G1027" s="20">
        <v>546.26049999999998</v>
      </c>
      <c r="H1027" s="20">
        <f>ROUND(G1027*C1027,0)</f>
        <v>169887</v>
      </c>
      <c r="I1027" s="20">
        <v>0</v>
      </c>
      <c r="J1027" s="20">
        <f>ROUND(I1027*C1027,0)</f>
        <v>0</v>
      </c>
      <c r="K1027" s="20">
        <f>E1027+G1027+I1027</f>
        <v>1092.521</v>
      </c>
      <c r="L1027" s="20">
        <f>F1027+H1027+J1027</f>
        <v>339774</v>
      </c>
      <c r="M1027" s="18"/>
      <c r="N1027" s="44"/>
    </row>
    <row r="1028" spans="1:14" ht="21" customHeight="1">
      <c r="A1028" s="18" t="s">
        <v>496</v>
      </c>
      <c r="B1028" s="18"/>
      <c r="C1028" s="19"/>
      <c r="D1028" s="19"/>
      <c r="E1028" s="19">
        <v>0</v>
      </c>
      <c r="F1028" s="19"/>
      <c r="G1028" s="19">
        <v>0</v>
      </c>
      <c r="H1028" s="19"/>
      <c r="I1028" s="19">
        <v>0</v>
      </c>
      <c r="J1028" s="19"/>
      <c r="K1028" s="19"/>
      <c r="L1028" s="19"/>
      <c r="M1028" s="19"/>
      <c r="N1028" s="44"/>
    </row>
    <row r="1029" spans="1:14" ht="21" customHeight="1">
      <c r="A1029" s="18" t="s">
        <v>608</v>
      </c>
      <c r="B1029" s="18"/>
      <c r="C1029" s="19"/>
      <c r="D1029" s="19"/>
      <c r="E1029" s="19">
        <v>0</v>
      </c>
      <c r="F1029" s="19"/>
      <c r="G1029" s="19">
        <v>0</v>
      </c>
      <c r="H1029" s="19"/>
      <c r="I1029" s="19">
        <v>0</v>
      </c>
      <c r="J1029" s="19"/>
      <c r="K1029" s="19"/>
      <c r="L1029" s="19"/>
      <c r="M1029" s="19"/>
      <c r="N1029" s="44"/>
    </row>
    <row r="1030" spans="1:14" ht="21" customHeight="1">
      <c r="A1030" s="18" t="s">
        <v>403</v>
      </c>
      <c r="B1030" s="18" t="s">
        <v>406</v>
      </c>
      <c r="C1030" s="20">
        <v>1</v>
      </c>
      <c r="D1030" s="21" t="s">
        <v>99</v>
      </c>
      <c r="E1030" s="20">
        <v>100575.57399999999</v>
      </c>
      <c r="F1030" s="20">
        <f>ROUND(E1030*C1030,0)</f>
        <v>100576</v>
      </c>
      <c r="G1030" s="20">
        <v>0</v>
      </c>
      <c r="H1030" s="20">
        <f>ROUND(G1030*C1030,0)</f>
        <v>0</v>
      </c>
      <c r="I1030" s="20">
        <v>0</v>
      </c>
      <c r="J1030" s="20">
        <f>ROUND(I1030*C1030,0)</f>
        <v>0</v>
      </c>
      <c r="K1030" s="20">
        <f>E1030+G1030+I1030</f>
        <v>100575.57399999999</v>
      </c>
      <c r="L1030" s="20">
        <f>F1030+H1030+J1030</f>
        <v>100576</v>
      </c>
      <c r="M1030" s="18"/>
      <c r="N1030" s="44"/>
    </row>
    <row r="1031" spans="1:14" ht="21" customHeight="1">
      <c r="A1031" s="18" t="s">
        <v>1187</v>
      </c>
      <c r="B1031" s="18"/>
      <c r="C1031" s="19"/>
      <c r="D1031" s="19"/>
      <c r="E1031" s="19">
        <v>0</v>
      </c>
      <c r="F1031" s="19"/>
      <c r="G1031" s="19">
        <v>0</v>
      </c>
      <c r="H1031" s="19"/>
      <c r="I1031" s="19">
        <v>0</v>
      </c>
      <c r="J1031" s="19"/>
      <c r="K1031" s="19"/>
      <c r="L1031" s="19"/>
      <c r="M1031" s="19"/>
      <c r="N1031" s="44"/>
    </row>
    <row r="1032" spans="1:14" ht="21" customHeight="1">
      <c r="A1032" s="18" t="s">
        <v>620</v>
      </c>
      <c r="B1032" s="18" t="s">
        <v>621</v>
      </c>
      <c r="C1032" s="20">
        <v>54</v>
      </c>
      <c r="D1032" s="21" t="s">
        <v>368</v>
      </c>
      <c r="E1032" s="20">
        <v>258927.47699999998</v>
      </c>
      <c r="F1032" s="20">
        <f>ROUND(E1032*C1032,0)</f>
        <v>13982084</v>
      </c>
      <c r="G1032" s="20">
        <v>0</v>
      </c>
      <c r="H1032" s="20">
        <f>ROUND(G1032*C1032,0)</f>
        <v>0</v>
      </c>
      <c r="I1032" s="20">
        <v>0</v>
      </c>
      <c r="J1032" s="20">
        <f>ROUND(I1032*C1032,0)</f>
        <v>0</v>
      </c>
      <c r="K1032" s="20">
        <f t="shared" ref="K1032:L1034" si="208">E1032+G1032+I1032</f>
        <v>258927.47699999998</v>
      </c>
      <c r="L1032" s="20">
        <f t="shared" si="208"/>
        <v>13982084</v>
      </c>
      <c r="M1032" s="18"/>
      <c r="N1032" s="44"/>
    </row>
    <row r="1033" spans="1:14" ht="21" customHeight="1">
      <c r="A1033" s="18" t="s">
        <v>624</v>
      </c>
      <c r="B1033" s="18" t="s">
        <v>625</v>
      </c>
      <c r="C1033" s="20">
        <v>141</v>
      </c>
      <c r="D1033" s="21" t="s">
        <v>626</v>
      </c>
      <c r="E1033" s="20">
        <v>3823.8235</v>
      </c>
      <c r="F1033" s="20">
        <f>ROUND(E1033*C1033,0)</f>
        <v>539159</v>
      </c>
      <c r="G1033" s="20">
        <v>0</v>
      </c>
      <c r="H1033" s="20">
        <f>ROUND(G1033*C1033,0)</f>
        <v>0</v>
      </c>
      <c r="I1033" s="20">
        <v>0</v>
      </c>
      <c r="J1033" s="20">
        <f>ROUND(I1033*C1033,0)</f>
        <v>0</v>
      </c>
      <c r="K1033" s="20">
        <f t="shared" si="208"/>
        <v>3823.8235</v>
      </c>
      <c r="L1033" s="20">
        <f t="shared" si="208"/>
        <v>539159</v>
      </c>
      <c r="M1033" s="18"/>
      <c r="N1033" s="44"/>
    </row>
    <row r="1034" spans="1:14" ht="21" customHeight="1">
      <c r="A1034" s="18" t="s">
        <v>627</v>
      </c>
      <c r="B1034" s="18" t="s">
        <v>628</v>
      </c>
      <c r="C1034" s="20">
        <v>7</v>
      </c>
      <c r="D1034" s="21" t="s">
        <v>629</v>
      </c>
      <c r="E1034" s="20">
        <v>0</v>
      </c>
      <c r="F1034" s="20">
        <f>ROUND(E1034*C1034,0)</f>
        <v>0</v>
      </c>
      <c r="G1034" s="20">
        <v>0</v>
      </c>
      <c r="H1034" s="20">
        <f>ROUND(G1034*C1034,0)</f>
        <v>0</v>
      </c>
      <c r="I1034" s="20">
        <v>23849.839499999998</v>
      </c>
      <c r="J1034" s="20">
        <f>ROUND(I1034*C1034,0)</f>
        <v>166949</v>
      </c>
      <c r="K1034" s="20">
        <f t="shared" si="208"/>
        <v>23849.839499999998</v>
      </c>
      <c r="L1034" s="20">
        <f t="shared" si="208"/>
        <v>166949</v>
      </c>
      <c r="M1034" s="18"/>
      <c r="N1034" s="44"/>
    </row>
    <row r="1035" spans="1:14" ht="21" customHeight="1">
      <c r="A1035" s="18" t="s">
        <v>1188</v>
      </c>
      <c r="B1035" s="18"/>
      <c r="C1035" s="19"/>
      <c r="D1035" s="19"/>
      <c r="E1035" s="19">
        <v>0</v>
      </c>
      <c r="F1035" s="19"/>
      <c r="G1035" s="19">
        <v>0</v>
      </c>
      <c r="H1035" s="19"/>
      <c r="I1035" s="19">
        <v>0</v>
      </c>
      <c r="J1035" s="19"/>
      <c r="K1035" s="19"/>
      <c r="L1035" s="19"/>
      <c r="M1035" s="19"/>
      <c r="N1035" s="44"/>
    </row>
    <row r="1036" spans="1:14" ht="21" customHeight="1">
      <c r="A1036" s="18" t="s">
        <v>645</v>
      </c>
      <c r="B1036" s="18" t="s">
        <v>555</v>
      </c>
      <c r="C1036" s="20">
        <v>2</v>
      </c>
      <c r="D1036" s="21" t="s">
        <v>365</v>
      </c>
      <c r="E1036" s="20">
        <v>184636.049</v>
      </c>
      <c r="F1036" s="20">
        <f>ROUND(E1036*C1036,0)</f>
        <v>369272</v>
      </c>
      <c r="G1036" s="20">
        <v>0</v>
      </c>
      <c r="H1036" s="20">
        <f>ROUND(G1036*C1036,0)</f>
        <v>0</v>
      </c>
      <c r="I1036" s="20">
        <v>0</v>
      </c>
      <c r="J1036" s="20">
        <f>ROUND(I1036*C1036,0)</f>
        <v>0</v>
      </c>
      <c r="K1036" s="20">
        <f>E1036+G1036+I1036</f>
        <v>184636.049</v>
      </c>
      <c r="L1036" s="20">
        <f>F1036+H1036+J1036</f>
        <v>369272</v>
      </c>
      <c r="M1036" s="18"/>
      <c r="N1036" s="44"/>
    </row>
    <row r="1037" spans="1:14" ht="21" customHeight="1">
      <c r="A1037" s="18" t="s">
        <v>1189</v>
      </c>
      <c r="B1037" s="18"/>
      <c r="C1037" s="19"/>
      <c r="D1037" s="19"/>
      <c r="E1037" s="19">
        <v>0</v>
      </c>
      <c r="F1037" s="19"/>
      <c r="G1037" s="19">
        <v>0</v>
      </c>
      <c r="H1037" s="19"/>
      <c r="I1037" s="19">
        <v>0</v>
      </c>
      <c r="J1037" s="19"/>
      <c r="K1037" s="19"/>
      <c r="L1037" s="19"/>
      <c r="M1037" s="19"/>
      <c r="N1037" s="44"/>
    </row>
    <row r="1038" spans="1:14" ht="21" customHeight="1">
      <c r="A1038" s="18" t="s">
        <v>438</v>
      </c>
      <c r="B1038" s="18" t="s">
        <v>650</v>
      </c>
      <c r="C1038" s="20">
        <v>1</v>
      </c>
      <c r="D1038" s="21" t="s">
        <v>440</v>
      </c>
      <c r="E1038" s="20">
        <v>475246.63500000001</v>
      </c>
      <c r="F1038" s="20">
        <f>ROUND(E1038*C1038,0)</f>
        <v>475247</v>
      </c>
      <c r="G1038" s="20">
        <v>0</v>
      </c>
      <c r="H1038" s="20">
        <f>ROUND(G1038*C1038,0)</f>
        <v>0</v>
      </c>
      <c r="I1038" s="20">
        <v>0</v>
      </c>
      <c r="J1038" s="20">
        <f>ROUND(I1038*C1038,0)</f>
        <v>0</v>
      </c>
      <c r="K1038" s="20">
        <f>E1038+G1038+I1038</f>
        <v>475246.63500000001</v>
      </c>
      <c r="L1038" s="20">
        <f>F1038+H1038+J1038</f>
        <v>475247</v>
      </c>
      <c r="M1038" s="18"/>
      <c r="N1038" s="44"/>
    </row>
    <row r="1039" spans="1:14" ht="21" customHeight="1">
      <c r="A1039" s="18"/>
      <c r="B1039" s="18"/>
      <c r="C1039" s="20"/>
      <c r="D1039" s="21"/>
      <c r="E1039" s="20"/>
      <c r="F1039" s="20"/>
      <c r="G1039" s="20"/>
      <c r="H1039" s="20"/>
      <c r="I1039" s="20"/>
      <c r="J1039" s="20"/>
      <c r="K1039" s="20"/>
      <c r="L1039" s="20"/>
      <c r="M1039" s="18"/>
      <c r="N1039" s="44"/>
    </row>
    <row r="1040" spans="1:14" ht="21" customHeight="1">
      <c r="A1040" s="14" t="s">
        <v>1190</v>
      </c>
      <c r="B1040" s="15"/>
      <c r="C1040" s="16"/>
      <c r="D1040" s="16"/>
      <c r="E1040" s="16"/>
      <c r="F1040" s="17">
        <f>SUM(F1042:F1113)</f>
        <v>264616882</v>
      </c>
      <c r="G1040" s="16"/>
      <c r="H1040" s="17">
        <f>SUM(H1042:H1113)</f>
        <v>56155091</v>
      </c>
      <c r="I1040" s="16"/>
      <c r="J1040" s="17">
        <f>SUM(J1042:J1113)</f>
        <v>62747940</v>
      </c>
      <c r="K1040" s="16"/>
      <c r="L1040" s="17">
        <f>F1040+H1040+J1040</f>
        <v>383519913</v>
      </c>
      <c r="M1040" s="16"/>
    </row>
    <row r="1041" spans="1:14" ht="21" customHeight="1">
      <c r="A1041" s="18" t="s">
        <v>1191</v>
      </c>
      <c r="B1041" s="18"/>
      <c r="C1041" s="19"/>
      <c r="D1041" s="19"/>
      <c r="E1041" s="19"/>
      <c r="F1041" s="19"/>
      <c r="G1041" s="19"/>
      <c r="H1041" s="19"/>
      <c r="I1041" s="19"/>
      <c r="J1041" s="19"/>
      <c r="K1041" s="19"/>
      <c r="L1041" s="19"/>
      <c r="M1041" s="19"/>
    </row>
    <row r="1042" spans="1:14" ht="21" customHeight="1">
      <c r="A1042" s="18" t="s">
        <v>655</v>
      </c>
      <c r="B1042" s="18" t="s">
        <v>656</v>
      </c>
      <c r="C1042" s="20">
        <v>2180</v>
      </c>
      <c r="D1042" s="21" t="s">
        <v>93</v>
      </c>
      <c r="E1042" s="20">
        <v>0</v>
      </c>
      <c r="F1042" s="20">
        <f t="shared" ref="F1042:F1048" si="209">ROUND(E1042*C1042,0)</f>
        <v>0</v>
      </c>
      <c r="G1042" s="20">
        <v>404.12669999999997</v>
      </c>
      <c r="H1042" s="20">
        <f t="shared" ref="H1042:H1048" si="210">ROUND(G1042*C1042,0)</f>
        <v>880996</v>
      </c>
      <c r="I1042" s="46">
        <v>3100.4261000000001</v>
      </c>
      <c r="J1042" s="20">
        <f t="shared" ref="J1042:J1048" si="211">ROUND(I1042*C1042,0)</f>
        <v>6758929</v>
      </c>
      <c r="K1042" s="20">
        <f t="shared" ref="K1042:L1048" si="212">E1042+G1042+I1042</f>
        <v>3504.5527999999999</v>
      </c>
      <c r="L1042" s="20">
        <f t="shared" si="212"/>
        <v>7639925</v>
      </c>
      <c r="M1042" s="18"/>
      <c r="N1042" s="44"/>
    </row>
    <row r="1043" spans="1:14" ht="21" customHeight="1">
      <c r="A1043" s="18" t="s">
        <v>657</v>
      </c>
      <c r="B1043" s="18" t="s">
        <v>656</v>
      </c>
      <c r="C1043" s="20">
        <v>2180</v>
      </c>
      <c r="D1043" s="21" t="s">
        <v>93</v>
      </c>
      <c r="E1043" s="20">
        <v>0</v>
      </c>
      <c r="F1043" s="20">
        <f t="shared" si="209"/>
        <v>0</v>
      </c>
      <c r="G1043" s="20">
        <v>404.12669999999997</v>
      </c>
      <c r="H1043" s="20">
        <f t="shared" si="210"/>
        <v>880996</v>
      </c>
      <c r="I1043" s="46">
        <v>3100.4261000000001</v>
      </c>
      <c r="J1043" s="20">
        <f t="shared" si="211"/>
        <v>6758929</v>
      </c>
      <c r="K1043" s="20">
        <f t="shared" si="212"/>
        <v>3504.5527999999999</v>
      </c>
      <c r="L1043" s="20">
        <f t="shared" si="212"/>
        <v>7639925</v>
      </c>
      <c r="M1043" s="18"/>
      <c r="N1043" s="44"/>
    </row>
    <row r="1044" spans="1:14" ht="21" customHeight="1">
      <c r="A1044" s="18" t="s">
        <v>658</v>
      </c>
      <c r="B1044" s="18" t="s">
        <v>659</v>
      </c>
      <c r="C1044" s="20">
        <v>2180</v>
      </c>
      <c r="D1044" s="21" t="s">
        <v>93</v>
      </c>
      <c r="E1044" s="20">
        <v>0</v>
      </c>
      <c r="F1044" s="20">
        <f t="shared" si="209"/>
        <v>0</v>
      </c>
      <c r="G1044" s="20">
        <v>808.25339999999994</v>
      </c>
      <c r="H1044" s="20">
        <f t="shared" si="210"/>
        <v>1761992</v>
      </c>
      <c r="I1044" s="46">
        <v>6200.8522000000003</v>
      </c>
      <c r="J1044" s="20">
        <f t="shared" si="211"/>
        <v>13517858</v>
      </c>
      <c r="K1044" s="20">
        <f t="shared" si="212"/>
        <v>7009.1055999999999</v>
      </c>
      <c r="L1044" s="20">
        <f t="shared" si="212"/>
        <v>15279850</v>
      </c>
      <c r="M1044" s="18"/>
      <c r="N1044" s="44"/>
    </row>
    <row r="1045" spans="1:14" ht="21" customHeight="1">
      <c r="A1045" s="18" t="s">
        <v>660</v>
      </c>
      <c r="B1045" s="18" t="s">
        <v>661</v>
      </c>
      <c r="C1045" s="20">
        <v>2180</v>
      </c>
      <c r="D1045" s="21" t="s">
        <v>93</v>
      </c>
      <c r="E1045" s="20">
        <v>0</v>
      </c>
      <c r="F1045" s="20">
        <f t="shared" si="209"/>
        <v>0</v>
      </c>
      <c r="G1045" s="20">
        <v>0</v>
      </c>
      <c r="H1045" s="20">
        <f t="shared" si="210"/>
        <v>0</v>
      </c>
      <c r="I1045" s="46">
        <v>238.6575</v>
      </c>
      <c r="J1045" s="20">
        <f t="shared" si="211"/>
        <v>520273</v>
      </c>
      <c r="K1045" s="20">
        <f t="shared" si="212"/>
        <v>238.6575</v>
      </c>
      <c r="L1045" s="20">
        <f t="shared" si="212"/>
        <v>520273</v>
      </c>
      <c r="M1045" s="18"/>
      <c r="N1045" s="44"/>
    </row>
    <row r="1046" spans="1:14" ht="21" customHeight="1">
      <c r="A1046" s="18" t="s">
        <v>662</v>
      </c>
      <c r="B1046" s="18" t="s">
        <v>663</v>
      </c>
      <c r="C1046" s="20">
        <v>2180</v>
      </c>
      <c r="D1046" s="21" t="s">
        <v>93</v>
      </c>
      <c r="E1046" s="20">
        <v>0</v>
      </c>
      <c r="F1046" s="20">
        <f t="shared" si="209"/>
        <v>0</v>
      </c>
      <c r="G1046" s="20">
        <v>0</v>
      </c>
      <c r="H1046" s="20">
        <f t="shared" si="210"/>
        <v>0</v>
      </c>
      <c r="I1046" s="46">
        <v>238.6575</v>
      </c>
      <c r="J1046" s="20">
        <f t="shared" si="211"/>
        <v>520273</v>
      </c>
      <c r="K1046" s="20">
        <f t="shared" si="212"/>
        <v>238.6575</v>
      </c>
      <c r="L1046" s="20">
        <f t="shared" si="212"/>
        <v>520273</v>
      </c>
      <c r="M1046" s="18"/>
      <c r="N1046" s="44"/>
    </row>
    <row r="1047" spans="1:14" ht="21" customHeight="1">
      <c r="A1047" s="18" t="s">
        <v>664</v>
      </c>
      <c r="B1047" s="18" t="s">
        <v>665</v>
      </c>
      <c r="C1047" s="20">
        <v>4360</v>
      </c>
      <c r="D1047" s="21" t="s">
        <v>93</v>
      </c>
      <c r="E1047" s="20">
        <v>0</v>
      </c>
      <c r="F1047" s="20">
        <f t="shared" si="209"/>
        <v>0</v>
      </c>
      <c r="G1047" s="20">
        <v>0</v>
      </c>
      <c r="H1047" s="20">
        <f t="shared" si="210"/>
        <v>0</v>
      </c>
      <c r="I1047" s="46">
        <v>357.45589999999999</v>
      </c>
      <c r="J1047" s="20">
        <f t="shared" si="211"/>
        <v>1558508</v>
      </c>
      <c r="K1047" s="20">
        <f t="shared" si="212"/>
        <v>357.45589999999999</v>
      </c>
      <c r="L1047" s="20">
        <f t="shared" si="212"/>
        <v>1558508</v>
      </c>
      <c r="M1047" s="18"/>
      <c r="N1047" s="44"/>
    </row>
    <row r="1048" spans="1:14" ht="21" customHeight="1">
      <c r="A1048" s="18" t="s">
        <v>666</v>
      </c>
      <c r="B1048" s="18" t="s">
        <v>667</v>
      </c>
      <c r="C1048" s="20">
        <v>678</v>
      </c>
      <c r="D1048" s="21" t="s">
        <v>99</v>
      </c>
      <c r="E1048" s="20">
        <v>0</v>
      </c>
      <c r="F1048" s="20">
        <f t="shared" si="209"/>
        <v>0</v>
      </c>
      <c r="G1048" s="20">
        <v>1638.7815000000001</v>
      </c>
      <c r="H1048" s="20">
        <f t="shared" si="210"/>
        <v>1111094</v>
      </c>
      <c r="I1048" s="46">
        <v>5390.4773999999998</v>
      </c>
      <c r="J1048" s="20">
        <f t="shared" si="211"/>
        <v>3654744</v>
      </c>
      <c r="K1048" s="20">
        <f t="shared" si="212"/>
        <v>7029.2588999999998</v>
      </c>
      <c r="L1048" s="20">
        <f t="shared" si="212"/>
        <v>4765838</v>
      </c>
      <c r="M1048" s="18"/>
      <c r="N1048" s="44"/>
    </row>
    <row r="1049" spans="1:14" ht="21" customHeight="1">
      <c r="A1049" s="18" t="s">
        <v>668</v>
      </c>
      <c r="B1049" s="18"/>
      <c r="C1049" s="19"/>
      <c r="D1049" s="19"/>
      <c r="E1049" s="19">
        <v>0</v>
      </c>
      <c r="F1049" s="19"/>
      <c r="G1049" s="19">
        <v>0</v>
      </c>
      <c r="H1049" s="19"/>
      <c r="I1049" s="46">
        <v>0</v>
      </c>
      <c r="J1049" s="19"/>
      <c r="K1049" s="19"/>
      <c r="L1049" s="19"/>
      <c r="M1049" s="19"/>
      <c r="N1049" s="44"/>
    </row>
    <row r="1050" spans="1:14" ht="21" customHeight="1">
      <c r="A1050" s="18" t="s">
        <v>669</v>
      </c>
      <c r="B1050" s="18"/>
      <c r="C1050" s="19"/>
      <c r="D1050" s="19"/>
      <c r="E1050" s="19">
        <v>0</v>
      </c>
      <c r="F1050" s="19"/>
      <c r="G1050" s="19">
        <v>0</v>
      </c>
      <c r="H1050" s="19"/>
      <c r="I1050" s="46">
        <v>0</v>
      </c>
      <c r="J1050" s="19"/>
      <c r="K1050" s="19"/>
      <c r="L1050" s="19"/>
      <c r="M1050" s="19"/>
      <c r="N1050" s="44"/>
    </row>
    <row r="1051" spans="1:14" ht="21" customHeight="1">
      <c r="A1051" s="18" t="s">
        <v>670</v>
      </c>
      <c r="B1051" s="18" t="s">
        <v>671</v>
      </c>
      <c r="C1051" s="20">
        <v>840</v>
      </c>
      <c r="D1051" s="21" t="s">
        <v>93</v>
      </c>
      <c r="E1051" s="20">
        <v>0</v>
      </c>
      <c r="F1051" s="20">
        <f>ROUND(E1051*C1051,0)</f>
        <v>0</v>
      </c>
      <c r="G1051" s="20">
        <v>16387.814999999999</v>
      </c>
      <c r="H1051" s="20">
        <f>ROUND(G1051*C1051,0)</f>
        <v>13765765</v>
      </c>
      <c r="I1051" s="46">
        <v>3411.2111999999997</v>
      </c>
      <c r="J1051" s="20">
        <f>ROUND(I1051*C1051,0)</f>
        <v>2865417</v>
      </c>
      <c r="K1051" s="20">
        <f>E1051+G1051+I1051</f>
        <v>19799.0262</v>
      </c>
      <c r="L1051" s="20">
        <f>F1051+H1051+J1051</f>
        <v>16631182</v>
      </c>
      <c r="M1051" s="18"/>
      <c r="N1051" s="44"/>
    </row>
    <row r="1052" spans="1:14" ht="21" customHeight="1">
      <c r="A1052" s="18" t="s">
        <v>672</v>
      </c>
      <c r="B1052" s="18" t="s">
        <v>673</v>
      </c>
      <c r="C1052" s="20">
        <v>84</v>
      </c>
      <c r="D1052" s="21" t="s">
        <v>99</v>
      </c>
      <c r="E1052" s="20">
        <v>0</v>
      </c>
      <c r="F1052" s="20">
        <f>ROUND(E1052*C1052,0)</f>
        <v>0</v>
      </c>
      <c r="G1052" s="20">
        <v>1638.7815000000001</v>
      </c>
      <c r="H1052" s="20">
        <f>ROUND(G1052*C1052,0)</f>
        <v>137658</v>
      </c>
      <c r="I1052" s="46">
        <v>5390.4773999999998</v>
      </c>
      <c r="J1052" s="20">
        <f>ROUND(I1052*C1052,0)</f>
        <v>452800</v>
      </c>
      <c r="K1052" s="20">
        <f>E1052+G1052+I1052</f>
        <v>7029.2588999999998</v>
      </c>
      <c r="L1052" s="20">
        <f>F1052+H1052+J1052</f>
        <v>590458</v>
      </c>
      <c r="M1052" s="18"/>
      <c r="N1052" s="44"/>
    </row>
    <row r="1053" spans="1:14" ht="21" customHeight="1">
      <c r="A1053" s="18" t="s">
        <v>674</v>
      </c>
      <c r="B1053" s="18"/>
      <c r="C1053" s="19"/>
      <c r="D1053" s="19"/>
      <c r="E1053" s="19">
        <v>0</v>
      </c>
      <c r="F1053" s="19"/>
      <c r="G1053" s="19">
        <v>0</v>
      </c>
      <c r="H1053" s="19"/>
      <c r="I1053" s="46">
        <v>0</v>
      </c>
      <c r="J1053" s="19"/>
      <c r="K1053" s="19"/>
      <c r="L1053" s="19"/>
      <c r="M1053" s="19"/>
      <c r="N1053" s="44"/>
    </row>
    <row r="1054" spans="1:14" ht="21" customHeight="1">
      <c r="A1054" s="18" t="s">
        <v>675</v>
      </c>
      <c r="B1054" s="18"/>
      <c r="C1054" s="19"/>
      <c r="D1054" s="19"/>
      <c r="E1054" s="19">
        <v>0</v>
      </c>
      <c r="F1054" s="19"/>
      <c r="G1054" s="19">
        <v>0</v>
      </c>
      <c r="H1054" s="19"/>
      <c r="I1054" s="46">
        <v>0</v>
      </c>
      <c r="J1054" s="19"/>
      <c r="K1054" s="19"/>
      <c r="L1054" s="19"/>
      <c r="M1054" s="19"/>
      <c r="N1054" s="44"/>
    </row>
    <row r="1055" spans="1:14" ht="21" customHeight="1">
      <c r="A1055" s="18" t="s">
        <v>676</v>
      </c>
      <c r="B1055" s="18" t="s">
        <v>677</v>
      </c>
      <c r="C1055" s="20">
        <v>184</v>
      </c>
      <c r="D1055" s="21" t="s">
        <v>93</v>
      </c>
      <c r="E1055" s="20">
        <v>0</v>
      </c>
      <c r="F1055" s="20">
        <f>ROUND(E1055*C1055,0)</f>
        <v>0</v>
      </c>
      <c r="G1055" s="20">
        <v>14202.772999999999</v>
      </c>
      <c r="H1055" s="20">
        <f>ROUND(G1055*C1055,0)</f>
        <v>2613310</v>
      </c>
      <c r="I1055" s="46">
        <v>5187.8837000000003</v>
      </c>
      <c r="J1055" s="20">
        <f>ROUND(I1055*C1055,0)</f>
        <v>954571</v>
      </c>
      <c r="K1055" s="20">
        <f t="shared" ref="K1055:L1057" si="213">E1055+G1055+I1055</f>
        <v>19390.6567</v>
      </c>
      <c r="L1055" s="20">
        <f t="shared" si="213"/>
        <v>3567881</v>
      </c>
      <c r="M1055" s="18"/>
      <c r="N1055" s="44"/>
    </row>
    <row r="1056" spans="1:14" ht="21" customHeight="1">
      <c r="A1056" s="18" t="s">
        <v>678</v>
      </c>
      <c r="B1056" s="18" t="s">
        <v>677</v>
      </c>
      <c r="C1056" s="20">
        <v>11</v>
      </c>
      <c r="D1056" s="21" t="s">
        <v>93</v>
      </c>
      <c r="E1056" s="20">
        <v>0</v>
      </c>
      <c r="F1056" s="20">
        <f>ROUND(E1056*C1056,0)</f>
        <v>0</v>
      </c>
      <c r="G1056" s="20">
        <v>14202.772999999999</v>
      </c>
      <c r="H1056" s="20">
        <f>ROUND(G1056*C1056,0)</f>
        <v>156231</v>
      </c>
      <c r="I1056" s="46">
        <v>5187.8837000000003</v>
      </c>
      <c r="J1056" s="20">
        <f>ROUND(I1056*C1056,0)</f>
        <v>57067</v>
      </c>
      <c r="K1056" s="20">
        <f t="shared" si="213"/>
        <v>19390.6567</v>
      </c>
      <c r="L1056" s="20">
        <f t="shared" si="213"/>
        <v>213298</v>
      </c>
      <c r="M1056" s="18"/>
      <c r="N1056" s="44"/>
    </row>
    <row r="1057" spans="1:14" ht="21" customHeight="1">
      <c r="A1057" s="18" t="s">
        <v>679</v>
      </c>
      <c r="B1057" s="18" t="s">
        <v>680</v>
      </c>
      <c r="C1057" s="20">
        <v>20</v>
      </c>
      <c r="D1057" s="21" t="s">
        <v>99</v>
      </c>
      <c r="E1057" s="20">
        <v>0</v>
      </c>
      <c r="F1057" s="20">
        <f>ROUND(E1057*C1057,0)</f>
        <v>0</v>
      </c>
      <c r="G1057" s="20">
        <v>1638.7815000000001</v>
      </c>
      <c r="H1057" s="20">
        <f>ROUND(G1057*C1057,0)</f>
        <v>32776</v>
      </c>
      <c r="I1057" s="46">
        <v>5390.4773999999998</v>
      </c>
      <c r="J1057" s="20">
        <f>ROUND(I1057*C1057,0)</f>
        <v>107810</v>
      </c>
      <c r="K1057" s="20">
        <f t="shared" si="213"/>
        <v>7029.2588999999998</v>
      </c>
      <c r="L1057" s="20">
        <f t="shared" si="213"/>
        <v>140586</v>
      </c>
      <c r="M1057" s="18"/>
      <c r="N1057" s="44"/>
    </row>
    <row r="1058" spans="1:14" ht="21" customHeight="1">
      <c r="A1058" s="18" t="s">
        <v>681</v>
      </c>
      <c r="B1058" s="18"/>
      <c r="C1058" s="19"/>
      <c r="D1058" s="19"/>
      <c r="E1058" s="19">
        <v>0</v>
      </c>
      <c r="F1058" s="19"/>
      <c r="G1058" s="19">
        <v>0</v>
      </c>
      <c r="H1058" s="19"/>
      <c r="I1058" s="46">
        <v>0</v>
      </c>
      <c r="J1058" s="19"/>
      <c r="K1058" s="19"/>
      <c r="L1058" s="19"/>
      <c r="M1058" s="19"/>
      <c r="N1058" s="44"/>
    </row>
    <row r="1059" spans="1:14" ht="21" customHeight="1">
      <c r="A1059" s="18" t="s">
        <v>682</v>
      </c>
      <c r="B1059" s="18" t="s">
        <v>683</v>
      </c>
      <c r="C1059" s="20">
        <v>420</v>
      </c>
      <c r="D1059" s="21" t="s">
        <v>93</v>
      </c>
      <c r="E1059" s="20">
        <v>6555.1260000000002</v>
      </c>
      <c r="F1059" s="20">
        <f>ROUND(E1059*C1059,0)</f>
        <v>2753153</v>
      </c>
      <c r="G1059" s="20">
        <v>15295.294</v>
      </c>
      <c r="H1059" s="20">
        <f>ROUND(G1059*C1059,0)</f>
        <v>6424023</v>
      </c>
      <c r="I1059" s="46">
        <v>4769.9678999999996</v>
      </c>
      <c r="J1059" s="20">
        <f>ROUND(I1059*C1059,0)</f>
        <v>2003387</v>
      </c>
      <c r="K1059" s="20">
        <f>E1059+G1059+I1059</f>
        <v>26620.387899999998</v>
      </c>
      <c r="L1059" s="20">
        <f>F1059+H1059+J1059</f>
        <v>11180563</v>
      </c>
      <c r="M1059" s="18"/>
      <c r="N1059" s="44"/>
    </row>
    <row r="1060" spans="1:14" ht="21" customHeight="1">
      <c r="A1060" s="18" t="s">
        <v>684</v>
      </c>
      <c r="B1060" s="18" t="s">
        <v>685</v>
      </c>
      <c r="C1060" s="19"/>
      <c r="D1060" s="19"/>
      <c r="E1060" s="19">
        <v>0</v>
      </c>
      <c r="F1060" s="19"/>
      <c r="G1060" s="19">
        <v>0</v>
      </c>
      <c r="H1060" s="19"/>
      <c r="I1060" s="46">
        <v>0</v>
      </c>
      <c r="J1060" s="19"/>
      <c r="K1060" s="19"/>
      <c r="L1060" s="19"/>
      <c r="M1060" s="19"/>
      <c r="N1060" s="44"/>
    </row>
    <row r="1061" spans="1:14" ht="21" customHeight="1">
      <c r="A1061" s="18" t="s">
        <v>655</v>
      </c>
      <c r="B1061" s="18" t="s">
        <v>686</v>
      </c>
      <c r="C1061" s="20">
        <v>76</v>
      </c>
      <c r="D1061" s="21" t="s">
        <v>93</v>
      </c>
      <c r="E1061" s="20">
        <v>0</v>
      </c>
      <c r="F1061" s="20">
        <f>ROUND(E1061*C1061,0)</f>
        <v>0</v>
      </c>
      <c r="G1061" s="20">
        <v>5462.6049999999996</v>
      </c>
      <c r="H1061" s="20">
        <f>ROUND(G1061*C1061,0)</f>
        <v>415158</v>
      </c>
      <c r="I1061" s="46">
        <v>34583.0628</v>
      </c>
      <c r="J1061" s="20">
        <f>ROUND(I1061*C1061,0)</f>
        <v>2628313</v>
      </c>
      <c r="K1061" s="20">
        <f t="shared" ref="K1061:L1065" si="214">E1061+G1061+I1061</f>
        <v>40045.667799999996</v>
      </c>
      <c r="L1061" s="20">
        <f t="shared" si="214"/>
        <v>3043471</v>
      </c>
      <c r="M1061" s="18"/>
      <c r="N1061" s="44"/>
    </row>
    <row r="1062" spans="1:14" ht="21" customHeight="1">
      <c r="A1062" s="18" t="s">
        <v>687</v>
      </c>
      <c r="B1062" s="18" t="s">
        <v>663</v>
      </c>
      <c r="C1062" s="20">
        <v>152</v>
      </c>
      <c r="D1062" s="21" t="s">
        <v>93</v>
      </c>
      <c r="E1062" s="20">
        <v>0</v>
      </c>
      <c r="F1062" s="20">
        <f>ROUND(E1062*C1062,0)</f>
        <v>0</v>
      </c>
      <c r="G1062" s="20">
        <v>0</v>
      </c>
      <c r="H1062" s="20">
        <f>ROUND(G1062*C1062,0)</f>
        <v>0</v>
      </c>
      <c r="I1062" s="46">
        <v>596.11339999999996</v>
      </c>
      <c r="J1062" s="20">
        <f>ROUND(I1062*C1062,0)</f>
        <v>90609</v>
      </c>
      <c r="K1062" s="20">
        <f t="shared" si="214"/>
        <v>596.11339999999996</v>
      </c>
      <c r="L1062" s="20">
        <f t="shared" si="214"/>
        <v>90609</v>
      </c>
      <c r="M1062" s="18"/>
      <c r="N1062" s="44"/>
    </row>
    <row r="1063" spans="1:14" ht="21" customHeight="1">
      <c r="A1063" s="18" t="s">
        <v>688</v>
      </c>
      <c r="B1063" s="18" t="s">
        <v>689</v>
      </c>
      <c r="C1063" s="20">
        <v>38</v>
      </c>
      <c r="D1063" s="21" t="s">
        <v>93</v>
      </c>
      <c r="E1063" s="20">
        <v>7101.3864999999996</v>
      </c>
      <c r="F1063" s="20">
        <f>ROUND(E1063*C1063,0)</f>
        <v>269853</v>
      </c>
      <c r="G1063" s="20">
        <v>10378.949500000001</v>
      </c>
      <c r="H1063" s="20">
        <f>ROUND(G1063*C1063,0)</f>
        <v>394400</v>
      </c>
      <c r="I1063" s="46">
        <v>2385.5142999999998</v>
      </c>
      <c r="J1063" s="20">
        <f>ROUND(I1063*C1063,0)</f>
        <v>90650</v>
      </c>
      <c r="K1063" s="20">
        <f t="shared" si="214"/>
        <v>19865.850299999998</v>
      </c>
      <c r="L1063" s="20">
        <f t="shared" si="214"/>
        <v>754903</v>
      </c>
      <c r="M1063" s="18"/>
      <c r="N1063" s="44"/>
    </row>
    <row r="1064" spans="1:14" ht="21" customHeight="1">
      <c r="A1064" s="18" t="s">
        <v>690</v>
      </c>
      <c r="B1064" s="18" t="s">
        <v>691</v>
      </c>
      <c r="C1064" s="20">
        <v>38</v>
      </c>
      <c r="D1064" s="21" t="s">
        <v>93</v>
      </c>
      <c r="E1064" s="20">
        <v>7101.3864999999996</v>
      </c>
      <c r="F1064" s="20">
        <f>ROUND(E1064*C1064,0)</f>
        <v>269853</v>
      </c>
      <c r="G1064" s="20">
        <v>10378.949500000001</v>
      </c>
      <c r="H1064" s="20">
        <f>ROUND(G1064*C1064,0)</f>
        <v>394400</v>
      </c>
      <c r="I1064" s="46">
        <v>2385.5142999999998</v>
      </c>
      <c r="J1064" s="20">
        <f>ROUND(I1064*C1064,0)</f>
        <v>90650</v>
      </c>
      <c r="K1064" s="20">
        <f t="shared" si="214"/>
        <v>19865.850299999998</v>
      </c>
      <c r="L1064" s="20">
        <f t="shared" si="214"/>
        <v>754903</v>
      </c>
      <c r="M1064" s="18"/>
      <c r="N1064" s="44"/>
    </row>
    <row r="1065" spans="1:14" ht="21" customHeight="1">
      <c r="A1065" s="18" t="s">
        <v>692</v>
      </c>
      <c r="B1065" s="18" t="s">
        <v>693</v>
      </c>
      <c r="C1065" s="20">
        <v>76</v>
      </c>
      <c r="D1065" s="21" t="s">
        <v>93</v>
      </c>
      <c r="E1065" s="20">
        <v>0</v>
      </c>
      <c r="F1065" s="20">
        <f>ROUND(E1065*C1065,0)</f>
        <v>0</v>
      </c>
      <c r="G1065" s="20">
        <v>0</v>
      </c>
      <c r="H1065" s="20">
        <f>ROUND(G1065*C1065,0)</f>
        <v>0</v>
      </c>
      <c r="I1065" s="46">
        <v>5962.1947</v>
      </c>
      <c r="J1065" s="20">
        <f>ROUND(I1065*C1065,0)</f>
        <v>453127</v>
      </c>
      <c r="K1065" s="20">
        <f t="shared" si="214"/>
        <v>5962.1947</v>
      </c>
      <c r="L1065" s="20">
        <f t="shared" si="214"/>
        <v>453127</v>
      </c>
      <c r="M1065" s="18"/>
      <c r="N1065" s="44"/>
    </row>
    <row r="1066" spans="1:14" ht="21" customHeight="1">
      <c r="A1066" s="18" t="s">
        <v>1192</v>
      </c>
      <c r="B1066" s="18"/>
      <c r="C1066" s="19"/>
      <c r="D1066" s="19"/>
      <c r="E1066" s="19">
        <v>0</v>
      </c>
      <c r="F1066" s="19"/>
      <c r="G1066" s="19">
        <v>0</v>
      </c>
      <c r="H1066" s="19"/>
      <c r="I1066" s="46">
        <v>0</v>
      </c>
      <c r="J1066" s="19"/>
      <c r="K1066" s="19"/>
      <c r="L1066" s="19"/>
      <c r="M1066" s="19"/>
      <c r="N1066" s="44"/>
    </row>
    <row r="1067" spans="1:14" ht="21" customHeight="1">
      <c r="A1067" s="18" t="s">
        <v>703</v>
      </c>
      <c r="B1067" s="18"/>
      <c r="C1067" s="19"/>
      <c r="D1067" s="19"/>
      <c r="E1067" s="19">
        <v>0</v>
      </c>
      <c r="F1067" s="19"/>
      <c r="G1067" s="19">
        <v>0</v>
      </c>
      <c r="H1067" s="19"/>
      <c r="I1067" s="46">
        <v>0</v>
      </c>
      <c r="J1067" s="19"/>
      <c r="K1067" s="19"/>
      <c r="L1067" s="19"/>
      <c r="M1067" s="19"/>
      <c r="N1067" s="44"/>
    </row>
    <row r="1068" spans="1:14" ht="21" customHeight="1">
      <c r="A1068" s="18" t="s">
        <v>704</v>
      </c>
      <c r="B1068" s="18" t="s">
        <v>705</v>
      </c>
      <c r="C1068" s="20">
        <v>623</v>
      </c>
      <c r="D1068" s="21" t="s">
        <v>231</v>
      </c>
      <c r="E1068" s="20">
        <v>0</v>
      </c>
      <c r="F1068" s="20">
        <f>ROUND(E1068*C1068,0)</f>
        <v>0</v>
      </c>
      <c r="G1068" s="20">
        <v>14202.772999999999</v>
      </c>
      <c r="H1068" s="20">
        <f>ROUND(G1068*C1068,0)</f>
        <v>8848328</v>
      </c>
      <c r="I1068" s="46">
        <v>6248.5837000000001</v>
      </c>
      <c r="J1068" s="20">
        <f>ROUND(I1068*C1068,0)</f>
        <v>3892868</v>
      </c>
      <c r="K1068" s="20">
        <f t="shared" ref="K1068:L1070" si="215">E1068+G1068+I1068</f>
        <v>20451.3567</v>
      </c>
      <c r="L1068" s="20">
        <f t="shared" si="215"/>
        <v>12741196</v>
      </c>
      <c r="M1068" s="18"/>
      <c r="N1068" s="44"/>
    </row>
    <row r="1069" spans="1:14" ht="21" customHeight="1">
      <c r="A1069" s="18" t="s">
        <v>1193</v>
      </c>
      <c r="B1069" s="18" t="s">
        <v>709</v>
      </c>
      <c r="C1069" s="20">
        <v>11</v>
      </c>
      <c r="D1069" s="21" t="s">
        <v>231</v>
      </c>
      <c r="E1069" s="20">
        <v>0</v>
      </c>
      <c r="F1069" s="20">
        <f>ROUND(E1069*C1069,0)</f>
        <v>0</v>
      </c>
      <c r="G1069" s="20">
        <v>14202.772999999999</v>
      </c>
      <c r="H1069" s="20">
        <f>ROUND(G1069*C1069,0)</f>
        <v>156231</v>
      </c>
      <c r="I1069" s="46">
        <v>6248.5837000000001</v>
      </c>
      <c r="J1069" s="20">
        <f>ROUND(I1069*C1069,0)</f>
        <v>68734</v>
      </c>
      <c r="K1069" s="20">
        <f t="shared" si="215"/>
        <v>20451.3567</v>
      </c>
      <c r="L1069" s="20">
        <f t="shared" si="215"/>
        <v>224965</v>
      </c>
      <c r="M1069" s="18"/>
      <c r="N1069" s="44"/>
    </row>
    <row r="1070" spans="1:14" ht="21" customHeight="1">
      <c r="A1070" s="18" t="s">
        <v>1194</v>
      </c>
      <c r="B1070" s="18" t="s">
        <v>711</v>
      </c>
      <c r="C1070" s="20">
        <v>26</v>
      </c>
      <c r="D1070" s="21" t="s">
        <v>231</v>
      </c>
      <c r="E1070" s="20">
        <v>0</v>
      </c>
      <c r="F1070" s="20">
        <f>ROUND(E1070*C1070,0)</f>
        <v>0</v>
      </c>
      <c r="G1070" s="20">
        <v>14202.772999999999</v>
      </c>
      <c r="H1070" s="20">
        <f>ROUND(G1070*C1070,0)</f>
        <v>369272</v>
      </c>
      <c r="I1070" s="46">
        <v>6248.5837000000001</v>
      </c>
      <c r="J1070" s="20">
        <f>ROUND(I1070*C1070,0)</f>
        <v>162463</v>
      </c>
      <c r="K1070" s="20">
        <f t="shared" si="215"/>
        <v>20451.3567</v>
      </c>
      <c r="L1070" s="20">
        <f t="shared" si="215"/>
        <v>531735</v>
      </c>
      <c r="M1070" s="18"/>
      <c r="N1070" s="44"/>
    </row>
    <row r="1071" spans="1:14" ht="21" customHeight="1">
      <c r="A1071" s="18" t="s">
        <v>712</v>
      </c>
      <c r="B1071" s="18"/>
      <c r="C1071" s="19"/>
      <c r="D1071" s="19"/>
      <c r="E1071" s="19">
        <v>0</v>
      </c>
      <c r="F1071" s="19"/>
      <c r="G1071" s="19">
        <v>0</v>
      </c>
      <c r="H1071" s="19"/>
      <c r="I1071" s="46">
        <v>0</v>
      </c>
      <c r="J1071" s="19"/>
      <c r="K1071" s="19"/>
      <c r="L1071" s="19"/>
      <c r="M1071" s="19"/>
      <c r="N1071" s="44"/>
    </row>
    <row r="1072" spans="1:14" ht="21" customHeight="1">
      <c r="A1072" s="18" t="s">
        <v>713</v>
      </c>
      <c r="B1072" s="18" t="s">
        <v>714</v>
      </c>
      <c r="C1072" s="20">
        <v>385</v>
      </c>
      <c r="D1072" s="21" t="s">
        <v>231</v>
      </c>
      <c r="E1072" s="20">
        <v>0</v>
      </c>
      <c r="F1072" s="20">
        <f>ROUND(E1072*C1072,0)</f>
        <v>0</v>
      </c>
      <c r="G1072" s="20">
        <v>13110.252</v>
      </c>
      <c r="H1072" s="20">
        <f>ROUND(G1072*C1072,0)</f>
        <v>5047447</v>
      </c>
      <c r="I1072" s="46">
        <v>5008.6253999999999</v>
      </c>
      <c r="J1072" s="20">
        <f>ROUND(I1072*C1072,0)</f>
        <v>1928321</v>
      </c>
      <c r="K1072" s="20">
        <f>E1072+G1072+I1072</f>
        <v>18118.877400000001</v>
      </c>
      <c r="L1072" s="20">
        <f>F1072+H1072+J1072</f>
        <v>6975768</v>
      </c>
      <c r="M1072" s="18"/>
      <c r="N1072" s="44"/>
    </row>
    <row r="1073" spans="1:14" ht="21" customHeight="1">
      <c r="A1073" s="18" t="s">
        <v>1195</v>
      </c>
      <c r="B1073" s="18"/>
      <c r="C1073" s="19"/>
      <c r="D1073" s="19"/>
      <c r="E1073" s="19">
        <v>0</v>
      </c>
      <c r="F1073" s="19"/>
      <c r="G1073" s="19">
        <v>0</v>
      </c>
      <c r="H1073" s="19"/>
      <c r="I1073" s="46">
        <v>0</v>
      </c>
      <c r="J1073" s="19"/>
      <c r="K1073" s="19"/>
      <c r="L1073" s="19"/>
      <c r="M1073" s="19"/>
      <c r="N1073" s="44"/>
    </row>
    <row r="1074" spans="1:14" ht="21" customHeight="1">
      <c r="A1074" s="18" t="s">
        <v>1196</v>
      </c>
      <c r="B1074" s="18"/>
      <c r="C1074" s="20">
        <v>552</v>
      </c>
      <c r="D1074" s="21" t="s">
        <v>950</v>
      </c>
      <c r="E1074" s="20">
        <v>0</v>
      </c>
      <c r="F1074" s="20">
        <f>ROUND(E1074*C1074,0)</f>
        <v>0</v>
      </c>
      <c r="G1074" s="20">
        <v>2185.0419999999999</v>
      </c>
      <c r="H1074" s="20">
        <f>ROUND(G1074*C1074,0)</f>
        <v>1206143</v>
      </c>
      <c r="I1074" s="46">
        <v>16695.417999999998</v>
      </c>
      <c r="J1074" s="20">
        <f>ROUND(I1074*C1074,0)</f>
        <v>9215871</v>
      </c>
      <c r="K1074" s="20">
        <f>E1074+G1074+I1074</f>
        <v>18880.46</v>
      </c>
      <c r="L1074" s="20">
        <f>F1074+H1074+J1074</f>
        <v>10422014</v>
      </c>
      <c r="M1074" s="18"/>
      <c r="N1074" s="44"/>
    </row>
    <row r="1075" spans="1:14" ht="21" customHeight="1">
      <c r="A1075" s="18" t="s">
        <v>715</v>
      </c>
      <c r="B1075" s="18"/>
      <c r="C1075" s="19"/>
      <c r="D1075" s="19"/>
      <c r="E1075" s="19">
        <v>0</v>
      </c>
      <c r="F1075" s="19"/>
      <c r="G1075" s="19">
        <v>0</v>
      </c>
      <c r="H1075" s="19"/>
      <c r="I1075" s="46">
        <v>0</v>
      </c>
      <c r="J1075" s="19"/>
      <c r="K1075" s="19"/>
      <c r="L1075" s="19"/>
      <c r="M1075" s="19"/>
      <c r="N1075" s="44"/>
    </row>
    <row r="1076" spans="1:14" ht="21" customHeight="1">
      <c r="A1076" s="18" t="s">
        <v>716</v>
      </c>
      <c r="B1076" s="18"/>
      <c r="C1076" s="19"/>
      <c r="D1076" s="19"/>
      <c r="E1076" s="19">
        <v>0</v>
      </c>
      <c r="F1076" s="19"/>
      <c r="G1076" s="19">
        <v>0</v>
      </c>
      <c r="H1076" s="19"/>
      <c r="I1076" s="46">
        <v>0</v>
      </c>
      <c r="J1076" s="19"/>
      <c r="K1076" s="19"/>
      <c r="L1076" s="19"/>
      <c r="M1076" s="19"/>
      <c r="N1076" s="44"/>
    </row>
    <row r="1077" spans="1:14" ht="21" customHeight="1">
      <c r="A1077" s="18" t="s">
        <v>717</v>
      </c>
      <c r="B1077" s="18" t="s">
        <v>718</v>
      </c>
      <c r="C1077" s="20">
        <v>4</v>
      </c>
      <c r="D1077" s="21" t="s">
        <v>179</v>
      </c>
      <c r="E1077" s="20">
        <v>96141.847999999998</v>
      </c>
      <c r="F1077" s="20">
        <f>ROUND(E1077*C1077,0)</f>
        <v>384567</v>
      </c>
      <c r="G1077" s="20">
        <v>54626.049999999996</v>
      </c>
      <c r="H1077" s="20">
        <f>ROUND(G1077*C1077,0)</f>
        <v>218504</v>
      </c>
      <c r="I1077" s="46">
        <v>0</v>
      </c>
      <c r="J1077" s="20">
        <f>ROUND(I1077*C1077,0)</f>
        <v>0</v>
      </c>
      <c r="K1077" s="20">
        <f t="shared" ref="K1077:L1079" si="216">E1077+G1077+I1077</f>
        <v>150767.89799999999</v>
      </c>
      <c r="L1077" s="20">
        <f t="shared" si="216"/>
        <v>603071</v>
      </c>
      <c r="M1077" s="18"/>
      <c r="N1077" s="44"/>
    </row>
    <row r="1078" spans="1:14" ht="21" customHeight="1">
      <c r="A1078" s="18" t="s">
        <v>719</v>
      </c>
      <c r="B1078" s="18" t="s">
        <v>720</v>
      </c>
      <c r="C1078" s="20">
        <v>2</v>
      </c>
      <c r="D1078" s="21" t="s">
        <v>179</v>
      </c>
      <c r="E1078" s="20">
        <v>96141.847999999998</v>
      </c>
      <c r="F1078" s="20">
        <f>ROUND(E1078*C1078,0)</f>
        <v>192284</v>
      </c>
      <c r="G1078" s="20">
        <v>54626.049999999996</v>
      </c>
      <c r="H1078" s="20">
        <f>ROUND(G1078*C1078,0)</f>
        <v>109252</v>
      </c>
      <c r="I1078" s="46">
        <v>0</v>
      </c>
      <c r="J1078" s="20">
        <f>ROUND(I1078*C1078,0)</f>
        <v>0</v>
      </c>
      <c r="K1078" s="20">
        <f t="shared" si="216"/>
        <v>150767.89799999999</v>
      </c>
      <c r="L1078" s="20">
        <f t="shared" si="216"/>
        <v>301536</v>
      </c>
      <c r="M1078" s="18"/>
      <c r="N1078" s="44"/>
    </row>
    <row r="1079" spans="1:14" ht="21" customHeight="1">
      <c r="A1079" s="18" t="s">
        <v>1197</v>
      </c>
      <c r="B1079" s="18" t="s">
        <v>1198</v>
      </c>
      <c r="C1079" s="20">
        <v>2</v>
      </c>
      <c r="D1079" s="21" t="s">
        <v>179</v>
      </c>
      <c r="E1079" s="20">
        <v>96141.847999999998</v>
      </c>
      <c r="F1079" s="20">
        <f>ROUND(E1079*C1079,0)</f>
        <v>192284</v>
      </c>
      <c r="G1079" s="20">
        <v>54626.049999999996</v>
      </c>
      <c r="H1079" s="20">
        <f>ROUND(G1079*C1079,0)</f>
        <v>109252</v>
      </c>
      <c r="I1079" s="46">
        <v>0</v>
      </c>
      <c r="J1079" s="20">
        <f>ROUND(I1079*C1079,0)</f>
        <v>0</v>
      </c>
      <c r="K1079" s="20">
        <f t="shared" si="216"/>
        <v>150767.89799999999</v>
      </c>
      <c r="L1079" s="20">
        <f t="shared" si="216"/>
        <v>301536</v>
      </c>
      <c r="M1079" s="18"/>
      <c r="N1079" s="44"/>
    </row>
    <row r="1080" spans="1:14" ht="21" customHeight="1">
      <c r="A1080" s="18" t="s">
        <v>732</v>
      </c>
      <c r="B1080" s="18"/>
      <c r="C1080" s="19"/>
      <c r="D1080" s="19"/>
      <c r="E1080" s="19">
        <v>0</v>
      </c>
      <c r="F1080" s="19"/>
      <c r="G1080" s="19">
        <v>0</v>
      </c>
      <c r="H1080" s="19"/>
      <c r="I1080" s="46">
        <v>0</v>
      </c>
      <c r="J1080" s="19"/>
      <c r="K1080" s="19"/>
      <c r="L1080" s="19"/>
      <c r="M1080" s="19"/>
      <c r="N1080" s="44"/>
    </row>
    <row r="1081" spans="1:14" ht="21" customHeight="1">
      <c r="A1081" s="18" t="s">
        <v>733</v>
      </c>
      <c r="B1081" s="18" t="s">
        <v>691</v>
      </c>
      <c r="C1081" s="20">
        <v>149</v>
      </c>
      <c r="D1081" s="21" t="s">
        <v>93</v>
      </c>
      <c r="E1081" s="20">
        <v>7101.3864999999996</v>
      </c>
      <c r="F1081" s="20">
        <f t="shared" ref="F1081:F1088" si="217">ROUND(E1081*C1081,0)</f>
        <v>1058107</v>
      </c>
      <c r="G1081" s="20">
        <v>10378.949500000001</v>
      </c>
      <c r="H1081" s="20">
        <f t="shared" ref="H1081:H1088" si="218">ROUND(G1081*C1081,0)</f>
        <v>1546463</v>
      </c>
      <c r="I1081" s="46">
        <v>2385.5142999999998</v>
      </c>
      <c r="J1081" s="20">
        <f t="shared" ref="J1081:J1088" si="219">ROUND(I1081*C1081,0)</f>
        <v>355442</v>
      </c>
      <c r="K1081" s="20">
        <f t="shared" ref="K1081:L1088" si="220">E1081+G1081+I1081</f>
        <v>19865.850299999998</v>
      </c>
      <c r="L1081" s="20">
        <f t="shared" si="220"/>
        <v>2960012</v>
      </c>
      <c r="M1081" s="18"/>
      <c r="N1081" s="44"/>
    </row>
    <row r="1082" spans="1:14" ht="21" customHeight="1">
      <c r="A1082" s="18" t="s">
        <v>734</v>
      </c>
      <c r="B1082" s="18" t="s">
        <v>1199</v>
      </c>
      <c r="C1082" s="20">
        <v>2</v>
      </c>
      <c r="D1082" s="21" t="s">
        <v>93</v>
      </c>
      <c r="E1082" s="20">
        <v>7101.3864999999996</v>
      </c>
      <c r="F1082" s="20">
        <f t="shared" si="217"/>
        <v>14203</v>
      </c>
      <c r="G1082" s="20">
        <v>10378.949500000001</v>
      </c>
      <c r="H1082" s="20">
        <f t="shared" si="218"/>
        <v>20758</v>
      </c>
      <c r="I1082" s="46">
        <v>2385.5142999999998</v>
      </c>
      <c r="J1082" s="20">
        <f t="shared" si="219"/>
        <v>4771</v>
      </c>
      <c r="K1082" s="20">
        <f t="shared" si="220"/>
        <v>19865.850299999998</v>
      </c>
      <c r="L1082" s="20">
        <f t="shared" si="220"/>
        <v>39732</v>
      </c>
      <c r="M1082" s="18"/>
      <c r="N1082" s="44"/>
    </row>
    <row r="1083" spans="1:14" ht="21" customHeight="1">
      <c r="A1083" s="18" t="s">
        <v>1200</v>
      </c>
      <c r="B1083" s="18" t="s">
        <v>697</v>
      </c>
      <c r="C1083" s="20">
        <v>59</v>
      </c>
      <c r="D1083" s="21" t="s">
        <v>93</v>
      </c>
      <c r="E1083" s="20">
        <v>7101.3864999999996</v>
      </c>
      <c r="F1083" s="20">
        <f t="shared" si="217"/>
        <v>418982</v>
      </c>
      <c r="G1083" s="20">
        <v>10378.949500000001</v>
      </c>
      <c r="H1083" s="20">
        <f t="shared" si="218"/>
        <v>612358</v>
      </c>
      <c r="I1083" s="46">
        <v>2385.5142999999998</v>
      </c>
      <c r="J1083" s="20">
        <f t="shared" si="219"/>
        <v>140745</v>
      </c>
      <c r="K1083" s="20">
        <f t="shared" si="220"/>
        <v>19865.850299999998</v>
      </c>
      <c r="L1083" s="20">
        <f t="shared" si="220"/>
        <v>1172085</v>
      </c>
      <c r="M1083" s="18"/>
      <c r="N1083" s="44"/>
    </row>
    <row r="1084" spans="1:14" ht="21" customHeight="1">
      <c r="A1084" s="18" t="s">
        <v>737</v>
      </c>
      <c r="B1084" s="18" t="s">
        <v>699</v>
      </c>
      <c r="C1084" s="20">
        <v>7</v>
      </c>
      <c r="D1084" s="21" t="s">
        <v>93</v>
      </c>
      <c r="E1084" s="20">
        <v>7101.3864999999996</v>
      </c>
      <c r="F1084" s="20">
        <f t="shared" si="217"/>
        <v>49710</v>
      </c>
      <c r="G1084" s="20">
        <v>10378.949500000001</v>
      </c>
      <c r="H1084" s="20">
        <f t="shared" si="218"/>
        <v>72653</v>
      </c>
      <c r="I1084" s="46">
        <v>2385.5142999999998</v>
      </c>
      <c r="J1084" s="20">
        <f t="shared" si="219"/>
        <v>16699</v>
      </c>
      <c r="K1084" s="20">
        <f t="shared" si="220"/>
        <v>19865.850299999998</v>
      </c>
      <c r="L1084" s="20">
        <f t="shared" si="220"/>
        <v>139062</v>
      </c>
      <c r="M1084" s="18"/>
      <c r="N1084" s="44"/>
    </row>
    <row r="1085" spans="1:14" ht="21" customHeight="1">
      <c r="A1085" s="18" t="s">
        <v>1201</v>
      </c>
      <c r="B1085" s="18" t="s">
        <v>693</v>
      </c>
      <c r="C1085" s="20">
        <v>149</v>
      </c>
      <c r="D1085" s="21" t="s">
        <v>93</v>
      </c>
      <c r="E1085" s="20">
        <v>7101.3864999999996</v>
      </c>
      <c r="F1085" s="20">
        <f t="shared" si="217"/>
        <v>1058107</v>
      </c>
      <c r="G1085" s="20">
        <v>10378.949500000001</v>
      </c>
      <c r="H1085" s="20">
        <f t="shared" si="218"/>
        <v>1546463</v>
      </c>
      <c r="I1085" s="46">
        <v>2385.5142999999998</v>
      </c>
      <c r="J1085" s="20">
        <f t="shared" si="219"/>
        <v>355442</v>
      </c>
      <c r="K1085" s="20">
        <f t="shared" si="220"/>
        <v>19865.850299999998</v>
      </c>
      <c r="L1085" s="20">
        <f t="shared" si="220"/>
        <v>2960012</v>
      </c>
      <c r="M1085" s="18"/>
      <c r="N1085" s="44"/>
    </row>
    <row r="1086" spans="1:14" ht="21" customHeight="1">
      <c r="A1086" s="18" t="s">
        <v>739</v>
      </c>
      <c r="B1086" s="18" t="s">
        <v>741</v>
      </c>
      <c r="C1086" s="20">
        <v>2</v>
      </c>
      <c r="D1086" s="21" t="s">
        <v>93</v>
      </c>
      <c r="E1086" s="20">
        <v>7101.3864999999996</v>
      </c>
      <c r="F1086" s="20">
        <f t="shared" si="217"/>
        <v>14203</v>
      </c>
      <c r="G1086" s="20">
        <v>10378.949500000001</v>
      </c>
      <c r="H1086" s="20">
        <f t="shared" si="218"/>
        <v>20758</v>
      </c>
      <c r="I1086" s="46">
        <v>2385.5142999999998</v>
      </c>
      <c r="J1086" s="20">
        <f t="shared" si="219"/>
        <v>4771</v>
      </c>
      <c r="K1086" s="20">
        <f t="shared" si="220"/>
        <v>19865.850299999998</v>
      </c>
      <c r="L1086" s="20">
        <f t="shared" si="220"/>
        <v>39732</v>
      </c>
      <c r="M1086" s="18"/>
      <c r="N1086" s="44"/>
    </row>
    <row r="1087" spans="1:14" ht="21" customHeight="1">
      <c r="A1087" s="18" t="s">
        <v>740</v>
      </c>
      <c r="B1087" s="18" t="s">
        <v>697</v>
      </c>
      <c r="C1087" s="20">
        <v>59</v>
      </c>
      <c r="D1087" s="21" t="s">
        <v>93</v>
      </c>
      <c r="E1087" s="20">
        <v>7101.3864999999996</v>
      </c>
      <c r="F1087" s="20">
        <f t="shared" si="217"/>
        <v>418982</v>
      </c>
      <c r="G1087" s="20">
        <v>10378.949500000001</v>
      </c>
      <c r="H1087" s="20">
        <f t="shared" si="218"/>
        <v>612358</v>
      </c>
      <c r="I1087" s="46">
        <v>2385.5142999999998</v>
      </c>
      <c r="J1087" s="20">
        <f t="shared" si="219"/>
        <v>140745</v>
      </c>
      <c r="K1087" s="20">
        <f t="shared" si="220"/>
        <v>19865.850299999998</v>
      </c>
      <c r="L1087" s="20">
        <f t="shared" si="220"/>
        <v>1172085</v>
      </c>
      <c r="M1087" s="18"/>
      <c r="N1087" s="44"/>
    </row>
    <row r="1088" spans="1:14" ht="21" customHeight="1">
      <c r="A1088" s="18" t="s">
        <v>742</v>
      </c>
      <c r="B1088" s="18" t="s">
        <v>699</v>
      </c>
      <c r="C1088" s="20">
        <v>7</v>
      </c>
      <c r="D1088" s="21" t="s">
        <v>93</v>
      </c>
      <c r="E1088" s="20">
        <v>7101.3864999999996</v>
      </c>
      <c r="F1088" s="20">
        <f t="shared" si="217"/>
        <v>49710</v>
      </c>
      <c r="G1088" s="20">
        <v>10378.949500000001</v>
      </c>
      <c r="H1088" s="20">
        <f t="shared" si="218"/>
        <v>72653</v>
      </c>
      <c r="I1088" s="46">
        <v>2385.5142999999998</v>
      </c>
      <c r="J1088" s="20">
        <f t="shared" si="219"/>
        <v>16699</v>
      </c>
      <c r="K1088" s="20">
        <f t="shared" si="220"/>
        <v>19865.850299999998</v>
      </c>
      <c r="L1088" s="20">
        <f t="shared" si="220"/>
        <v>139062</v>
      </c>
      <c r="M1088" s="18"/>
      <c r="N1088" s="44"/>
    </row>
    <row r="1089" spans="1:14" ht="21" customHeight="1">
      <c r="A1089" s="18" t="s">
        <v>744</v>
      </c>
      <c r="B1089" s="18"/>
      <c r="C1089" s="19"/>
      <c r="D1089" s="19"/>
      <c r="E1089" s="19">
        <v>0</v>
      </c>
      <c r="F1089" s="19"/>
      <c r="G1089" s="19">
        <v>0</v>
      </c>
      <c r="H1089" s="19"/>
      <c r="I1089" s="46">
        <v>0</v>
      </c>
      <c r="J1089" s="19"/>
      <c r="K1089" s="19"/>
      <c r="L1089" s="19"/>
      <c r="M1089" s="19"/>
      <c r="N1089" s="44"/>
    </row>
    <row r="1090" spans="1:14" ht="21" customHeight="1">
      <c r="A1090" s="18" t="s">
        <v>745</v>
      </c>
      <c r="B1090" s="18" t="s">
        <v>746</v>
      </c>
      <c r="C1090" s="20">
        <v>36</v>
      </c>
      <c r="D1090" s="21" t="s">
        <v>179</v>
      </c>
      <c r="E1090" s="20">
        <v>71013.865000000005</v>
      </c>
      <c r="F1090" s="20">
        <f>ROUND(E1090*C1090,0)</f>
        <v>2556499</v>
      </c>
      <c r="G1090" s="20">
        <v>16387.814999999999</v>
      </c>
      <c r="H1090" s="20">
        <f>ROUND(G1090*C1090,0)</f>
        <v>589961</v>
      </c>
      <c r="I1090" s="46">
        <v>0</v>
      </c>
      <c r="J1090" s="20">
        <f>ROUND(I1090*C1090,0)</f>
        <v>0</v>
      </c>
      <c r="K1090" s="20">
        <f t="shared" ref="K1090:L1093" si="221">E1090+G1090+I1090</f>
        <v>87401.680000000008</v>
      </c>
      <c r="L1090" s="20">
        <f t="shared" si="221"/>
        <v>3146460</v>
      </c>
      <c r="M1090" s="18"/>
      <c r="N1090" s="44"/>
    </row>
    <row r="1091" spans="1:14" ht="21" customHeight="1">
      <c r="A1091" s="18" t="s">
        <v>747</v>
      </c>
      <c r="B1091" s="18" t="s">
        <v>748</v>
      </c>
      <c r="C1091" s="20">
        <v>1</v>
      </c>
      <c r="D1091" s="21" t="s">
        <v>179</v>
      </c>
      <c r="E1091" s="20">
        <v>196653.78</v>
      </c>
      <c r="F1091" s="20">
        <f>ROUND(E1091*C1091,0)</f>
        <v>196654</v>
      </c>
      <c r="G1091" s="20">
        <v>56811.091999999997</v>
      </c>
      <c r="H1091" s="20">
        <f>ROUND(G1091*C1091,0)</f>
        <v>56811</v>
      </c>
      <c r="I1091" s="46">
        <v>0</v>
      </c>
      <c r="J1091" s="20">
        <f>ROUND(I1091*C1091,0)</f>
        <v>0</v>
      </c>
      <c r="K1091" s="20">
        <f t="shared" si="221"/>
        <v>253464.872</v>
      </c>
      <c r="L1091" s="20">
        <f t="shared" si="221"/>
        <v>253465</v>
      </c>
      <c r="M1091" s="18"/>
      <c r="N1091" s="44"/>
    </row>
    <row r="1092" spans="1:14" ht="21" customHeight="1">
      <c r="A1092" s="18" t="s">
        <v>749</v>
      </c>
      <c r="B1092" s="18" t="s">
        <v>750</v>
      </c>
      <c r="C1092" s="20">
        <v>20</v>
      </c>
      <c r="D1092" s="21" t="s">
        <v>201</v>
      </c>
      <c r="E1092" s="20">
        <v>349606.72</v>
      </c>
      <c r="F1092" s="20">
        <f>ROUND(E1092*C1092,0)</f>
        <v>6992134</v>
      </c>
      <c r="G1092" s="20">
        <v>109252.09999999999</v>
      </c>
      <c r="H1092" s="20">
        <f>ROUND(G1092*C1092,0)</f>
        <v>2185042</v>
      </c>
      <c r="I1092" s="46">
        <v>59626.1898</v>
      </c>
      <c r="J1092" s="20">
        <f>ROUND(I1092*C1092,0)</f>
        <v>1192524</v>
      </c>
      <c r="K1092" s="20">
        <f t="shared" si="221"/>
        <v>518485.00979999994</v>
      </c>
      <c r="L1092" s="20">
        <f t="shared" si="221"/>
        <v>10369700</v>
      </c>
      <c r="M1092" s="18"/>
      <c r="N1092" s="44"/>
    </row>
    <row r="1093" spans="1:14" ht="21" customHeight="1">
      <c r="A1093" s="18" t="s">
        <v>751</v>
      </c>
      <c r="B1093" s="18" t="s">
        <v>380</v>
      </c>
      <c r="C1093" s="20">
        <v>21</v>
      </c>
      <c r="D1093" s="21" t="s">
        <v>376</v>
      </c>
      <c r="E1093" s="20">
        <v>0</v>
      </c>
      <c r="F1093" s="20">
        <f>ROUND(E1093*C1093,0)</f>
        <v>0</v>
      </c>
      <c r="G1093" s="20">
        <v>0</v>
      </c>
      <c r="H1093" s="20">
        <f>ROUND(G1093*C1093,0)</f>
        <v>0</v>
      </c>
      <c r="I1093" s="46">
        <v>1273.9006999999999</v>
      </c>
      <c r="J1093" s="20">
        <f>ROUND(I1093*C1093,0)</f>
        <v>26752</v>
      </c>
      <c r="K1093" s="20">
        <f t="shared" si="221"/>
        <v>1273.9006999999999</v>
      </c>
      <c r="L1093" s="20">
        <f t="shared" si="221"/>
        <v>26752</v>
      </c>
      <c r="M1093" s="18"/>
      <c r="N1093" s="44"/>
    </row>
    <row r="1094" spans="1:14" ht="21" customHeight="1">
      <c r="A1094" s="18" t="s">
        <v>1202</v>
      </c>
      <c r="B1094" s="18" t="s">
        <v>952</v>
      </c>
      <c r="C1094" s="19"/>
      <c r="D1094" s="19"/>
      <c r="E1094" s="19">
        <v>0</v>
      </c>
      <c r="F1094" s="19"/>
      <c r="G1094" s="19">
        <v>0</v>
      </c>
      <c r="H1094" s="19"/>
      <c r="I1094" s="46">
        <v>0</v>
      </c>
      <c r="J1094" s="19"/>
      <c r="K1094" s="19"/>
      <c r="L1094" s="19"/>
      <c r="M1094" s="19"/>
      <c r="N1094" s="44"/>
    </row>
    <row r="1095" spans="1:14" ht="21" customHeight="1">
      <c r="A1095" s="18" t="s">
        <v>1203</v>
      </c>
      <c r="B1095" s="18" t="s">
        <v>1204</v>
      </c>
      <c r="C1095" s="20">
        <v>63</v>
      </c>
      <c r="D1095" s="21" t="s">
        <v>1111</v>
      </c>
      <c r="E1095" s="20">
        <v>322293.69500000001</v>
      </c>
      <c r="F1095" s="20">
        <f>ROUND(E1095*C1095,0)</f>
        <v>20304503</v>
      </c>
      <c r="G1095" s="20">
        <v>60088.654999999999</v>
      </c>
      <c r="H1095" s="20">
        <f>ROUND(G1095*C1095,0)</f>
        <v>3785585</v>
      </c>
      <c r="I1095" s="46">
        <v>33986.949399999998</v>
      </c>
      <c r="J1095" s="20">
        <f>ROUND(I1095*C1095,0)</f>
        <v>2141178</v>
      </c>
      <c r="K1095" s="20">
        <f>E1095+G1095+I1095</f>
        <v>416369.29939999996</v>
      </c>
      <c r="L1095" s="20">
        <f>F1095+H1095+J1095</f>
        <v>26231266</v>
      </c>
      <c r="M1095" s="18"/>
      <c r="N1095" s="44"/>
    </row>
    <row r="1096" spans="1:14" ht="21" customHeight="1">
      <c r="A1096" s="18" t="s">
        <v>752</v>
      </c>
      <c r="B1096" s="18"/>
      <c r="C1096" s="19"/>
      <c r="D1096" s="19"/>
      <c r="E1096" s="19">
        <v>0</v>
      </c>
      <c r="F1096" s="19"/>
      <c r="G1096" s="19">
        <v>0</v>
      </c>
      <c r="H1096" s="19"/>
      <c r="I1096" s="46">
        <v>0</v>
      </c>
      <c r="J1096" s="19"/>
      <c r="K1096" s="19"/>
      <c r="L1096" s="19"/>
      <c r="M1096" s="19"/>
      <c r="N1096" s="44"/>
    </row>
    <row r="1097" spans="1:14" ht="21" customHeight="1">
      <c r="A1097" s="18" t="s">
        <v>608</v>
      </c>
      <c r="B1097" s="18" t="s">
        <v>404</v>
      </c>
      <c r="C1097" s="20">
        <v>66</v>
      </c>
      <c r="D1097" s="21" t="s">
        <v>99</v>
      </c>
      <c r="E1097" s="20">
        <v>102675.76</v>
      </c>
      <c r="F1097" s="20">
        <f t="shared" ref="F1097:F1113" si="222">ROUND(E1097*C1097,0)</f>
        <v>6776600</v>
      </c>
      <c r="G1097" s="20">
        <v>0</v>
      </c>
      <c r="H1097" s="20">
        <f t="shared" ref="H1097:H1113" si="223">ROUND(G1097*C1097,0)</f>
        <v>0</v>
      </c>
      <c r="I1097" s="46">
        <v>0</v>
      </c>
      <c r="J1097" s="20">
        <f t="shared" ref="J1097:J1113" si="224">ROUND(I1097*C1097,0)</f>
        <v>0</v>
      </c>
      <c r="K1097" s="20">
        <f t="shared" ref="K1097:K1113" si="225">E1097+G1097+I1097</f>
        <v>102675.76</v>
      </c>
      <c r="L1097" s="20">
        <f t="shared" ref="L1097:L1113" si="226">F1097+H1097+J1097</f>
        <v>6776600</v>
      </c>
      <c r="M1097" s="18"/>
      <c r="N1097" s="44"/>
    </row>
    <row r="1098" spans="1:14" ht="21" customHeight="1">
      <c r="A1098" s="18" t="s">
        <v>753</v>
      </c>
      <c r="B1098" s="18" t="s">
        <v>754</v>
      </c>
      <c r="C1098" s="20">
        <v>46</v>
      </c>
      <c r="D1098" s="21" t="s">
        <v>99</v>
      </c>
      <c r="E1098" s="20">
        <v>100575.57399999999</v>
      </c>
      <c r="F1098" s="20">
        <f t="shared" si="222"/>
        <v>4626476</v>
      </c>
      <c r="G1098" s="20">
        <v>0</v>
      </c>
      <c r="H1098" s="20">
        <f t="shared" si="223"/>
        <v>0</v>
      </c>
      <c r="I1098" s="46">
        <v>0</v>
      </c>
      <c r="J1098" s="20">
        <f t="shared" si="224"/>
        <v>0</v>
      </c>
      <c r="K1098" s="20">
        <f t="shared" si="225"/>
        <v>100575.57399999999</v>
      </c>
      <c r="L1098" s="20">
        <f t="shared" si="226"/>
        <v>4626476</v>
      </c>
      <c r="M1098" s="18"/>
      <c r="N1098" s="44"/>
    </row>
    <row r="1099" spans="1:14" ht="21" customHeight="1">
      <c r="A1099" s="18" t="s">
        <v>755</v>
      </c>
      <c r="B1099" s="18" t="s">
        <v>375</v>
      </c>
      <c r="C1099" s="20">
        <v>5</v>
      </c>
      <c r="D1099" s="21" t="s">
        <v>376</v>
      </c>
      <c r="E1099" s="20">
        <v>6883.9430000000002</v>
      </c>
      <c r="F1099" s="20">
        <f t="shared" si="222"/>
        <v>34420</v>
      </c>
      <c r="G1099" s="20">
        <v>0</v>
      </c>
      <c r="H1099" s="20">
        <f t="shared" si="223"/>
        <v>0</v>
      </c>
      <c r="I1099" s="46">
        <v>0</v>
      </c>
      <c r="J1099" s="20">
        <f t="shared" si="224"/>
        <v>0</v>
      </c>
      <c r="K1099" s="20">
        <f t="shared" si="225"/>
        <v>6883.9430000000002</v>
      </c>
      <c r="L1099" s="20">
        <f t="shared" si="226"/>
        <v>34420</v>
      </c>
      <c r="M1099" s="18"/>
      <c r="N1099" s="44"/>
    </row>
    <row r="1100" spans="1:14" ht="21" customHeight="1">
      <c r="A1100" s="18" t="s">
        <v>756</v>
      </c>
      <c r="B1100" s="18" t="s">
        <v>383</v>
      </c>
      <c r="C1100" s="20">
        <v>42</v>
      </c>
      <c r="D1100" s="21" t="s">
        <v>99</v>
      </c>
      <c r="E1100" s="20">
        <v>28405.545999999998</v>
      </c>
      <c r="F1100" s="20">
        <f t="shared" si="222"/>
        <v>1193033</v>
      </c>
      <c r="G1100" s="20">
        <v>0</v>
      </c>
      <c r="H1100" s="20">
        <f t="shared" si="223"/>
        <v>0</v>
      </c>
      <c r="I1100" s="46">
        <v>0</v>
      </c>
      <c r="J1100" s="20">
        <f t="shared" si="224"/>
        <v>0</v>
      </c>
      <c r="K1100" s="20">
        <f t="shared" si="225"/>
        <v>28405.545999999998</v>
      </c>
      <c r="L1100" s="20">
        <f t="shared" si="226"/>
        <v>1193033</v>
      </c>
      <c r="M1100" s="18"/>
      <c r="N1100" s="44"/>
    </row>
    <row r="1101" spans="1:14" ht="21" customHeight="1">
      <c r="A1101" s="18" t="s">
        <v>757</v>
      </c>
      <c r="B1101" s="18" t="s">
        <v>615</v>
      </c>
      <c r="C1101" s="20">
        <v>1004</v>
      </c>
      <c r="D1101" s="21" t="s">
        <v>99</v>
      </c>
      <c r="E1101" s="20">
        <v>19665.378000000001</v>
      </c>
      <c r="F1101" s="20">
        <f t="shared" si="222"/>
        <v>19744040</v>
      </c>
      <c r="G1101" s="20">
        <v>0</v>
      </c>
      <c r="H1101" s="20">
        <f t="shared" si="223"/>
        <v>0</v>
      </c>
      <c r="I1101" s="46">
        <v>0</v>
      </c>
      <c r="J1101" s="20">
        <f t="shared" si="224"/>
        <v>0</v>
      </c>
      <c r="K1101" s="20">
        <f t="shared" si="225"/>
        <v>19665.378000000001</v>
      </c>
      <c r="L1101" s="20">
        <f t="shared" si="226"/>
        <v>19744040</v>
      </c>
      <c r="M1101" s="18"/>
      <c r="N1101" s="44"/>
    </row>
    <row r="1102" spans="1:14" ht="21" customHeight="1">
      <c r="A1102" s="18" t="s">
        <v>1205</v>
      </c>
      <c r="B1102" s="18" t="s">
        <v>762</v>
      </c>
      <c r="C1102" s="20">
        <v>9</v>
      </c>
      <c r="D1102" s="21" t="s">
        <v>763</v>
      </c>
      <c r="E1102" s="20">
        <v>294980.67</v>
      </c>
      <c r="F1102" s="20">
        <f t="shared" si="222"/>
        <v>2654826</v>
      </c>
      <c r="G1102" s="20">
        <v>0</v>
      </c>
      <c r="H1102" s="20">
        <f t="shared" si="223"/>
        <v>0</v>
      </c>
      <c r="I1102" s="46">
        <v>0</v>
      </c>
      <c r="J1102" s="20">
        <f t="shared" si="224"/>
        <v>0</v>
      </c>
      <c r="K1102" s="20">
        <f t="shared" si="225"/>
        <v>294980.67</v>
      </c>
      <c r="L1102" s="20">
        <f t="shared" si="226"/>
        <v>2654826</v>
      </c>
      <c r="M1102" s="18"/>
      <c r="N1102" s="44"/>
    </row>
    <row r="1103" spans="1:14" ht="21" customHeight="1">
      <c r="A1103" s="18" t="s">
        <v>1206</v>
      </c>
      <c r="B1103" s="18" t="s">
        <v>765</v>
      </c>
      <c r="C1103" s="20">
        <v>8</v>
      </c>
      <c r="D1103" s="21" t="s">
        <v>763</v>
      </c>
      <c r="E1103" s="20">
        <v>294980.67</v>
      </c>
      <c r="F1103" s="20">
        <f t="shared" si="222"/>
        <v>2359845</v>
      </c>
      <c r="G1103" s="20">
        <v>0</v>
      </c>
      <c r="H1103" s="20">
        <f t="shared" si="223"/>
        <v>0</v>
      </c>
      <c r="I1103" s="46">
        <v>0</v>
      </c>
      <c r="J1103" s="20">
        <f t="shared" si="224"/>
        <v>0</v>
      </c>
      <c r="K1103" s="20">
        <f t="shared" si="225"/>
        <v>294980.67</v>
      </c>
      <c r="L1103" s="20">
        <f t="shared" si="226"/>
        <v>2359845</v>
      </c>
      <c r="M1103" s="18"/>
      <c r="N1103" s="44"/>
    </row>
    <row r="1104" spans="1:14" ht="21" customHeight="1">
      <c r="A1104" s="18" t="s">
        <v>1207</v>
      </c>
      <c r="B1104" s="18" t="s">
        <v>767</v>
      </c>
      <c r="C1104" s="20">
        <v>339</v>
      </c>
      <c r="D1104" s="21" t="s">
        <v>391</v>
      </c>
      <c r="E1104" s="20">
        <v>117843.77</v>
      </c>
      <c r="F1104" s="20">
        <f t="shared" si="222"/>
        <v>39949038</v>
      </c>
      <c r="G1104" s="20">
        <v>0</v>
      </c>
      <c r="H1104" s="20">
        <f t="shared" si="223"/>
        <v>0</v>
      </c>
      <c r="I1104" s="46">
        <v>0</v>
      </c>
      <c r="J1104" s="20">
        <f t="shared" si="224"/>
        <v>0</v>
      </c>
      <c r="K1104" s="20">
        <f t="shared" si="225"/>
        <v>117843.77</v>
      </c>
      <c r="L1104" s="20">
        <f t="shared" si="226"/>
        <v>39949038</v>
      </c>
      <c r="M1104" s="18"/>
      <c r="N1104" s="44"/>
    </row>
    <row r="1105" spans="1:14" ht="21" customHeight="1">
      <c r="A1105" s="18" t="s">
        <v>1208</v>
      </c>
      <c r="B1105" s="18" t="s">
        <v>769</v>
      </c>
      <c r="C1105" s="20">
        <v>339</v>
      </c>
      <c r="D1105" s="21" t="s">
        <v>391</v>
      </c>
      <c r="E1105" s="20">
        <v>110843.15</v>
      </c>
      <c r="F1105" s="20">
        <f t="shared" si="222"/>
        <v>37575828</v>
      </c>
      <c r="G1105" s="20">
        <v>0</v>
      </c>
      <c r="H1105" s="20">
        <f t="shared" si="223"/>
        <v>0</v>
      </c>
      <c r="I1105" s="46">
        <v>0</v>
      </c>
      <c r="J1105" s="20">
        <f t="shared" si="224"/>
        <v>0</v>
      </c>
      <c r="K1105" s="20">
        <f t="shared" si="225"/>
        <v>110843.15</v>
      </c>
      <c r="L1105" s="20">
        <f t="shared" si="226"/>
        <v>37575828</v>
      </c>
      <c r="M1105" s="18"/>
      <c r="N1105" s="44"/>
    </row>
    <row r="1106" spans="1:14" ht="21" customHeight="1">
      <c r="A1106" s="18" t="s">
        <v>766</v>
      </c>
      <c r="B1106" s="18" t="s">
        <v>771</v>
      </c>
      <c r="C1106" s="20">
        <v>774</v>
      </c>
      <c r="D1106" s="21" t="s">
        <v>391</v>
      </c>
      <c r="E1106" s="20">
        <v>106176.06999999999</v>
      </c>
      <c r="F1106" s="20">
        <f t="shared" si="222"/>
        <v>82180278</v>
      </c>
      <c r="G1106" s="20">
        <v>0</v>
      </c>
      <c r="H1106" s="20">
        <f t="shared" si="223"/>
        <v>0</v>
      </c>
      <c r="I1106" s="46">
        <v>0</v>
      </c>
      <c r="J1106" s="20">
        <f t="shared" si="224"/>
        <v>0</v>
      </c>
      <c r="K1106" s="20">
        <f t="shared" si="225"/>
        <v>106176.06999999999</v>
      </c>
      <c r="L1106" s="20">
        <f t="shared" si="226"/>
        <v>82180278</v>
      </c>
      <c r="M1106" s="18"/>
      <c r="N1106" s="44"/>
    </row>
    <row r="1107" spans="1:14" ht="21" customHeight="1">
      <c r="A1107" s="18" t="s">
        <v>1209</v>
      </c>
      <c r="B1107" s="18" t="s">
        <v>775</v>
      </c>
      <c r="C1107" s="20">
        <v>642</v>
      </c>
      <c r="D1107" s="21" t="s">
        <v>365</v>
      </c>
      <c r="E1107" s="20">
        <v>19665.378000000001</v>
      </c>
      <c r="F1107" s="20">
        <f t="shared" si="222"/>
        <v>12625173</v>
      </c>
      <c r="G1107" s="20">
        <v>0</v>
      </c>
      <c r="H1107" s="20">
        <f t="shared" si="223"/>
        <v>0</v>
      </c>
      <c r="I1107" s="46">
        <v>0</v>
      </c>
      <c r="J1107" s="20">
        <f t="shared" si="224"/>
        <v>0</v>
      </c>
      <c r="K1107" s="20">
        <f t="shared" si="225"/>
        <v>19665.378000000001</v>
      </c>
      <c r="L1107" s="20">
        <f t="shared" si="226"/>
        <v>12625173</v>
      </c>
      <c r="M1107" s="18"/>
      <c r="N1107" s="44"/>
    </row>
    <row r="1108" spans="1:14" ht="21" customHeight="1">
      <c r="A1108" s="18" t="s">
        <v>1210</v>
      </c>
      <c r="B1108" s="18" t="s">
        <v>779</v>
      </c>
      <c r="C1108" s="20">
        <v>11</v>
      </c>
      <c r="D1108" s="21" t="s">
        <v>365</v>
      </c>
      <c r="E1108" s="20">
        <v>29498.066999999999</v>
      </c>
      <c r="F1108" s="20">
        <f t="shared" si="222"/>
        <v>324479</v>
      </c>
      <c r="G1108" s="20">
        <v>0</v>
      </c>
      <c r="H1108" s="20">
        <f t="shared" si="223"/>
        <v>0</v>
      </c>
      <c r="I1108" s="46">
        <v>0</v>
      </c>
      <c r="J1108" s="20">
        <f t="shared" si="224"/>
        <v>0</v>
      </c>
      <c r="K1108" s="20">
        <f t="shared" si="225"/>
        <v>29498.066999999999</v>
      </c>
      <c r="L1108" s="20">
        <f t="shared" si="226"/>
        <v>324479</v>
      </c>
      <c r="M1108" s="18"/>
      <c r="N1108" s="44"/>
    </row>
    <row r="1109" spans="1:14" ht="21" customHeight="1">
      <c r="A1109" s="18" t="s">
        <v>1211</v>
      </c>
      <c r="B1109" s="18" t="s">
        <v>781</v>
      </c>
      <c r="C1109" s="20">
        <v>30</v>
      </c>
      <c r="D1109" s="21" t="s">
        <v>365</v>
      </c>
      <c r="E1109" s="20">
        <v>31683.109</v>
      </c>
      <c r="F1109" s="20">
        <f t="shared" si="222"/>
        <v>950493</v>
      </c>
      <c r="G1109" s="20">
        <v>0</v>
      </c>
      <c r="H1109" s="20">
        <f t="shared" si="223"/>
        <v>0</v>
      </c>
      <c r="I1109" s="46">
        <v>0</v>
      </c>
      <c r="J1109" s="20">
        <f t="shared" si="224"/>
        <v>0</v>
      </c>
      <c r="K1109" s="20">
        <f t="shared" si="225"/>
        <v>31683.109</v>
      </c>
      <c r="L1109" s="20">
        <f t="shared" si="226"/>
        <v>950493</v>
      </c>
      <c r="M1109" s="18"/>
      <c r="N1109" s="44"/>
    </row>
    <row r="1110" spans="1:14" ht="21" customHeight="1">
      <c r="A1110" s="18" t="s">
        <v>1212</v>
      </c>
      <c r="B1110" s="18" t="s">
        <v>783</v>
      </c>
      <c r="C1110" s="20">
        <v>397</v>
      </c>
      <c r="D1110" s="21" t="s">
        <v>365</v>
      </c>
      <c r="E1110" s="20">
        <v>9286.4285</v>
      </c>
      <c r="F1110" s="20">
        <f t="shared" si="222"/>
        <v>3686712</v>
      </c>
      <c r="G1110" s="20">
        <v>0</v>
      </c>
      <c r="H1110" s="20">
        <f t="shared" si="223"/>
        <v>0</v>
      </c>
      <c r="I1110" s="46">
        <v>0</v>
      </c>
      <c r="J1110" s="20">
        <f t="shared" si="224"/>
        <v>0</v>
      </c>
      <c r="K1110" s="20">
        <f t="shared" si="225"/>
        <v>9286.4285</v>
      </c>
      <c r="L1110" s="20">
        <f t="shared" si="226"/>
        <v>3686712</v>
      </c>
      <c r="M1110" s="18"/>
      <c r="N1110" s="44"/>
    </row>
    <row r="1111" spans="1:14" ht="21" customHeight="1">
      <c r="A1111" s="18" t="s">
        <v>1213</v>
      </c>
      <c r="B1111" s="18" t="s">
        <v>785</v>
      </c>
      <c r="C1111" s="20">
        <v>865</v>
      </c>
      <c r="D1111" s="21" t="s">
        <v>93</v>
      </c>
      <c r="E1111" s="20">
        <v>13765.7646</v>
      </c>
      <c r="F1111" s="20">
        <f t="shared" si="222"/>
        <v>11907386</v>
      </c>
      <c r="G1111" s="20">
        <v>0</v>
      </c>
      <c r="H1111" s="20">
        <f t="shared" si="223"/>
        <v>0</v>
      </c>
      <c r="I1111" s="46">
        <v>0</v>
      </c>
      <c r="J1111" s="20">
        <f t="shared" si="224"/>
        <v>0</v>
      </c>
      <c r="K1111" s="20">
        <f t="shared" si="225"/>
        <v>13765.7646</v>
      </c>
      <c r="L1111" s="20">
        <f t="shared" si="226"/>
        <v>11907386</v>
      </c>
      <c r="M1111" s="18"/>
      <c r="N1111" s="44"/>
    </row>
    <row r="1112" spans="1:14" ht="21" customHeight="1">
      <c r="A1112" s="18" t="s">
        <v>1214</v>
      </c>
      <c r="B1112" s="18" t="s">
        <v>787</v>
      </c>
      <c r="C1112" s="20">
        <v>190</v>
      </c>
      <c r="D1112" s="21" t="s">
        <v>365</v>
      </c>
      <c r="E1112" s="20">
        <v>4151.5797999999995</v>
      </c>
      <c r="F1112" s="20">
        <f t="shared" si="222"/>
        <v>788800</v>
      </c>
      <c r="G1112" s="20">
        <v>0</v>
      </c>
      <c r="H1112" s="20">
        <f t="shared" si="223"/>
        <v>0</v>
      </c>
      <c r="I1112" s="46">
        <v>0</v>
      </c>
      <c r="J1112" s="20">
        <f t="shared" si="224"/>
        <v>0</v>
      </c>
      <c r="K1112" s="20">
        <f t="shared" si="225"/>
        <v>4151.5797999999995</v>
      </c>
      <c r="L1112" s="20">
        <f t="shared" si="226"/>
        <v>788800</v>
      </c>
      <c r="M1112" s="18"/>
      <c r="N1112" s="44"/>
    </row>
    <row r="1113" spans="1:14" ht="21" customHeight="1">
      <c r="A1113" s="18" t="s">
        <v>1215</v>
      </c>
      <c r="B1113" s="18" t="s">
        <v>787</v>
      </c>
      <c r="C1113" s="20">
        <v>11</v>
      </c>
      <c r="D1113" s="21" t="s">
        <v>365</v>
      </c>
      <c r="E1113" s="20">
        <v>4151.5797999999995</v>
      </c>
      <c r="F1113" s="20">
        <f t="shared" si="222"/>
        <v>45667</v>
      </c>
      <c r="G1113" s="20">
        <v>0</v>
      </c>
      <c r="H1113" s="20">
        <f t="shared" si="223"/>
        <v>0</v>
      </c>
      <c r="I1113" s="46">
        <v>0</v>
      </c>
      <c r="J1113" s="20">
        <f t="shared" si="224"/>
        <v>0</v>
      </c>
      <c r="K1113" s="20">
        <f t="shared" si="225"/>
        <v>4151.5797999999995</v>
      </c>
      <c r="L1113" s="20">
        <f t="shared" si="226"/>
        <v>45667</v>
      </c>
      <c r="M1113" s="18"/>
      <c r="N1113" s="44"/>
    </row>
    <row r="1114" spans="1:14" ht="21" customHeight="1">
      <c r="A1114" s="18"/>
      <c r="B1114" s="18"/>
      <c r="C1114" s="20"/>
      <c r="D1114" s="21"/>
      <c r="E1114" s="20"/>
      <c r="F1114" s="20"/>
      <c r="G1114" s="20"/>
      <c r="H1114" s="20"/>
      <c r="I1114" s="20"/>
      <c r="J1114" s="20"/>
      <c r="K1114" s="20"/>
      <c r="L1114" s="20"/>
      <c r="M1114" s="18"/>
      <c r="N1114" s="44"/>
    </row>
    <row r="1115" spans="1:14" ht="21" customHeight="1">
      <c r="A1115" s="14" t="s">
        <v>1216</v>
      </c>
      <c r="B1115" s="15"/>
      <c r="C1115" s="16"/>
      <c r="D1115" s="16"/>
      <c r="E1115" s="16"/>
      <c r="F1115" s="17">
        <f>SUM(F1117:F1143)</f>
        <v>88420407</v>
      </c>
      <c r="G1115" s="16"/>
      <c r="H1115" s="17">
        <f>SUM(H1117:H1143)</f>
        <v>69676086</v>
      </c>
      <c r="I1115" s="16"/>
      <c r="J1115" s="17">
        <f>SUM(J1117:J1143)</f>
        <v>10657102</v>
      </c>
      <c r="K1115" s="16"/>
      <c r="L1115" s="17">
        <f>F1115+H1115+J1115</f>
        <v>168753595</v>
      </c>
      <c r="M1115" s="16"/>
    </row>
    <row r="1116" spans="1:14" ht="21" customHeight="1">
      <c r="A1116" s="18" t="s">
        <v>1217</v>
      </c>
      <c r="B1116" s="18" t="s">
        <v>1218</v>
      </c>
      <c r="C1116" s="19"/>
      <c r="D1116" s="19"/>
      <c r="E1116" s="19"/>
      <c r="F1116" s="19"/>
      <c r="G1116" s="19"/>
      <c r="H1116" s="19"/>
      <c r="I1116" s="19"/>
      <c r="J1116" s="19"/>
      <c r="K1116" s="19"/>
      <c r="L1116" s="19"/>
      <c r="M1116" s="19"/>
    </row>
    <row r="1117" spans="1:14" ht="21" customHeight="1">
      <c r="A1117" s="18" t="s">
        <v>791</v>
      </c>
      <c r="B1117" s="18" t="s">
        <v>344</v>
      </c>
      <c r="C1117" s="20">
        <v>247</v>
      </c>
      <c r="D1117" s="21" t="s">
        <v>99</v>
      </c>
      <c r="E1117" s="20">
        <v>0</v>
      </c>
      <c r="F1117" s="20">
        <f t="shared" ref="F1117:F1132" si="227">ROUND(E1117*C1117,0)</f>
        <v>0</v>
      </c>
      <c r="G1117" s="20">
        <v>15295.294</v>
      </c>
      <c r="H1117" s="20">
        <f t="shared" ref="H1117:H1132" si="228">ROUND(G1117*C1117,0)</f>
        <v>3777938</v>
      </c>
      <c r="I1117" s="20">
        <v>14668.4203</v>
      </c>
      <c r="J1117" s="20">
        <f t="shared" ref="J1117:J1132" si="229">ROUND(I1117*C1117,0)</f>
        <v>3623100</v>
      </c>
      <c r="K1117" s="20">
        <f t="shared" ref="K1117:K1132" si="230">E1117+G1117+I1117</f>
        <v>29963.7143</v>
      </c>
      <c r="L1117" s="20">
        <f t="shared" ref="L1117:L1132" si="231">F1117+H1117+J1117</f>
        <v>7401038</v>
      </c>
      <c r="M1117" s="18"/>
      <c r="N1117" s="44"/>
    </row>
    <row r="1118" spans="1:14" ht="21" customHeight="1">
      <c r="A1118" s="18" t="s">
        <v>792</v>
      </c>
      <c r="B1118" s="18" t="s">
        <v>247</v>
      </c>
      <c r="C1118" s="20">
        <v>36</v>
      </c>
      <c r="D1118" s="21" t="s">
        <v>99</v>
      </c>
      <c r="E1118" s="20">
        <v>0</v>
      </c>
      <c r="F1118" s="20">
        <f t="shared" si="227"/>
        <v>0</v>
      </c>
      <c r="G1118" s="20">
        <v>14202.772999999999</v>
      </c>
      <c r="H1118" s="20">
        <f t="shared" si="228"/>
        <v>511300</v>
      </c>
      <c r="I1118" s="20">
        <v>13117.6769</v>
      </c>
      <c r="J1118" s="20">
        <f t="shared" si="229"/>
        <v>472236</v>
      </c>
      <c r="K1118" s="20">
        <f t="shared" si="230"/>
        <v>27320.4499</v>
      </c>
      <c r="L1118" s="20">
        <f t="shared" si="231"/>
        <v>983536</v>
      </c>
      <c r="M1118" s="18"/>
      <c r="N1118" s="44"/>
    </row>
    <row r="1119" spans="1:14" ht="21" customHeight="1">
      <c r="A1119" s="18" t="s">
        <v>793</v>
      </c>
      <c r="B1119" s="18" t="s">
        <v>794</v>
      </c>
      <c r="C1119" s="22">
        <v>22.33</v>
      </c>
      <c r="D1119" s="21" t="s">
        <v>629</v>
      </c>
      <c r="E1119" s="20">
        <v>92864.285000000003</v>
      </c>
      <c r="F1119" s="20">
        <f t="shared" si="227"/>
        <v>2073659</v>
      </c>
      <c r="G1119" s="20">
        <v>589961.34</v>
      </c>
      <c r="H1119" s="20">
        <f t="shared" si="228"/>
        <v>13173837</v>
      </c>
      <c r="I1119" s="20">
        <v>113289.12419999999</v>
      </c>
      <c r="J1119" s="20">
        <f t="shared" si="229"/>
        <v>2529746</v>
      </c>
      <c r="K1119" s="20">
        <f t="shared" si="230"/>
        <v>796114.74919999996</v>
      </c>
      <c r="L1119" s="20">
        <f t="shared" si="231"/>
        <v>17777242</v>
      </c>
      <c r="M1119" s="18"/>
      <c r="N1119" s="44"/>
    </row>
    <row r="1120" spans="1:14" ht="21" customHeight="1">
      <c r="A1120" s="18" t="s">
        <v>795</v>
      </c>
      <c r="B1120" s="18" t="s">
        <v>796</v>
      </c>
      <c r="C1120" s="20">
        <v>370</v>
      </c>
      <c r="D1120" s="21" t="s">
        <v>93</v>
      </c>
      <c r="E1120" s="20">
        <v>7101.3864999999996</v>
      </c>
      <c r="F1120" s="20">
        <f t="shared" si="227"/>
        <v>2627513</v>
      </c>
      <c r="G1120" s="20">
        <v>16387.814999999999</v>
      </c>
      <c r="H1120" s="20">
        <f t="shared" si="228"/>
        <v>6063492</v>
      </c>
      <c r="I1120" s="20">
        <v>2385.5142999999998</v>
      </c>
      <c r="J1120" s="20">
        <f t="shared" si="229"/>
        <v>882640</v>
      </c>
      <c r="K1120" s="20">
        <f t="shared" si="230"/>
        <v>25874.715799999998</v>
      </c>
      <c r="L1120" s="20">
        <f t="shared" si="231"/>
        <v>9573645</v>
      </c>
      <c r="M1120" s="18"/>
      <c r="N1120" s="44"/>
    </row>
    <row r="1121" spans="1:14" ht="21" customHeight="1">
      <c r="A1121" s="18" t="s">
        <v>797</v>
      </c>
      <c r="B1121" s="18" t="s">
        <v>472</v>
      </c>
      <c r="C1121" s="20">
        <v>727</v>
      </c>
      <c r="D1121" s="21" t="s">
        <v>93</v>
      </c>
      <c r="E1121" s="20">
        <v>10378.949500000001</v>
      </c>
      <c r="F1121" s="20">
        <f t="shared" si="227"/>
        <v>7545496</v>
      </c>
      <c r="G1121" s="20">
        <v>34960.671999999999</v>
      </c>
      <c r="H1121" s="20">
        <f t="shared" si="228"/>
        <v>25416409</v>
      </c>
      <c r="I1121" s="20">
        <v>1788.3401999999999</v>
      </c>
      <c r="J1121" s="20">
        <f t="shared" si="229"/>
        <v>1300123</v>
      </c>
      <c r="K1121" s="20">
        <f t="shared" si="230"/>
        <v>47127.9617</v>
      </c>
      <c r="L1121" s="20">
        <f t="shared" si="231"/>
        <v>34262028</v>
      </c>
      <c r="M1121" s="18"/>
      <c r="N1121" s="44"/>
    </row>
    <row r="1122" spans="1:14" ht="21" customHeight="1">
      <c r="A1122" s="18" t="s">
        <v>798</v>
      </c>
      <c r="B1122" s="18" t="s">
        <v>249</v>
      </c>
      <c r="C1122" s="20">
        <v>35</v>
      </c>
      <c r="D1122" s="21" t="s">
        <v>93</v>
      </c>
      <c r="E1122" s="20">
        <v>8193.9074999999993</v>
      </c>
      <c r="F1122" s="20">
        <f t="shared" si="227"/>
        <v>286787</v>
      </c>
      <c r="G1122" s="20">
        <v>30590.588</v>
      </c>
      <c r="H1122" s="20">
        <f t="shared" si="228"/>
        <v>1070671</v>
      </c>
      <c r="I1122" s="20">
        <v>1788.3401999999999</v>
      </c>
      <c r="J1122" s="20">
        <f t="shared" si="229"/>
        <v>62592</v>
      </c>
      <c r="K1122" s="20">
        <f t="shared" si="230"/>
        <v>40572.835699999996</v>
      </c>
      <c r="L1122" s="20">
        <f t="shared" si="231"/>
        <v>1420050</v>
      </c>
      <c r="M1122" s="18"/>
      <c r="N1122" s="44"/>
    </row>
    <row r="1123" spans="1:14" ht="21" customHeight="1">
      <c r="A1123" s="18" t="s">
        <v>799</v>
      </c>
      <c r="B1123" s="18" t="s">
        <v>800</v>
      </c>
      <c r="C1123" s="20">
        <v>281</v>
      </c>
      <c r="D1123" s="21" t="s">
        <v>93</v>
      </c>
      <c r="E1123" s="20">
        <v>8193.9074999999993</v>
      </c>
      <c r="F1123" s="20">
        <f t="shared" si="227"/>
        <v>2302488</v>
      </c>
      <c r="G1123" s="20">
        <v>16387.814999999999</v>
      </c>
      <c r="H1123" s="20">
        <f t="shared" si="228"/>
        <v>4604976</v>
      </c>
      <c r="I1123" s="20">
        <v>2385.5142999999998</v>
      </c>
      <c r="J1123" s="20">
        <f t="shared" si="229"/>
        <v>670330</v>
      </c>
      <c r="K1123" s="20">
        <f t="shared" si="230"/>
        <v>26967.236799999995</v>
      </c>
      <c r="L1123" s="20">
        <f t="shared" si="231"/>
        <v>7577794</v>
      </c>
      <c r="M1123" s="18"/>
      <c r="N1123" s="44"/>
    </row>
    <row r="1124" spans="1:14" ht="21" customHeight="1">
      <c r="A1124" s="18" t="s">
        <v>801</v>
      </c>
      <c r="B1124" s="18" t="s">
        <v>802</v>
      </c>
      <c r="C1124" s="20">
        <v>2802</v>
      </c>
      <c r="D1124" s="21" t="s">
        <v>93</v>
      </c>
      <c r="E1124" s="20">
        <v>546.26049999999998</v>
      </c>
      <c r="F1124" s="20">
        <f t="shared" si="227"/>
        <v>1530622</v>
      </c>
      <c r="G1124" s="20">
        <v>1092.521</v>
      </c>
      <c r="H1124" s="20">
        <f t="shared" si="228"/>
        <v>3061244</v>
      </c>
      <c r="I1124" s="20">
        <v>0</v>
      </c>
      <c r="J1124" s="20">
        <f t="shared" si="229"/>
        <v>0</v>
      </c>
      <c r="K1124" s="20">
        <f t="shared" si="230"/>
        <v>1638.7815000000001</v>
      </c>
      <c r="L1124" s="20">
        <f t="shared" si="231"/>
        <v>4591866</v>
      </c>
      <c r="M1124" s="18"/>
      <c r="N1124" s="44"/>
    </row>
    <row r="1125" spans="1:14" ht="21" customHeight="1">
      <c r="A1125" s="18" t="s">
        <v>803</v>
      </c>
      <c r="B1125" s="18" t="s">
        <v>804</v>
      </c>
      <c r="C1125" s="20">
        <v>2000</v>
      </c>
      <c r="D1125" s="21" t="s">
        <v>93</v>
      </c>
      <c r="E1125" s="20">
        <v>546.26049999999998</v>
      </c>
      <c r="F1125" s="20">
        <f t="shared" si="227"/>
        <v>1092521</v>
      </c>
      <c r="G1125" s="20">
        <v>1092.521</v>
      </c>
      <c r="H1125" s="20">
        <f t="shared" si="228"/>
        <v>2185042</v>
      </c>
      <c r="I1125" s="20">
        <v>0</v>
      </c>
      <c r="J1125" s="20">
        <f t="shared" si="229"/>
        <v>0</v>
      </c>
      <c r="K1125" s="20">
        <f t="shared" si="230"/>
        <v>1638.7815000000001</v>
      </c>
      <c r="L1125" s="20">
        <f t="shared" si="231"/>
        <v>3277563</v>
      </c>
      <c r="M1125" s="18"/>
      <c r="N1125" s="44"/>
    </row>
    <row r="1126" spans="1:14" ht="21" customHeight="1">
      <c r="A1126" s="18" t="s">
        <v>805</v>
      </c>
      <c r="B1126" s="18" t="s">
        <v>806</v>
      </c>
      <c r="C1126" s="20">
        <v>23</v>
      </c>
      <c r="D1126" s="21" t="s">
        <v>231</v>
      </c>
      <c r="E1126" s="20">
        <v>10925.21</v>
      </c>
      <c r="F1126" s="20">
        <f t="shared" si="227"/>
        <v>251280</v>
      </c>
      <c r="G1126" s="20">
        <v>5681.1091999999999</v>
      </c>
      <c r="H1126" s="20">
        <f t="shared" si="228"/>
        <v>130666</v>
      </c>
      <c r="I1126" s="20">
        <v>0</v>
      </c>
      <c r="J1126" s="20">
        <f t="shared" si="229"/>
        <v>0</v>
      </c>
      <c r="K1126" s="20">
        <f t="shared" si="230"/>
        <v>16606.319199999998</v>
      </c>
      <c r="L1126" s="20">
        <f t="shared" si="231"/>
        <v>381946</v>
      </c>
      <c r="M1126" s="18"/>
      <c r="N1126" s="44"/>
    </row>
    <row r="1127" spans="1:14" ht="21" customHeight="1">
      <c r="A1127" s="18" t="s">
        <v>807</v>
      </c>
      <c r="B1127" s="18" t="s">
        <v>808</v>
      </c>
      <c r="C1127" s="20">
        <v>254</v>
      </c>
      <c r="D1127" s="21" t="s">
        <v>93</v>
      </c>
      <c r="E1127" s="20">
        <v>3758.0600999999997</v>
      </c>
      <c r="F1127" s="20">
        <f t="shared" si="227"/>
        <v>954547</v>
      </c>
      <c r="G1127" s="20">
        <v>9286.4285</v>
      </c>
      <c r="H1127" s="20">
        <f t="shared" si="228"/>
        <v>2358753</v>
      </c>
      <c r="I1127" s="20">
        <v>357.45589999999999</v>
      </c>
      <c r="J1127" s="20">
        <f t="shared" si="229"/>
        <v>90794</v>
      </c>
      <c r="K1127" s="20">
        <f t="shared" si="230"/>
        <v>13401.944500000001</v>
      </c>
      <c r="L1127" s="20">
        <f t="shared" si="231"/>
        <v>3404094</v>
      </c>
      <c r="M1127" s="18"/>
      <c r="N1127" s="44"/>
    </row>
    <row r="1128" spans="1:14" ht="21" customHeight="1">
      <c r="A1128" s="18" t="s">
        <v>809</v>
      </c>
      <c r="B1128" s="18"/>
      <c r="C1128" s="20">
        <v>254</v>
      </c>
      <c r="D1128" s="21" t="s">
        <v>93</v>
      </c>
      <c r="E1128" s="20">
        <v>1256.9295</v>
      </c>
      <c r="F1128" s="20">
        <f t="shared" si="227"/>
        <v>319260</v>
      </c>
      <c r="G1128" s="20">
        <v>1092.521</v>
      </c>
      <c r="H1128" s="20">
        <f t="shared" si="228"/>
        <v>277500</v>
      </c>
      <c r="I1128" s="20">
        <v>596.11339999999996</v>
      </c>
      <c r="J1128" s="20">
        <f t="shared" si="229"/>
        <v>151413</v>
      </c>
      <c r="K1128" s="20">
        <f t="shared" si="230"/>
        <v>2945.5639000000001</v>
      </c>
      <c r="L1128" s="20">
        <f t="shared" si="231"/>
        <v>748173</v>
      </c>
      <c r="M1128" s="18"/>
      <c r="N1128" s="44"/>
    </row>
    <row r="1129" spans="1:14" ht="21" customHeight="1">
      <c r="A1129" s="18" t="s">
        <v>810</v>
      </c>
      <c r="B1129" s="18" t="s">
        <v>811</v>
      </c>
      <c r="C1129" s="20">
        <v>39</v>
      </c>
      <c r="D1129" s="21" t="s">
        <v>93</v>
      </c>
      <c r="E1129" s="20">
        <v>9832.6890000000003</v>
      </c>
      <c r="F1129" s="20">
        <f t="shared" si="227"/>
        <v>383475</v>
      </c>
      <c r="G1129" s="20">
        <v>13110.252</v>
      </c>
      <c r="H1129" s="20">
        <f t="shared" si="228"/>
        <v>511300</v>
      </c>
      <c r="I1129" s="20">
        <v>0</v>
      </c>
      <c r="J1129" s="20">
        <f t="shared" si="229"/>
        <v>0</v>
      </c>
      <c r="K1129" s="20">
        <f t="shared" si="230"/>
        <v>22942.940999999999</v>
      </c>
      <c r="L1129" s="20">
        <f t="shared" si="231"/>
        <v>894775</v>
      </c>
      <c r="M1129" s="18"/>
      <c r="N1129" s="44"/>
    </row>
    <row r="1130" spans="1:14" ht="21" customHeight="1">
      <c r="A1130" s="18" t="s">
        <v>812</v>
      </c>
      <c r="B1130" s="18" t="s">
        <v>813</v>
      </c>
      <c r="C1130" s="20">
        <v>795</v>
      </c>
      <c r="D1130" s="21" t="s">
        <v>365</v>
      </c>
      <c r="E1130" s="20">
        <v>15076.7898</v>
      </c>
      <c r="F1130" s="20">
        <f t="shared" si="227"/>
        <v>11986048</v>
      </c>
      <c r="G1130" s="20">
        <v>5812.6359999999995</v>
      </c>
      <c r="H1130" s="20">
        <f t="shared" si="228"/>
        <v>4621046</v>
      </c>
      <c r="I1130" s="20">
        <v>0</v>
      </c>
      <c r="J1130" s="20">
        <f t="shared" si="229"/>
        <v>0</v>
      </c>
      <c r="K1130" s="20">
        <f t="shared" si="230"/>
        <v>20889.425800000001</v>
      </c>
      <c r="L1130" s="20">
        <f t="shared" si="231"/>
        <v>16607094</v>
      </c>
      <c r="M1130" s="18"/>
      <c r="N1130" s="44"/>
    </row>
    <row r="1131" spans="1:14" ht="21" customHeight="1">
      <c r="A1131" s="18" t="s">
        <v>814</v>
      </c>
      <c r="B1131" s="18" t="s">
        <v>815</v>
      </c>
      <c r="C1131" s="20">
        <v>322</v>
      </c>
      <c r="D1131" s="21" t="s">
        <v>231</v>
      </c>
      <c r="E1131" s="20">
        <v>2185.0419999999999</v>
      </c>
      <c r="F1131" s="20">
        <f t="shared" si="227"/>
        <v>703584</v>
      </c>
      <c r="G1131" s="20">
        <v>5462.6049999999996</v>
      </c>
      <c r="H1131" s="20">
        <f t="shared" si="228"/>
        <v>1758959</v>
      </c>
      <c r="I1131" s="20">
        <v>0</v>
      </c>
      <c r="J1131" s="20">
        <f t="shared" si="229"/>
        <v>0</v>
      </c>
      <c r="K1131" s="20">
        <f t="shared" si="230"/>
        <v>7647.646999999999</v>
      </c>
      <c r="L1131" s="20">
        <f t="shared" si="231"/>
        <v>2462543</v>
      </c>
      <c r="M1131" s="18"/>
      <c r="N1131" s="44"/>
    </row>
    <row r="1132" spans="1:14" ht="21" customHeight="1">
      <c r="A1132" s="18" t="s">
        <v>816</v>
      </c>
      <c r="B1132" s="18" t="s">
        <v>817</v>
      </c>
      <c r="C1132" s="20">
        <v>70</v>
      </c>
      <c r="D1132" s="21" t="s">
        <v>99</v>
      </c>
      <c r="E1132" s="20">
        <v>0</v>
      </c>
      <c r="F1132" s="20">
        <f t="shared" si="227"/>
        <v>0</v>
      </c>
      <c r="G1132" s="20">
        <v>2185.0419999999999</v>
      </c>
      <c r="H1132" s="20">
        <f t="shared" si="228"/>
        <v>152953</v>
      </c>
      <c r="I1132" s="20">
        <v>4651.1695</v>
      </c>
      <c r="J1132" s="20">
        <f t="shared" si="229"/>
        <v>325582</v>
      </c>
      <c r="K1132" s="20">
        <f t="shared" si="230"/>
        <v>6836.2114999999994</v>
      </c>
      <c r="L1132" s="20">
        <f t="shared" si="231"/>
        <v>478535</v>
      </c>
      <c r="M1132" s="18"/>
      <c r="N1132" s="44"/>
    </row>
    <row r="1133" spans="1:14" ht="21" customHeight="1">
      <c r="A1133" s="18" t="s">
        <v>818</v>
      </c>
      <c r="B1133" s="18"/>
      <c r="C1133" s="19"/>
      <c r="D1133" s="19"/>
      <c r="E1133" s="19">
        <v>0</v>
      </c>
      <c r="F1133" s="19"/>
      <c r="G1133" s="19">
        <v>0</v>
      </c>
      <c r="H1133" s="19"/>
      <c r="I1133" s="19">
        <v>0</v>
      </c>
      <c r="J1133" s="19"/>
      <c r="K1133" s="19"/>
      <c r="L1133" s="19"/>
      <c r="M1133" s="19"/>
      <c r="N1133" s="44"/>
    </row>
    <row r="1134" spans="1:14" ht="21" customHeight="1">
      <c r="A1134" s="18" t="s">
        <v>819</v>
      </c>
      <c r="B1134" s="18" t="s">
        <v>399</v>
      </c>
      <c r="C1134" s="20">
        <v>23</v>
      </c>
      <c r="D1134" s="21" t="s">
        <v>391</v>
      </c>
      <c r="E1134" s="20">
        <v>0</v>
      </c>
      <c r="F1134" s="20">
        <f>ROUND(E1134*C1134,0)</f>
        <v>0</v>
      </c>
      <c r="G1134" s="20">
        <v>0</v>
      </c>
      <c r="H1134" s="20">
        <f>ROUND(G1134*C1134,0)</f>
        <v>0</v>
      </c>
      <c r="I1134" s="20">
        <v>23849.839499999998</v>
      </c>
      <c r="J1134" s="20">
        <f>ROUND(I1134*C1134,0)</f>
        <v>548546</v>
      </c>
      <c r="K1134" s="20">
        <f>E1134+G1134+I1134</f>
        <v>23849.839499999998</v>
      </c>
      <c r="L1134" s="20">
        <f>F1134+H1134+J1134</f>
        <v>548546</v>
      </c>
      <c r="M1134" s="18"/>
      <c r="N1134" s="44"/>
    </row>
    <row r="1135" spans="1:14" ht="21" customHeight="1">
      <c r="A1135" s="18" t="s">
        <v>820</v>
      </c>
      <c r="B1135" s="18" t="s">
        <v>401</v>
      </c>
      <c r="C1135" s="22">
        <v>0.46899999999999997</v>
      </c>
      <c r="D1135" s="21" t="s">
        <v>391</v>
      </c>
      <c r="E1135" s="20">
        <v>-466708</v>
      </c>
      <c r="F1135" s="20">
        <f>ROUND(E1135*C1135,0)</f>
        <v>-218886</v>
      </c>
      <c r="G1135" s="20">
        <v>0</v>
      </c>
      <c r="H1135" s="20">
        <f>ROUND(G1135*C1135,0)</f>
        <v>0</v>
      </c>
      <c r="I1135" s="20">
        <v>0</v>
      </c>
      <c r="J1135" s="20">
        <f>ROUND(I1135*C1135,0)</f>
        <v>0</v>
      </c>
      <c r="K1135" s="20">
        <f>E1135+G1135+I1135</f>
        <v>-466708</v>
      </c>
      <c r="L1135" s="20">
        <f>F1135+H1135+J1135</f>
        <v>-218886</v>
      </c>
      <c r="M1135" s="18"/>
      <c r="N1135" s="44"/>
    </row>
    <row r="1136" spans="1:14" ht="21" customHeight="1">
      <c r="A1136" s="18" t="s">
        <v>821</v>
      </c>
      <c r="B1136" s="18"/>
      <c r="C1136" s="19"/>
      <c r="D1136" s="19"/>
      <c r="E1136" s="19">
        <v>0</v>
      </c>
      <c r="F1136" s="19"/>
      <c r="G1136" s="19">
        <v>0</v>
      </c>
      <c r="H1136" s="19"/>
      <c r="I1136" s="19">
        <v>0</v>
      </c>
      <c r="J1136" s="19"/>
      <c r="K1136" s="19"/>
      <c r="L1136" s="19"/>
      <c r="M1136" s="19"/>
      <c r="N1136" s="44"/>
    </row>
    <row r="1137" spans="1:14" ht="21" customHeight="1">
      <c r="A1137" s="18" t="s">
        <v>403</v>
      </c>
      <c r="B1137" s="18" t="s">
        <v>822</v>
      </c>
      <c r="C1137" s="20">
        <v>250</v>
      </c>
      <c r="D1137" s="21" t="s">
        <v>99</v>
      </c>
      <c r="E1137" s="20">
        <v>110259.765</v>
      </c>
      <c r="F1137" s="20">
        <f t="shared" ref="F1137:F1143" si="232">ROUND(E1137*C1137,0)</f>
        <v>27564941</v>
      </c>
      <c r="G1137" s="20">
        <v>0</v>
      </c>
      <c r="H1137" s="20">
        <f t="shared" ref="H1137:H1143" si="233">ROUND(G1137*C1137,0)</f>
        <v>0</v>
      </c>
      <c r="I1137" s="20">
        <v>0</v>
      </c>
      <c r="J1137" s="20">
        <f t="shared" ref="J1137:J1143" si="234">ROUND(I1137*C1137,0)</f>
        <v>0</v>
      </c>
      <c r="K1137" s="20">
        <f t="shared" ref="K1137:L1143" si="235">E1137+G1137+I1137</f>
        <v>110259.765</v>
      </c>
      <c r="L1137" s="20">
        <f t="shared" si="235"/>
        <v>27564941</v>
      </c>
      <c r="M1137" s="18"/>
      <c r="N1137" s="44"/>
    </row>
    <row r="1138" spans="1:14" ht="21" customHeight="1">
      <c r="A1138" s="18" t="s">
        <v>405</v>
      </c>
      <c r="B1138" s="18" t="s">
        <v>823</v>
      </c>
      <c r="C1138" s="20">
        <v>36</v>
      </c>
      <c r="D1138" s="21" t="s">
        <v>99</v>
      </c>
      <c r="E1138" s="20">
        <v>102675.76</v>
      </c>
      <c r="F1138" s="20">
        <f t="shared" si="232"/>
        <v>3696327</v>
      </c>
      <c r="G1138" s="20">
        <v>0</v>
      </c>
      <c r="H1138" s="20">
        <f t="shared" si="233"/>
        <v>0</v>
      </c>
      <c r="I1138" s="20">
        <v>0</v>
      </c>
      <c r="J1138" s="20">
        <f t="shared" si="234"/>
        <v>0</v>
      </c>
      <c r="K1138" s="20">
        <f t="shared" si="235"/>
        <v>102675.76</v>
      </c>
      <c r="L1138" s="20">
        <f t="shared" si="235"/>
        <v>3696327</v>
      </c>
      <c r="M1138" s="18"/>
      <c r="N1138" s="44"/>
    </row>
    <row r="1139" spans="1:14" ht="21" customHeight="1">
      <c r="A1139" s="18" t="s">
        <v>386</v>
      </c>
      <c r="B1139" s="18" t="s">
        <v>759</v>
      </c>
      <c r="C1139" s="20">
        <v>73</v>
      </c>
      <c r="D1139" s="21" t="s">
        <v>99</v>
      </c>
      <c r="E1139" s="20">
        <v>19665.378000000001</v>
      </c>
      <c r="F1139" s="20">
        <f t="shared" si="232"/>
        <v>1435573</v>
      </c>
      <c r="G1139" s="20">
        <v>0</v>
      </c>
      <c r="H1139" s="20">
        <f t="shared" si="233"/>
        <v>0</v>
      </c>
      <c r="I1139" s="20">
        <v>0</v>
      </c>
      <c r="J1139" s="20">
        <f t="shared" si="234"/>
        <v>0</v>
      </c>
      <c r="K1139" s="20">
        <f t="shared" si="235"/>
        <v>19665.378000000001</v>
      </c>
      <c r="L1139" s="20">
        <f t="shared" si="235"/>
        <v>1435573</v>
      </c>
      <c r="M1139" s="18"/>
      <c r="N1139" s="44"/>
    </row>
    <row r="1140" spans="1:14" ht="21" customHeight="1">
      <c r="A1140" s="18" t="s">
        <v>396</v>
      </c>
      <c r="B1140" s="18" t="s">
        <v>824</v>
      </c>
      <c r="C1140" s="20">
        <v>23</v>
      </c>
      <c r="D1140" s="21" t="s">
        <v>825</v>
      </c>
      <c r="E1140" s="20">
        <v>1038485.7598999999</v>
      </c>
      <c r="F1140" s="20">
        <f t="shared" si="232"/>
        <v>23885172</v>
      </c>
      <c r="G1140" s="20">
        <v>0</v>
      </c>
      <c r="H1140" s="20">
        <f t="shared" si="233"/>
        <v>0</v>
      </c>
      <c r="I1140" s="20">
        <v>0</v>
      </c>
      <c r="J1140" s="20">
        <f t="shared" si="234"/>
        <v>0</v>
      </c>
      <c r="K1140" s="20">
        <f t="shared" si="235"/>
        <v>1038485.7598999999</v>
      </c>
      <c r="L1140" s="20">
        <f t="shared" si="235"/>
        <v>23885172</v>
      </c>
      <c r="M1140" s="18"/>
      <c r="N1140" s="44"/>
    </row>
    <row r="1141" spans="1:14" ht="21" customHeight="1">
      <c r="A1141" s="18" t="s">
        <v>826</v>
      </c>
      <c r="B1141" s="18" t="s">
        <v>827</v>
      </c>
      <c r="C1141" s="20">
        <v>0</v>
      </c>
      <c r="D1141" s="21" t="s">
        <v>825</v>
      </c>
      <c r="E1141" s="20">
        <v>0</v>
      </c>
      <c r="F1141" s="20">
        <f t="shared" si="232"/>
        <v>0</v>
      </c>
      <c r="G1141" s="20">
        <v>0</v>
      </c>
      <c r="H1141" s="20">
        <f t="shared" si="233"/>
        <v>0</v>
      </c>
      <c r="I1141" s="20">
        <v>0</v>
      </c>
      <c r="J1141" s="20">
        <f t="shared" si="234"/>
        <v>0</v>
      </c>
      <c r="K1141" s="20">
        <f t="shared" si="235"/>
        <v>0</v>
      </c>
      <c r="L1141" s="20">
        <f t="shared" si="235"/>
        <v>0</v>
      </c>
      <c r="M1141" s="18"/>
      <c r="N1141" s="44"/>
    </row>
    <row r="1142" spans="1:14" ht="21" customHeight="1">
      <c r="A1142" s="18" t="s">
        <v>828</v>
      </c>
      <c r="B1142" s="18" t="s">
        <v>829</v>
      </c>
      <c r="C1142" s="20">
        <v>0</v>
      </c>
      <c r="D1142" s="21" t="s">
        <v>825</v>
      </c>
      <c r="E1142" s="20">
        <v>1038485.7598999999</v>
      </c>
      <c r="F1142" s="20">
        <f t="shared" si="232"/>
        <v>0</v>
      </c>
      <c r="G1142" s="20">
        <v>0</v>
      </c>
      <c r="H1142" s="20">
        <f t="shared" si="233"/>
        <v>0</v>
      </c>
      <c r="I1142" s="20">
        <v>0</v>
      </c>
      <c r="J1142" s="20">
        <f t="shared" si="234"/>
        <v>0</v>
      </c>
      <c r="K1142" s="20">
        <f t="shared" si="235"/>
        <v>1038485.7598999999</v>
      </c>
      <c r="L1142" s="20">
        <f t="shared" si="235"/>
        <v>0</v>
      </c>
      <c r="M1142" s="18"/>
      <c r="N1142" s="44"/>
    </row>
    <row r="1143" spans="1:14" ht="21" customHeight="1">
      <c r="A1143" s="18" t="s">
        <v>830</v>
      </c>
      <c r="B1143" s="18" t="s">
        <v>831</v>
      </c>
      <c r="C1143" s="20">
        <v>0</v>
      </c>
      <c r="D1143" s="21" t="s">
        <v>825</v>
      </c>
      <c r="E1143" s="20">
        <v>0</v>
      </c>
      <c r="F1143" s="20">
        <f t="shared" si="232"/>
        <v>0</v>
      </c>
      <c r="G1143" s="20">
        <v>0</v>
      </c>
      <c r="H1143" s="20">
        <f t="shared" si="233"/>
        <v>0</v>
      </c>
      <c r="I1143" s="20">
        <v>0</v>
      </c>
      <c r="J1143" s="20">
        <f t="shared" si="234"/>
        <v>0</v>
      </c>
      <c r="K1143" s="20">
        <f t="shared" si="235"/>
        <v>0</v>
      </c>
      <c r="L1143" s="20">
        <f t="shared" si="235"/>
        <v>0</v>
      </c>
      <c r="M1143" s="18"/>
      <c r="N1143" s="44"/>
    </row>
    <row r="1144" spans="1:14" ht="21" customHeight="1">
      <c r="A1144" s="18"/>
      <c r="B1144" s="18"/>
      <c r="C1144" s="20"/>
      <c r="D1144" s="21"/>
      <c r="E1144" s="20"/>
      <c r="F1144" s="20"/>
      <c r="G1144" s="20"/>
      <c r="H1144" s="20"/>
      <c r="I1144" s="20"/>
      <c r="J1144" s="20"/>
      <c r="K1144" s="20"/>
      <c r="L1144" s="20"/>
      <c r="M1144" s="18"/>
      <c r="N1144" s="44"/>
    </row>
    <row r="1145" spans="1:14" ht="21" customHeight="1">
      <c r="A1145" s="14" t="s">
        <v>1219</v>
      </c>
      <c r="B1145" s="15"/>
      <c r="C1145" s="16"/>
      <c r="D1145" s="16"/>
      <c r="E1145" s="16"/>
      <c r="F1145" s="17">
        <f>SUM(F1148:F1156)</f>
        <v>0</v>
      </c>
      <c r="G1145" s="16"/>
      <c r="H1145" s="17">
        <f>SUM(H1148:H1156)</f>
        <v>1545917</v>
      </c>
      <c r="I1145" s="16"/>
      <c r="J1145" s="17">
        <f>SUM(J1148:J1156)</f>
        <v>531854</v>
      </c>
      <c r="K1145" s="16"/>
      <c r="L1145" s="17">
        <f>F1145+H1145+J1145</f>
        <v>2077771</v>
      </c>
      <c r="M1145" s="16"/>
    </row>
    <row r="1146" spans="1:14" ht="21" customHeight="1">
      <c r="A1146" s="18" t="s">
        <v>860</v>
      </c>
      <c r="B1146" s="18"/>
      <c r="C1146" s="19"/>
      <c r="D1146" s="19"/>
      <c r="E1146" s="19"/>
      <c r="F1146" s="19"/>
      <c r="G1146" s="19"/>
      <c r="H1146" s="19"/>
      <c r="I1146" s="19"/>
      <c r="J1146" s="19"/>
      <c r="K1146" s="19"/>
      <c r="L1146" s="19"/>
      <c r="M1146" s="19"/>
    </row>
    <row r="1147" spans="1:14" ht="21" customHeight="1">
      <c r="A1147" s="18" t="s">
        <v>212</v>
      </c>
      <c r="B1147" s="18"/>
      <c r="C1147" s="19"/>
      <c r="D1147" s="19"/>
      <c r="E1147" s="19"/>
      <c r="F1147" s="19"/>
      <c r="G1147" s="19"/>
      <c r="H1147" s="19"/>
      <c r="I1147" s="19"/>
      <c r="J1147" s="19"/>
      <c r="K1147" s="19"/>
      <c r="L1147" s="19"/>
      <c r="M1147" s="19"/>
    </row>
    <row r="1148" spans="1:14" ht="21" customHeight="1">
      <c r="A1148" s="18" t="s">
        <v>834</v>
      </c>
      <c r="B1148" s="18" t="s">
        <v>217</v>
      </c>
      <c r="C1148" s="20">
        <v>19</v>
      </c>
      <c r="D1148" s="21" t="s">
        <v>99</v>
      </c>
      <c r="E1148" s="20">
        <v>0</v>
      </c>
      <c r="F1148" s="20">
        <f>ROUND(E1148*C1148,0)</f>
        <v>0</v>
      </c>
      <c r="G1148" s="20">
        <v>49163.445</v>
      </c>
      <c r="H1148" s="20">
        <f>ROUND(G1148*C1148,0)</f>
        <v>934105</v>
      </c>
      <c r="I1148" s="20">
        <v>14309.903699999999</v>
      </c>
      <c r="J1148" s="20">
        <f>ROUND(I1148*C1148,0)</f>
        <v>271888</v>
      </c>
      <c r="K1148" s="20">
        <f>E1148+G1148+I1148</f>
        <v>63473.348700000002</v>
      </c>
      <c r="L1148" s="20">
        <f>F1148+H1148+J1148</f>
        <v>1205993</v>
      </c>
      <c r="M1148" s="18"/>
      <c r="N1148" s="44"/>
    </row>
    <row r="1149" spans="1:14" ht="21" customHeight="1">
      <c r="A1149" s="18" t="s">
        <v>218</v>
      </c>
      <c r="B1149" s="18"/>
      <c r="C1149" s="19"/>
      <c r="D1149" s="19"/>
      <c r="E1149" s="19">
        <v>0</v>
      </c>
      <c r="F1149" s="19"/>
      <c r="G1149" s="19">
        <v>0</v>
      </c>
      <c r="H1149" s="19"/>
      <c r="I1149" s="19">
        <v>0</v>
      </c>
      <c r="J1149" s="19"/>
      <c r="K1149" s="19"/>
      <c r="L1149" s="19"/>
      <c r="M1149" s="19"/>
      <c r="N1149" s="44"/>
    </row>
    <row r="1150" spans="1:14" ht="21" customHeight="1">
      <c r="A1150" s="18" t="s">
        <v>861</v>
      </c>
      <c r="B1150" s="18" t="s">
        <v>217</v>
      </c>
      <c r="C1150" s="20">
        <v>14</v>
      </c>
      <c r="D1150" s="21" t="s">
        <v>99</v>
      </c>
      <c r="E1150" s="20">
        <v>0</v>
      </c>
      <c r="F1150" s="20">
        <f>ROUND(E1150*C1150,0)</f>
        <v>0</v>
      </c>
      <c r="G1150" s="20">
        <v>43700.84</v>
      </c>
      <c r="H1150" s="20">
        <f>ROUND(G1150*C1150,0)</f>
        <v>611812</v>
      </c>
      <c r="I1150" s="20">
        <v>14309.903699999999</v>
      </c>
      <c r="J1150" s="20">
        <f>ROUND(I1150*C1150,0)</f>
        <v>200339</v>
      </c>
      <c r="K1150" s="20">
        <f>E1150+G1150+I1150</f>
        <v>58010.743699999992</v>
      </c>
      <c r="L1150" s="20">
        <f>F1150+H1150+J1150</f>
        <v>812151</v>
      </c>
      <c r="M1150" s="18"/>
      <c r="N1150" s="44"/>
    </row>
    <row r="1151" spans="1:14" ht="21" customHeight="1">
      <c r="A1151" s="18" t="s">
        <v>224</v>
      </c>
      <c r="B1151" s="18"/>
      <c r="C1151" s="19"/>
      <c r="D1151" s="19"/>
      <c r="E1151" s="19">
        <v>0</v>
      </c>
      <c r="F1151" s="19"/>
      <c r="G1151" s="19">
        <v>0</v>
      </c>
      <c r="H1151" s="19"/>
      <c r="I1151" s="19">
        <v>0</v>
      </c>
      <c r="J1151" s="19"/>
      <c r="K1151" s="19"/>
      <c r="L1151" s="19"/>
      <c r="M1151" s="19"/>
      <c r="N1151" s="44"/>
    </row>
    <row r="1152" spans="1:14" ht="21" customHeight="1">
      <c r="A1152" s="18" t="s">
        <v>225</v>
      </c>
      <c r="B1152" s="18" t="s">
        <v>445</v>
      </c>
      <c r="C1152" s="20">
        <v>5</v>
      </c>
      <c r="D1152" s="21" t="s">
        <v>99</v>
      </c>
      <c r="E1152" s="20">
        <v>0</v>
      </c>
      <c r="F1152" s="20">
        <f>ROUND(E1152*C1152,0)</f>
        <v>0</v>
      </c>
      <c r="G1152" s="20">
        <v>0</v>
      </c>
      <c r="H1152" s="20">
        <f>ROUND(G1152*C1152,0)</f>
        <v>0</v>
      </c>
      <c r="I1152" s="20">
        <v>11925.4501</v>
      </c>
      <c r="J1152" s="20">
        <f>ROUND(I1152*C1152,0)</f>
        <v>59627</v>
      </c>
      <c r="K1152" s="20">
        <f>E1152+G1152+I1152</f>
        <v>11925.4501</v>
      </c>
      <c r="L1152" s="20">
        <f>F1152+H1152+J1152</f>
        <v>59627</v>
      </c>
      <c r="M1152" s="18"/>
      <c r="N1152" s="44"/>
    </row>
    <row r="1153" spans="1:14" ht="21" customHeight="1">
      <c r="A1153" s="18" t="s">
        <v>1220</v>
      </c>
      <c r="B1153" s="18"/>
      <c r="C1153" s="19"/>
      <c r="D1153" s="19"/>
      <c r="E1153" s="19">
        <v>0</v>
      </c>
      <c r="F1153" s="19"/>
      <c r="G1153" s="19">
        <v>0</v>
      </c>
      <c r="H1153" s="19"/>
      <c r="I1153" s="19">
        <v>0</v>
      </c>
      <c r="J1153" s="19"/>
      <c r="K1153" s="19"/>
      <c r="L1153" s="19"/>
      <c r="M1153" s="19"/>
      <c r="N1153" s="44"/>
    </row>
    <row r="1154" spans="1:14" ht="21" customHeight="1">
      <c r="A1154" s="18" t="s">
        <v>1138</v>
      </c>
      <c r="B1154" s="18"/>
      <c r="C1154" s="20">
        <v>1</v>
      </c>
      <c r="D1154" s="21" t="s">
        <v>1139</v>
      </c>
      <c r="E1154" s="20">
        <v>0</v>
      </c>
      <c r="F1154" s="20">
        <f>ROUND(E1154*C1154,0)</f>
        <v>0</v>
      </c>
      <c r="G1154" s="20">
        <v>0</v>
      </c>
      <c r="H1154" s="20">
        <f>ROUND(G1154*C1154,0)</f>
        <v>0</v>
      </c>
      <c r="I1154" s="20">
        <v>0</v>
      </c>
      <c r="J1154" s="20">
        <f>ROUND(I1154*C1154,0)</f>
        <v>0</v>
      </c>
      <c r="K1154" s="20">
        <f t="shared" ref="K1154:L1156" si="236">E1154+G1154+I1154</f>
        <v>0</v>
      </c>
      <c r="L1154" s="20">
        <f t="shared" si="236"/>
        <v>0</v>
      </c>
      <c r="M1154" s="18" t="s">
        <v>1140</v>
      </c>
      <c r="N1154" s="44"/>
    </row>
    <row r="1155" spans="1:14" ht="21" customHeight="1">
      <c r="A1155" s="18" t="s">
        <v>1141</v>
      </c>
      <c r="B1155" s="18"/>
      <c r="C1155" s="20">
        <v>1</v>
      </c>
      <c r="D1155" s="21" t="s">
        <v>1139</v>
      </c>
      <c r="E1155" s="20">
        <v>0</v>
      </c>
      <c r="F1155" s="20">
        <f>ROUND(E1155*C1155,0)</f>
        <v>0</v>
      </c>
      <c r="G1155" s="20">
        <v>0</v>
      </c>
      <c r="H1155" s="20">
        <f>ROUND(G1155*C1155,0)</f>
        <v>0</v>
      </c>
      <c r="I1155" s="20">
        <v>0</v>
      </c>
      <c r="J1155" s="20">
        <f>ROUND(I1155*C1155,0)</f>
        <v>0</v>
      </c>
      <c r="K1155" s="20">
        <f t="shared" si="236"/>
        <v>0</v>
      </c>
      <c r="L1155" s="20">
        <f t="shared" si="236"/>
        <v>0</v>
      </c>
      <c r="M1155" s="18" t="s">
        <v>1140</v>
      </c>
      <c r="N1155" s="44"/>
    </row>
    <row r="1156" spans="1:14" ht="21" customHeight="1">
      <c r="A1156" s="18" t="s">
        <v>1142</v>
      </c>
      <c r="B1156" s="18"/>
      <c r="C1156" s="20">
        <v>1</v>
      </c>
      <c r="D1156" s="21" t="s">
        <v>1143</v>
      </c>
      <c r="E1156" s="20">
        <v>0</v>
      </c>
      <c r="F1156" s="20">
        <f>ROUND(E1156*C1156,0)</f>
        <v>0</v>
      </c>
      <c r="G1156" s="20">
        <v>0</v>
      </c>
      <c r="H1156" s="20">
        <f>ROUND(G1156*C1156,0)</f>
        <v>0</v>
      </c>
      <c r="I1156" s="20">
        <v>0</v>
      </c>
      <c r="J1156" s="20">
        <f>ROUND(I1156*C1156,0)</f>
        <v>0</v>
      </c>
      <c r="K1156" s="20">
        <f t="shared" si="236"/>
        <v>0</v>
      </c>
      <c r="L1156" s="20">
        <f t="shared" si="236"/>
        <v>0</v>
      </c>
      <c r="M1156" s="18" t="s">
        <v>1144</v>
      </c>
      <c r="N1156" s="44"/>
    </row>
    <row r="1157" spans="1:14" ht="21" customHeight="1">
      <c r="A1157" s="23" t="s">
        <v>1221</v>
      </c>
      <c r="B1157" s="24"/>
      <c r="C1157" s="24"/>
      <c r="D1157" s="24"/>
      <c r="E1157" s="24"/>
      <c r="F1157" s="25">
        <f>F901+F941+F997+F1040+F1115+F1145</f>
        <v>498233494</v>
      </c>
      <c r="G1157" s="24"/>
      <c r="H1157" s="25">
        <f>H901+H941+H997+H1040+H1115+H1145</f>
        <v>220907755</v>
      </c>
      <c r="I1157" s="24"/>
      <c r="J1157" s="25">
        <f>J901+J941+J997+J1040+J1115+J1145</f>
        <v>202406558</v>
      </c>
      <c r="K1157" s="24"/>
      <c r="L1157" s="25">
        <f>F1157+H1157+J1157</f>
        <v>921547807</v>
      </c>
      <c r="M1157" s="24"/>
    </row>
    <row r="1158" spans="1:14" ht="21" customHeight="1">
      <c r="L1158" s="26">
        <v>868810968</v>
      </c>
      <c r="M1158" s="26">
        <f>+L1157/L1158</f>
        <v>1.0607000152419808</v>
      </c>
    </row>
    <row r="1159" spans="1:14" ht="21" customHeight="1">
      <c r="A1159" s="134" t="s">
        <v>1222</v>
      </c>
      <c r="B1159" s="135"/>
      <c r="C1159" s="135"/>
      <c r="D1159" s="135"/>
      <c r="E1159" s="135"/>
      <c r="F1159" s="135"/>
      <c r="G1159" s="135"/>
      <c r="H1159" s="135"/>
      <c r="I1159" s="135"/>
      <c r="J1159" s="135"/>
      <c r="K1159" s="135"/>
      <c r="L1159" s="135"/>
      <c r="M1159" s="135"/>
    </row>
    <row r="1160" spans="1:14" ht="21" customHeight="1">
      <c r="A1160" s="14" t="s">
        <v>89</v>
      </c>
      <c r="B1160" s="15"/>
      <c r="C1160" s="16"/>
      <c r="D1160" s="16"/>
      <c r="E1160" s="16"/>
      <c r="F1160" s="17">
        <f>SUM(F1162:F1199)</f>
        <v>2610721</v>
      </c>
      <c r="G1160" s="16"/>
      <c r="H1160" s="17">
        <f>SUM(H1162:H1199)</f>
        <v>14497621</v>
      </c>
      <c r="I1160" s="16"/>
      <c r="J1160" s="17">
        <f>SUM(J1162:J1199)</f>
        <v>40205248</v>
      </c>
      <c r="K1160" s="16"/>
      <c r="L1160" s="17">
        <f>F1160+H1160+J1160</f>
        <v>57313590</v>
      </c>
      <c r="M1160" s="16"/>
    </row>
    <row r="1161" spans="1:14" ht="21" customHeight="1">
      <c r="A1161" s="18" t="s">
        <v>1154</v>
      </c>
      <c r="B1161" s="18"/>
      <c r="C1161" s="19"/>
      <c r="D1161" s="19"/>
      <c r="E1161" s="19"/>
      <c r="F1161" s="19"/>
      <c r="G1161" s="19"/>
      <c r="H1161" s="19"/>
      <c r="I1161" s="19"/>
      <c r="J1161" s="19"/>
      <c r="K1161" s="19"/>
      <c r="L1161" s="19"/>
      <c r="M1161" s="19"/>
    </row>
    <row r="1162" spans="1:14" ht="21" customHeight="1">
      <c r="A1162" s="18" t="s">
        <v>1155</v>
      </c>
      <c r="B1162" s="18" t="s">
        <v>1156</v>
      </c>
      <c r="C1162" s="20">
        <v>3022</v>
      </c>
      <c r="D1162" s="21" t="s">
        <v>950</v>
      </c>
      <c r="E1162" s="20">
        <v>0</v>
      </c>
      <c r="F1162" s="20">
        <f>ROUND(E1162*C1162,0)</f>
        <v>0</v>
      </c>
      <c r="G1162" s="20">
        <v>294.87459999999999</v>
      </c>
      <c r="H1162" s="20">
        <f>ROUND(G1162*C1162,0)</f>
        <v>891111</v>
      </c>
      <c r="I1162" s="20">
        <v>1649.3885</v>
      </c>
      <c r="J1162" s="20">
        <f>ROUND(I1162*C1162,0)</f>
        <v>4984452</v>
      </c>
      <c r="K1162" s="20">
        <f>E1162+G1162+I1162</f>
        <v>1944.2631000000001</v>
      </c>
      <c r="L1162" s="20">
        <f>F1162+H1162+J1162</f>
        <v>5875563</v>
      </c>
      <c r="M1162" s="18"/>
      <c r="N1162" s="44"/>
    </row>
    <row r="1163" spans="1:14" ht="21" customHeight="1">
      <c r="A1163" s="18" t="s">
        <v>1157</v>
      </c>
      <c r="B1163" s="18"/>
      <c r="C1163" s="19"/>
      <c r="D1163" s="19"/>
      <c r="E1163" s="19">
        <v>0</v>
      </c>
      <c r="F1163" s="19"/>
      <c r="G1163" s="19">
        <v>0</v>
      </c>
      <c r="H1163" s="19"/>
      <c r="I1163" s="19">
        <v>0</v>
      </c>
      <c r="J1163" s="19"/>
      <c r="K1163" s="19"/>
      <c r="L1163" s="19"/>
      <c r="M1163" s="19"/>
      <c r="N1163" s="44"/>
    </row>
    <row r="1164" spans="1:14" ht="21" customHeight="1">
      <c r="A1164" s="18" t="s">
        <v>111</v>
      </c>
      <c r="B1164" s="18" t="s">
        <v>112</v>
      </c>
      <c r="C1164" s="20">
        <v>245</v>
      </c>
      <c r="D1164" s="21" t="s">
        <v>93</v>
      </c>
      <c r="E1164" s="20">
        <v>6970.9204</v>
      </c>
      <c r="F1164" s="20">
        <f>ROUND(E1164*C1164,0)</f>
        <v>1707875</v>
      </c>
      <c r="G1164" s="20">
        <v>1461.6445999999999</v>
      </c>
      <c r="H1164" s="20">
        <f>ROUND(G1164*C1164,0)</f>
        <v>358103</v>
      </c>
      <c r="I1164" s="20">
        <v>0</v>
      </c>
      <c r="J1164" s="20">
        <f>ROUND(I1164*C1164,0)</f>
        <v>0</v>
      </c>
      <c r="K1164" s="20">
        <f>E1164+G1164+I1164</f>
        <v>8432.5650000000005</v>
      </c>
      <c r="L1164" s="20">
        <f>F1164+H1164+J1164</f>
        <v>2065978</v>
      </c>
      <c r="M1164" s="18"/>
      <c r="N1164" s="44"/>
    </row>
    <row r="1165" spans="1:14" ht="21" customHeight="1">
      <c r="A1165" s="18" t="s">
        <v>1158</v>
      </c>
      <c r="B1165" s="18"/>
      <c r="C1165" s="19"/>
      <c r="D1165" s="19"/>
      <c r="E1165" s="19">
        <v>0</v>
      </c>
      <c r="F1165" s="19"/>
      <c r="G1165" s="19">
        <v>0</v>
      </c>
      <c r="H1165" s="19"/>
      <c r="I1165" s="19">
        <v>0</v>
      </c>
      <c r="J1165" s="19"/>
      <c r="K1165" s="19"/>
      <c r="L1165" s="19"/>
      <c r="M1165" s="19"/>
      <c r="N1165" s="44"/>
    </row>
    <row r="1166" spans="1:14" ht="21" customHeight="1">
      <c r="A1166" s="18" t="s">
        <v>116</v>
      </c>
      <c r="B1166" s="18"/>
      <c r="C1166" s="19"/>
      <c r="D1166" s="19"/>
      <c r="E1166" s="19">
        <v>0</v>
      </c>
      <c r="F1166" s="19"/>
      <c r="G1166" s="19">
        <v>0</v>
      </c>
      <c r="H1166" s="19"/>
      <c r="I1166" s="19">
        <v>0</v>
      </c>
      <c r="J1166" s="19"/>
      <c r="K1166" s="19"/>
      <c r="L1166" s="19"/>
      <c r="M1166" s="19"/>
      <c r="N1166" s="44"/>
    </row>
    <row r="1167" spans="1:14" ht="21" customHeight="1">
      <c r="A1167" s="18" t="s">
        <v>119</v>
      </c>
      <c r="B1167" s="18" t="s">
        <v>120</v>
      </c>
      <c r="C1167" s="20">
        <v>578</v>
      </c>
      <c r="D1167" s="21" t="s">
        <v>99</v>
      </c>
      <c r="E1167" s="20">
        <v>0</v>
      </c>
      <c r="F1167" s="20">
        <f>ROUND(E1167*C1167,0)</f>
        <v>0</v>
      </c>
      <c r="G1167" s="20">
        <v>341.54539999999997</v>
      </c>
      <c r="H1167" s="20">
        <f>ROUND(G1167*C1167,0)</f>
        <v>197413</v>
      </c>
      <c r="I1167" s="20">
        <v>1917.7456</v>
      </c>
      <c r="J1167" s="20">
        <f>ROUND(I1167*C1167,0)</f>
        <v>1108457</v>
      </c>
      <c r="K1167" s="20">
        <f>E1167+G1167+I1167</f>
        <v>2259.2910000000002</v>
      </c>
      <c r="L1167" s="20">
        <f>F1167+H1167+J1167</f>
        <v>1305870</v>
      </c>
      <c r="M1167" s="18"/>
      <c r="N1167" s="44"/>
    </row>
    <row r="1168" spans="1:14" ht="21" customHeight="1">
      <c r="A1168" s="18" t="s">
        <v>1159</v>
      </c>
      <c r="B1168" s="18"/>
      <c r="C1168" s="19"/>
      <c r="D1168" s="19"/>
      <c r="E1168" s="19">
        <v>0</v>
      </c>
      <c r="F1168" s="19"/>
      <c r="G1168" s="19">
        <v>0</v>
      </c>
      <c r="H1168" s="19"/>
      <c r="I1168" s="19">
        <v>0</v>
      </c>
      <c r="J1168" s="19"/>
      <c r="K1168" s="19"/>
      <c r="L1168" s="19"/>
      <c r="M1168" s="19"/>
      <c r="N1168" s="44"/>
    </row>
    <row r="1169" spans="1:14" ht="21" customHeight="1">
      <c r="A1169" s="18" t="s">
        <v>135</v>
      </c>
      <c r="B1169" s="18" t="s">
        <v>136</v>
      </c>
      <c r="C1169" s="20">
        <v>2132</v>
      </c>
      <c r="D1169" s="21" t="s">
        <v>99</v>
      </c>
      <c r="E1169" s="20">
        <v>0</v>
      </c>
      <c r="F1169" s="20">
        <f>ROUND(E1169*C1169,0)</f>
        <v>0</v>
      </c>
      <c r="G1169" s="20">
        <v>696.87990000000002</v>
      </c>
      <c r="H1169" s="20">
        <f>ROUND(G1169*C1169,0)</f>
        <v>1485748</v>
      </c>
      <c r="I1169" s="20">
        <v>3901.2545999999998</v>
      </c>
      <c r="J1169" s="20">
        <f>ROUND(I1169*C1169,0)</f>
        <v>8317475</v>
      </c>
      <c r="K1169" s="20">
        <f>E1169+G1169+I1169</f>
        <v>4598.1345000000001</v>
      </c>
      <c r="L1169" s="20">
        <f>F1169+H1169+J1169</f>
        <v>9803223</v>
      </c>
      <c r="M1169" s="18"/>
      <c r="N1169" s="44"/>
    </row>
    <row r="1170" spans="1:14" ht="21" customHeight="1">
      <c r="A1170" s="18" t="s">
        <v>1160</v>
      </c>
      <c r="B1170" s="18"/>
      <c r="C1170" s="19"/>
      <c r="D1170" s="19"/>
      <c r="E1170" s="19">
        <v>0</v>
      </c>
      <c r="F1170" s="19"/>
      <c r="G1170" s="19">
        <v>0</v>
      </c>
      <c r="H1170" s="19"/>
      <c r="I1170" s="19">
        <v>0</v>
      </c>
      <c r="J1170" s="19"/>
      <c r="K1170" s="19"/>
      <c r="L1170" s="19"/>
      <c r="M1170" s="19"/>
      <c r="N1170" s="44"/>
    </row>
    <row r="1171" spans="1:14" ht="21" customHeight="1">
      <c r="A1171" s="18" t="s">
        <v>1161</v>
      </c>
      <c r="B1171" s="18"/>
      <c r="C1171" s="19"/>
      <c r="D1171" s="19"/>
      <c r="E1171" s="19">
        <v>0</v>
      </c>
      <c r="F1171" s="19"/>
      <c r="G1171" s="19">
        <v>0</v>
      </c>
      <c r="H1171" s="19"/>
      <c r="I1171" s="19">
        <v>0</v>
      </c>
      <c r="J1171" s="19"/>
      <c r="K1171" s="19"/>
      <c r="L1171" s="19"/>
      <c r="M1171" s="19"/>
      <c r="N1171" s="44"/>
    </row>
    <row r="1172" spans="1:14" ht="21" customHeight="1">
      <c r="A1172" s="18" t="s">
        <v>143</v>
      </c>
      <c r="B1172" s="18" t="s">
        <v>144</v>
      </c>
      <c r="C1172" s="20">
        <v>1216</v>
      </c>
      <c r="D1172" s="21" t="s">
        <v>99</v>
      </c>
      <c r="E1172" s="20">
        <v>0</v>
      </c>
      <c r="F1172" s="20">
        <f>ROUND(E1172*C1172,0)</f>
        <v>0</v>
      </c>
      <c r="G1172" s="20">
        <v>674.60519999999997</v>
      </c>
      <c r="H1172" s="20">
        <f>ROUND(G1172*C1172,0)</f>
        <v>820320</v>
      </c>
      <c r="I1172" s="20">
        <v>3846.0981999999999</v>
      </c>
      <c r="J1172" s="20">
        <f>ROUND(I1172*C1172,0)</f>
        <v>4676855</v>
      </c>
      <c r="K1172" s="20">
        <f>E1172+G1172+I1172</f>
        <v>4520.7034000000003</v>
      </c>
      <c r="L1172" s="20">
        <f>F1172+H1172+J1172</f>
        <v>5497175</v>
      </c>
      <c r="M1172" s="18"/>
      <c r="N1172" s="44"/>
    </row>
    <row r="1173" spans="1:14" ht="21" customHeight="1">
      <c r="A1173" s="18" t="s">
        <v>1162</v>
      </c>
      <c r="B1173" s="18"/>
      <c r="C1173" s="19"/>
      <c r="D1173" s="19"/>
      <c r="E1173" s="19">
        <v>0</v>
      </c>
      <c r="F1173" s="19"/>
      <c r="G1173" s="19">
        <v>0</v>
      </c>
      <c r="H1173" s="19"/>
      <c r="I1173" s="19">
        <v>0</v>
      </c>
      <c r="J1173" s="19"/>
      <c r="K1173" s="19"/>
      <c r="L1173" s="19"/>
      <c r="M1173" s="19"/>
      <c r="N1173" s="44"/>
    </row>
    <row r="1174" spans="1:14" ht="21" customHeight="1">
      <c r="A1174" s="18" t="s">
        <v>143</v>
      </c>
      <c r="B1174" s="18" t="s">
        <v>146</v>
      </c>
      <c r="C1174" s="20">
        <v>1406</v>
      </c>
      <c r="D1174" s="21" t="s">
        <v>99</v>
      </c>
      <c r="E1174" s="20">
        <v>0</v>
      </c>
      <c r="F1174" s="20">
        <f>ROUND(E1174*C1174,0)</f>
        <v>0</v>
      </c>
      <c r="G1174" s="20">
        <v>674.60519999999997</v>
      </c>
      <c r="H1174" s="20">
        <f>ROUND(G1174*C1174,0)</f>
        <v>948495</v>
      </c>
      <c r="I1174" s="20">
        <v>2196.7096999999999</v>
      </c>
      <c r="J1174" s="20">
        <f>ROUND(I1174*C1174,0)</f>
        <v>3088574</v>
      </c>
      <c r="K1174" s="20">
        <f>E1174+G1174+I1174</f>
        <v>2871.3148999999999</v>
      </c>
      <c r="L1174" s="20">
        <f>F1174+H1174+J1174</f>
        <v>4037069</v>
      </c>
      <c r="M1174" s="18"/>
      <c r="N1174" s="44"/>
    </row>
    <row r="1175" spans="1:14" ht="21" customHeight="1">
      <c r="A1175" s="18" t="s">
        <v>1163</v>
      </c>
      <c r="B1175" s="18"/>
      <c r="C1175" s="19"/>
      <c r="D1175" s="19"/>
      <c r="E1175" s="19">
        <v>0</v>
      </c>
      <c r="F1175" s="19"/>
      <c r="G1175" s="19">
        <v>0</v>
      </c>
      <c r="H1175" s="19"/>
      <c r="I1175" s="19">
        <v>0</v>
      </c>
      <c r="J1175" s="19"/>
      <c r="K1175" s="19"/>
      <c r="L1175" s="19"/>
      <c r="M1175" s="19"/>
      <c r="N1175" s="44"/>
    </row>
    <row r="1176" spans="1:14" ht="21" customHeight="1">
      <c r="A1176" s="18" t="s">
        <v>143</v>
      </c>
      <c r="B1176" s="18" t="s">
        <v>146</v>
      </c>
      <c r="C1176" s="20">
        <v>1787</v>
      </c>
      <c r="D1176" s="21" t="s">
        <v>99</v>
      </c>
      <c r="E1176" s="20">
        <v>0</v>
      </c>
      <c r="F1176" s="20">
        <f>ROUND(E1176*C1176,0)</f>
        <v>0</v>
      </c>
      <c r="G1176" s="20">
        <v>674.60519999999997</v>
      </c>
      <c r="H1176" s="20">
        <f>ROUND(G1176*C1176,0)</f>
        <v>1205519</v>
      </c>
      <c r="I1176" s="20">
        <v>2196.7096999999999</v>
      </c>
      <c r="J1176" s="20">
        <f>ROUND(I1176*C1176,0)</f>
        <v>3925520</v>
      </c>
      <c r="K1176" s="20">
        <f>E1176+G1176+I1176</f>
        <v>2871.3148999999999</v>
      </c>
      <c r="L1176" s="20">
        <f>F1176+H1176+J1176</f>
        <v>5131039</v>
      </c>
      <c r="M1176" s="18"/>
      <c r="N1176" s="44"/>
    </row>
    <row r="1177" spans="1:14" ht="21" customHeight="1">
      <c r="A1177" s="18" t="s">
        <v>1164</v>
      </c>
      <c r="B1177" s="18"/>
      <c r="C1177" s="19"/>
      <c r="D1177" s="19"/>
      <c r="E1177" s="19">
        <v>0</v>
      </c>
      <c r="F1177" s="19"/>
      <c r="G1177" s="19">
        <v>0</v>
      </c>
      <c r="H1177" s="19"/>
      <c r="I1177" s="19">
        <v>0</v>
      </c>
      <c r="J1177" s="19"/>
      <c r="K1177" s="19"/>
      <c r="L1177" s="19"/>
      <c r="M1177" s="19"/>
      <c r="N1177" s="44"/>
    </row>
    <row r="1178" spans="1:14" ht="21" customHeight="1">
      <c r="A1178" s="18" t="s">
        <v>1165</v>
      </c>
      <c r="B1178" s="18"/>
      <c r="C1178" s="20">
        <v>161</v>
      </c>
      <c r="D1178" s="21" t="s">
        <v>1015</v>
      </c>
      <c r="E1178" s="20">
        <v>0</v>
      </c>
      <c r="F1178" s="20">
        <f>ROUND(E1178*C1178,0)</f>
        <v>0</v>
      </c>
      <c r="G1178" s="20">
        <v>615.20600000000002</v>
      </c>
      <c r="H1178" s="20">
        <f>ROUND(G1178*C1178,0)</f>
        <v>99048</v>
      </c>
      <c r="I1178" s="20">
        <v>3440.9108000000001</v>
      </c>
      <c r="J1178" s="20">
        <f>ROUND(I1178*C1178,0)</f>
        <v>553987</v>
      </c>
      <c r="K1178" s="20">
        <f>E1178+G1178+I1178</f>
        <v>4056.1168000000002</v>
      </c>
      <c r="L1178" s="20">
        <f>F1178+H1178+J1178</f>
        <v>653035</v>
      </c>
      <c r="M1178" s="18"/>
      <c r="N1178" s="44"/>
    </row>
    <row r="1179" spans="1:14" ht="21" customHeight="1">
      <c r="A1179" s="18" t="s">
        <v>148</v>
      </c>
      <c r="B1179" s="18"/>
      <c r="C1179" s="19"/>
      <c r="D1179" s="19"/>
      <c r="E1179" s="19">
        <v>0</v>
      </c>
      <c r="F1179" s="19"/>
      <c r="G1179" s="19">
        <v>0</v>
      </c>
      <c r="H1179" s="19"/>
      <c r="I1179" s="19">
        <v>0</v>
      </c>
      <c r="J1179" s="19"/>
      <c r="K1179" s="19"/>
      <c r="L1179" s="19"/>
      <c r="M1179" s="19"/>
      <c r="N1179" s="44"/>
    </row>
    <row r="1180" spans="1:14" ht="21" customHeight="1">
      <c r="A1180" s="18" t="s">
        <v>149</v>
      </c>
      <c r="B1180" s="18"/>
      <c r="C1180" s="19"/>
      <c r="D1180" s="19"/>
      <c r="E1180" s="19">
        <v>0</v>
      </c>
      <c r="F1180" s="19"/>
      <c r="G1180" s="19">
        <v>0</v>
      </c>
      <c r="H1180" s="19"/>
      <c r="I1180" s="19">
        <v>0</v>
      </c>
      <c r="J1180" s="19"/>
      <c r="K1180" s="19"/>
      <c r="L1180" s="19"/>
      <c r="M1180" s="19"/>
      <c r="N1180" s="44"/>
    </row>
    <row r="1181" spans="1:14" ht="21" customHeight="1">
      <c r="A1181" s="18" t="s">
        <v>150</v>
      </c>
      <c r="B1181" s="18"/>
      <c r="C1181" s="20">
        <v>2720</v>
      </c>
      <c r="D1181" s="21" t="s">
        <v>99</v>
      </c>
      <c r="E1181" s="20">
        <v>0</v>
      </c>
      <c r="F1181" s="20">
        <f>ROUND(E1181*C1181,0)</f>
        <v>0</v>
      </c>
      <c r="G1181" s="20">
        <v>109.2521</v>
      </c>
      <c r="H1181" s="20">
        <f>ROUND(G1181*C1181,0)</f>
        <v>297166</v>
      </c>
      <c r="I1181" s="20">
        <v>742.49</v>
      </c>
      <c r="J1181" s="20">
        <f>ROUND(I1181*C1181,0)</f>
        <v>2019573</v>
      </c>
      <c r="K1181" s="20">
        <f>E1181+G1181+I1181</f>
        <v>851.74210000000005</v>
      </c>
      <c r="L1181" s="20">
        <f>F1181+H1181+J1181</f>
        <v>2316739</v>
      </c>
      <c r="M1181" s="18"/>
      <c r="N1181" s="44"/>
    </row>
    <row r="1182" spans="1:14" ht="21" customHeight="1">
      <c r="A1182" s="18" t="s">
        <v>151</v>
      </c>
      <c r="B1182" s="18"/>
      <c r="C1182" s="19"/>
      <c r="D1182" s="19"/>
      <c r="E1182" s="19">
        <v>0</v>
      </c>
      <c r="F1182" s="19"/>
      <c r="G1182" s="19">
        <v>0</v>
      </c>
      <c r="H1182" s="19"/>
      <c r="I1182" s="19">
        <v>0</v>
      </c>
      <c r="J1182" s="19"/>
      <c r="K1182" s="19"/>
      <c r="L1182" s="19"/>
      <c r="M1182" s="19"/>
      <c r="N1182" s="44"/>
    </row>
    <row r="1183" spans="1:14" ht="21" customHeight="1">
      <c r="A1183" s="18" t="s">
        <v>152</v>
      </c>
      <c r="B1183" s="18" t="s">
        <v>1223</v>
      </c>
      <c r="C1183" s="20">
        <v>206</v>
      </c>
      <c r="D1183" s="21" t="s">
        <v>99</v>
      </c>
      <c r="E1183" s="20">
        <v>0</v>
      </c>
      <c r="F1183" s="20">
        <f>ROUND(E1183*C1183,0)</f>
        <v>0</v>
      </c>
      <c r="G1183" s="20">
        <v>124.1019</v>
      </c>
      <c r="H1183" s="20">
        <f>ROUND(G1183*C1183,0)</f>
        <v>25565</v>
      </c>
      <c r="I1183" s="20">
        <v>736.12580000000003</v>
      </c>
      <c r="J1183" s="20">
        <f>ROUND(I1183*C1183,0)</f>
        <v>151642</v>
      </c>
      <c r="K1183" s="20">
        <f>E1183+G1183+I1183</f>
        <v>860.22770000000003</v>
      </c>
      <c r="L1183" s="20">
        <f>F1183+H1183+J1183</f>
        <v>177207</v>
      </c>
      <c r="M1183" s="18"/>
      <c r="N1183" s="44"/>
    </row>
    <row r="1184" spans="1:14" ht="21" customHeight="1">
      <c r="A1184" s="18" t="s">
        <v>156</v>
      </c>
      <c r="B1184" s="18"/>
      <c r="C1184" s="19"/>
      <c r="D1184" s="19"/>
      <c r="E1184" s="19">
        <v>0</v>
      </c>
      <c r="F1184" s="19"/>
      <c r="G1184" s="19">
        <v>0</v>
      </c>
      <c r="H1184" s="19"/>
      <c r="I1184" s="19">
        <v>0</v>
      </c>
      <c r="J1184" s="19"/>
      <c r="K1184" s="19"/>
      <c r="L1184" s="19"/>
      <c r="M1184" s="19"/>
      <c r="N1184" s="44"/>
    </row>
    <row r="1185" spans="1:14" ht="21" customHeight="1">
      <c r="A1185" s="18" t="s">
        <v>157</v>
      </c>
      <c r="B1185" s="18" t="s">
        <v>1224</v>
      </c>
      <c r="C1185" s="20">
        <v>136</v>
      </c>
      <c r="D1185" s="21" t="s">
        <v>99</v>
      </c>
      <c r="E1185" s="20">
        <v>0</v>
      </c>
      <c r="F1185" s="20">
        <f>ROUND(E1185*C1185,0)</f>
        <v>0</v>
      </c>
      <c r="G1185" s="20">
        <v>730.82229999999993</v>
      </c>
      <c r="H1185" s="20">
        <f>ROUND(G1185*C1185,0)</f>
        <v>99392</v>
      </c>
      <c r="I1185" s="20">
        <v>3694.4180999999999</v>
      </c>
      <c r="J1185" s="20">
        <f>ROUND(I1185*C1185,0)</f>
        <v>502441</v>
      </c>
      <c r="K1185" s="20">
        <f>E1185+G1185+I1185</f>
        <v>4425.2403999999997</v>
      </c>
      <c r="L1185" s="20">
        <f>F1185+H1185+J1185</f>
        <v>601833</v>
      </c>
      <c r="M1185" s="18"/>
      <c r="N1185" s="44"/>
    </row>
    <row r="1186" spans="1:14" ht="21" customHeight="1">
      <c r="A1186" s="18" t="s">
        <v>176</v>
      </c>
      <c r="B1186" s="18"/>
      <c r="C1186" s="19"/>
      <c r="D1186" s="19"/>
      <c r="E1186" s="19">
        <v>0</v>
      </c>
      <c r="F1186" s="19"/>
      <c r="G1186" s="19">
        <v>0</v>
      </c>
      <c r="H1186" s="19"/>
      <c r="I1186" s="19">
        <v>0</v>
      </c>
      <c r="J1186" s="19"/>
      <c r="K1186" s="19"/>
      <c r="L1186" s="19"/>
      <c r="M1186" s="19"/>
      <c r="N1186" s="44"/>
    </row>
    <row r="1187" spans="1:14" ht="21" customHeight="1">
      <c r="A1187" s="18" t="s">
        <v>177</v>
      </c>
      <c r="B1187" s="18" t="s">
        <v>178</v>
      </c>
      <c r="C1187" s="20">
        <v>44</v>
      </c>
      <c r="D1187" s="21" t="s">
        <v>179</v>
      </c>
      <c r="E1187" s="20">
        <v>11243.42</v>
      </c>
      <c r="F1187" s="20">
        <f>ROUND(E1187*C1187,0)</f>
        <v>494710</v>
      </c>
      <c r="G1187" s="20">
        <v>79153.676800000001</v>
      </c>
      <c r="H1187" s="20">
        <f>ROUND(G1187*C1187,0)</f>
        <v>3482762</v>
      </c>
      <c r="I1187" s="20">
        <v>0</v>
      </c>
      <c r="J1187" s="20">
        <f>ROUND(I1187*C1187,0)</f>
        <v>0</v>
      </c>
      <c r="K1187" s="20">
        <f>E1187+G1187+I1187</f>
        <v>90397.096799999999</v>
      </c>
      <c r="L1187" s="20">
        <f>F1187+H1187+J1187</f>
        <v>3977472</v>
      </c>
      <c r="M1187" s="18"/>
      <c r="N1187" s="44"/>
    </row>
    <row r="1188" spans="1:14" ht="21" customHeight="1">
      <c r="A1188" s="18" t="s">
        <v>180</v>
      </c>
      <c r="B1188" s="18" t="s">
        <v>181</v>
      </c>
      <c r="C1188" s="20">
        <v>4</v>
      </c>
      <c r="D1188" s="21" t="s">
        <v>179</v>
      </c>
      <c r="E1188" s="20">
        <v>35978.943999999996</v>
      </c>
      <c r="F1188" s="20">
        <f>ROUND(E1188*C1188,0)</f>
        <v>143916</v>
      </c>
      <c r="G1188" s="20">
        <v>105125.977</v>
      </c>
      <c r="H1188" s="20">
        <f>ROUND(G1188*C1188,0)</f>
        <v>420504</v>
      </c>
      <c r="I1188" s="20">
        <v>0</v>
      </c>
      <c r="J1188" s="20">
        <f>ROUND(I1188*C1188,0)</f>
        <v>0</v>
      </c>
      <c r="K1188" s="20">
        <f>E1188+G1188+I1188</f>
        <v>141104.921</v>
      </c>
      <c r="L1188" s="20">
        <f>F1188+H1188+J1188</f>
        <v>564420</v>
      </c>
      <c r="M1188" s="18"/>
      <c r="N1188" s="44"/>
    </row>
    <row r="1189" spans="1:14" ht="21" customHeight="1">
      <c r="A1189" s="18" t="s">
        <v>1168</v>
      </c>
      <c r="B1189" s="18"/>
      <c r="C1189" s="19"/>
      <c r="D1189" s="19"/>
      <c r="E1189" s="19">
        <v>0</v>
      </c>
      <c r="F1189" s="19"/>
      <c r="G1189" s="19">
        <v>0</v>
      </c>
      <c r="H1189" s="19"/>
      <c r="I1189" s="19">
        <v>0</v>
      </c>
      <c r="J1189" s="19"/>
      <c r="K1189" s="19"/>
      <c r="L1189" s="19"/>
      <c r="M1189" s="19"/>
      <c r="N1189" s="44"/>
    </row>
    <row r="1190" spans="1:14" ht="21" customHeight="1">
      <c r="A1190" s="18" t="s">
        <v>203</v>
      </c>
      <c r="B1190" s="18"/>
      <c r="C1190" s="19"/>
      <c r="D1190" s="19"/>
      <c r="E1190" s="19">
        <v>0</v>
      </c>
      <c r="F1190" s="19"/>
      <c r="G1190" s="19">
        <v>0</v>
      </c>
      <c r="H1190" s="19"/>
      <c r="I1190" s="19">
        <v>0</v>
      </c>
      <c r="J1190" s="19"/>
      <c r="K1190" s="19"/>
      <c r="L1190" s="19"/>
      <c r="M1190" s="19"/>
      <c r="N1190" s="44"/>
    </row>
    <row r="1191" spans="1:14" ht="21" customHeight="1">
      <c r="A1191" s="18" t="s">
        <v>204</v>
      </c>
      <c r="B1191" s="18" t="s">
        <v>205</v>
      </c>
      <c r="C1191" s="20">
        <v>13</v>
      </c>
      <c r="D1191" s="21" t="s">
        <v>99</v>
      </c>
      <c r="E1191" s="20">
        <v>0</v>
      </c>
      <c r="F1191" s="20">
        <f t="shared" ref="F1191:F1197" si="237">ROUND(E1191*C1191,0)</f>
        <v>0</v>
      </c>
      <c r="G1191" s="20">
        <v>15291.0512</v>
      </c>
      <c r="H1191" s="20">
        <f t="shared" ref="H1191:H1197" si="238">ROUND(G1191*C1191,0)</f>
        <v>198784</v>
      </c>
      <c r="I1191" s="20">
        <v>29944.6217</v>
      </c>
      <c r="J1191" s="20">
        <f t="shared" ref="J1191:J1197" si="239">ROUND(I1191*C1191,0)</f>
        <v>389280</v>
      </c>
      <c r="K1191" s="20">
        <f t="shared" ref="K1191:L1197" si="240">E1191+G1191+I1191</f>
        <v>45235.672899999998</v>
      </c>
      <c r="L1191" s="20">
        <f t="shared" si="240"/>
        <v>588064</v>
      </c>
      <c r="M1191" s="18"/>
      <c r="N1191" s="44"/>
    </row>
    <row r="1192" spans="1:14" ht="21" customHeight="1">
      <c r="A1192" s="18" t="s">
        <v>206</v>
      </c>
      <c r="B1192" s="18" t="s">
        <v>205</v>
      </c>
      <c r="C1192" s="20">
        <v>72</v>
      </c>
      <c r="D1192" s="21" t="s">
        <v>99</v>
      </c>
      <c r="E1192" s="20">
        <v>0</v>
      </c>
      <c r="F1192" s="20">
        <f t="shared" si="237"/>
        <v>0</v>
      </c>
      <c r="G1192" s="20">
        <v>5509.2757999999994</v>
      </c>
      <c r="H1192" s="20">
        <f t="shared" si="238"/>
        <v>396668</v>
      </c>
      <c r="I1192" s="20">
        <v>28349.3289</v>
      </c>
      <c r="J1192" s="20">
        <f t="shared" si="239"/>
        <v>2041152</v>
      </c>
      <c r="K1192" s="20">
        <f t="shared" si="240"/>
        <v>33858.604699999996</v>
      </c>
      <c r="L1192" s="20">
        <f t="shared" si="240"/>
        <v>2437820</v>
      </c>
      <c r="M1192" s="18"/>
      <c r="N1192" s="44"/>
    </row>
    <row r="1193" spans="1:14" ht="21" customHeight="1">
      <c r="A1193" s="18" t="s">
        <v>1169</v>
      </c>
      <c r="B1193" s="18"/>
      <c r="C1193" s="20">
        <v>30</v>
      </c>
      <c r="D1193" s="21" t="s">
        <v>231</v>
      </c>
      <c r="E1193" s="20">
        <v>5621.71</v>
      </c>
      <c r="F1193" s="20">
        <f t="shared" si="237"/>
        <v>168651</v>
      </c>
      <c r="G1193" s="20">
        <v>1574.0788</v>
      </c>
      <c r="H1193" s="20">
        <f t="shared" si="238"/>
        <v>47222</v>
      </c>
      <c r="I1193" s="20">
        <v>0</v>
      </c>
      <c r="J1193" s="20">
        <f t="shared" si="239"/>
        <v>0</v>
      </c>
      <c r="K1193" s="20">
        <f t="shared" si="240"/>
        <v>7195.7888000000003</v>
      </c>
      <c r="L1193" s="20">
        <f t="shared" si="240"/>
        <v>215873</v>
      </c>
      <c r="M1193" s="18"/>
      <c r="N1193" s="44"/>
    </row>
    <row r="1194" spans="1:14" ht="21" customHeight="1">
      <c r="A1194" s="18" t="s">
        <v>1225</v>
      </c>
      <c r="B1194" s="18"/>
      <c r="C1194" s="20">
        <v>17</v>
      </c>
      <c r="D1194" s="21" t="s">
        <v>231</v>
      </c>
      <c r="E1194" s="20">
        <v>5621.71</v>
      </c>
      <c r="F1194" s="20">
        <f t="shared" si="237"/>
        <v>95569</v>
      </c>
      <c r="G1194" s="20">
        <v>1574.0788</v>
      </c>
      <c r="H1194" s="20">
        <f t="shared" si="238"/>
        <v>26759</v>
      </c>
      <c r="I1194" s="20">
        <v>0</v>
      </c>
      <c r="J1194" s="20">
        <f t="shared" si="239"/>
        <v>0</v>
      </c>
      <c r="K1194" s="20">
        <f t="shared" si="240"/>
        <v>7195.7888000000003</v>
      </c>
      <c r="L1194" s="20">
        <f t="shared" si="240"/>
        <v>122328</v>
      </c>
      <c r="M1194" s="18"/>
      <c r="N1194" s="44"/>
    </row>
    <row r="1195" spans="1:14" ht="21" customHeight="1">
      <c r="A1195" s="18" t="s">
        <v>1226</v>
      </c>
      <c r="B1195" s="18" t="s">
        <v>1171</v>
      </c>
      <c r="C1195" s="20">
        <v>631</v>
      </c>
      <c r="D1195" s="21" t="s">
        <v>1015</v>
      </c>
      <c r="E1195" s="20">
        <v>0</v>
      </c>
      <c r="F1195" s="20">
        <f t="shared" si="237"/>
        <v>0</v>
      </c>
      <c r="G1195" s="20">
        <v>1686.5129999999999</v>
      </c>
      <c r="H1195" s="20">
        <f t="shared" si="238"/>
        <v>1064190</v>
      </c>
      <c r="I1195" s="20">
        <v>6136.1494999999995</v>
      </c>
      <c r="J1195" s="20">
        <f t="shared" si="239"/>
        <v>3871910</v>
      </c>
      <c r="K1195" s="20">
        <f t="shared" si="240"/>
        <v>7822.6624999999995</v>
      </c>
      <c r="L1195" s="20">
        <f t="shared" si="240"/>
        <v>4936100</v>
      </c>
      <c r="M1195" s="18"/>
      <c r="N1195" s="44"/>
    </row>
    <row r="1196" spans="1:14" ht="21" customHeight="1">
      <c r="A1196" s="18" t="s">
        <v>1227</v>
      </c>
      <c r="B1196" s="18" t="s">
        <v>1171</v>
      </c>
      <c r="C1196" s="20">
        <v>11</v>
      </c>
      <c r="D1196" s="21" t="s">
        <v>1015</v>
      </c>
      <c r="E1196" s="20">
        <v>0</v>
      </c>
      <c r="F1196" s="20">
        <f t="shared" si="237"/>
        <v>0</v>
      </c>
      <c r="G1196" s="20">
        <v>1686.5129999999999</v>
      </c>
      <c r="H1196" s="20">
        <f t="shared" si="238"/>
        <v>18552</v>
      </c>
      <c r="I1196" s="20">
        <v>6136.1494999999995</v>
      </c>
      <c r="J1196" s="20">
        <f t="shared" si="239"/>
        <v>67498</v>
      </c>
      <c r="K1196" s="20">
        <f t="shared" si="240"/>
        <v>7822.6624999999995</v>
      </c>
      <c r="L1196" s="20">
        <f t="shared" si="240"/>
        <v>86050</v>
      </c>
      <c r="M1196" s="18"/>
      <c r="N1196" s="44"/>
    </row>
    <row r="1197" spans="1:14" ht="21" customHeight="1">
      <c r="A1197" s="18" t="s">
        <v>1228</v>
      </c>
      <c r="B1197" s="18" t="s">
        <v>1229</v>
      </c>
      <c r="C1197" s="20">
        <v>249</v>
      </c>
      <c r="D1197" s="21" t="s">
        <v>231</v>
      </c>
      <c r="E1197" s="20">
        <v>0</v>
      </c>
      <c r="F1197" s="20">
        <f t="shared" si="237"/>
        <v>0</v>
      </c>
      <c r="G1197" s="20">
        <v>6408.7493999999997</v>
      </c>
      <c r="H1197" s="20">
        <f t="shared" si="238"/>
        <v>1595779</v>
      </c>
      <c r="I1197" s="20">
        <v>10922.027899999999</v>
      </c>
      <c r="J1197" s="20">
        <f t="shared" si="239"/>
        <v>2719585</v>
      </c>
      <c r="K1197" s="20">
        <f t="shared" si="240"/>
        <v>17330.777299999998</v>
      </c>
      <c r="L1197" s="20">
        <f t="shared" si="240"/>
        <v>4315364</v>
      </c>
      <c r="M1197" s="18"/>
      <c r="N1197" s="44"/>
    </row>
    <row r="1198" spans="1:14" ht="21" customHeight="1">
      <c r="A1198" s="18" t="s">
        <v>207</v>
      </c>
      <c r="B1198" s="18"/>
      <c r="C1198" s="19"/>
      <c r="D1198" s="19"/>
      <c r="E1198" s="19">
        <v>0</v>
      </c>
      <c r="F1198" s="19"/>
      <c r="G1198" s="19">
        <v>0</v>
      </c>
      <c r="H1198" s="19"/>
      <c r="I1198" s="19">
        <v>0</v>
      </c>
      <c r="J1198" s="19"/>
      <c r="K1198" s="19"/>
      <c r="L1198" s="19"/>
      <c r="M1198" s="19"/>
      <c r="N1198" s="44"/>
    </row>
    <row r="1199" spans="1:14" ht="21" customHeight="1">
      <c r="A1199" s="18" t="s">
        <v>208</v>
      </c>
      <c r="B1199" s="18" t="s">
        <v>209</v>
      </c>
      <c r="C1199" s="20">
        <v>728</v>
      </c>
      <c r="D1199" s="21" t="s">
        <v>99</v>
      </c>
      <c r="E1199" s="20">
        <v>0</v>
      </c>
      <c r="F1199" s="20">
        <f>ROUND(E1199*C1199,0)</f>
        <v>0</v>
      </c>
      <c r="G1199" s="20">
        <v>1124.3419999999999</v>
      </c>
      <c r="H1199" s="20">
        <f>ROUND(G1199*C1199,0)</f>
        <v>818521</v>
      </c>
      <c r="I1199" s="20">
        <v>2454.4598000000001</v>
      </c>
      <c r="J1199" s="20">
        <f>ROUND(I1199*C1199,0)</f>
        <v>1786847</v>
      </c>
      <c r="K1199" s="20">
        <f>E1199+G1199+I1199</f>
        <v>3578.8018000000002</v>
      </c>
      <c r="L1199" s="20">
        <f>F1199+H1199+J1199</f>
        <v>2605368</v>
      </c>
      <c r="M1199" s="18"/>
      <c r="N1199" s="44"/>
    </row>
    <row r="1200" spans="1:14" ht="21" customHeight="1">
      <c r="A1200" s="18"/>
      <c r="B1200" s="18"/>
      <c r="C1200" s="20"/>
      <c r="D1200" s="21"/>
      <c r="E1200" s="20"/>
      <c r="F1200" s="20"/>
      <c r="G1200" s="20"/>
      <c r="H1200" s="20"/>
      <c r="I1200" s="20"/>
      <c r="J1200" s="20"/>
      <c r="K1200" s="20"/>
      <c r="L1200" s="20"/>
      <c r="M1200" s="18"/>
      <c r="N1200" s="44"/>
    </row>
    <row r="1201" spans="1:14" ht="21" customHeight="1">
      <c r="A1201" s="14" t="s">
        <v>210</v>
      </c>
      <c r="B1201" s="15"/>
      <c r="C1201" s="16"/>
      <c r="D1201" s="16"/>
      <c r="E1201" s="16"/>
      <c r="F1201" s="17">
        <f>SUM(F1205:F1270)</f>
        <v>40232512</v>
      </c>
      <c r="G1201" s="16"/>
      <c r="H1201" s="17">
        <f>SUM(H1205:H1270)</f>
        <v>35096610</v>
      </c>
      <c r="I1201" s="16"/>
      <c r="J1201" s="17">
        <f>SUM(J1205:J1270)</f>
        <v>38472298</v>
      </c>
      <c r="K1201" s="16"/>
      <c r="L1201" s="17">
        <f>F1201+H1201+J1201</f>
        <v>113801420</v>
      </c>
      <c r="M1201" s="16"/>
    </row>
    <row r="1202" spans="1:14" ht="21" customHeight="1">
      <c r="A1202" s="18" t="s">
        <v>211</v>
      </c>
      <c r="B1202" s="18"/>
      <c r="C1202" s="19"/>
      <c r="D1202" s="19"/>
      <c r="E1202" s="19"/>
      <c r="F1202" s="19"/>
      <c r="G1202" s="19"/>
      <c r="H1202" s="19"/>
      <c r="I1202" s="19"/>
      <c r="J1202" s="19"/>
      <c r="K1202" s="19"/>
      <c r="L1202" s="19"/>
      <c r="M1202" s="19"/>
    </row>
    <row r="1203" spans="1:14" ht="21" customHeight="1">
      <c r="A1203" s="18" t="s">
        <v>212</v>
      </c>
      <c r="B1203" s="18"/>
      <c r="C1203" s="19"/>
      <c r="D1203" s="19"/>
      <c r="E1203" s="19"/>
      <c r="F1203" s="19"/>
      <c r="G1203" s="19"/>
      <c r="H1203" s="19"/>
      <c r="I1203" s="19"/>
      <c r="J1203" s="19"/>
      <c r="K1203" s="19"/>
      <c r="L1203" s="19"/>
      <c r="M1203" s="19"/>
    </row>
    <row r="1204" spans="1:14" ht="21" customHeight="1">
      <c r="A1204" s="18" t="s">
        <v>150</v>
      </c>
      <c r="B1204" s="18"/>
      <c r="C1204" s="19"/>
      <c r="D1204" s="19"/>
      <c r="E1204" s="19"/>
      <c r="F1204" s="19"/>
      <c r="G1204" s="19"/>
      <c r="H1204" s="19"/>
      <c r="I1204" s="19"/>
      <c r="J1204" s="19"/>
      <c r="K1204" s="19"/>
      <c r="L1204" s="19"/>
      <c r="M1204" s="19"/>
    </row>
    <row r="1205" spans="1:14" ht="21" customHeight="1">
      <c r="A1205" s="18" t="s">
        <v>213</v>
      </c>
      <c r="B1205" s="18" t="s">
        <v>107</v>
      </c>
      <c r="C1205" s="20">
        <v>1711</v>
      </c>
      <c r="D1205" s="21" t="s">
        <v>99</v>
      </c>
      <c r="E1205" s="20">
        <v>0</v>
      </c>
      <c r="F1205" s="20">
        <f>ROUND(E1205*C1205,0)</f>
        <v>0</v>
      </c>
      <c r="G1205" s="20">
        <v>0</v>
      </c>
      <c r="H1205" s="20">
        <f>ROUND(G1205*C1205,0)</f>
        <v>0</v>
      </c>
      <c r="I1205" s="20">
        <v>1963.3556999999998</v>
      </c>
      <c r="J1205" s="20">
        <f>ROUND(I1205*C1205,0)</f>
        <v>3359302</v>
      </c>
      <c r="K1205" s="20">
        <f>E1205+G1205+I1205</f>
        <v>1963.3556999999998</v>
      </c>
      <c r="L1205" s="20">
        <f>F1205+H1205+J1205</f>
        <v>3359302</v>
      </c>
      <c r="M1205" s="18"/>
      <c r="N1205" s="44"/>
    </row>
    <row r="1206" spans="1:14" ht="21" customHeight="1">
      <c r="A1206" s="18" t="s">
        <v>218</v>
      </c>
      <c r="B1206" s="18"/>
      <c r="C1206" s="19"/>
      <c r="D1206" s="19"/>
      <c r="E1206" s="19">
        <v>0</v>
      </c>
      <c r="F1206" s="19"/>
      <c r="G1206" s="19">
        <v>0</v>
      </c>
      <c r="H1206" s="19"/>
      <c r="I1206" s="19">
        <v>0</v>
      </c>
      <c r="J1206" s="19"/>
      <c r="K1206" s="19"/>
      <c r="L1206" s="19"/>
      <c r="M1206" s="19"/>
      <c r="N1206" s="44"/>
    </row>
    <row r="1207" spans="1:14" ht="21" customHeight="1">
      <c r="A1207" s="18" t="s">
        <v>219</v>
      </c>
      <c r="B1207" s="18" t="s">
        <v>223</v>
      </c>
      <c r="C1207" s="20">
        <v>1504</v>
      </c>
      <c r="D1207" s="21" t="s">
        <v>99</v>
      </c>
      <c r="E1207" s="20">
        <v>0</v>
      </c>
      <c r="F1207" s="20">
        <f>ROUND(E1207*C1207,0)</f>
        <v>0</v>
      </c>
      <c r="G1207" s="20">
        <v>2810.855</v>
      </c>
      <c r="H1207" s="20">
        <f>ROUND(G1207*C1207,0)</f>
        <v>4227526</v>
      </c>
      <c r="I1207" s="20">
        <v>5523.0649000000003</v>
      </c>
      <c r="J1207" s="20">
        <f>ROUND(I1207*C1207,0)</f>
        <v>8306690</v>
      </c>
      <c r="K1207" s="20">
        <f>E1207+G1207+I1207</f>
        <v>8333.9199000000008</v>
      </c>
      <c r="L1207" s="20">
        <f>F1207+H1207+J1207</f>
        <v>12534216</v>
      </c>
      <c r="M1207" s="18"/>
      <c r="N1207" s="44"/>
    </row>
    <row r="1208" spans="1:14" ht="21" customHeight="1">
      <c r="A1208" s="18" t="s">
        <v>224</v>
      </c>
      <c r="B1208" s="18"/>
      <c r="C1208" s="19"/>
      <c r="D1208" s="19"/>
      <c r="E1208" s="19">
        <v>0</v>
      </c>
      <c r="F1208" s="19"/>
      <c r="G1208" s="19">
        <v>0</v>
      </c>
      <c r="H1208" s="19"/>
      <c r="I1208" s="19">
        <v>0</v>
      </c>
      <c r="J1208" s="19"/>
      <c r="K1208" s="19"/>
      <c r="L1208" s="19"/>
      <c r="M1208" s="19"/>
      <c r="N1208" s="44"/>
    </row>
    <row r="1209" spans="1:14" ht="21" customHeight="1">
      <c r="A1209" s="18" t="s">
        <v>225</v>
      </c>
      <c r="B1209" s="18" t="s">
        <v>226</v>
      </c>
      <c r="C1209" s="20">
        <v>207</v>
      </c>
      <c r="D1209" s="21" t="s">
        <v>99</v>
      </c>
      <c r="E1209" s="20">
        <v>0</v>
      </c>
      <c r="F1209" s="20">
        <f>ROUND(E1209*C1209,0)</f>
        <v>0</v>
      </c>
      <c r="G1209" s="20">
        <v>0</v>
      </c>
      <c r="H1209" s="20">
        <f>ROUND(G1209*C1209,0)</f>
        <v>0</v>
      </c>
      <c r="I1209" s="20">
        <v>12272.298999999999</v>
      </c>
      <c r="J1209" s="20">
        <f>ROUND(I1209*C1209,0)</f>
        <v>2540366</v>
      </c>
      <c r="K1209" s="20">
        <f>E1209+G1209+I1209</f>
        <v>12272.298999999999</v>
      </c>
      <c r="L1209" s="20">
        <f>F1209+H1209+J1209</f>
        <v>2540366</v>
      </c>
      <c r="M1209" s="18"/>
      <c r="N1209" s="44"/>
    </row>
    <row r="1210" spans="1:14" ht="21" customHeight="1">
      <c r="A1210" s="18" t="s">
        <v>227</v>
      </c>
      <c r="B1210" s="18"/>
      <c r="C1210" s="19"/>
      <c r="D1210" s="19"/>
      <c r="E1210" s="19">
        <v>0</v>
      </c>
      <c r="F1210" s="19"/>
      <c r="G1210" s="19">
        <v>0</v>
      </c>
      <c r="H1210" s="19"/>
      <c r="I1210" s="19">
        <v>0</v>
      </c>
      <c r="J1210" s="19"/>
      <c r="K1210" s="19"/>
      <c r="L1210" s="19"/>
      <c r="M1210" s="19"/>
      <c r="N1210" s="44"/>
    </row>
    <row r="1211" spans="1:14" ht="21" customHeight="1">
      <c r="A1211" s="18" t="s">
        <v>228</v>
      </c>
      <c r="B1211" s="18"/>
      <c r="C1211" s="19"/>
      <c r="D1211" s="19"/>
      <c r="E1211" s="19">
        <v>0</v>
      </c>
      <c r="F1211" s="19"/>
      <c r="G1211" s="19">
        <v>0</v>
      </c>
      <c r="H1211" s="19"/>
      <c r="I1211" s="19">
        <v>0</v>
      </c>
      <c r="J1211" s="19"/>
      <c r="K1211" s="19"/>
      <c r="L1211" s="19"/>
      <c r="M1211" s="19"/>
      <c r="N1211" s="44"/>
    </row>
    <row r="1212" spans="1:14" ht="21" customHeight="1">
      <c r="A1212" s="18" t="s">
        <v>229</v>
      </c>
      <c r="B1212" s="18" t="s">
        <v>230</v>
      </c>
      <c r="C1212" s="20">
        <v>145</v>
      </c>
      <c r="D1212" s="21" t="s">
        <v>231</v>
      </c>
      <c r="E1212" s="20">
        <v>0</v>
      </c>
      <c r="F1212" s="20">
        <f>ROUND(E1212*C1212,0)</f>
        <v>0</v>
      </c>
      <c r="G1212" s="20">
        <v>35079.470399999998</v>
      </c>
      <c r="H1212" s="20">
        <f>ROUND(G1212*C1212,0)</f>
        <v>5086523</v>
      </c>
      <c r="I1212" s="20">
        <v>42339.961900000002</v>
      </c>
      <c r="J1212" s="20">
        <f>ROUND(I1212*C1212,0)</f>
        <v>6139294</v>
      </c>
      <c r="K1212" s="20">
        <f>E1212+G1212+I1212</f>
        <v>77419.4323</v>
      </c>
      <c r="L1212" s="20">
        <f>F1212+H1212+J1212</f>
        <v>11225817</v>
      </c>
      <c r="M1212" s="18"/>
      <c r="N1212" s="44"/>
    </row>
    <row r="1213" spans="1:14" ht="21" customHeight="1">
      <c r="A1213" s="18" t="s">
        <v>234</v>
      </c>
      <c r="B1213" s="18" t="s">
        <v>235</v>
      </c>
      <c r="C1213" s="20">
        <v>177</v>
      </c>
      <c r="D1213" s="21" t="s">
        <v>231</v>
      </c>
      <c r="E1213" s="20">
        <v>0</v>
      </c>
      <c r="F1213" s="20">
        <f>ROUND(E1213*C1213,0)</f>
        <v>0</v>
      </c>
      <c r="G1213" s="20">
        <v>42050.390800000001</v>
      </c>
      <c r="H1213" s="20">
        <f>ROUND(G1213*C1213,0)</f>
        <v>7442919</v>
      </c>
      <c r="I1213" s="20">
        <v>46587.004699999998</v>
      </c>
      <c r="J1213" s="20">
        <f>ROUND(I1213*C1213,0)</f>
        <v>8245900</v>
      </c>
      <c r="K1213" s="20">
        <f>E1213+G1213+I1213</f>
        <v>88637.395499999999</v>
      </c>
      <c r="L1213" s="20">
        <f>F1213+H1213+J1213</f>
        <v>15688819</v>
      </c>
      <c r="M1213" s="18"/>
      <c r="N1213" s="44"/>
    </row>
    <row r="1214" spans="1:14" ht="21" customHeight="1">
      <c r="A1214" s="18" t="s">
        <v>244</v>
      </c>
      <c r="B1214" s="18"/>
      <c r="C1214" s="19"/>
      <c r="D1214" s="19"/>
      <c r="E1214" s="19">
        <v>0</v>
      </c>
      <c r="F1214" s="19"/>
      <c r="G1214" s="19">
        <v>0</v>
      </c>
      <c r="H1214" s="19"/>
      <c r="I1214" s="19">
        <v>0</v>
      </c>
      <c r="J1214" s="19"/>
      <c r="K1214" s="19"/>
      <c r="L1214" s="19"/>
      <c r="M1214" s="19"/>
      <c r="N1214" s="44"/>
    </row>
    <row r="1215" spans="1:14" ht="21" customHeight="1">
      <c r="A1215" s="18" t="s">
        <v>245</v>
      </c>
      <c r="B1215" s="18"/>
      <c r="C1215" s="19"/>
      <c r="D1215" s="19"/>
      <c r="E1215" s="19">
        <v>0</v>
      </c>
      <c r="F1215" s="19"/>
      <c r="G1215" s="19">
        <v>0</v>
      </c>
      <c r="H1215" s="19"/>
      <c r="I1215" s="19">
        <v>0</v>
      </c>
      <c r="J1215" s="19"/>
      <c r="K1215" s="19"/>
      <c r="L1215" s="19"/>
      <c r="M1215" s="19"/>
      <c r="N1215" s="44"/>
    </row>
    <row r="1216" spans="1:14" ht="21" customHeight="1">
      <c r="A1216" s="18" t="s">
        <v>246</v>
      </c>
      <c r="B1216" s="18" t="s">
        <v>247</v>
      </c>
      <c r="C1216" s="20">
        <v>71</v>
      </c>
      <c r="D1216" s="21" t="s">
        <v>99</v>
      </c>
      <c r="E1216" s="20">
        <v>0</v>
      </c>
      <c r="F1216" s="20">
        <f>ROUND(E1216*C1216,0)</f>
        <v>0</v>
      </c>
      <c r="G1216" s="20">
        <v>12367.762000000001</v>
      </c>
      <c r="H1216" s="20">
        <f>ROUND(G1216*C1216,0)</f>
        <v>878111</v>
      </c>
      <c r="I1216" s="20">
        <v>22090.138200000001</v>
      </c>
      <c r="J1216" s="20">
        <f>ROUND(I1216*C1216,0)</f>
        <v>1568400</v>
      </c>
      <c r="K1216" s="20">
        <f>E1216+G1216+I1216</f>
        <v>34457.900200000004</v>
      </c>
      <c r="L1216" s="20">
        <f>F1216+H1216+J1216</f>
        <v>2446511</v>
      </c>
      <c r="M1216" s="18"/>
      <c r="N1216" s="44"/>
    </row>
    <row r="1217" spans="1:14" ht="21" customHeight="1">
      <c r="A1217" s="18" t="s">
        <v>248</v>
      </c>
      <c r="B1217" s="18" t="s">
        <v>249</v>
      </c>
      <c r="C1217" s="20">
        <v>230</v>
      </c>
      <c r="D1217" s="21" t="s">
        <v>93</v>
      </c>
      <c r="E1217" s="20">
        <v>8432.5650000000005</v>
      </c>
      <c r="F1217" s="20">
        <f>ROUND(E1217*C1217,0)</f>
        <v>1939490</v>
      </c>
      <c r="G1217" s="20">
        <v>22486.84</v>
      </c>
      <c r="H1217" s="20">
        <f>ROUND(G1217*C1217,0)</f>
        <v>5171973</v>
      </c>
      <c r="I1217" s="20">
        <v>4295.835</v>
      </c>
      <c r="J1217" s="20">
        <f>ROUND(I1217*C1217,0)</f>
        <v>988042</v>
      </c>
      <c r="K1217" s="20">
        <f>E1217+G1217+I1217</f>
        <v>35215.24</v>
      </c>
      <c r="L1217" s="20">
        <f>F1217+H1217+J1217</f>
        <v>8099505</v>
      </c>
      <c r="M1217" s="18"/>
      <c r="N1217" s="44"/>
    </row>
    <row r="1218" spans="1:14" ht="21" customHeight="1">
      <c r="A1218" s="18" t="s">
        <v>250</v>
      </c>
      <c r="B1218" s="18"/>
      <c r="C1218" s="19"/>
      <c r="D1218" s="19"/>
      <c r="E1218" s="19">
        <v>0</v>
      </c>
      <c r="F1218" s="19"/>
      <c r="G1218" s="19">
        <v>0</v>
      </c>
      <c r="H1218" s="19"/>
      <c r="I1218" s="19">
        <v>0</v>
      </c>
      <c r="J1218" s="19"/>
      <c r="K1218" s="19"/>
      <c r="L1218" s="19"/>
      <c r="M1218" s="19"/>
      <c r="N1218" s="44"/>
    </row>
    <row r="1219" spans="1:14" ht="21" customHeight="1">
      <c r="A1219" s="18" t="s">
        <v>251</v>
      </c>
      <c r="B1219" s="18" t="s">
        <v>254</v>
      </c>
      <c r="C1219" s="20">
        <v>22</v>
      </c>
      <c r="D1219" s="21" t="s">
        <v>201</v>
      </c>
      <c r="E1219" s="20">
        <v>0</v>
      </c>
      <c r="F1219" s="20">
        <f>ROUND(E1219*C1219,0)</f>
        <v>0</v>
      </c>
      <c r="G1219" s="20">
        <v>67460.52</v>
      </c>
      <c r="H1219" s="20">
        <f>ROUND(G1219*C1219,0)</f>
        <v>1484131</v>
      </c>
      <c r="I1219" s="20">
        <v>22090.138200000001</v>
      </c>
      <c r="J1219" s="20">
        <f>ROUND(I1219*C1219,0)</f>
        <v>485983</v>
      </c>
      <c r="K1219" s="20">
        <f>E1219+G1219+I1219</f>
        <v>89550.658200000005</v>
      </c>
      <c r="L1219" s="20">
        <f>F1219+H1219+J1219</f>
        <v>1970114</v>
      </c>
      <c r="M1219" s="18"/>
      <c r="N1219" s="44"/>
    </row>
    <row r="1220" spans="1:14" ht="21" customHeight="1">
      <c r="A1220" s="18" t="s">
        <v>259</v>
      </c>
      <c r="B1220" s="18"/>
      <c r="C1220" s="19"/>
      <c r="D1220" s="19"/>
      <c r="E1220" s="19">
        <v>0</v>
      </c>
      <c r="F1220" s="19"/>
      <c r="G1220" s="19">
        <v>0</v>
      </c>
      <c r="H1220" s="19"/>
      <c r="I1220" s="19">
        <v>0</v>
      </c>
      <c r="J1220" s="19"/>
      <c r="K1220" s="19"/>
      <c r="L1220" s="19"/>
      <c r="M1220" s="19"/>
      <c r="N1220" s="44"/>
    </row>
    <row r="1221" spans="1:14" ht="21" customHeight="1">
      <c r="A1221" s="18" t="s">
        <v>260</v>
      </c>
      <c r="B1221" s="18" t="s">
        <v>261</v>
      </c>
      <c r="C1221" s="20">
        <v>22</v>
      </c>
      <c r="D1221" s="21" t="s">
        <v>201</v>
      </c>
      <c r="E1221" s="20">
        <v>0</v>
      </c>
      <c r="F1221" s="20">
        <f>ROUND(E1221*C1221,0)</f>
        <v>0</v>
      </c>
      <c r="G1221" s="20">
        <v>71901.670899999997</v>
      </c>
      <c r="H1221" s="20">
        <f>ROUND(G1221*C1221,0)</f>
        <v>1581837</v>
      </c>
      <c r="I1221" s="20">
        <v>23563.450499999999</v>
      </c>
      <c r="J1221" s="20">
        <f>ROUND(I1221*C1221,0)</f>
        <v>518396</v>
      </c>
      <c r="K1221" s="20">
        <f>E1221+G1221+I1221</f>
        <v>95465.121400000004</v>
      </c>
      <c r="L1221" s="20">
        <f>F1221+H1221+J1221</f>
        <v>2100233</v>
      </c>
      <c r="M1221" s="18"/>
      <c r="N1221" s="44"/>
    </row>
    <row r="1222" spans="1:14" ht="21" customHeight="1">
      <c r="A1222" s="18" t="s">
        <v>262</v>
      </c>
      <c r="B1222" s="18" t="s">
        <v>265</v>
      </c>
      <c r="C1222" s="20">
        <v>4</v>
      </c>
      <c r="D1222" s="21" t="s">
        <v>201</v>
      </c>
      <c r="E1222" s="20">
        <v>0</v>
      </c>
      <c r="F1222" s="20">
        <f>ROUND(E1222*C1222,0)</f>
        <v>0</v>
      </c>
      <c r="G1222" s="20">
        <v>71901.670899999997</v>
      </c>
      <c r="H1222" s="20">
        <f>ROUND(G1222*C1222,0)</f>
        <v>287607</v>
      </c>
      <c r="I1222" s="20">
        <v>23563.450499999999</v>
      </c>
      <c r="J1222" s="20">
        <f>ROUND(I1222*C1222,0)</f>
        <v>94254</v>
      </c>
      <c r="K1222" s="20">
        <f>E1222+G1222+I1222</f>
        <v>95465.121400000004</v>
      </c>
      <c r="L1222" s="20">
        <f>F1222+H1222+J1222</f>
        <v>381861</v>
      </c>
      <c r="M1222" s="18"/>
      <c r="N1222" s="44"/>
    </row>
    <row r="1223" spans="1:14" ht="21" customHeight="1">
      <c r="A1223" s="18" t="s">
        <v>274</v>
      </c>
      <c r="B1223" s="18"/>
      <c r="C1223" s="19"/>
      <c r="D1223" s="19"/>
      <c r="E1223" s="19">
        <v>0</v>
      </c>
      <c r="F1223" s="19"/>
      <c r="G1223" s="19">
        <v>0</v>
      </c>
      <c r="H1223" s="19"/>
      <c r="I1223" s="19">
        <v>0</v>
      </c>
      <c r="J1223" s="19"/>
      <c r="K1223" s="19"/>
      <c r="L1223" s="19"/>
      <c r="M1223" s="19"/>
      <c r="N1223" s="44"/>
    </row>
    <row r="1224" spans="1:14" ht="21" customHeight="1">
      <c r="A1224" s="18" t="s">
        <v>1173</v>
      </c>
      <c r="B1224" s="18" t="s">
        <v>278</v>
      </c>
      <c r="C1224" s="20">
        <v>177</v>
      </c>
      <c r="D1224" s="21" t="s">
        <v>231</v>
      </c>
      <c r="E1224" s="20">
        <v>562.17099999999994</v>
      </c>
      <c r="F1224" s="20">
        <f>ROUND(E1224*C1224,0)</f>
        <v>99504</v>
      </c>
      <c r="G1224" s="20">
        <v>562.17099999999994</v>
      </c>
      <c r="H1224" s="20">
        <f>ROUND(G1224*C1224,0)</f>
        <v>99504</v>
      </c>
      <c r="I1224" s="20">
        <v>0</v>
      </c>
      <c r="J1224" s="20">
        <f>ROUND(I1224*C1224,0)</f>
        <v>0</v>
      </c>
      <c r="K1224" s="20">
        <f>E1224+G1224+I1224</f>
        <v>1124.3419999999999</v>
      </c>
      <c r="L1224" s="20">
        <f>F1224+H1224+J1224</f>
        <v>199008</v>
      </c>
      <c r="M1224" s="18"/>
      <c r="N1224" s="44"/>
    </row>
    <row r="1225" spans="1:14" ht="21" customHeight="1">
      <c r="A1225" s="18" t="s">
        <v>281</v>
      </c>
      <c r="B1225" s="18"/>
      <c r="C1225" s="19"/>
      <c r="D1225" s="19"/>
      <c r="E1225" s="19">
        <v>0</v>
      </c>
      <c r="F1225" s="19"/>
      <c r="G1225" s="19">
        <v>0</v>
      </c>
      <c r="H1225" s="19"/>
      <c r="I1225" s="19">
        <v>0</v>
      </c>
      <c r="J1225" s="19"/>
      <c r="K1225" s="19"/>
      <c r="L1225" s="19"/>
      <c r="M1225" s="19"/>
      <c r="N1225" s="44"/>
    </row>
    <row r="1226" spans="1:14" ht="21" customHeight="1">
      <c r="A1226" s="18" t="s">
        <v>282</v>
      </c>
      <c r="B1226" s="18"/>
      <c r="C1226" s="19"/>
      <c r="D1226" s="19"/>
      <c r="E1226" s="19">
        <v>0</v>
      </c>
      <c r="F1226" s="19"/>
      <c r="G1226" s="19">
        <v>0</v>
      </c>
      <c r="H1226" s="19"/>
      <c r="I1226" s="19">
        <v>0</v>
      </c>
      <c r="J1226" s="19"/>
      <c r="K1226" s="19"/>
      <c r="L1226" s="19"/>
      <c r="M1226" s="19"/>
      <c r="N1226" s="44"/>
    </row>
    <row r="1227" spans="1:14" ht="21" customHeight="1">
      <c r="A1227" s="18" t="s">
        <v>1174</v>
      </c>
      <c r="B1227" s="18" t="s">
        <v>1175</v>
      </c>
      <c r="C1227" s="20">
        <v>4</v>
      </c>
      <c r="D1227" s="21" t="s">
        <v>201</v>
      </c>
      <c r="E1227" s="20">
        <v>955690.7</v>
      </c>
      <c r="F1227" s="20">
        <f>ROUND(E1227*C1227,0)</f>
        <v>3822763</v>
      </c>
      <c r="G1227" s="20">
        <v>233300.965</v>
      </c>
      <c r="H1227" s="20">
        <f>ROUND(G1227*C1227,0)</f>
        <v>933204</v>
      </c>
      <c r="I1227" s="20">
        <v>291471.87439999997</v>
      </c>
      <c r="J1227" s="20">
        <f>ROUND(I1227*C1227,0)</f>
        <v>1165887</v>
      </c>
      <c r="K1227" s="20">
        <f>E1227+G1227+I1227</f>
        <v>1480463.5394000001</v>
      </c>
      <c r="L1227" s="20">
        <f>F1227+H1227+J1227</f>
        <v>5921854</v>
      </c>
      <c r="M1227" s="18"/>
      <c r="N1227" s="44"/>
    </row>
    <row r="1228" spans="1:14" ht="21" customHeight="1">
      <c r="A1228" s="18" t="s">
        <v>1176</v>
      </c>
      <c r="B1228" s="18"/>
      <c r="C1228" s="19"/>
      <c r="D1228" s="19"/>
      <c r="E1228" s="19">
        <v>0</v>
      </c>
      <c r="F1228" s="19"/>
      <c r="G1228" s="19">
        <v>0</v>
      </c>
      <c r="H1228" s="19"/>
      <c r="I1228" s="19">
        <v>0</v>
      </c>
      <c r="J1228" s="19"/>
      <c r="K1228" s="19"/>
      <c r="L1228" s="19"/>
      <c r="M1228" s="19"/>
      <c r="N1228" s="44"/>
    </row>
    <row r="1229" spans="1:14" ht="21" customHeight="1">
      <c r="A1229" s="18" t="s">
        <v>303</v>
      </c>
      <c r="B1229" s="18" t="s">
        <v>304</v>
      </c>
      <c r="C1229" s="22">
        <v>0.92600000000000005</v>
      </c>
      <c r="D1229" s="21" t="s">
        <v>99</v>
      </c>
      <c r="E1229" s="20">
        <v>0</v>
      </c>
      <c r="F1229" s="20">
        <f>ROUND(E1229*C1229,0)</f>
        <v>0</v>
      </c>
      <c r="G1229" s="20">
        <v>208228.1384</v>
      </c>
      <c r="H1229" s="20">
        <f>ROUND(G1229*C1229,0)</f>
        <v>192819</v>
      </c>
      <c r="I1229" s="20">
        <v>0</v>
      </c>
      <c r="J1229" s="20">
        <f>ROUND(I1229*C1229,0)</f>
        <v>0</v>
      </c>
      <c r="K1229" s="20">
        <f>E1229+G1229+I1229</f>
        <v>208228.1384</v>
      </c>
      <c r="L1229" s="20">
        <f>F1229+H1229+J1229</f>
        <v>192819</v>
      </c>
      <c r="M1229" s="18"/>
      <c r="N1229" s="44"/>
    </row>
    <row r="1230" spans="1:14" ht="21" customHeight="1">
      <c r="A1230" s="18" t="s">
        <v>307</v>
      </c>
      <c r="B1230" s="18"/>
      <c r="C1230" s="19"/>
      <c r="D1230" s="19"/>
      <c r="E1230" s="19">
        <v>0</v>
      </c>
      <c r="F1230" s="19"/>
      <c r="G1230" s="19">
        <v>0</v>
      </c>
      <c r="H1230" s="19"/>
      <c r="I1230" s="19">
        <v>0</v>
      </c>
      <c r="J1230" s="19"/>
      <c r="K1230" s="19"/>
      <c r="L1230" s="19"/>
      <c r="M1230" s="19"/>
      <c r="N1230" s="44"/>
    </row>
    <row r="1231" spans="1:14" ht="21" customHeight="1">
      <c r="A1231" s="18" t="s">
        <v>308</v>
      </c>
      <c r="B1231" s="18"/>
      <c r="C1231" s="19"/>
      <c r="D1231" s="19"/>
      <c r="E1231" s="19">
        <v>0</v>
      </c>
      <c r="F1231" s="19"/>
      <c r="G1231" s="19">
        <v>0</v>
      </c>
      <c r="H1231" s="19"/>
      <c r="I1231" s="19">
        <v>0</v>
      </c>
      <c r="J1231" s="19"/>
      <c r="K1231" s="19"/>
      <c r="L1231" s="19"/>
      <c r="M1231" s="19"/>
      <c r="N1231" s="44"/>
    </row>
    <row r="1232" spans="1:14" ht="21" customHeight="1">
      <c r="A1232" s="18" t="s">
        <v>309</v>
      </c>
      <c r="B1232" s="18" t="s">
        <v>310</v>
      </c>
      <c r="C1232" s="20">
        <v>22</v>
      </c>
      <c r="D1232" s="21" t="s">
        <v>201</v>
      </c>
      <c r="E1232" s="20">
        <v>82076.966</v>
      </c>
      <c r="F1232" s="20">
        <f>ROUND(E1232*C1232,0)</f>
        <v>1805693</v>
      </c>
      <c r="G1232" s="20">
        <v>60714.468000000001</v>
      </c>
      <c r="H1232" s="20">
        <f>ROUND(G1232*C1232,0)</f>
        <v>1335718</v>
      </c>
      <c r="I1232" s="20">
        <v>82176.671799999996</v>
      </c>
      <c r="J1232" s="20">
        <f>ROUND(I1232*C1232,0)</f>
        <v>1807887</v>
      </c>
      <c r="K1232" s="20">
        <f>E1232+G1232+I1232</f>
        <v>224968.10580000002</v>
      </c>
      <c r="L1232" s="20">
        <f>F1232+H1232+J1232</f>
        <v>4949298</v>
      </c>
      <c r="M1232" s="18"/>
      <c r="N1232" s="44"/>
    </row>
    <row r="1233" spans="1:14" ht="21" customHeight="1">
      <c r="A1233" s="18" t="s">
        <v>1230</v>
      </c>
      <c r="B1233" s="18"/>
      <c r="C1233" s="19"/>
      <c r="D1233" s="19"/>
      <c r="E1233" s="19">
        <v>0</v>
      </c>
      <c r="F1233" s="19"/>
      <c r="G1233" s="19">
        <v>0</v>
      </c>
      <c r="H1233" s="19"/>
      <c r="I1233" s="19">
        <v>0</v>
      </c>
      <c r="J1233" s="19"/>
      <c r="K1233" s="19"/>
      <c r="L1233" s="19"/>
      <c r="M1233" s="19"/>
      <c r="N1233" s="44"/>
    </row>
    <row r="1234" spans="1:14" ht="21" customHeight="1">
      <c r="A1234" s="18" t="s">
        <v>1231</v>
      </c>
      <c r="B1234" s="18" t="s">
        <v>1232</v>
      </c>
      <c r="C1234" s="20">
        <v>54</v>
      </c>
      <c r="D1234" s="21" t="s">
        <v>231</v>
      </c>
      <c r="E1234" s="20">
        <v>106812.48999999999</v>
      </c>
      <c r="F1234" s="20">
        <f>ROUND(E1234*C1234,0)</f>
        <v>5767874</v>
      </c>
      <c r="G1234" s="20">
        <v>25972.300199999998</v>
      </c>
      <c r="H1234" s="20">
        <f>ROUND(G1234*C1234,0)</f>
        <v>1402504</v>
      </c>
      <c r="I1234" s="20">
        <v>42633.775799999996</v>
      </c>
      <c r="J1234" s="20">
        <f>ROUND(I1234*C1234,0)</f>
        <v>2302224</v>
      </c>
      <c r="K1234" s="20">
        <f>E1234+G1234+I1234</f>
        <v>175418.56599999999</v>
      </c>
      <c r="L1234" s="20">
        <f>F1234+H1234+J1234</f>
        <v>9472602</v>
      </c>
      <c r="M1234" s="18"/>
      <c r="N1234" s="44"/>
    </row>
    <row r="1235" spans="1:14" ht="21" customHeight="1">
      <c r="A1235" s="18" t="s">
        <v>1233</v>
      </c>
      <c r="B1235" s="18"/>
      <c r="C1235" s="19"/>
      <c r="D1235" s="19"/>
      <c r="E1235" s="19">
        <v>0</v>
      </c>
      <c r="F1235" s="19"/>
      <c r="G1235" s="19">
        <v>0</v>
      </c>
      <c r="H1235" s="19"/>
      <c r="I1235" s="19">
        <v>0</v>
      </c>
      <c r="J1235" s="19"/>
      <c r="K1235" s="19"/>
      <c r="L1235" s="19"/>
      <c r="M1235" s="19"/>
      <c r="N1235" s="44"/>
    </row>
    <row r="1236" spans="1:14" ht="21" customHeight="1">
      <c r="A1236" s="18" t="s">
        <v>791</v>
      </c>
      <c r="B1236" s="18" t="s">
        <v>344</v>
      </c>
      <c r="C1236" s="20">
        <v>10</v>
      </c>
      <c r="D1236" s="21" t="s">
        <v>99</v>
      </c>
      <c r="E1236" s="20">
        <v>0</v>
      </c>
      <c r="F1236" s="20">
        <f t="shared" ref="F1236:F1246" si="241">ROUND(E1236*C1236,0)</f>
        <v>0</v>
      </c>
      <c r="G1236" s="20">
        <v>15740.788</v>
      </c>
      <c r="H1236" s="20">
        <f t="shared" ref="H1236:H1246" si="242">ROUND(G1236*C1236,0)</f>
        <v>157408</v>
      </c>
      <c r="I1236" s="20">
        <v>15094.8217</v>
      </c>
      <c r="J1236" s="20">
        <f t="shared" ref="J1236:J1246" si="243">ROUND(I1236*C1236,0)</f>
        <v>150948</v>
      </c>
      <c r="K1236" s="20">
        <f t="shared" ref="K1236:K1246" si="244">E1236+G1236+I1236</f>
        <v>30835.609700000001</v>
      </c>
      <c r="L1236" s="20">
        <f t="shared" ref="L1236:L1246" si="245">F1236+H1236+J1236</f>
        <v>308356</v>
      </c>
      <c r="M1236" s="18"/>
      <c r="N1236" s="44"/>
    </row>
    <row r="1237" spans="1:14" ht="21" customHeight="1">
      <c r="A1237" s="18" t="s">
        <v>792</v>
      </c>
      <c r="B1237" s="18" t="s">
        <v>247</v>
      </c>
      <c r="C1237" s="20">
        <v>1</v>
      </c>
      <c r="D1237" s="21" t="s">
        <v>99</v>
      </c>
      <c r="E1237" s="20">
        <v>0</v>
      </c>
      <c r="F1237" s="20">
        <f t="shared" si="241"/>
        <v>0</v>
      </c>
      <c r="G1237" s="20">
        <v>14616.446</v>
      </c>
      <c r="H1237" s="20">
        <f t="shared" si="242"/>
        <v>14616</v>
      </c>
      <c r="I1237" s="20">
        <v>13499.528899999999</v>
      </c>
      <c r="J1237" s="20">
        <f t="shared" si="243"/>
        <v>13500</v>
      </c>
      <c r="K1237" s="20">
        <f t="shared" si="244"/>
        <v>28115.974900000001</v>
      </c>
      <c r="L1237" s="20">
        <f t="shared" si="245"/>
        <v>28116</v>
      </c>
      <c r="M1237" s="18"/>
      <c r="N1237" s="44"/>
    </row>
    <row r="1238" spans="1:14" ht="21" customHeight="1">
      <c r="A1238" s="18" t="s">
        <v>793</v>
      </c>
      <c r="B1238" s="18" t="s">
        <v>794</v>
      </c>
      <c r="C1238" s="22">
        <v>1.167</v>
      </c>
      <c r="D1238" s="21" t="s">
        <v>629</v>
      </c>
      <c r="E1238" s="20">
        <v>84325.65</v>
      </c>
      <c r="F1238" s="20">
        <f t="shared" si="241"/>
        <v>98408</v>
      </c>
      <c r="G1238" s="20">
        <v>618388.1</v>
      </c>
      <c r="H1238" s="20">
        <f t="shared" si="242"/>
        <v>721659</v>
      </c>
      <c r="I1238" s="20">
        <v>104315.60219999999</v>
      </c>
      <c r="J1238" s="20">
        <f t="shared" si="243"/>
        <v>121736</v>
      </c>
      <c r="K1238" s="20">
        <f t="shared" si="244"/>
        <v>807029.35219999996</v>
      </c>
      <c r="L1238" s="20">
        <f t="shared" si="245"/>
        <v>941803</v>
      </c>
      <c r="M1238" s="18"/>
      <c r="N1238" s="44"/>
    </row>
    <row r="1239" spans="1:14" ht="21" customHeight="1">
      <c r="A1239" s="18" t="s">
        <v>1234</v>
      </c>
      <c r="B1239" s="18" t="s">
        <v>472</v>
      </c>
      <c r="C1239" s="20">
        <v>97</v>
      </c>
      <c r="D1239" s="21" t="s">
        <v>93</v>
      </c>
      <c r="E1239" s="20">
        <v>10681.249</v>
      </c>
      <c r="F1239" s="20">
        <f t="shared" si="241"/>
        <v>1036081</v>
      </c>
      <c r="G1239" s="20">
        <v>35978.943999999996</v>
      </c>
      <c r="H1239" s="20">
        <f t="shared" si="242"/>
        <v>3489958</v>
      </c>
      <c r="I1239" s="20">
        <v>2454.4598000000001</v>
      </c>
      <c r="J1239" s="20">
        <f t="shared" si="243"/>
        <v>238083</v>
      </c>
      <c r="K1239" s="20">
        <f t="shared" si="244"/>
        <v>49114.652799999996</v>
      </c>
      <c r="L1239" s="20">
        <f t="shared" si="245"/>
        <v>4764122</v>
      </c>
      <c r="M1239" s="18"/>
      <c r="N1239" s="44"/>
    </row>
    <row r="1240" spans="1:14" ht="21" customHeight="1">
      <c r="A1240" s="18" t="s">
        <v>797</v>
      </c>
      <c r="B1240" s="18" t="s">
        <v>249</v>
      </c>
      <c r="C1240" s="20">
        <v>1</v>
      </c>
      <c r="D1240" s="21" t="s">
        <v>93</v>
      </c>
      <c r="E1240" s="20">
        <v>8432.5650000000005</v>
      </c>
      <c r="F1240" s="20">
        <f t="shared" si="241"/>
        <v>8433</v>
      </c>
      <c r="G1240" s="20">
        <v>22486.84</v>
      </c>
      <c r="H1240" s="20">
        <f t="shared" si="242"/>
        <v>22487</v>
      </c>
      <c r="I1240" s="20">
        <v>4295.835</v>
      </c>
      <c r="J1240" s="20">
        <f t="shared" si="243"/>
        <v>4296</v>
      </c>
      <c r="K1240" s="20">
        <f t="shared" si="244"/>
        <v>35215.24</v>
      </c>
      <c r="L1240" s="20">
        <f t="shared" si="245"/>
        <v>35216</v>
      </c>
      <c r="M1240" s="18"/>
      <c r="N1240" s="44"/>
    </row>
    <row r="1241" spans="1:14" ht="21" customHeight="1">
      <c r="A1241" s="18" t="s">
        <v>1235</v>
      </c>
      <c r="B1241" s="18" t="s">
        <v>802</v>
      </c>
      <c r="C1241" s="20">
        <v>88</v>
      </c>
      <c r="D1241" s="21" t="s">
        <v>93</v>
      </c>
      <c r="E1241" s="20">
        <v>562.17099999999994</v>
      </c>
      <c r="F1241" s="20">
        <f t="shared" si="241"/>
        <v>49471</v>
      </c>
      <c r="G1241" s="20">
        <v>1124.3419999999999</v>
      </c>
      <c r="H1241" s="20">
        <f t="shared" si="242"/>
        <v>98942</v>
      </c>
      <c r="I1241" s="20">
        <v>0</v>
      </c>
      <c r="J1241" s="20">
        <f t="shared" si="243"/>
        <v>0</v>
      </c>
      <c r="K1241" s="20">
        <f t="shared" si="244"/>
        <v>1686.5129999999999</v>
      </c>
      <c r="L1241" s="20">
        <f t="shared" si="245"/>
        <v>148413</v>
      </c>
      <c r="M1241" s="18"/>
      <c r="N1241" s="44"/>
    </row>
    <row r="1242" spans="1:14" ht="21" customHeight="1">
      <c r="A1242" s="18" t="s">
        <v>1236</v>
      </c>
      <c r="B1242" s="18" t="s">
        <v>804</v>
      </c>
      <c r="C1242" s="20">
        <v>15</v>
      </c>
      <c r="D1242" s="21" t="s">
        <v>93</v>
      </c>
      <c r="E1242" s="20">
        <v>562.17099999999994</v>
      </c>
      <c r="F1242" s="20">
        <f t="shared" si="241"/>
        <v>8433</v>
      </c>
      <c r="G1242" s="20">
        <v>1124.3419999999999</v>
      </c>
      <c r="H1242" s="20">
        <f t="shared" si="242"/>
        <v>16865</v>
      </c>
      <c r="I1242" s="20">
        <v>0</v>
      </c>
      <c r="J1242" s="20">
        <f t="shared" si="243"/>
        <v>0</v>
      </c>
      <c r="K1242" s="20">
        <f t="shared" si="244"/>
        <v>1686.5129999999999</v>
      </c>
      <c r="L1242" s="20">
        <f t="shared" si="245"/>
        <v>25298</v>
      </c>
      <c r="M1242" s="18"/>
      <c r="N1242" s="44"/>
    </row>
    <row r="1243" spans="1:14" ht="21" customHeight="1">
      <c r="A1243" s="18" t="s">
        <v>1237</v>
      </c>
      <c r="B1243" s="18" t="s">
        <v>811</v>
      </c>
      <c r="C1243" s="20">
        <v>5</v>
      </c>
      <c r="D1243" s="21" t="s">
        <v>93</v>
      </c>
      <c r="E1243" s="20">
        <v>14054.275</v>
      </c>
      <c r="F1243" s="20">
        <f t="shared" si="241"/>
        <v>70271</v>
      </c>
      <c r="G1243" s="20">
        <v>11243.42</v>
      </c>
      <c r="H1243" s="20">
        <f t="shared" si="242"/>
        <v>56217</v>
      </c>
      <c r="I1243" s="20">
        <v>0</v>
      </c>
      <c r="J1243" s="20">
        <f t="shared" si="243"/>
        <v>0</v>
      </c>
      <c r="K1243" s="20">
        <f t="shared" si="244"/>
        <v>25297.695</v>
      </c>
      <c r="L1243" s="20">
        <f t="shared" si="245"/>
        <v>126488</v>
      </c>
      <c r="M1243" s="18"/>
      <c r="N1243" s="44"/>
    </row>
    <row r="1244" spans="1:14" ht="21" customHeight="1">
      <c r="A1244" s="18" t="s">
        <v>1238</v>
      </c>
      <c r="B1244" s="18" t="s">
        <v>813</v>
      </c>
      <c r="C1244" s="20">
        <v>72</v>
      </c>
      <c r="D1244" s="21" t="s">
        <v>365</v>
      </c>
      <c r="E1244" s="20">
        <v>14391.577600000001</v>
      </c>
      <c r="F1244" s="20">
        <f t="shared" si="241"/>
        <v>1036194</v>
      </c>
      <c r="G1244" s="20">
        <v>2810.855</v>
      </c>
      <c r="H1244" s="20">
        <f t="shared" si="242"/>
        <v>202382</v>
      </c>
      <c r="I1244" s="20">
        <v>0</v>
      </c>
      <c r="J1244" s="20">
        <f t="shared" si="243"/>
        <v>0</v>
      </c>
      <c r="K1244" s="20">
        <f t="shared" si="244"/>
        <v>17202.4326</v>
      </c>
      <c r="L1244" s="20">
        <f t="shared" si="245"/>
        <v>1238576</v>
      </c>
      <c r="M1244" s="18"/>
      <c r="N1244" s="44"/>
    </row>
    <row r="1245" spans="1:14" ht="21" customHeight="1">
      <c r="A1245" s="18" t="s">
        <v>814</v>
      </c>
      <c r="B1245" s="18" t="s">
        <v>815</v>
      </c>
      <c r="C1245" s="20">
        <v>22</v>
      </c>
      <c r="D1245" s="21" t="s">
        <v>231</v>
      </c>
      <c r="E1245" s="20">
        <v>3597.8944000000001</v>
      </c>
      <c r="F1245" s="20">
        <f t="shared" si="241"/>
        <v>79154</v>
      </c>
      <c r="G1245" s="20">
        <v>7308.223</v>
      </c>
      <c r="H1245" s="20">
        <f t="shared" si="242"/>
        <v>160781</v>
      </c>
      <c r="I1245" s="20">
        <v>0</v>
      </c>
      <c r="J1245" s="20">
        <f t="shared" si="243"/>
        <v>0</v>
      </c>
      <c r="K1245" s="20">
        <f t="shared" si="244"/>
        <v>10906.117399999999</v>
      </c>
      <c r="L1245" s="20">
        <f t="shared" si="245"/>
        <v>239935</v>
      </c>
      <c r="M1245" s="18"/>
      <c r="N1245" s="44"/>
    </row>
    <row r="1246" spans="1:14" ht="21" customHeight="1">
      <c r="A1246" s="18" t="s">
        <v>816</v>
      </c>
      <c r="B1246" s="18" t="s">
        <v>817</v>
      </c>
      <c r="C1246" s="20">
        <v>11</v>
      </c>
      <c r="D1246" s="21" t="s">
        <v>99</v>
      </c>
      <c r="E1246" s="20">
        <v>0</v>
      </c>
      <c r="F1246" s="20">
        <f t="shared" si="241"/>
        <v>0</v>
      </c>
      <c r="G1246" s="20">
        <v>2810.855</v>
      </c>
      <c r="H1246" s="20">
        <f t="shared" si="242"/>
        <v>30919</v>
      </c>
      <c r="I1246" s="20">
        <v>3829.127</v>
      </c>
      <c r="J1246" s="20">
        <f t="shared" si="243"/>
        <v>42120</v>
      </c>
      <c r="K1246" s="20">
        <f t="shared" si="244"/>
        <v>6639.982</v>
      </c>
      <c r="L1246" s="20">
        <f t="shared" si="245"/>
        <v>73039</v>
      </c>
      <c r="M1246" s="18"/>
      <c r="N1246" s="44"/>
    </row>
    <row r="1247" spans="1:14" ht="21" customHeight="1">
      <c r="A1247" s="18" t="s">
        <v>818</v>
      </c>
      <c r="B1247" s="18"/>
      <c r="C1247" s="19"/>
      <c r="D1247" s="19"/>
      <c r="E1247" s="19">
        <v>0</v>
      </c>
      <c r="F1247" s="19"/>
      <c r="G1247" s="19">
        <v>0</v>
      </c>
      <c r="H1247" s="19"/>
      <c r="I1247" s="19">
        <v>0</v>
      </c>
      <c r="J1247" s="19"/>
      <c r="K1247" s="19"/>
      <c r="L1247" s="19"/>
      <c r="M1247" s="19"/>
      <c r="N1247" s="44"/>
    </row>
    <row r="1248" spans="1:14" ht="21" customHeight="1">
      <c r="A1248" s="18" t="s">
        <v>819</v>
      </c>
      <c r="B1248" s="18" t="s">
        <v>399</v>
      </c>
      <c r="C1248" s="22">
        <v>1.2070000000000001</v>
      </c>
      <c r="D1248" s="21" t="s">
        <v>391</v>
      </c>
      <c r="E1248" s="20">
        <v>0</v>
      </c>
      <c r="F1248" s="20">
        <f>ROUND(E1248*C1248,0)</f>
        <v>0</v>
      </c>
      <c r="G1248" s="20">
        <v>0</v>
      </c>
      <c r="H1248" s="20">
        <f>ROUND(G1248*C1248,0)</f>
        <v>0</v>
      </c>
      <c r="I1248" s="20">
        <v>24544.597999999998</v>
      </c>
      <c r="J1248" s="20">
        <f>ROUND(I1248*C1248,0)</f>
        <v>29625</v>
      </c>
      <c r="K1248" s="20">
        <f>E1248+G1248+I1248</f>
        <v>24544.597999999998</v>
      </c>
      <c r="L1248" s="20">
        <f>F1248+H1248+J1248</f>
        <v>29625</v>
      </c>
      <c r="M1248" s="18"/>
      <c r="N1248" s="44"/>
    </row>
    <row r="1249" spans="1:14" ht="21" customHeight="1">
      <c r="A1249" s="18" t="s">
        <v>820</v>
      </c>
      <c r="B1249" s="18" t="s">
        <v>401</v>
      </c>
      <c r="C1249" s="22">
        <v>2.8000000000000001E-2</v>
      </c>
      <c r="D1249" s="21" t="s">
        <v>391</v>
      </c>
      <c r="E1249" s="20">
        <v>-424280</v>
      </c>
      <c r="F1249" s="20">
        <f>ROUND(E1249*C1249,0)</f>
        <v>-11880</v>
      </c>
      <c r="G1249" s="20">
        <v>0</v>
      </c>
      <c r="H1249" s="20">
        <f>ROUND(G1249*C1249,0)</f>
        <v>0</v>
      </c>
      <c r="I1249" s="20">
        <v>0</v>
      </c>
      <c r="J1249" s="20">
        <f>ROUND(I1249*C1249,0)</f>
        <v>0</v>
      </c>
      <c r="K1249" s="20">
        <f>E1249+G1249+I1249</f>
        <v>-424280</v>
      </c>
      <c r="L1249" s="20">
        <f>F1249+H1249+J1249</f>
        <v>-11880</v>
      </c>
      <c r="M1249" s="18"/>
      <c r="N1249" s="44"/>
    </row>
    <row r="1250" spans="1:14" ht="21" customHeight="1">
      <c r="A1250" s="18" t="s">
        <v>496</v>
      </c>
      <c r="B1250" s="18"/>
      <c r="C1250" s="19"/>
      <c r="D1250" s="19"/>
      <c r="E1250" s="19">
        <v>0</v>
      </c>
      <c r="F1250" s="19"/>
      <c r="G1250" s="19">
        <v>0</v>
      </c>
      <c r="H1250" s="19"/>
      <c r="I1250" s="19">
        <v>0</v>
      </c>
      <c r="J1250" s="19"/>
      <c r="K1250" s="19"/>
      <c r="L1250" s="19"/>
      <c r="M1250" s="19"/>
      <c r="N1250" s="44"/>
    </row>
    <row r="1251" spans="1:14" ht="21" customHeight="1">
      <c r="A1251" s="18" t="s">
        <v>373</v>
      </c>
      <c r="B1251" s="18"/>
      <c r="C1251" s="19"/>
      <c r="D1251" s="19"/>
      <c r="E1251" s="19">
        <v>0</v>
      </c>
      <c r="F1251" s="19"/>
      <c r="G1251" s="19">
        <v>0</v>
      </c>
      <c r="H1251" s="19"/>
      <c r="I1251" s="19">
        <v>0</v>
      </c>
      <c r="J1251" s="19"/>
      <c r="K1251" s="19"/>
      <c r="L1251" s="19"/>
      <c r="M1251" s="19"/>
      <c r="N1251" s="44"/>
    </row>
    <row r="1252" spans="1:14" ht="21" customHeight="1">
      <c r="A1252" s="18" t="s">
        <v>374</v>
      </c>
      <c r="B1252" s="18" t="s">
        <v>375</v>
      </c>
      <c r="C1252" s="20">
        <v>17</v>
      </c>
      <c r="D1252" s="21" t="s">
        <v>376</v>
      </c>
      <c r="E1252" s="20">
        <v>6883.9430000000002</v>
      </c>
      <c r="F1252" s="20">
        <f>ROUND(E1252*C1252,0)</f>
        <v>117027</v>
      </c>
      <c r="G1252" s="20">
        <v>0</v>
      </c>
      <c r="H1252" s="20">
        <f>ROUND(G1252*C1252,0)</f>
        <v>0</v>
      </c>
      <c r="I1252" s="20">
        <v>0</v>
      </c>
      <c r="J1252" s="20">
        <f>ROUND(I1252*C1252,0)</f>
        <v>0</v>
      </c>
      <c r="K1252" s="20">
        <f>E1252+G1252+I1252</f>
        <v>6883.9430000000002</v>
      </c>
      <c r="L1252" s="20">
        <f>F1252+H1252+J1252</f>
        <v>117027</v>
      </c>
      <c r="M1252" s="18"/>
      <c r="N1252" s="44"/>
    </row>
    <row r="1253" spans="1:14" ht="21" customHeight="1">
      <c r="A1253" s="18" t="s">
        <v>497</v>
      </c>
      <c r="B1253" s="18" t="s">
        <v>380</v>
      </c>
      <c r="C1253" s="20">
        <v>17</v>
      </c>
      <c r="D1253" s="21" t="s">
        <v>376</v>
      </c>
      <c r="E1253" s="20">
        <v>0</v>
      </c>
      <c r="F1253" s="20">
        <f>ROUND(E1253*C1253,0)</f>
        <v>0</v>
      </c>
      <c r="G1253" s="20">
        <v>0</v>
      </c>
      <c r="H1253" s="20">
        <f>ROUND(G1253*C1253,0)</f>
        <v>0</v>
      </c>
      <c r="I1253" s="20">
        <v>1273.9006999999999</v>
      </c>
      <c r="J1253" s="20">
        <f>ROUND(I1253*C1253,0)</f>
        <v>21656</v>
      </c>
      <c r="K1253" s="20">
        <f>E1253+G1253+I1253</f>
        <v>1273.9006999999999</v>
      </c>
      <c r="L1253" s="20">
        <f>F1253+H1253+J1253</f>
        <v>21656</v>
      </c>
      <c r="M1253" s="18"/>
      <c r="N1253" s="44"/>
    </row>
    <row r="1254" spans="1:14" ht="21" customHeight="1">
      <c r="A1254" s="18" t="s">
        <v>381</v>
      </c>
      <c r="B1254" s="18"/>
      <c r="C1254" s="19"/>
      <c r="D1254" s="19"/>
      <c r="E1254" s="19">
        <v>0</v>
      </c>
      <c r="F1254" s="19"/>
      <c r="G1254" s="19">
        <v>0</v>
      </c>
      <c r="H1254" s="19"/>
      <c r="I1254" s="19">
        <v>0</v>
      </c>
      <c r="J1254" s="19"/>
      <c r="K1254" s="19"/>
      <c r="L1254" s="19"/>
      <c r="M1254" s="19"/>
      <c r="N1254" s="44"/>
    </row>
    <row r="1255" spans="1:14" ht="21" customHeight="1">
      <c r="A1255" s="18" t="s">
        <v>382</v>
      </c>
      <c r="B1255" s="18" t="s">
        <v>383</v>
      </c>
      <c r="C1255" s="20">
        <v>22</v>
      </c>
      <c r="D1255" s="21" t="s">
        <v>99</v>
      </c>
      <c r="E1255" s="20">
        <v>29232.892</v>
      </c>
      <c r="F1255" s="20">
        <f>ROUND(E1255*C1255,0)</f>
        <v>643124</v>
      </c>
      <c r="G1255" s="20">
        <v>0</v>
      </c>
      <c r="H1255" s="20">
        <f>ROUND(G1255*C1255,0)</f>
        <v>0</v>
      </c>
      <c r="I1255" s="20">
        <v>0</v>
      </c>
      <c r="J1255" s="20">
        <f>ROUND(I1255*C1255,0)</f>
        <v>0</v>
      </c>
      <c r="K1255" s="20">
        <f>E1255+G1255+I1255</f>
        <v>29232.892</v>
      </c>
      <c r="L1255" s="20">
        <f>F1255+H1255+J1255</f>
        <v>643124</v>
      </c>
      <c r="M1255" s="18"/>
      <c r="N1255" s="44"/>
    </row>
    <row r="1256" spans="1:14" ht="21" customHeight="1">
      <c r="A1256" s="18" t="s">
        <v>1178</v>
      </c>
      <c r="B1256" s="18" t="s">
        <v>387</v>
      </c>
      <c r="C1256" s="20">
        <v>2</v>
      </c>
      <c r="D1256" s="21" t="s">
        <v>99</v>
      </c>
      <c r="E1256" s="20">
        <v>20238.155999999999</v>
      </c>
      <c r="F1256" s="20">
        <f>ROUND(E1256*C1256,0)</f>
        <v>40476</v>
      </c>
      <c r="G1256" s="20">
        <v>0</v>
      </c>
      <c r="H1256" s="20">
        <f>ROUND(G1256*C1256,0)</f>
        <v>0</v>
      </c>
      <c r="I1256" s="20">
        <v>0</v>
      </c>
      <c r="J1256" s="20">
        <f>ROUND(I1256*C1256,0)</f>
        <v>0</v>
      </c>
      <c r="K1256" s="20">
        <f>E1256+G1256+I1256</f>
        <v>20238.155999999999</v>
      </c>
      <c r="L1256" s="20">
        <f>F1256+H1256+J1256</f>
        <v>40476</v>
      </c>
      <c r="M1256" s="18"/>
      <c r="N1256" s="44"/>
    </row>
    <row r="1257" spans="1:14" ht="21" customHeight="1">
      <c r="A1257" s="18" t="s">
        <v>918</v>
      </c>
      <c r="B1257" s="18"/>
      <c r="C1257" s="19"/>
      <c r="D1257" s="19"/>
      <c r="E1257" s="19">
        <v>0</v>
      </c>
      <c r="F1257" s="19"/>
      <c r="G1257" s="19">
        <v>0</v>
      </c>
      <c r="H1257" s="19"/>
      <c r="I1257" s="19">
        <v>0</v>
      </c>
      <c r="J1257" s="19"/>
      <c r="K1257" s="19"/>
      <c r="L1257" s="19"/>
      <c r="M1257" s="19"/>
      <c r="N1257" s="44"/>
    </row>
    <row r="1258" spans="1:14" ht="21" customHeight="1">
      <c r="A1258" s="18" t="s">
        <v>403</v>
      </c>
      <c r="B1258" s="18" t="s">
        <v>404</v>
      </c>
      <c r="C1258" s="20">
        <v>71</v>
      </c>
      <c r="D1258" s="21" t="s">
        <v>99</v>
      </c>
      <c r="E1258" s="20">
        <v>102675.76</v>
      </c>
      <c r="F1258" s="20">
        <f>ROUND(E1258*C1258,0)</f>
        <v>7289979</v>
      </c>
      <c r="G1258" s="20">
        <v>0</v>
      </c>
      <c r="H1258" s="20">
        <f>ROUND(G1258*C1258,0)</f>
        <v>0</v>
      </c>
      <c r="I1258" s="20">
        <v>0</v>
      </c>
      <c r="J1258" s="20">
        <f>ROUND(I1258*C1258,0)</f>
        <v>0</v>
      </c>
      <c r="K1258" s="20">
        <f t="shared" ref="K1258:L1260" si="246">E1258+G1258+I1258</f>
        <v>102675.76</v>
      </c>
      <c r="L1258" s="20">
        <f t="shared" si="246"/>
        <v>7289979</v>
      </c>
      <c r="M1258" s="18"/>
      <c r="N1258" s="44"/>
    </row>
    <row r="1259" spans="1:14" ht="21" customHeight="1">
      <c r="A1259" s="18" t="s">
        <v>405</v>
      </c>
      <c r="B1259" s="18" t="s">
        <v>406</v>
      </c>
      <c r="C1259" s="20">
        <v>1</v>
      </c>
      <c r="D1259" s="21" t="s">
        <v>99</v>
      </c>
      <c r="E1259" s="20">
        <v>100575.57399999999</v>
      </c>
      <c r="F1259" s="20">
        <f>ROUND(E1259*C1259,0)</f>
        <v>100576</v>
      </c>
      <c r="G1259" s="20">
        <v>0</v>
      </c>
      <c r="H1259" s="20">
        <f>ROUND(G1259*C1259,0)</f>
        <v>0</v>
      </c>
      <c r="I1259" s="20">
        <v>0</v>
      </c>
      <c r="J1259" s="20">
        <f>ROUND(I1259*C1259,0)</f>
        <v>0</v>
      </c>
      <c r="K1259" s="20">
        <f t="shared" si="246"/>
        <v>100575.57399999999</v>
      </c>
      <c r="L1259" s="20">
        <f t="shared" si="246"/>
        <v>100576</v>
      </c>
      <c r="M1259" s="18"/>
      <c r="N1259" s="44"/>
    </row>
    <row r="1260" spans="1:14" ht="21" customHeight="1">
      <c r="A1260" s="18" t="s">
        <v>610</v>
      </c>
      <c r="B1260" s="18" t="s">
        <v>822</v>
      </c>
      <c r="C1260" s="20">
        <v>10</v>
      </c>
      <c r="D1260" s="21" t="s">
        <v>99</v>
      </c>
      <c r="E1260" s="20">
        <v>110259.765</v>
      </c>
      <c r="F1260" s="20">
        <f>ROUND(E1260*C1260,0)</f>
        <v>1102598</v>
      </c>
      <c r="G1260" s="20">
        <v>0</v>
      </c>
      <c r="H1260" s="20">
        <f>ROUND(G1260*C1260,0)</f>
        <v>0</v>
      </c>
      <c r="I1260" s="20">
        <v>0</v>
      </c>
      <c r="J1260" s="20">
        <f>ROUND(I1260*C1260,0)</f>
        <v>0</v>
      </c>
      <c r="K1260" s="20">
        <f t="shared" si="246"/>
        <v>110259.765</v>
      </c>
      <c r="L1260" s="20">
        <f t="shared" si="246"/>
        <v>1102598</v>
      </c>
      <c r="M1260" s="18"/>
      <c r="N1260" s="44"/>
    </row>
    <row r="1261" spans="1:14" ht="21" customHeight="1">
      <c r="A1261" s="18" t="s">
        <v>1179</v>
      </c>
      <c r="B1261" s="18"/>
      <c r="C1261" s="19"/>
      <c r="D1261" s="19"/>
      <c r="E1261" s="19">
        <v>0</v>
      </c>
      <c r="F1261" s="19"/>
      <c r="G1261" s="19">
        <v>0</v>
      </c>
      <c r="H1261" s="19"/>
      <c r="I1261" s="19">
        <v>0</v>
      </c>
      <c r="J1261" s="19"/>
      <c r="K1261" s="19"/>
      <c r="L1261" s="19"/>
      <c r="M1261" s="19"/>
      <c r="N1261" s="44"/>
    </row>
    <row r="1262" spans="1:14" ht="21" customHeight="1">
      <c r="A1262" s="18" t="s">
        <v>408</v>
      </c>
      <c r="B1262" s="18" t="s">
        <v>409</v>
      </c>
      <c r="C1262" s="20">
        <v>145</v>
      </c>
      <c r="D1262" s="21" t="s">
        <v>410</v>
      </c>
      <c r="E1262" s="20">
        <v>20849.119200000001</v>
      </c>
      <c r="F1262" s="20">
        <f>ROUND(E1262*C1262,0)</f>
        <v>3023122</v>
      </c>
      <c r="G1262" s="20">
        <v>0</v>
      </c>
      <c r="H1262" s="20">
        <f>ROUND(G1262*C1262,0)</f>
        <v>0</v>
      </c>
      <c r="I1262" s="20">
        <v>0</v>
      </c>
      <c r="J1262" s="20">
        <f>ROUND(I1262*C1262,0)</f>
        <v>0</v>
      </c>
      <c r="K1262" s="20">
        <f t="shared" ref="K1262:L1265" si="247">E1262+G1262+I1262</f>
        <v>20849.119200000001</v>
      </c>
      <c r="L1262" s="20">
        <f t="shared" si="247"/>
        <v>3023122</v>
      </c>
      <c r="M1262" s="18"/>
      <c r="N1262" s="44"/>
    </row>
    <row r="1263" spans="1:14" ht="21" customHeight="1">
      <c r="A1263" s="18" t="s">
        <v>411</v>
      </c>
      <c r="B1263" s="18" t="s">
        <v>414</v>
      </c>
      <c r="C1263" s="20">
        <v>177</v>
      </c>
      <c r="D1263" s="21" t="s">
        <v>410</v>
      </c>
      <c r="E1263" s="20">
        <v>53181.376599999996</v>
      </c>
      <c r="F1263" s="20">
        <f>ROUND(E1263*C1263,0)</f>
        <v>9413104</v>
      </c>
      <c r="G1263" s="20">
        <v>0</v>
      </c>
      <c r="H1263" s="20">
        <f>ROUND(G1263*C1263,0)</f>
        <v>0</v>
      </c>
      <c r="I1263" s="20">
        <v>0</v>
      </c>
      <c r="J1263" s="20">
        <f>ROUND(I1263*C1263,0)</f>
        <v>0</v>
      </c>
      <c r="K1263" s="20">
        <f t="shared" si="247"/>
        <v>53181.376599999996</v>
      </c>
      <c r="L1263" s="20">
        <f t="shared" si="247"/>
        <v>9413104</v>
      </c>
      <c r="M1263" s="18"/>
      <c r="N1263" s="44"/>
    </row>
    <row r="1264" spans="1:14" ht="21" customHeight="1">
      <c r="A1264" s="18" t="s">
        <v>1180</v>
      </c>
      <c r="B1264" s="18" t="s">
        <v>424</v>
      </c>
      <c r="C1264" s="20">
        <v>58</v>
      </c>
      <c r="D1264" s="21" t="s">
        <v>368</v>
      </c>
      <c r="E1264" s="20">
        <v>0</v>
      </c>
      <c r="F1264" s="20">
        <f>ROUND(E1264*C1264,0)</f>
        <v>0</v>
      </c>
      <c r="G1264" s="20">
        <v>0</v>
      </c>
      <c r="H1264" s="20">
        <f>ROUND(G1264*C1264,0)</f>
        <v>0</v>
      </c>
      <c r="I1264" s="20">
        <v>2540.3764999999999</v>
      </c>
      <c r="J1264" s="20">
        <f>ROUND(I1264*C1264,0)</f>
        <v>147342</v>
      </c>
      <c r="K1264" s="20">
        <f t="shared" si="247"/>
        <v>2540.3764999999999</v>
      </c>
      <c r="L1264" s="20">
        <f t="shared" si="247"/>
        <v>147342</v>
      </c>
      <c r="M1264" s="18"/>
      <c r="N1264" s="44"/>
    </row>
    <row r="1265" spans="1:14" ht="21" customHeight="1">
      <c r="A1265" s="18" t="s">
        <v>1181</v>
      </c>
      <c r="B1265" s="18" t="s">
        <v>428</v>
      </c>
      <c r="C1265" s="20">
        <v>71</v>
      </c>
      <c r="D1265" s="21" t="s">
        <v>368</v>
      </c>
      <c r="E1265" s="20">
        <v>0</v>
      </c>
      <c r="F1265" s="20">
        <f>ROUND(E1265*C1265,0)</f>
        <v>0</v>
      </c>
      <c r="G1265" s="20">
        <v>0</v>
      </c>
      <c r="H1265" s="20">
        <f>ROUND(G1265*C1265,0)</f>
        <v>0</v>
      </c>
      <c r="I1265" s="20">
        <v>2540.3764999999999</v>
      </c>
      <c r="J1265" s="20">
        <f>ROUND(I1265*C1265,0)</f>
        <v>180367</v>
      </c>
      <c r="K1265" s="20">
        <f t="shared" si="247"/>
        <v>2540.3764999999999</v>
      </c>
      <c r="L1265" s="20">
        <f t="shared" si="247"/>
        <v>180367</v>
      </c>
      <c r="M1265" s="18"/>
      <c r="N1265" s="44"/>
    </row>
    <row r="1266" spans="1:14" ht="21" customHeight="1">
      <c r="A1266" s="18" t="s">
        <v>1182</v>
      </c>
      <c r="B1266" s="18"/>
      <c r="C1266" s="19"/>
      <c r="D1266" s="19"/>
      <c r="E1266" s="19">
        <v>0</v>
      </c>
      <c r="F1266" s="19"/>
      <c r="G1266" s="19">
        <v>0</v>
      </c>
      <c r="H1266" s="19"/>
      <c r="I1266" s="19">
        <v>0</v>
      </c>
      <c r="J1266" s="19"/>
      <c r="K1266" s="19"/>
      <c r="L1266" s="19"/>
      <c r="M1266" s="19"/>
      <c r="N1266" s="44"/>
    </row>
    <row r="1267" spans="1:14" ht="21" customHeight="1">
      <c r="A1267" s="18" t="s">
        <v>438</v>
      </c>
      <c r="B1267" s="18" t="s">
        <v>439</v>
      </c>
      <c r="C1267" s="20">
        <v>4</v>
      </c>
      <c r="D1267" s="21" t="s">
        <v>440</v>
      </c>
      <c r="E1267" s="20">
        <v>359789.44</v>
      </c>
      <c r="F1267" s="20">
        <f>ROUND(E1267*C1267,0)</f>
        <v>1439158</v>
      </c>
      <c r="G1267" s="20">
        <v>0</v>
      </c>
      <c r="H1267" s="20">
        <f>ROUND(G1267*C1267,0)</f>
        <v>0</v>
      </c>
      <c r="I1267" s="20">
        <v>0</v>
      </c>
      <c r="J1267" s="20">
        <f>ROUND(I1267*C1267,0)</f>
        <v>0</v>
      </c>
      <c r="K1267" s="20">
        <f>E1267+G1267+I1267</f>
        <v>359789.44</v>
      </c>
      <c r="L1267" s="20">
        <f>F1267+H1267+J1267</f>
        <v>1439158</v>
      </c>
      <c r="M1267" s="18"/>
      <c r="N1267" s="44"/>
    </row>
    <row r="1268" spans="1:14" ht="21" customHeight="1">
      <c r="A1268" s="18" t="s">
        <v>1239</v>
      </c>
      <c r="B1268" s="18"/>
      <c r="C1268" s="19"/>
      <c r="D1268" s="19"/>
      <c r="E1268" s="19">
        <v>0</v>
      </c>
      <c r="F1268" s="19"/>
      <c r="G1268" s="19">
        <v>0</v>
      </c>
      <c r="H1268" s="19"/>
      <c r="I1268" s="19">
        <v>0</v>
      </c>
      <c r="J1268" s="19"/>
      <c r="K1268" s="19"/>
      <c r="L1268" s="19"/>
      <c r="M1268" s="19"/>
      <c r="N1268" s="44"/>
    </row>
    <row r="1269" spans="1:14" ht="21" customHeight="1">
      <c r="A1269" s="18" t="s">
        <v>396</v>
      </c>
      <c r="B1269" s="18" t="s">
        <v>824</v>
      </c>
      <c r="C1269" s="22">
        <v>1.0249999999999999</v>
      </c>
      <c r="D1269" s="21" t="s">
        <v>825</v>
      </c>
      <c r="E1269" s="20">
        <v>1038485.7598999999</v>
      </c>
      <c r="F1269" s="20">
        <f>ROUND(E1269*C1269,0)</f>
        <v>1064448</v>
      </c>
      <c r="G1269" s="20">
        <v>0</v>
      </c>
      <c r="H1269" s="20">
        <f>ROUND(G1269*C1269,0)</f>
        <v>0</v>
      </c>
      <c r="I1269" s="20">
        <v>0</v>
      </c>
      <c r="J1269" s="20">
        <f>ROUND(I1269*C1269,0)</f>
        <v>0</v>
      </c>
      <c r="K1269" s="20">
        <f>E1269+G1269+I1269</f>
        <v>1038485.7598999999</v>
      </c>
      <c r="L1269" s="20">
        <f>F1269+H1269+J1269</f>
        <v>1064448</v>
      </c>
      <c r="M1269" s="18"/>
      <c r="N1269" s="44"/>
    </row>
    <row r="1270" spans="1:14" ht="21" customHeight="1">
      <c r="A1270" s="18" t="s">
        <v>830</v>
      </c>
      <c r="B1270" s="18" t="s">
        <v>1240</v>
      </c>
      <c r="C1270" s="22">
        <v>0.182</v>
      </c>
      <c r="D1270" s="21" t="s">
        <v>825</v>
      </c>
      <c r="E1270" s="20">
        <v>1038523.9451</v>
      </c>
      <c r="F1270" s="20">
        <f>ROUND(E1270*C1270,0)</f>
        <v>189011</v>
      </c>
      <c r="G1270" s="20">
        <v>0</v>
      </c>
      <c r="H1270" s="20">
        <f>ROUND(G1270*C1270,0)</f>
        <v>0</v>
      </c>
      <c r="I1270" s="20">
        <v>0</v>
      </c>
      <c r="J1270" s="20">
        <f>ROUND(I1270*C1270,0)</f>
        <v>0</v>
      </c>
      <c r="K1270" s="20">
        <f>E1270+G1270+I1270</f>
        <v>1038523.9451</v>
      </c>
      <c r="L1270" s="20">
        <f>F1270+H1270+J1270</f>
        <v>189011</v>
      </c>
      <c r="M1270" s="18"/>
      <c r="N1270" s="44"/>
    </row>
    <row r="1271" spans="1:14" ht="21" customHeight="1">
      <c r="A1271" s="18"/>
      <c r="B1271" s="18"/>
      <c r="C1271" s="22"/>
      <c r="D1271" s="21"/>
      <c r="E1271" s="20"/>
      <c r="F1271" s="20"/>
      <c r="G1271" s="20"/>
      <c r="H1271" s="20"/>
      <c r="I1271" s="20"/>
      <c r="J1271" s="20"/>
      <c r="K1271" s="20"/>
      <c r="L1271" s="20"/>
      <c r="M1271" s="18"/>
      <c r="N1271" s="44"/>
    </row>
    <row r="1272" spans="1:14" ht="21" customHeight="1">
      <c r="A1272" s="14" t="s">
        <v>1241</v>
      </c>
      <c r="B1272" s="15"/>
      <c r="C1272" s="16"/>
      <c r="D1272" s="16"/>
      <c r="E1272" s="16"/>
      <c r="F1272" s="17">
        <f>SUM(F1274:F1342)</f>
        <v>484968879</v>
      </c>
      <c r="G1272" s="16"/>
      <c r="H1272" s="17">
        <f>SUM(H1274:H1342)</f>
        <v>109114579</v>
      </c>
      <c r="I1272" s="16"/>
      <c r="J1272" s="17">
        <f>SUM(J1274:J1342)</f>
        <v>112940694</v>
      </c>
      <c r="K1272" s="16"/>
      <c r="L1272" s="17">
        <f>F1272+H1272+J1272</f>
        <v>707024152</v>
      </c>
      <c r="M1272" s="16"/>
    </row>
    <row r="1273" spans="1:14" ht="21" customHeight="1">
      <c r="A1273" s="18" t="s">
        <v>1191</v>
      </c>
      <c r="B1273" s="18"/>
      <c r="C1273" s="19"/>
      <c r="D1273" s="19"/>
      <c r="E1273" s="19"/>
      <c r="F1273" s="19"/>
      <c r="G1273" s="19"/>
      <c r="H1273" s="19"/>
      <c r="I1273" s="19"/>
      <c r="J1273" s="19"/>
      <c r="K1273" s="19"/>
      <c r="L1273" s="19"/>
      <c r="M1273" s="19"/>
    </row>
    <row r="1274" spans="1:14" ht="21" customHeight="1">
      <c r="A1274" s="18" t="s">
        <v>655</v>
      </c>
      <c r="B1274" s="18" t="s">
        <v>656</v>
      </c>
      <c r="C1274" s="20">
        <v>3270</v>
      </c>
      <c r="D1274" s="21" t="s">
        <v>93</v>
      </c>
      <c r="E1274" s="20">
        <v>0</v>
      </c>
      <c r="F1274" s="20">
        <f t="shared" ref="F1274:F1280" si="248">ROUND(E1274*C1274,0)</f>
        <v>0</v>
      </c>
      <c r="G1274" s="20">
        <v>562.17099999999994</v>
      </c>
      <c r="H1274" s="20">
        <f t="shared" ref="H1274:H1280" si="249">ROUND(G1274*C1274,0)</f>
        <v>1838299</v>
      </c>
      <c r="I1274" s="20">
        <v>2945.5639000000001</v>
      </c>
      <c r="J1274" s="20">
        <f t="shared" ref="J1274:J1280" si="250">ROUND(I1274*C1274,0)</f>
        <v>9631994</v>
      </c>
      <c r="K1274" s="20">
        <f t="shared" ref="K1274:L1280" si="251">E1274+G1274+I1274</f>
        <v>3507.7348999999999</v>
      </c>
      <c r="L1274" s="20">
        <f t="shared" si="251"/>
        <v>11470293</v>
      </c>
      <c r="M1274" s="18"/>
      <c r="N1274" s="44"/>
    </row>
    <row r="1275" spans="1:14" ht="21" customHeight="1">
      <c r="A1275" s="18" t="s">
        <v>657</v>
      </c>
      <c r="B1275" s="18" t="s">
        <v>656</v>
      </c>
      <c r="C1275" s="20">
        <v>3270</v>
      </c>
      <c r="D1275" s="21" t="s">
        <v>93</v>
      </c>
      <c r="E1275" s="20">
        <v>0</v>
      </c>
      <c r="F1275" s="20">
        <f t="shared" si="248"/>
        <v>0</v>
      </c>
      <c r="G1275" s="20">
        <v>562.17099999999994</v>
      </c>
      <c r="H1275" s="20">
        <f t="shared" si="249"/>
        <v>1838299</v>
      </c>
      <c r="I1275" s="20">
        <v>2945.5639000000001</v>
      </c>
      <c r="J1275" s="20">
        <f t="shared" si="250"/>
        <v>9631994</v>
      </c>
      <c r="K1275" s="20">
        <f t="shared" si="251"/>
        <v>3507.7348999999999</v>
      </c>
      <c r="L1275" s="20">
        <f t="shared" si="251"/>
        <v>11470293</v>
      </c>
      <c r="M1275" s="18"/>
      <c r="N1275" s="44"/>
    </row>
    <row r="1276" spans="1:14" ht="21" customHeight="1">
      <c r="A1276" s="18" t="s">
        <v>658</v>
      </c>
      <c r="B1276" s="18" t="s">
        <v>659</v>
      </c>
      <c r="C1276" s="20">
        <v>3270</v>
      </c>
      <c r="D1276" s="21" t="s">
        <v>93</v>
      </c>
      <c r="E1276" s="20">
        <v>0</v>
      </c>
      <c r="F1276" s="20">
        <f t="shared" si="248"/>
        <v>0</v>
      </c>
      <c r="G1276" s="20">
        <v>1124.3419999999999</v>
      </c>
      <c r="H1276" s="20">
        <f t="shared" si="249"/>
        <v>3676598</v>
      </c>
      <c r="I1276" s="20">
        <v>3681.6896999999999</v>
      </c>
      <c r="J1276" s="20">
        <f t="shared" si="250"/>
        <v>12039125</v>
      </c>
      <c r="K1276" s="20">
        <f t="shared" si="251"/>
        <v>4806.0316999999995</v>
      </c>
      <c r="L1276" s="20">
        <f t="shared" si="251"/>
        <v>15715723</v>
      </c>
      <c r="M1276" s="18"/>
      <c r="N1276" s="44"/>
    </row>
    <row r="1277" spans="1:14" ht="21" customHeight="1">
      <c r="A1277" s="18" t="s">
        <v>660</v>
      </c>
      <c r="B1277" s="18" t="s">
        <v>661</v>
      </c>
      <c r="C1277" s="20">
        <v>3270</v>
      </c>
      <c r="D1277" s="21" t="s">
        <v>93</v>
      </c>
      <c r="E1277" s="20">
        <v>0</v>
      </c>
      <c r="F1277" s="20">
        <f t="shared" si="248"/>
        <v>0</v>
      </c>
      <c r="G1277" s="20">
        <v>0</v>
      </c>
      <c r="H1277" s="20">
        <f t="shared" si="249"/>
        <v>0</v>
      </c>
      <c r="I1277" s="20">
        <v>614.14530000000002</v>
      </c>
      <c r="J1277" s="20">
        <f t="shared" si="250"/>
        <v>2008255</v>
      </c>
      <c r="K1277" s="20">
        <f t="shared" si="251"/>
        <v>614.14530000000002</v>
      </c>
      <c r="L1277" s="20">
        <f t="shared" si="251"/>
        <v>2008255</v>
      </c>
      <c r="M1277" s="18"/>
      <c r="N1277" s="44"/>
    </row>
    <row r="1278" spans="1:14" ht="21" customHeight="1">
      <c r="A1278" s="18" t="s">
        <v>662</v>
      </c>
      <c r="B1278" s="18" t="s">
        <v>663</v>
      </c>
      <c r="C1278" s="20">
        <v>3270</v>
      </c>
      <c r="D1278" s="21" t="s">
        <v>93</v>
      </c>
      <c r="E1278" s="20">
        <v>0</v>
      </c>
      <c r="F1278" s="20">
        <f t="shared" si="248"/>
        <v>0</v>
      </c>
      <c r="G1278" s="20">
        <v>0</v>
      </c>
      <c r="H1278" s="20">
        <f t="shared" si="249"/>
        <v>0</v>
      </c>
      <c r="I1278" s="20">
        <v>614.14530000000002</v>
      </c>
      <c r="J1278" s="20">
        <f t="shared" si="250"/>
        <v>2008255</v>
      </c>
      <c r="K1278" s="20">
        <f t="shared" si="251"/>
        <v>614.14530000000002</v>
      </c>
      <c r="L1278" s="20">
        <f t="shared" si="251"/>
        <v>2008255</v>
      </c>
      <c r="M1278" s="18"/>
      <c r="N1278" s="44"/>
    </row>
    <row r="1279" spans="1:14" ht="21" customHeight="1">
      <c r="A1279" s="18" t="s">
        <v>664</v>
      </c>
      <c r="B1279" s="18" t="s">
        <v>665</v>
      </c>
      <c r="C1279" s="20">
        <v>6540</v>
      </c>
      <c r="D1279" s="21" t="s">
        <v>93</v>
      </c>
      <c r="E1279" s="20">
        <v>0</v>
      </c>
      <c r="F1279" s="20">
        <f t="shared" si="248"/>
        <v>0</v>
      </c>
      <c r="G1279" s="20">
        <v>0</v>
      </c>
      <c r="H1279" s="20">
        <f t="shared" si="249"/>
        <v>0</v>
      </c>
      <c r="I1279" s="20">
        <v>614.14530000000002</v>
      </c>
      <c r="J1279" s="20">
        <f t="shared" si="250"/>
        <v>4016510</v>
      </c>
      <c r="K1279" s="20">
        <f t="shared" si="251"/>
        <v>614.14530000000002</v>
      </c>
      <c r="L1279" s="20">
        <f t="shared" si="251"/>
        <v>4016510</v>
      </c>
      <c r="M1279" s="18"/>
      <c r="N1279" s="44"/>
    </row>
    <row r="1280" spans="1:14" ht="21" customHeight="1">
      <c r="A1280" s="18" t="s">
        <v>666</v>
      </c>
      <c r="B1280" s="18" t="s">
        <v>667</v>
      </c>
      <c r="C1280" s="20">
        <v>818</v>
      </c>
      <c r="D1280" s="21" t="s">
        <v>99</v>
      </c>
      <c r="E1280" s="20">
        <v>0</v>
      </c>
      <c r="F1280" s="20">
        <f t="shared" si="248"/>
        <v>0</v>
      </c>
      <c r="G1280" s="20">
        <v>1686.5129999999999</v>
      </c>
      <c r="H1280" s="20">
        <f t="shared" si="249"/>
        <v>1379568</v>
      </c>
      <c r="I1280" s="20">
        <v>5523.0649000000003</v>
      </c>
      <c r="J1280" s="20">
        <f t="shared" si="250"/>
        <v>4517867</v>
      </c>
      <c r="K1280" s="20">
        <f t="shared" si="251"/>
        <v>7209.5779000000002</v>
      </c>
      <c r="L1280" s="20">
        <f t="shared" si="251"/>
        <v>5897435</v>
      </c>
      <c r="M1280" s="18"/>
      <c r="N1280" s="44"/>
    </row>
    <row r="1281" spans="1:14" ht="21" customHeight="1">
      <c r="A1281" s="18" t="s">
        <v>668</v>
      </c>
      <c r="B1281" s="18"/>
      <c r="C1281" s="19"/>
      <c r="D1281" s="19"/>
      <c r="E1281" s="19">
        <v>0</v>
      </c>
      <c r="F1281" s="19"/>
      <c r="G1281" s="19">
        <v>0</v>
      </c>
      <c r="H1281" s="19"/>
      <c r="I1281" s="19">
        <v>0</v>
      </c>
      <c r="J1281" s="19"/>
      <c r="K1281" s="19"/>
      <c r="L1281" s="19"/>
      <c r="M1281" s="19"/>
      <c r="N1281" s="44"/>
    </row>
    <row r="1282" spans="1:14" ht="21" customHeight="1">
      <c r="A1282" s="18" t="s">
        <v>669</v>
      </c>
      <c r="B1282" s="18"/>
      <c r="C1282" s="19"/>
      <c r="D1282" s="19"/>
      <c r="E1282" s="19">
        <v>0</v>
      </c>
      <c r="F1282" s="19"/>
      <c r="G1282" s="19">
        <v>0</v>
      </c>
      <c r="H1282" s="19"/>
      <c r="I1282" s="19">
        <v>0</v>
      </c>
      <c r="J1282" s="19"/>
      <c r="K1282" s="19"/>
      <c r="L1282" s="19"/>
      <c r="M1282" s="19"/>
      <c r="N1282" s="44"/>
    </row>
    <row r="1283" spans="1:14" ht="21" customHeight="1">
      <c r="A1283" s="18" t="s">
        <v>670</v>
      </c>
      <c r="B1283" s="18" t="s">
        <v>671</v>
      </c>
      <c r="C1283" s="20">
        <v>1126</v>
      </c>
      <c r="D1283" s="21" t="s">
        <v>93</v>
      </c>
      <c r="E1283" s="20">
        <v>0</v>
      </c>
      <c r="F1283" s="20">
        <f>ROUND(E1283*C1283,0)</f>
        <v>0</v>
      </c>
      <c r="G1283" s="20">
        <v>16865.13</v>
      </c>
      <c r="H1283" s="20">
        <f>ROUND(G1283*C1283,0)</f>
        <v>18990136</v>
      </c>
      <c r="I1283" s="20">
        <v>3313.6268</v>
      </c>
      <c r="J1283" s="20">
        <f>ROUND(I1283*C1283,0)</f>
        <v>3731144</v>
      </c>
      <c r="K1283" s="20">
        <f>E1283+G1283+I1283</f>
        <v>20178.756800000003</v>
      </c>
      <c r="L1283" s="20">
        <f>F1283+H1283+J1283</f>
        <v>22721280</v>
      </c>
      <c r="M1283" s="18"/>
      <c r="N1283" s="44"/>
    </row>
    <row r="1284" spans="1:14" ht="21" customHeight="1">
      <c r="A1284" s="18" t="s">
        <v>672</v>
      </c>
      <c r="B1284" s="18" t="s">
        <v>673</v>
      </c>
      <c r="C1284" s="20">
        <v>113</v>
      </c>
      <c r="D1284" s="21" t="s">
        <v>99</v>
      </c>
      <c r="E1284" s="20">
        <v>0</v>
      </c>
      <c r="F1284" s="20">
        <f>ROUND(E1284*C1284,0)</f>
        <v>0</v>
      </c>
      <c r="G1284" s="20">
        <v>1686.5129999999999</v>
      </c>
      <c r="H1284" s="20">
        <f>ROUND(G1284*C1284,0)</f>
        <v>190576</v>
      </c>
      <c r="I1284" s="20">
        <v>5523.0649000000003</v>
      </c>
      <c r="J1284" s="20">
        <f>ROUND(I1284*C1284,0)</f>
        <v>624106</v>
      </c>
      <c r="K1284" s="20">
        <f>E1284+G1284+I1284</f>
        <v>7209.5779000000002</v>
      </c>
      <c r="L1284" s="20">
        <f>F1284+H1284+J1284</f>
        <v>814682</v>
      </c>
      <c r="M1284" s="18"/>
      <c r="N1284" s="44"/>
    </row>
    <row r="1285" spans="1:14" ht="21" customHeight="1">
      <c r="A1285" s="18" t="s">
        <v>674</v>
      </c>
      <c r="B1285" s="18"/>
      <c r="C1285" s="19"/>
      <c r="D1285" s="19"/>
      <c r="E1285" s="19">
        <v>0</v>
      </c>
      <c r="F1285" s="19"/>
      <c r="G1285" s="19">
        <v>0</v>
      </c>
      <c r="H1285" s="19"/>
      <c r="I1285" s="19">
        <v>0</v>
      </c>
      <c r="J1285" s="19"/>
      <c r="K1285" s="19"/>
      <c r="L1285" s="19"/>
      <c r="M1285" s="19"/>
      <c r="N1285" s="44"/>
    </row>
    <row r="1286" spans="1:14" ht="21" customHeight="1">
      <c r="A1286" s="18" t="s">
        <v>675</v>
      </c>
      <c r="B1286" s="18"/>
      <c r="C1286" s="19"/>
      <c r="D1286" s="19"/>
      <c r="E1286" s="19">
        <v>0</v>
      </c>
      <c r="F1286" s="19"/>
      <c r="G1286" s="19">
        <v>0</v>
      </c>
      <c r="H1286" s="19"/>
      <c r="I1286" s="19">
        <v>0</v>
      </c>
      <c r="J1286" s="19"/>
      <c r="K1286" s="19"/>
      <c r="L1286" s="19"/>
      <c r="M1286" s="19"/>
      <c r="N1286" s="44"/>
    </row>
    <row r="1287" spans="1:14" ht="21" customHeight="1">
      <c r="A1287" s="18" t="s">
        <v>676</v>
      </c>
      <c r="B1287" s="18" t="s">
        <v>677</v>
      </c>
      <c r="C1287" s="20">
        <v>184</v>
      </c>
      <c r="D1287" s="21" t="s">
        <v>93</v>
      </c>
      <c r="E1287" s="20">
        <v>0</v>
      </c>
      <c r="F1287" s="20">
        <f>ROUND(E1287*C1287,0)</f>
        <v>0</v>
      </c>
      <c r="G1287" s="20">
        <v>14616.446</v>
      </c>
      <c r="H1287" s="20">
        <f>ROUND(G1287*C1287,0)</f>
        <v>2689426</v>
      </c>
      <c r="I1287" s="20">
        <v>2785.3982000000001</v>
      </c>
      <c r="J1287" s="20">
        <f>ROUND(I1287*C1287,0)</f>
        <v>512513</v>
      </c>
      <c r="K1287" s="20">
        <f t="shared" ref="K1287:L1289" si="252">E1287+G1287+I1287</f>
        <v>17401.8442</v>
      </c>
      <c r="L1287" s="20">
        <f t="shared" si="252"/>
        <v>3201939</v>
      </c>
      <c r="M1287" s="18"/>
      <c r="N1287" s="44"/>
    </row>
    <row r="1288" spans="1:14" ht="21" customHeight="1">
      <c r="A1288" s="18" t="s">
        <v>678</v>
      </c>
      <c r="B1288" s="18" t="s">
        <v>677</v>
      </c>
      <c r="C1288" s="20">
        <v>11</v>
      </c>
      <c r="D1288" s="21" t="s">
        <v>93</v>
      </c>
      <c r="E1288" s="20">
        <v>0</v>
      </c>
      <c r="F1288" s="20">
        <f>ROUND(E1288*C1288,0)</f>
        <v>0</v>
      </c>
      <c r="G1288" s="20">
        <v>14616.446</v>
      </c>
      <c r="H1288" s="20">
        <f>ROUND(G1288*C1288,0)</f>
        <v>160781</v>
      </c>
      <c r="I1288" s="20">
        <v>2785.3982000000001</v>
      </c>
      <c r="J1288" s="20">
        <f>ROUND(I1288*C1288,0)</f>
        <v>30639</v>
      </c>
      <c r="K1288" s="20">
        <f t="shared" si="252"/>
        <v>17401.8442</v>
      </c>
      <c r="L1288" s="20">
        <f t="shared" si="252"/>
        <v>191420</v>
      </c>
      <c r="M1288" s="18"/>
      <c r="N1288" s="44"/>
    </row>
    <row r="1289" spans="1:14" ht="21" customHeight="1">
      <c r="A1289" s="18" t="s">
        <v>679</v>
      </c>
      <c r="B1289" s="18" t="s">
        <v>680</v>
      </c>
      <c r="C1289" s="20">
        <v>20</v>
      </c>
      <c r="D1289" s="21" t="s">
        <v>99</v>
      </c>
      <c r="E1289" s="20">
        <v>0</v>
      </c>
      <c r="F1289" s="20">
        <f>ROUND(E1289*C1289,0)</f>
        <v>0</v>
      </c>
      <c r="G1289" s="20">
        <v>1686.5129999999999</v>
      </c>
      <c r="H1289" s="20">
        <f>ROUND(G1289*C1289,0)</f>
        <v>33730</v>
      </c>
      <c r="I1289" s="20">
        <v>5523.0649000000003</v>
      </c>
      <c r="J1289" s="20">
        <f>ROUND(I1289*C1289,0)</f>
        <v>110461</v>
      </c>
      <c r="K1289" s="20">
        <f t="shared" si="252"/>
        <v>7209.5779000000002</v>
      </c>
      <c r="L1289" s="20">
        <f t="shared" si="252"/>
        <v>144191</v>
      </c>
      <c r="M1289" s="18"/>
      <c r="N1289" s="44"/>
    </row>
    <row r="1290" spans="1:14" ht="21" customHeight="1">
      <c r="A1290" s="18" t="s">
        <v>681</v>
      </c>
      <c r="B1290" s="18"/>
      <c r="C1290" s="19"/>
      <c r="D1290" s="19"/>
      <c r="E1290" s="19">
        <v>0</v>
      </c>
      <c r="F1290" s="19"/>
      <c r="G1290" s="19">
        <v>0</v>
      </c>
      <c r="H1290" s="19"/>
      <c r="I1290" s="19">
        <v>0</v>
      </c>
      <c r="J1290" s="19"/>
      <c r="K1290" s="19"/>
      <c r="L1290" s="19"/>
      <c r="M1290" s="19"/>
      <c r="N1290" s="44"/>
    </row>
    <row r="1291" spans="1:14" ht="21" customHeight="1">
      <c r="A1291" s="18" t="s">
        <v>682</v>
      </c>
      <c r="B1291" s="18" t="s">
        <v>683</v>
      </c>
      <c r="C1291" s="20">
        <v>1271</v>
      </c>
      <c r="D1291" s="21" t="s">
        <v>93</v>
      </c>
      <c r="E1291" s="20">
        <v>7308.223</v>
      </c>
      <c r="F1291" s="20">
        <f>ROUND(E1291*C1291,0)</f>
        <v>9288751</v>
      </c>
      <c r="G1291" s="20">
        <v>15740.788</v>
      </c>
      <c r="H1291" s="20">
        <f>ROUND(G1291*C1291,0)</f>
        <v>20006542</v>
      </c>
      <c r="I1291" s="20">
        <v>3681.6896999999999</v>
      </c>
      <c r="J1291" s="20">
        <f>ROUND(I1291*C1291,0)</f>
        <v>4679428</v>
      </c>
      <c r="K1291" s="20">
        <f>E1291+G1291+I1291</f>
        <v>26730.700699999998</v>
      </c>
      <c r="L1291" s="20">
        <f>F1291+H1291+J1291</f>
        <v>33974721</v>
      </c>
      <c r="M1291" s="18"/>
      <c r="N1291" s="44"/>
    </row>
    <row r="1292" spans="1:14" ht="21" customHeight="1">
      <c r="A1292" s="18" t="s">
        <v>1242</v>
      </c>
      <c r="B1292" s="18"/>
      <c r="C1292" s="19"/>
      <c r="D1292" s="19"/>
      <c r="E1292" s="19">
        <v>0</v>
      </c>
      <c r="F1292" s="19"/>
      <c r="G1292" s="19">
        <v>0</v>
      </c>
      <c r="H1292" s="19"/>
      <c r="I1292" s="19">
        <v>0</v>
      </c>
      <c r="J1292" s="19"/>
      <c r="K1292" s="19"/>
      <c r="L1292" s="19"/>
      <c r="M1292" s="19"/>
      <c r="N1292" s="44"/>
    </row>
    <row r="1293" spans="1:14" ht="21" customHeight="1">
      <c r="A1293" s="18" t="s">
        <v>703</v>
      </c>
      <c r="B1293" s="18"/>
      <c r="C1293" s="19"/>
      <c r="D1293" s="19"/>
      <c r="E1293" s="19">
        <v>0</v>
      </c>
      <c r="F1293" s="19"/>
      <c r="G1293" s="19">
        <v>0</v>
      </c>
      <c r="H1293" s="19"/>
      <c r="I1293" s="19">
        <v>0</v>
      </c>
      <c r="J1293" s="19"/>
      <c r="K1293" s="19"/>
      <c r="L1293" s="19"/>
      <c r="M1293" s="19"/>
      <c r="N1293" s="44"/>
    </row>
    <row r="1294" spans="1:14" ht="21" customHeight="1">
      <c r="A1294" s="18" t="s">
        <v>704</v>
      </c>
      <c r="B1294" s="18" t="s">
        <v>705</v>
      </c>
      <c r="C1294" s="20">
        <v>475</v>
      </c>
      <c r="D1294" s="21" t="s">
        <v>231</v>
      </c>
      <c r="E1294" s="20">
        <v>0</v>
      </c>
      <c r="F1294" s="20">
        <f>ROUND(E1294*C1294,0)</f>
        <v>0</v>
      </c>
      <c r="G1294" s="20">
        <v>15740.788</v>
      </c>
      <c r="H1294" s="20">
        <f>ROUND(G1294*C1294,0)</f>
        <v>7476874</v>
      </c>
      <c r="I1294" s="20">
        <v>5965.3768</v>
      </c>
      <c r="J1294" s="20">
        <f>ROUND(I1294*C1294,0)</f>
        <v>2833554</v>
      </c>
      <c r="K1294" s="20">
        <f t="shared" ref="K1294:L1296" si="253">E1294+G1294+I1294</f>
        <v>21706.164799999999</v>
      </c>
      <c r="L1294" s="20">
        <f t="shared" si="253"/>
        <v>10310428</v>
      </c>
      <c r="M1294" s="18"/>
      <c r="N1294" s="44"/>
    </row>
    <row r="1295" spans="1:14" ht="21" customHeight="1">
      <c r="A1295" s="18" t="s">
        <v>1193</v>
      </c>
      <c r="B1295" s="18" t="s">
        <v>709</v>
      </c>
      <c r="C1295" s="20">
        <v>9</v>
      </c>
      <c r="D1295" s="21" t="s">
        <v>231</v>
      </c>
      <c r="E1295" s="20">
        <v>0</v>
      </c>
      <c r="F1295" s="20">
        <f>ROUND(E1295*C1295,0)</f>
        <v>0</v>
      </c>
      <c r="G1295" s="20">
        <v>15740.788</v>
      </c>
      <c r="H1295" s="20">
        <f>ROUND(G1295*C1295,0)</f>
        <v>141667</v>
      </c>
      <c r="I1295" s="20">
        <v>5965.3768</v>
      </c>
      <c r="J1295" s="20">
        <f>ROUND(I1295*C1295,0)</f>
        <v>53688</v>
      </c>
      <c r="K1295" s="20">
        <f t="shared" si="253"/>
        <v>21706.164799999999</v>
      </c>
      <c r="L1295" s="20">
        <f t="shared" si="253"/>
        <v>195355</v>
      </c>
      <c r="M1295" s="18"/>
      <c r="N1295" s="44"/>
    </row>
    <row r="1296" spans="1:14" ht="21" customHeight="1">
      <c r="A1296" s="18" t="s">
        <v>1194</v>
      </c>
      <c r="B1296" s="18" t="s">
        <v>711</v>
      </c>
      <c r="C1296" s="20">
        <v>26</v>
      </c>
      <c r="D1296" s="21" t="s">
        <v>231</v>
      </c>
      <c r="E1296" s="20">
        <v>0</v>
      </c>
      <c r="F1296" s="20">
        <f>ROUND(E1296*C1296,0)</f>
        <v>0</v>
      </c>
      <c r="G1296" s="20">
        <v>15740.788</v>
      </c>
      <c r="H1296" s="20">
        <f>ROUND(G1296*C1296,0)</f>
        <v>409260</v>
      </c>
      <c r="I1296" s="20">
        <v>5965.3768</v>
      </c>
      <c r="J1296" s="20">
        <f>ROUND(I1296*C1296,0)</f>
        <v>155100</v>
      </c>
      <c r="K1296" s="20">
        <f t="shared" si="253"/>
        <v>21706.164799999999</v>
      </c>
      <c r="L1296" s="20">
        <f t="shared" si="253"/>
        <v>564360</v>
      </c>
      <c r="M1296" s="18"/>
      <c r="N1296" s="44"/>
    </row>
    <row r="1297" spans="1:14" ht="21" customHeight="1">
      <c r="A1297" s="18" t="s">
        <v>712</v>
      </c>
      <c r="B1297" s="18"/>
      <c r="C1297" s="19"/>
      <c r="D1297" s="19"/>
      <c r="E1297" s="19">
        <v>0</v>
      </c>
      <c r="F1297" s="19"/>
      <c r="G1297" s="19">
        <v>0</v>
      </c>
      <c r="H1297" s="19"/>
      <c r="I1297" s="19">
        <v>0</v>
      </c>
      <c r="J1297" s="19"/>
      <c r="K1297" s="19"/>
      <c r="L1297" s="19"/>
      <c r="M1297" s="19"/>
      <c r="N1297" s="44"/>
    </row>
    <row r="1298" spans="1:14" ht="21" customHeight="1">
      <c r="A1298" s="18" t="s">
        <v>713</v>
      </c>
      <c r="B1298" s="18" t="s">
        <v>714</v>
      </c>
      <c r="C1298" s="20">
        <v>220</v>
      </c>
      <c r="D1298" s="21" t="s">
        <v>231</v>
      </c>
      <c r="E1298" s="20">
        <v>0</v>
      </c>
      <c r="F1298" s="20">
        <f>ROUND(E1298*C1298,0)</f>
        <v>0</v>
      </c>
      <c r="G1298" s="20">
        <v>13492.103999999999</v>
      </c>
      <c r="H1298" s="20">
        <f>ROUND(G1298*C1298,0)</f>
        <v>2968263</v>
      </c>
      <c r="I1298" s="20">
        <v>4295.835</v>
      </c>
      <c r="J1298" s="20">
        <f>ROUND(I1298*C1298,0)</f>
        <v>945084</v>
      </c>
      <c r="K1298" s="20">
        <f>E1298+G1298+I1298</f>
        <v>17787.938999999998</v>
      </c>
      <c r="L1298" s="20">
        <f>F1298+H1298+J1298</f>
        <v>3913347</v>
      </c>
      <c r="M1298" s="18"/>
      <c r="N1298" s="44"/>
    </row>
    <row r="1299" spans="1:14" ht="21" customHeight="1">
      <c r="A1299" s="18" t="s">
        <v>1243</v>
      </c>
      <c r="B1299" s="18"/>
      <c r="C1299" s="19"/>
      <c r="D1299" s="19"/>
      <c r="E1299" s="19">
        <v>0</v>
      </c>
      <c r="F1299" s="19"/>
      <c r="G1299" s="19">
        <v>0</v>
      </c>
      <c r="H1299" s="19"/>
      <c r="I1299" s="19">
        <v>0</v>
      </c>
      <c r="J1299" s="19"/>
      <c r="K1299" s="19"/>
      <c r="L1299" s="19"/>
      <c r="M1299" s="19"/>
      <c r="N1299" s="44"/>
    </row>
    <row r="1300" spans="1:14" ht="21" customHeight="1">
      <c r="A1300" s="18" t="s">
        <v>1196</v>
      </c>
      <c r="B1300" s="18"/>
      <c r="C1300" s="20">
        <v>1350</v>
      </c>
      <c r="D1300" s="21" t="s">
        <v>950</v>
      </c>
      <c r="E1300" s="20">
        <v>0</v>
      </c>
      <c r="F1300" s="20">
        <f>ROUND(E1300*C1300,0)</f>
        <v>0</v>
      </c>
      <c r="G1300" s="20">
        <v>3373.0259999999998</v>
      </c>
      <c r="H1300" s="20">
        <f>ROUND(G1300*C1300,0)</f>
        <v>4553585</v>
      </c>
      <c r="I1300" s="20">
        <v>14113.674199999999</v>
      </c>
      <c r="J1300" s="20">
        <f>ROUND(I1300*C1300,0)</f>
        <v>19053460</v>
      </c>
      <c r="K1300" s="20">
        <f>E1300+G1300+I1300</f>
        <v>17486.700199999999</v>
      </c>
      <c r="L1300" s="20">
        <f>F1300+H1300+J1300</f>
        <v>23607045</v>
      </c>
      <c r="M1300" s="18"/>
      <c r="N1300" s="44"/>
    </row>
    <row r="1301" spans="1:14" ht="21" customHeight="1">
      <c r="A1301" s="18" t="s">
        <v>1244</v>
      </c>
      <c r="B1301" s="18"/>
      <c r="C1301" s="19"/>
      <c r="D1301" s="19"/>
      <c r="E1301" s="19">
        <v>0</v>
      </c>
      <c r="F1301" s="19"/>
      <c r="G1301" s="19">
        <v>0</v>
      </c>
      <c r="H1301" s="19"/>
      <c r="I1301" s="19">
        <v>0</v>
      </c>
      <c r="J1301" s="19"/>
      <c r="K1301" s="19"/>
      <c r="L1301" s="19"/>
      <c r="M1301" s="19"/>
      <c r="N1301" s="44"/>
    </row>
    <row r="1302" spans="1:14" ht="21" customHeight="1">
      <c r="A1302" s="18" t="s">
        <v>716</v>
      </c>
      <c r="B1302" s="18"/>
      <c r="C1302" s="19"/>
      <c r="D1302" s="19"/>
      <c r="E1302" s="19">
        <v>0</v>
      </c>
      <c r="F1302" s="19"/>
      <c r="G1302" s="19">
        <v>0</v>
      </c>
      <c r="H1302" s="19"/>
      <c r="I1302" s="19">
        <v>0</v>
      </c>
      <c r="J1302" s="19"/>
      <c r="K1302" s="19"/>
      <c r="L1302" s="19"/>
      <c r="M1302" s="19"/>
      <c r="N1302" s="44"/>
    </row>
    <row r="1303" spans="1:14" ht="21" customHeight="1">
      <c r="A1303" s="18" t="s">
        <v>1245</v>
      </c>
      <c r="B1303" s="18" t="s">
        <v>718</v>
      </c>
      <c r="C1303" s="20">
        <v>13</v>
      </c>
      <c r="D1303" s="21" t="s">
        <v>179</v>
      </c>
      <c r="E1303" s="20">
        <v>98942.096000000005</v>
      </c>
      <c r="F1303" s="20">
        <f>ROUND(E1303*C1303,0)</f>
        <v>1286247</v>
      </c>
      <c r="G1303" s="20">
        <v>56217.1</v>
      </c>
      <c r="H1303" s="20">
        <f>ROUND(G1303*C1303,0)</f>
        <v>730822</v>
      </c>
      <c r="I1303" s="20">
        <v>0</v>
      </c>
      <c r="J1303" s="20">
        <f>ROUND(I1303*C1303,0)</f>
        <v>0</v>
      </c>
      <c r="K1303" s="20">
        <f t="shared" ref="K1303:L1305" si="254">E1303+G1303+I1303</f>
        <v>155159.196</v>
      </c>
      <c r="L1303" s="20">
        <f t="shared" si="254"/>
        <v>2017069</v>
      </c>
      <c r="M1303" s="18"/>
      <c r="N1303" s="44"/>
    </row>
    <row r="1304" spans="1:14" ht="21" customHeight="1">
      <c r="A1304" s="18" t="s">
        <v>719</v>
      </c>
      <c r="B1304" s="18" t="s">
        <v>720</v>
      </c>
      <c r="C1304" s="20">
        <v>3</v>
      </c>
      <c r="D1304" s="21" t="s">
        <v>179</v>
      </c>
      <c r="E1304" s="20">
        <v>98942.096000000005</v>
      </c>
      <c r="F1304" s="20">
        <f>ROUND(E1304*C1304,0)</f>
        <v>296826</v>
      </c>
      <c r="G1304" s="20">
        <v>56217.1</v>
      </c>
      <c r="H1304" s="20">
        <f>ROUND(G1304*C1304,0)</f>
        <v>168651</v>
      </c>
      <c r="I1304" s="20">
        <v>0</v>
      </c>
      <c r="J1304" s="20">
        <f>ROUND(I1304*C1304,0)</f>
        <v>0</v>
      </c>
      <c r="K1304" s="20">
        <f t="shared" si="254"/>
        <v>155159.196</v>
      </c>
      <c r="L1304" s="20">
        <f t="shared" si="254"/>
        <v>465477</v>
      </c>
      <c r="M1304" s="18"/>
      <c r="N1304" s="44"/>
    </row>
    <row r="1305" spans="1:14" ht="21" customHeight="1">
      <c r="A1305" s="18" t="s">
        <v>1197</v>
      </c>
      <c r="B1305" s="18" t="s">
        <v>1198</v>
      </c>
      <c r="C1305" s="20">
        <v>7</v>
      </c>
      <c r="D1305" s="21" t="s">
        <v>179</v>
      </c>
      <c r="E1305" s="20">
        <v>98942.096000000005</v>
      </c>
      <c r="F1305" s="20">
        <f>ROUND(E1305*C1305,0)</f>
        <v>692595</v>
      </c>
      <c r="G1305" s="20">
        <v>56217.1</v>
      </c>
      <c r="H1305" s="20">
        <f>ROUND(G1305*C1305,0)</f>
        <v>393520</v>
      </c>
      <c r="I1305" s="20">
        <v>0</v>
      </c>
      <c r="J1305" s="20">
        <f>ROUND(I1305*C1305,0)</f>
        <v>0</v>
      </c>
      <c r="K1305" s="20">
        <f t="shared" si="254"/>
        <v>155159.196</v>
      </c>
      <c r="L1305" s="20">
        <f t="shared" si="254"/>
        <v>1086115</v>
      </c>
      <c r="M1305" s="18"/>
      <c r="N1305" s="44"/>
    </row>
    <row r="1306" spans="1:14" ht="21" customHeight="1">
      <c r="A1306" s="18" t="s">
        <v>732</v>
      </c>
      <c r="B1306" s="18"/>
      <c r="C1306" s="19"/>
      <c r="D1306" s="19"/>
      <c r="E1306" s="19">
        <v>0</v>
      </c>
      <c r="F1306" s="19"/>
      <c r="G1306" s="19">
        <v>0</v>
      </c>
      <c r="H1306" s="19"/>
      <c r="I1306" s="19">
        <v>0</v>
      </c>
      <c r="J1306" s="19"/>
      <c r="K1306" s="19"/>
      <c r="L1306" s="19"/>
      <c r="M1306" s="19"/>
      <c r="N1306" s="44"/>
    </row>
    <row r="1307" spans="1:14" ht="21" customHeight="1">
      <c r="A1307" s="18" t="s">
        <v>733</v>
      </c>
      <c r="B1307" s="18" t="s">
        <v>689</v>
      </c>
      <c r="C1307" s="20">
        <v>7</v>
      </c>
      <c r="D1307" s="21" t="s">
        <v>93</v>
      </c>
      <c r="E1307" s="20">
        <v>7308.223</v>
      </c>
      <c r="F1307" s="20">
        <f t="shared" ref="F1307:F1316" si="255">ROUND(E1307*C1307,0)</f>
        <v>51158</v>
      </c>
      <c r="G1307" s="20">
        <v>9556.9069999999992</v>
      </c>
      <c r="H1307" s="20">
        <f t="shared" ref="H1307:H1316" si="256">ROUND(G1307*C1307,0)</f>
        <v>66898</v>
      </c>
      <c r="I1307" s="20">
        <v>1227.2299</v>
      </c>
      <c r="J1307" s="20">
        <f t="shared" ref="J1307:J1316" si="257">ROUND(I1307*C1307,0)</f>
        <v>8591</v>
      </c>
      <c r="K1307" s="20">
        <f t="shared" ref="K1307:K1316" si="258">E1307+G1307+I1307</f>
        <v>18092.359899999996</v>
      </c>
      <c r="L1307" s="20">
        <f t="shared" ref="L1307:L1316" si="259">F1307+H1307+J1307</f>
        <v>126647</v>
      </c>
      <c r="M1307" s="18"/>
      <c r="N1307" s="44"/>
    </row>
    <row r="1308" spans="1:14" ht="21" customHeight="1">
      <c r="A1308" s="18" t="s">
        <v>734</v>
      </c>
      <c r="B1308" s="18" t="s">
        <v>736</v>
      </c>
      <c r="C1308" s="20">
        <v>16</v>
      </c>
      <c r="D1308" s="21" t="s">
        <v>93</v>
      </c>
      <c r="E1308" s="20">
        <v>7308.223</v>
      </c>
      <c r="F1308" s="20">
        <f t="shared" si="255"/>
        <v>116932</v>
      </c>
      <c r="G1308" s="20">
        <v>9556.9069999999992</v>
      </c>
      <c r="H1308" s="20">
        <f t="shared" si="256"/>
        <v>152911</v>
      </c>
      <c r="I1308" s="20">
        <v>1227.2299</v>
      </c>
      <c r="J1308" s="20">
        <f t="shared" si="257"/>
        <v>19636</v>
      </c>
      <c r="K1308" s="20">
        <f t="shared" si="258"/>
        <v>18092.359899999996</v>
      </c>
      <c r="L1308" s="20">
        <f t="shared" si="259"/>
        <v>289479</v>
      </c>
      <c r="M1308" s="18"/>
      <c r="N1308" s="44"/>
    </row>
    <row r="1309" spans="1:14" ht="21" customHeight="1">
      <c r="A1309" s="18" t="s">
        <v>735</v>
      </c>
      <c r="B1309" s="18" t="s">
        <v>691</v>
      </c>
      <c r="C1309" s="20">
        <v>260</v>
      </c>
      <c r="D1309" s="21" t="s">
        <v>93</v>
      </c>
      <c r="E1309" s="20">
        <v>7308.223</v>
      </c>
      <c r="F1309" s="20">
        <f t="shared" si="255"/>
        <v>1900138</v>
      </c>
      <c r="G1309" s="20">
        <v>9556.9069999999992</v>
      </c>
      <c r="H1309" s="20">
        <f t="shared" si="256"/>
        <v>2484796</v>
      </c>
      <c r="I1309" s="20">
        <v>1227.2299</v>
      </c>
      <c r="J1309" s="20">
        <f t="shared" si="257"/>
        <v>319080</v>
      </c>
      <c r="K1309" s="20">
        <f t="shared" si="258"/>
        <v>18092.359899999996</v>
      </c>
      <c r="L1309" s="20">
        <f t="shared" si="259"/>
        <v>4704014</v>
      </c>
      <c r="M1309" s="18"/>
      <c r="N1309" s="44"/>
    </row>
    <row r="1310" spans="1:14" ht="21" customHeight="1">
      <c r="A1310" s="18" t="s">
        <v>1246</v>
      </c>
      <c r="B1310" s="18" t="s">
        <v>1199</v>
      </c>
      <c r="C1310" s="20">
        <v>6</v>
      </c>
      <c r="D1310" s="21" t="s">
        <v>93</v>
      </c>
      <c r="E1310" s="20">
        <v>7308.223</v>
      </c>
      <c r="F1310" s="20">
        <f t="shared" si="255"/>
        <v>43849</v>
      </c>
      <c r="G1310" s="20">
        <v>9556.9069999999992</v>
      </c>
      <c r="H1310" s="20">
        <f t="shared" si="256"/>
        <v>57341</v>
      </c>
      <c r="I1310" s="20">
        <v>1227.2299</v>
      </c>
      <c r="J1310" s="20">
        <f t="shared" si="257"/>
        <v>7363</v>
      </c>
      <c r="K1310" s="20">
        <f t="shared" si="258"/>
        <v>18092.359899999996</v>
      </c>
      <c r="L1310" s="20">
        <f t="shared" si="259"/>
        <v>108553</v>
      </c>
      <c r="M1310" s="18"/>
      <c r="N1310" s="44"/>
    </row>
    <row r="1311" spans="1:14" ht="21" customHeight="1">
      <c r="A1311" s="18" t="s">
        <v>738</v>
      </c>
      <c r="B1311" s="18" t="s">
        <v>697</v>
      </c>
      <c r="C1311" s="20">
        <v>119</v>
      </c>
      <c r="D1311" s="21" t="s">
        <v>93</v>
      </c>
      <c r="E1311" s="20">
        <v>7308.223</v>
      </c>
      <c r="F1311" s="20">
        <f t="shared" si="255"/>
        <v>869679</v>
      </c>
      <c r="G1311" s="20">
        <v>9556.9069999999992</v>
      </c>
      <c r="H1311" s="20">
        <f t="shared" si="256"/>
        <v>1137272</v>
      </c>
      <c r="I1311" s="20">
        <v>1227.2299</v>
      </c>
      <c r="J1311" s="20">
        <f t="shared" si="257"/>
        <v>146040</v>
      </c>
      <c r="K1311" s="20">
        <f t="shared" si="258"/>
        <v>18092.359899999996</v>
      </c>
      <c r="L1311" s="20">
        <f t="shared" si="259"/>
        <v>2152991</v>
      </c>
      <c r="M1311" s="18"/>
      <c r="N1311" s="44"/>
    </row>
    <row r="1312" spans="1:14" ht="21" customHeight="1">
      <c r="A1312" s="18" t="s">
        <v>1247</v>
      </c>
      <c r="B1312" s="18" t="s">
        <v>699</v>
      </c>
      <c r="C1312" s="20">
        <v>36</v>
      </c>
      <c r="D1312" s="21" t="s">
        <v>93</v>
      </c>
      <c r="E1312" s="20">
        <v>7308.223</v>
      </c>
      <c r="F1312" s="20">
        <f t="shared" si="255"/>
        <v>263096</v>
      </c>
      <c r="G1312" s="20">
        <v>12367.762000000001</v>
      </c>
      <c r="H1312" s="20">
        <f t="shared" si="256"/>
        <v>445239</v>
      </c>
      <c r="I1312" s="20">
        <v>1227.2299</v>
      </c>
      <c r="J1312" s="20">
        <f t="shared" si="257"/>
        <v>44180</v>
      </c>
      <c r="K1312" s="20">
        <f t="shared" si="258"/>
        <v>20903.214899999999</v>
      </c>
      <c r="L1312" s="20">
        <f t="shared" si="259"/>
        <v>752515</v>
      </c>
      <c r="M1312" s="18"/>
      <c r="N1312" s="44"/>
    </row>
    <row r="1313" spans="1:14" ht="21" customHeight="1">
      <c r="A1313" s="18" t="s">
        <v>740</v>
      </c>
      <c r="B1313" s="18" t="s">
        <v>693</v>
      </c>
      <c r="C1313" s="20">
        <v>267</v>
      </c>
      <c r="D1313" s="21" t="s">
        <v>93</v>
      </c>
      <c r="E1313" s="20">
        <v>0</v>
      </c>
      <c r="F1313" s="20">
        <f t="shared" si="255"/>
        <v>0</v>
      </c>
      <c r="G1313" s="20">
        <v>5059.5389999999998</v>
      </c>
      <c r="H1313" s="20">
        <f t="shared" si="256"/>
        <v>1350897</v>
      </c>
      <c r="I1313" s="20">
        <v>0</v>
      </c>
      <c r="J1313" s="20">
        <f t="shared" si="257"/>
        <v>0</v>
      </c>
      <c r="K1313" s="20">
        <f t="shared" si="258"/>
        <v>5059.5389999999998</v>
      </c>
      <c r="L1313" s="20">
        <f t="shared" si="259"/>
        <v>1350897</v>
      </c>
      <c r="M1313" s="18"/>
      <c r="N1313" s="44"/>
    </row>
    <row r="1314" spans="1:14" ht="21" customHeight="1">
      <c r="A1314" s="18" t="s">
        <v>742</v>
      </c>
      <c r="B1314" s="18" t="s">
        <v>741</v>
      </c>
      <c r="C1314" s="20">
        <v>22</v>
      </c>
      <c r="D1314" s="21" t="s">
        <v>93</v>
      </c>
      <c r="E1314" s="20">
        <v>0</v>
      </c>
      <c r="F1314" s="20">
        <f t="shared" si="255"/>
        <v>0</v>
      </c>
      <c r="G1314" s="20">
        <v>5059.5389999999998</v>
      </c>
      <c r="H1314" s="20">
        <f t="shared" si="256"/>
        <v>111310</v>
      </c>
      <c r="I1314" s="20">
        <v>0</v>
      </c>
      <c r="J1314" s="20">
        <f t="shared" si="257"/>
        <v>0</v>
      </c>
      <c r="K1314" s="20">
        <f t="shared" si="258"/>
        <v>5059.5389999999998</v>
      </c>
      <c r="L1314" s="20">
        <f t="shared" si="259"/>
        <v>111310</v>
      </c>
      <c r="M1314" s="18"/>
      <c r="N1314" s="44"/>
    </row>
    <row r="1315" spans="1:14" ht="21" customHeight="1">
      <c r="A1315" s="18" t="s">
        <v>743</v>
      </c>
      <c r="B1315" s="18" t="s">
        <v>697</v>
      </c>
      <c r="C1315" s="20">
        <v>119</v>
      </c>
      <c r="D1315" s="21" t="s">
        <v>93</v>
      </c>
      <c r="E1315" s="20">
        <v>0</v>
      </c>
      <c r="F1315" s="20">
        <f t="shared" si="255"/>
        <v>0</v>
      </c>
      <c r="G1315" s="20">
        <v>5059.5389999999998</v>
      </c>
      <c r="H1315" s="20">
        <f t="shared" si="256"/>
        <v>602085</v>
      </c>
      <c r="I1315" s="20">
        <v>0</v>
      </c>
      <c r="J1315" s="20">
        <f t="shared" si="257"/>
        <v>0</v>
      </c>
      <c r="K1315" s="20">
        <f t="shared" si="258"/>
        <v>5059.5389999999998</v>
      </c>
      <c r="L1315" s="20">
        <f t="shared" si="259"/>
        <v>602085</v>
      </c>
      <c r="M1315" s="18"/>
      <c r="N1315" s="44"/>
    </row>
    <row r="1316" spans="1:14" ht="21" customHeight="1">
      <c r="A1316" s="18" t="s">
        <v>1248</v>
      </c>
      <c r="B1316" s="18" t="s">
        <v>699</v>
      </c>
      <c r="C1316" s="20">
        <v>36</v>
      </c>
      <c r="D1316" s="21" t="s">
        <v>93</v>
      </c>
      <c r="E1316" s="20">
        <v>0</v>
      </c>
      <c r="F1316" s="20">
        <f t="shared" si="255"/>
        <v>0</v>
      </c>
      <c r="G1316" s="20">
        <v>5059.5389999999998</v>
      </c>
      <c r="H1316" s="20">
        <f t="shared" si="256"/>
        <v>182143</v>
      </c>
      <c r="I1316" s="20">
        <v>0</v>
      </c>
      <c r="J1316" s="20">
        <f t="shared" si="257"/>
        <v>0</v>
      </c>
      <c r="K1316" s="20">
        <f t="shared" si="258"/>
        <v>5059.5389999999998</v>
      </c>
      <c r="L1316" s="20">
        <f t="shared" si="259"/>
        <v>182143</v>
      </c>
      <c r="M1316" s="18"/>
      <c r="N1316" s="44"/>
    </row>
    <row r="1317" spans="1:14" ht="21" customHeight="1">
      <c r="A1317" s="18" t="s">
        <v>744</v>
      </c>
      <c r="B1317" s="18"/>
      <c r="C1317" s="19"/>
      <c r="D1317" s="19"/>
      <c r="E1317" s="19">
        <v>0</v>
      </c>
      <c r="F1317" s="19"/>
      <c r="G1317" s="19">
        <v>0</v>
      </c>
      <c r="H1317" s="19"/>
      <c r="I1317" s="19">
        <v>0</v>
      </c>
      <c r="J1317" s="19"/>
      <c r="K1317" s="19"/>
      <c r="L1317" s="19"/>
      <c r="M1317" s="19"/>
      <c r="N1317" s="44"/>
    </row>
    <row r="1318" spans="1:14" ht="21" customHeight="1">
      <c r="A1318" s="18" t="s">
        <v>745</v>
      </c>
      <c r="B1318" s="18" t="s">
        <v>746</v>
      </c>
      <c r="C1318" s="20">
        <v>40</v>
      </c>
      <c r="D1318" s="21" t="s">
        <v>179</v>
      </c>
      <c r="E1318" s="20">
        <v>50595.39</v>
      </c>
      <c r="F1318" s="20">
        <f>ROUND(E1318*C1318,0)</f>
        <v>2023816</v>
      </c>
      <c r="G1318" s="20">
        <v>39351.97</v>
      </c>
      <c r="H1318" s="20">
        <f>ROUND(G1318*C1318,0)</f>
        <v>1574079</v>
      </c>
      <c r="I1318" s="20">
        <v>6136.1494999999995</v>
      </c>
      <c r="J1318" s="20">
        <f>ROUND(I1318*C1318,0)</f>
        <v>245446</v>
      </c>
      <c r="K1318" s="20">
        <f t="shared" ref="K1318:L1320" si="260">E1318+G1318+I1318</f>
        <v>96083.5095</v>
      </c>
      <c r="L1318" s="20">
        <f t="shared" si="260"/>
        <v>3843341</v>
      </c>
      <c r="M1318" s="18"/>
      <c r="N1318" s="44"/>
    </row>
    <row r="1319" spans="1:14" ht="21" customHeight="1">
      <c r="A1319" s="18" t="s">
        <v>1249</v>
      </c>
      <c r="B1319" s="18" t="s">
        <v>750</v>
      </c>
      <c r="C1319" s="20">
        <v>8</v>
      </c>
      <c r="D1319" s="21" t="s">
        <v>201</v>
      </c>
      <c r="E1319" s="20">
        <v>281085.5</v>
      </c>
      <c r="F1319" s="20">
        <f>ROUND(E1319*C1319,0)</f>
        <v>2248684</v>
      </c>
      <c r="G1319" s="20">
        <v>112434.2</v>
      </c>
      <c r="H1319" s="20">
        <f>ROUND(G1319*C1319,0)</f>
        <v>899474</v>
      </c>
      <c r="I1319" s="20">
        <v>61362.555699999997</v>
      </c>
      <c r="J1319" s="20">
        <f>ROUND(I1319*C1319,0)</f>
        <v>490900</v>
      </c>
      <c r="K1319" s="20">
        <f t="shared" si="260"/>
        <v>454882.25569999998</v>
      </c>
      <c r="L1319" s="20">
        <f t="shared" si="260"/>
        <v>3639058</v>
      </c>
      <c r="M1319" s="18"/>
      <c r="N1319" s="44"/>
    </row>
    <row r="1320" spans="1:14" ht="21" customHeight="1">
      <c r="A1320" s="18" t="s">
        <v>379</v>
      </c>
      <c r="B1320" s="18" t="s">
        <v>380</v>
      </c>
      <c r="C1320" s="20">
        <v>21</v>
      </c>
      <c r="D1320" s="21" t="s">
        <v>376</v>
      </c>
      <c r="E1320" s="20">
        <v>0</v>
      </c>
      <c r="F1320" s="20">
        <f>ROUND(E1320*C1320,0)</f>
        <v>0</v>
      </c>
      <c r="G1320" s="20">
        <v>0</v>
      </c>
      <c r="H1320" s="20">
        <f>ROUND(G1320*C1320,0)</f>
        <v>0</v>
      </c>
      <c r="I1320" s="20">
        <v>552263.0013</v>
      </c>
      <c r="J1320" s="20">
        <f>ROUND(I1320*C1320,0)</f>
        <v>11597523</v>
      </c>
      <c r="K1320" s="20">
        <f t="shared" si="260"/>
        <v>552263.0013</v>
      </c>
      <c r="L1320" s="20">
        <f t="shared" si="260"/>
        <v>11597523</v>
      </c>
      <c r="M1320" s="18"/>
      <c r="N1320" s="44"/>
    </row>
    <row r="1321" spans="1:14" ht="21" customHeight="1">
      <c r="A1321" s="18" t="s">
        <v>1202</v>
      </c>
      <c r="B1321" s="18" t="s">
        <v>952</v>
      </c>
      <c r="C1321" s="19"/>
      <c r="D1321" s="19"/>
      <c r="E1321" s="19">
        <v>0</v>
      </c>
      <c r="F1321" s="19"/>
      <c r="G1321" s="19">
        <v>0</v>
      </c>
      <c r="H1321" s="19"/>
      <c r="I1321" s="19">
        <v>0</v>
      </c>
      <c r="J1321" s="19"/>
      <c r="K1321" s="19"/>
      <c r="L1321" s="19"/>
      <c r="M1321" s="19"/>
      <c r="N1321" s="44"/>
    </row>
    <row r="1322" spans="1:14" ht="21" customHeight="1">
      <c r="A1322" s="18" t="s">
        <v>1203</v>
      </c>
      <c r="B1322" s="18" t="s">
        <v>1204</v>
      </c>
      <c r="C1322" s="20">
        <v>306</v>
      </c>
      <c r="D1322" s="21" t="s">
        <v>1111</v>
      </c>
      <c r="E1322" s="20">
        <v>331680.89</v>
      </c>
      <c r="F1322" s="20">
        <f>ROUND(E1322*C1322,0)</f>
        <v>101494352</v>
      </c>
      <c r="G1322" s="20">
        <v>61838.81</v>
      </c>
      <c r="H1322" s="20">
        <f>ROUND(G1322*C1322,0)</f>
        <v>18922676</v>
      </c>
      <c r="I1322" s="20">
        <v>34976.582499999997</v>
      </c>
      <c r="J1322" s="20">
        <f>ROUND(I1322*C1322,0)</f>
        <v>10702834</v>
      </c>
      <c r="K1322" s="20">
        <f>E1322+G1322+I1322</f>
        <v>428496.28250000003</v>
      </c>
      <c r="L1322" s="20">
        <f>F1322+H1322+J1322</f>
        <v>131119862</v>
      </c>
      <c r="M1322" s="18"/>
      <c r="N1322" s="44"/>
    </row>
    <row r="1323" spans="1:14" ht="21" customHeight="1">
      <c r="A1323" s="18" t="s">
        <v>1250</v>
      </c>
      <c r="B1323" s="18"/>
      <c r="C1323" s="19"/>
      <c r="D1323" s="19"/>
      <c r="E1323" s="19">
        <v>0</v>
      </c>
      <c r="F1323" s="19"/>
      <c r="G1323" s="19">
        <v>0</v>
      </c>
      <c r="H1323" s="19"/>
      <c r="I1323" s="19">
        <v>0</v>
      </c>
      <c r="J1323" s="19"/>
      <c r="K1323" s="19"/>
      <c r="L1323" s="19"/>
      <c r="M1323" s="19"/>
      <c r="N1323" s="44"/>
    </row>
    <row r="1324" spans="1:14" ht="21" customHeight="1">
      <c r="A1324" s="18" t="s">
        <v>1251</v>
      </c>
      <c r="B1324" s="18" t="s">
        <v>1252</v>
      </c>
      <c r="C1324" s="20">
        <v>218</v>
      </c>
      <c r="D1324" s="21" t="s">
        <v>1111</v>
      </c>
      <c r="E1324" s="20">
        <v>224868.4</v>
      </c>
      <c r="F1324" s="20">
        <f>ROUND(E1324*C1324,0)</f>
        <v>49021311</v>
      </c>
      <c r="G1324" s="20">
        <v>61838.81</v>
      </c>
      <c r="H1324" s="20">
        <f>ROUND(G1324*C1324,0)</f>
        <v>13480861</v>
      </c>
      <c r="I1324" s="20">
        <v>34976.582499999997</v>
      </c>
      <c r="J1324" s="20">
        <f>ROUND(I1324*C1324,0)</f>
        <v>7624895</v>
      </c>
      <c r="K1324" s="20">
        <f>E1324+G1324+I1324</f>
        <v>321683.79249999998</v>
      </c>
      <c r="L1324" s="20">
        <f>F1324+H1324+J1324</f>
        <v>70127067</v>
      </c>
      <c r="M1324" s="18"/>
      <c r="N1324" s="44"/>
    </row>
    <row r="1325" spans="1:14" ht="21" customHeight="1">
      <c r="A1325" s="18" t="s">
        <v>1253</v>
      </c>
      <c r="B1325" s="18"/>
      <c r="C1325" s="19"/>
      <c r="D1325" s="19"/>
      <c r="E1325" s="19">
        <v>0</v>
      </c>
      <c r="F1325" s="19"/>
      <c r="G1325" s="19">
        <v>0</v>
      </c>
      <c r="H1325" s="19"/>
      <c r="I1325" s="19">
        <v>0</v>
      </c>
      <c r="J1325" s="19"/>
      <c r="K1325" s="19"/>
      <c r="L1325" s="19"/>
      <c r="M1325" s="19"/>
      <c r="N1325" s="44"/>
    </row>
    <row r="1326" spans="1:14" ht="21" customHeight="1">
      <c r="A1326" s="18" t="s">
        <v>608</v>
      </c>
      <c r="B1326" s="18" t="s">
        <v>404</v>
      </c>
      <c r="C1326" s="20">
        <v>29</v>
      </c>
      <c r="D1326" s="21" t="s">
        <v>99</v>
      </c>
      <c r="E1326" s="20">
        <v>102675.76</v>
      </c>
      <c r="F1326" s="20">
        <f t="shared" ref="F1326:F1342" si="261">ROUND(E1326*C1326,0)</f>
        <v>2977597</v>
      </c>
      <c r="G1326" s="20">
        <v>0</v>
      </c>
      <c r="H1326" s="20">
        <f t="shared" ref="H1326:H1342" si="262">ROUND(G1326*C1326,0)</f>
        <v>0</v>
      </c>
      <c r="I1326" s="20">
        <v>0</v>
      </c>
      <c r="J1326" s="20">
        <f t="shared" ref="J1326:J1342" si="263">ROUND(I1326*C1326,0)</f>
        <v>0</v>
      </c>
      <c r="K1326" s="20">
        <f t="shared" ref="K1326:K1342" si="264">E1326+G1326+I1326</f>
        <v>102675.76</v>
      </c>
      <c r="L1326" s="20">
        <f t="shared" ref="L1326:L1342" si="265">F1326+H1326+J1326</f>
        <v>2977597</v>
      </c>
      <c r="M1326" s="18"/>
      <c r="N1326" s="44"/>
    </row>
    <row r="1327" spans="1:14" ht="21" customHeight="1">
      <c r="A1327" s="18" t="s">
        <v>753</v>
      </c>
      <c r="B1327" s="18" t="s">
        <v>754</v>
      </c>
      <c r="C1327" s="20">
        <v>48</v>
      </c>
      <c r="D1327" s="21" t="s">
        <v>99</v>
      </c>
      <c r="E1327" s="20">
        <v>100575.57399999999</v>
      </c>
      <c r="F1327" s="20">
        <f t="shared" si="261"/>
        <v>4827628</v>
      </c>
      <c r="G1327" s="20">
        <v>0</v>
      </c>
      <c r="H1327" s="20">
        <f t="shared" si="262"/>
        <v>0</v>
      </c>
      <c r="I1327" s="20">
        <v>0</v>
      </c>
      <c r="J1327" s="20">
        <f t="shared" si="263"/>
        <v>0</v>
      </c>
      <c r="K1327" s="20">
        <f t="shared" si="264"/>
        <v>100575.57399999999</v>
      </c>
      <c r="L1327" s="20">
        <f t="shared" si="265"/>
        <v>4827628</v>
      </c>
      <c r="M1327" s="18"/>
      <c r="N1327" s="44"/>
    </row>
    <row r="1328" spans="1:14" ht="21" customHeight="1">
      <c r="A1328" s="18" t="s">
        <v>755</v>
      </c>
      <c r="B1328" s="18" t="s">
        <v>375</v>
      </c>
      <c r="C1328" s="20">
        <v>5</v>
      </c>
      <c r="D1328" s="21" t="s">
        <v>376</v>
      </c>
      <c r="E1328" s="20">
        <v>6883.9430000000002</v>
      </c>
      <c r="F1328" s="20">
        <f t="shared" si="261"/>
        <v>34420</v>
      </c>
      <c r="G1328" s="20">
        <v>0</v>
      </c>
      <c r="H1328" s="20">
        <f t="shared" si="262"/>
        <v>0</v>
      </c>
      <c r="I1328" s="20">
        <v>0</v>
      </c>
      <c r="J1328" s="20">
        <f t="shared" si="263"/>
        <v>0</v>
      </c>
      <c r="K1328" s="20">
        <f t="shared" si="264"/>
        <v>6883.9430000000002</v>
      </c>
      <c r="L1328" s="20">
        <f t="shared" si="265"/>
        <v>34420</v>
      </c>
      <c r="M1328" s="18"/>
      <c r="N1328" s="44"/>
    </row>
    <row r="1329" spans="1:14" ht="21" customHeight="1">
      <c r="A1329" s="18" t="s">
        <v>756</v>
      </c>
      <c r="B1329" s="18" t="s">
        <v>383</v>
      </c>
      <c r="C1329" s="20">
        <v>45</v>
      </c>
      <c r="D1329" s="21" t="s">
        <v>99</v>
      </c>
      <c r="E1329" s="20">
        <v>29232.892</v>
      </c>
      <c r="F1329" s="20">
        <f t="shared" si="261"/>
        <v>1315480</v>
      </c>
      <c r="G1329" s="20">
        <v>0</v>
      </c>
      <c r="H1329" s="20">
        <f t="shared" si="262"/>
        <v>0</v>
      </c>
      <c r="I1329" s="20">
        <v>0</v>
      </c>
      <c r="J1329" s="20">
        <f t="shared" si="263"/>
        <v>0</v>
      </c>
      <c r="K1329" s="20">
        <f t="shared" si="264"/>
        <v>29232.892</v>
      </c>
      <c r="L1329" s="20">
        <f t="shared" si="265"/>
        <v>1315480</v>
      </c>
      <c r="M1329" s="18"/>
      <c r="N1329" s="44"/>
    </row>
    <row r="1330" spans="1:14" ht="21" customHeight="1">
      <c r="A1330" s="18" t="s">
        <v>757</v>
      </c>
      <c r="B1330" s="18" t="s">
        <v>615</v>
      </c>
      <c r="C1330" s="20">
        <v>1033</v>
      </c>
      <c r="D1330" s="21" t="s">
        <v>99</v>
      </c>
      <c r="E1330" s="20">
        <v>20238.155999999999</v>
      </c>
      <c r="F1330" s="20">
        <f t="shared" si="261"/>
        <v>20906015</v>
      </c>
      <c r="G1330" s="20">
        <v>0</v>
      </c>
      <c r="H1330" s="20">
        <f t="shared" si="262"/>
        <v>0</v>
      </c>
      <c r="I1330" s="20">
        <v>0</v>
      </c>
      <c r="J1330" s="20">
        <f t="shared" si="263"/>
        <v>0</v>
      </c>
      <c r="K1330" s="20">
        <f t="shared" si="264"/>
        <v>20238.155999999999</v>
      </c>
      <c r="L1330" s="20">
        <f t="shared" si="265"/>
        <v>20906015</v>
      </c>
      <c r="M1330" s="18"/>
      <c r="N1330" s="44"/>
    </row>
    <row r="1331" spans="1:14" ht="21" customHeight="1">
      <c r="A1331" s="18" t="s">
        <v>1205</v>
      </c>
      <c r="B1331" s="18" t="s">
        <v>762</v>
      </c>
      <c r="C1331" s="20">
        <v>12</v>
      </c>
      <c r="D1331" s="21" t="s">
        <v>763</v>
      </c>
      <c r="E1331" s="20">
        <v>281085.5</v>
      </c>
      <c r="F1331" s="20">
        <f t="shared" si="261"/>
        <v>3373026</v>
      </c>
      <c r="G1331" s="20">
        <v>0</v>
      </c>
      <c r="H1331" s="20">
        <f t="shared" si="262"/>
        <v>0</v>
      </c>
      <c r="I1331" s="20">
        <v>0</v>
      </c>
      <c r="J1331" s="20">
        <f t="shared" si="263"/>
        <v>0</v>
      </c>
      <c r="K1331" s="20">
        <f t="shared" si="264"/>
        <v>281085.5</v>
      </c>
      <c r="L1331" s="20">
        <f t="shared" si="265"/>
        <v>3373026</v>
      </c>
      <c r="M1331" s="18"/>
      <c r="N1331" s="44"/>
    </row>
    <row r="1332" spans="1:14" ht="21" customHeight="1">
      <c r="A1332" s="18" t="s">
        <v>1206</v>
      </c>
      <c r="B1332" s="18" t="s">
        <v>765</v>
      </c>
      <c r="C1332" s="20">
        <v>13</v>
      </c>
      <c r="D1332" s="21" t="s">
        <v>763</v>
      </c>
      <c r="E1332" s="20">
        <v>281085.5</v>
      </c>
      <c r="F1332" s="20">
        <f t="shared" si="261"/>
        <v>3654112</v>
      </c>
      <c r="G1332" s="20">
        <v>0</v>
      </c>
      <c r="H1332" s="20">
        <f t="shared" si="262"/>
        <v>0</v>
      </c>
      <c r="I1332" s="20">
        <v>0</v>
      </c>
      <c r="J1332" s="20">
        <f t="shared" si="263"/>
        <v>0</v>
      </c>
      <c r="K1332" s="20">
        <f t="shared" si="264"/>
        <v>281085.5</v>
      </c>
      <c r="L1332" s="20">
        <f t="shared" si="265"/>
        <v>3654112</v>
      </c>
      <c r="M1332" s="18"/>
      <c r="N1332" s="44"/>
    </row>
    <row r="1333" spans="1:14" ht="21" customHeight="1">
      <c r="A1333" s="18" t="s">
        <v>1207</v>
      </c>
      <c r="B1333" s="18" t="s">
        <v>767</v>
      </c>
      <c r="C1333" s="20">
        <v>543</v>
      </c>
      <c r="D1333" s="21" t="s">
        <v>391</v>
      </c>
      <c r="E1333" s="20">
        <v>117843.77</v>
      </c>
      <c r="F1333" s="20">
        <f t="shared" si="261"/>
        <v>63989167</v>
      </c>
      <c r="G1333" s="20">
        <v>0</v>
      </c>
      <c r="H1333" s="20">
        <f t="shared" si="262"/>
        <v>0</v>
      </c>
      <c r="I1333" s="20">
        <v>0</v>
      </c>
      <c r="J1333" s="20">
        <f t="shared" si="263"/>
        <v>0</v>
      </c>
      <c r="K1333" s="20">
        <f t="shared" si="264"/>
        <v>117843.77</v>
      </c>
      <c r="L1333" s="20">
        <f t="shared" si="265"/>
        <v>63989167</v>
      </c>
      <c r="M1333" s="18"/>
      <c r="N1333" s="44"/>
    </row>
    <row r="1334" spans="1:14" ht="21" customHeight="1">
      <c r="A1334" s="18" t="s">
        <v>1208</v>
      </c>
      <c r="B1334" s="18" t="s">
        <v>769</v>
      </c>
      <c r="C1334" s="20">
        <v>543</v>
      </c>
      <c r="D1334" s="21" t="s">
        <v>391</v>
      </c>
      <c r="E1334" s="20">
        <v>110843.15</v>
      </c>
      <c r="F1334" s="20">
        <f t="shared" si="261"/>
        <v>60187830</v>
      </c>
      <c r="G1334" s="20">
        <v>0</v>
      </c>
      <c r="H1334" s="20">
        <f t="shared" si="262"/>
        <v>0</v>
      </c>
      <c r="I1334" s="20">
        <v>0</v>
      </c>
      <c r="J1334" s="20">
        <f t="shared" si="263"/>
        <v>0</v>
      </c>
      <c r="K1334" s="20">
        <f t="shared" si="264"/>
        <v>110843.15</v>
      </c>
      <c r="L1334" s="20">
        <f t="shared" si="265"/>
        <v>60187830</v>
      </c>
      <c r="M1334" s="18"/>
      <c r="N1334" s="44"/>
    </row>
    <row r="1335" spans="1:14" ht="21" customHeight="1">
      <c r="A1335" s="18" t="s">
        <v>766</v>
      </c>
      <c r="B1335" s="18" t="s">
        <v>771</v>
      </c>
      <c r="C1335" s="20">
        <v>1161</v>
      </c>
      <c r="D1335" s="21" t="s">
        <v>391</v>
      </c>
      <c r="E1335" s="20">
        <v>106176.06999999999</v>
      </c>
      <c r="F1335" s="20">
        <f t="shared" si="261"/>
        <v>123270417</v>
      </c>
      <c r="G1335" s="20">
        <v>0</v>
      </c>
      <c r="H1335" s="20">
        <f t="shared" si="262"/>
        <v>0</v>
      </c>
      <c r="I1335" s="20">
        <v>0</v>
      </c>
      <c r="J1335" s="20">
        <f t="shared" si="263"/>
        <v>0</v>
      </c>
      <c r="K1335" s="20">
        <f t="shared" si="264"/>
        <v>106176.06999999999</v>
      </c>
      <c r="L1335" s="20">
        <f t="shared" si="265"/>
        <v>123270417</v>
      </c>
      <c r="M1335" s="18"/>
      <c r="N1335" s="44"/>
    </row>
    <row r="1336" spans="1:14" ht="21" customHeight="1">
      <c r="A1336" s="18" t="s">
        <v>1209</v>
      </c>
      <c r="B1336" s="18" t="s">
        <v>775</v>
      </c>
      <c r="C1336" s="20">
        <v>475</v>
      </c>
      <c r="D1336" s="21" t="s">
        <v>365</v>
      </c>
      <c r="E1336" s="20">
        <v>20238.155999999999</v>
      </c>
      <c r="F1336" s="20">
        <f t="shared" si="261"/>
        <v>9613124</v>
      </c>
      <c r="G1336" s="20">
        <v>0</v>
      </c>
      <c r="H1336" s="20">
        <f t="shared" si="262"/>
        <v>0</v>
      </c>
      <c r="I1336" s="20">
        <v>2172.3136</v>
      </c>
      <c r="J1336" s="20">
        <f t="shared" si="263"/>
        <v>1031849</v>
      </c>
      <c r="K1336" s="20">
        <f t="shared" si="264"/>
        <v>22410.4696</v>
      </c>
      <c r="L1336" s="20">
        <f t="shared" si="265"/>
        <v>10644973</v>
      </c>
      <c r="M1336" s="18"/>
      <c r="N1336" s="44"/>
    </row>
    <row r="1337" spans="1:14" ht="21" customHeight="1">
      <c r="A1337" s="18" t="s">
        <v>1210</v>
      </c>
      <c r="B1337" s="18" t="s">
        <v>779</v>
      </c>
      <c r="C1337" s="20">
        <v>9</v>
      </c>
      <c r="D1337" s="21" t="s">
        <v>365</v>
      </c>
      <c r="E1337" s="20">
        <v>32605.917999999998</v>
      </c>
      <c r="F1337" s="20">
        <f t="shared" si="261"/>
        <v>293453</v>
      </c>
      <c r="G1337" s="20">
        <v>0</v>
      </c>
      <c r="H1337" s="20">
        <f t="shared" si="262"/>
        <v>0</v>
      </c>
      <c r="I1337" s="20">
        <v>2172.3136</v>
      </c>
      <c r="J1337" s="20">
        <f t="shared" si="263"/>
        <v>19551</v>
      </c>
      <c r="K1337" s="20">
        <f t="shared" si="264"/>
        <v>34778.231599999999</v>
      </c>
      <c r="L1337" s="20">
        <f t="shared" si="265"/>
        <v>313004</v>
      </c>
      <c r="M1337" s="18"/>
      <c r="N1337" s="44"/>
    </row>
    <row r="1338" spans="1:14" ht="21" customHeight="1">
      <c r="A1338" s="18" t="s">
        <v>1211</v>
      </c>
      <c r="B1338" s="18" t="s">
        <v>781</v>
      </c>
      <c r="C1338" s="20">
        <v>26</v>
      </c>
      <c r="D1338" s="21" t="s">
        <v>365</v>
      </c>
      <c r="E1338" s="20">
        <v>19113.813999999998</v>
      </c>
      <c r="F1338" s="20">
        <f t="shared" si="261"/>
        <v>496959</v>
      </c>
      <c r="G1338" s="20">
        <v>0</v>
      </c>
      <c r="H1338" s="20">
        <f t="shared" si="262"/>
        <v>0</v>
      </c>
      <c r="I1338" s="20">
        <v>2172.3136</v>
      </c>
      <c r="J1338" s="20">
        <f t="shared" si="263"/>
        <v>56480</v>
      </c>
      <c r="K1338" s="20">
        <f t="shared" si="264"/>
        <v>21286.1276</v>
      </c>
      <c r="L1338" s="20">
        <f t="shared" si="265"/>
        <v>553439</v>
      </c>
      <c r="M1338" s="18"/>
      <c r="N1338" s="44"/>
    </row>
    <row r="1339" spans="1:14" ht="21" customHeight="1">
      <c r="A1339" s="18" t="s">
        <v>1212</v>
      </c>
      <c r="B1339" s="18" t="s">
        <v>783</v>
      </c>
      <c r="C1339" s="20">
        <v>220</v>
      </c>
      <c r="D1339" s="21" t="s">
        <v>365</v>
      </c>
      <c r="E1339" s="20">
        <v>9556.9069999999992</v>
      </c>
      <c r="F1339" s="20">
        <f t="shared" si="261"/>
        <v>2102520</v>
      </c>
      <c r="G1339" s="20">
        <v>0</v>
      </c>
      <c r="H1339" s="20">
        <f t="shared" si="262"/>
        <v>0</v>
      </c>
      <c r="I1339" s="20">
        <v>834.77089999999998</v>
      </c>
      <c r="J1339" s="20">
        <f t="shared" si="263"/>
        <v>183650</v>
      </c>
      <c r="K1339" s="20">
        <f t="shared" si="264"/>
        <v>10391.677899999999</v>
      </c>
      <c r="L1339" s="20">
        <f t="shared" si="265"/>
        <v>2286170</v>
      </c>
      <c r="M1339" s="18"/>
      <c r="N1339" s="44"/>
    </row>
    <row r="1340" spans="1:14" ht="21" customHeight="1">
      <c r="A1340" s="18" t="s">
        <v>1213</v>
      </c>
      <c r="B1340" s="18" t="s">
        <v>785</v>
      </c>
      <c r="C1340" s="20">
        <v>1126</v>
      </c>
      <c r="D1340" s="21" t="s">
        <v>93</v>
      </c>
      <c r="E1340" s="20">
        <v>15515.919599999999</v>
      </c>
      <c r="F1340" s="20">
        <f t="shared" si="261"/>
        <v>17470925</v>
      </c>
      <c r="G1340" s="20">
        <v>0</v>
      </c>
      <c r="H1340" s="20">
        <f t="shared" si="262"/>
        <v>0</v>
      </c>
      <c r="I1340" s="20">
        <v>2908.4393999999998</v>
      </c>
      <c r="J1340" s="20">
        <f t="shared" si="263"/>
        <v>3274903</v>
      </c>
      <c r="K1340" s="20">
        <f t="shared" si="264"/>
        <v>18424.359</v>
      </c>
      <c r="L1340" s="20">
        <f t="shared" si="265"/>
        <v>20745828</v>
      </c>
      <c r="M1340" s="18"/>
      <c r="N1340" s="44"/>
    </row>
    <row r="1341" spans="1:14" ht="21" customHeight="1">
      <c r="A1341" s="18" t="s">
        <v>1214</v>
      </c>
      <c r="B1341" s="18" t="s">
        <v>787</v>
      </c>
      <c r="C1341" s="20">
        <v>190</v>
      </c>
      <c r="D1341" s="21" t="s">
        <v>365</v>
      </c>
      <c r="E1341" s="20">
        <v>4272.4996000000001</v>
      </c>
      <c r="F1341" s="20">
        <f t="shared" si="261"/>
        <v>811775</v>
      </c>
      <c r="G1341" s="20">
        <v>0</v>
      </c>
      <c r="H1341" s="20">
        <f t="shared" si="262"/>
        <v>0</v>
      </c>
      <c r="I1341" s="20">
        <v>2908.4393999999998</v>
      </c>
      <c r="J1341" s="20">
        <f t="shared" si="263"/>
        <v>552603</v>
      </c>
      <c r="K1341" s="20">
        <f t="shared" si="264"/>
        <v>7180.9390000000003</v>
      </c>
      <c r="L1341" s="20">
        <f t="shared" si="265"/>
        <v>1364378</v>
      </c>
      <c r="M1341" s="18"/>
      <c r="N1341" s="44"/>
    </row>
    <row r="1342" spans="1:14" ht="21" customHeight="1">
      <c r="A1342" s="18" t="s">
        <v>1215</v>
      </c>
      <c r="B1342" s="18" t="s">
        <v>787</v>
      </c>
      <c r="C1342" s="20">
        <v>11</v>
      </c>
      <c r="D1342" s="21" t="s">
        <v>365</v>
      </c>
      <c r="E1342" s="20">
        <v>4272.4996000000001</v>
      </c>
      <c r="F1342" s="20">
        <f t="shared" si="261"/>
        <v>46997</v>
      </c>
      <c r="G1342" s="20">
        <v>0</v>
      </c>
      <c r="H1342" s="20">
        <f t="shared" si="262"/>
        <v>0</v>
      </c>
      <c r="I1342" s="20">
        <v>2908.4393999999998</v>
      </c>
      <c r="J1342" s="20">
        <f t="shared" si="263"/>
        <v>31993</v>
      </c>
      <c r="K1342" s="20">
        <f t="shared" si="264"/>
        <v>7180.9390000000003</v>
      </c>
      <c r="L1342" s="20">
        <f t="shared" si="265"/>
        <v>78990</v>
      </c>
      <c r="M1342" s="18"/>
      <c r="N1342" s="44"/>
    </row>
    <row r="1343" spans="1:14" ht="21" customHeight="1">
      <c r="A1343" s="18"/>
      <c r="B1343" s="18"/>
      <c r="C1343" s="20"/>
      <c r="D1343" s="21"/>
      <c r="E1343" s="20"/>
      <c r="F1343" s="20"/>
      <c r="G1343" s="20"/>
      <c r="H1343" s="20"/>
      <c r="I1343" s="20"/>
      <c r="J1343" s="20"/>
      <c r="K1343" s="20"/>
      <c r="L1343" s="20"/>
      <c r="M1343" s="18"/>
      <c r="N1343" s="44"/>
    </row>
    <row r="1344" spans="1:14" ht="21" customHeight="1">
      <c r="A1344" s="14" t="s">
        <v>1254</v>
      </c>
      <c r="B1344" s="15"/>
      <c r="C1344" s="16"/>
      <c r="D1344" s="16"/>
      <c r="E1344" s="16"/>
      <c r="F1344" s="17">
        <f>SUM(F1346:F1372)</f>
        <v>175596308</v>
      </c>
      <c r="G1344" s="16"/>
      <c r="H1344" s="17">
        <f>SUM(H1346:H1372)</f>
        <v>138024451</v>
      </c>
      <c r="I1344" s="16"/>
      <c r="J1344" s="17">
        <f>SUM(J1346:J1372)</f>
        <v>22452767</v>
      </c>
      <c r="K1344" s="16"/>
      <c r="L1344" s="17">
        <f>F1344+H1344+J1344</f>
        <v>336073526</v>
      </c>
      <c r="M1344" s="16"/>
    </row>
    <row r="1345" spans="1:14" ht="21" customHeight="1">
      <c r="A1345" s="18" t="s">
        <v>1217</v>
      </c>
      <c r="B1345" s="18" t="s">
        <v>1255</v>
      </c>
      <c r="C1345" s="19"/>
      <c r="D1345" s="19"/>
      <c r="E1345" s="19"/>
      <c r="F1345" s="19"/>
      <c r="G1345" s="19"/>
      <c r="H1345" s="19"/>
      <c r="I1345" s="19"/>
      <c r="J1345" s="19"/>
      <c r="K1345" s="19"/>
      <c r="L1345" s="19"/>
      <c r="M1345" s="19"/>
    </row>
    <row r="1346" spans="1:14" ht="21" customHeight="1">
      <c r="A1346" s="18" t="s">
        <v>791</v>
      </c>
      <c r="B1346" s="18" t="s">
        <v>344</v>
      </c>
      <c r="C1346" s="20">
        <v>507</v>
      </c>
      <c r="D1346" s="21" t="s">
        <v>99</v>
      </c>
      <c r="E1346" s="20">
        <v>0</v>
      </c>
      <c r="F1346" s="20">
        <f t="shared" ref="F1346:F1361" si="266">ROUND(E1346*C1346,0)</f>
        <v>0</v>
      </c>
      <c r="G1346" s="20">
        <v>15740.788</v>
      </c>
      <c r="H1346" s="20">
        <f t="shared" ref="H1346:H1361" si="267">ROUND(G1346*C1346,0)</f>
        <v>7980580</v>
      </c>
      <c r="I1346" s="20">
        <v>15094.8217</v>
      </c>
      <c r="J1346" s="20">
        <f t="shared" ref="J1346:J1361" si="268">ROUND(I1346*C1346,0)</f>
        <v>7653075</v>
      </c>
      <c r="K1346" s="20">
        <f t="shared" ref="K1346:K1361" si="269">E1346+G1346+I1346</f>
        <v>30835.609700000001</v>
      </c>
      <c r="L1346" s="20">
        <f t="shared" ref="L1346:L1361" si="270">F1346+H1346+J1346</f>
        <v>15633655</v>
      </c>
      <c r="M1346" s="18"/>
      <c r="N1346" s="44"/>
    </row>
    <row r="1347" spans="1:14" ht="21" customHeight="1">
      <c r="A1347" s="18" t="s">
        <v>792</v>
      </c>
      <c r="B1347" s="18" t="s">
        <v>247</v>
      </c>
      <c r="C1347" s="20">
        <v>71</v>
      </c>
      <c r="D1347" s="21" t="s">
        <v>99</v>
      </c>
      <c r="E1347" s="20">
        <v>0</v>
      </c>
      <c r="F1347" s="20">
        <f t="shared" si="266"/>
        <v>0</v>
      </c>
      <c r="G1347" s="20">
        <v>14616.446</v>
      </c>
      <c r="H1347" s="20">
        <f t="shared" si="267"/>
        <v>1037768</v>
      </c>
      <c r="I1347" s="20">
        <v>13499.528899999999</v>
      </c>
      <c r="J1347" s="20">
        <f t="shared" si="268"/>
        <v>958467</v>
      </c>
      <c r="K1347" s="20">
        <f t="shared" si="269"/>
        <v>28115.974900000001</v>
      </c>
      <c r="L1347" s="20">
        <f t="shared" si="270"/>
        <v>1996235</v>
      </c>
      <c r="M1347" s="18"/>
      <c r="N1347" s="44"/>
    </row>
    <row r="1348" spans="1:14" ht="21" customHeight="1">
      <c r="A1348" s="18" t="s">
        <v>793</v>
      </c>
      <c r="B1348" s="18" t="s">
        <v>794</v>
      </c>
      <c r="C1348" s="22">
        <v>43.957999999999998</v>
      </c>
      <c r="D1348" s="21" t="s">
        <v>629</v>
      </c>
      <c r="E1348" s="20">
        <v>84325.65</v>
      </c>
      <c r="F1348" s="20">
        <f t="shared" si="266"/>
        <v>3706787</v>
      </c>
      <c r="G1348" s="20">
        <v>618388.1</v>
      </c>
      <c r="H1348" s="20">
        <f t="shared" si="267"/>
        <v>27183104</v>
      </c>
      <c r="I1348" s="20">
        <v>104316.6629</v>
      </c>
      <c r="J1348" s="20">
        <f t="shared" si="268"/>
        <v>4585552</v>
      </c>
      <c r="K1348" s="20">
        <f t="shared" si="269"/>
        <v>807030.4129</v>
      </c>
      <c r="L1348" s="20">
        <f t="shared" si="270"/>
        <v>35475443</v>
      </c>
      <c r="M1348" s="18"/>
      <c r="N1348" s="44"/>
    </row>
    <row r="1349" spans="1:14" ht="21" customHeight="1">
      <c r="A1349" s="18" t="s">
        <v>795</v>
      </c>
      <c r="B1349" s="18" t="s">
        <v>796</v>
      </c>
      <c r="C1349" s="20">
        <v>845</v>
      </c>
      <c r="D1349" s="21" t="s">
        <v>93</v>
      </c>
      <c r="E1349" s="20">
        <v>5959.0126</v>
      </c>
      <c r="F1349" s="20">
        <f t="shared" si="266"/>
        <v>5035366</v>
      </c>
      <c r="G1349" s="20">
        <v>20238.155999999999</v>
      </c>
      <c r="H1349" s="20">
        <f t="shared" si="267"/>
        <v>17101242</v>
      </c>
      <c r="I1349" s="20">
        <v>2454.4598000000001</v>
      </c>
      <c r="J1349" s="20">
        <f t="shared" si="268"/>
        <v>2074019</v>
      </c>
      <c r="K1349" s="20">
        <f t="shared" si="269"/>
        <v>28651.628399999998</v>
      </c>
      <c r="L1349" s="20">
        <f t="shared" si="270"/>
        <v>24210627</v>
      </c>
      <c r="M1349" s="18"/>
      <c r="N1349" s="44"/>
    </row>
    <row r="1350" spans="1:14" ht="21" customHeight="1">
      <c r="A1350" s="18" t="s">
        <v>797</v>
      </c>
      <c r="B1350" s="18" t="s">
        <v>472</v>
      </c>
      <c r="C1350" s="20">
        <v>1267</v>
      </c>
      <c r="D1350" s="21" t="s">
        <v>93</v>
      </c>
      <c r="E1350" s="20">
        <v>10681.249</v>
      </c>
      <c r="F1350" s="20">
        <f t="shared" si="266"/>
        <v>13533142</v>
      </c>
      <c r="G1350" s="20">
        <v>35978.943999999996</v>
      </c>
      <c r="H1350" s="20">
        <f t="shared" si="267"/>
        <v>45585322</v>
      </c>
      <c r="I1350" s="20">
        <v>2454.4598000000001</v>
      </c>
      <c r="J1350" s="20">
        <f t="shared" si="268"/>
        <v>3109801</v>
      </c>
      <c r="K1350" s="20">
        <f t="shared" si="269"/>
        <v>49114.652799999996</v>
      </c>
      <c r="L1350" s="20">
        <f t="shared" si="270"/>
        <v>62228265</v>
      </c>
      <c r="M1350" s="18"/>
      <c r="N1350" s="44"/>
    </row>
    <row r="1351" spans="1:14" ht="21" customHeight="1">
      <c r="A1351" s="18" t="s">
        <v>798</v>
      </c>
      <c r="B1351" s="18" t="s">
        <v>249</v>
      </c>
      <c r="C1351" s="20">
        <v>43</v>
      </c>
      <c r="D1351" s="21" t="s">
        <v>93</v>
      </c>
      <c r="E1351" s="20">
        <v>8432.5650000000005</v>
      </c>
      <c r="F1351" s="20">
        <f t="shared" si="266"/>
        <v>362600</v>
      </c>
      <c r="G1351" s="20">
        <v>22486.84</v>
      </c>
      <c r="H1351" s="20">
        <f t="shared" si="267"/>
        <v>966934</v>
      </c>
      <c r="I1351" s="20">
        <v>4295.835</v>
      </c>
      <c r="J1351" s="20">
        <f t="shared" si="268"/>
        <v>184721</v>
      </c>
      <c r="K1351" s="20">
        <f t="shared" si="269"/>
        <v>35215.24</v>
      </c>
      <c r="L1351" s="20">
        <f t="shared" si="270"/>
        <v>1514255</v>
      </c>
      <c r="M1351" s="18"/>
      <c r="N1351" s="44"/>
    </row>
    <row r="1352" spans="1:14" ht="21" customHeight="1">
      <c r="A1352" s="18" t="s">
        <v>799</v>
      </c>
      <c r="B1352" s="18" t="s">
        <v>800</v>
      </c>
      <c r="C1352" s="20">
        <v>688</v>
      </c>
      <c r="D1352" s="21" t="s">
        <v>93</v>
      </c>
      <c r="E1352" s="20">
        <v>5059.5389999999998</v>
      </c>
      <c r="F1352" s="20">
        <f t="shared" si="266"/>
        <v>3480963</v>
      </c>
      <c r="G1352" s="20">
        <v>13492.103999999999</v>
      </c>
      <c r="H1352" s="20">
        <f t="shared" si="267"/>
        <v>9282568</v>
      </c>
      <c r="I1352" s="20">
        <v>2454.4598000000001</v>
      </c>
      <c r="J1352" s="20">
        <f t="shared" si="268"/>
        <v>1688668</v>
      </c>
      <c r="K1352" s="20">
        <f t="shared" si="269"/>
        <v>21006.102800000001</v>
      </c>
      <c r="L1352" s="20">
        <f t="shared" si="270"/>
        <v>14452199</v>
      </c>
      <c r="M1352" s="18"/>
      <c r="N1352" s="44"/>
    </row>
    <row r="1353" spans="1:14" ht="21" customHeight="1">
      <c r="A1353" s="18" t="s">
        <v>801</v>
      </c>
      <c r="B1353" s="18" t="s">
        <v>802</v>
      </c>
      <c r="C1353" s="20">
        <v>5040</v>
      </c>
      <c r="D1353" s="21" t="s">
        <v>93</v>
      </c>
      <c r="E1353" s="20">
        <v>562.17099999999994</v>
      </c>
      <c r="F1353" s="20">
        <f t="shared" si="266"/>
        <v>2833342</v>
      </c>
      <c r="G1353" s="20">
        <v>1124.3419999999999</v>
      </c>
      <c r="H1353" s="20">
        <f t="shared" si="267"/>
        <v>5666684</v>
      </c>
      <c r="I1353" s="20">
        <v>0</v>
      </c>
      <c r="J1353" s="20">
        <f t="shared" si="268"/>
        <v>0</v>
      </c>
      <c r="K1353" s="20">
        <f t="shared" si="269"/>
        <v>1686.5129999999999</v>
      </c>
      <c r="L1353" s="20">
        <f t="shared" si="270"/>
        <v>8500026</v>
      </c>
      <c r="M1353" s="18"/>
      <c r="N1353" s="44"/>
    </row>
    <row r="1354" spans="1:14" ht="21" customHeight="1">
      <c r="A1354" s="18" t="s">
        <v>803</v>
      </c>
      <c r="B1354" s="18" t="s">
        <v>804</v>
      </c>
      <c r="C1354" s="20">
        <v>4362</v>
      </c>
      <c r="D1354" s="21" t="s">
        <v>93</v>
      </c>
      <c r="E1354" s="20">
        <v>562.17099999999994</v>
      </c>
      <c r="F1354" s="20">
        <f t="shared" si="266"/>
        <v>2452190</v>
      </c>
      <c r="G1354" s="20">
        <v>1124.3419999999999</v>
      </c>
      <c r="H1354" s="20">
        <f t="shared" si="267"/>
        <v>4904380</v>
      </c>
      <c r="I1354" s="20">
        <v>0</v>
      </c>
      <c r="J1354" s="20">
        <f t="shared" si="268"/>
        <v>0</v>
      </c>
      <c r="K1354" s="20">
        <f t="shared" si="269"/>
        <v>1686.5129999999999</v>
      </c>
      <c r="L1354" s="20">
        <f t="shared" si="270"/>
        <v>7356570</v>
      </c>
      <c r="M1354" s="18"/>
      <c r="N1354" s="44"/>
    </row>
    <row r="1355" spans="1:14" ht="21" customHeight="1">
      <c r="A1355" s="18" t="s">
        <v>805</v>
      </c>
      <c r="B1355" s="18" t="s">
        <v>806</v>
      </c>
      <c r="C1355" s="20">
        <v>33</v>
      </c>
      <c r="D1355" s="21" t="s">
        <v>231</v>
      </c>
      <c r="E1355" s="20">
        <v>11243.42</v>
      </c>
      <c r="F1355" s="20">
        <f t="shared" si="266"/>
        <v>371033</v>
      </c>
      <c r="G1355" s="20">
        <v>5846.5783999999994</v>
      </c>
      <c r="H1355" s="20">
        <f t="shared" si="267"/>
        <v>192937</v>
      </c>
      <c r="I1355" s="20">
        <v>0</v>
      </c>
      <c r="J1355" s="20">
        <f t="shared" si="268"/>
        <v>0</v>
      </c>
      <c r="K1355" s="20">
        <f t="shared" si="269"/>
        <v>17089.9984</v>
      </c>
      <c r="L1355" s="20">
        <f t="shared" si="270"/>
        <v>563970</v>
      </c>
      <c r="M1355" s="18"/>
      <c r="N1355" s="44"/>
    </row>
    <row r="1356" spans="1:14" ht="21" customHeight="1">
      <c r="A1356" s="18" t="s">
        <v>807</v>
      </c>
      <c r="B1356" s="18" t="s">
        <v>808</v>
      </c>
      <c r="C1356" s="20">
        <v>681</v>
      </c>
      <c r="D1356" s="21" t="s">
        <v>93</v>
      </c>
      <c r="E1356" s="20">
        <v>5160.3054999999995</v>
      </c>
      <c r="F1356" s="20">
        <f t="shared" si="266"/>
        <v>3514168</v>
      </c>
      <c r="G1356" s="20">
        <v>10343.946399999999</v>
      </c>
      <c r="H1356" s="20">
        <f t="shared" si="267"/>
        <v>7044227</v>
      </c>
      <c r="I1356" s="20">
        <v>736.12580000000003</v>
      </c>
      <c r="J1356" s="20">
        <f t="shared" si="268"/>
        <v>501302</v>
      </c>
      <c r="K1356" s="20">
        <f t="shared" si="269"/>
        <v>16240.377699999999</v>
      </c>
      <c r="L1356" s="20">
        <f t="shared" si="270"/>
        <v>11059697</v>
      </c>
      <c r="M1356" s="18"/>
      <c r="N1356" s="44"/>
    </row>
    <row r="1357" spans="1:14" ht="21" customHeight="1">
      <c r="A1357" s="18" t="s">
        <v>809</v>
      </c>
      <c r="B1357" s="18"/>
      <c r="C1357" s="20">
        <v>681</v>
      </c>
      <c r="D1357" s="21" t="s">
        <v>93</v>
      </c>
      <c r="E1357" s="20">
        <v>1349.2103999999999</v>
      </c>
      <c r="F1357" s="20">
        <f t="shared" si="266"/>
        <v>918812</v>
      </c>
      <c r="G1357" s="20">
        <v>1124.3419999999999</v>
      </c>
      <c r="H1357" s="20">
        <f t="shared" si="267"/>
        <v>765677</v>
      </c>
      <c r="I1357" s="20">
        <v>0</v>
      </c>
      <c r="J1357" s="20">
        <f t="shared" si="268"/>
        <v>0</v>
      </c>
      <c r="K1357" s="20">
        <f t="shared" si="269"/>
        <v>2473.5523999999996</v>
      </c>
      <c r="L1357" s="20">
        <f t="shared" si="270"/>
        <v>1684489</v>
      </c>
      <c r="M1357" s="18"/>
      <c r="N1357" s="44"/>
    </row>
    <row r="1358" spans="1:14" ht="21" customHeight="1">
      <c r="A1358" s="18" t="s">
        <v>810</v>
      </c>
      <c r="B1358" s="18" t="s">
        <v>811</v>
      </c>
      <c r="C1358" s="20">
        <v>76</v>
      </c>
      <c r="D1358" s="21" t="s">
        <v>93</v>
      </c>
      <c r="E1358" s="20">
        <v>14054.275</v>
      </c>
      <c r="F1358" s="20">
        <f t="shared" si="266"/>
        <v>1068125</v>
      </c>
      <c r="G1358" s="20">
        <v>11243.42</v>
      </c>
      <c r="H1358" s="20">
        <f t="shared" si="267"/>
        <v>854500</v>
      </c>
      <c r="I1358" s="20">
        <v>0</v>
      </c>
      <c r="J1358" s="20">
        <f t="shared" si="268"/>
        <v>0</v>
      </c>
      <c r="K1358" s="20">
        <f t="shared" si="269"/>
        <v>25297.695</v>
      </c>
      <c r="L1358" s="20">
        <f t="shared" si="270"/>
        <v>1922625</v>
      </c>
      <c r="M1358" s="18"/>
      <c r="N1358" s="44"/>
    </row>
    <row r="1359" spans="1:14" ht="21" customHeight="1">
      <c r="A1359" s="18" t="s">
        <v>812</v>
      </c>
      <c r="B1359" s="18" t="s">
        <v>813</v>
      </c>
      <c r="C1359" s="20">
        <v>1561</v>
      </c>
      <c r="D1359" s="21" t="s">
        <v>365</v>
      </c>
      <c r="E1359" s="20">
        <v>14391.577600000001</v>
      </c>
      <c r="F1359" s="20">
        <f t="shared" si="266"/>
        <v>22465253</v>
      </c>
      <c r="G1359" s="20">
        <v>2810.855</v>
      </c>
      <c r="H1359" s="20">
        <f t="shared" si="267"/>
        <v>4387745</v>
      </c>
      <c r="I1359" s="20">
        <v>0</v>
      </c>
      <c r="J1359" s="20">
        <f t="shared" si="268"/>
        <v>0</v>
      </c>
      <c r="K1359" s="20">
        <f t="shared" si="269"/>
        <v>17202.4326</v>
      </c>
      <c r="L1359" s="20">
        <f t="shared" si="270"/>
        <v>26852998</v>
      </c>
      <c r="M1359" s="18"/>
      <c r="N1359" s="44"/>
    </row>
    <row r="1360" spans="1:14" ht="21" customHeight="1">
      <c r="A1360" s="18" t="s">
        <v>814</v>
      </c>
      <c r="B1360" s="18" t="s">
        <v>815</v>
      </c>
      <c r="C1360" s="20">
        <v>635</v>
      </c>
      <c r="D1360" s="21" t="s">
        <v>231</v>
      </c>
      <c r="E1360" s="20">
        <v>3597.8944000000001</v>
      </c>
      <c r="F1360" s="20">
        <f t="shared" si="266"/>
        <v>2284663</v>
      </c>
      <c r="G1360" s="20">
        <v>7308.223</v>
      </c>
      <c r="H1360" s="20">
        <f t="shared" si="267"/>
        <v>4640722</v>
      </c>
      <c r="I1360" s="20">
        <v>0</v>
      </c>
      <c r="J1360" s="20">
        <f t="shared" si="268"/>
        <v>0</v>
      </c>
      <c r="K1360" s="20">
        <f t="shared" si="269"/>
        <v>10906.117399999999</v>
      </c>
      <c r="L1360" s="20">
        <f t="shared" si="270"/>
        <v>6925385</v>
      </c>
      <c r="M1360" s="18"/>
      <c r="N1360" s="44"/>
    </row>
    <row r="1361" spans="1:14" ht="21" customHeight="1">
      <c r="A1361" s="18" t="s">
        <v>816</v>
      </c>
      <c r="B1361" s="18" t="s">
        <v>817</v>
      </c>
      <c r="C1361" s="20">
        <v>153</v>
      </c>
      <c r="D1361" s="21" t="s">
        <v>99</v>
      </c>
      <c r="E1361" s="20">
        <v>0</v>
      </c>
      <c r="F1361" s="20">
        <f t="shared" si="266"/>
        <v>0</v>
      </c>
      <c r="G1361" s="20">
        <v>2810.855</v>
      </c>
      <c r="H1361" s="20">
        <f t="shared" si="267"/>
        <v>430061</v>
      </c>
      <c r="I1361" s="20">
        <v>3829.127</v>
      </c>
      <c r="J1361" s="20">
        <f t="shared" si="268"/>
        <v>585856</v>
      </c>
      <c r="K1361" s="20">
        <f t="shared" si="269"/>
        <v>6639.982</v>
      </c>
      <c r="L1361" s="20">
        <f t="shared" si="270"/>
        <v>1015917</v>
      </c>
      <c r="M1361" s="18"/>
      <c r="N1361" s="44"/>
    </row>
    <row r="1362" spans="1:14" ht="21" customHeight="1">
      <c r="A1362" s="18" t="s">
        <v>818</v>
      </c>
      <c r="B1362" s="18"/>
      <c r="C1362" s="19"/>
      <c r="D1362" s="19"/>
      <c r="E1362" s="19">
        <v>0</v>
      </c>
      <c r="F1362" s="19"/>
      <c r="G1362" s="19">
        <v>0</v>
      </c>
      <c r="H1362" s="19"/>
      <c r="I1362" s="19">
        <v>0</v>
      </c>
      <c r="J1362" s="19"/>
      <c r="K1362" s="19"/>
      <c r="L1362" s="19"/>
      <c r="M1362" s="19"/>
      <c r="N1362" s="44"/>
    </row>
    <row r="1363" spans="1:14" ht="21" customHeight="1">
      <c r="A1363" s="18" t="s">
        <v>819</v>
      </c>
      <c r="B1363" s="18" t="s">
        <v>399</v>
      </c>
      <c r="C1363" s="22">
        <v>45.277000000000001</v>
      </c>
      <c r="D1363" s="21" t="s">
        <v>391</v>
      </c>
      <c r="E1363" s="20">
        <v>0</v>
      </c>
      <c r="F1363" s="20">
        <f>ROUND(E1363*C1363,0)</f>
        <v>0</v>
      </c>
      <c r="G1363" s="20">
        <v>0</v>
      </c>
      <c r="H1363" s="20">
        <f>ROUND(G1363*C1363,0)</f>
        <v>0</v>
      </c>
      <c r="I1363" s="20">
        <v>24544.597999999998</v>
      </c>
      <c r="J1363" s="20">
        <f>ROUND(I1363*C1363,0)</f>
        <v>1111306</v>
      </c>
      <c r="K1363" s="20">
        <f>E1363+G1363+I1363</f>
        <v>24544.597999999998</v>
      </c>
      <c r="L1363" s="20">
        <f>F1363+H1363+J1363</f>
        <v>1111306</v>
      </c>
      <c r="M1363" s="18"/>
      <c r="N1363" s="44"/>
    </row>
    <row r="1364" spans="1:14" ht="21" customHeight="1">
      <c r="A1364" s="18" t="s">
        <v>820</v>
      </c>
      <c r="B1364" s="18" t="s">
        <v>401</v>
      </c>
      <c r="C1364" s="22">
        <v>0.92300000000000004</v>
      </c>
      <c r="D1364" s="21" t="s">
        <v>391</v>
      </c>
      <c r="E1364" s="20">
        <v>-466708</v>
      </c>
      <c r="F1364" s="20">
        <f>ROUND(E1364*C1364,0)</f>
        <v>-430771</v>
      </c>
      <c r="G1364" s="20">
        <v>0</v>
      </c>
      <c r="H1364" s="20">
        <f>ROUND(G1364*C1364,0)</f>
        <v>0</v>
      </c>
      <c r="I1364" s="20">
        <v>0</v>
      </c>
      <c r="J1364" s="20">
        <f>ROUND(I1364*C1364,0)</f>
        <v>0</v>
      </c>
      <c r="K1364" s="20">
        <f>E1364+G1364+I1364</f>
        <v>-466708</v>
      </c>
      <c r="L1364" s="20">
        <f>F1364+H1364+J1364</f>
        <v>-430771</v>
      </c>
      <c r="M1364" s="18"/>
      <c r="N1364" s="44"/>
    </row>
    <row r="1365" spans="1:14" ht="21" customHeight="1">
      <c r="A1365" s="18" t="s">
        <v>821</v>
      </c>
      <c r="B1365" s="18"/>
      <c r="C1365" s="19"/>
      <c r="D1365" s="19"/>
      <c r="E1365" s="19">
        <v>0</v>
      </c>
      <c r="F1365" s="19"/>
      <c r="G1365" s="19">
        <v>0</v>
      </c>
      <c r="H1365" s="19"/>
      <c r="I1365" s="19">
        <v>0</v>
      </c>
      <c r="J1365" s="19"/>
      <c r="K1365" s="19"/>
      <c r="L1365" s="19"/>
      <c r="M1365" s="19"/>
      <c r="N1365" s="44"/>
    </row>
    <row r="1366" spans="1:14" ht="21" customHeight="1">
      <c r="A1366" s="18" t="s">
        <v>403</v>
      </c>
      <c r="B1366" s="18" t="s">
        <v>822</v>
      </c>
      <c r="C1366" s="20">
        <v>512</v>
      </c>
      <c r="D1366" s="21" t="s">
        <v>99</v>
      </c>
      <c r="E1366" s="20">
        <v>110259.765</v>
      </c>
      <c r="F1366" s="20">
        <f t="shared" ref="F1366:F1372" si="271">ROUND(E1366*C1366,0)</f>
        <v>56453000</v>
      </c>
      <c r="G1366" s="20">
        <v>0</v>
      </c>
      <c r="H1366" s="20">
        <f t="shared" ref="H1366:H1372" si="272">ROUND(G1366*C1366,0)</f>
        <v>0</v>
      </c>
      <c r="I1366" s="20">
        <v>0</v>
      </c>
      <c r="J1366" s="20">
        <f t="shared" ref="J1366:J1372" si="273">ROUND(I1366*C1366,0)</f>
        <v>0</v>
      </c>
      <c r="K1366" s="20">
        <f t="shared" ref="K1366:L1372" si="274">E1366+G1366+I1366</f>
        <v>110259.765</v>
      </c>
      <c r="L1366" s="20">
        <f t="shared" si="274"/>
        <v>56453000</v>
      </c>
      <c r="M1366" s="18"/>
      <c r="N1366" s="44"/>
    </row>
    <row r="1367" spans="1:14" ht="21" customHeight="1">
      <c r="A1367" s="18" t="s">
        <v>405</v>
      </c>
      <c r="B1367" s="18" t="s">
        <v>823</v>
      </c>
      <c r="C1367" s="20">
        <v>71</v>
      </c>
      <c r="D1367" s="21" t="s">
        <v>99</v>
      </c>
      <c r="E1367" s="20">
        <v>102675.76</v>
      </c>
      <c r="F1367" s="20">
        <f t="shared" si="271"/>
        <v>7289979</v>
      </c>
      <c r="G1367" s="20">
        <v>0</v>
      </c>
      <c r="H1367" s="20">
        <f t="shared" si="272"/>
        <v>0</v>
      </c>
      <c r="I1367" s="20">
        <v>0</v>
      </c>
      <c r="J1367" s="20">
        <f t="shared" si="273"/>
        <v>0</v>
      </c>
      <c r="K1367" s="20">
        <f t="shared" si="274"/>
        <v>102675.76</v>
      </c>
      <c r="L1367" s="20">
        <f t="shared" si="274"/>
        <v>7289979</v>
      </c>
      <c r="M1367" s="18"/>
      <c r="N1367" s="44"/>
    </row>
    <row r="1368" spans="1:14" ht="21" customHeight="1">
      <c r="A1368" s="18" t="s">
        <v>386</v>
      </c>
      <c r="B1368" s="18" t="s">
        <v>759</v>
      </c>
      <c r="C1368" s="20">
        <v>160</v>
      </c>
      <c r="D1368" s="21" t="s">
        <v>99</v>
      </c>
      <c r="E1368" s="20">
        <v>20238.155999999999</v>
      </c>
      <c r="F1368" s="20">
        <f t="shared" si="271"/>
        <v>3238105</v>
      </c>
      <c r="G1368" s="20">
        <v>0</v>
      </c>
      <c r="H1368" s="20">
        <f t="shared" si="272"/>
        <v>0</v>
      </c>
      <c r="I1368" s="20">
        <v>0</v>
      </c>
      <c r="J1368" s="20">
        <f t="shared" si="273"/>
        <v>0</v>
      </c>
      <c r="K1368" s="20">
        <f t="shared" si="274"/>
        <v>20238.155999999999</v>
      </c>
      <c r="L1368" s="20">
        <f t="shared" si="274"/>
        <v>3238105</v>
      </c>
      <c r="M1368" s="18"/>
      <c r="N1368" s="44"/>
    </row>
    <row r="1369" spans="1:14" ht="21" customHeight="1">
      <c r="A1369" s="18" t="s">
        <v>396</v>
      </c>
      <c r="B1369" s="18" t="s">
        <v>824</v>
      </c>
      <c r="C1369" s="22">
        <v>43.046999999999997</v>
      </c>
      <c r="D1369" s="21" t="s">
        <v>825</v>
      </c>
      <c r="E1369" s="20">
        <v>1038485.7598999999</v>
      </c>
      <c r="F1369" s="20">
        <f t="shared" si="271"/>
        <v>44703697</v>
      </c>
      <c r="G1369" s="20">
        <v>0</v>
      </c>
      <c r="H1369" s="20">
        <f t="shared" si="272"/>
        <v>0</v>
      </c>
      <c r="I1369" s="20">
        <v>0</v>
      </c>
      <c r="J1369" s="20">
        <f t="shared" si="273"/>
        <v>0</v>
      </c>
      <c r="K1369" s="20">
        <f t="shared" si="274"/>
        <v>1038485.7598999999</v>
      </c>
      <c r="L1369" s="20">
        <f t="shared" si="274"/>
        <v>44703697</v>
      </c>
      <c r="M1369" s="18"/>
      <c r="N1369" s="44"/>
    </row>
    <row r="1370" spans="1:14" ht="21" customHeight="1">
      <c r="A1370" s="18" t="s">
        <v>826</v>
      </c>
      <c r="B1370" s="18" t="s">
        <v>827</v>
      </c>
      <c r="C1370" s="22">
        <v>2.23</v>
      </c>
      <c r="D1370" s="21" t="s">
        <v>825</v>
      </c>
      <c r="E1370" s="20">
        <v>1038499.549</v>
      </c>
      <c r="F1370" s="20">
        <f t="shared" si="271"/>
        <v>2315854</v>
      </c>
      <c r="G1370" s="20">
        <v>0</v>
      </c>
      <c r="H1370" s="20">
        <f t="shared" si="272"/>
        <v>0</v>
      </c>
      <c r="I1370" s="20">
        <v>0</v>
      </c>
      <c r="J1370" s="20">
        <f t="shared" si="273"/>
        <v>0</v>
      </c>
      <c r="K1370" s="20">
        <f t="shared" si="274"/>
        <v>1038499.549</v>
      </c>
      <c r="L1370" s="20">
        <f t="shared" si="274"/>
        <v>2315854</v>
      </c>
      <c r="M1370" s="18"/>
      <c r="N1370" s="44"/>
    </row>
    <row r="1371" spans="1:14" ht="21" customHeight="1">
      <c r="A1371" s="18" t="s">
        <v>828</v>
      </c>
      <c r="B1371" s="18" t="s">
        <v>829</v>
      </c>
      <c r="C1371" s="20">
        <v>0</v>
      </c>
      <c r="D1371" s="21" t="s">
        <v>825</v>
      </c>
      <c r="E1371" s="20">
        <v>1038485.7598999999</v>
      </c>
      <c r="F1371" s="20">
        <f t="shared" si="271"/>
        <v>0</v>
      </c>
      <c r="G1371" s="20">
        <v>0</v>
      </c>
      <c r="H1371" s="20">
        <f t="shared" si="272"/>
        <v>0</v>
      </c>
      <c r="I1371" s="20">
        <v>0</v>
      </c>
      <c r="J1371" s="20">
        <f t="shared" si="273"/>
        <v>0</v>
      </c>
      <c r="K1371" s="20">
        <f t="shared" si="274"/>
        <v>1038485.7598999999</v>
      </c>
      <c r="L1371" s="20">
        <f t="shared" si="274"/>
        <v>0</v>
      </c>
      <c r="M1371" s="18"/>
      <c r="N1371" s="44"/>
    </row>
    <row r="1372" spans="1:14" ht="21" customHeight="1">
      <c r="A1372" s="18" t="s">
        <v>830</v>
      </c>
      <c r="B1372" s="18" t="s">
        <v>831</v>
      </c>
      <c r="C1372" s="20">
        <v>0</v>
      </c>
      <c r="D1372" s="21" t="s">
        <v>825</v>
      </c>
      <c r="E1372" s="20">
        <v>1038523.9451</v>
      </c>
      <c r="F1372" s="20">
        <f t="shared" si="271"/>
        <v>0</v>
      </c>
      <c r="G1372" s="20">
        <v>0</v>
      </c>
      <c r="H1372" s="20">
        <f t="shared" si="272"/>
        <v>0</v>
      </c>
      <c r="I1372" s="20">
        <v>0</v>
      </c>
      <c r="J1372" s="20">
        <f t="shared" si="273"/>
        <v>0</v>
      </c>
      <c r="K1372" s="20">
        <f t="shared" si="274"/>
        <v>1038523.9451</v>
      </c>
      <c r="L1372" s="20">
        <f t="shared" si="274"/>
        <v>0</v>
      </c>
      <c r="M1372" s="18"/>
      <c r="N1372" s="44"/>
    </row>
    <row r="1373" spans="1:14" ht="21" customHeight="1">
      <c r="A1373" s="18"/>
      <c r="B1373" s="18"/>
      <c r="C1373" s="20"/>
      <c r="D1373" s="21"/>
      <c r="E1373" s="20"/>
      <c r="F1373" s="20"/>
      <c r="G1373" s="20"/>
      <c r="H1373" s="20"/>
      <c r="I1373" s="20"/>
      <c r="J1373" s="20"/>
      <c r="K1373" s="20"/>
      <c r="L1373" s="20"/>
      <c r="M1373" s="18"/>
      <c r="N1373" s="44"/>
    </row>
    <row r="1374" spans="1:14" ht="21" customHeight="1">
      <c r="A1374" s="14" t="s">
        <v>1256</v>
      </c>
      <c r="B1374" s="15"/>
      <c r="C1374" s="16"/>
      <c r="D1374" s="16"/>
      <c r="E1374" s="16"/>
      <c r="F1374" s="17">
        <f>SUM(F1377:F1385)</f>
        <v>0</v>
      </c>
      <c r="G1374" s="16"/>
      <c r="H1374" s="17">
        <f>SUM(H1377:H1385)</f>
        <v>1834338</v>
      </c>
      <c r="I1374" s="16"/>
      <c r="J1374" s="17">
        <f>SUM(J1377:J1385)</f>
        <v>61361</v>
      </c>
      <c r="K1374" s="16"/>
      <c r="L1374" s="17">
        <f>F1374+H1374+J1374</f>
        <v>1895699</v>
      </c>
      <c r="M1374" s="16"/>
    </row>
    <row r="1375" spans="1:14" ht="21" customHeight="1">
      <c r="A1375" s="18" t="s">
        <v>860</v>
      </c>
      <c r="B1375" s="18"/>
      <c r="C1375" s="19"/>
      <c r="D1375" s="19"/>
      <c r="E1375" s="19"/>
      <c r="F1375" s="19"/>
      <c r="G1375" s="19"/>
      <c r="H1375" s="19"/>
      <c r="I1375" s="19"/>
      <c r="J1375" s="19"/>
      <c r="K1375" s="19"/>
      <c r="L1375" s="19"/>
      <c r="M1375" s="19"/>
    </row>
    <row r="1376" spans="1:14" ht="21" customHeight="1">
      <c r="A1376" s="18" t="s">
        <v>212</v>
      </c>
      <c r="B1376" s="18"/>
      <c r="C1376" s="19"/>
      <c r="D1376" s="19"/>
      <c r="E1376" s="19"/>
      <c r="F1376" s="19"/>
      <c r="G1376" s="19"/>
      <c r="H1376" s="19"/>
      <c r="I1376" s="19"/>
      <c r="J1376" s="19"/>
      <c r="K1376" s="19"/>
      <c r="L1376" s="19"/>
      <c r="M1376" s="19"/>
    </row>
    <row r="1377" spans="1:14" ht="21" customHeight="1">
      <c r="A1377" s="18" t="s">
        <v>834</v>
      </c>
      <c r="B1377" s="18" t="s">
        <v>217</v>
      </c>
      <c r="C1377" s="20">
        <v>19</v>
      </c>
      <c r="D1377" s="21" t="s">
        <v>99</v>
      </c>
      <c r="E1377" s="20">
        <v>0</v>
      </c>
      <c r="F1377" s="20">
        <f>ROUND(E1377*C1377,0)</f>
        <v>0</v>
      </c>
      <c r="G1377" s="20">
        <v>73082.23</v>
      </c>
      <c r="H1377" s="20">
        <f>ROUND(G1377*C1377,0)</f>
        <v>1388562</v>
      </c>
      <c r="I1377" s="20">
        <v>0</v>
      </c>
      <c r="J1377" s="20">
        <f>ROUND(I1377*C1377,0)</f>
        <v>0</v>
      </c>
      <c r="K1377" s="20">
        <f>E1377+G1377+I1377</f>
        <v>73082.23</v>
      </c>
      <c r="L1377" s="20">
        <f>F1377+H1377+J1377</f>
        <v>1388562</v>
      </c>
      <c r="M1377" s="18"/>
      <c r="N1377" s="44"/>
    </row>
    <row r="1378" spans="1:14" ht="21" customHeight="1">
      <c r="A1378" s="18" t="s">
        <v>218</v>
      </c>
      <c r="B1378" s="18"/>
      <c r="C1378" s="19"/>
      <c r="D1378" s="19"/>
      <c r="E1378" s="19">
        <v>0</v>
      </c>
      <c r="F1378" s="19"/>
      <c r="G1378" s="19">
        <v>0</v>
      </c>
      <c r="H1378" s="19"/>
      <c r="I1378" s="19">
        <v>0</v>
      </c>
      <c r="J1378" s="19"/>
      <c r="K1378" s="19"/>
      <c r="L1378" s="19"/>
      <c r="M1378" s="19"/>
      <c r="N1378" s="44"/>
    </row>
    <row r="1379" spans="1:14" ht="21" customHeight="1">
      <c r="A1379" s="18" t="s">
        <v>861</v>
      </c>
      <c r="B1379" s="18" t="s">
        <v>217</v>
      </c>
      <c r="C1379" s="20">
        <v>14</v>
      </c>
      <c r="D1379" s="21" t="s">
        <v>99</v>
      </c>
      <c r="E1379" s="20">
        <v>0</v>
      </c>
      <c r="F1379" s="20">
        <f>ROUND(E1379*C1379,0)</f>
        <v>0</v>
      </c>
      <c r="G1379" s="20">
        <v>31841.153299999998</v>
      </c>
      <c r="H1379" s="20">
        <f>ROUND(G1379*C1379,0)</f>
        <v>445776</v>
      </c>
      <c r="I1379" s="20">
        <v>0</v>
      </c>
      <c r="J1379" s="20">
        <f>ROUND(I1379*C1379,0)</f>
        <v>0</v>
      </c>
      <c r="K1379" s="20">
        <f>E1379+G1379+I1379</f>
        <v>31841.153299999998</v>
      </c>
      <c r="L1379" s="20">
        <f>F1379+H1379+J1379</f>
        <v>445776</v>
      </c>
      <c r="M1379" s="18"/>
      <c r="N1379" s="44"/>
    </row>
    <row r="1380" spans="1:14" ht="21" customHeight="1">
      <c r="A1380" s="18" t="s">
        <v>224</v>
      </c>
      <c r="B1380" s="18"/>
      <c r="C1380" s="19"/>
      <c r="D1380" s="19"/>
      <c r="E1380" s="19">
        <v>0</v>
      </c>
      <c r="F1380" s="19"/>
      <c r="G1380" s="19">
        <v>0</v>
      </c>
      <c r="H1380" s="19"/>
      <c r="I1380" s="19">
        <v>0</v>
      </c>
      <c r="J1380" s="19"/>
      <c r="K1380" s="19"/>
      <c r="L1380" s="19"/>
      <c r="M1380" s="19"/>
      <c r="N1380" s="44"/>
    </row>
    <row r="1381" spans="1:14" ht="21" customHeight="1">
      <c r="A1381" s="18" t="s">
        <v>225</v>
      </c>
      <c r="B1381" s="18" t="s">
        <v>445</v>
      </c>
      <c r="C1381" s="20">
        <v>5</v>
      </c>
      <c r="D1381" s="21" t="s">
        <v>99</v>
      </c>
      <c r="E1381" s="20">
        <v>0</v>
      </c>
      <c r="F1381" s="20">
        <f>ROUND(E1381*C1381,0)</f>
        <v>0</v>
      </c>
      <c r="G1381" s="20">
        <v>0</v>
      </c>
      <c r="H1381" s="20">
        <f>ROUND(G1381*C1381,0)</f>
        <v>0</v>
      </c>
      <c r="I1381" s="20">
        <v>12272.298999999999</v>
      </c>
      <c r="J1381" s="20">
        <f>ROUND(I1381*C1381,0)</f>
        <v>61361</v>
      </c>
      <c r="K1381" s="20">
        <f>E1381+G1381+I1381</f>
        <v>12272.298999999999</v>
      </c>
      <c r="L1381" s="20">
        <f>F1381+H1381+J1381</f>
        <v>61361</v>
      </c>
      <c r="M1381" s="18"/>
      <c r="N1381" s="44"/>
    </row>
    <row r="1382" spans="1:14" ht="21" customHeight="1">
      <c r="A1382" s="18" t="s">
        <v>1220</v>
      </c>
      <c r="B1382" s="18"/>
      <c r="C1382" s="19"/>
      <c r="D1382" s="19"/>
      <c r="E1382" s="19">
        <v>0</v>
      </c>
      <c r="F1382" s="19"/>
      <c r="G1382" s="19">
        <v>0</v>
      </c>
      <c r="H1382" s="19"/>
      <c r="I1382" s="19">
        <v>0</v>
      </c>
      <c r="J1382" s="19"/>
      <c r="K1382" s="19"/>
      <c r="L1382" s="19"/>
      <c r="M1382" s="19"/>
      <c r="N1382" s="44"/>
    </row>
    <row r="1383" spans="1:14" ht="21" customHeight="1">
      <c r="A1383" s="18" t="s">
        <v>1138</v>
      </c>
      <c r="B1383" s="18"/>
      <c r="C1383" s="20">
        <v>1</v>
      </c>
      <c r="D1383" s="21" t="s">
        <v>1139</v>
      </c>
      <c r="E1383" s="20">
        <v>0</v>
      </c>
      <c r="F1383" s="20">
        <f>ROUND(E1383*C1383,0)</f>
        <v>0</v>
      </c>
      <c r="G1383" s="20">
        <v>0</v>
      </c>
      <c r="H1383" s="20">
        <f>ROUND(G1383*C1383,0)</f>
        <v>0</v>
      </c>
      <c r="I1383" s="20">
        <v>0</v>
      </c>
      <c r="J1383" s="20">
        <f>ROUND(I1383*C1383,0)</f>
        <v>0</v>
      </c>
      <c r="K1383" s="20">
        <f t="shared" ref="K1383:L1385" si="275">E1383+G1383+I1383</f>
        <v>0</v>
      </c>
      <c r="L1383" s="20">
        <f t="shared" si="275"/>
        <v>0</v>
      </c>
      <c r="M1383" s="18" t="s">
        <v>1140</v>
      </c>
      <c r="N1383" s="44"/>
    </row>
    <row r="1384" spans="1:14" ht="21" customHeight="1">
      <c r="A1384" s="18" t="s">
        <v>1141</v>
      </c>
      <c r="B1384" s="18"/>
      <c r="C1384" s="20">
        <v>1</v>
      </c>
      <c r="D1384" s="21" t="s">
        <v>1139</v>
      </c>
      <c r="E1384" s="20">
        <v>0</v>
      </c>
      <c r="F1384" s="20">
        <f>ROUND(E1384*C1384,0)</f>
        <v>0</v>
      </c>
      <c r="G1384" s="20">
        <v>0</v>
      </c>
      <c r="H1384" s="20">
        <f>ROUND(G1384*C1384,0)</f>
        <v>0</v>
      </c>
      <c r="I1384" s="20">
        <v>0</v>
      </c>
      <c r="J1384" s="20">
        <f>ROUND(I1384*C1384,0)</f>
        <v>0</v>
      </c>
      <c r="K1384" s="20">
        <f t="shared" si="275"/>
        <v>0</v>
      </c>
      <c r="L1384" s="20">
        <f t="shared" si="275"/>
        <v>0</v>
      </c>
      <c r="M1384" s="18" t="s">
        <v>1140</v>
      </c>
      <c r="N1384" s="44"/>
    </row>
    <row r="1385" spans="1:14" ht="21" customHeight="1">
      <c r="A1385" s="18" t="s">
        <v>1142</v>
      </c>
      <c r="B1385" s="18"/>
      <c r="C1385" s="20">
        <v>1</v>
      </c>
      <c r="D1385" s="21" t="s">
        <v>1143</v>
      </c>
      <c r="E1385" s="20">
        <v>0</v>
      </c>
      <c r="F1385" s="20">
        <f>ROUND(E1385*C1385,0)</f>
        <v>0</v>
      </c>
      <c r="G1385" s="20">
        <v>0</v>
      </c>
      <c r="H1385" s="20">
        <f>ROUND(G1385*C1385,0)</f>
        <v>0</v>
      </c>
      <c r="I1385" s="20">
        <v>0</v>
      </c>
      <c r="J1385" s="20">
        <f>ROUND(I1385*C1385,0)</f>
        <v>0</v>
      </c>
      <c r="K1385" s="20">
        <f t="shared" si="275"/>
        <v>0</v>
      </c>
      <c r="L1385" s="20">
        <f t="shared" si="275"/>
        <v>0</v>
      </c>
      <c r="M1385" s="18" t="s">
        <v>1144</v>
      </c>
      <c r="N1385" s="44"/>
    </row>
    <row r="1386" spans="1:14" ht="21" customHeight="1">
      <c r="A1386" s="23" t="s">
        <v>1257</v>
      </c>
      <c r="B1386" s="24"/>
      <c r="C1386" s="24"/>
      <c r="D1386" s="24"/>
      <c r="E1386" s="24"/>
      <c r="F1386" s="25">
        <f>F1160+F1201+F1272+F1344+F1374</f>
        <v>703408420</v>
      </c>
      <c r="G1386" s="24"/>
      <c r="H1386" s="25">
        <f>H1160+H1201+H1272+H1344+H1374</f>
        <v>298567599</v>
      </c>
      <c r="I1386" s="24"/>
      <c r="J1386" s="25">
        <f>J1160+J1201+J1272+J1344+J1374</f>
        <v>214132368</v>
      </c>
      <c r="K1386" s="24"/>
      <c r="L1386" s="25">
        <f>F1386+H1386+J1386</f>
        <v>1216108387</v>
      </c>
      <c r="M1386" s="24"/>
    </row>
    <row r="1388" spans="1:14" ht="21" customHeight="1">
      <c r="A1388" s="134" t="s">
        <v>1258</v>
      </c>
      <c r="B1388" s="135"/>
      <c r="C1388" s="135"/>
      <c r="D1388" s="135"/>
      <c r="E1388" s="135"/>
      <c r="F1388" s="135"/>
      <c r="G1388" s="135"/>
      <c r="H1388" s="135"/>
      <c r="I1388" s="135"/>
      <c r="J1388" s="135"/>
      <c r="K1388" s="135"/>
      <c r="L1388" s="135"/>
      <c r="M1388" s="135"/>
    </row>
    <row r="1389" spans="1:14" ht="21" customHeight="1">
      <c r="A1389" s="14" t="s">
        <v>89</v>
      </c>
      <c r="B1389" s="15"/>
      <c r="C1389" s="16"/>
      <c r="D1389" s="16"/>
      <c r="E1389" s="16"/>
      <c r="F1389" s="17">
        <f>SUM(F1392:F1409)</f>
        <v>0</v>
      </c>
      <c r="G1389" s="16"/>
      <c r="H1389" s="17">
        <f>SUM(H1392:H1409)</f>
        <v>103878160</v>
      </c>
      <c r="I1389" s="16"/>
      <c r="J1389" s="17">
        <f>SUM(J1392:J1409)</f>
        <v>888816168</v>
      </c>
      <c r="K1389" s="16"/>
      <c r="L1389" s="17">
        <f>F1389+H1389+J1389</f>
        <v>992694328</v>
      </c>
      <c r="M1389" s="16"/>
    </row>
    <row r="1390" spans="1:14" ht="21" customHeight="1">
      <c r="A1390" s="18" t="s">
        <v>1259</v>
      </c>
      <c r="B1390" s="18"/>
      <c r="C1390" s="19"/>
      <c r="D1390" s="19"/>
      <c r="E1390" s="19"/>
      <c r="F1390" s="19"/>
      <c r="G1390" s="19"/>
      <c r="H1390" s="19"/>
      <c r="I1390" s="19"/>
      <c r="J1390" s="19"/>
      <c r="K1390" s="19"/>
      <c r="L1390" s="19"/>
      <c r="M1390" s="19"/>
    </row>
    <row r="1391" spans="1:14" ht="21" customHeight="1">
      <c r="A1391" s="18" t="s">
        <v>116</v>
      </c>
      <c r="B1391" s="18"/>
      <c r="C1391" s="19"/>
      <c r="D1391" s="19"/>
      <c r="E1391" s="19"/>
      <c r="F1391" s="19"/>
      <c r="G1391" s="19"/>
      <c r="H1391" s="19"/>
      <c r="I1391" s="19"/>
      <c r="J1391" s="19"/>
      <c r="K1391" s="19"/>
      <c r="L1391" s="19"/>
      <c r="M1391" s="19"/>
    </row>
    <row r="1392" spans="1:14" ht="21" customHeight="1">
      <c r="A1392" s="18" t="s">
        <v>117</v>
      </c>
      <c r="B1392" s="18" t="s">
        <v>118</v>
      </c>
      <c r="C1392" s="20">
        <v>140244</v>
      </c>
      <c r="D1392" s="21" t="s">
        <v>99</v>
      </c>
      <c r="E1392" s="20">
        <v>0</v>
      </c>
      <c r="F1392" s="20">
        <f>ROUND(E1392*C1392,0)</f>
        <v>0</v>
      </c>
      <c r="G1392" s="20">
        <v>217.4435</v>
      </c>
      <c r="H1392" s="20">
        <f>ROUND(G1392*C1392,0)</f>
        <v>30495146</v>
      </c>
      <c r="I1392" s="20">
        <v>1331.1785</v>
      </c>
      <c r="J1392" s="20">
        <f>ROUND(I1392*C1392,0)</f>
        <v>186689798</v>
      </c>
      <c r="K1392" s="20">
        <f>E1392+G1392+I1392</f>
        <v>1548.6220000000001</v>
      </c>
      <c r="L1392" s="20">
        <f>F1392+H1392+J1392</f>
        <v>217184944</v>
      </c>
      <c r="M1392" s="18"/>
      <c r="N1392" s="44"/>
    </row>
    <row r="1393" spans="1:14" ht="21" customHeight="1">
      <c r="A1393" s="18" t="s">
        <v>119</v>
      </c>
      <c r="B1393" s="18" t="s">
        <v>120</v>
      </c>
      <c r="C1393" s="20">
        <v>0</v>
      </c>
      <c r="D1393" s="21" t="s">
        <v>99</v>
      </c>
      <c r="E1393" s="20">
        <v>0</v>
      </c>
      <c r="F1393" s="20">
        <f>ROUND(E1393*C1393,0)</f>
        <v>0</v>
      </c>
      <c r="G1393" s="20">
        <v>0</v>
      </c>
      <c r="H1393" s="20">
        <f>ROUND(G1393*C1393,0)</f>
        <v>0</v>
      </c>
      <c r="I1393" s="20">
        <v>0</v>
      </c>
      <c r="J1393" s="20">
        <f>ROUND(I1393*C1393,0)</f>
        <v>0</v>
      </c>
      <c r="K1393" s="20">
        <f>E1393+G1393+I1393</f>
        <v>0</v>
      </c>
      <c r="L1393" s="20">
        <f>F1393+H1393+J1393</f>
        <v>0</v>
      </c>
      <c r="M1393" s="18"/>
      <c r="N1393" s="44"/>
    </row>
    <row r="1394" spans="1:14" ht="21" customHeight="1">
      <c r="A1394" s="18" t="s">
        <v>121</v>
      </c>
      <c r="B1394" s="18"/>
      <c r="C1394" s="19"/>
      <c r="D1394" s="19"/>
      <c r="E1394" s="19">
        <v>0</v>
      </c>
      <c r="F1394" s="19"/>
      <c r="G1394" s="19">
        <v>0</v>
      </c>
      <c r="H1394" s="19"/>
      <c r="I1394" s="19">
        <v>0</v>
      </c>
      <c r="J1394" s="19"/>
      <c r="K1394" s="19"/>
      <c r="L1394" s="19"/>
      <c r="M1394" s="19"/>
      <c r="N1394" s="44"/>
    </row>
    <row r="1395" spans="1:14" ht="21" customHeight="1">
      <c r="A1395" s="18" t="s">
        <v>122</v>
      </c>
      <c r="B1395" s="18" t="s">
        <v>123</v>
      </c>
      <c r="C1395" s="20">
        <v>20870</v>
      </c>
      <c r="D1395" s="21" t="s">
        <v>99</v>
      </c>
      <c r="E1395" s="20">
        <v>0</v>
      </c>
      <c r="F1395" s="20">
        <f>ROUND(E1395*C1395,0)</f>
        <v>0</v>
      </c>
      <c r="G1395" s="20">
        <v>216.3828</v>
      </c>
      <c r="H1395" s="20">
        <f>ROUND(G1395*C1395,0)</f>
        <v>4515909</v>
      </c>
      <c r="I1395" s="20">
        <v>1844.5572999999999</v>
      </c>
      <c r="J1395" s="20">
        <f>ROUND(I1395*C1395,0)</f>
        <v>38495911</v>
      </c>
      <c r="K1395" s="20">
        <f>E1395+G1395+I1395</f>
        <v>2060.9400999999998</v>
      </c>
      <c r="L1395" s="20">
        <f>F1395+H1395+J1395</f>
        <v>43011820</v>
      </c>
      <c r="M1395" s="18"/>
      <c r="N1395" s="44"/>
    </row>
    <row r="1396" spans="1:14" ht="21" customHeight="1">
      <c r="A1396" s="18" t="s">
        <v>124</v>
      </c>
      <c r="B1396" s="18"/>
      <c r="C1396" s="19"/>
      <c r="D1396" s="19"/>
      <c r="E1396" s="19">
        <v>0</v>
      </c>
      <c r="F1396" s="19"/>
      <c r="G1396" s="19">
        <v>0</v>
      </c>
      <c r="H1396" s="19"/>
      <c r="I1396" s="19">
        <v>0</v>
      </c>
      <c r="J1396" s="19"/>
      <c r="K1396" s="19"/>
      <c r="L1396" s="19"/>
      <c r="M1396" s="19"/>
      <c r="N1396" s="44"/>
    </row>
    <row r="1397" spans="1:14" ht="21" customHeight="1">
      <c r="A1397" s="18" t="s">
        <v>125</v>
      </c>
      <c r="B1397" s="18" t="s">
        <v>126</v>
      </c>
      <c r="C1397" s="20">
        <v>11485</v>
      </c>
      <c r="D1397" s="21" t="s">
        <v>99</v>
      </c>
      <c r="E1397" s="20">
        <v>0</v>
      </c>
      <c r="F1397" s="20">
        <f>ROUND(E1397*C1397,0)</f>
        <v>0</v>
      </c>
      <c r="G1397" s="20">
        <v>383.97339999999997</v>
      </c>
      <c r="H1397" s="20">
        <f>ROUND(G1397*C1397,0)</f>
        <v>4409934</v>
      </c>
      <c r="I1397" s="20">
        <v>12270.177599999999</v>
      </c>
      <c r="J1397" s="20">
        <f>ROUND(I1397*C1397,0)</f>
        <v>140922990</v>
      </c>
      <c r="K1397" s="20">
        <f>E1397+G1397+I1397</f>
        <v>12654.151</v>
      </c>
      <c r="L1397" s="20">
        <f>F1397+H1397+J1397</f>
        <v>145332924</v>
      </c>
      <c r="M1397" s="18"/>
      <c r="N1397" s="44"/>
    </row>
    <row r="1398" spans="1:14" ht="21" customHeight="1">
      <c r="A1398" s="18" t="s">
        <v>127</v>
      </c>
      <c r="B1398" s="18" t="s">
        <v>128</v>
      </c>
      <c r="C1398" s="20">
        <v>0</v>
      </c>
      <c r="D1398" s="21" t="s">
        <v>99</v>
      </c>
      <c r="E1398" s="20">
        <v>0</v>
      </c>
      <c r="F1398" s="20">
        <f>ROUND(E1398*C1398,0)</f>
        <v>0</v>
      </c>
      <c r="G1398" s="20">
        <v>0</v>
      </c>
      <c r="H1398" s="20">
        <f>ROUND(G1398*C1398,0)</f>
        <v>0</v>
      </c>
      <c r="I1398" s="20">
        <v>0</v>
      </c>
      <c r="J1398" s="20">
        <f>ROUND(I1398*C1398,0)</f>
        <v>0</v>
      </c>
      <c r="K1398" s="20">
        <f>E1398+G1398+I1398</f>
        <v>0</v>
      </c>
      <c r="L1398" s="20">
        <f>F1398+H1398+J1398</f>
        <v>0</v>
      </c>
      <c r="M1398" s="18"/>
      <c r="N1398" s="44"/>
    </row>
    <row r="1399" spans="1:14" ht="21" customHeight="1">
      <c r="A1399" s="18" t="s">
        <v>129</v>
      </c>
      <c r="B1399" s="18"/>
      <c r="C1399" s="19"/>
      <c r="D1399" s="19"/>
      <c r="E1399" s="19">
        <v>0</v>
      </c>
      <c r="F1399" s="19"/>
      <c r="G1399" s="19">
        <v>0</v>
      </c>
      <c r="H1399" s="19"/>
      <c r="I1399" s="19">
        <v>0</v>
      </c>
      <c r="J1399" s="19"/>
      <c r="K1399" s="19"/>
      <c r="L1399" s="19"/>
      <c r="M1399" s="19"/>
      <c r="N1399" s="44"/>
    </row>
    <row r="1400" spans="1:14" ht="21" customHeight="1">
      <c r="A1400" s="18" t="s">
        <v>125</v>
      </c>
      <c r="B1400" s="18" t="s">
        <v>130</v>
      </c>
      <c r="C1400" s="20">
        <v>8203</v>
      </c>
      <c r="D1400" s="21" t="s">
        <v>99</v>
      </c>
      <c r="E1400" s="20">
        <v>0</v>
      </c>
      <c r="F1400" s="20">
        <f>ROUND(E1400*C1400,0)</f>
        <v>0</v>
      </c>
      <c r="G1400" s="20">
        <v>383.97339999999997</v>
      </c>
      <c r="H1400" s="20">
        <f>ROUND(G1400*C1400,0)</f>
        <v>3149734</v>
      </c>
      <c r="I1400" s="20">
        <v>7592.4906000000001</v>
      </c>
      <c r="J1400" s="20">
        <f>ROUND(I1400*C1400,0)</f>
        <v>62281200</v>
      </c>
      <c r="K1400" s="20">
        <f>E1400+G1400+I1400</f>
        <v>7976.4639999999999</v>
      </c>
      <c r="L1400" s="20">
        <f>F1400+H1400+J1400</f>
        <v>65430934</v>
      </c>
      <c r="M1400" s="18"/>
      <c r="N1400" s="44"/>
    </row>
    <row r="1401" spans="1:14" ht="21" customHeight="1">
      <c r="A1401" s="18" t="s">
        <v>1260</v>
      </c>
      <c r="B1401" s="18"/>
      <c r="C1401" s="19"/>
      <c r="D1401" s="19"/>
      <c r="E1401" s="19">
        <v>0</v>
      </c>
      <c r="F1401" s="19"/>
      <c r="G1401" s="19">
        <v>0</v>
      </c>
      <c r="H1401" s="19"/>
      <c r="I1401" s="19">
        <v>0</v>
      </c>
      <c r="J1401" s="19"/>
      <c r="K1401" s="19"/>
      <c r="L1401" s="19"/>
      <c r="M1401" s="19"/>
      <c r="N1401" s="44"/>
    </row>
    <row r="1402" spans="1:14" ht="21" customHeight="1">
      <c r="A1402" s="18" t="s">
        <v>138</v>
      </c>
      <c r="B1402" s="18"/>
      <c r="C1402" s="19"/>
      <c r="D1402" s="19"/>
      <c r="E1402" s="19">
        <v>0</v>
      </c>
      <c r="F1402" s="19"/>
      <c r="G1402" s="19">
        <v>0</v>
      </c>
      <c r="H1402" s="19"/>
      <c r="I1402" s="19">
        <v>0</v>
      </c>
      <c r="J1402" s="19"/>
      <c r="K1402" s="19"/>
      <c r="L1402" s="19"/>
      <c r="M1402" s="19"/>
      <c r="N1402" s="44"/>
    </row>
    <row r="1403" spans="1:14" ht="21" customHeight="1">
      <c r="A1403" s="18" t="s">
        <v>139</v>
      </c>
      <c r="B1403" s="18" t="s">
        <v>140</v>
      </c>
      <c r="C1403" s="20">
        <v>72163</v>
      </c>
      <c r="D1403" s="21" t="s">
        <v>99</v>
      </c>
      <c r="E1403" s="20">
        <v>0</v>
      </c>
      <c r="F1403" s="20">
        <f>ROUND(E1403*C1403,0)</f>
        <v>0</v>
      </c>
      <c r="G1403" s="20">
        <v>149.55869999999999</v>
      </c>
      <c r="H1403" s="20">
        <f>ROUND(G1403*C1403,0)</f>
        <v>10792604</v>
      </c>
      <c r="I1403" s="20">
        <v>900.53430000000003</v>
      </c>
      <c r="J1403" s="20">
        <f>ROUND(I1403*C1403,0)</f>
        <v>64985257</v>
      </c>
      <c r="K1403" s="20">
        <f>E1403+G1403+I1403</f>
        <v>1050.0930000000001</v>
      </c>
      <c r="L1403" s="20">
        <f>F1403+H1403+J1403</f>
        <v>75777861</v>
      </c>
      <c r="M1403" s="18"/>
      <c r="N1403" s="44"/>
    </row>
    <row r="1404" spans="1:14" ht="21" customHeight="1">
      <c r="A1404" s="18" t="s">
        <v>1261</v>
      </c>
      <c r="B1404" s="18"/>
      <c r="C1404" s="19"/>
      <c r="D1404" s="19"/>
      <c r="E1404" s="19">
        <v>0</v>
      </c>
      <c r="F1404" s="19"/>
      <c r="G1404" s="19">
        <v>0</v>
      </c>
      <c r="H1404" s="19"/>
      <c r="I1404" s="19">
        <v>0</v>
      </c>
      <c r="J1404" s="19"/>
      <c r="K1404" s="19"/>
      <c r="L1404" s="19"/>
      <c r="M1404" s="19"/>
      <c r="N1404" s="44"/>
    </row>
    <row r="1405" spans="1:14" ht="21" customHeight="1">
      <c r="A1405" s="18" t="s">
        <v>1262</v>
      </c>
      <c r="B1405" s="18"/>
      <c r="C1405" s="19"/>
      <c r="D1405" s="19"/>
      <c r="E1405" s="19">
        <v>0</v>
      </c>
      <c r="F1405" s="19"/>
      <c r="G1405" s="19">
        <v>0</v>
      </c>
      <c r="H1405" s="19"/>
      <c r="I1405" s="19">
        <v>0</v>
      </c>
      <c r="J1405" s="19"/>
      <c r="K1405" s="19"/>
      <c r="L1405" s="19"/>
      <c r="M1405" s="19"/>
      <c r="N1405" s="44"/>
    </row>
    <row r="1406" spans="1:14" ht="21" customHeight="1">
      <c r="A1406" s="18" t="s">
        <v>1263</v>
      </c>
      <c r="B1406" s="18" t="s">
        <v>166</v>
      </c>
      <c r="C1406" s="20">
        <v>60064</v>
      </c>
      <c r="D1406" s="21" t="s">
        <v>99</v>
      </c>
      <c r="E1406" s="20">
        <v>0</v>
      </c>
      <c r="F1406" s="20">
        <f>ROUND(E1406*C1406,0)</f>
        <v>0</v>
      </c>
      <c r="G1406" s="20">
        <v>448.67609999999996</v>
      </c>
      <c r="H1406" s="20">
        <f>ROUND(G1406*C1406,0)</f>
        <v>26949281</v>
      </c>
      <c r="I1406" s="20">
        <v>3516.2204999999999</v>
      </c>
      <c r="J1406" s="20">
        <f>ROUND(I1406*C1406,0)</f>
        <v>211198268</v>
      </c>
      <c r="K1406" s="20">
        <f t="shared" ref="K1406:L1409" si="276">E1406+G1406+I1406</f>
        <v>3964.8966</v>
      </c>
      <c r="L1406" s="20">
        <f t="shared" si="276"/>
        <v>238147549</v>
      </c>
      <c r="M1406" s="18"/>
      <c r="N1406" s="44"/>
    </row>
    <row r="1407" spans="1:14" ht="21" customHeight="1">
      <c r="A1407" s="18" t="s">
        <v>1264</v>
      </c>
      <c r="B1407" s="18" t="s">
        <v>168</v>
      </c>
      <c r="C1407" s="20">
        <v>25508</v>
      </c>
      <c r="D1407" s="21" t="s">
        <v>99</v>
      </c>
      <c r="E1407" s="20">
        <v>0</v>
      </c>
      <c r="F1407" s="20">
        <f>ROUND(E1407*C1407,0)</f>
        <v>0</v>
      </c>
      <c r="G1407" s="20">
        <v>450.79750000000001</v>
      </c>
      <c r="H1407" s="20">
        <f>ROUND(G1407*C1407,0)</f>
        <v>11498943</v>
      </c>
      <c r="I1407" s="20">
        <v>3516.2204999999999</v>
      </c>
      <c r="J1407" s="20">
        <f>ROUND(I1407*C1407,0)</f>
        <v>89691753</v>
      </c>
      <c r="K1407" s="20">
        <f t="shared" si="276"/>
        <v>3967.018</v>
      </c>
      <c r="L1407" s="20">
        <f t="shared" si="276"/>
        <v>101190696</v>
      </c>
      <c r="M1407" s="18"/>
      <c r="N1407" s="44"/>
    </row>
    <row r="1408" spans="1:14" ht="21" customHeight="1">
      <c r="A1408" s="18" t="s">
        <v>1265</v>
      </c>
      <c r="B1408" s="18" t="s">
        <v>170</v>
      </c>
      <c r="C1408" s="20">
        <v>14675</v>
      </c>
      <c r="D1408" s="21" t="s">
        <v>99</v>
      </c>
      <c r="E1408" s="20">
        <v>0</v>
      </c>
      <c r="F1408" s="20">
        <f>ROUND(E1408*C1408,0)</f>
        <v>0</v>
      </c>
      <c r="G1408" s="20">
        <v>449.73680000000002</v>
      </c>
      <c r="H1408" s="20">
        <f>ROUND(G1408*C1408,0)</f>
        <v>6599888</v>
      </c>
      <c r="I1408" s="20">
        <v>3523.6453999999999</v>
      </c>
      <c r="J1408" s="20">
        <f>ROUND(I1408*C1408,0)</f>
        <v>51709496</v>
      </c>
      <c r="K1408" s="20">
        <f t="shared" si="276"/>
        <v>3973.3822</v>
      </c>
      <c r="L1408" s="20">
        <f t="shared" si="276"/>
        <v>58309384</v>
      </c>
      <c r="M1408" s="18"/>
      <c r="N1408" s="44"/>
    </row>
    <row r="1409" spans="1:14" ht="21" customHeight="1">
      <c r="A1409" s="18" t="s">
        <v>1266</v>
      </c>
      <c r="B1409" s="18" t="s">
        <v>172</v>
      </c>
      <c r="C1409" s="20">
        <v>11848</v>
      </c>
      <c r="D1409" s="21" t="s">
        <v>99</v>
      </c>
      <c r="E1409" s="20">
        <v>0</v>
      </c>
      <c r="F1409" s="20">
        <f>ROUND(E1409*C1409,0)</f>
        <v>0</v>
      </c>
      <c r="G1409" s="20">
        <v>461.40449999999998</v>
      </c>
      <c r="H1409" s="20">
        <f>ROUND(G1409*C1409,0)</f>
        <v>5466721</v>
      </c>
      <c r="I1409" s="20">
        <v>3615.9263000000001</v>
      </c>
      <c r="J1409" s="20">
        <f>ROUND(I1409*C1409,0)</f>
        <v>42841495</v>
      </c>
      <c r="K1409" s="20">
        <f t="shared" si="276"/>
        <v>4077.3308000000002</v>
      </c>
      <c r="L1409" s="20">
        <f t="shared" si="276"/>
        <v>48308216</v>
      </c>
      <c r="M1409" s="18"/>
      <c r="N1409" s="44"/>
    </row>
    <row r="1410" spans="1:14" ht="21" customHeight="1">
      <c r="A1410" s="18"/>
      <c r="B1410" s="18"/>
      <c r="C1410" s="20"/>
      <c r="D1410" s="21"/>
      <c r="E1410" s="20"/>
      <c r="F1410" s="20"/>
      <c r="G1410" s="20"/>
      <c r="H1410" s="20"/>
      <c r="I1410" s="20"/>
      <c r="J1410" s="20"/>
      <c r="K1410" s="20"/>
      <c r="L1410" s="20"/>
      <c r="M1410" s="18"/>
      <c r="N1410" s="44"/>
    </row>
    <row r="1411" spans="1:14" ht="21" customHeight="1">
      <c r="A1411" s="14" t="s">
        <v>1267</v>
      </c>
      <c r="B1411" s="15"/>
      <c r="C1411" s="16"/>
      <c r="D1411" s="16"/>
      <c r="E1411" s="16"/>
      <c r="F1411" s="17">
        <f>SUM(F1412:F1425)</f>
        <v>38435289</v>
      </c>
      <c r="G1411" s="16"/>
      <c r="H1411" s="17">
        <f>SUM(H1412:H1425)</f>
        <v>28552687</v>
      </c>
      <c r="I1411" s="16"/>
      <c r="J1411" s="17">
        <f>SUM(J1412:J1425)</f>
        <v>88297375</v>
      </c>
      <c r="K1411" s="16"/>
      <c r="L1411" s="17">
        <f t="shared" ref="L1411:L1425" si="277">F1411+H1411+J1411</f>
        <v>155285351</v>
      </c>
      <c r="M1411" s="16"/>
    </row>
    <row r="1412" spans="1:14" ht="21" customHeight="1">
      <c r="A1412" s="18" t="s">
        <v>1268</v>
      </c>
      <c r="B1412" s="18" t="s">
        <v>1269</v>
      </c>
      <c r="C1412" s="20">
        <v>1</v>
      </c>
      <c r="D1412" s="21" t="s">
        <v>201</v>
      </c>
      <c r="E1412" s="20">
        <v>653497.27</v>
      </c>
      <c r="F1412" s="20">
        <f t="shared" ref="F1412:F1425" si="278">ROUND(E1412*C1412,0)</f>
        <v>653497</v>
      </c>
      <c r="G1412" s="20">
        <v>111148.63159999999</v>
      </c>
      <c r="H1412" s="20">
        <f t="shared" ref="H1412:H1425" si="279">ROUND(G1412*C1412,0)</f>
        <v>111149</v>
      </c>
      <c r="I1412" s="20">
        <v>124245.09449999999</v>
      </c>
      <c r="J1412" s="20">
        <f t="shared" ref="J1412:J1425" si="280">ROUND(I1412*C1412,0)</f>
        <v>124245</v>
      </c>
      <c r="K1412" s="20">
        <f t="shared" ref="K1412:K1425" si="281">E1412+G1412+I1412</f>
        <v>888890.99609999999</v>
      </c>
      <c r="L1412" s="20">
        <f t="shared" si="277"/>
        <v>888891</v>
      </c>
      <c r="M1412" s="18"/>
      <c r="N1412" s="44"/>
    </row>
    <row r="1413" spans="1:14" ht="21" customHeight="1">
      <c r="A1413" s="18" t="s">
        <v>1270</v>
      </c>
      <c r="B1413" s="18" t="s">
        <v>1271</v>
      </c>
      <c r="C1413" s="20">
        <v>7</v>
      </c>
      <c r="D1413" s="21" t="s">
        <v>201</v>
      </c>
      <c r="E1413" s="20">
        <v>181050.883</v>
      </c>
      <c r="F1413" s="20">
        <f t="shared" si="278"/>
        <v>1267356</v>
      </c>
      <c r="G1413" s="20">
        <v>88768.922299999991</v>
      </c>
      <c r="H1413" s="20">
        <f t="shared" si="279"/>
        <v>621382</v>
      </c>
      <c r="I1413" s="20">
        <v>141994.84829999998</v>
      </c>
      <c r="J1413" s="20">
        <f t="shared" si="280"/>
        <v>993964</v>
      </c>
      <c r="K1413" s="20">
        <f t="shared" si="281"/>
        <v>411814.65359999996</v>
      </c>
      <c r="L1413" s="20">
        <f t="shared" si="277"/>
        <v>2882702</v>
      </c>
      <c r="M1413" s="18"/>
      <c r="N1413" s="44"/>
    </row>
    <row r="1414" spans="1:14" ht="21" customHeight="1">
      <c r="A1414" s="18" t="s">
        <v>1272</v>
      </c>
      <c r="B1414" s="18"/>
      <c r="C1414" s="20">
        <v>1</v>
      </c>
      <c r="D1414" s="21" t="s">
        <v>201</v>
      </c>
      <c r="E1414" s="20">
        <v>40709.665999999997</v>
      </c>
      <c r="F1414" s="20">
        <f t="shared" si="278"/>
        <v>40710</v>
      </c>
      <c r="G1414" s="20">
        <v>91061.095000000001</v>
      </c>
      <c r="H1414" s="20">
        <f t="shared" si="279"/>
        <v>91061</v>
      </c>
      <c r="I1414" s="20">
        <v>0</v>
      </c>
      <c r="J1414" s="20">
        <f t="shared" si="280"/>
        <v>0</v>
      </c>
      <c r="K1414" s="20">
        <f t="shared" si="281"/>
        <v>131770.761</v>
      </c>
      <c r="L1414" s="20">
        <f t="shared" si="277"/>
        <v>131771</v>
      </c>
      <c r="M1414" s="18"/>
      <c r="N1414" s="44"/>
    </row>
    <row r="1415" spans="1:14" ht="21" customHeight="1">
      <c r="A1415" s="18" t="s">
        <v>1273</v>
      </c>
      <c r="B1415" s="18" t="s">
        <v>449</v>
      </c>
      <c r="C1415" s="20">
        <v>15</v>
      </c>
      <c r="D1415" s="21" t="s">
        <v>231</v>
      </c>
      <c r="E1415" s="20">
        <v>4499.4893999999995</v>
      </c>
      <c r="F1415" s="20">
        <f t="shared" si="278"/>
        <v>67492</v>
      </c>
      <c r="G1415" s="20">
        <v>20569.094399999998</v>
      </c>
      <c r="H1415" s="20">
        <f t="shared" si="279"/>
        <v>308536</v>
      </c>
      <c r="I1415" s="20">
        <v>0</v>
      </c>
      <c r="J1415" s="20">
        <f t="shared" si="280"/>
        <v>0</v>
      </c>
      <c r="K1415" s="20">
        <f t="shared" si="281"/>
        <v>25068.583799999997</v>
      </c>
      <c r="L1415" s="20">
        <f t="shared" si="277"/>
        <v>376028</v>
      </c>
      <c r="M1415" s="18"/>
      <c r="N1415" s="44"/>
    </row>
    <row r="1416" spans="1:14" ht="21" customHeight="1">
      <c r="A1416" s="18" t="s">
        <v>1274</v>
      </c>
      <c r="B1416" s="18" t="s">
        <v>1275</v>
      </c>
      <c r="C1416" s="20">
        <v>154</v>
      </c>
      <c r="D1416" s="21" t="s">
        <v>231</v>
      </c>
      <c r="E1416" s="20">
        <v>4499.4893999999995</v>
      </c>
      <c r="F1416" s="20">
        <f t="shared" si="278"/>
        <v>692921</v>
      </c>
      <c r="G1416" s="20">
        <v>23140.231199999998</v>
      </c>
      <c r="H1416" s="20">
        <f t="shared" si="279"/>
        <v>3563596</v>
      </c>
      <c r="I1416" s="20">
        <v>7016.5304999999998</v>
      </c>
      <c r="J1416" s="20">
        <f t="shared" si="280"/>
        <v>1080546</v>
      </c>
      <c r="K1416" s="20">
        <f t="shared" si="281"/>
        <v>34656.251099999994</v>
      </c>
      <c r="L1416" s="20">
        <f t="shared" si="277"/>
        <v>5337063</v>
      </c>
      <c r="M1416" s="18"/>
      <c r="N1416" s="44"/>
    </row>
    <row r="1417" spans="1:14" ht="21" customHeight="1">
      <c r="A1417" s="18" t="s">
        <v>1276</v>
      </c>
      <c r="B1417" s="18" t="s">
        <v>504</v>
      </c>
      <c r="C1417" s="20">
        <v>3</v>
      </c>
      <c r="D1417" s="21" t="s">
        <v>368</v>
      </c>
      <c r="E1417" s="20">
        <v>77134.103999999992</v>
      </c>
      <c r="F1417" s="20">
        <f t="shared" si="278"/>
        <v>231402</v>
      </c>
      <c r="G1417" s="20">
        <v>0</v>
      </c>
      <c r="H1417" s="20">
        <f t="shared" si="279"/>
        <v>0</v>
      </c>
      <c r="I1417" s="20">
        <v>0</v>
      </c>
      <c r="J1417" s="20">
        <f t="shared" si="280"/>
        <v>0</v>
      </c>
      <c r="K1417" s="20">
        <f t="shared" si="281"/>
        <v>77134.103999999992</v>
      </c>
      <c r="L1417" s="20">
        <f t="shared" si="277"/>
        <v>231402</v>
      </c>
      <c r="M1417" s="18"/>
      <c r="N1417" s="44"/>
    </row>
    <row r="1418" spans="1:14" ht="21" customHeight="1">
      <c r="A1418" s="18" t="s">
        <v>1277</v>
      </c>
      <c r="B1418" s="18" t="s">
        <v>1278</v>
      </c>
      <c r="C1418" s="20">
        <v>26</v>
      </c>
      <c r="D1418" s="21" t="s">
        <v>368</v>
      </c>
      <c r="E1418" s="20">
        <v>557079.64</v>
      </c>
      <c r="F1418" s="20">
        <f t="shared" si="278"/>
        <v>14484071</v>
      </c>
      <c r="G1418" s="20">
        <v>0</v>
      </c>
      <c r="H1418" s="20">
        <f t="shared" si="279"/>
        <v>0</v>
      </c>
      <c r="I1418" s="20">
        <v>0</v>
      </c>
      <c r="J1418" s="20">
        <f t="shared" si="280"/>
        <v>0</v>
      </c>
      <c r="K1418" s="20">
        <f t="shared" si="281"/>
        <v>557079.64</v>
      </c>
      <c r="L1418" s="20">
        <f t="shared" si="277"/>
        <v>14484071</v>
      </c>
      <c r="M1418" s="18"/>
      <c r="N1418" s="44"/>
    </row>
    <row r="1419" spans="1:14" ht="21" customHeight="1">
      <c r="A1419" s="18" t="s">
        <v>1279</v>
      </c>
      <c r="B1419" s="18" t="s">
        <v>235</v>
      </c>
      <c r="C1419" s="20">
        <v>11</v>
      </c>
      <c r="D1419" s="21" t="s">
        <v>231</v>
      </c>
      <c r="E1419" s="20">
        <v>76062.796999999991</v>
      </c>
      <c r="F1419" s="20">
        <f t="shared" si="278"/>
        <v>836691</v>
      </c>
      <c r="G1419" s="20">
        <v>40420.094899999996</v>
      </c>
      <c r="H1419" s="20">
        <f t="shared" si="279"/>
        <v>444621</v>
      </c>
      <c r="I1419" s="20">
        <v>45183.698599999996</v>
      </c>
      <c r="J1419" s="20">
        <f t="shared" si="280"/>
        <v>497021</v>
      </c>
      <c r="K1419" s="20">
        <f t="shared" si="281"/>
        <v>161666.59049999999</v>
      </c>
      <c r="L1419" s="20">
        <f t="shared" si="277"/>
        <v>1778333</v>
      </c>
      <c r="M1419" s="18"/>
      <c r="N1419" s="44"/>
    </row>
    <row r="1420" spans="1:14" ht="21" customHeight="1">
      <c r="A1420" s="18" t="s">
        <v>1280</v>
      </c>
      <c r="B1420" s="18" t="s">
        <v>1281</v>
      </c>
      <c r="C1420" s="20">
        <v>15</v>
      </c>
      <c r="D1420" s="21" t="s">
        <v>231</v>
      </c>
      <c r="E1420" s="20">
        <v>118818.5533</v>
      </c>
      <c r="F1420" s="20">
        <f t="shared" si="278"/>
        <v>1782278</v>
      </c>
      <c r="G1420" s="20">
        <v>48208.815000000002</v>
      </c>
      <c r="H1420" s="20">
        <f t="shared" si="279"/>
        <v>723132</v>
      </c>
      <c r="I1420" s="20">
        <v>49113.592100000002</v>
      </c>
      <c r="J1420" s="20">
        <f t="shared" si="280"/>
        <v>736704</v>
      </c>
      <c r="K1420" s="20">
        <f t="shared" si="281"/>
        <v>216140.96040000001</v>
      </c>
      <c r="L1420" s="20">
        <f t="shared" si="277"/>
        <v>3242114</v>
      </c>
      <c r="M1420" s="18"/>
      <c r="N1420" s="44"/>
    </row>
    <row r="1421" spans="1:14" ht="21" customHeight="1">
      <c r="A1421" s="18" t="s">
        <v>1282</v>
      </c>
      <c r="B1421" s="18" t="s">
        <v>1283</v>
      </c>
      <c r="C1421" s="20">
        <v>35</v>
      </c>
      <c r="D1421" s="21" t="s">
        <v>1284</v>
      </c>
      <c r="E1421" s="20">
        <v>0</v>
      </c>
      <c r="F1421" s="20">
        <f t="shared" si="278"/>
        <v>0</v>
      </c>
      <c r="G1421" s="20">
        <v>0</v>
      </c>
      <c r="H1421" s="20">
        <f t="shared" si="279"/>
        <v>0</v>
      </c>
      <c r="I1421" s="20">
        <v>611308.98820000002</v>
      </c>
      <c r="J1421" s="20">
        <f t="shared" si="280"/>
        <v>21395815</v>
      </c>
      <c r="K1421" s="20">
        <f t="shared" si="281"/>
        <v>611308.98820000002</v>
      </c>
      <c r="L1421" s="20">
        <f t="shared" si="277"/>
        <v>21395815</v>
      </c>
      <c r="M1421" s="18"/>
      <c r="N1421" s="44"/>
    </row>
    <row r="1422" spans="1:14" ht="21" customHeight="1">
      <c r="A1422" s="18" t="s">
        <v>1285</v>
      </c>
      <c r="B1422" s="18" t="s">
        <v>1286</v>
      </c>
      <c r="C1422" s="20">
        <v>74</v>
      </c>
      <c r="D1422" s="21" t="s">
        <v>231</v>
      </c>
      <c r="E1422" s="20">
        <v>20354.832999999999</v>
      </c>
      <c r="F1422" s="20">
        <f t="shared" si="278"/>
        <v>1506258</v>
      </c>
      <c r="G1422" s="20">
        <v>17140.912</v>
      </c>
      <c r="H1422" s="20">
        <f t="shared" si="279"/>
        <v>1268427</v>
      </c>
      <c r="I1422" s="20">
        <v>3975.5036</v>
      </c>
      <c r="J1422" s="20">
        <f t="shared" si="280"/>
        <v>294187</v>
      </c>
      <c r="K1422" s="20">
        <f t="shared" si="281"/>
        <v>41471.248599999992</v>
      </c>
      <c r="L1422" s="20">
        <f t="shared" si="277"/>
        <v>3068872</v>
      </c>
      <c r="M1422" s="18"/>
      <c r="N1422" s="44"/>
    </row>
    <row r="1423" spans="1:14" ht="21" customHeight="1">
      <c r="A1423" s="18" t="s">
        <v>1287</v>
      </c>
      <c r="B1423" s="18" t="s">
        <v>1288</v>
      </c>
      <c r="C1423" s="20">
        <v>2284</v>
      </c>
      <c r="D1423" s="21" t="s">
        <v>93</v>
      </c>
      <c r="E1423" s="20">
        <v>7145.9358999999995</v>
      </c>
      <c r="F1423" s="20">
        <f t="shared" si="278"/>
        <v>16321318</v>
      </c>
      <c r="G1423" s="20">
        <v>9106.1095000000005</v>
      </c>
      <c r="H1423" s="20">
        <f t="shared" si="279"/>
        <v>20798354</v>
      </c>
      <c r="I1423" s="20">
        <v>5846.5783999999994</v>
      </c>
      <c r="J1423" s="20">
        <f t="shared" si="280"/>
        <v>13353585</v>
      </c>
      <c r="K1423" s="20">
        <f t="shared" si="281"/>
        <v>22098.623799999998</v>
      </c>
      <c r="L1423" s="20">
        <f t="shared" si="277"/>
        <v>50473257</v>
      </c>
      <c r="M1423" s="18"/>
      <c r="N1423" s="44"/>
    </row>
    <row r="1424" spans="1:14" ht="21" customHeight="1">
      <c r="A1424" s="18" t="s">
        <v>1289</v>
      </c>
      <c r="B1424" s="18" t="s">
        <v>1044</v>
      </c>
      <c r="C1424" s="20">
        <v>6750</v>
      </c>
      <c r="D1424" s="21" t="s">
        <v>190</v>
      </c>
      <c r="E1424" s="20">
        <v>0</v>
      </c>
      <c r="F1424" s="20">
        <f t="shared" si="278"/>
        <v>0</v>
      </c>
      <c r="G1424" s="20">
        <v>0</v>
      </c>
      <c r="H1424" s="20">
        <f t="shared" si="279"/>
        <v>0</v>
      </c>
      <c r="I1424" s="20">
        <v>7366.5614999999998</v>
      </c>
      <c r="J1424" s="20">
        <f t="shared" si="280"/>
        <v>49724290</v>
      </c>
      <c r="K1424" s="20">
        <f t="shared" si="281"/>
        <v>7366.5614999999998</v>
      </c>
      <c r="L1424" s="20">
        <f t="shared" si="277"/>
        <v>49724290</v>
      </c>
      <c r="M1424" s="18"/>
      <c r="N1424" s="44"/>
    </row>
    <row r="1425" spans="1:14" ht="21" customHeight="1">
      <c r="A1425" s="18" t="s">
        <v>1290</v>
      </c>
      <c r="B1425" s="18" t="s">
        <v>112</v>
      </c>
      <c r="C1425" s="20">
        <v>83</v>
      </c>
      <c r="D1425" s="21" t="s">
        <v>93</v>
      </c>
      <c r="E1425" s="20">
        <v>6642.1034</v>
      </c>
      <c r="F1425" s="20">
        <f t="shared" si="278"/>
        <v>551295</v>
      </c>
      <c r="G1425" s="20">
        <v>7499.1489999999994</v>
      </c>
      <c r="H1425" s="20">
        <f t="shared" si="279"/>
        <v>622429</v>
      </c>
      <c r="I1425" s="20">
        <v>1168.8914</v>
      </c>
      <c r="J1425" s="20">
        <f t="shared" si="280"/>
        <v>97018</v>
      </c>
      <c r="K1425" s="20">
        <f t="shared" si="281"/>
        <v>15310.1438</v>
      </c>
      <c r="L1425" s="20">
        <f t="shared" si="277"/>
        <v>1270742</v>
      </c>
      <c r="M1425" s="18"/>
      <c r="N1425" s="44"/>
    </row>
    <row r="1426" spans="1:14" ht="21" customHeight="1">
      <c r="A1426" s="18"/>
      <c r="B1426" s="18"/>
      <c r="C1426" s="20"/>
      <c r="D1426" s="21"/>
      <c r="E1426" s="20"/>
      <c r="F1426" s="20"/>
      <c r="G1426" s="20"/>
      <c r="H1426" s="20"/>
      <c r="I1426" s="20"/>
      <c r="J1426" s="20"/>
      <c r="K1426" s="20"/>
      <c r="L1426" s="20"/>
      <c r="M1426" s="18"/>
      <c r="N1426" s="44"/>
    </row>
    <row r="1427" spans="1:14" ht="21" customHeight="1">
      <c r="A1427" s="14" t="s">
        <v>1291</v>
      </c>
      <c r="B1427" s="15"/>
      <c r="C1427" s="16"/>
      <c r="D1427" s="16"/>
      <c r="E1427" s="16"/>
      <c r="F1427" s="17">
        <f>SUM(F1428:F1444)</f>
        <v>72135060</v>
      </c>
      <c r="G1427" s="16"/>
      <c r="H1427" s="17">
        <f>SUM(H1428:H1444)</f>
        <v>51913040</v>
      </c>
      <c r="I1427" s="16"/>
      <c r="J1427" s="17">
        <f>SUM(J1428:J1444)</f>
        <v>457514727</v>
      </c>
      <c r="K1427" s="16"/>
      <c r="L1427" s="17">
        <f t="shared" ref="L1427:L1444" si="282">F1427+H1427+J1427</f>
        <v>581562827</v>
      </c>
      <c r="M1427" s="16"/>
    </row>
    <row r="1428" spans="1:14" ht="21" customHeight="1">
      <c r="A1428" s="18" t="s">
        <v>1268</v>
      </c>
      <c r="B1428" s="18" t="s">
        <v>1269</v>
      </c>
      <c r="C1428" s="20">
        <v>1</v>
      </c>
      <c r="D1428" s="21" t="s">
        <v>201</v>
      </c>
      <c r="E1428" s="20">
        <v>653497.27</v>
      </c>
      <c r="F1428" s="20">
        <f t="shared" ref="F1428:F1444" si="283">ROUND(E1428*C1428,0)</f>
        <v>653497</v>
      </c>
      <c r="G1428" s="20">
        <v>111148.63159999999</v>
      </c>
      <c r="H1428" s="20">
        <f t="shared" ref="H1428:H1444" si="284">ROUND(G1428*C1428,0)</f>
        <v>111149</v>
      </c>
      <c r="I1428" s="20">
        <v>124245.09449999999</v>
      </c>
      <c r="J1428" s="20">
        <f t="shared" ref="J1428:J1444" si="285">ROUND(I1428*C1428,0)</f>
        <v>124245</v>
      </c>
      <c r="K1428" s="20">
        <f t="shared" ref="K1428:K1444" si="286">E1428+G1428+I1428</f>
        <v>888890.99609999999</v>
      </c>
      <c r="L1428" s="20">
        <f t="shared" si="282"/>
        <v>888891</v>
      </c>
      <c r="M1428" s="18"/>
      <c r="N1428" s="44"/>
    </row>
    <row r="1429" spans="1:14" ht="21" customHeight="1">
      <c r="A1429" s="18" t="s">
        <v>1270</v>
      </c>
      <c r="B1429" s="18" t="s">
        <v>1271</v>
      </c>
      <c r="C1429" s="20">
        <v>7</v>
      </c>
      <c r="D1429" s="21" t="s">
        <v>201</v>
      </c>
      <c r="E1429" s="20">
        <v>181050.883</v>
      </c>
      <c r="F1429" s="20">
        <f t="shared" si="283"/>
        <v>1267356</v>
      </c>
      <c r="G1429" s="20">
        <v>88768.922299999991</v>
      </c>
      <c r="H1429" s="20">
        <f t="shared" si="284"/>
        <v>621382</v>
      </c>
      <c r="I1429" s="20">
        <v>141994.84829999998</v>
      </c>
      <c r="J1429" s="20">
        <f t="shared" si="285"/>
        <v>993964</v>
      </c>
      <c r="K1429" s="20">
        <f t="shared" si="286"/>
        <v>411814.65359999996</v>
      </c>
      <c r="L1429" s="20">
        <f t="shared" si="282"/>
        <v>2882702</v>
      </c>
      <c r="M1429" s="18"/>
      <c r="N1429" s="44"/>
    </row>
    <row r="1430" spans="1:14" ht="21" customHeight="1">
      <c r="A1430" s="18" t="s">
        <v>1272</v>
      </c>
      <c r="B1430" s="18"/>
      <c r="C1430" s="20">
        <v>1</v>
      </c>
      <c r="D1430" s="21" t="s">
        <v>201</v>
      </c>
      <c r="E1430" s="20">
        <v>40709.665999999997</v>
      </c>
      <c r="F1430" s="20">
        <f t="shared" si="283"/>
        <v>40710</v>
      </c>
      <c r="G1430" s="20">
        <v>91061.095000000001</v>
      </c>
      <c r="H1430" s="20">
        <f t="shared" si="284"/>
        <v>91061</v>
      </c>
      <c r="I1430" s="20">
        <v>0</v>
      </c>
      <c r="J1430" s="20">
        <f t="shared" si="285"/>
        <v>0</v>
      </c>
      <c r="K1430" s="20">
        <f t="shared" si="286"/>
        <v>131770.761</v>
      </c>
      <c r="L1430" s="20">
        <f t="shared" si="282"/>
        <v>131771</v>
      </c>
      <c r="M1430" s="18"/>
      <c r="N1430" s="44"/>
    </row>
    <row r="1431" spans="1:14" ht="21" customHeight="1">
      <c r="A1431" s="18" t="s">
        <v>1273</v>
      </c>
      <c r="B1431" s="18" t="s">
        <v>449</v>
      </c>
      <c r="C1431" s="20">
        <v>22</v>
      </c>
      <c r="D1431" s="21" t="s">
        <v>231</v>
      </c>
      <c r="E1431" s="20">
        <v>4499.4893999999995</v>
      </c>
      <c r="F1431" s="20">
        <f t="shared" si="283"/>
        <v>98989</v>
      </c>
      <c r="G1431" s="20">
        <v>20569.094399999998</v>
      </c>
      <c r="H1431" s="20">
        <f t="shared" si="284"/>
        <v>452520</v>
      </c>
      <c r="I1431" s="20">
        <v>0</v>
      </c>
      <c r="J1431" s="20">
        <f t="shared" si="285"/>
        <v>0</v>
      </c>
      <c r="K1431" s="20">
        <f t="shared" si="286"/>
        <v>25068.583799999997</v>
      </c>
      <c r="L1431" s="20">
        <f t="shared" si="282"/>
        <v>551509</v>
      </c>
      <c r="M1431" s="18"/>
      <c r="N1431" s="44"/>
    </row>
    <row r="1432" spans="1:14" ht="21" customHeight="1">
      <c r="A1432" s="18" t="s">
        <v>1274</v>
      </c>
      <c r="B1432" s="18" t="s">
        <v>1275</v>
      </c>
      <c r="C1432" s="20">
        <v>152</v>
      </c>
      <c r="D1432" s="21" t="s">
        <v>231</v>
      </c>
      <c r="E1432" s="20">
        <v>4499.4893999999995</v>
      </c>
      <c r="F1432" s="20">
        <f t="shared" si="283"/>
        <v>683922</v>
      </c>
      <c r="G1432" s="20">
        <v>23140.231199999998</v>
      </c>
      <c r="H1432" s="20">
        <f t="shared" si="284"/>
        <v>3517315</v>
      </c>
      <c r="I1432" s="20">
        <v>7016.5304999999998</v>
      </c>
      <c r="J1432" s="20">
        <f t="shared" si="285"/>
        <v>1066513</v>
      </c>
      <c r="K1432" s="20">
        <f t="shared" si="286"/>
        <v>34656.251099999994</v>
      </c>
      <c r="L1432" s="20">
        <f t="shared" si="282"/>
        <v>5267750</v>
      </c>
      <c r="M1432" s="18"/>
      <c r="N1432" s="44"/>
    </row>
    <row r="1433" spans="1:14" ht="21" customHeight="1">
      <c r="A1433" s="18" t="s">
        <v>1276</v>
      </c>
      <c r="B1433" s="18" t="s">
        <v>504</v>
      </c>
      <c r="C1433" s="20">
        <v>4</v>
      </c>
      <c r="D1433" s="21" t="s">
        <v>368</v>
      </c>
      <c r="E1433" s="20">
        <v>77134.103999999992</v>
      </c>
      <c r="F1433" s="20">
        <f t="shared" si="283"/>
        <v>308536</v>
      </c>
      <c r="G1433" s="20">
        <v>0</v>
      </c>
      <c r="H1433" s="20">
        <f t="shared" si="284"/>
        <v>0</v>
      </c>
      <c r="I1433" s="20">
        <v>0</v>
      </c>
      <c r="J1433" s="20">
        <f t="shared" si="285"/>
        <v>0</v>
      </c>
      <c r="K1433" s="20">
        <f t="shared" si="286"/>
        <v>77134.103999999992</v>
      </c>
      <c r="L1433" s="20">
        <f t="shared" si="282"/>
        <v>308536</v>
      </c>
      <c r="M1433" s="18"/>
      <c r="N1433" s="44"/>
    </row>
    <row r="1434" spans="1:14" ht="21" customHeight="1">
      <c r="A1434" s="18" t="s">
        <v>1277</v>
      </c>
      <c r="B1434" s="18" t="s">
        <v>1278</v>
      </c>
      <c r="C1434" s="20">
        <v>26</v>
      </c>
      <c r="D1434" s="21" t="s">
        <v>368</v>
      </c>
      <c r="E1434" s="20">
        <v>557079.64</v>
      </c>
      <c r="F1434" s="20">
        <f t="shared" si="283"/>
        <v>14484071</v>
      </c>
      <c r="G1434" s="20">
        <v>0</v>
      </c>
      <c r="H1434" s="20">
        <f t="shared" si="284"/>
        <v>0</v>
      </c>
      <c r="I1434" s="20">
        <v>0</v>
      </c>
      <c r="J1434" s="20">
        <f t="shared" si="285"/>
        <v>0</v>
      </c>
      <c r="K1434" s="20">
        <f t="shared" si="286"/>
        <v>557079.64</v>
      </c>
      <c r="L1434" s="20">
        <f t="shared" si="282"/>
        <v>14484071</v>
      </c>
      <c r="M1434" s="18"/>
      <c r="N1434" s="44"/>
    </row>
    <row r="1435" spans="1:14" ht="21" customHeight="1">
      <c r="A1435" s="18" t="s">
        <v>1279</v>
      </c>
      <c r="B1435" s="18" t="s">
        <v>235</v>
      </c>
      <c r="C1435" s="20">
        <v>10</v>
      </c>
      <c r="D1435" s="21" t="s">
        <v>231</v>
      </c>
      <c r="E1435" s="20">
        <v>76062.796999999991</v>
      </c>
      <c r="F1435" s="20">
        <f t="shared" si="283"/>
        <v>760628</v>
      </c>
      <c r="G1435" s="20">
        <v>40420.094899999996</v>
      </c>
      <c r="H1435" s="20">
        <f t="shared" si="284"/>
        <v>404201</v>
      </c>
      <c r="I1435" s="20">
        <v>45183.698599999996</v>
      </c>
      <c r="J1435" s="20">
        <f t="shared" si="285"/>
        <v>451837</v>
      </c>
      <c r="K1435" s="20">
        <f t="shared" si="286"/>
        <v>161666.59049999999</v>
      </c>
      <c r="L1435" s="20">
        <f t="shared" si="282"/>
        <v>1616666</v>
      </c>
      <c r="M1435" s="18"/>
      <c r="N1435" s="44"/>
    </row>
    <row r="1436" spans="1:14" ht="21" customHeight="1">
      <c r="A1436" s="18" t="s">
        <v>1280</v>
      </c>
      <c r="B1436" s="18" t="s">
        <v>1281</v>
      </c>
      <c r="C1436" s="20">
        <v>15</v>
      </c>
      <c r="D1436" s="21" t="s">
        <v>231</v>
      </c>
      <c r="E1436" s="20">
        <v>118818.5533</v>
      </c>
      <c r="F1436" s="20">
        <f t="shared" si="283"/>
        <v>1782278</v>
      </c>
      <c r="G1436" s="20">
        <v>48208.815000000002</v>
      </c>
      <c r="H1436" s="20">
        <f t="shared" si="284"/>
        <v>723132</v>
      </c>
      <c r="I1436" s="20">
        <v>49113.592100000002</v>
      </c>
      <c r="J1436" s="20">
        <f t="shared" si="285"/>
        <v>736704</v>
      </c>
      <c r="K1436" s="20">
        <f t="shared" si="286"/>
        <v>216140.96040000001</v>
      </c>
      <c r="L1436" s="20">
        <f t="shared" si="282"/>
        <v>3242114</v>
      </c>
      <c r="M1436" s="18"/>
      <c r="N1436" s="44"/>
    </row>
    <row r="1437" spans="1:14" ht="21" customHeight="1">
      <c r="A1437" s="18" t="s">
        <v>1282</v>
      </c>
      <c r="B1437" s="18" t="s">
        <v>1283</v>
      </c>
      <c r="C1437" s="20">
        <v>117</v>
      </c>
      <c r="D1437" s="21" t="s">
        <v>1284</v>
      </c>
      <c r="E1437" s="20">
        <v>0</v>
      </c>
      <c r="F1437" s="20">
        <f t="shared" si="283"/>
        <v>0</v>
      </c>
      <c r="G1437" s="20">
        <v>0</v>
      </c>
      <c r="H1437" s="20">
        <f t="shared" si="284"/>
        <v>0</v>
      </c>
      <c r="I1437" s="20">
        <v>611308.98820000002</v>
      </c>
      <c r="J1437" s="20">
        <f t="shared" si="285"/>
        <v>71523152</v>
      </c>
      <c r="K1437" s="20">
        <f t="shared" si="286"/>
        <v>611308.98820000002</v>
      </c>
      <c r="L1437" s="20">
        <f t="shared" si="282"/>
        <v>71523152</v>
      </c>
      <c r="M1437" s="18"/>
      <c r="N1437" s="44"/>
    </row>
    <row r="1438" spans="1:14" ht="21" customHeight="1">
      <c r="A1438" s="18" t="s">
        <v>1292</v>
      </c>
      <c r="B1438" s="18" t="s">
        <v>1293</v>
      </c>
      <c r="C1438" s="20">
        <v>420</v>
      </c>
      <c r="D1438" s="21" t="s">
        <v>1284</v>
      </c>
      <c r="E1438" s="20">
        <v>0</v>
      </c>
      <c r="F1438" s="20">
        <f t="shared" si="283"/>
        <v>0</v>
      </c>
      <c r="G1438" s="20">
        <v>0</v>
      </c>
      <c r="H1438" s="20">
        <f t="shared" si="284"/>
        <v>0</v>
      </c>
      <c r="I1438" s="20">
        <v>611308.98820000002</v>
      </c>
      <c r="J1438" s="20">
        <f t="shared" si="285"/>
        <v>256749775</v>
      </c>
      <c r="K1438" s="20">
        <f t="shared" si="286"/>
        <v>611308.98820000002</v>
      </c>
      <c r="L1438" s="20">
        <f t="shared" si="282"/>
        <v>256749775</v>
      </c>
      <c r="M1438" s="18"/>
      <c r="N1438" s="44"/>
    </row>
    <row r="1439" spans="1:14" ht="21" customHeight="1">
      <c r="A1439" s="18" t="s">
        <v>1294</v>
      </c>
      <c r="B1439" s="18" t="s">
        <v>1295</v>
      </c>
      <c r="C1439" s="20">
        <v>40</v>
      </c>
      <c r="D1439" s="21" t="s">
        <v>93</v>
      </c>
      <c r="E1439" s="20">
        <v>85704.56</v>
      </c>
      <c r="F1439" s="20">
        <f t="shared" si="283"/>
        <v>3428182</v>
      </c>
      <c r="G1439" s="20">
        <v>58921.885000000002</v>
      </c>
      <c r="H1439" s="20">
        <f t="shared" si="284"/>
        <v>2356875</v>
      </c>
      <c r="I1439" s="20">
        <v>76008.701300000001</v>
      </c>
      <c r="J1439" s="20">
        <f t="shared" si="285"/>
        <v>3040348</v>
      </c>
      <c r="K1439" s="20">
        <f t="shared" si="286"/>
        <v>220635.14630000002</v>
      </c>
      <c r="L1439" s="20">
        <f t="shared" si="282"/>
        <v>8825405</v>
      </c>
      <c r="M1439" s="18"/>
      <c r="N1439" s="44"/>
    </row>
    <row r="1440" spans="1:14" ht="21" customHeight="1">
      <c r="A1440" s="18" t="s">
        <v>1296</v>
      </c>
      <c r="B1440" s="18" t="s">
        <v>1297</v>
      </c>
      <c r="C1440" s="20">
        <v>182</v>
      </c>
      <c r="D1440" s="21" t="s">
        <v>93</v>
      </c>
      <c r="E1440" s="20">
        <v>85704.56</v>
      </c>
      <c r="F1440" s="20">
        <f t="shared" si="283"/>
        <v>15598230</v>
      </c>
      <c r="G1440" s="20">
        <v>58921.885000000002</v>
      </c>
      <c r="H1440" s="20">
        <f t="shared" si="284"/>
        <v>10723783</v>
      </c>
      <c r="I1440" s="20">
        <v>76008.701300000001</v>
      </c>
      <c r="J1440" s="20">
        <f t="shared" si="285"/>
        <v>13833584</v>
      </c>
      <c r="K1440" s="20">
        <f t="shared" si="286"/>
        <v>220635.14630000002</v>
      </c>
      <c r="L1440" s="20">
        <f t="shared" si="282"/>
        <v>40155597</v>
      </c>
      <c r="M1440" s="18"/>
      <c r="N1440" s="44"/>
    </row>
    <row r="1441" spans="1:14" ht="21" customHeight="1">
      <c r="A1441" s="18" t="s">
        <v>1298</v>
      </c>
      <c r="B1441" s="18" t="s">
        <v>1286</v>
      </c>
      <c r="C1441" s="20">
        <v>170</v>
      </c>
      <c r="D1441" s="21" t="s">
        <v>231</v>
      </c>
      <c r="E1441" s="20">
        <v>26782.674999999999</v>
      </c>
      <c r="F1441" s="20">
        <f t="shared" si="283"/>
        <v>4553055</v>
      </c>
      <c r="G1441" s="20">
        <v>13926.991</v>
      </c>
      <c r="H1441" s="20">
        <f t="shared" si="284"/>
        <v>2367588</v>
      </c>
      <c r="I1441" s="20">
        <v>0</v>
      </c>
      <c r="J1441" s="20">
        <f t="shared" si="285"/>
        <v>0</v>
      </c>
      <c r="K1441" s="20">
        <f t="shared" si="286"/>
        <v>40709.665999999997</v>
      </c>
      <c r="L1441" s="20">
        <f t="shared" si="282"/>
        <v>6920643</v>
      </c>
      <c r="M1441" s="18"/>
      <c r="N1441" s="44"/>
    </row>
    <row r="1442" spans="1:14" ht="21" customHeight="1">
      <c r="A1442" s="18" t="s">
        <v>1287</v>
      </c>
      <c r="B1442" s="18" t="s">
        <v>1288</v>
      </c>
      <c r="C1442" s="20">
        <v>2823</v>
      </c>
      <c r="D1442" s="21" t="s">
        <v>93</v>
      </c>
      <c r="E1442" s="20">
        <v>7145.9358999999995</v>
      </c>
      <c r="F1442" s="20">
        <f t="shared" si="283"/>
        <v>20172977</v>
      </c>
      <c r="G1442" s="20">
        <v>7499.1489999999994</v>
      </c>
      <c r="H1442" s="20">
        <f t="shared" si="284"/>
        <v>21170098</v>
      </c>
      <c r="I1442" s="20">
        <v>5846.5783999999994</v>
      </c>
      <c r="J1442" s="20">
        <f t="shared" si="285"/>
        <v>16504891</v>
      </c>
      <c r="K1442" s="20">
        <f t="shared" si="286"/>
        <v>20491.663299999997</v>
      </c>
      <c r="L1442" s="20">
        <f t="shared" si="282"/>
        <v>57847966</v>
      </c>
      <c r="M1442" s="18"/>
      <c r="N1442" s="44"/>
    </row>
    <row r="1443" spans="1:14" ht="21" customHeight="1">
      <c r="A1443" s="18" t="s">
        <v>1289</v>
      </c>
      <c r="B1443" s="18" t="s">
        <v>1044</v>
      </c>
      <c r="C1443" s="20">
        <v>12357</v>
      </c>
      <c r="D1443" s="21" t="s">
        <v>190</v>
      </c>
      <c r="E1443" s="20">
        <v>0</v>
      </c>
      <c r="F1443" s="20">
        <f t="shared" si="283"/>
        <v>0</v>
      </c>
      <c r="G1443" s="20">
        <v>0</v>
      </c>
      <c r="H1443" s="20">
        <f t="shared" si="284"/>
        <v>0</v>
      </c>
      <c r="I1443" s="20">
        <v>7366.5614999999998</v>
      </c>
      <c r="J1443" s="20">
        <f t="shared" si="285"/>
        <v>91028600</v>
      </c>
      <c r="K1443" s="20">
        <f t="shared" si="286"/>
        <v>7366.5614999999998</v>
      </c>
      <c r="L1443" s="20">
        <f t="shared" si="282"/>
        <v>91028600</v>
      </c>
      <c r="M1443" s="18"/>
      <c r="N1443" s="44"/>
    </row>
    <row r="1444" spans="1:14" ht="21" customHeight="1">
      <c r="A1444" s="18" t="s">
        <v>1290</v>
      </c>
      <c r="B1444" s="18" t="s">
        <v>112</v>
      </c>
      <c r="C1444" s="20">
        <v>1250</v>
      </c>
      <c r="D1444" s="21" t="s">
        <v>93</v>
      </c>
      <c r="E1444" s="20">
        <v>6642.1034</v>
      </c>
      <c r="F1444" s="20">
        <f t="shared" si="283"/>
        <v>8302629</v>
      </c>
      <c r="G1444" s="20">
        <v>7499.1489999999994</v>
      </c>
      <c r="H1444" s="20">
        <f t="shared" si="284"/>
        <v>9373936</v>
      </c>
      <c r="I1444" s="20">
        <v>1168.8914</v>
      </c>
      <c r="J1444" s="20">
        <f t="shared" si="285"/>
        <v>1461114</v>
      </c>
      <c r="K1444" s="20">
        <f t="shared" si="286"/>
        <v>15310.1438</v>
      </c>
      <c r="L1444" s="20">
        <f t="shared" si="282"/>
        <v>19137679</v>
      </c>
      <c r="M1444" s="18"/>
      <c r="N1444" s="44"/>
    </row>
    <row r="1445" spans="1:14" ht="21" customHeight="1">
      <c r="A1445" s="18"/>
      <c r="B1445" s="18"/>
      <c r="C1445" s="20"/>
      <c r="D1445" s="21"/>
      <c r="E1445" s="20"/>
      <c r="F1445" s="20"/>
      <c r="G1445" s="20"/>
      <c r="H1445" s="20"/>
      <c r="I1445" s="20"/>
      <c r="J1445" s="20"/>
      <c r="K1445" s="20"/>
      <c r="L1445" s="20"/>
      <c r="M1445" s="18"/>
      <c r="N1445" s="44"/>
    </row>
    <row r="1446" spans="1:14" ht="21" customHeight="1">
      <c r="A1446" s="14" t="s">
        <v>1299</v>
      </c>
      <c r="B1446" s="15"/>
      <c r="C1446" s="16"/>
      <c r="D1446" s="16"/>
      <c r="E1446" s="16"/>
      <c r="F1446" s="17">
        <f>SUM(F1447:F1463)</f>
        <v>71854705</v>
      </c>
      <c r="G1446" s="16"/>
      <c r="H1446" s="17">
        <f>SUM(H1447:H1463)</f>
        <v>49167943</v>
      </c>
      <c r="I1446" s="16"/>
      <c r="J1446" s="17">
        <f>SUM(J1447:J1463)</f>
        <v>119857181</v>
      </c>
      <c r="K1446" s="16"/>
      <c r="L1446" s="17">
        <f t="shared" ref="L1446:L1463" si="287">F1446+H1446+J1446</f>
        <v>240879829</v>
      </c>
      <c r="M1446" s="16"/>
    </row>
    <row r="1447" spans="1:14" ht="21" customHeight="1">
      <c r="A1447" s="18" t="s">
        <v>1268</v>
      </c>
      <c r="B1447" s="18" t="s">
        <v>1269</v>
      </c>
      <c r="C1447" s="20">
        <v>1</v>
      </c>
      <c r="D1447" s="21" t="s">
        <v>201</v>
      </c>
      <c r="E1447" s="20">
        <v>653497.27</v>
      </c>
      <c r="F1447" s="20">
        <f t="shared" ref="F1447:F1463" si="288">ROUND(E1447*C1447,0)</f>
        <v>653497</v>
      </c>
      <c r="G1447" s="20">
        <v>111148.63159999999</v>
      </c>
      <c r="H1447" s="20">
        <f t="shared" ref="H1447:H1463" si="289">ROUND(G1447*C1447,0)</f>
        <v>111149</v>
      </c>
      <c r="I1447" s="20">
        <v>124245.09449999999</v>
      </c>
      <c r="J1447" s="20">
        <f t="shared" ref="J1447:J1463" si="290">ROUND(I1447*C1447,0)</f>
        <v>124245</v>
      </c>
      <c r="K1447" s="20">
        <f t="shared" ref="K1447:K1463" si="291">E1447+G1447+I1447</f>
        <v>888890.99609999999</v>
      </c>
      <c r="L1447" s="20">
        <f t="shared" si="287"/>
        <v>888891</v>
      </c>
      <c r="M1447" s="18"/>
      <c r="N1447" s="44"/>
    </row>
    <row r="1448" spans="1:14" ht="21" customHeight="1">
      <c r="A1448" s="18" t="s">
        <v>1270</v>
      </c>
      <c r="B1448" s="18" t="s">
        <v>1271</v>
      </c>
      <c r="C1448" s="20">
        <v>3</v>
      </c>
      <c r="D1448" s="21" t="s">
        <v>201</v>
      </c>
      <c r="E1448" s="20">
        <v>181050.883</v>
      </c>
      <c r="F1448" s="20">
        <f t="shared" si="288"/>
        <v>543153</v>
      </c>
      <c r="G1448" s="20">
        <v>88768.922299999991</v>
      </c>
      <c r="H1448" s="20">
        <f t="shared" si="289"/>
        <v>266307</v>
      </c>
      <c r="I1448" s="20">
        <v>141994.84829999998</v>
      </c>
      <c r="J1448" s="20">
        <f t="shared" si="290"/>
        <v>425985</v>
      </c>
      <c r="K1448" s="20">
        <f t="shared" si="291"/>
        <v>411814.65359999996</v>
      </c>
      <c r="L1448" s="20">
        <f t="shared" si="287"/>
        <v>1235445</v>
      </c>
      <c r="M1448" s="18"/>
      <c r="N1448" s="44"/>
    </row>
    <row r="1449" spans="1:14" ht="21" customHeight="1">
      <c r="A1449" s="18" t="s">
        <v>1272</v>
      </c>
      <c r="B1449" s="18"/>
      <c r="C1449" s="20">
        <v>1</v>
      </c>
      <c r="D1449" s="21" t="s">
        <v>201</v>
      </c>
      <c r="E1449" s="20">
        <v>40709.665999999997</v>
      </c>
      <c r="F1449" s="20">
        <f t="shared" si="288"/>
        <v>40710</v>
      </c>
      <c r="G1449" s="20">
        <v>91061.095000000001</v>
      </c>
      <c r="H1449" s="20">
        <f t="shared" si="289"/>
        <v>91061</v>
      </c>
      <c r="I1449" s="20">
        <v>0</v>
      </c>
      <c r="J1449" s="20">
        <f t="shared" si="290"/>
        <v>0</v>
      </c>
      <c r="K1449" s="20">
        <f t="shared" si="291"/>
        <v>131770.761</v>
      </c>
      <c r="L1449" s="20">
        <f t="shared" si="287"/>
        <v>131771</v>
      </c>
      <c r="M1449" s="18"/>
      <c r="N1449" s="44"/>
    </row>
    <row r="1450" spans="1:14" ht="21" customHeight="1">
      <c r="A1450" s="18" t="s">
        <v>1273</v>
      </c>
      <c r="B1450" s="18" t="s">
        <v>449</v>
      </c>
      <c r="C1450" s="20">
        <v>36</v>
      </c>
      <c r="D1450" s="21" t="s">
        <v>231</v>
      </c>
      <c r="E1450" s="20">
        <v>4499.4893999999995</v>
      </c>
      <c r="F1450" s="20">
        <f t="shared" si="288"/>
        <v>161982</v>
      </c>
      <c r="G1450" s="20">
        <v>20569.094399999998</v>
      </c>
      <c r="H1450" s="20">
        <f t="shared" si="289"/>
        <v>740487</v>
      </c>
      <c r="I1450" s="20">
        <v>0</v>
      </c>
      <c r="J1450" s="20">
        <f t="shared" si="290"/>
        <v>0</v>
      </c>
      <c r="K1450" s="20">
        <f t="shared" si="291"/>
        <v>25068.583799999997</v>
      </c>
      <c r="L1450" s="20">
        <f t="shared" si="287"/>
        <v>902469</v>
      </c>
      <c r="M1450" s="18"/>
      <c r="N1450" s="44"/>
    </row>
    <row r="1451" spans="1:14" ht="21" customHeight="1">
      <c r="A1451" s="18" t="s">
        <v>1274</v>
      </c>
      <c r="B1451" s="18" t="s">
        <v>1275</v>
      </c>
      <c r="C1451" s="20">
        <v>70</v>
      </c>
      <c r="D1451" s="21" t="s">
        <v>231</v>
      </c>
      <c r="E1451" s="20">
        <v>4499.4893999999995</v>
      </c>
      <c r="F1451" s="20">
        <f t="shared" si="288"/>
        <v>314964</v>
      </c>
      <c r="G1451" s="20">
        <v>23140.231199999998</v>
      </c>
      <c r="H1451" s="20">
        <f t="shared" si="289"/>
        <v>1619816</v>
      </c>
      <c r="I1451" s="20">
        <v>7016.5304999999998</v>
      </c>
      <c r="J1451" s="20">
        <f t="shared" si="290"/>
        <v>491157</v>
      </c>
      <c r="K1451" s="20">
        <f t="shared" si="291"/>
        <v>34656.251099999994</v>
      </c>
      <c r="L1451" s="20">
        <f t="shared" si="287"/>
        <v>2425937</v>
      </c>
      <c r="M1451" s="18"/>
      <c r="N1451" s="44"/>
    </row>
    <row r="1452" spans="1:14" ht="21" customHeight="1">
      <c r="A1452" s="18" t="s">
        <v>1276</v>
      </c>
      <c r="B1452" s="18" t="s">
        <v>504</v>
      </c>
      <c r="C1452" s="20">
        <v>6</v>
      </c>
      <c r="D1452" s="21" t="s">
        <v>368</v>
      </c>
      <c r="E1452" s="20">
        <v>77134.103999999992</v>
      </c>
      <c r="F1452" s="20">
        <f t="shared" si="288"/>
        <v>462805</v>
      </c>
      <c r="G1452" s="20">
        <v>0</v>
      </c>
      <c r="H1452" s="20">
        <f t="shared" si="289"/>
        <v>0</v>
      </c>
      <c r="I1452" s="20">
        <v>0</v>
      </c>
      <c r="J1452" s="20">
        <f t="shared" si="290"/>
        <v>0</v>
      </c>
      <c r="K1452" s="20">
        <f t="shared" si="291"/>
        <v>77134.103999999992</v>
      </c>
      <c r="L1452" s="20">
        <f t="shared" si="287"/>
        <v>462805</v>
      </c>
      <c r="M1452" s="18"/>
      <c r="N1452" s="44"/>
    </row>
    <row r="1453" spans="1:14" ht="21" customHeight="1">
      <c r="A1453" s="18" t="s">
        <v>1277</v>
      </c>
      <c r="B1453" s="18" t="s">
        <v>1278</v>
      </c>
      <c r="C1453" s="20">
        <v>12</v>
      </c>
      <c r="D1453" s="21" t="s">
        <v>368</v>
      </c>
      <c r="E1453" s="20">
        <v>557079.64</v>
      </c>
      <c r="F1453" s="20">
        <f t="shared" si="288"/>
        <v>6684956</v>
      </c>
      <c r="G1453" s="20">
        <v>0</v>
      </c>
      <c r="H1453" s="20">
        <f t="shared" si="289"/>
        <v>0</v>
      </c>
      <c r="I1453" s="20">
        <v>0</v>
      </c>
      <c r="J1453" s="20">
        <f t="shared" si="290"/>
        <v>0</v>
      </c>
      <c r="K1453" s="20">
        <f t="shared" si="291"/>
        <v>557079.64</v>
      </c>
      <c r="L1453" s="20">
        <f t="shared" si="287"/>
        <v>6684956</v>
      </c>
      <c r="M1453" s="18"/>
      <c r="N1453" s="44"/>
    </row>
    <row r="1454" spans="1:14" ht="21" customHeight="1">
      <c r="A1454" s="18" t="s">
        <v>1279</v>
      </c>
      <c r="B1454" s="18" t="s">
        <v>235</v>
      </c>
      <c r="C1454" s="20">
        <v>12</v>
      </c>
      <c r="D1454" s="21" t="s">
        <v>231</v>
      </c>
      <c r="E1454" s="20">
        <v>76062.796999999991</v>
      </c>
      <c r="F1454" s="20">
        <f t="shared" si="288"/>
        <v>912754</v>
      </c>
      <c r="G1454" s="20">
        <v>40420.094899999996</v>
      </c>
      <c r="H1454" s="20">
        <f t="shared" si="289"/>
        <v>485041</v>
      </c>
      <c r="I1454" s="20">
        <v>45183.698599999996</v>
      </c>
      <c r="J1454" s="20">
        <f t="shared" si="290"/>
        <v>542204</v>
      </c>
      <c r="K1454" s="20">
        <f t="shared" si="291"/>
        <v>161666.59049999999</v>
      </c>
      <c r="L1454" s="20">
        <f t="shared" si="287"/>
        <v>1939999</v>
      </c>
      <c r="M1454" s="18"/>
      <c r="N1454" s="44"/>
    </row>
    <row r="1455" spans="1:14" ht="21" customHeight="1">
      <c r="A1455" s="18" t="s">
        <v>1280</v>
      </c>
      <c r="B1455" s="18" t="s">
        <v>1281</v>
      </c>
      <c r="C1455" s="20">
        <v>8</v>
      </c>
      <c r="D1455" s="21" t="s">
        <v>231</v>
      </c>
      <c r="E1455" s="20">
        <v>118818.5533</v>
      </c>
      <c r="F1455" s="20">
        <f t="shared" si="288"/>
        <v>950548</v>
      </c>
      <c r="G1455" s="20">
        <v>48208.815000000002</v>
      </c>
      <c r="H1455" s="20">
        <f t="shared" si="289"/>
        <v>385671</v>
      </c>
      <c r="I1455" s="20">
        <v>49113.592100000002</v>
      </c>
      <c r="J1455" s="20">
        <f t="shared" si="290"/>
        <v>392909</v>
      </c>
      <c r="K1455" s="20">
        <f t="shared" si="291"/>
        <v>216140.96040000001</v>
      </c>
      <c r="L1455" s="20">
        <f t="shared" si="287"/>
        <v>1729128</v>
      </c>
      <c r="M1455" s="18"/>
      <c r="N1455" s="44"/>
    </row>
    <row r="1456" spans="1:14" ht="21" customHeight="1">
      <c r="A1456" s="18" t="s">
        <v>1300</v>
      </c>
      <c r="B1456" s="18" t="s">
        <v>1301</v>
      </c>
      <c r="C1456" s="20">
        <v>120</v>
      </c>
      <c r="D1456" s="21" t="s">
        <v>93</v>
      </c>
      <c r="E1456" s="20">
        <v>85704.56</v>
      </c>
      <c r="F1456" s="20">
        <f t="shared" si="288"/>
        <v>10284547</v>
      </c>
      <c r="G1456" s="20">
        <v>58921.885000000002</v>
      </c>
      <c r="H1456" s="20">
        <f t="shared" si="289"/>
        <v>7070626</v>
      </c>
      <c r="I1456" s="20">
        <v>76008.701300000001</v>
      </c>
      <c r="J1456" s="20">
        <f t="shared" si="290"/>
        <v>9121044</v>
      </c>
      <c r="K1456" s="20">
        <f t="shared" si="291"/>
        <v>220635.14630000002</v>
      </c>
      <c r="L1456" s="20">
        <f t="shared" si="287"/>
        <v>26476217</v>
      </c>
      <c r="M1456" s="18"/>
      <c r="N1456" s="44"/>
    </row>
    <row r="1457" spans="1:14" ht="21" customHeight="1">
      <c r="A1457" s="18" t="s">
        <v>1302</v>
      </c>
      <c r="B1457" s="18" t="s">
        <v>1303</v>
      </c>
      <c r="C1457" s="20">
        <v>38</v>
      </c>
      <c r="D1457" s="21" t="s">
        <v>93</v>
      </c>
      <c r="E1457" s="20">
        <v>85704.56</v>
      </c>
      <c r="F1457" s="20">
        <f t="shared" si="288"/>
        <v>3256773</v>
      </c>
      <c r="G1457" s="20">
        <v>58921.885000000002</v>
      </c>
      <c r="H1457" s="20">
        <f t="shared" si="289"/>
        <v>2239032</v>
      </c>
      <c r="I1457" s="20">
        <v>76008.701300000001</v>
      </c>
      <c r="J1457" s="20">
        <f t="shared" si="290"/>
        <v>2888331</v>
      </c>
      <c r="K1457" s="20">
        <f t="shared" si="291"/>
        <v>220635.14630000002</v>
      </c>
      <c r="L1457" s="20">
        <f t="shared" si="287"/>
        <v>8384136</v>
      </c>
      <c r="M1457" s="18"/>
      <c r="N1457" s="44"/>
    </row>
    <row r="1458" spans="1:14" ht="21" customHeight="1">
      <c r="A1458" s="18" t="s">
        <v>1294</v>
      </c>
      <c r="B1458" s="18" t="s">
        <v>1304</v>
      </c>
      <c r="C1458" s="20">
        <v>175</v>
      </c>
      <c r="D1458" s="21" t="s">
        <v>93</v>
      </c>
      <c r="E1458" s="20">
        <v>85704.56</v>
      </c>
      <c r="F1458" s="20">
        <f t="shared" si="288"/>
        <v>14998298</v>
      </c>
      <c r="G1458" s="20">
        <v>58921.885000000002</v>
      </c>
      <c r="H1458" s="20">
        <f t="shared" si="289"/>
        <v>10311330</v>
      </c>
      <c r="I1458" s="20">
        <v>76008.701300000001</v>
      </c>
      <c r="J1458" s="20">
        <f t="shared" si="290"/>
        <v>13301523</v>
      </c>
      <c r="K1458" s="20">
        <f t="shared" si="291"/>
        <v>220635.14630000002</v>
      </c>
      <c r="L1458" s="20">
        <f t="shared" si="287"/>
        <v>38611151</v>
      </c>
      <c r="M1458" s="18"/>
      <c r="N1458" s="44"/>
    </row>
    <row r="1459" spans="1:14" ht="21" customHeight="1">
      <c r="A1459" s="18" t="s">
        <v>1305</v>
      </c>
      <c r="B1459" s="18" t="s">
        <v>1286</v>
      </c>
      <c r="C1459" s="20">
        <v>167</v>
      </c>
      <c r="D1459" s="21" t="s">
        <v>231</v>
      </c>
      <c r="E1459" s="20">
        <v>26782.674999999999</v>
      </c>
      <c r="F1459" s="20">
        <f t="shared" si="288"/>
        <v>4472707</v>
      </c>
      <c r="G1459" s="20">
        <v>13926.991</v>
      </c>
      <c r="H1459" s="20">
        <f t="shared" si="289"/>
        <v>2325807</v>
      </c>
      <c r="I1459" s="20">
        <v>0</v>
      </c>
      <c r="J1459" s="20">
        <f t="shared" si="290"/>
        <v>0</v>
      </c>
      <c r="K1459" s="20">
        <f t="shared" si="291"/>
        <v>40709.665999999997</v>
      </c>
      <c r="L1459" s="20">
        <f t="shared" si="287"/>
        <v>6798514</v>
      </c>
      <c r="M1459" s="18"/>
      <c r="N1459" s="44"/>
    </row>
    <row r="1460" spans="1:14" ht="21" customHeight="1">
      <c r="A1460" s="18" t="s">
        <v>1306</v>
      </c>
      <c r="B1460" s="18" t="s">
        <v>1204</v>
      </c>
      <c r="C1460" s="20">
        <v>24</v>
      </c>
      <c r="D1460" s="21" t="s">
        <v>1111</v>
      </c>
      <c r="E1460" s="20">
        <v>316035.565</v>
      </c>
      <c r="F1460" s="20">
        <f t="shared" si="288"/>
        <v>7584854</v>
      </c>
      <c r="G1460" s="20">
        <v>58921.885000000002</v>
      </c>
      <c r="H1460" s="20">
        <f t="shared" si="289"/>
        <v>1414125</v>
      </c>
      <c r="I1460" s="20">
        <v>33327.193999999996</v>
      </c>
      <c r="J1460" s="20">
        <f t="shared" si="290"/>
        <v>799853</v>
      </c>
      <c r="K1460" s="20">
        <f t="shared" si="291"/>
        <v>408284.64400000003</v>
      </c>
      <c r="L1460" s="20">
        <f t="shared" si="287"/>
        <v>9798832</v>
      </c>
      <c r="M1460" s="18"/>
      <c r="N1460" s="44"/>
    </row>
    <row r="1461" spans="1:14" ht="21" customHeight="1">
      <c r="A1461" s="18" t="s">
        <v>1307</v>
      </c>
      <c r="B1461" s="18" t="s">
        <v>1288</v>
      </c>
      <c r="C1461" s="20">
        <v>1888</v>
      </c>
      <c r="D1461" s="21" t="s">
        <v>93</v>
      </c>
      <c r="E1461" s="20">
        <v>7145.9358999999995</v>
      </c>
      <c r="F1461" s="20">
        <f t="shared" si="288"/>
        <v>13491527</v>
      </c>
      <c r="G1461" s="20">
        <v>7499.1489999999994</v>
      </c>
      <c r="H1461" s="20">
        <f t="shared" si="289"/>
        <v>14158393</v>
      </c>
      <c r="I1461" s="20">
        <v>5846.5783999999994</v>
      </c>
      <c r="J1461" s="20">
        <f t="shared" si="290"/>
        <v>11038340</v>
      </c>
      <c r="K1461" s="20">
        <f t="shared" si="291"/>
        <v>20491.663299999997</v>
      </c>
      <c r="L1461" s="20">
        <f t="shared" si="287"/>
        <v>38688260</v>
      </c>
      <c r="M1461" s="18"/>
      <c r="N1461" s="44"/>
    </row>
    <row r="1462" spans="1:14" ht="21" customHeight="1">
      <c r="A1462" s="18" t="s">
        <v>1289</v>
      </c>
      <c r="B1462" s="18" t="s">
        <v>1044</v>
      </c>
      <c r="C1462" s="20">
        <v>10791</v>
      </c>
      <c r="D1462" s="21" t="s">
        <v>190</v>
      </c>
      <c r="E1462" s="20">
        <v>0</v>
      </c>
      <c r="F1462" s="20">
        <f t="shared" si="288"/>
        <v>0</v>
      </c>
      <c r="G1462" s="20">
        <v>0</v>
      </c>
      <c r="H1462" s="20">
        <f t="shared" si="289"/>
        <v>0</v>
      </c>
      <c r="I1462" s="20">
        <v>7366.5614999999998</v>
      </c>
      <c r="J1462" s="20">
        <f t="shared" si="290"/>
        <v>79492565</v>
      </c>
      <c r="K1462" s="20">
        <f t="shared" si="291"/>
        <v>7366.5614999999998</v>
      </c>
      <c r="L1462" s="20">
        <f t="shared" si="287"/>
        <v>79492565</v>
      </c>
      <c r="M1462" s="18"/>
      <c r="N1462" s="44"/>
    </row>
    <row r="1463" spans="1:14" ht="21" customHeight="1">
      <c r="A1463" s="18" t="s">
        <v>1290</v>
      </c>
      <c r="B1463" s="18" t="s">
        <v>112</v>
      </c>
      <c r="C1463" s="20">
        <v>1060</v>
      </c>
      <c r="D1463" s="21" t="s">
        <v>93</v>
      </c>
      <c r="E1463" s="20">
        <v>6642.1034</v>
      </c>
      <c r="F1463" s="20">
        <f t="shared" si="288"/>
        <v>7040630</v>
      </c>
      <c r="G1463" s="20">
        <v>7499.1489999999994</v>
      </c>
      <c r="H1463" s="20">
        <f t="shared" si="289"/>
        <v>7949098</v>
      </c>
      <c r="I1463" s="20">
        <v>1168.8914</v>
      </c>
      <c r="J1463" s="20">
        <f t="shared" si="290"/>
        <v>1239025</v>
      </c>
      <c r="K1463" s="20">
        <f t="shared" si="291"/>
        <v>15310.1438</v>
      </c>
      <c r="L1463" s="20">
        <f t="shared" si="287"/>
        <v>16228753</v>
      </c>
      <c r="M1463" s="18"/>
      <c r="N1463" s="44"/>
    </row>
    <row r="1464" spans="1:14" ht="21" customHeight="1">
      <c r="A1464" s="18"/>
      <c r="B1464" s="18"/>
      <c r="C1464" s="20"/>
      <c r="D1464" s="21"/>
      <c r="E1464" s="20"/>
      <c r="F1464" s="20"/>
      <c r="G1464" s="20"/>
      <c r="H1464" s="20"/>
      <c r="I1464" s="20"/>
      <c r="J1464" s="20"/>
      <c r="K1464" s="20"/>
      <c r="L1464" s="20"/>
      <c r="M1464" s="18"/>
      <c r="N1464" s="44"/>
    </row>
    <row r="1465" spans="1:14" ht="21" customHeight="1">
      <c r="A1465" s="14" t="s">
        <v>1308</v>
      </c>
      <c r="B1465" s="15"/>
      <c r="C1465" s="16"/>
      <c r="D1465" s="16"/>
      <c r="E1465" s="16"/>
      <c r="F1465" s="17">
        <f>SUM(F1466:F1480)</f>
        <v>64850156</v>
      </c>
      <c r="G1465" s="16"/>
      <c r="H1465" s="17">
        <f>SUM(H1466:H1480)</f>
        <v>43131547</v>
      </c>
      <c r="I1465" s="16"/>
      <c r="J1465" s="17">
        <f>SUM(J1466:J1480)</f>
        <v>87335066</v>
      </c>
      <c r="K1465" s="16"/>
      <c r="L1465" s="17">
        <f t="shared" ref="L1465:L1480" si="292">F1465+H1465+J1465</f>
        <v>195316769</v>
      </c>
      <c r="M1465" s="16"/>
    </row>
    <row r="1466" spans="1:14" ht="21" customHeight="1">
      <c r="A1466" s="18" t="s">
        <v>1268</v>
      </c>
      <c r="B1466" s="18" t="s">
        <v>1269</v>
      </c>
      <c r="C1466" s="20">
        <v>1</v>
      </c>
      <c r="D1466" s="21" t="s">
        <v>201</v>
      </c>
      <c r="E1466" s="20">
        <v>653497.27</v>
      </c>
      <c r="F1466" s="20">
        <f t="shared" ref="F1466:F1480" si="293">ROUND(E1466*C1466,0)</f>
        <v>653497</v>
      </c>
      <c r="G1466" s="20">
        <v>111148.63159999999</v>
      </c>
      <c r="H1466" s="20">
        <f t="shared" ref="H1466:H1480" si="294">ROUND(G1466*C1466,0)</f>
        <v>111149</v>
      </c>
      <c r="I1466" s="20">
        <v>124245.09449999999</v>
      </c>
      <c r="J1466" s="20">
        <f t="shared" ref="J1466:J1480" si="295">ROUND(I1466*C1466,0)</f>
        <v>124245</v>
      </c>
      <c r="K1466" s="20">
        <f t="shared" ref="K1466:K1480" si="296">E1466+G1466+I1466</f>
        <v>888890.99609999999</v>
      </c>
      <c r="L1466" s="20">
        <f t="shared" si="292"/>
        <v>888891</v>
      </c>
      <c r="M1466" s="18"/>
      <c r="N1466" s="44"/>
    </row>
    <row r="1467" spans="1:14" ht="21" customHeight="1">
      <c r="A1467" s="18" t="s">
        <v>1270</v>
      </c>
      <c r="B1467" s="18" t="s">
        <v>1271</v>
      </c>
      <c r="C1467" s="20">
        <v>4</v>
      </c>
      <c r="D1467" s="21" t="s">
        <v>201</v>
      </c>
      <c r="E1467" s="20">
        <v>181050.883</v>
      </c>
      <c r="F1467" s="20">
        <f t="shared" si="293"/>
        <v>724204</v>
      </c>
      <c r="G1467" s="20">
        <v>88768.922299999991</v>
      </c>
      <c r="H1467" s="20">
        <f t="shared" si="294"/>
        <v>355076</v>
      </c>
      <c r="I1467" s="20">
        <v>141994.84829999998</v>
      </c>
      <c r="J1467" s="20">
        <f t="shared" si="295"/>
        <v>567979</v>
      </c>
      <c r="K1467" s="20">
        <f t="shared" si="296"/>
        <v>411814.65359999996</v>
      </c>
      <c r="L1467" s="20">
        <f t="shared" si="292"/>
        <v>1647259</v>
      </c>
      <c r="M1467" s="18"/>
      <c r="N1467" s="44"/>
    </row>
    <row r="1468" spans="1:14" ht="21" customHeight="1">
      <c r="A1468" s="18" t="s">
        <v>1272</v>
      </c>
      <c r="B1468" s="18"/>
      <c r="C1468" s="20">
        <v>1</v>
      </c>
      <c r="D1468" s="21" t="s">
        <v>201</v>
      </c>
      <c r="E1468" s="20">
        <v>40709.665999999997</v>
      </c>
      <c r="F1468" s="20">
        <f t="shared" si="293"/>
        <v>40710</v>
      </c>
      <c r="G1468" s="20">
        <v>91061.095000000001</v>
      </c>
      <c r="H1468" s="20">
        <f t="shared" si="294"/>
        <v>91061</v>
      </c>
      <c r="I1468" s="20">
        <v>0</v>
      </c>
      <c r="J1468" s="20">
        <f t="shared" si="295"/>
        <v>0</v>
      </c>
      <c r="K1468" s="20">
        <f t="shared" si="296"/>
        <v>131770.761</v>
      </c>
      <c r="L1468" s="20">
        <f t="shared" si="292"/>
        <v>131771</v>
      </c>
      <c r="M1468" s="18"/>
      <c r="N1468" s="44"/>
    </row>
    <row r="1469" spans="1:14" ht="21" customHeight="1">
      <c r="A1469" s="18" t="s">
        <v>1273</v>
      </c>
      <c r="B1469" s="18" t="s">
        <v>449</v>
      </c>
      <c r="C1469" s="20">
        <v>20</v>
      </c>
      <c r="D1469" s="21" t="s">
        <v>231</v>
      </c>
      <c r="E1469" s="20">
        <v>4499.4893999999995</v>
      </c>
      <c r="F1469" s="20">
        <f t="shared" si="293"/>
        <v>89990</v>
      </c>
      <c r="G1469" s="20">
        <v>20569.094399999998</v>
      </c>
      <c r="H1469" s="20">
        <f t="shared" si="294"/>
        <v>411382</v>
      </c>
      <c r="I1469" s="20">
        <v>0</v>
      </c>
      <c r="J1469" s="20">
        <f t="shared" si="295"/>
        <v>0</v>
      </c>
      <c r="K1469" s="20">
        <f t="shared" si="296"/>
        <v>25068.583799999997</v>
      </c>
      <c r="L1469" s="20">
        <f t="shared" si="292"/>
        <v>501372</v>
      </c>
      <c r="M1469" s="18"/>
      <c r="N1469" s="44"/>
    </row>
    <row r="1470" spans="1:14" ht="21" customHeight="1">
      <c r="A1470" s="18" t="s">
        <v>1274</v>
      </c>
      <c r="B1470" s="18" t="s">
        <v>1275</v>
      </c>
      <c r="C1470" s="20">
        <v>85</v>
      </c>
      <c r="D1470" s="21" t="s">
        <v>231</v>
      </c>
      <c r="E1470" s="20">
        <v>4499.4893999999995</v>
      </c>
      <c r="F1470" s="20">
        <f t="shared" si="293"/>
        <v>382457</v>
      </c>
      <c r="G1470" s="20">
        <v>23140.231199999998</v>
      </c>
      <c r="H1470" s="20">
        <f t="shared" si="294"/>
        <v>1966920</v>
      </c>
      <c r="I1470" s="20">
        <v>7016.5304999999998</v>
      </c>
      <c r="J1470" s="20">
        <f t="shared" si="295"/>
        <v>596405</v>
      </c>
      <c r="K1470" s="20">
        <f t="shared" si="296"/>
        <v>34656.251099999994</v>
      </c>
      <c r="L1470" s="20">
        <f t="shared" si="292"/>
        <v>2945782</v>
      </c>
      <c r="M1470" s="18"/>
      <c r="N1470" s="44"/>
    </row>
    <row r="1471" spans="1:14" ht="21" customHeight="1">
      <c r="A1471" s="18" t="s">
        <v>1276</v>
      </c>
      <c r="B1471" s="18" t="s">
        <v>504</v>
      </c>
      <c r="C1471" s="20">
        <v>4</v>
      </c>
      <c r="D1471" s="21" t="s">
        <v>368</v>
      </c>
      <c r="E1471" s="20">
        <v>77134.103999999992</v>
      </c>
      <c r="F1471" s="20">
        <f t="shared" si="293"/>
        <v>308536</v>
      </c>
      <c r="G1471" s="20">
        <v>0</v>
      </c>
      <c r="H1471" s="20">
        <f t="shared" si="294"/>
        <v>0</v>
      </c>
      <c r="I1471" s="20">
        <v>0</v>
      </c>
      <c r="J1471" s="20">
        <f t="shared" si="295"/>
        <v>0</v>
      </c>
      <c r="K1471" s="20">
        <f t="shared" si="296"/>
        <v>77134.103999999992</v>
      </c>
      <c r="L1471" s="20">
        <f t="shared" si="292"/>
        <v>308536</v>
      </c>
      <c r="M1471" s="18"/>
      <c r="N1471" s="44"/>
    </row>
    <row r="1472" spans="1:14" ht="21" customHeight="1">
      <c r="A1472" s="18" t="s">
        <v>1277</v>
      </c>
      <c r="B1472" s="18" t="s">
        <v>1278</v>
      </c>
      <c r="C1472" s="20">
        <v>15</v>
      </c>
      <c r="D1472" s="21" t="s">
        <v>368</v>
      </c>
      <c r="E1472" s="20">
        <v>557079.64</v>
      </c>
      <c r="F1472" s="20">
        <f t="shared" si="293"/>
        <v>8356195</v>
      </c>
      <c r="G1472" s="20">
        <v>0</v>
      </c>
      <c r="H1472" s="20">
        <f t="shared" si="294"/>
        <v>0</v>
      </c>
      <c r="I1472" s="20">
        <v>0</v>
      </c>
      <c r="J1472" s="20">
        <f t="shared" si="295"/>
        <v>0</v>
      </c>
      <c r="K1472" s="20">
        <f t="shared" si="296"/>
        <v>557079.64</v>
      </c>
      <c r="L1472" s="20">
        <f t="shared" si="292"/>
        <v>8356195</v>
      </c>
      <c r="M1472" s="18"/>
      <c r="N1472" s="44"/>
    </row>
    <row r="1473" spans="1:14" ht="21" customHeight="1">
      <c r="A1473" s="18" t="s">
        <v>1279</v>
      </c>
      <c r="B1473" s="18" t="s">
        <v>235</v>
      </c>
      <c r="C1473" s="20">
        <v>13</v>
      </c>
      <c r="D1473" s="21" t="s">
        <v>231</v>
      </c>
      <c r="E1473" s="20">
        <v>76062.796999999991</v>
      </c>
      <c r="F1473" s="20">
        <f t="shared" si="293"/>
        <v>988816</v>
      </c>
      <c r="G1473" s="20">
        <v>40420.094899999996</v>
      </c>
      <c r="H1473" s="20">
        <f t="shared" si="294"/>
        <v>525461</v>
      </c>
      <c r="I1473" s="20">
        <v>45183.698599999996</v>
      </c>
      <c r="J1473" s="20">
        <f t="shared" si="295"/>
        <v>587388</v>
      </c>
      <c r="K1473" s="20">
        <f t="shared" si="296"/>
        <v>161666.59049999999</v>
      </c>
      <c r="L1473" s="20">
        <f t="shared" si="292"/>
        <v>2101665</v>
      </c>
      <c r="M1473" s="18"/>
      <c r="N1473" s="44"/>
    </row>
    <row r="1474" spans="1:14" ht="21" customHeight="1">
      <c r="A1474" s="18" t="s">
        <v>1280</v>
      </c>
      <c r="B1474" s="18" t="s">
        <v>1281</v>
      </c>
      <c r="C1474" s="20">
        <v>8</v>
      </c>
      <c r="D1474" s="21" t="s">
        <v>231</v>
      </c>
      <c r="E1474" s="20">
        <v>118818.5533</v>
      </c>
      <c r="F1474" s="20">
        <f t="shared" si="293"/>
        <v>950548</v>
      </c>
      <c r="G1474" s="20">
        <v>48208.815000000002</v>
      </c>
      <c r="H1474" s="20">
        <f t="shared" si="294"/>
        <v>385671</v>
      </c>
      <c r="I1474" s="20">
        <v>49113.592100000002</v>
      </c>
      <c r="J1474" s="20">
        <f t="shared" si="295"/>
        <v>392909</v>
      </c>
      <c r="K1474" s="20">
        <f t="shared" si="296"/>
        <v>216140.96040000001</v>
      </c>
      <c r="L1474" s="20">
        <f t="shared" si="292"/>
        <v>1729128</v>
      </c>
      <c r="M1474" s="18"/>
      <c r="N1474" s="44"/>
    </row>
    <row r="1475" spans="1:14" ht="21" customHeight="1">
      <c r="A1475" s="18" t="s">
        <v>1300</v>
      </c>
      <c r="B1475" s="18" t="s">
        <v>1309</v>
      </c>
      <c r="C1475" s="20">
        <v>276</v>
      </c>
      <c r="D1475" s="21" t="s">
        <v>93</v>
      </c>
      <c r="E1475" s="20">
        <v>85704.56</v>
      </c>
      <c r="F1475" s="20">
        <f t="shared" si="293"/>
        <v>23654459</v>
      </c>
      <c r="G1475" s="20">
        <v>58921.885000000002</v>
      </c>
      <c r="H1475" s="20">
        <f t="shared" si="294"/>
        <v>16262440</v>
      </c>
      <c r="I1475" s="20">
        <v>76008.701300000001</v>
      </c>
      <c r="J1475" s="20">
        <f t="shared" si="295"/>
        <v>20978402</v>
      </c>
      <c r="K1475" s="20">
        <f t="shared" si="296"/>
        <v>220635.14630000002</v>
      </c>
      <c r="L1475" s="20">
        <f t="shared" si="292"/>
        <v>60895301</v>
      </c>
      <c r="M1475" s="18"/>
      <c r="N1475" s="44"/>
    </row>
    <row r="1476" spans="1:14" ht="21" customHeight="1">
      <c r="A1476" s="18" t="s">
        <v>1285</v>
      </c>
      <c r="B1476" s="18" t="s">
        <v>1286</v>
      </c>
      <c r="C1476" s="20">
        <v>200</v>
      </c>
      <c r="D1476" s="21" t="s">
        <v>231</v>
      </c>
      <c r="E1476" s="20">
        <v>26782.674999999999</v>
      </c>
      <c r="F1476" s="20">
        <f t="shared" si="293"/>
        <v>5356535</v>
      </c>
      <c r="G1476" s="20">
        <v>13926.991</v>
      </c>
      <c r="H1476" s="20">
        <f t="shared" si="294"/>
        <v>2785398</v>
      </c>
      <c r="I1476" s="20">
        <v>0</v>
      </c>
      <c r="J1476" s="20">
        <f t="shared" si="295"/>
        <v>0</v>
      </c>
      <c r="K1476" s="20">
        <f t="shared" si="296"/>
        <v>40709.665999999997</v>
      </c>
      <c r="L1476" s="20">
        <f t="shared" si="292"/>
        <v>8141933</v>
      </c>
      <c r="M1476" s="18"/>
      <c r="N1476" s="44"/>
    </row>
    <row r="1477" spans="1:14" ht="21" customHeight="1">
      <c r="A1477" s="18" t="s">
        <v>1310</v>
      </c>
      <c r="B1477" s="18" t="s">
        <v>1204</v>
      </c>
      <c r="C1477" s="20">
        <v>17</v>
      </c>
      <c r="D1477" s="21" t="s">
        <v>1111</v>
      </c>
      <c r="E1477" s="20">
        <v>316035.565</v>
      </c>
      <c r="F1477" s="20">
        <f t="shared" si="293"/>
        <v>5372605</v>
      </c>
      <c r="G1477" s="20">
        <v>58921.885000000002</v>
      </c>
      <c r="H1477" s="20">
        <f t="shared" si="294"/>
        <v>1001672</v>
      </c>
      <c r="I1477" s="20">
        <v>33327.193999999996</v>
      </c>
      <c r="J1477" s="20">
        <f t="shared" si="295"/>
        <v>566562</v>
      </c>
      <c r="K1477" s="20">
        <f t="shared" si="296"/>
        <v>408284.64400000003</v>
      </c>
      <c r="L1477" s="20">
        <f t="shared" si="292"/>
        <v>6940839</v>
      </c>
      <c r="M1477" s="18"/>
      <c r="N1477" s="44"/>
    </row>
    <row r="1478" spans="1:14" ht="21" customHeight="1">
      <c r="A1478" s="18" t="s">
        <v>1311</v>
      </c>
      <c r="B1478" s="18" t="s">
        <v>1288</v>
      </c>
      <c r="C1478" s="20">
        <v>1855</v>
      </c>
      <c r="D1478" s="21" t="s">
        <v>93</v>
      </c>
      <c r="E1478" s="20">
        <v>7145.9358999999995</v>
      </c>
      <c r="F1478" s="20">
        <f t="shared" si="293"/>
        <v>13255711</v>
      </c>
      <c r="G1478" s="20">
        <v>7499.1489999999994</v>
      </c>
      <c r="H1478" s="20">
        <f t="shared" si="294"/>
        <v>13910921</v>
      </c>
      <c r="I1478" s="20">
        <v>5846.5783999999994</v>
      </c>
      <c r="J1478" s="20">
        <f t="shared" si="295"/>
        <v>10845403</v>
      </c>
      <c r="K1478" s="20">
        <f t="shared" si="296"/>
        <v>20491.663299999997</v>
      </c>
      <c r="L1478" s="20">
        <f t="shared" si="292"/>
        <v>38012035</v>
      </c>
      <c r="M1478" s="18"/>
      <c r="N1478" s="44"/>
    </row>
    <row r="1479" spans="1:14" ht="21" customHeight="1">
      <c r="A1479" s="18" t="s">
        <v>1312</v>
      </c>
      <c r="B1479" s="18" t="s">
        <v>1044</v>
      </c>
      <c r="C1479" s="20">
        <v>7038</v>
      </c>
      <c r="D1479" s="21" t="s">
        <v>190</v>
      </c>
      <c r="E1479" s="20">
        <v>0</v>
      </c>
      <c r="F1479" s="20">
        <f t="shared" si="293"/>
        <v>0</v>
      </c>
      <c r="G1479" s="20">
        <v>0</v>
      </c>
      <c r="H1479" s="20">
        <f t="shared" si="294"/>
        <v>0</v>
      </c>
      <c r="I1479" s="20">
        <v>7366.5614999999998</v>
      </c>
      <c r="J1479" s="20">
        <f t="shared" si="295"/>
        <v>51845860</v>
      </c>
      <c r="K1479" s="20">
        <f t="shared" si="296"/>
        <v>7366.5614999999998</v>
      </c>
      <c r="L1479" s="20">
        <f t="shared" si="292"/>
        <v>51845860</v>
      </c>
      <c r="M1479" s="18"/>
      <c r="N1479" s="44"/>
    </row>
    <row r="1480" spans="1:14" ht="21" customHeight="1">
      <c r="A1480" s="18" t="s">
        <v>1313</v>
      </c>
      <c r="B1480" s="18" t="s">
        <v>112</v>
      </c>
      <c r="C1480" s="20">
        <v>710</v>
      </c>
      <c r="D1480" s="21" t="s">
        <v>93</v>
      </c>
      <c r="E1480" s="20">
        <v>6642.1034</v>
      </c>
      <c r="F1480" s="20">
        <f t="shared" si="293"/>
        <v>4715893</v>
      </c>
      <c r="G1480" s="20">
        <v>7499.1489999999994</v>
      </c>
      <c r="H1480" s="20">
        <f t="shared" si="294"/>
        <v>5324396</v>
      </c>
      <c r="I1480" s="20">
        <v>1168.8914</v>
      </c>
      <c r="J1480" s="20">
        <f t="shared" si="295"/>
        <v>829913</v>
      </c>
      <c r="K1480" s="20">
        <f t="shared" si="296"/>
        <v>15310.1438</v>
      </c>
      <c r="L1480" s="20">
        <f t="shared" si="292"/>
        <v>10870202</v>
      </c>
      <c r="M1480" s="18"/>
      <c r="N1480" s="44"/>
    </row>
    <row r="1481" spans="1:14" ht="21" customHeight="1">
      <c r="A1481" s="18"/>
      <c r="B1481" s="18"/>
      <c r="C1481" s="20"/>
      <c r="D1481" s="21"/>
      <c r="E1481" s="20"/>
      <c r="F1481" s="20"/>
      <c r="G1481" s="20"/>
      <c r="H1481" s="20"/>
      <c r="I1481" s="20"/>
      <c r="J1481" s="20"/>
      <c r="K1481" s="20"/>
      <c r="L1481" s="20"/>
      <c r="M1481" s="18"/>
      <c r="N1481" s="44"/>
    </row>
    <row r="1482" spans="1:14" ht="21" customHeight="1">
      <c r="A1482" s="14" t="s">
        <v>1314</v>
      </c>
      <c r="B1482" s="15"/>
      <c r="C1482" s="16"/>
      <c r="D1482" s="16"/>
      <c r="E1482" s="16"/>
      <c r="F1482" s="17">
        <f>SUM(F1483:F1497)</f>
        <v>55462553</v>
      </c>
      <c r="G1482" s="16"/>
      <c r="H1482" s="17">
        <f>SUM(H1483:H1497)</f>
        <v>33708290</v>
      </c>
      <c r="I1482" s="16"/>
      <c r="J1482" s="17">
        <f>SUM(J1483:J1497)</f>
        <v>74800007</v>
      </c>
      <c r="K1482" s="16"/>
      <c r="L1482" s="17">
        <f t="shared" ref="L1482:L1497" si="297">F1482+H1482+J1482</f>
        <v>163970850</v>
      </c>
      <c r="M1482" s="16"/>
    </row>
    <row r="1483" spans="1:14" ht="21" customHeight="1">
      <c r="A1483" s="18" t="s">
        <v>1268</v>
      </c>
      <c r="B1483" s="18" t="s">
        <v>1269</v>
      </c>
      <c r="C1483" s="20">
        <v>1</v>
      </c>
      <c r="D1483" s="21" t="s">
        <v>201</v>
      </c>
      <c r="E1483" s="20">
        <v>653497.27</v>
      </c>
      <c r="F1483" s="20">
        <f t="shared" ref="F1483:F1497" si="298">ROUND(E1483*C1483,0)</f>
        <v>653497</v>
      </c>
      <c r="G1483" s="20">
        <v>111148.63159999999</v>
      </c>
      <c r="H1483" s="20">
        <f t="shared" ref="H1483:H1497" si="299">ROUND(G1483*C1483,0)</f>
        <v>111149</v>
      </c>
      <c r="I1483" s="20">
        <v>124245.09449999999</v>
      </c>
      <c r="J1483" s="20">
        <f t="shared" ref="J1483:J1497" si="300">ROUND(I1483*C1483,0)</f>
        <v>124245</v>
      </c>
      <c r="K1483" s="20">
        <f t="shared" ref="K1483:K1497" si="301">E1483+G1483+I1483</f>
        <v>888890.99609999999</v>
      </c>
      <c r="L1483" s="20">
        <f t="shared" si="297"/>
        <v>888891</v>
      </c>
      <c r="M1483" s="18"/>
      <c r="N1483" s="44"/>
    </row>
    <row r="1484" spans="1:14" ht="21" customHeight="1">
      <c r="A1484" s="18" t="s">
        <v>1270</v>
      </c>
      <c r="B1484" s="18" t="s">
        <v>1271</v>
      </c>
      <c r="C1484" s="20">
        <v>3</v>
      </c>
      <c r="D1484" s="21" t="s">
        <v>201</v>
      </c>
      <c r="E1484" s="20">
        <v>181050.883</v>
      </c>
      <c r="F1484" s="20">
        <f t="shared" si="298"/>
        <v>543153</v>
      </c>
      <c r="G1484" s="20">
        <v>88768.922299999991</v>
      </c>
      <c r="H1484" s="20">
        <f t="shared" si="299"/>
        <v>266307</v>
      </c>
      <c r="I1484" s="20">
        <v>141994.84829999998</v>
      </c>
      <c r="J1484" s="20">
        <f t="shared" si="300"/>
        <v>425985</v>
      </c>
      <c r="K1484" s="20">
        <f t="shared" si="301"/>
        <v>411814.65359999996</v>
      </c>
      <c r="L1484" s="20">
        <f t="shared" si="297"/>
        <v>1235445</v>
      </c>
      <c r="M1484" s="18"/>
      <c r="N1484" s="44"/>
    </row>
    <row r="1485" spans="1:14" ht="21" customHeight="1">
      <c r="A1485" s="18" t="s">
        <v>1272</v>
      </c>
      <c r="B1485" s="18"/>
      <c r="C1485" s="20">
        <v>1</v>
      </c>
      <c r="D1485" s="21" t="s">
        <v>201</v>
      </c>
      <c r="E1485" s="20">
        <v>40709.665999999997</v>
      </c>
      <c r="F1485" s="20">
        <f t="shared" si="298"/>
        <v>40710</v>
      </c>
      <c r="G1485" s="20">
        <v>91061.095000000001</v>
      </c>
      <c r="H1485" s="20">
        <f t="shared" si="299"/>
        <v>91061</v>
      </c>
      <c r="I1485" s="20">
        <v>0</v>
      </c>
      <c r="J1485" s="20">
        <f t="shared" si="300"/>
        <v>0</v>
      </c>
      <c r="K1485" s="20">
        <f t="shared" si="301"/>
        <v>131770.761</v>
      </c>
      <c r="L1485" s="20">
        <f t="shared" si="297"/>
        <v>131771</v>
      </c>
      <c r="M1485" s="18"/>
      <c r="N1485" s="44"/>
    </row>
    <row r="1486" spans="1:14" ht="21" customHeight="1">
      <c r="A1486" s="18" t="s">
        <v>1273</v>
      </c>
      <c r="B1486" s="18" t="s">
        <v>449</v>
      </c>
      <c r="C1486" s="20">
        <v>15</v>
      </c>
      <c r="D1486" s="21" t="s">
        <v>231</v>
      </c>
      <c r="E1486" s="20">
        <v>4499.4893999999995</v>
      </c>
      <c r="F1486" s="20">
        <f t="shared" si="298"/>
        <v>67492</v>
      </c>
      <c r="G1486" s="20">
        <v>20569.094399999998</v>
      </c>
      <c r="H1486" s="20">
        <f t="shared" si="299"/>
        <v>308536</v>
      </c>
      <c r="I1486" s="20">
        <v>0</v>
      </c>
      <c r="J1486" s="20">
        <f t="shared" si="300"/>
        <v>0</v>
      </c>
      <c r="K1486" s="20">
        <f t="shared" si="301"/>
        <v>25068.583799999997</v>
      </c>
      <c r="L1486" s="20">
        <f t="shared" si="297"/>
        <v>376028</v>
      </c>
      <c r="M1486" s="18"/>
      <c r="N1486" s="44"/>
    </row>
    <row r="1487" spans="1:14" ht="21" customHeight="1">
      <c r="A1487" s="18" t="s">
        <v>1274</v>
      </c>
      <c r="B1487" s="18" t="s">
        <v>1275</v>
      </c>
      <c r="C1487" s="20">
        <v>72</v>
      </c>
      <c r="D1487" s="21" t="s">
        <v>231</v>
      </c>
      <c r="E1487" s="20">
        <v>4499.4893999999995</v>
      </c>
      <c r="F1487" s="20">
        <f t="shared" si="298"/>
        <v>323963</v>
      </c>
      <c r="G1487" s="20">
        <v>23140.231199999998</v>
      </c>
      <c r="H1487" s="20">
        <f t="shared" si="299"/>
        <v>1666097</v>
      </c>
      <c r="I1487" s="20">
        <v>7016.5304999999998</v>
      </c>
      <c r="J1487" s="20">
        <f t="shared" si="300"/>
        <v>505190</v>
      </c>
      <c r="K1487" s="20">
        <f t="shared" si="301"/>
        <v>34656.251099999994</v>
      </c>
      <c r="L1487" s="20">
        <f t="shared" si="297"/>
        <v>2495250</v>
      </c>
      <c r="M1487" s="18"/>
      <c r="N1487" s="44"/>
    </row>
    <row r="1488" spans="1:14" ht="21" customHeight="1">
      <c r="A1488" s="18" t="s">
        <v>1276</v>
      </c>
      <c r="B1488" s="18" t="s">
        <v>504</v>
      </c>
      <c r="C1488" s="20">
        <v>3</v>
      </c>
      <c r="D1488" s="21" t="s">
        <v>368</v>
      </c>
      <c r="E1488" s="20">
        <v>77134.103999999992</v>
      </c>
      <c r="F1488" s="20">
        <f t="shared" si="298"/>
        <v>231402</v>
      </c>
      <c r="G1488" s="20">
        <v>0</v>
      </c>
      <c r="H1488" s="20">
        <f t="shared" si="299"/>
        <v>0</v>
      </c>
      <c r="I1488" s="20">
        <v>0</v>
      </c>
      <c r="J1488" s="20">
        <f t="shared" si="300"/>
        <v>0</v>
      </c>
      <c r="K1488" s="20">
        <f t="shared" si="301"/>
        <v>77134.103999999992</v>
      </c>
      <c r="L1488" s="20">
        <f t="shared" si="297"/>
        <v>231402</v>
      </c>
      <c r="M1488" s="18"/>
      <c r="N1488" s="44"/>
    </row>
    <row r="1489" spans="1:14" ht="21" customHeight="1">
      <c r="A1489" s="18" t="s">
        <v>1277</v>
      </c>
      <c r="B1489" s="18" t="s">
        <v>1278</v>
      </c>
      <c r="C1489" s="20">
        <v>12</v>
      </c>
      <c r="D1489" s="21" t="s">
        <v>368</v>
      </c>
      <c r="E1489" s="20">
        <v>557079.64</v>
      </c>
      <c r="F1489" s="20">
        <f t="shared" si="298"/>
        <v>6684956</v>
      </c>
      <c r="G1489" s="20">
        <v>0</v>
      </c>
      <c r="H1489" s="20">
        <f t="shared" si="299"/>
        <v>0</v>
      </c>
      <c r="I1489" s="20">
        <v>0</v>
      </c>
      <c r="J1489" s="20">
        <f t="shared" si="300"/>
        <v>0</v>
      </c>
      <c r="K1489" s="20">
        <f t="shared" si="301"/>
        <v>557079.64</v>
      </c>
      <c r="L1489" s="20">
        <f t="shared" si="297"/>
        <v>6684956</v>
      </c>
      <c r="M1489" s="18"/>
      <c r="N1489" s="44"/>
    </row>
    <row r="1490" spans="1:14" ht="21" customHeight="1">
      <c r="A1490" s="18" t="s">
        <v>1279</v>
      </c>
      <c r="B1490" s="18" t="s">
        <v>235</v>
      </c>
      <c r="C1490" s="20">
        <v>7</v>
      </c>
      <c r="D1490" s="21" t="s">
        <v>231</v>
      </c>
      <c r="E1490" s="20">
        <v>76062.796999999991</v>
      </c>
      <c r="F1490" s="20">
        <f t="shared" si="298"/>
        <v>532440</v>
      </c>
      <c r="G1490" s="20">
        <v>40420.094899999996</v>
      </c>
      <c r="H1490" s="20">
        <f t="shared" si="299"/>
        <v>282941</v>
      </c>
      <c r="I1490" s="20">
        <v>45183.698599999996</v>
      </c>
      <c r="J1490" s="20">
        <f t="shared" si="300"/>
        <v>316286</v>
      </c>
      <c r="K1490" s="20">
        <f t="shared" si="301"/>
        <v>161666.59049999999</v>
      </c>
      <c r="L1490" s="20">
        <f t="shared" si="297"/>
        <v>1131667</v>
      </c>
      <c r="M1490" s="18"/>
      <c r="N1490" s="44"/>
    </row>
    <row r="1491" spans="1:14" ht="21" customHeight="1">
      <c r="A1491" s="18" t="s">
        <v>1280</v>
      </c>
      <c r="B1491" s="18" t="s">
        <v>1281</v>
      </c>
      <c r="C1491" s="20">
        <v>7</v>
      </c>
      <c r="D1491" s="21" t="s">
        <v>231</v>
      </c>
      <c r="E1491" s="20">
        <v>118818.5533</v>
      </c>
      <c r="F1491" s="20">
        <f t="shared" si="298"/>
        <v>831730</v>
      </c>
      <c r="G1491" s="20">
        <v>48208.815000000002</v>
      </c>
      <c r="H1491" s="20">
        <f t="shared" si="299"/>
        <v>337462</v>
      </c>
      <c r="I1491" s="20">
        <v>49113.592100000002</v>
      </c>
      <c r="J1491" s="20">
        <f t="shared" si="300"/>
        <v>343795</v>
      </c>
      <c r="K1491" s="20">
        <f t="shared" si="301"/>
        <v>216140.96040000001</v>
      </c>
      <c r="L1491" s="20">
        <f t="shared" si="297"/>
        <v>1512987</v>
      </c>
      <c r="M1491" s="18"/>
      <c r="N1491" s="44"/>
    </row>
    <row r="1492" spans="1:14" ht="21" customHeight="1">
      <c r="A1492" s="18" t="s">
        <v>1300</v>
      </c>
      <c r="B1492" s="18" t="s">
        <v>1315</v>
      </c>
      <c r="C1492" s="20">
        <v>264</v>
      </c>
      <c r="D1492" s="21" t="s">
        <v>93</v>
      </c>
      <c r="E1492" s="20">
        <v>85704.56</v>
      </c>
      <c r="F1492" s="20">
        <f t="shared" si="298"/>
        <v>22626004</v>
      </c>
      <c r="G1492" s="20">
        <v>58921.885000000002</v>
      </c>
      <c r="H1492" s="20">
        <f t="shared" si="299"/>
        <v>15555378</v>
      </c>
      <c r="I1492" s="20">
        <v>76008.701300000001</v>
      </c>
      <c r="J1492" s="20">
        <f t="shared" si="300"/>
        <v>20066297</v>
      </c>
      <c r="K1492" s="20">
        <f t="shared" si="301"/>
        <v>220635.14630000002</v>
      </c>
      <c r="L1492" s="20">
        <f t="shared" si="297"/>
        <v>58247679</v>
      </c>
      <c r="M1492" s="18"/>
      <c r="N1492" s="44"/>
    </row>
    <row r="1493" spans="1:14" ht="21" customHeight="1">
      <c r="A1493" s="18" t="s">
        <v>1302</v>
      </c>
      <c r="B1493" s="18" t="s">
        <v>1316</v>
      </c>
      <c r="C1493" s="20">
        <v>80</v>
      </c>
      <c r="D1493" s="21" t="s">
        <v>93</v>
      </c>
      <c r="E1493" s="20">
        <v>85704.56</v>
      </c>
      <c r="F1493" s="20">
        <f t="shared" si="298"/>
        <v>6856365</v>
      </c>
      <c r="G1493" s="20">
        <v>58921.885000000002</v>
      </c>
      <c r="H1493" s="20">
        <f t="shared" si="299"/>
        <v>4713751</v>
      </c>
      <c r="I1493" s="20">
        <v>76008.701300000001</v>
      </c>
      <c r="J1493" s="20">
        <f t="shared" si="300"/>
        <v>6080696</v>
      </c>
      <c r="K1493" s="20">
        <f t="shared" si="301"/>
        <v>220635.14630000002</v>
      </c>
      <c r="L1493" s="20">
        <f t="shared" si="297"/>
        <v>17650812</v>
      </c>
      <c r="M1493" s="18"/>
      <c r="N1493" s="44"/>
    </row>
    <row r="1494" spans="1:14" ht="21" customHeight="1">
      <c r="A1494" s="18" t="s">
        <v>1310</v>
      </c>
      <c r="B1494" s="18" t="s">
        <v>1204</v>
      </c>
      <c r="C1494" s="20">
        <v>24</v>
      </c>
      <c r="D1494" s="21" t="s">
        <v>1111</v>
      </c>
      <c r="E1494" s="20">
        <v>316035.565</v>
      </c>
      <c r="F1494" s="20">
        <f t="shared" si="298"/>
        <v>7584854</v>
      </c>
      <c r="G1494" s="20">
        <v>58921.885000000002</v>
      </c>
      <c r="H1494" s="20">
        <f t="shared" si="299"/>
        <v>1414125</v>
      </c>
      <c r="I1494" s="20">
        <v>33327.193999999996</v>
      </c>
      <c r="J1494" s="20">
        <f t="shared" si="300"/>
        <v>799853</v>
      </c>
      <c r="K1494" s="20">
        <f t="shared" si="301"/>
        <v>408284.64400000003</v>
      </c>
      <c r="L1494" s="20">
        <f t="shared" si="297"/>
        <v>9798832</v>
      </c>
      <c r="M1494" s="18"/>
      <c r="N1494" s="44"/>
    </row>
    <row r="1495" spans="1:14" ht="21" customHeight="1">
      <c r="A1495" s="18" t="s">
        <v>1311</v>
      </c>
      <c r="B1495" s="18" t="s">
        <v>1288</v>
      </c>
      <c r="C1495" s="20">
        <v>1089</v>
      </c>
      <c r="D1495" s="21" t="s">
        <v>93</v>
      </c>
      <c r="E1495" s="20">
        <v>7145.9358999999995</v>
      </c>
      <c r="F1495" s="20">
        <f t="shared" si="298"/>
        <v>7781924</v>
      </c>
      <c r="G1495" s="20">
        <v>7499.1489999999994</v>
      </c>
      <c r="H1495" s="20">
        <f t="shared" si="299"/>
        <v>8166573</v>
      </c>
      <c r="I1495" s="20">
        <v>5846.5783999999994</v>
      </c>
      <c r="J1495" s="20">
        <f t="shared" si="300"/>
        <v>6366924</v>
      </c>
      <c r="K1495" s="20">
        <f t="shared" si="301"/>
        <v>20491.663299999997</v>
      </c>
      <c r="L1495" s="20">
        <f t="shared" si="297"/>
        <v>22315421</v>
      </c>
      <c r="M1495" s="18"/>
      <c r="N1495" s="44"/>
    </row>
    <row r="1496" spans="1:14" ht="21" customHeight="1">
      <c r="A1496" s="18" t="s">
        <v>1312</v>
      </c>
      <c r="B1496" s="18" t="s">
        <v>1044</v>
      </c>
      <c r="C1496" s="20">
        <v>5382</v>
      </c>
      <c r="D1496" s="21" t="s">
        <v>190</v>
      </c>
      <c r="E1496" s="20">
        <v>0</v>
      </c>
      <c r="F1496" s="20">
        <f t="shared" si="298"/>
        <v>0</v>
      </c>
      <c r="G1496" s="20">
        <v>0</v>
      </c>
      <c r="H1496" s="20">
        <f t="shared" si="299"/>
        <v>0</v>
      </c>
      <c r="I1496" s="20">
        <v>7366.5614999999998</v>
      </c>
      <c r="J1496" s="20">
        <f t="shared" si="300"/>
        <v>39646834</v>
      </c>
      <c r="K1496" s="20">
        <f t="shared" si="301"/>
        <v>7366.5614999999998</v>
      </c>
      <c r="L1496" s="20">
        <f t="shared" si="297"/>
        <v>39646834</v>
      </c>
      <c r="M1496" s="18"/>
      <c r="N1496" s="44"/>
    </row>
    <row r="1497" spans="1:14" ht="21" customHeight="1">
      <c r="A1497" s="18" t="s">
        <v>1313</v>
      </c>
      <c r="B1497" s="18" t="s">
        <v>112</v>
      </c>
      <c r="C1497" s="20">
        <v>106</v>
      </c>
      <c r="D1497" s="21" t="s">
        <v>93</v>
      </c>
      <c r="E1497" s="20">
        <v>6642.1034</v>
      </c>
      <c r="F1497" s="20">
        <f t="shared" si="298"/>
        <v>704063</v>
      </c>
      <c r="G1497" s="20">
        <v>7499.1489999999994</v>
      </c>
      <c r="H1497" s="20">
        <f t="shared" si="299"/>
        <v>794910</v>
      </c>
      <c r="I1497" s="20">
        <v>1168.8914</v>
      </c>
      <c r="J1497" s="20">
        <f t="shared" si="300"/>
        <v>123902</v>
      </c>
      <c r="K1497" s="20">
        <f t="shared" si="301"/>
        <v>15310.1438</v>
      </c>
      <c r="L1497" s="20">
        <f t="shared" si="297"/>
        <v>1622875</v>
      </c>
      <c r="M1497" s="18"/>
      <c r="N1497" s="44"/>
    </row>
    <row r="1498" spans="1:14" ht="21" customHeight="1">
      <c r="A1498" s="18"/>
      <c r="B1498" s="18"/>
      <c r="C1498" s="20"/>
      <c r="D1498" s="21"/>
      <c r="E1498" s="20"/>
      <c r="F1498" s="20"/>
      <c r="G1498" s="20"/>
      <c r="H1498" s="20"/>
      <c r="I1498" s="20"/>
      <c r="J1498" s="20"/>
      <c r="K1498" s="20"/>
      <c r="L1498" s="20"/>
      <c r="M1498" s="18"/>
      <c r="N1498" s="44"/>
    </row>
    <row r="1499" spans="1:14" ht="21" customHeight="1">
      <c r="A1499" s="14" t="s">
        <v>1317</v>
      </c>
      <c r="B1499" s="15"/>
      <c r="C1499" s="16"/>
      <c r="D1499" s="16"/>
      <c r="E1499" s="16"/>
      <c r="F1499" s="17">
        <f>SUM(F1500:F1513)</f>
        <v>72570279</v>
      </c>
      <c r="G1499" s="16"/>
      <c r="H1499" s="17">
        <f>SUM(H1500:H1513)</f>
        <v>43028478</v>
      </c>
      <c r="I1499" s="16"/>
      <c r="J1499" s="17">
        <f>SUM(J1500:J1513)</f>
        <v>112058050</v>
      </c>
      <c r="K1499" s="16"/>
      <c r="L1499" s="17">
        <f t="shared" ref="L1499:L1513" si="302">F1499+H1499+J1499</f>
        <v>227656807</v>
      </c>
      <c r="M1499" s="16"/>
    </row>
    <row r="1500" spans="1:14" ht="21" customHeight="1">
      <c r="A1500" s="18" t="s">
        <v>1268</v>
      </c>
      <c r="B1500" s="18" t="s">
        <v>1269</v>
      </c>
      <c r="C1500" s="20">
        <v>1</v>
      </c>
      <c r="D1500" s="21" t="s">
        <v>201</v>
      </c>
      <c r="E1500" s="20">
        <v>653497.27</v>
      </c>
      <c r="F1500" s="20">
        <f t="shared" ref="F1500:F1513" si="303">ROUND(E1500*C1500,0)</f>
        <v>653497</v>
      </c>
      <c r="G1500" s="20">
        <v>111148.63159999999</v>
      </c>
      <c r="H1500" s="20">
        <f t="shared" ref="H1500:H1513" si="304">ROUND(G1500*C1500,0)</f>
        <v>111149</v>
      </c>
      <c r="I1500" s="20">
        <v>124245.09449999999</v>
      </c>
      <c r="J1500" s="20">
        <f t="shared" ref="J1500:J1513" si="305">ROUND(I1500*C1500,0)</f>
        <v>124245</v>
      </c>
      <c r="K1500" s="20">
        <f t="shared" ref="K1500:K1513" si="306">E1500+G1500+I1500</f>
        <v>888890.99609999999</v>
      </c>
      <c r="L1500" s="20">
        <f t="shared" si="302"/>
        <v>888891</v>
      </c>
      <c r="M1500" s="18"/>
      <c r="N1500" s="44"/>
    </row>
    <row r="1501" spans="1:14" ht="21" customHeight="1">
      <c r="A1501" s="18" t="s">
        <v>1270</v>
      </c>
      <c r="B1501" s="18" t="s">
        <v>1271</v>
      </c>
      <c r="C1501" s="20">
        <v>6</v>
      </c>
      <c r="D1501" s="21" t="s">
        <v>201</v>
      </c>
      <c r="E1501" s="20">
        <v>181050.883</v>
      </c>
      <c r="F1501" s="20">
        <f t="shared" si="303"/>
        <v>1086305</v>
      </c>
      <c r="G1501" s="20">
        <v>88768.922299999991</v>
      </c>
      <c r="H1501" s="20">
        <f t="shared" si="304"/>
        <v>532614</v>
      </c>
      <c r="I1501" s="20">
        <v>141994.84829999998</v>
      </c>
      <c r="J1501" s="20">
        <f t="shared" si="305"/>
        <v>851969</v>
      </c>
      <c r="K1501" s="20">
        <f t="shared" si="306"/>
        <v>411814.65359999996</v>
      </c>
      <c r="L1501" s="20">
        <f t="shared" si="302"/>
        <v>2470888</v>
      </c>
      <c r="M1501" s="18"/>
      <c r="N1501" s="44"/>
    </row>
    <row r="1502" spans="1:14" ht="21" customHeight="1">
      <c r="A1502" s="18" t="s">
        <v>1272</v>
      </c>
      <c r="B1502" s="18"/>
      <c r="C1502" s="20">
        <v>1</v>
      </c>
      <c r="D1502" s="21" t="s">
        <v>201</v>
      </c>
      <c r="E1502" s="20">
        <v>40709.665999999997</v>
      </c>
      <c r="F1502" s="20">
        <f t="shared" si="303"/>
        <v>40710</v>
      </c>
      <c r="G1502" s="20">
        <v>91061.095000000001</v>
      </c>
      <c r="H1502" s="20">
        <f t="shared" si="304"/>
        <v>91061</v>
      </c>
      <c r="I1502" s="20">
        <v>0</v>
      </c>
      <c r="J1502" s="20">
        <f t="shared" si="305"/>
        <v>0</v>
      </c>
      <c r="K1502" s="20">
        <f t="shared" si="306"/>
        <v>131770.761</v>
      </c>
      <c r="L1502" s="20">
        <f t="shared" si="302"/>
        <v>131771</v>
      </c>
      <c r="M1502" s="18"/>
      <c r="N1502" s="44"/>
    </row>
    <row r="1503" spans="1:14" ht="21" customHeight="1">
      <c r="A1503" s="18" t="s">
        <v>1273</v>
      </c>
      <c r="B1503" s="18" t="s">
        <v>449</v>
      </c>
      <c r="C1503" s="20">
        <v>22</v>
      </c>
      <c r="D1503" s="21" t="s">
        <v>231</v>
      </c>
      <c r="E1503" s="20">
        <v>4499.4893999999995</v>
      </c>
      <c r="F1503" s="20">
        <f t="shared" si="303"/>
        <v>98989</v>
      </c>
      <c r="G1503" s="20">
        <v>20569.094399999998</v>
      </c>
      <c r="H1503" s="20">
        <f t="shared" si="304"/>
        <v>452520</v>
      </c>
      <c r="I1503" s="20">
        <v>0</v>
      </c>
      <c r="J1503" s="20">
        <f t="shared" si="305"/>
        <v>0</v>
      </c>
      <c r="K1503" s="20">
        <f t="shared" si="306"/>
        <v>25068.583799999997</v>
      </c>
      <c r="L1503" s="20">
        <f t="shared" si="302"/>
        <v>551509</v>
      </c>
      <c r="M1503" s="18"/>
      <c r="N1503" s="44"/>
    </row>
    <row r="1504" spans="1:14" ht="21" customHeight="1">
      <c r="A1504" s="18" t="s">
        <v>1274</v>
      </c>
      <c r="B1504" s="18" t="s">
        <v>1275</v>
      </c>
      <c r="C1504" s="20">
        <v>119</v>
      </c>
      <c r="D1504" s="21" t="s">
        <v>231</v>
      </c>
      <c r="E1504" s="20">
        <v>4499.4893999999995</v>
      </c>
      <c r="F1504" s="20">
        <f t="shared" si="303"/>
        <v>535439</v>
      </c>
      <c r="G1504" s="20">
        <v>23140.231199999998</v>
      </c>
      <c r="H1504" s="20">
        <f t="shared" si="304"/>
        <v>2753688</v>
      </c>
      <c r="I1504" s="20">
        <v>7016.5304999999998</v>
      </c>
      <c r="J1504" s="20">
        <f t="shared" si="305"/>
        <v>834967</v>
      </c>
      <c r="K1504" s="20">
        <f t="shared" si="306"/>
        <v>34656.251099999994</v>
      </c>
      <c r="L1504" s="20">
        <f t="shared" si="302"/>
        <v>4124094</v>
      </c>
      <c r="M1504" s="18"/>
      <c r="N1504" s="44"/>
    </row>
    <row r="1505" spans="1:14" ht="21" customHeight="1">
      <c r="A1505" s="18" t="s">
        <v>1276</v>
      </c>
      <c r="B1505" s="18" t="s">
        <v>504</v>
      </c>
      <c r="C1505" s="20">
        <v>4</v>
      </c>
      <c r="D1505" s="21" t="s">
        <v>368</v>
      </c>
      <c r="E1505" s="20">
        <v>77134.103999999992</v>
      </c>
      <c r="F1505" s="20">
        <f t="shared" si="303"/>
        <v>308536</v>
      </c>
      <c r="G1505" s="20">
        <v>0</v>
      </c>
      <c r="H1505" s="20">
        <f t="shared" si="304"/>
        <v>0</v>
      </c>
      <c r="I1505" s="20">
        <v>0</v>
      </c>
      <c r="J1505" s="20">
        <f t="shared" si="305"/>
        <v>0</v>
      </c>
      <c r="K1505" s="20">
        <f t="shared" si="306"/>
        <v>77134.103999999992</v>
      </c>
      <c r="L1505" s="20">
        <f t="shared" si="302"/>
        <v>308536</v>
      </c>
      <c r="M1505" s="18"/>
      <c r="N1505" s="44"/>
    </row>
    <row r="1506" spans="1:14" ht="21" customHeight="1">
      <c r="A1506" s="18" t="s">
        <v>1277</v>
      </c>
      <c r="B1506" s="18" t="s">
        <v>1278</v>
      </c>
      <c r="C1506" s="20">
        <v>20</v>
      </c>
      <c r="D1506" s="21" t="s">
        <v>368</v>
      </c>
      <c r="E1506" s="20">
        <v>557079.64</v>
      </c>
      <c r="F1506" s="20">
        <f t="shared" si="303"/>
        <v>11141593</v>
      </c>
      <c r="G1506" s="20">
        <v>0</v>
      </c>
      <c r="H1506" s="20">
        <f t="shared" si="304"/>
        <v>0</v>
      </c>
      <c r="I1506" s="20">
        <v>0</v>
      </c>
      <c r="J1506" s="20">
        <f t="shared" si="305"/>
        <v>0</v>
      </c>
      <c r="K1506" s="20">
        <f t="shared" si="306"/>
        <v>557079.64</v>
      </c>
      <c r="L1506" s="20">
        <f t="shared" si="302"/>
        <v>11141593</v>
      </c>
      <c r="M1506" s="18"/>
      <c r="N1506" s="44"/>
    </row>
    <row r="1507" spans="1:14" ht="21" customHeight="1">
      <c r="A1507" s="18" t="s">
        <v>1279</v>
      </c>
      <c r="B1507" s="18" t="s">
        <v>235</v>
      </c>
      <c r="C1507" s="20">
        <v>12</v>
      </c>
      <c r="D1507" s="21" t="s">
        <v>231</v>
      </c>
      <c r="E1507" s="20">
        <v>76062.796999999991</v>
      </c>
      <c r="F1507" s="20">
        <f t="shared" si="303"/>
        <v>912754</v>
      </c>
      <c r="G1507" s="20">
        <v>40420.094899999996</v>
      </c>
      <c r="H1507" s="20">
        <f t="shared" si="304"/>
        <v>485041</v>
      </c>
      <c r="I1507" s="20">
        <v>45183.698599999996</v>
      </c>
      <c r="J1507" s="20">
        <f t="shared" si="305"/>
        <v>542204</v>
      </c>
      <c r="K1507" s="20">
        <f t="shared" si="306"/>
        <v>161666.59049999999</v>
      </c>
      <c r="L1507" s="20">
        <f t="shared" si="302"/>
        <v>1939999</v>
      </c>
      <c r="M1507" s="18"/>
      <c r="N1507" s="44"/>
    </row>
    <row r="1508" spans="1:14" ht="21" customHeight="1">
      <c r="A1508" s="18" t="s">
        <v>1280</v>
      </c>
      <c r="B1508" s="18" t="s">
        <v>1281</v>
      </c>
      <c r="C1508" s="20">
        <v>8</v>
      </c>
      <c r="D1508" s="21" t="s">
        <v>231</v>
      </c>
      <c r="E1508" s="20">
        <v>118818.5533</v>
      </c>
      <c r="F1508" s="20">
        <f t="shared" si="303"/>
        <v>950548</v>
      </c>
      <c r="G1508" s="20">
        <v>48208.815000000002</v>
      </c>
      <c r="H1508" s="20">
        <f t="shared" si="304"/>
        <v>385671</v>
      </c>
      <c r="I1508" s="20">
        <v>49113.592100000002</v>
      </c>
      <c r="J1508" s="20">
        <f t="shared" si="305"/>
        <v>392909</v>
      </c>
      <c r="K1508" s="20">
        <f t="shared" si="306"/>
        <v>216140.96040000001</v>
      </c>
      <c r="L1508" s="20">
        <f t="shared" si="302"/>
        <v>1729128</v>
      </c>
      <c r="M1508" s="18"/>
      <c r="N1508" s="44"/>
    </row>
    <row r="1509" spans="1:14" ht="21" customHeight="1">
      <c r="A1509" s="18" t="s">
        <v>1318</v>
      </c>
      <c r="B1509" s="18" t="s">
        <v>1286</v>
      </c>
      <c r="C1509" s="20">
        <v>127</v>
      </c>
      <c r="D1509" s="21" t="s">
        <v>231</v>
      </c>
      <c r="E1509" s="20">
        <v>26782.674999999999</v>
      </c>
      <c r="F1509" s="20">
        <f t="shared" si="303"/>
        <v>3401400</v>
      </c>
      <c r="G1509" s="20">
        <v>13926.991</v>
      </c>
      <c r="H1509" s="20">
        <f t="shared" si="304"/>
        <v>1768728</v>
      </c>
      <c r="I1509" s="20">
        <v>0</v>
      </c>
      <c r="J1509" s="20">
        <f t="shared" si="305"/>
        <v>0</v>
      </c>
      <c r="K1509" s="20">
        <f t="shared" si="306"/>
        <v>40709.665999999997</v>
      </c>
      <c r="L1509" s="20">
        <f t="shared" si="302"/>
        <v>5170128</v>
      </c>
      <c r="M1509" s="18"/>
      <c r="N1509" s="44"/>
    </row>
    <row r="1510" spans="1:14" ht="21" customHeight="1">
      <c r="A1510" s="18" t="s">
        <v>1319</v>
      </c>
      <c r="B1510" s="18" t="s">
        <v>1204</v>
      </c>
      <c r="C1510" s="20">
        <v>75</v>
      </c>
      <c r="D1510" s="21" t="s">
        <v>1111</v>
      </c>
      <c r="E1510" s="20">
        <v>316035.565</v>
      </c>
      <c r="F1510" s="20">
        <f t="shared" si="303"/>
        <v>23702667</v>
      </c>
      <c r="G1510" s="20">
        <v>58921.885000000002</v>
      </c>
      <c r="H1510" s="20">
        <f t="shared" si="304"/>
        <v>4419141</v>
      </c>
      <c r="I1510" s="20">
        <v>33327.193999999996</v>
      </c>
      <c r="J1510" s="20">
        <f t="shared" si="305"/>
        <v>2499540</v>
      </c>
      <c r="K1510" s="20">
        <f t="shared" si="306"/>
        <v>408284.64400000003</v>
      </c>
      <c r="L1510" s="20">
        <f t="shared" si="302"/>
        <v>30621348</v>
      </c>
      <c r="M1510" s="18"/>
      <c r="N1510" s="44"/>
    </row>
    <row r="1511" spans="1:14" ht="21" customHeight="1">
      <c r="A1511" s="18" t="s">
        <v>1287</v>
      </c>
      <c r="B1511" s="18" t="s">
        <v>1288</v>
      </c>
      <c r="C1511" s="20">
        <v>2718</v>
      </c>
      <c r="D1511" s="21" t="s">
        <v>93</v>
      </c>
      <c r="E1511" s="20">
        <v>7145.9358999999995</v>
      </c>
      <c r="F1511" s="20">
        <f t="shared" si="303"/>
        <v>19422654</v>
      </c>
      <c r="G1511" s="20">
        <v>7499.1489999999994</v>
      </c>
      <c r="H1511" s="20">
        <f t="shared" si="304"/>
        <v>20382687</v>
      </c>
      <c r="I1511" s="20">
        <v>5846.5783999999994</v>
      </c>
      <c r="J1511" s="20">
        <f t="shared" si="305"/>
        <v>15891000</v>
      </c>
      <c r="K1511" s="20">
        <f t="shared" si="306"/>
        <v>20491.663299999997</v>
      </c>
      <c r="L1511" s="20">
        <f t="shared" si="302"/>
        <v>55696341</v>
      </c>
      <c r="M1511" s="18"/>
      <c r="N1511" s="44"/>
    </row>
    <row r="1512" spans="1:14" ht="21" customHeight="1">
      <c r="A1512" s="18" t="s">
        <v>1289</v>
      </c>
      <c r="B1512" s="18" t="s">
        <v>1044</v>
      </c>
      <c r="C1512" s="20">
        <v>12096</v>
      </c>
      <c r="D1512" s="21" t="s">
        <v>190</v>
      </c>
      <c r="E1512" s="20">
        <v>0</v>
      </c>
      <c r="F1512" s="20">
        <f t="shared" si="303"/>
        <v>0</v>
      </c>
      <c r="G1512" s="20">
        <v>0</v>
      </c>
      <c r="H1512" s="20">
        <f t="shared" si="304"/>
        <v>0</v>
      </c>
      <c r="I1512" s="20">
        <v>7366.5614999999998</v>
      </c>
      <c r="J1512" s="20">
        <f t="shared" si="305"/>
        <v>89105928</v>
      </c>
      <c r="K1512" s="20">
        <f t="shared" si="306"/>
        <v>7366.5614999999998</v>
      </c>
      <c r="L1512" s="20">
        <f t="shared" si="302"/>
        <v>89105928</v>
      </c>
      <c r="M1512" s="18"/>
      <c r="N1512" s="44"/>
    </row>
    <row r="1513" spans="1:14" ht="21" customHeight="1">
      <c r="A1513" s="18" t="s">
        <v>1313</v>
      </c>
      <c r="B1513" s="18" t="s">
        <v>112</v>
      </c>
      <c r="C1513" s="20">
        <v>1553</v>
      </c>
      <c r="D1513" s="21" t="s">
        <v>93</v>
      </c>
      <c r="E1513" s="20">
        <v>6642.1034</v>
      </c>
      <c r="F1513" s="20">
        <f t="shared" si="303"/>
        <v>10315187</v>
      </c>
      <c r="G1513" s="20">
        <v>7499.1489999999994</v>
      </c>
      <c r="H1513" s="20">
        <f t="shared" si="304"/>
        <v>11646178</v>
      </c>
      <c r="I1513" s="20">
        <v>1168.8914</v>
      </c>
      <c r="J1513" s="20">
        <f t="shared" si="305"/>
        <v>1815288</v>
      </c>
      <c r="K1513" s="20">
        <f t="shared" si="306"/>
        <v>15310.1438</v>
      </c>
      <c r="L1513" s="20">
        <f t="shared" si="302"/>
        <v>23776653</v>
      </c>
      <c r="M1513" s="18"/>
      <c r="N1513" s="44"/>
    </row>
    <row r="1514" spans="1:14" ht="21" customHeight="1">
      <c r="A1514" s="18"/>
      <c r="B1514" s="18"/>
      <c r="C1514" s="20"/>
      <c r="D1514" s="21"/>
      <c r="E1514" s="20"/>
      <c r="F1514" s="20"/>
      <c r="G1514" s="20"/>
      <c r="H1514" s="20"/>
      <c r="I1514" s="20"/>
      <c r="J1514" s="20"/>
      <c r="K1514" s="20"/>
      <c r="L1514" s="20"/>
      <c r="M1514" s="18"/>
      <c r="N1514" s="44"/>
    </row>
    <row r="1515" spans="1:14" ht="21" customHeight="1">
      <c r="A1515" s="14" t="s">
        <v>1320</v>
      </c>
      <c r="B1515" s="15"/>
      <c r="C1515" s="16"/>
      <c r="D1515" s="16"/>
      <c r="E1515" s="16"/>
      <c r="F1515" s="17">
        <f>SUM(F1516:F1529)</f>
        <v>68254430</v>
      </c>
      <c r="G1515" s="16"/>
      <c r="H1515" s="17">
        <f>SUM(H1516:H1529)</f>
        <v>43453840</v>
      </c>
      <c r="I1515" s="16"/>
      <c r="J1515" s="17">
        <f>SUM(J1516:J1529)</f>
        <v>110943709</v>
      </c>
      <c r="K1515" s="16"/>
      <c r="L1515" s="17">
        <f t="shared" ref="L1515:L1529" si="307">F1515+H1515+J1515</f>
        <v>222651979</v>
      </c>
      <c r="M1515" s="16"/>
    </row>
    <row r="1516" spans="1:14" ht="21" customHeight="1">
      <c r="A1516" s="18" t="s">
        <v>1268</v>
      </c>
      <c r="B1516" s="18" t="s">
        <v>1269</v>
      </c>
      <c r="C1516" s="20">
        <v>1</v>
      </c>
      <c r="D1516" s="21" t="s">
        <v>201</v>
      </c>
      <c r="E1516" s="20">
        <v>653497.27</v>
      </c>
      <c r="F1516" s="20">
        <f t="shared" ref="F1516:F1529" si="308">ROUND(E1516*C1516,0)</f>
        <v>653497</v>
      </c>
      <c r="G1516" s="20">
        <v>111148.63159999999</v>
      </c>
      <c r="H1516" s="20">
        <f t="shared" ref="H1516:H1529" si="309">ROUND(G1516*C1516,0)</f>
        <v>111149</v>
      </c>
      <c r="I1516" s="20">
        <v>124245.09449999999</v>
      </c>
      <c r="J1516" s="20">
        <f t="shared" ref="J1516:J1529" si="310">ROUND(I1516*C1516,0)</f>
        <v>124245</v>
      </c>
      <c r="K1516" s="20">
        <f t="shared" ref="K1516:K1529" si="311">E1516+G1516+I1516</f>
        <v>888890.99609999999</v>
      </c>
      <c r="L1516" s="20">
        <f t="shared" si="307"/>
        <v>888891</v>
      </c>
      <c r="M1516" s="18"/>
      <c r="N1516" s="44"/>
    </row>
    <row r="1517" spans="1:14" ht="21" customHeight="1">
      <c r="A1517" s="18" t="s">
        <v>1270</v>
      </c>
      <c r="B1517" s="18" t="s">
        <v>1271</v>
      </c>
      <c r="C1517" s="20">
        <v>8</v>
      </c>
      <c r="D1517" s="21" t="s">
        <v>201</v>
      </c>
      <c r="E1517" s="20">
        <v>181050.883</v>
      </c>
      <c r="F1517" s="20">
        <f t="shared" si="308"/>
        <v>1448407</v>
      </c>
      <c r="G1517" s="20">
        <v>88768.922299999991</v>
      </c>
      <c r="H1517" s="20">
        <f t="shared" si="309"/>
        <v>710151</v>
      </c>
      <c r="I1517" s="20">
        <v>141994.84829999998</v>
      </c>
      <c r="J1517" s="20">
        <f t="shared" si="310"/>
        <v>1135959</v>
      </c>
      <c r="K1517" s="20">
        <f t="shared" si="311"/>
        <v>411814.65359999996</v>
      </c>
      <c r="L1517" s="20">
        <f t="shared" si="307"/>
        <v>3294517</v>
      </c>
      <c r="M1517" s="18"/>
      <c r="N1517" s="44"/>
    </row>
    <row r="1518" spans="1:14" ht="21" customHeight="1">
      <c r="A1518" s="18" t="s">
        <v>1272</v>
      </c>
      <c r="B1518" s="18"/>
      <c r="C1518" s="20">
        <v>1</v>
      </c>
      <c r="D1518" s="21" t="s">
        <v>201</v>
      </c>
      <c r="E1518" s="20">
        <v>40709.665999999997</v>
      </c>
      <c r="F1518" s="20">
        <f t="shared" si="308"/>
        <v>40710</v>
      </c>
      <c r="G1518" s="20">
        <v>91061.095000000001</v>
      </c>
      <c r="H1518" s="20">
        <f t="shared" si="309"/>
        <v>91061</v>
      </c>
      <c r="I1518" s="20">
        <v>0</v>
      </c>
      <c r="J1518" s="20">
        <f t="shared" si="310"/>
        <v>0</v>
      </c>
      <c r="K1518" s="20">
        <f t="shared" si="311"/>
        <v>131770.761</v>
      </c>
      <c r="L1518" s="20">
        <f t="shared" si="307"/>
        <v>131771</v>
      </c>
      <c r="M1518" s="18"/>
      <c r="N1518" s="44"/>
    </row>
    <row r="1519" spans="1:14" ht="21" customHeight="1">
      <c r="A1519" s="18" t="s">
        <v>1273</v>
      </c>
      <c r="B1519" s="18" t="s">
        <v>449</v>
      </c>
      <c r="C1519" s="20">
        <v>26</v>
      </c>
      <c r="D1519" s="21" t="s">
        <v>231</v>
      </c>
      <c r="E1519" s="20">
        <v>4499.4893999999995</v>
      </c>
      <c r="F1519" s="20">
        <f t="shared" si="308"/>
        <v>116987</v>
      </c>
      <c r="G1519" s="20">
        <v>20569.094399999998</v>
      </c>
      <c r="H1519" s="20">
        <f t="shared" si="309"/>
        <v>534796</v>
      </c>
      <c r="I1519" s="20">
        <v>0</v>
      </c>
      <c r="J1519" s="20">
        <f t="shared" si="310"/>
        <v>0</v>
      </c>
      <c r="K1519" s="20">
        <f t="shared" si="311"/>
        <v>25068.583799999997</v>
      </c>
      <c r="L1519" s="20">
        <f t="shared" si="307"/>
        <v>651783</v>
      </c>
      <c r="M1519" s="18"/>
      <c r="N1519" s="44"/>
    </row>
    <row r="1520" spans="1:14" ht="21" customHeight="1">
      <c r="A1520" s="18" t="s">
        <v>1274</v>
      </c>
      <c r="B1520" s="18" t="s">
        <v>1275</v>
      </c>
      <c r="C1520" s="20">
        <v>142</v>
      </c>
      <c r="D1520" s="21" t="s">
        <v>231</v>
      </c>
      <c r="E1520" s="20">
        <v>4499.4893999999995</v>
      </c>
      <c r="F1520" s="20">
        <f t="shared" si="308"/>
        <v>638927</v>
      </c>
      <c r="G1520" s="20">
        <v>23140.231199999998</v>
      </c>
      <c r="H1520" s="20">
        <f t="shared" si="309"/>
        <v>3285913</v>
      </c>
      <c r="I1520" s="20">
        <v>7016.5304999999998</v>
      </c>
      <c r="J1520" s="20">
        <f t="shared" si="310"/>
        <v>996347</v>
      </c>
      <c r="K1520" s="20">
        <f t="shared" si="311"/>
        <v>34656.251099999994</v>
      </c>
      <c r="L1520" s="20">
        <f t="shared" si="307"/>
        <v>4921187</v>
      </c>
      <c r="M1520" s="18"/>
      <c r="N1520" s="44"/>
    </row>
    <row r="1521" spans="1:14" ht="21" customHeight="1">
      <c r="A1521" s="18" t="s">
        <v>1276</v>
      </c>
      <c r="B1521" s="18" t="s">
        <v>504</v>
      </c>
      <c r="C1521" s="20">
        <v>5</v>
      </c>
      <c r="D1521" s="21" t="s">
        <v>368</v>
      </c>
      <c r="E1521" s="20">
        <v>77134.103999999992</v>
      </c>
      <c r="F1521" s="20">
        <f t="shared" si="308"/>
        <v>385671</v>
      </c>
      <c r="G1521" s="20">
        <v>0</v>
      </c>
      <c r="H1521" s="20">
        <f t="shared" si="309"/>
        <v>0</v>
      </c>
      <c r="I1521" s="20">
        <v>0</v>
      </c>
      <c r="J1521" s="20">
        <f t="shared" si="310"/>
        <v>0</v>
      </c>
      <c r="K1521" s="20">
        <f t="shared" si="311"/>
        <v>77134.103999999992</v>
      </c>
      <c r="L1521" s="20">
        <f t="shared" si="307"/>
        <v>385671</v>
      </c>
      <c r="M1521" s="18"/>
      <c r="N1521" s="44"/>
    </row>
    <row r="1522" spans="1:14" ht="21" customHeight="1">
      <c r="A1522" s="18" t="s">
        <v>1277</v>
      </c>
      <c r="B1522" s="18" t="s">
        <v>1278</v>
      </c>
      <c r="C1522" s="20">
        <v>24</v>
      </c>
      <c r="D1522" s="21" t="s">
        <v>368</v>
      </c>
      <c r="E1522" s="20">
        <v>557079.64</v>
      </c>
      <c r="F1522" s="20">
        <f t="shared" si="308"/>
        <v>13369911</v>
      </c>
      <c r="G1522" s="20">
        <v>0</v>
      </c>
      <c r="H1522" s="20">
        <f t="shared" si="309"/>
        <v>0</v>
      </c>
      <c r="I1522" s="20">
        <v>0</v>
      </c>
      <c r="J1522" s="20">
        <f t="shared" si="310"/>
        <v>0</v>
      </c>
      <c r="K1522" s="20">
        <f t="shared" si="311"/>
        <v>557079.64</v>
      </c>
      <c r="L1522" s="20">
        <f t="shared" si="307"/>
        <v>13369911</v>
      </c>
      <c r="M1522" s="18"/>
      <c r="N1522" s="44"/>
    </row>
    <row r="1523" spans="1:14" ht="21" customHeight="1">
      <c r="A1523" s="18" t="s">
        <v>1279</v>
      </c>
      <c r="B1523" s="18" t="s">
        <v>235</v>
      </c>
      <c r="C1523" s="20">
        <v>13</v>
      </c>
      <c r="D1523" s="21" t="s">
        <v>231</v>
      </c>
      <c r="E1523" s="20">
        <v>76062.796999999991</v>
      </c>
      <c r="F1523" s="20">
        <f t="shared" si="308"/>
        <v>988816</v>
      </c>
      <c r="G1523" s="20">
        <v>40420.094899999996</v>
      </c>
      <c r="H1523" s="20">
        <f t="shared" si="309"/>
        <v>525461</v>
      </c>
      <c r="I1523" s="20">
        <v>45183.698599999996</v>
      </c>
      <c r="J1523" s="20">
        <f t="shared" si="310"/>
        <v>587388</v>
      </c>
      <c r="K1523" s="20">
        <f t="shared" si="311"/>
        <v>161666.59049999999</v>
      </c>
      <c r="L1523" s="20">
        <f t="shared" si="307"/>
        <v>2101665</v>
      </c>
      <c r="M1523" s="18"/>
      <c r="N1523" s="44"/>
    </row>
    <row r="1524" spans="1:14" ht="21" customHeight="1">
      <c r="A1524" s="18" t="s">
        <v>1280</v>
      </c>
      <c r="B1524" s="18" t="s">
        <v>1281</v>
      </c>
      <c r="C1524" s="20">
        <v>8</v>
      </c>
      <c r="D1524" s="21" t="s">
        <v>231</v>
      </c>
      <c r="E1524" s="20">
        <v>118818.5533</v>
      </c>
      <c r="F1524" s="20">
        <f t="shared" si="308"/>
        <v>950548</v>
      </c>
      <c r="G1524" s="20">
        <v>48208.815000000002</v>
      </c>
      <c r="H1524" s="20">
        <f t="shared" si="309"/>
        <v>385671</v>
      </c>
      <c r="I1524" s="20">
        <v>49113.592100000002</v>
      </c>
      <c r="J1524" s="20">
        <f t="shared" si="310"/>
        <v>392909</v>
      </c>
      <c r="K1524" s="20">
        <f t="shared" si="311"/>
        <v>216140.96040000001</v>
      </c>
      <c r="L1524" s="20">
        <f t="shared" si="307"/>
        <v>1729128</v>
      </c>
      <c r="M1524" s="18"/>
      <c r="N1524" s="44"/>
    </row>
    <row r="1525" spans="1:14" ht="21" customHeight="1">
      <c r="A1525" s="18" t="s">
        <v>1318</v>
      </c>
      <c r="B1525" s="18" t="s">
        <v>1286</v>
      </c>
      <c r="C1525" s="20">
        <v>136</v>
      </c>
      <c r="D1525" s="21" t="s">
        <v>231</v>
      </c>
      <c r="E1525" s="20">
        <v>26782.674999999999</v>
      </c>
      <c r="F1525" s="20">
        <f t="shared" si="308"/>
        <v>3642444</v>
      </c>
      <c r="G1525" s="20">
        <v>13926.991</v>
      </c>
      <c r="H1525" s="20">
        <f t="shared" si="309"/>
        <v>1894071</v>
      </c>
      <c r="I1525" s="20">
        <v>0</v>
      </c>
      <c r="J1525" s="20">
        <f t="shared" si="310"/>
        <v>0</v>
      </c>
      <c r="K1525" s="20">
        <f t="shared" si="311"/>
        <v>40709.665999999997</v>
      </c>
      <c r="L1525" s="20">
        <f t="shared" si="307"/>
        <v>5536515</v>
      </c>
      <c r="M1525" s="18"/>
      <c r="N1525" s="44"/>
    </row>
    <row r="1526" spans="1:14" ht="21" customHeight="1">
      <c r="A1526" s="18" t="s">
        <v>1319</v>
      </c>
      <c r="B1526" s="18" t="s">
        <v>1204</v>
      </c>
      <c r="C1526" s="20">
        <v>47</v>
      </c>
      <c r="D1526" s="21" t="s">
        <v>1111</v>
      </c>
      <c r="E1526" s="20">
        <v>316035.565</v>
      </c>
      <c r="F1526" s="20">
        <f t="shared" si="308"/>
        <v>14853672</v>
      </c>
      <c r="G1526" s="20">
        <v>58921.885000000002</v>
      </c>
      <c r="H1526" s="20">
        <f t="shared" si="309"/>
        <v>2769329</v>
      </c>
      <c r="I1526" s="20">
        <v>33327.193999999996</v>
      </c>
      <c r="J1526" s="20">
        <f t="shared" si="310"/>
        <v>1566378</v>
      </c>
      <c r="K1526" s="20">
        <f t="shared" si="311"/>
        <v>408284.64400000003</v>
      </c>
      <c r="L1526" s="20">
        <f t="shared" si="307"/>
        <v>19189379</v>
      </c>
      <c r="M1526" s="18"/>
      <c r="N1526" s="44"/>
    </row>
    <row r="1527" spans="1:14" ht="21" customHeight="1">
      <c r="A1527" s="18" t="s">
        <v>1287</v>
      </c>
      <c r="B1527" s="18" t="s">
        <v>1288</v>
      </c>
      <c r="C1527" s="20">
        <v>3586</v>
      </c>
      <c r="D1527" s="21" t="s">
        <v>93</v>
      </c>
      <c r="E1527" s="20">
        <v>7145.9358999999995</v>
      </c>
      <c r="F1527" s="20">
        <f t="shared" si="308"/>
        <v>25625326</v>
      </c>
      <c r="G1527" s="20">
        <v>7499.1489999999994</v>
      </c>
      <c r="H1527" s="20">
        <f t="shared" si="309"/>
        <v>26891948</v>
      </c>
      <c r="I1527" s="20">
        <v>5846.5783999999994</v>
      </c>
      <c r="J1527" s="20">
        <f t="shared" si="310"/>
        <v>20965830</v>
      </c>
      <c r="K1527" s="20">
        <f t="shared" si="311"/>
        <v>20491.663299999997</v>
      </c>
      <c r="L1527" s="20">
        <f t="shared" si="307"/>
        <v>73483104</v>
      </c>
      <c r="M1527" s="18"/>
      <c r="N1527" s="44"/>
    </row>
    <row r="1528" spans="1:14" ht="21" customHeight="1">
      <c r="A1528" s="18" t="s">
        <v>1289</v>
      </c>
      <c r="B1528" s="18" t="s">
        <v>1044</v>
      </c>
      <c r="C1528" s="20">
        <v>11430</v>
      </c>
      <c r="D1528" s="21" t="s">
        <v>190</v>
      </c>
      <c r="E1528" s="20">
        <v>0</v>
      </c>
      <c r="F1528" s="20">
        <f t="shared" si="308"/>
        <v>0</v>
      </c>
      <c r="G1528" s="20">
        <v>0</v>
      </c>
      <c r="H1528" s="20">
        <f t="shared" si="309"/>
        <v>0</v>
      </c>
      <c r="I1528" s="20">
        <v>7366.5614999999998</v>
      </c>
      <c r="J1528" s="20">
        <f t="shared" si="310"/>
        <v>84199798</v>
      </c>
      <c r="K1528" s="20">
        <f t="shared" si="311"/>
        <v>7366.5614999999998</v>
      </c>
      <c r="L1528" s="20">
        <f t="shared" si="307"/>
        <v>84199798</v>
      </c>
      <c r="M1528" s="18"/>
      <c r="N1528" s="44"/>
    </row>
    <row r="1529" spans="1:14" ht="21" customHeight="1">
      <c r="A1529" s="18" t="s">
        <v>1313</v>
      </c>
      <c r="B1529" s="18" t="s">
        <v>112</v>
      </c>
      <c r="C1529" s="20">
        <v>834</v>
      </c>
      <c r="D1529" s="21" t="s">
        <v>93</v>
      </c>
      <c r="E1529" s="20">
        <v>6642.1034</v>
      </c>
      <c r="F1529" s="20">
        <f t="shared" si="308"/>
        <v>5539514</v>
      </c>
      <c r="G1529" s="20">
        <v>7499.1489999999994</v>
      </c>
      <c r="H1529" s="20">
        <f t="shared" si="309"/>
        <v>6254290</v>
      </c>
      <c r="I1529" s="20">
        <v>1168.8914</v>
      </c>
      <c r="J1529" s="20">
        <f t="shared" si="310"/>
        <v>974855</v>
      </c>
      <c r="K1529" s="20">
        <f t="shared" si="311"/>
        <v>15310.1438</v>
      </c>
      <c r="L1529" s="20">
        <f t="shared" si="307"/>
        <v>12768659</v>
      </c>
      <c r="M1529" s="18"/>
      <c r="N1529" s="44"/>
    </row>
    <row r="1530" spans="1:14" ht="21" customHeight="1">
      <c r="A1530" s="18"/>
      <c r="B1530" s="18"/>
      <c r="C1530" s="20"/>
      <c r="D1530" s="21"/>
      <c r="E1530" s="20"/>
      <c r="F1530" s="20"/>
      <c r="G1530" s="20"/>
      <c r="H1530" s="20"/>
      <c r="I1530" s="20"/>
      <c r="J1530" s="20"/>
      <c r="K1530" s="20"/>
      <c r="L1530" s="20"/>
      <c r="M1530" s="18"/>
      <c r="N1530" s="44"/>
    </row>
    <row r="1531" spans="1:14" ht="21" customHeight="1">
      <c r="A1531" s="14" t="s">
        <v>1321</v>
      </c>
      <c r="B1531" s="15"/>
      <c r="C1531" s="16"/>
      <c r="D1531" s="16"/>
      <c r="E1531" s="16"/>
      <c r="F1531" s="17">
        <f>SUM(F1532:F1543)</f>
        <v>21494365</v>
      </c>
      <c r="G1531" s="16"/>
      <c r="H1531" s="17">
        <f>SUM(H1532:H1543)</f>
        <v>8074797</v>
      </c>
      <c r="I1531" s="16"/>
      <c r="J1531" s="17">
        <f>SUM(J1532:J1543)</f>
        <v>17342242</v>
      </c>
      <c r="K1531" s="16"/>
      <c r="L1531" s="17">
        <f t="shared" ref="L1531:L1543" si="312">F1531+H1531+J1531</f>
        <v>46911404</v>
      </c>
      <c r="M1531" s="16"/>
    </row>
    <row r="1532" spans="1:14" ht="21" customHeight="1">
      <c r="A1532" s="18" t="s">
        <v>326</v>
      </c>
      <c r="B1532" s="18" t="s">
        <v>1271</v>
      </c>
      <c r="C1532" s="20">
        <v>3</v>
      </c>
      <c r="D1532" s="21" t="s">
        <v>201</v>
      </c>
      <c r="E1532" s="20">
        <v>181050.883</v>
      </c>
      <c r="F1532" s="20">
        <f t="shared" ref="F1532:F1543" si="313">ROUND(E1532*C1532,0)</f>
        <v>543153</v>
      </c>
      <c r="G1532" s="20">
        <v>88768.922299999991</v>
      </c>
      <c r="H1532" s="20">
        <f t="shared" ref="H1532:H1543" si="314">ROUND(G1532*C1532,0)</f>
        <v>266307</v>
      </c>
      <c r="I1532" s="20">
        <v>141994.84829999998</v>
      </c>
      <c r="J1532" s="20">
        <f t="shared" ref="J1532:J1543" si="315">ROUND(I1532*C1532,0)</f>
        <v>425985</v>
      </c>
      <c r="K1532" s="20">
        <f t="shared" ref="K1532:K1543" si="316">E1532+G1532+I1532</f>
        <v>411814.65359999996</v>
      </c>
      <c r="L1532" s="20">
        <f t="shared" si="312"/>
        <v>1235445</v>
      </c>
      <c r="M1532" s="18"/>
      <c r="N1532" s="44"/>
    </row>
    <row r="1533" spans="1:14" ht="21" customHeight="1">
      <c r="A1533" s="18" t="s">
        <v>1322</v>
      </c>
      <c r="B1533" s="18"/>
      <c r="C1533" s="20">
        <v>1</v>
      </c>
      <c r="D1533" s="21" t="s">
        <v>201</v>
      </c>
      <c r="E1533" s="20">
        <v>40709.665999999997</v>
      </c>
      <c r="F1533" s="20">
        <f t="shared" si="313"/>
        <v>40710</v>
      </c>
      <c r="G1533" s="20">
        <v>91061.095000000001</v>
      </c>
      <c r="H1533" s="20">
        <f t="shared" si="314"/>
        <v>91061</v>
      </c>
      <c r="I1533" s="20">
        <v>0</v>
      </c>
      <c r="J1533" s="20">
        <f t="shared" si="315"/>
        <v>0</v>
      </c>
      <c r="K1533" s="20">
        <f t="shared" si="316"/>
        <v>131770.761</v>
      </c>
      <c r="L1533" s="20">
        <f t="shared" si="312"/>
        <v>131771</v>
      </c>
      <c r="M1533" s="18"/>
      <c r="N1533" s="44"/>
    </row>
    <row r="1534" spans="1:14" ht="21" customHeight="1">
      <c r="A1534" s="18" t="s">
        <v>1323</v>
      </c>
      <c r="B1534" s="18" t="s">
        <v>449</v>
      </c>
      <c r="C1534" s="20">
        <v>22</v>
      </c>
      <c r="D1534" s="21" t="s">
        <v>231</v>
      </c>
      <c r="E1534" s="20">
        <v>4499.4893999999995</v>
      </c>
      <c r="F1534" s="20">
        <f t="shared" si="313"/>
        <v>98989</v>
      </c>
      <c r="G1534" s="20">
        <v>20569.094399999998</v>
      </c>
      <c r="H1534" s="20">
        <f t="shared" si="314"/>
        <v>452520</v>
      </c>
      <c r="I1534" s="20">
        <v>0</v>
      </c>
      <c r="J1534" s="20">
        <f t="shared" si="315"/>
        <v>0</v>
      </c>
      <c r="K1534" s="20">
        <f t="shared" si="316"/>
        <v>25068.583799999997</v>
      </c>
      <c r="L1534" s="20">
        <f t="shared" si="312"/>
        <v>551509</v>
      </c>
      <c r="M1534" s="18"/>
      <c r="N1534" s="44"/>
    </row>
    <row r="1535" spans="1:14" ht="21" customHeight="1">
      <c r="A1535" s="18" t="s">
        <v>1273</v>
      </c>
      <c r="B1535" s="18" t="s">
        <v>451</v>
      </c>
      <c r="C1535" s="20">
        <v>3</v>
      </c>
      <c r="D1535" s="21" t="s">
        <v>231</v>
      </c>
      <c r="E1535" s="20">
        <v>4499.4893999999995</v>
      </c>
      <c r="F1535" s="20">
        <f t="shared" si="313"/>
        <v>13498</v>
      </c>
      <c r="G1535" s="20">
        <v>22123.019899999999</v>
      </c>
      <c r="H1535" s="20">
        <f t="shared" si="314"/>
        <v>66369</v>
      </c>
      <c r="I1535" s="20">
        <v>7016.5304999999998</v>
      </c>
      <c r="J1535" s="20">
        <f t="shared" si="315"/>
        <v>21050</v>
      </c>
      <c r="K1535" s="20">
        <f t="shared" si="316"/>
        <v>33639.039799999999</v>
      </c>
      <c r="L1535" s="20">
        <f t="shared" si="312"/>
        <v>100917</v>
      </c>
      <c r="M1535" s="18"/>
      <c r="N1535" s="44"/>
    </row>
    <row r="1536" spans="1:14" ht="21" customHeight="1">
      <c r="A1536" s="18" t="s">
        <v>1274</v>
      </c>
      <c r="B1536" s="18" t="s">
        <v>1275</v>
      </c>
      <c r="C1536" s="20">
        <v>29</v>
      </c>
      <c r="D1536" s="21" t="s">
        <v>231</v>
      </c>
      <c r="E1536" s="20">
        <v>4499.4893999999995</v>
      </c>
      <c r="F1536" s="20">
        <f t="shared" si="313"/>
        <v>130485</v>
      </c>
      <c r="G1536" s="20">
        <v>23140.231199999998</v>
      </c>
      <c r="H1536" s="20">
        <f t="shared" si="314"/>
        <v>671067</v>
      </c>
      <c r="I1536" s="20">
        <v>7016.5304999999998</v>
      </c>
      <c r="J1536" s="20">
        <f t="shared" si="315"/>
        <v>203479</v>
      </c>
      <c r="K1536" s="20">
        <f t="shared" si="316"/>
        <v>34656.251099999994</v>
      </c>
      <c r="L1536" s="20">
        <f t="shared" si="312"/>
        <v>1005031</v>
      </c>
      <c r="M1536" s="18"/>
      <c r="N1536" s="44"/>
    </row>
    <row r="1537" spans="1:14" ht="21" customHeight="1">
      <c r="A1537" s="18" t="s">
        <v>1276</v>
      </c>
      <c r="B1537" s="18" t="s">
        <v>504</v>
      </c>
      <c r="C1537" s="20">
        <v>4</v>
      </c>
      <c r="D1537" s="21" t="s">
        <v>368</v>
      </c>
      <c r="E1537" s="20">
        <v>77134.103999999992</v>
      </c>
      <c r="F1537" s="20">
        <f t="shared" si="313"/>
        <v>308536</v>
      </c>
      <c r="G1537" s="20">
        <v>0</v>
      </c>
      <c r="H1537" s="20">
        <f t="shared" si="314"/>
        <v>0</v>
      </c>
      <c r="I1537" s="20">
        <v>0</v>
      </c>
      <c r="J1537" s="20">
        <f t="shared" si="315"/>
        <v>0</v>
      </c>
      <c r="K1537" s="20">
        <f t="shared" si="316"/>
        <v>77134.103999999992</v>
      </c>
      <c r="L1537" s="20">
        <f t="shared" si="312"/>
        <v>308536</v>
      </c>
      <c r="M1537" s="18"/>
      <c r="N1537" s="44"/>
    </row>
    <row r="1538" spans="1:14" ht="21" customHeight="1">
      <c r="A1538" s="18" t="s">
        <v>1277</v>
      </c>
      <c r="B1538" s="18" t="s">
        <v>367</v>
      </c>
      <c r="C1538" s="20">
        <v>1</v>
      </c>
      <c r="D1538" s="21" t="s">
        <v>368</v>
      </c>
      <c r="E1538" s="20">
        <v>237830.15399999998</v>
      </c>
      <c r="F1538" s="20">
        <f t="shared" si="313"/>
        <v>237830</v>
      </c>
      <c r="G1538" s="20">
        <v>0</v>
      </c>
      <c r="H1538" s="20">
        <f t="shared" si="314"/>
        <v>0</v>
      </c>
      <c r="I1538" s="20">
        <v>0</v>
      </c>
      <c r="J1538" s="20">
        <f t="shared" si="315"/>
        <v>0</v>
      </c>
      <c r="K1538" s="20">
        <f t="shared" si="316"/>
        <v>237830.15399999998</v>
      </c>
      <c r="L1538" s="20">
        <f t="shared" si="312"/>
        <v>237830</v>
      </c>
      <c r="M1538" s="18"/>
      <c r="N1538" s="44"/>
    </row>
    <row r="1539" spans="1:14" ht="21" customHeight="1">
      <c r="A1539" s="18" t="s">
        <v>1324</v>
      </c>
      <c r="B1539" s="18" t="s">
        <v>1278</v>
      </c>
      <c r="C1539" s="20">
        <v>5</v>
      </c>
      <c r="D1539" s="21" t="s">
        <v>368</v>
      </c>
      <c r="E1539" s="20">
        <v>557079.64</v>
      </c>
      <c r="F1539" s="20">
        <f t="shared" si="313"/>
        <v>2785398</v>
      </c>
      <c r="G1539" s="20">
        <v>0</v>
      </c>
      <c r="H1539" s="20">
        <f t="shared" si="314"/>
        <v>0</v>
      </c>
      <c r="I1539" s="20">
        <v>0</v>
      </c>
      <c r="J1539" s="20">
        <f t="shared" si="315"/>
        <v>0</v>
      </c>
      <c r="K1539" s="20">
        <f t="shared" si="316"/>
        <v>557079.64</v>
      </c>
      <c r="L1539" s="20">
        <f t="shared" si="312"/>
        <v>2785398</v>
      </c>
      <c r="M1539" s="18"/>
      <c r="N1539" s="44"/>
    </row>
    <row r="1540" spans="1:14" ht="21" customHeight="1">
      <c r="A1540" s="18" t="s">
        <v>1280</v>
      </c>
      <c r="B1540" s="18" t="s">
        <v>1281</v>
      </c>
      <c r="C1540" s="20">
        <v>6</v>
      </c>
      <c r="D1540" s="21" t="s">
        <v>231</v>
      </c>
      <c r="E1540" s="20">
        <v>58921.885000000002</v>
      </c>
      <c r="F1540" s="20">
        <f t="shared" si="313"/>
        <v>353531</v>
      </c>
      <c r="G1540" s="20">
        <v>26782.674999999999</v>
      </c>
      <c r="H1540" s="20">
        <f t="shared" si="314"/>
        <v>160696</v>
      </c>
      <c r="I1540" s="20">
        <v>20814.116099999999</v>
      </c>
      <c r="J1540" s="20">
        <f t="shared" si="315"/>
        <v>124885</v>
      </c>
      <c r="K1540" s="20">
        <f t="shared" si="316"/>
        <v>106518.6761</v>
      </c>
      <c r="L1540" s="20">
        <f t="shared" si="312"/>
        <v>639112</v>
      </c>
      <c r="M1540" s="18"/>
      <c r="N1540" s="44"/>
    </row>
    <row r="1541" spans="1:14" ht="21" customHeight="1">
      <c r="A1541" s="18" t="s">
        <v>1325</v>
      </c>
      <c r="B1541" s="18" t="s">
        <v>1204</v>
      </c>
      <c r="C1541" s="20">
        <v>42</v>
      </c>
      <c r="D1541" s="21" t="s">
        <v>1111</v>
      </c>
      <c r="E1541" s="20">
        <v>316035.565</v>
      </c>
      <c r="F1541" s="20">
        <f t="shared" si="313"/>
        <v>13273494</v>
      </c>
      <c r="G1541" s="20">
        <v>58921.885000000002</v>
      </c>
      <c r="H1541" s="20">
        <f t="shared" si="314"/>
        <v>2474719</v>
      </c>
      <c r="I1541" s="20">
        <v>33327.193999999996</v>
      </c>
      <c r="J1541" s="20">
        <f t="shared" si="315"/>
        <v>1399742</v>
      </c>
      <c r="K1541" s="20">
        <f t="shared" si="316"/>
        <v>408284.64400000003</v>
      </c>
      <c r="L1541" s="20">
        <f t="shared" si="312"/>
        <v>17147955</v>
      </c>
      <c r="M1541" s="18"/>
      <c r="N1541" s="44"/>
    </row>
    <row r="1542" spans="1:14" ht="21" customHeight="1">
      <c r="A1542" s="18" t="s">
        <v>1326</v>
      </c>
      <c r="B1542" s="18" t="s">
        <v>1288</v>
      </c>
      <c r="C1542" s="20">
        <v>519</v>
      </c>
      <c r="D1542" s="21" t="s">
        <v>93</v>
      </c>
      <c r="E1542" s="20">
        <v>7145.9358999999995</v>
      </c>
      <c r="F1542" s="20">
        <f t="shared" si="313"/>
        <v>3708741</v>
      </c>
      <c r="G1542" s="20">
        <v>7499.1489999999994</v>
      </c>
      <c r="H1542" s="20">
        <f t="shared" si="314"/>
        <v>3892058</v>
      </c>
      <c r="I1542" s="20">
        <v>5846.5783999999994</v>
      </c>
      <c r="J1542" s="20">
        <f t="shared" si="315"/>
        <v>3034374</v>
      </c>
      <c r="K1542" s="20">
        <f t="shared" si="316"/>
        <v>20491.663299999997</v>
      </c>
      <c r="L1542" s="20">
        <f t="shared" si="312"/>
        <v>10635173</v>
      </c>
      <c r="M1542" s="18"/>
      <c r="N1542" s="44"/>
    </row>
    <row r="1543" spans="1:14" ht="21" customHeight="1">
      <c r="A1543" s="18" t="s">
        <v>1327</v>
      </c>
      <c r="B1543" s="18" t="s">
        <v>1044</v>
      </c>
      <c r="C1543" s="20">
        <v>1647</v>
      </c>
      <c r="D1543" s="21" t="s">
        <v>190</v>
      </c>
      <c r="E1543" s="20">
        <v>0</v>
      </c>
      <c r="F1543" s="20">
        <f t="shared" si="313"/>
        <v>0</v>
      </c>
      <c r="G1543" s="20">
        <v>0</v>
      </c>
      <c r="H1543" s="20">
        <f t="shared" si="314"/>
        <v>0</v>
      </c>
      <c r="I1543" s="20">
        <v>7366.5614999999998</v>
      </c>
      <c r="J1543" s="20">
        <f t="shared" si="315"/>
        <v>12132727</v>
      </c>
      <c r="K1543" s="20">
        <f t="shared" si="316"/>
        <v>7366.5614999999998</v>
      </c>
      <c r="L1543" s="20">
        <f t="shared" si="312"/>
        <v>12132727</v>
      </c>
      <c r="M1543" s="18"/>
      <c r="N1543" s="44"/>
    </row>
    <row r="1544" spans="1:14" ht="21" customHeight="1">
      <c r="A1544" s="18"/>
      <c r="B1544" s="18"/>
      <c r="C1544" s="20"/>
      <c r="D1544" s="21"/>
      <c r="E1544" s="20"/>
      <c r="F1544" s="20"/>
      <c r="G1544" s="20"/>
      <c r="H1544" s="20"/>
      <c r="I1544" s="20"/>
      <c r="J1544" s="20"/>
      <c r="K1544" s="20"/>
      <c r="L1544" s="20"/>
      <c r="M1544" s="18"/>
      <c r="N1544" s="44"/>
    </row>
    <row r="1545" spans="1:14" ht="21" customHeight="1">
      <c r="A1545" s="14" t="s">
        <v>1328</v>
      </c>
      <c r="B1545" s="15"/>
      <c r="C1545" s="16"/>
      <c r="D1545" s="16"/>
      <c r="E1545" s="16"/>
      <c r="F1545" s="17">
        <f>SUM(F1546:F1555)</f>
        <v>15427568</v>
      </c>
      <c r="G1545" s="16"/>
      <c r="H1545" s="17">
        <f>SUM(H1546:H1555)</f>
        <v>8627469</v>
      </c>
      <c r="I1545" s="16"/>
      <c r="J1545" s="17">
        <f>SUM(J1546:J1555)</f>
        <v>5388874</v>
      </c>
      <c r="K1545" s="16"/>
      <c r="L1545" s="17">
        <f t="shared" ref="L1545:L1556" si="317">F1545+H1545+J1545</f>
        <v>29443911</v>
      </c>
      <c r="M1545" s="16"/>
    </row>
    <row r="1546" spans="1:14" ht="21" customHeight="1">
      <c r="A1546" s="18" t="s">
        <v>326</v>
      </c>
      <c r="B1546" s="18" t="s">
        <v>1271</v>
      </c>
      <c r="C1546" s="20">
        <v>4</v>
      </c>
      <c r="D1546" s="21" t="s">
        <v>201</v>
      </c>
      <c r="E1546" s="20">
        <v>181050.883</v>
      </c>
      <c r="F1546" s="20">
        <f t="shared" ref="F1546:F1555" si="318">ROUND(E1546*C1546,0)</f>
        <v>724204</v>
      </c>
      <c r="G1546" s="20">
        <v>88768.922299999991</v>
      </c>
      <c r="H1546" s="20">
        <f t="shared" ref="H1546:H1555" si="319">ROUND(G1546*C1546,0)</f>
        <v>355076</v>
      </c>
      <c r="I1546" s="20">
        <v>141994.84829999998</v>
      </c>
      <c r="J1546" s="20">
        <f t="shared" ref="J1546:J1555" si="320">ROUND(I1546*C1546,0)</f>
        <v>567979</v>
      </c>
      <c r="K1546" s="20">
        <f t="shared" ref="K1546:K1555" si="321">E1546+G1546+I1546</f>
        <v>411814.65359999996</v>
      </c>
      <c r="L1546" s="20">
        <f t="shared" si="317"/>
        <v>1647259</v>
      </c>
      <c r="M1546" s="18"/>
      <c r="N1546" s="44"/>
    </row>
    <row r="1547" spans="1:14" ht="21" customHeight="1">
      <c r="A1547" s="18" t="s">
        <v>1329</v>
      </c>
      <c r="B1547" s="18" t="s">
        <v>451</v>
      </c>
      <c r="C1547" s="20">
        <v>55</v>
      </c>
      <c r="D1547" s="21" t="s">
        <v>231</v>
      </c>
      <c r="E1547" s="20">
        <v>4499.4893999999995</v>
      </c>
      <c r="F1547" s="20">
        <f t="shared" si="318"/>
        <v>247472</v>
      </c>
      <c r="G1547" s="20">
        <v>22123.019899999999</v>
      </c>
      <c r="H1547" s="20">
        <f t="shared" si="319"/>
        <v>1216766</v>
      </c>
      <c r="I1547" s="20">
        <v>7016.5304999999998</v>
      </c>
      <c r="J1547" s="20">
        <f t="shared" si="320"/>
        <v>385909</v>
      </c>
      <c r="K1547" s="20">
        <f t="shared" si="321"/>
        <v>33639.039799999999</v>
      </c>
      <c r="L1547" s="20">
        <f t="shared" si="317"/>
        <v>1850147</v>
      </c>
      <c r="M1547" s="18"/>
      <c r="N1547" s="44"/>
    </row>
    <row r="1548" spans="1:14" ht="21" customHeight="1">
      <c r="A1548" s="18" t="s">
        <v>1323</v>
      </c>
      <c r="B1548" s="18" t="s">
        <v>1275</v>
      </c>
      <c r="C1548" s="20">
        <v>10</v>
      </c>
      <c r="D1548" s="21" t="s">
        <v>231</v>
      </c>
      <c r="E1548" s="20">
        <v>4499.4893999999995</v>
      </c>
      <c r="F1548" s="20">
        <f t="shared" si="318"/>
        <v>44995</v>
      </c>
      <c r="G1548" s="20">
        <v>23140.231199999998</v>
      </c>
      <c r="H1548" s="20">
        <f t="shared" si="319"/>
        <v>231402</v>
      </c>
      <c r="I1548" s="20">
        <v>7016.5304999999998</v>
      </c>
      <c r="J1548" s="20">
        <f t="shared" si="320"/>
        <v>70165</v>
      </c>
      <c r="K1548" s="20">
        <f t="shared" si="321"/>
        <v>34656.251099999994</v>
      </c>
      <c r="L1548" s="20">
        <f t="shared" si="317"/>
        <v>346562</v>
      </c>
      <c r="M1548" s="18"/>
      <c r="N1548" s="44"/>
    </row>
    <row r="1549" spans="1:14" ht="21" customHeight="1">
      <c r="A1549" s="18" t="s">
        <v>1330</v>
      </c>
      <c r="B1549" s="18" t="s">
        <v>367</v>
      </c>
      <c r="C1549" s="20">
        <v>10</v>
      </c>
      <c r="D1549" s="21" t="s">
        <v>368</v>
      </c>
      <c r="E1549" s="20">
        <v>237830.15399999998</v>
      </c>
      <c r="F1549" s="20">
        <f t="shared" si="318"/>
        <v>2378302</v>
      </c>
      <c r="G1549" s="20">
        <v>0</v>
      </c>
      <c r="H1549" s="20">
        <f t="shared" si="319"/>
        <v>0</v>
      </c>
      <c r="I1549" s="20">
        <v>0</v>
      </c>
      <c r="J1549" s="20">
        <f t="shared" si="320"/>
        <v>0</v>
      </c>
      <c r="K1549" s="20">
        <f t="shared" si="321"/>
        <v>237830.15399999998</v>
      </c>
      <c r="L1549" s="20">
        <f t="shared" si="317"/>
        <v>2378302</v>
      </c>
      <c r="M1549" s="18"/>
      <c r="N1549" s="44"/>
    </row>
    <row r="1550" spans="1:14" ht="21" customHeight="1">
      <c r="A1550" s="18" t="s">
        <v>1331</v>
      </c>
      <c r="B1550" s="18" t="s">
        <v>1278</v>
      </c>
      <c r="C1550" s="20">
        <v>2</v>
      </c>
      <c r="D1550" s="21" t="s">
        <v>368</v>
      </c>
      <c r="E1550" s="20">
        <v>557079.64</v>
      </c>
      <c r="F1550" s="20">
        <f t="shared" si="318"/>
        <v>1114159</v>
      </c>
      <c r="G1550" s="20">
        <v>0</v>
      </c>
      <c r="H1550" s="20">
        <f t="shared" si="319"/>
        <v>0</v>
      </c>
      <c r="I1550" s="20">
        <v>0</v>
      </c>
      <c r="J1550" s="20">
        <f t="shared" si="320"/>
        <v>0</v>
      </c>
      <c r="K1550" s="20">
        <f t="shared" si="321"/>
        <v>557079.64</v>
      </c>
      <c r="L1550" s="20">
        <f t="shared" si="317"/>
        <v>1114159</v>
      </c>
      <c r="M1550" s="18"/>
      <c r="N1550" s="44"/>
    </row>
    <row r="1551" spans="1:14" ht="21" customHeight="1">
      <c r="A1551" s="18" t="s">
        <v>1332</v>
      </c>
      <c r="B1551" s="18" t="s">
        <v>1281</v>
      </c>
      <c r="C1551" s="20">
        <v>6</v>
      </c>
      <c r="D1551" s="21" t="s">
        <v>231</v>
      </c>
      <c r="E1551" s="20">
        <v>58921.885000000002</v>
      </c>
      <c r="F1551" s="20">
        <f t="shared" si="318"/>
        <v>353531</v>
      </c>
      <c r="G1551" s="20">
        <v>26782.674999999999</v>
      </c>
      <c r="H1551" s="20">
        <f t="shared" si="319"/>
        <v>160696</v>
      </c>
      <c r="I1551" s="20">
        <v>20814.116099999999</v>
      </c>
      <c r="J1551" s="20">
        <f t="shared" si="320"/>
        <v>124885</v>
      </c>
      <c r="K1551" s="20">
        <f t="shared" si="321"/>
        <v>106518.6761</v>
      </c>
      <c r="L1551" s="20">
        <f t="shared" si="317"/>
        <v>639112</v>
      </c>
      <c r="M1551" s="18"/>
      <c r="N1551" s="44"/>
    </row>
    <row r="1552" spans="1:14" ht="21" customHeight="1">
      <c r="A1552" s="18" t="s">
        <v>1333</v>
      </c>
      <c r="B1552" s="18" t="s">
        <v>1286</v>
      </c>
      <c r="C1552" s="20">
        <v>45</v>
      </c>
      <c r="D1552" s="21" t="s">
        <v>231</v>
      </c>
      <c r="E1552" s="20">
        <v>26782.674999999999</v>
      </c>
      <c r="F1552" s="20">
        <f t="shared" si="318"/>
        <v>1205220</v>
      </c>
      <c r="G1552" s="20">
        <v>13926.991</v>
      </c>
      <c r="H1552" s="20">
        <f t="shared" si="319"/>
        <v>626715</v>
      </c>
      <c r="I1552" s="20">
        <v>0</v>
      </c>
      <c r="J1552" s="20">
        <f t="shared" si="320"/>
        <v>0</v>
      </c>
      <c r="K1552" s="20">
        <f t="shared" si="321"/>
        <v>40709.665999999997</v>
      </c>
      <c r="L1552" s="20">
        <f t="shared" si="317"/>
        <v>1831935</v>
      </c>
      <c r="M1552" s="18"/>
      <c r="N1552" s="44"/>
    </row>
    <row r="1553" spans="1:14" ht="21" customHeight="1">
      <c r="A1553" s="18" t="s">
        <v>1334</v>
      </c>
      <c r="B1553" s="18" t="s">
        <v>1204</v>
      </c>
      <c r="C1553" s="20">
        <v>14</v>
      </c>
      <c r="D1553" s="21" t="s">
        <v>1111</v>
      </c>
      <c r="E1553" s="20">
        <v>316035.565</v>
      </c>
      <c r="F1553" s="20">
        <f t="shared" si="318"/>
        <v>4424498</v>
      </c>
      <c r="G1553" s="20">
        <v>58921.885000000002</v>
      </c>
      <c r="H1553" s="20">
        <f t="shared" si="319"/>
        <v>824906</v>
      </c>
      <c r="I1553" s="20">
        <v>33327.193999999996</v>
      </c>
      <c r="J1553" s="20">
        <f t="shared" si="320"/>
        <v>466581</v>
      </c>
      <c r="K1553" s="20">
        <f t="shared" si="321"/>
        <v>408284.64400000003</v>
      </c>
      <c r="L1553" s="20">
        <f t="shared" si="317"/>
        <v>5715985</v>
      </c>
      <c r="M1553" s="18"/>
      <c r="N1553" s="44"/>
    </row>
    <row r="1554" spans="1:14" ht="21" customHeight="1">
      <c r="A1554" s="18" t="s">
        <v>1335</v>
      </c>
      <c r="B1554" s="18" t="s">
        <v>1288</v>
      </c>
      <c r="C1554" s="20">
        <v>633</v>
      </c>
      <c r="D1554" s="21" t="s">
        <v>93</v>
      </c>
      <c r="E1554" s="20">
        <v>7145.9358999999995</v>
      </c>
      <c r="F1554" s="20">
        <f t="shared" si="318"/>
        <v>4523377</v>
      </c>
      <c r="G1554" s="20">
        <v>7499.1489999999994</v>
      </c>
      <c r="H1554" s="20">
        <f t="shared" si="319"/>
        <v>4746961</v>
      </c>
      <c r="I1554" s="20">
        <v>5846.5783999999994</v>
      </c>
      <c r="J1554" s="20">
        <f t="shared" si="320"/>
        <v>3700884</v>
      </c>
      <c r="K1554" s="20">
        <f t="shared" si="321"/>
        <v>20491.663299999997</v>
      </c>
      <c r="L1554" s="20">
        <f t="shared" si="317"/>
        <v>12971222</v>
      </c>
      <c r="M1554" s="18"/>
      <c r="N1554" s="44"/>
    </row>
    <row r="1555" spans="1:14" ht="21" customHeight="1">
      <c r="A1555" s="18" t="s">
        <v>1336</v>
      </c>
      <c r="B1555" s="18" t="s">
        <v>112</v>
      </c>
      <c r="C1555" s="20">
        <v>62</v>
      </c>
      <c r="D1555" s="21" t="s">
        <v>93</v>
      </c>
      <c r="E1555" s="20">
        <v>6642.1034</v>
      </c>
      <c r="F1555" s="20">
        <f t="shared" si="318"/>
        <v>411810</v>
      </c>
      <c r="G1555" s="20">
        <v>7499.1489999999994</v>
      </c>
      <c r="H1555" s="20">
        <f t="shared" si="319"/>
        <v>464947</v>
      </c>
      <c r="I1555" s="20">
        <v>1168.8914</v>
      </c>
      <c r="J1555" s="20">
        <f t="shared" si="320"/>
        <v>72471</v>
      </c>
      <c r="K1555" s="20">
        <f t="shared" si="321"/>
        <v>15310.1438</v>
      </c>
      <c r="L1555" s="20">
        <f t="shared" si="317"/>
        <v>949228</v>
      </c>
      <c r="M1555" s="18"/>
      <c r="N1555" s="44"/>
    </row>
    <row r="1556" spans="1:14" ht="21" customHeight="1">
      <c r="A1556" s="23" t="s">
        <v>1337</v>
      </c>
      <c r="B1556" s="24"/>
      <c r="C1556" s="24"/>
      <c r="D1556" s="24"/>
      <c r="E1556" s="24"/>
      <c r="F1556" s="25">
        <f>F1389+F1411+F1427+F1446+F1465+F1482+F1499+F1515+F1531+F1545</f>
        <v>480484405</v>
      </c>
      <c r="G1556" s="24"/>
      <c r="H1556" s="25">
        <f>H1389+H1411+H1427+H1446+H1465+H1482+H1499+H1515+H1531+H1545</f>
        <v>413536251</v>
      </c>
      <c r="I1556" s="24"/>
      <c r="J1556" s="25">
        <f>J1389+J1411+J1427+J1446+J1465+J1482+J1499+J1515+J1531+J1545</f>
        <v>1962353399</v>
      </c>
      <c r="K1556" s="24"/>
      <c r="L1556" s="25">
        <f t="shared" si="317"/>
        <v>2856374055</v>
      </c>
      <c r="M1556" s="24"/>
    </row>
    <row r="1558" spans="1:14" ht="21" customHeight="1">
      <c r="A1558" s="134" t="s">
        <v>1338</v>
      </c>
      <c r="B1558" s="135"/>
      <c r="C1558" s="135"/>
      <c r="D1558" s="135"/>
      <c r="E1558" s="135"/>
      <c r="F1558" s="135"/>
      <c r="G1558" s="135"/>
      <c r="H1558" s="135"/>
      <c r="I1558" s="135"/>
      <c r="J1558" s="135"/>
      <c r="K1558" s="135"/>
      <c r="L1558" s="135"/>
      <c r="M1558" s="135"/>
    </row>
    <row r="1559" spans="1:14" ht="21" customHeight="1">
      <c r="A1559" s="14" t="s">
        <v>1339</v>
      </c>
      <c r="B1559" s="15"/>
      <c r="C1559" s="16"/>
      <c r="D1559" s="16"/>
      <c r="E1559" s="16"/>
      <c r="F1559" s="17">
        <f>SUM(F1560:F1561)</f>
        <v>0</v>
      </c>
      <c r="G1559" s="16"/>
      <c r="H1559" s="17">
        <f>SUM(H1560:H1561)</f>
        <v>0</v>
      </c>
      <c r="I1559" s="16"/>
      <c r="J1559" s="17">
        <f>SUM(J1560:J1561)</f>
        <v>36421922</v>
      </c>
      <c r="K1559" s="16"/>
      <c r="L1559" s="17">
        <f>F1559+H1559+J1559</f>
        <v>36421922</v>
      </c>
      <c r="M1559" s="16"/>
    </row>
    <row r="1560" spans="1:14" ht="21" customHeight="1">
      <c r="A1560" s="18" t="s">
        <v>1340</v>
      </c>
      <c r="B1560" s="18" t="s">
        <v>1341</v>
      </c>
      <c r="C1560" s="20">
        <v>661</v>
      </c>
      <c r="D1560" s="21" t="s">
        <v>391</v>
      </c>
      <c r="E1560" s="20">
        <v>0</v>
      </c>
      <c r="F1560" s="20">
        <f>ROUND(E1560*C1560,0)</f>
        <v>0</v>
      </c>
      <c r="G1560" s="20">
        <v>0</v>
      </c>
      <c r="H1560" s="20">
        <f>ROUND(G1560*C1560,0)</f>
        <v>0</v>
      </c>
      <c r="I1560" s="20">
        <v>19045.929199999999</v>
      </c>
      <c r="J1560" s="20">
        <f>ROUND(I1560*C1560,0)</f>
        <v>12589359</v>
      </c>
      <c r="K1560" s="20">
        <f>E1560+G1560+I1560</f>
        <v>19045.929199999999</v>
      </c>
      <c r="L1560" s="20">
        <f>F1560+H1560+J1560</f>
        <v>12589359</v>
      </c>
      <c r="M1560" s="18"/>
      <c r="N1560" s="44"/>
    </row>
    <row r="1561" spans="1:14" ht="21" customHeight="1">
      <c r="A1561" s="18" t="s">
        <v>1342</v>
      </c>
      <c r="B1561" s="18"/>
      <c r="C1561" s="20">
        <v>661</v>
      </c>
      <c r="D1561" s="21" t="s">
        <v>391</v>
      </c>
      <c r="E1561" s="20">
        <v>0</v>
      </c>
      <c r="F1561" s="20">
        <f>ROUND(E1561*C1561,0)</f>
        <v>0</v>
      </c>
      <c r="G1561" s="20">
        <v>0</v>
      </c>
      <c r="H1561" s="20">
        <f>ROUND(G1561*C1561,0)</f>
        <v>0</v>
      </c>
      <c r="I1561" s="20">
        <v>36055.314399999996</v>
      </c>
      <c r="J1561" s="20">
        <f>ROUND(I1561*C1561,0)</f>
        <v>23832563</v>
      </c>
      <c r="K1561" s="20">
        <f>E1561+G1561+I1561</f>
        <v>36055.314399999996</v>
      </c>
      <c r="L1561" s="20">
        <f>F1561+H1561+J1561</f>
        <v>23832563</v>
      </c>
      <c r="M1561" s="18"/>
      <c r="N1561" s="44"/>
    </row>
    <row r="1562" spans="1:14" ht="21" customHeight="1">
      <c r="A1562" s="23" t="s">
        <v>1343</v>
      </c>
      <c r="B1562" s="24"/>
      <c r="C1562" s="24"/>
      <c r="D1562" s="24"/>
      <c r="E1562" s="24"/>
      <c r="F1562" s="25">
        <f>F1559</f>
        <v>0</v>
      </c>
      <c r="G1562" s="24"/>
      <c r="H1562" s="25">
        <f>H1559</f>
        <v>0</v>
      </c>
      <c r="I1562" s="24"/>
      <c r="J1562" s="25">
        <f>J1559</f>
        <v>36421922</v>
      </c>
      <c r="K1562" s="24"/>
      <c r="L1562" s="25">
        <f>F1562+H1562+J1562</f>
        <v>36421922</v>
      </c>
      <c r="M1562" s="24"/>
    </row>
    <row r="1564" spans="1:14" ht="21" customHeight="1">
      <c r="A1564" s="23" t="s">
        <v>1344</v>
      </c>
      <c r="B1564" s="24"/>
      <c r="C1564" s="24"/>
      <c r="D1564" s="24"/>
      <c r="E1564" s="24"/>
      <c r="F1564" s="25">
        <f>F898+F1157+F1386+F1556+F1562</f>
        <v>3724120909</v>
      </c>
      <c r="G1564" s="24"/>
      <c r="H1564" s="25">
        <f>H898+H1157+H1386+H1556+H1562</f>
        <v>1954126620</v>
      </c>
      <c r="I1564" s="24"/>
      <c r="J1564" s="25">
        <f>J898+J1157+J1386+J1556+J1562</f>
        <v>4800291901</v>
      </c>
      <c r="K1564" s="24"/>
      <c r="L1564" s="25">
        <f>L898+L1157+L1386+L1556+L1562</f>
        <v>10478539430</v>
      </c>
      <c r="M1564" s="24"/>
    </row>
  </sheetData>
  <mergeCells count="13">
    <mergeCell ref="A1558:M1558"/>
    <mergeCell ref="A900:M900"/>
    <mergeCell ref="A1388:M1388"/>
    <mergeCell ref="G1:H1"/>
    <mergeCell ref="E1:F1"/>
    <mergeCell ref="K1:L1"/>
    <mergeCell ref="A1159:M1159"/>
    <mergeCell ref="C1:C2"/>
    <mergeCell ref="B1:B2"/>
    <mergeCell ref="D1:D2"/>
    <mergeCell ref="M1:M2"/>
    <mergeCell ref="I1:J1"/>
    <mergeCell ref="A1:A2"/>
  </mergeCells>
  <phoneticPr fontId="13" type="noConversion"/>
  <printOptions gridLines="1"/>
  <pageMargins left="0.59055118110236227" right="0.39370078740157483" top="0.59055118110236227" bottom="0.39370078740157483" header="0.51181102362204722" footer="0.51181102362204722"/>
  <pageSetup paperSize="9" scale="69" orientation="landscape" r:id="rId1"/>
  <ignoredErrors>
    <ignoredError sqref="A18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37278-921B-4C14-9471-F1185B39E5F5}">
  <dimension ref="A1:M251"/>
  <sheetViews>
    <sheetView view="pageBreakPreview" zoomScale="90" zoomScaleNormal="100" zoomScaleSheetLayoutView="90" workbookViewId="0">
      <pane ySplit="2" topLeftCell="A73" activePane="bottomLeft" state="frozen"/>
      <selection activeCell="S24" sqref="S24"/>
      <selection pane="bottomLeft" activeCell="R27" sqref="R27"/>
    </sheetView>
  </sheetViews>
  <sheetFormatPr defaultRowHeight="24" customHeight="1"/>
  <cols>
    <col min="1" max="1" width="37.25" style="55" bestFit="1" customWidth="1"/>
    <col min="2" max="2" width="27.75" style="55" bestFit="1" customWidth="1"/>
    <col min="3" max="3" width="8.125" style="55" bestFit="1" customWidth="1"/>
    <col min="4" max="4" width="4.75" style="55" bestFit="1" customWidth="1"/>
    <col min="5" max="5" width="13" style="82" bestFit="1" customWidth="1"/>
    <col min="6" max="6" width="16.25" style="82" bestFit="1" customWidth="1"/>
    <col min="7" max="7" width="10.125" style="82" bestFit="1" customWidth="1"/>
    <col min="8" max="8" width="16.25" style="82" bestFit="1" customWidth="1"/>
    <col min="9" max="9" width="11.875" style="82" bestFit="1" customWidth="1"/>
    <col min="10" max="10" width="15" style="82" bestFit="1" customWidth="1"/>
    <col min="11" max="11" width="13" style="82" bestFit="1" customWidth="1"/>
    <col min="12" max="12" width="16.25" style="82" bestFit="1" customWidth="1"/>
    <col min="13" max="13" width="5.25" style="55" bestFit="1" customWidth="1"/>
    <col min="14" max="16384" width="9" style="55"/>
  </cols>
  <sheetData>
    <row r="1" spans="1:13" ht="24" customHeight="1">
      <c r="A1" s="132" t="s">
        <v>84</v>
      </c>
      <c r="B1" s="132" t="s">
        <v>85</v>
      </c>
      <c r="C1" s="132" t="s">
        <v>12</v>
      </c>
      <c r="D1" s="132" t="s">
        <v>13</v>
      </c>
      <c r="E1" s="131" t="s">
        <v>30</v>
      </c>
      <c r="F1" s="131"/>
      <c r="G1" s="131" t="s">
        <v>86</v>
      </c>
      <c r="H1" s="131"/>
      <c r="I1" s="131" t="s">
        <v>87</v>
      </c>
      <c r="J1" s="131"/>
      <c r="K1" s="131" t="s">
        <v>76</v>
      </c>
      <c r="L1" s="131"/>
      <c r="M1" s="132" t="s">
        <v>18</v>
      </c>
    </row>
    <row r="2" spans="1:13" ht="24" customHeight="1">
      <c r="A2" s="132"/>
      <c r="B2" s="132"/>
      <c r="C2" s="132"/>
      <c r="D2" s="132"/>
      <c r="E2" s="54" t="s">
        <v>19</v>
      </c>
      <c r="F2" s="54" t="s">
        <v>20</v>
      </c>
      <c r="G2" s="54" t="s">
        <v>19</v>
      </c>
      <c r="H2" s="54" t="s">
        <v>20</v>
      </c>
      <c r="I2" s="54" t="s">
        <v>19</v>
      </c>
      <c r="J2" s="54" t="s">
        <v>20</v>
      </c>
      <c r="K2" s="54" t="s">
        <v>19</v>
      </c>
      <c r="L2" s="54" t="s">
        <v>20</v>
      </c>
      <c r="M2" s="132"/>
    </row>
    <row r="3" spans="1:13" ht="24" customHeight="1">
      <c r="A3" s="139" t="s">
        <v>1538</v>
      </c>
      <c r="B3" s="140"/>
      <c r="C3" s="56"/>
      <c r="D3" s="56"/>
      <c r="E3" s="57"/>
      <c r="F3" s="58">
        <f>SUM(F4:F11)</f>
        <v>521236885</v>
      </c>
      <c r="G3" s="58">
        <f t="shared" ref="G3:L3" si="0">SUM(G4:G11)</f>
        <v>0</v>
      </c>
      <c r="H3" s="58">
        <f t="shared" si="0"/>
        <v>193226975</v>
      </c>
      <c r="I3" s="58">
        <f t="shared" si="0"/>
        <v>0</v>
      </c>
      <c r="J3" s="58">
        <f t="shared" si="0"/>
        <v>10904663</v>
      </c>
      <c r="K3" s="58">
        <f t="shared" si="0"/>
        <v>0</v>
      </c>
      <c r="L3" s="58">
        <f t="shared" si="0"/>
        <v>725368523</v>
      </c>
      <c r="M3" s="59"/>
    </row>
    <row r="4" spans="1:13" ht="24" customHeight="1">
      <c r="A4" s="137" t="str">
        <f>+A34</f>
        <v>1.전기공사 (지구내) ▸ 1-1.가로등설비공사</v>
      </c>
      <c r="B4" s="138"/>
      <c r="C4" s="60"/>
      <c r="D4" s="60"/>
      <c r="E4" s="61"/>
      <c r="F4" s="62">
        <f>+F34</f>
        <v>168366694</v>
      </c>
      <c r="G4" s="62">
        <f t="shared" ref="G4:L4" si="1">+G34</f>
        <v>0</v>
      </c>
      <c r="H4" s="62">
        <f t="shared" si="1"/>
        <v>74760221</v>
      </c>
      <c r="I4" s="62">
        <f t="shared" si="1"/>
        <v>0</v>
      </c>
      <c r="J4" s="62">
        <f t="shared" si="1"/>
        <v>2912103</v>
      </c>
      <c r="K4" s="62">
        <f t="shared" si="1"/>
        <v>0</v>
      </c>
      <c r="L4" s="62">
        <f t="shared" si="1"/>
        <v>246039018</v>
      </c>
      <c r="M4" s="63"/>
    </row>
    <row r="5" spans="1:13" ht="24" customHeight="1">
      <c r="A5" s="137" t="str">
        <f>+A74</f>
        <v>1.전기공사 (지구내) ▸ 1-2.공원등설비공사</v>
      </c>
      <c r="B5" s="138"/>
      <c r="C5" s="64"/>
      <c r="D5" s="64"/>
      <c r="E5" s="65"/>
      <c r="F5" s="62">
        <f>+F74</f>
        <v>62703135</v>
      </c>
      <c r="G5" s="62">
        <f t="shared" ref="G5:L5" si="2">+G74</f>
        <v>0</v>
      </c>
      <c r="H5" s="62">
        <f t="shared" si="2"/>
        <v>24119403</v>
      </c>
      <c r="I5" s="62">
        <f t="shared" si="2"/>
        <v>0</v>
      </c>
      <c r="J5" s="62">
        <f t="shared" si="2"/>
        <v>1032510</v>
      </c>
      <c r="K5" s="62">
        <f t="shared" si="2"/>
        <v>0</v>
      </c>
      <c r="L5" s="62">
        <f t="shared" si="2"/>
        <v>87855048</v>
      </c>
      <c r="M5" s="66"/>
    </row>
    <row r="6" spans="1:13" ht="24" customHeight="1">
      <c r="A6" s="137" t="str">
        <f>+A107</f>
        <v>1.전기공사 (지구내) ▸ 1-3.신호등설비공사</v>
      </c>
      <c r="B6" s="138"/>
      <c r="C6" s="64"/>
      <c r="D6" s="64"/>
      <c r="E6" s="65"/>
      <c r="F6" s="62">
        <f>+F107</f>
        <v>18575525</v>
      </c>
      <c r="G6" s="62">
        <f t="shared" ref="G6:L6" si="3">+G107</f>
        <v>0</v>
      </c>
      <c r="H6" s="62">
        <f t="shared" si="3"/>
        <v>11313170</v>
      </c>
      <c r="I6" s="62">
        <f t="shared" si="3"/>
        <v>0</v>
      </c>
      <c r="J6" s="62">
        <f t="shared" si="3"/>
        <v>362824</v>
      </c>
      <c r="K6" s="62">
        <f t="shared" si="3"/>
        <v>0</v>
      </c>
      <c r="L6" s="62">
        <f t="shared" si="3"/>
        <v>30251519</v>
      </c>
      <c r="M6" s="66"/>
    </row>
    <row r="7" spans="1:13" ht="24" customHeight="1">
      <c r="A7" s="137" t="str">
        <f>+A132</f>
        <v>1.전기공사 (지구내) ▸ 1-4.공원 통신설비 공사</v>
      </c>
      <c r="B7" s="138"/>
      <c r="C7" s="64"/>
      <c r="D7" s="64"/>
      <c r="E7" s="65"/>
      <c r="F7" s="62">
        <f>+F132</f>
        <v>72948061</v>
      </c>
      <c r="G7" s="62">
        <f t="shared" ref="G7:L7" si="4">+G132</f>
        <v>0</v>
      </c>
      <c r="H7" s="62">
        <f t="shared" si="4"/>
        <v>18973472</v>
      </c>
      <c r="I7" s="62">
        <f t="shared" si="4"/>
        <v>0</v>
      </c>
      <c r="J7" s="62">
        <f t="shared" si="4"/>
        <v>4264900</v>
      </c>
      <c r="K7" s="62">
        <f t="shared" si="4"/>
        <v>0</v>
      </c>
      <c r="L7" s="62">
        <f t="shared" si="4"/>
        <v>96186433</v>
      </c>
      <c r="M7" s="66"/>
    </row>
    <row r="8" spans="1:13" ht="24" customHeight="1">
      <c r="A8" s="137" t="str">
        <f>+A176</f>
        <v>1.전기공사 (지구내) ▸ 1-5.불법주정차단속시스템</v>
      </c>
      <c r="B8" s="138"/>
      <c r="C8" s="64"/>
      <c r="D8" s="64"/>
      <c r="E8" s="65"/>
      <c r="F8" s="62">
        <f>+F176</f>
        <v>24853500</v>
      </c>
      <c r="G8" s="62">
        <f t="shared" ref="G8:L8" si="5">+G176</f>
        <v>0</v>
      </c>
      <c r="H8" s="62">
        <f t="shared" si="5"/>
        <v>0</v>
      </c>
      <c r="I8" s="62">
        <f t="shared" si="5"/>
        <v>0</v>
      </c>
      <c r="J8" s="62">
        <f t="shared" si="5"/>
        <v>0</v>
      </c>
      <c r="K8" s="62">
        <f t="shared" si="5"/>
        <v>0</v>
      </c>
      <c r="L8" s="62">
        <f t="shared" si="5"/>
        <v>24853500</v>
      </c>
      <c r="M8" s="66"/>
    </row>
    <row r="9" spans="1:13" ht="24" customHeight="1">
      <c r="A9" s="137" t="str">
        <f>+A178</f>
        <v>2.전기공사 (지구외) ▸ 2-1.가로등설비공사</v>
      </c>
      <c r="B9" s="138"/>
      <c r="C9" s="64"/>
      <c r="D9" s="64"/>
      <c r="E9" s="65"/>
      <c r="F9" s="62">
        <f>+F178</f>
        <v>112592176</v>
      </c>
      <c r="G9" s="62">
        <f t="shared" ref="G9:L9" si="6">+G178</f>
        <v>0</v>
      </c>
      <c r="H9" s="62">
        <f t="shared" si="6"/>
        <v>47591777</v>
      </c>
      <c r="I9" s="62">
        <f t="shared" si="6"/>
        <v>0</v>
      </c>
      <c r="J9" s="62">
        <f t="shared" si="6"/>
        <v>2041425</v>
      </c>
      <c r="K9" s="62">
        <f t="shared" si="6"/>
        <v>0</v>
      </c>
      <c r="L9" s="62">
        <f t="shared" si="6"/>
        <v>162225378</v>
      </c>
      <c r="M9" s="66"/>
    </row>
    <row r="10" spans="1:13" ht="24" customHeight="1">
      <c r="A10" s="137" t="str">
        <f>+A211</f>
        <v>2.전기공사 (지구외) ▸ 2-2.신호등설비공사</v>
      </c>
      <c r="B10" s="138"/>
      <c r="C10" s="64"/>
      <c r="D10" s="64"/>
      <c r="E10" s="65"/>
      <c r="F10" s="62">
        <f>F211</f>
        <v>36344294</v>
      </c>
      <c r="G10" s="62">
        <f t="shared" ref="G10:L10" si="7">G211</f>
        <v>0</v>
      </c>
      <c r="H10" s="62">
        <f t="shared" si="7"/>
        <v>16468932</v>
      </c>
      <c r="I10" s="62">
        <f t="shared" si="7"/>
        <v>0</v>
      </c>
      <c r="J10" s="62">
        <f t="shared" si="7"/>
        <v>290901</v>
      </c>
      <c r="K10" s="62">
        <f t="shared" si="7"/>
        <v>0</v>
      </c>
      <c r="L10" s="62">
        <f t="shared" si="7"/>
        <v>53104127</v>
      </c>
      <c r="M10" s="66"/>
    </row>
    <row r="11" spans="1:13" ht="24" customHeight="1">
      <c r="A11" s="137" t="str">
        <f>+A249</f>
        <v>2.전기공사 (지구외) ▸ 2-3.불법주정차단속시스템</v>
      </c>
      <c r="B11" s="138"/>
      <c r="C11" s="64"/>
      <c r="D11" s="64"/>
      <c r="E11" s="65"/>
      <c r="F11" s="62">
        <f>+F249</f>
        <v>24853500</v>
      </c>
      <c r="G11" s="62">
        <f t="shared" ref="G11:L11" si="8">+G249</f>
        <v>0</v>
      </c>
      <c r="H11" s="62">
        <f t="shared" si="8"/>
        <v>0</v>
      </c>
      <c r="I11" s="62">
        <f t="shared" si="8"/>
        <v>0</v>
      </c>
      <c r="J11" s="62">
        <f t="shared" si="8"/>
        <v>0</v>
      </c>
      <c r="K11" s="62">
        <f t="shared" si="8"/>
        <v>0</v>
      </c>
      <c r="L11" s="62">
        <f t="shared" si="8"/>
        <v>24853500</v>
      </c>
      <c r="M11" s="66"/>
    </row>
    <row r="12" spans="1:13" ht="24" customHeight="1">
      <c r="A12" s="67"/>
      <c r="B12" s="68"/>
      <c r="C12" s="64"/>
      <c r="D12" s="64"/>
      <c r="E12" s="65"/>
      <c r="F12" s="65"/>
      <c r="G12" s="65"/>
      <c r="H12" s="65"/>
      <c r="I12" s="65"/>
      <c r="J12" s="65"/>
      <c r="K12" s="65"/>
      <c r="L12" s="65"/>
      <c r="M12" s="66"/>
    </row>
    <row r="13" spans="1:13" ht="24" customHeight="1">
      <c r="A13" s="67"/>
      <c r="B13" s="68"/>
      <c r="C13" s="64"/>
      <c r="D13" s="64"/>
      <c r="E13" s="65"/>
      <c r="F13" s="65"/>
      <c r="G13" s="65"/>
      <c r="H13" s="65"/>
      <c r="I13" s="65"/>
      <c r="J13" s="65"/>
      <c r="K13" s="65"/>
      <c r="L13" s="65"/>
      <c r="M13" s="66"/>
    </row>
    <row r="14" spans="1:13" ht="24" customHeight="1">
      <c r="A14" s="67"/>
      <c r="B14" s="68"/>
      <c r="C14" s="64"/>
      <c r="D14" s="64"/>
      <c r="E14" s="65"/>
      <c r="F14" s="65"/>
      <c r="G14" s="65"/>
      <c r="H14" s="65"/>
      <c r="I14" s="65"/>
      <c r="J14" s="65"/>
      <c r="K14" s="65"/>
      <c r="L14" s="65"/>
      <c r="M14" s="66"/>
    </row>
    <row r="15" spans="1:13" ht="24" customHeight="1">
      <c r="A15" s="67"/>
      <c r="B15" s="68"/>
      <c r="C15" s="64"/>
      <c r="D15" s="64"/>
      <c r="E15" s="65"/>
      <c r="F15" s="65"/>
      <c r="G15" s="65"/>
      <c r="H15" s="65"/>
      <c r="I15" s="65"/>
      <c r="J15" s="65"/>
      <c r="K15" s="65"/>
      <c r="L15" s="65"/>
      <c r="M15" s="66"/>
    </row>
    <row r="16" spans="1:13" ht="24" customHeight="1">
      <c r="A16" s="67"/>
      <c r="B16" s="68"/>
      <c r="C16" s="64"/>
      <c r="D16" s="64"/>
      <c r="E16" s="65"/>
      <c r="F16" s="65"/>
      <c r="G16" s="65"/>
      <c r="H16" s="65"/>
      <c r="I16" s="65"/>
      <c r="J16" s="65"/>
      <c r="K16" s="65"/>
      <c r="L16" s="65"/>
      <c r="M16" s="66"/>
    </row>
    <row r="17" spans="1:13" ht="24" customHeight="1">
      <c r="A17" s="67"/>
      <c r="B17" s="68"/>
      <c r="C17" s="64"/>
      <c r="D17" s="64"/>
      <c r="E17" s="65"/>
      <c r="F17" s="65"/>
      <c r="G17" s="65"/>
      <c r="H17" s="65"/>
      <c r="I17" s="65"/>
      <c r="J17" s="65"/>
      <c r="K17" s="65"/>
      <c r="L17" s="65"/>
      <c r="M17" s="66"/>
    </row>
    <row r="18" spans="1:13" ht="24" customHeight="1">
      <c r="A18" s="67"/>
      <c r="B18" s="68"/>
      <c r="C18" s="64"/>
      <c r="D18" s="64"/>
      <c r="E18" s="65"/>
      <c r="F18" s="65"/>
      <c r="G18" s="65"/>
      <c r="H18" s="65"/>
      <c r="I18" s="65"/>
      <c r="J18" s="65"/>
      <c r="K18" s="65"/>
      <c r="L18" s="65"/>
      <c r="M18" s="66"/>
    </row>
    <row r="19" spans="1:13" ht="24" customHeight="1">
      <c r="A19" s="67"/>
      <c r="B19" s="68"/>
      <c r="C19" s="64"/>
      <c r="D19" s="64"/>
      <c r="E19" s="65"/>
      <c r="F19" s="65"/>
      <c r="G19" s="65"/>
      <c r="H19" s="65"/>
      <c r="I19" s="65"/>
      <c r="J19" s="65"/>
      <c r="K19" s="65"/>
      <c r="L19" s="65"/>
      <c r="M19" s="66"/>
    </row>
    <row r="20" spans="1:13" ht="24" customHeight="1">
      <c r="A20" s="67"/>
      <c r="B20" s="68"/>
      <c r="C20" s="64"/>
      <c r="D20" s="64"/>
      <c r="E20" s="65"/>
      <c r="F20" s="65"/>
      <c r="G20" s="65"/>
      <c r="H20" s="65"/>
      <c r="I20" s="65"/>
      <c r="J20" s="65"/>
      <c r="K20" s="65"/>
      <c r="L20" s="65"/>
      <c r="M20" s="66"/>
    </row>
    <row r="21" spans="1:13" ht="24" customHeight="1">
      <c r="A21" s="69"/>
      <c r="B21" s="70"/>
      <c r="C21" s="66"/>
      <c r="D21" s="66"/>
      <c r="E21" s="71"/>
      <c r="F21" s="71"/>
      <c r="G21" s="71"/>
      <c r="H21" s="71"/>
      <c r="I21" s="71"/>
      <c r="J21" s="71"/>
      <c r="K21" s="71"/>
      <c r="L21" s="71"/>
      <c r="M21" s="66"/>
    </row>
    <row r="22" spans="1:13" ht="24" customHeight="1">
      <c r="A22" s="69"/>
      <c r="B22" s="70"/>
      <c r="C22" s="66"/>
      <c r="D22" s="66"/>
      <c r="E22" s="71"/>
      <c r="F22" s="71"/>
      <c r="G22" s="71"/>
      <c r="H22" s="71"/>
      <c r="I22" s="71"/>
      <c r="J22" s="71"/>
      <c r="K22" s="71"/>
      <c r="L22" s="71"/>
      <c r="M22" s="66"/>
    </row>
    <row r="23" spans="1:13" ht="24" customHeight="1">
      <c r="A23" s="69"/>
      <c r="B23" s="70"/>
      <c r="C23" s="66"/>
      <c r="D23" s="66"/>
      <c r="E23" s="71"/>
      <c r="F23" s="71"/>
      <c r="G23" s="71"/>
      <c r="H23" s="71"/>
      <c r="I23" s="71"/>
      <c r="J23" s="71"/>
      <c r="K23" s="71"/>
      <c r="L23" s="71"/>
      <c r="M23" s="66"/>
    </row>
    <row r="24" spans="1:13" ht="24" customHeight="1">
      <c r="A24" s="69"/>
      <c r="B24" s="70"/>
      <c r="C24" s="66"/>
      <c r="D24" s="66"/>
      <c r="E24" s="71"/>
      <c r="F24" s="71"/>
      <c r="G24" s="71"/>
      <c r="H24" s="71"/>
      <c r="I24" s="71"/>
      <c r="J24" s="71"/>
      <c r="K24" s="71"/>
      <c r="L24" s="71"/>
      <c r="M24" s="66"/>
    </row>
    <row r="25" spans="1:13" ht="24" customHeight="1">
      <c r="A25" s="69"/>
      <c r="B25" s="70"/>
      <c r="C25" s="66"/>
      <c r="D25" s="66"/>
      <c r="E25" s="71"/>
      <c r="F25" s="71"/>
      <c r="G25" s="71"/>
      <c r="H25" s="71"/>
      <c r="I25" s="71"/>
      <c r="J25" s="71"/>
      <c r="K25" s="71"/>
      <c r="L25" s="71"/>
      <c r="M25" s="66"/>
    </row>
    <row r="26" spans="1:13" ht="24" customHeight="1">
      <c r="A26" s="69"/>
      <c r="B26" s="70"/>
      <c r="C26" s="66"/>
      <c r="D26" s="66"/>
      <c r="E26" s="71"/>
      <c r="F26" s="71"/>
      <c r="G26" s="71"/>
      <c r="H26" s="71"/>
      <c r="I26" s="71"/>
      <c r="J26" s="71"/>
      <c r="K26" s="71"/>
      <c r="L26" s="71"/>
      <c r="M26" s="66"/>
    </row>
    <row r="27" spans="1:13" ht="24" customHeight="1">
      <c r="A27" s="69"/>
      <c r="B27" s="70"/>
      <c r="C27" s="66"/>
      <c r="D27" s="66"/>
      <c r="E27" s="71"/>
      <c r="F27" s="71"/>
      <c r="G27" s="71"/>
      <c r="H27" s="71"/>
      <c r="I27" s="71"/>
      <c r="J27" s="71"/>
      <c r="K27" s="71"/>
      <c r="L27" s="71"/>
      <c r="M27" s="66"/>
    </row>
    <row r="28" spans="1:13" ht="24" customHeight="1">
      <c r="A28" s="69"/>
      <c r="B28" s="70"/>
      <c r="C28" s="66"/>
      <c r="D28" s="66"/>
      <c r="E28" s="71"/>
      <c r="F28" s="71"/>
      <c r="G28" s="71"/>
      <c r="H28" s="71"/>
      <c r="I28" s="71"/>
      <c r="J28" s="71"/>
      <c r="K28" s="71"/>
      <c r="L28" s="71"/>
      <c r="M28" s="66"/>
    </row>
    <row r="29" spans="1:13" ht="24" customHeight="1">
      <c r="A29" s="69"/>
      <c r="B29" s="70"/>
      <c r="C29" s="66"/>
      <c r="D29" s="66"/>
      <c r="E29" s="71"/>
      <c r="F29" s="71"/>
      <c r="G29" s="71"/>
      <c r="H29" s="71"/>
      <c r="I29" s="71"/>
      <c r="J29" s="71"/>
      <c r="K29" s="71"/>
      <c r="L29" s="71"/>
      <c r="M29" s="66"/>
    </row>
    <row r="30" spans="1:13" ht="24" customHeight="1">
      <c r="A30" s="69"/>
      <c r="B30" s="70"/>
      <c r="C30" s="66"/>
      <c r="D30" s="66"/>
      <c r="E30" s="71"/>
      <c r="F30" s="71"/>
      <c r="G30" s="71"/>
      <c r="H30" s="71"/>
      <c r="I30" s="71"/>
      <c r="J30" s="71"/>
      <c r="K30" s="71"/>
      <c r="L30" s="71"/>
      <c r="M30" s="66"/>
    </row>
    <row r="31" spans="1:13" ht="24" customHeight="1">
      <c r="A31" s="69"/>
      <c r="B31" s="70"/>
      <c r="C31" s="66"/>
      <c r="D31" s="66"/>
      <c r="E31" s="71"/>
      <c r="F31" s="71"/>
      <c r="G31" s="71"/>
      <c r="H31" s="71"/>
      <c r="I31" s="71"/>
      <c r="J31" s="71"/>
      <c r="K31" s="71"/>
      <c r="L31" s="71"/>
      <c r="M31" s="66"/>
    </row>
    <row r="32" spans="1:13" ht="24" customHeight="1">
      <c r="A32" s="69"/>
      <c r="B32" s="70"/>
      <c r="C32" s="66"/>
      <c r="D32" s="66"/>
      <c r="E32" s="71"/>
      <c r="F32" s="71"/>
      <c r="G32" s="71"/>
      <c r="H32" s="71"/>
      <c r="I32" s="71"/>
      <c r="J32" s="71"/>
      <c r="K32" s="71"/>
      <c r="L32" s="71"/>
      <c r="M32" s="66"/>
    </row>
    <row r="33" spans="1:13" ht="24" customHeight="1">
      <c r="A33" s="69"/>
      <c r="B33" s="70"/>
      <c r="C33" s="66"/>
      <c r="D33" s="66"/>
      <c r="E33" s="71"/>
      <c r="F33" s="71"/>
      <c r="G33" s="71"/>
      <c r="H33" s="71"/>
      <c r="I33" s="71"/>
      <c r="J33" s="71"/>
      <c r="K33" s="71"/>
      <c r="L33" s="71"/>
      <c r="M33" s="66"/>
    </row>
    <row r="34" spans="1:13" ht="24" customHeight="1">
      <c r="A34" s="141" t="s">
        <v>1345</v>
      </c>
      <c r="B34" s="142"/>
      <c r="C34" s="72"/>
      <c r="D34" s="72"/>
      <c r="E34" s="73"/>
      <c r="F34" s="74">
        <f>SUM(F35:F73)</f>
        <v>168366694</v>
      </c>
      <c r="G34" s="73"/>
      <c r="H34" s="74">
        <f>SUM(H35:H73)</f>
        <v>74760221</v>
      </c>
      <c r="I34" s="73"/>
      <c r="J34" s="74">
        <f>SUM(J35:J73)</f>
        <v>2912103</v>
      </c>
      <c r="K34" s="73"/>
      <c r="L34" s="74">
        <f t="shared" ref="L34:L97" si="9">F34+H34+J34</f>
        <v>246039018</v>
      </c>
      <c r="M34" s="72"/>
    </row>
    <row r="35" spans="1:13" ht="24" customHeight="1">
      <c r="A35" s="75" t="s">
        <v>1346</v>
      </c>
      <c r="B35" s="75" t="s">
        <v>1347</v>
      </c>
      <c r="C35" s="76">
        <v>2061</v>
      </c>
      <c r="D35" s="75" t="s">
        <v>231</v>
      </c>
      <c r="E35" s="77">
        <v>992.25</v>
      </c>
      <c r="F35" s="77">
        <f t="shared" ref="F35:F73" si="10">ROUND(E35*C35,0)</f>
        <v>2045027</v>
      </c>
      <c r="G35" s="77">
        <v>9452.1</v>
      </c>
      <c r="H35" s="77">
        <f t="shared" ref="H35:H73" si="11">ROUND(G35*C35,0)</f>
        <v>19480778</v>
      </c>
      <c r="I35" s="77">
        <v>0</v>
      </c>
      <c r="J35" s="77">
        <f t="shared" ref="J35:J73" si="12">ROUND(I35*C35,0)</f>
        <v>0</v>
      </c>
      <c r="K35" s="77">
        <f t="shared" ref="K35:K73" si="13">E35+G35+I35</f>
        <v>10444.35</v>
      </c>
      <c r="L35" s="77">
        <f t="shared" si="9"/>
        <v>21525805</v>
      </c>
      <c r="M35" s="75"/>
    </row>
    <row r="36" spans="1:13" ht="24" customHeight="1">
      <c r="A36" s="75" t="s">
        <v>1346</v>
      </c>
      <c r="B36" s="75" t="s">
        <v>1348</v>
      </c>
      <c r="C36" s="76">
        <v>105</v>
      </c>
      <c r="D36" s="75" t="s">
        <v>231</v>
      </c>
      <c r="E36" s="77">
        <v>1228.5</v>
      </c>
      <c r="F36" s="77">
        <f t="shared" si="10"/>
        <v>128993</v>
      </c>
      <c r="G36" s="77">
        <v>9452.1</v>
      </c>
      <c r="H36" s="77">
        <f t="shared" si="11"/>
        <v>992471</v>
      </c>
      <c r="I36" s="77">
        <v>0</v>
      </c>
      <c r="J36" s="77">
        <f t="shared" si="12"/>
        <v>0</v>
      </c>
      <c r="K36" s="77">
        <f t="shared" si="13"/>
        <v>10680.6</v>
      </c>
      <c r="L36" s="77">
        <f t="shared" si="9"/>
        <v>1121464</v>
      </c>
      <c r="M36" s="75"/>
    </row>
    <row r="37" spans="1:13" ht="24" customHeight="1">
      <c r="A37" s="75" t="s">
        <v>1349</v>
      </c>
      <c r="B37" s="75" t="s">
        <v>1350</v>
      </c>
      <c r="C37" s="76">
        <v>35</v>
      </c>
      <c r="D37" s="75" t="s">
        <v>231</v>
      </c>
      <c r="E37" s="77">
        <v>1972.95</v>
      </c>
      <c r="F37" s="77">
        <f t="shared" si="10"/>
        <v>69053</v>
      </c>
      <c r="G37" s="77">
        <v>2586.15</v>
      </c>
      <c r="H37" s="77">
        <f t="shared" si="11"/>
        <v>90515</v>
      </c>
      <c r="I37" s="77">
        <v>0</v>
      </c>
      <c r="J37" s="77">
        <f t="shared" si="12"/>
        <v>0</v>
      </c>
      <c r="K37" s="77">
        <f t="shared" si="13"/>
        <v>4559.1000000000004</v>
      </c>
      <c r="L37" s="77">
        <f t="shared" si="9"/>
        <v>159568</v>
      </c>
      <c r="M37" s="75"/>
    </row>
    <row r="38" spans="1:13" ht="24" customHeight="1">
      <c r="A38" s="75" t="s">
        <v>1351</v>
      </c>
      <c r="B38" s="75" t="s">
        <v>1352</v>
      </c>
      <c r="C38" s="76">
        <v>2157</v>
      </c>
      <c r="D38" s="75" t="s">
        <v>231</v>
      </c>
      <c r="E38" s="77">
        <v>3271.8</v>
      </c>
      <c r="F38" s="77">
        <f t="shared" si="10"/>
        <v>7057273</v>
      </c>
      <c r="G38" s="77">
        <v>2586.15</v>
      </c>
      <c r="H38" s="77">
        <f t="shared" si="11"/>
        <v>5578326</v>
      </c>
      <c r="I38" s="77">
        <v>0</v>
      </c>
      <c r="J38" s="77">
        <f t="shared" si="12"/>
        <v>0</v>
      </c>
      <c r="K38" s="77">
        <f t="shared" si="13"/>
        <v>5857.9500000000007</v>
      </c>
      <c r="L38" s="77">
        <f t="shared" si="9"/>
        <v>12635599</v>
      </c>
      <c r="M38" s="75"/>
    </row>
    <row r="39" spans="1:13" ht="24" customHeight="1">
      <c r="A39" s="75" t="s">
        <v>1351</v>
      </c>
      <c r="B39" s="75" t="s">
        <v>1353</v>
      </c>
      <c r="C39" s="76">
        <v>39</v>
      </c>
      <c r="D39" s="75" t="s">
        <v>231</v>
      </c>
      <c r="E39" s="77">
        <v>4298.7</v>
      </c>
      <c r="F39" s="77">
        <f t="shared" si="10"/>
        <v>167649</v>
      </c>
      <c r="G39" s="77">
        <v>3016.65</v>
      </c>
      <c r="H39" s="77">
        <f t="shared" si="11"/>
        <v>117649</v>
      </c>
      <c r="I39" s="77">
        <v>0</v>
      </c>
      <c r="J39" s="77">
        <f t="shared" si="12"/>
        <v>0</v>
      </c>
      <c r="K39" s="77">
        <f t="shared" si="13"/>
        <v>7315.35</v>
      </c>
      <c r="L39" s="77">
        <f t="shared" si="9"/>
        <v>285298</v>
      </c>
      <c r="M39" s="75"/>
    </row>
    <row r="40" spans="1:13" ht="24" customHeight="1">
      <c r="A40" s="75" t="s">
        <v>1354</v>
      </c>
      <c r="B40" s="75" t="s">
        <v>1355</v>
      </c>
      <c r="C40" s="76">
        <v>780</v>
      </c>
      <c r="D40" s="75" t="s">
        <v>231</v>
      </c>
      <c r="E40" s="77">
        <v>2221.8000000000002</v>
      </c>
      <c r="F40" s="77">
        <f t="shared" si="10"/>
        <v>1733004</v>
      </c>
      <c r="G40" s="77">
        <v>4470.9000000000005</v>
      </c>
      <c r="H40" s="77">
        <f t="shared" si="11"/>
        <v>3487302</v>
      </c>
      <c r="I40" s="77">
        <v>0</v>
      </c>
      <c r="J40" s="77">
        <f t="shared" si="12"/>
        <v>0</v>
      </c>
      <c r="K40" s="77">
        <f t="shared" si="13"/>
        <v>6692.7000000000007</v>
      </c>
      <c r="L40" s="77">
        <f t="shared" si="9"/>
        <v>5220306</v>
      </c>
      <c r="M40" s="75"/>
    </row>
    <row r="41" spans="1:13" ht="24" customHeight="1">
      <c r="A41" s="75" t="s">
        <v>1356</v>
      </c>
      <c r="B41" s="75" t="s">
        <v>1357</v>
      </c>
      <c r="C41" s="76">
        <v>487</v>
      </c>
      <c r="D41" s="75" t="s">
        <v>231</v>
      </c>
      <c r="E41" s="77">
        <v>4644.1500000000005</v>
      </c>
      <c r="F41" s="77">
        <f t="shared" si="10"/>
        <v>2261701</v>
      </c>
      <c r="G41" s="77">
        <v>0</v>
      </c>
      <c r="H41" s="77">
        <f t="shared" si="11"/>
        <v>0</v>
      </c>
      <c r="I41" s="77">
        <v>0</v>
      </c>
      <c r="J41" s="77">
        <f t="shared" si="12"/>
        <v>0</v>
      </c>
      <c r="K41" s="77">
        <f t="shared" si="13"/>
        <v>4644.1500000000005</v>
      </c>
      <c r="L41" s="77">
        <f t="shared" si="9"/>
        <v>2261701</v>
      </c>
      <c r="M41" s="75"/>
    </row>
    <row r="42" spans="1:13" ht="24" customHeight="1">
      <c r="A42" s="75" t="s">
        <v>1356</v>
      </c>
      <c r="B42" s="75" t="s">
        <v>1358</v>
      </c>
      <c r="C42" s="76">
        <v>105</v>
      </c>
      <c r="D42" s="75" t="s">
        <v>231</v>
      </c>
      <c r="E42" s="77">
        <v>11109</v>
      </c>
      <c r="F42" s="77">
        <f t="shared" si="10"/>
        <v>1166445</v>
      </c>
      <c r="G42" s="77">
        <v>0</v>
      </c>
      <c r="H42" s="77">
        <f t="shared" si="11"/>
        <v>0</v>
      </c>
      <c r="I42" s="77">
        <v>0</v>
      </c>
      <c r="J42" s="77">
        <f t="shared" si="12"/>
        <v>0</v>
      </c>
      <c r="K42" s="77">
        <f t="shared" si="13"/>
        <v>11109</v>
      </c>
      <c r="L42" s="77">
        <f t="shared" si="9"/>
        <v>1166445</v>
      </c>
      <c r="M42" s="75"/>
    </row>
    <row r="43" spans="1:13" ht="24" customHeight="1">
      <c r="A43" s="75" t="s">
        <v>1356</v>
      </c>
      <c r="B43" s="75" t="s">
        <v>1359</v>
      </c>
      <c r="C43" s="76">
        <v>1565</v>
      </c>
      <c r="D43" s="75" t="s">
        <v>231</v>
      </c>
      <c r="E43" s="77">
        <v>8428.35</v>
      </c>
      <c r="F43" s="77">
        <f t="shared" si="10"/>
        <v>13190368</v>
      </c>
      <c r="G43" s="77">
        <v>0</v>
      </c>
      <c r="H43" s="77">
        <f t="shared" si="11"/>
        <v>0</v>
      </c>
      <c r="I43" s="77">
        <v>0</v>
      </c>
      <c r="J43" s="77">
        <f t="shared" si="12"/>
        <v>0</v>
      </c>
      <c r="K43" s="77">
        <f t="shared" si="13"/>
        <v>8428.35</v>
      </c>
      <c r="L43" s="77">
        <f t="shared" si="9"/>
        <v>13190368</v>
      </c>
      <c r="M43" s="75"/>
    </row>
    <row r="44" spans="1:13" ht="24" customHeight="1">
      <c r="A44" s="75" t="s">
        <v>1356</v>
      </c>
      <c r="B44" s="75" t="s">
        <v>1360</v>
      </c>
      <c r="C44" s="76">
        <v>105</v>
      </c>
      <c r="D44" s="75" t="s">
        <v>231</v>
      </c>
      <c r="E44" s="77">
        <v>20929.650000000001</v>
      </c>
      <c r="F44" s="77">
        <f t="shared" si="10"/>
        <v>2197613</v>
      </c>
      <c r="G44" s="77">
        <v>0</v>
      </c>
      <c r="H44" s="77">
        <f t="shared" si="11"/>
        <v>0</v>
      </c>
      <c r="I44" s="77">
        <v>0</v>
      </c>
      <c r="J44" s="77">
        <f t="shared" si="12"/>
        <v>0</v>
      </c>
      <c r="K44" s="77">
        <f t="shared" si="13"/>
        <v>20929.650000000001</v>
      </c>
      <c r="L44" s="77">
        <f t="shared" si="9"/>
        <v>2197613</v>
      </c>
      <c r="M44" s="75"/>
    </row>
    <row r="45" spans="1:13" ht="24" customHeight="1">
      <c r="A45" s="75" t="s">
        <v>1361</v>
      </c>
      <c r="B45" s="75" t="s">
        <v>1362</v>
      </c>
      <c r="C45" s="76">
        <v>14</v>
      </c>
      <c r="D45" s="75" t="s">
        <v>179</v>
      </c>
      <c r="E45" s="77">
        <v>7450.8</v>
      </c>
      <c r="F45" s="77">
        <f t="shared" si="10"/>
        <v>104311</v>
      </c>
      <c r="G45" s="77">
        <v>46062.450000000004</v>
      </c>
      <c r="H45" s="77">
        <f t="shared" si="11"/>
        <v>644874</v>
      </c>
      <c r="I45" s="77">
        <v>0</v>
      </c>
      <c r="J45" s="77">
        <f t="shared" si="12"/>
        <v>0</v>
      </c>
      <c r="K45" s="77">
        <f t="shared" si="13"/>
        <v>53513.250000000007</v>
      </c>
      <c r="L45" s="77">
        <f t="shared" si="9"/>
        <v>749185</v>
      </c>
      <c r="M45" s="75"/>
    </row>
    <row r="46" spans="1:13" ht="24" customHeight="1">
      <c r="A46" s="75" t="s">
        <v>1363</v>
      </c>
      <c r="B46" s="75" t="s">
        <v>1364</v>
      </c>
      <c r="C46" s="76">
        <v>16</v>
      </c>
      <c r="D46" s="75" t="s">
        <v>179</v>
      </c>
      <c r="E46" s="77">
        <v>757.05000000000007</v>
      </c>
      <c r="F46" s="77">
        <f t="shared" si="10"/>
        <v>12113</v>
      </c>
      <c r="G46" s="77">
        <v>7758.4500000000007</v>
      </c>
      <c r="H46" s="77">
        <f t="shared" si="11"/>
        <v>124135</v>
      </c>
      <c r="I46" s="77">
        <v>0</v>
      </c>
      <c r="J46" s="77">
        <f t="shared" si="12"/>
        <v>0</v>
      </c>
      <c r="K46" s="77">
        <f t="shared" si="13"/>
        <v>8515.5</v>
      </c>
      <c r="L46" s="77">
        <f t="shared" si="9"/>
        <v>136248</v>
      </c>
      <c r="M46" s="75"/>
    </row>
    <row r="47" spans="1:13" ht="24" customHeight="1">
      <c r="A47" s="75" t="s">
        <v>1365</v>
      </c>
      <c r="B47" s="75" t="s">
        <v>1366</v>
      </c>
      <c r="C47" s="76">
        <v>2005</v>
      </c>
      <c r="D47" s="75" t="s">
        <v>231</v>
      </c>
      <c r="E47" s="77">
        <v>196.35</v>
      </c>
      <c r="F47" s="77">
        <f t="shared" si="10"/>
        <v>393682</v>
      </c>
      <c r="G47" s="77">
        <v>248.85000000000002</v>
      </c>
      <c r="H47" s="77">
        <f t="shared" si="11"/>
        <v>498944</v>
      </c>
      <c r="I47" s="77">
        <v>0</v>
      </c>
      <c r="J47" s="77">
        <f t="shared" si="12"/>
        <v>0</v>
      </c>
      <c r="K47" s="77">
        <f t="shared" si="13"/>
        <v>445.20000000000005</v>
      </c>
      <c r="L47" s="77">
        <f t="shared" si="9"/>
        <v>892626</v>
      </c>
      <c r="M47" s="75"/>
    </row>
    <row r="48" spans="1:13" ht="24" customHeight="1">
      <c r="A48" s="75" t="s">
        <v>1367</v>
      </c>
      <c r="B48" s="75" t="s">
        <v>1368</v>
      </c>
      <c r="C48" s="76">
        <v>24</v>
      </c>
      <c r="D48" s="75" t="s">
        <v>179</v>
      </c>
      <c r="E48" s="77">
        <v>1410.15</v>
      </c>
      <c r="F48" s="77">
        <f t="shared" si="10"/>
        <v>33844</v>
      </c>
      <c r="G48" s="77">
        <v>37939.65</v>
      </c>
      <c r="H48" s="77">
        <f t="shared" si="11"/>
        <v>910552</v>
      </c>
      <c r="I48" s="77">
        <v>0</v>
      </c>
      <c r="J48" s="77">
        <f t="shared" si="12"/>
        <v>0</v>
      </c>
      <c r="K48" s="77">
        <f t="shared" si="13"/>
        <v>39349.800000000003</v>
      </c>
      <c r="L48" s="77">
        <f t="shared" si="9"/>
        <v>944396</v>
      </c>
      <c r="M48" s="75"/>
    </row>
    <row r="49" spans="1:13" ht="24" customHeight="1">
      <c r="A49" s="75" t="s">
        <v>1369</v>
      </c>
      <c r="B49" s="75" t="s">
        <v>1370</v>
      </c>
      <c r="C49" s="76">
        <v>2</v>
      </c>
      <c r="D49" s="75" t="s">
        <v>23</v>
      </c>
      <c r="E49" s="77">
        <v>12235.65</v>
      </c>
      <c r="F49" s="77">
        <f t="shared" si="10"/>
        <v>24471</v>
      </c>
      <c r="G49" s="77">
        <v>123176.55</v>
      </c>
      <c r="H49" s="77">
        <f t="shared" si="11"/>
        <v>246353</v>
      </c>
      <c r="I49" s="77">
        <v>33298.65</v>
      </c>
      <c r="J49" s="77">
        <f t="shared" si="12"/>
        <v>66597</v>
      </c>
      <c r="K49" s="77">
        <f t="shared" si="13"/>
        <v>168710.85</v>
      </c>
      <c r="L49" s="77">
        <f t="shared" si="9"/>
        <v>337421</v>
      </c>
      <c r="M49" s="75"/>
    </row>
    <row r="50" spans="1:13" ht="24" customHeight="1">
      <c r="A50" s="75" t="s">
        <v>1369</v>
      </c>
      <c r="B50" s="75" t="s">
        <v>1371</v>
      </c>
      <c r="C50" s="76">
        <v>43</v>
      </c>
      <c r="D50" s="75" t="s">
        <v>23</v>
      </c>
      <c r="E50" s="77">
        <v>14922.6</v>
      </c>
      <c r="F50" s="77">
        <f t="shared" si="10"/>
        <v>641672</v>
      </c>
      <c r="G50" s="77">
        <v>160984.95000000001</v>
      </c>
      <c r="H50" s="77">
        <f t="shared" si="11"/>
        <v>6922353</v>
      </c>
      <c r="I50" s="77">
        <v>39352.950000000004</v>
      </c>
      <c r="J50" s="77">
        <f t="shared" si="12"/>
        <v>1692177</v>
      </c>
      <c r="K50" s="77">
        <f t="shared" si="13"/>
        <v>215260.50000000003</v>
      </c>
      <c r="L50" s="77">
        <f t="shared" si="9"/>
        <v>9256202</v>
      </c>
      <c r="M50" s="75"/>
    </row>
    <row r="51" spans="1:13" ht="24" customHeight="1">
      <c r="A51" s="75" t="s">
        <v>1372</v>
      </c>
      <c r="B51" s="75" t="s">
        <v>1373</v>
      </c>
      <c r="C51" s="78">
        <v>794.59100000000001</v>
      </c>
      <c r="D51" s="75" t="s">
        <v>99</v>
      </c>
      <c r="E51" s="77">
        <v>526.05000000000007</v>
      </c>
      <c r="F51" s="77">
        <f t="shared" si="10"/>
        <v>417995</v>
      </c>
      <c r="G51" s="77">
        <v>4891.95</v>
      </c>
      <c r="H51" s="77">
        <f t="shared" si="11"/>
        <v>3887099</v>
      </c>
      <c r="I51" s="77">
        <v>507.15000000000003</v>
      </c>
      <c r="J51" s="77">
        <f t="shared" si="12"/>
        <v>402977</v>
      </c>
      <c r="K51" s="77">
        <f t="shared" si="13"/>
        <v>5925.15</v>
      </c>
      <c r="L51" s="77">
        <f t="shared" si="9"/>
        <v>4708071</v>
      </c>
      <c r="M51" s="75"/>
    </row>
    <row r="52" spans="1:13" ht="24" customHeight="1">
      <c r="A52" s="75" t="s">
        <v>1374</v>
      </c>
      <c r="B52" s="75" t="s">
        <v>1373</v>
      </c>
      <c r="C52" s="78">
        <v>767.46</v>
      </c>
      <c r="D52" s="75" t="s">
        <v>99</v>
      </c>
      <c r="E52" s="77">
        <v>471.45000000000005</v>
      </c>
      <c r="F52" s="77">
        <f t="shared" si="10"/>
        <v>361819</v>
      </c>
      <c r="G52" s="77">
        <v>3085.9500000000003</v>
      </c>
      <c r="H52" s="77">
        <f t="shared" si="11"/>
        <v>2368343</v>
      </c>
      <c r="I52" s="77">
        <v>507.15000000000003</v>
      </c>
      <c r="J52" s="77">
        <f t="shared" si="12"/>
        <v>389217</v>
      </c>
      <c r="K52" s="77">
        <f t="shared" si="13"/>
        <v>4064.5500000000006</v>
      </c>
      <c r="L52" s="77">
        <f t="shared" si="9"/>
        <v>3119379</v>
      </c>
      <c r="M52" s="75"/>
    </row>
    <row r="53" spans="1:13" ht="24" customHeight="1">
      <c r="A53" s="75" t="s">
        <v>1375</v>
      </c>
      <c r="B53" s="75" t="s">
        <v>1376</v>
      </c>
      <c r="C53" s="78">
        <v>27.131</v>
      </c>
      <c r="D53" s="75" t="s">
        <v>99</v>
      </c>
      <c r="E53" s="77">
        <v>1083.6000000000001</v>
      </c>
      <c r="F53" s="77">
        <f t="shared" si="10"/>
        <v>29399</v>
      </c>
      <c r="G53" s="77">
        <v>36133.65</v>
      </c>
      <c r="H53" s="77">
        <f t="shared" si="11"/>
        <v>980342</v>
      </c>
      <c r="I53" s="77">
        <v>0</v>
      </c>
      <c r="J53" s="77">
        <f t="shared" si="12"/>
        <v>0</v>
      </c>
      <c r="K53" s="77">
        <f t="shared" si="13"/>
        <v>37217.25</v>
      </c>
      <c r="L53" s="77">
        <f t="shared" si="9"/>
        <v>1009741</v>
      </c>
      <c r="M53" s="75"/>
    </row>
    <row r="54" spans="1:13" ht="24" customHeight="1">
      <c r="A54" s="75" t="s">
        <v>1377</v>
      </c>
      <c r="B54" s="75" t="s">
        <v>1378</v>
      </c>
      <c r="C54" s="76">
        <v>4</v>
      </c>
      <c r="D54" s="75" t="s">
        <v>1051</v>
      </c>
      <c r="E54" s="77">
        <v>40315.800000000003</v>
      </c>
      <c r="F54" s="77">
        <f t="shared" si="10"/>
        <v>161263</v>
      </c>
      <c r="G54" s="77">
        <v>115731</v>
      </c>
      <c r="H54" s="77">
        <f t="shared" si="11"/>
        <v>462924</v>
      </c>
      <c r="I54" s="77">
        <v>0</v>
      </c>
      <c r="J54" s="77">
        <f t="shared" si="12"/>
        <v>0</v>
      </c>
      <c r="K54" s="77">
        <f t="shared" si="13"/>
        <v>156046.79999999999</v>
      </c>
      <c r="L54" s="77">
        <f t="shared" si="9"/>
        <v>624187</v>
      </c>
      <c r="M54" s="75"/>
    </row>
    <row r="55" spans="1:13" ht="24" customHeight="1">
      <c r="A55" s="75" t="s">
        <v>1379</v>
      </c>
      <c r="B55" s="75"/>
      <c r="C55" s="76">
        <v>12</v>
      </c>
      <c r="D55" s="75" t="s">
        <v>1051</v>
      </c>
      <c r="E55" s="77">
        <v>2545.2000000000003</v>
      </c>
      <c r="F55" s="77">
        <f t="shared" si="10"/>
        <v>30542</v>
      </c>
      <c r="G55" s="77">
        <v>0</v>
      </c>
      <c r="H55" s="77">
        <f t="shared" si="11"/>
        <v>0</v>
      </c>
      <c r="I55" s="77">
        <v>0</v>
      </c>
      <c r="J55" s="77">
        <f t="shared" si="12"/>
        <v>0</v>
      </c>
      <c r="K55" s="77">
        <f t="shared" si="13"/>
        <v>2545.2000000000003</v>
      </c>
      <c r="L55" s="77">
        <f t="shared" si="9"/>
        <v>30542</v>
      </c>
      <c r="M55" s="75"/>
    </row>
    <row r="56" spans="1:13" ht="24" customHeight="1">
      <c r="A56" s="75" t="s">
        <v>1380</v>
      </c>
      <c r="B56" s="75" t="s">
        <v>1381</v>
      </c>
      <c r="C56" s="76">
        <v>473</v>
      </c>
      <c r="D56" s="75" t="s">
        <v>231</v>
      </c>
      <c r="E56" s="77">
        <v>137.55000000000001</v>
      </c>
      <c r="F56" s="77">
        <f t="shared" si="10"/>
        <v>65061</v>
      </c>
      <c r="G56" s="77">
        <v>4600.05</v>
      </c>
      <c r="H56" s="77">
        <f t="shared" si="11"/>
        <v>2175824</v>
      </c>
      <c r="I56" s="77">
        <v>0</v>
      </c>
      <c r="J56" s="77">
        <f t="shared" si="12"/>
        <v>0</v>
      </c>
      <c r="K56" s="77">
        <f t="shared" si="13"/>
        <v>4737.6000000000004</v>
      </c>
      <c r="L56" s="77">
        <f t="shared" si="9"/>
        <v>2240885</v>
      </c>
      <c r="M56" s="75"/>
    </row>
    <row r="57" spans="1:13" ht="24" customHeight="1">
      <c r="A57" s="75" t="s">
        <v>1380</v>
      </c>
      <c r="B57" s="75" t="s">
        <v>1382</v>
      </c>
      <c r="C57" s="76">
        <v>114</v>
      </c>
      <c r="D57" s="75" t="s">
        <v>231</v>
      </c>
      <c r="E57" s="77">
        <v>173.25</v>
      </c>
      <c r="F57" s="77">
        <f t="shared" si="10"/>
        <v>19751</v>
      </c>
      <c r="G57" s="77">
        <v>5784.45</v>
      </c>
      <c r="H57" s="77">
        <f t="shared" si="11"/>
        <v>659427</v>
      </c>
      <c r="I57" s="77">
        <v>0</v>
      </c>
      <c r="J57" s="77">
        <f t="shared" si="12"/>
        <v>0</v>
      </c>
      <c r="K57" s="77">
        <f t="shared" si="13"/>
        <v>5957.7</v>
      </c>
      <c r="L57" s="77">
        <f t="shared" si="9"/>
        <v>679178</v>
      </c>
      <c r="M57" s="75"/>
    </row>
    <row r="58" spans="1:13" ht="24" customHeight="1">
      <c r="A58" s="75" t="s">
        <v>1380</v>
      </c>
      <c r="B58" s="75" t="s">
        <v>1383</v>
      </c>
      <c r="C58" s="76">
        <v>1520</v>
      </c>
      <c r="D58" s="75" t="s">
        <v>231</v>
      </c>
      <c r="E58" s="77">
        <v>224.70000000000002</v>
      </c>
      <c r="F58" s="77">
        <f t="shared" si="10"/>
        <v>341544</v>
      </c>
      <c r="G58" s="77">
        <v>7500.1500000000005</v>
      </c>
      <c r="H58" s="77">
        <f t="shared" si="11"/>
        <v>11400228</v>
      </c>
      <c r="I58" s="77">
        <v>0</v>
      </c>
      <c r="J58" s="77">
        <f t="shared" si="12"/>
        <v>0</v>
      </c>
      <c r="K58" s="77">
        <f t="shared" si="13"/>
        <v>7724.85</v>
      </c>
      <c r="L58" s="77">
        <f t="shared" si="9"/>
        <v>11741772</v>
      </c>
      <c r="M58" s="75"/>
    </row>
    <row r="59" spans="1:13" ht="24" customHeight="1">
      <c r="A59" s="75" t="s">
        <v>1380</v>
      </c>
      <c r="B59" s="75" t="s">
        <v>1384</v>
      </c>
      <c r="C59" s="76">
        <v>102</v>
      </c>
      <c r="D59" s="75" t="s">
        <v>231</v>
      </c>
      <c r="E59" s="77">
        <v>282.45</v>
      </c>
      <c r="F59" s="77">
        <f t="shared" si="10"/>
        <v>28810</v>
      </c>
      <c r="G59" s="77">
        <v>9440.5500000000011</v>
      </c>
      <c r="H59" s="77">
        <f t="shared" si="11"/>
        <v>962936</v>
      </c>
      <c r="I59" s="77">
        <v>0</v>
      </c>
      <c r="J59" s="77">
        <f t="shared" si="12"/>
        <v>0</v>
      </c>
      <c r="K59" s="77">
        <f t="shared" si="13"/>
        <v>9723.0000000000018</v>
      </c>
      <c r="L59" s="77">
        <f t="shared" si="9"/>
        <v>991746</v>
      </c>
      <c r="M59" s="75"/>
    </row>
    <row r="60" spans="1:13" ht="24" customHeight="1">
      <c r="A60" s="75" t="s">
        <v>1385</v>
      </c>
      <c r="B60" s="75" t="s">
        <v>1386</v>
      </c>
      <c r="C60" s="76">
        <v>43</v>
      </c>
      <c r="D60" s="75" t="s">
        <v>179</v>
      </c>
      <c r="E60" s="77">
        <v>653787.75</v>
      </c>
      <c r="F60" s="77">
        <f t="shared" si="10"/>
        <v>28112873</v>
      </c>
      <c r="G60" s="77">
        <v>92948.1</v>
      </c>
      <c r="H60" s="77">
        <f t="shared" si="11"/>
        <v>3996768</v>
      </c>
      <c r="I60" s="77">
        <v>0</v>
      </c>
      <c r="J60" s="77">
        <f t="shared" si="12"/>
        <v>0</v>
      </c>
      <c r="K60" s="77">
        <f t="shared" si="13"/>
        <v>746735.85</v>
      </c>
      <c r="L60" s="77">
        <f t="shared" si="9"/>
        <v>32109641</v>
      </c>
      <c r="M60" s="75"/>
    </row>
    <row r="61" spans="1:13" ht="24" customHeight="1">
      <c r="A61" s="75" t="s">
        <v>1387</v>
      </c>
      <c r="B61" s="75" t="s">
        <v>1388</v>
      </c>
      <c r="C61" s="76">
        <v>2</v>
      </c>
      <c r="D61" s="75" t="s">
        <v>179</v>
      </c>
      <c r="E61" s="77">
        <v>526577.1</v>
      </c>
      <c r="F61" s="77">
        <f t="shared" si="10"/>
        <v>1053154</v>
      </c>
      <c r="G61" s="77">
        <v>52586.100000000006</v>
      </c>
      <c r="H61" s="77">
        <f t="shared" si="11"/>
        <v>105172</v>
      </c>
      <c r="I61" s="77">
        <v>0</v>
      </c>
      <c r="J61" s="77">
        <f t="shared" si="12"/>
        <v>0</v>
      </c>
      <c r="K61" s="77">
        <f t="shared" si="13"/>
        <v>579163.19999999995</v>
      </c>
      <c r="L61" s="77">
        <f t="shared" si="9"/>
        <v>1158326</v>
      </c>
      <c r="M61" s="75"/>
    </row>
    <row r="62" spans="1:13" ht="24" customHeight="1">
      <c r="A62" s="75" t="s">
        <v>1389</v>
      </c>
      <c r="B62" s="75" t="s">
        <v>1390</v>
      </c>
      <c r="C62" s="76">
        <v>2</v>
      </c>
      <c r="D62" s="75" t="s">
        <v>179</v>
      </c>
      <c r="E62" s="77">
        <v>110918.85</v>
      </c>
      <c r="F62" s="77">
        <f t="shared" si="10"/>
        <v>221838</v>
      </c>
      <c r="G62" s="77">
        <v>57315.3</v>
      </c>
      <c r="H62" s="77">
        <f t="shared" si="11"/>
        <v>114631</v>
      </c>
      <c r="I62" s="77">
        <v>0</v>
      </c>
      <c r="J62" s="77">
        <f t="shared" si="12"/>
        <v>0</v>
      </c>
      <c r="K62" s="77">
        <f t="shared" si="13"/>
        <v>168234.15000000002</v>
      </c>
      <c r="L62" s="77">
        <f t="shared" si="9"/>
        <v>336469</v>
      </c>
      <c r="M62" s="75"/>
    </row>
    <row r="63" spans="1:13" ht="24" customHeight="1">
      <c r="A63" s="75" t="s">
        <v>1391</v>
      </c>
      <c r="B63" s="75" t="s">
        <v>1392</v>
      </c>
      <c r="C63" s="76">
        <v>43</v>
      </c>
      <c r="D63" s="75" t="s">
        <v>179</v>
      </c>
      <c r="E63" s="77">
        <v>324908.85000000003</v>
      </c>
      <c r="F63" s="77">
        <f t="shared" si="10"/>
        <v>13971081</v>
      </c>
      <c r="G63" s="77">
        <v>57315.3</v>
      </c>
      <c r="H63" s="77">
        <f t="shared" si="11"/>
        <v>2464558</v>
      </c>
      <c r="I63" s="77">
        <v>0</v>
      </c>
      <c r="J63" s="77">
        <f t="shared" si="12"/>
        <v>0</v>
      </c>
      <c r="K63" s="77">
        <f t="shared" si="13"/>
        <v>382224.15</v>
      </c>
      <c r="L63" s="77">
        <f t="shared" si="9"/>
        <v>16435639</v>
      </c>
      <c r="M63" s="75"/>
    </row>
    <row r="64" spans="1:13" ht="24" customHeight="1">
      <c r="A64" s="75" t="s">
        <v>1393</v>
      </c>
      <c r="B64" s="75" t="s">
        <v>1394</v>
      </c>
      <c r="C64" s="76">
        <v>2</v>
      </c>
      <c r="D64" s="75" t="s">
        <v>179</v>
      </c>
      <c r="E64" s="77">
        <v>6609092.7000000002</v>
      </c>
      <c r="F64" s="77">
        <f t="shared" si="10"/>
        <v>13218185</v>
      </c>
      <c r="G64" s="77">
        <v>293106.45</v>
      </c>
      <c r="H64" s="77">
        <f t="shared" si="11"/>
        <v>586213</v>
      </c>
      <c r="I64" s="77">
        <v>0</v>
      </c>
      <c r="J64" s="77">
        <f t="shared" si="12"/>
        <v>0</v>
      </c>
      <c r="K64" s="77">
        <f t="shared" si="13"/>
        <v>6902199.1500000004</v>
      </c>
      <c r="L64" s="77">
        <f t="shared" si="9"/>
        <v>13804398</v>
      </c>
      <c r="M64" s="75"/>
    </row>
    <row r="65" spans="1:13" ht="24" customHeight="1">
      <c r="A65" s="75" t="s">
        <v>1395</v>
      </c>
      <c r="B65" s="75" t="s">
        <v>1396</v>
      </c>
      <c r="C65" s="76">
        <v>43</v>
      </c>
      <c r="D65" s="75" t="s">
        <v>179</v>
      </c>
      <c r="E65" s="77">
        <v>1575000</v>
      </c>
      <c r="F65" s="77">
        <f t="shared" si="10"/>
        <v>67725000</v>
      </c>
      <c r="G65" s="77">
        <v>0</v>
      </c>
      <c r="H65" s="77">
        <f t="shared" si="11"/>
        <v>0</v>
      </c>
      <c r="I65" s="77">
        <v>0</v>
      </c>
      <c r="J65" s="77">
        <f t="shared" si="12"/>
        <v>0</v>
      </c>
      <c r="K65" s="77">
        <f t="shared" si="13"/>
        <v>1575000</v>
      </c>
      <c r="L65" s="77">
        <f t="shared" si="9"/>
        <v>67725000</v>
      </c>
      <c r="M65" s="75"/>
    </row>
    <row r="66" spans="1:13" ht="24" customHeight="1">
      <c r="A66" s="75" t="s">
        <v>1397</v>
      </c>
      <c r="B66" s="75" t="s">
        <v>1398</v>
      </c>
      <c r="C66" s="76">
        <v>45</v>
      </c>
      <c r="D66" s="75" t="s">
        <v>179</v>
      </c>
      <c r="E66" s="77">
        <v>10868.550000000001</v>
      </c>
      <c r="F66" s="77">
        <f t="shared" si="10"/>
        <v>489085</v>
      </c>
      <c r="G66" s="77">
        <v>12285</v>
      </c>
      <c r="H66" s="77">
        <f t="shared" si="11"/>
        <v>552825</v>
      </c>
      <c r="I66" s="77">
        <v>0</v>
      </c>
      <c r="J66" s="77">
        <f t="shared" si="12"/>
        <v>0</v>
      </c>
      <c r="K66" s="77">
        <f t="shared" si="13"/>
        <v>23153.550000000003</v>
      </c>
      <c r="L66" s="77">
        <f t="shared" si="9"/>
        <v>1041910</v>
      </c>
      <c r="M66" s="75"/>
    </row>
    <row r="67" spans="1:13" ht="24" customHeight="1">
      <c r="A67" s="75" t="s">
        <v>1399</v>
      </c>
      <c r="B67" s="75" t="s">
        <v>1400</v>
      </c>
      <c r="C67" s="76">
        <v>2</v>
      </c>
      <c r="D67" s="75" t="s">
        <v>179</v>
      </c>
      <c r="E67" s="77">
        <v>1254272.25</v>
      </c>
      <c r="F67" s="77">
        <f t="shared" si="10"/>
        <v>2508545</v>
      </c>
      <c r="G67" s="77">
        <v>89080.95</v>
      </c>
      <c r="H67" s="77">
        <f t="shared" si="11"/>
        <v>178162</v>
      </c>
      <c r="I67" s="77">
        <v>0</v>
      </c>
      <c r="J67" s="77">
        <f t="shared" si="12"/>
        <v>0</v>
      </c>
      <c r="K67" s="77">
        <f t="shared" si="13"/>
        <v>1343353.2</v>
      </c>
      <c r="L67" s="77">
        <f t="shared" si="9"/>
        <v>2686707</v>
      </c>
      <c r="M67" s="75"/>
    </row>
    <row r="68" spans="1:13" ht="24" customHeight="1">
      <c r="A68" s="75" t="s">
        <v>1401</v>
      </c>
      <c r="B68" s="75" t="s">
        <v>1402</v>
      </c>
      <c r="C68" s="76">
        <v>45</v>
      </c>
      <c r="D68" s="75" t="s">
        <v>179</v>
      </c>
      <c r="E68" s="77">
        <v>59386.950000000004</v>
      </c>
      <c r="F68" s="77">
        <f t="shared" si="10"/>
        <v>2672413</v>
      </c>
      <c r="G68" s="77">
        <v>54597.9</v>
      </c>
      <c r="H68" s="77">
        <f t="shared" si="11"/>
        <v>2456906</v>
      </c>
      <c r="I68" s="77">
        <v>0</v>
      </c>
      <c r="J68" s="77">
        <f t="shared" si="12"/>
        <v>0</v>
      </c>
      <c r="K68" s="77">
        <f t="shared" si="13"/>
        <v>113984.85</v>
      </c>
      <c r="L68" s="77">
        <f t="shared" si="9"/>
        <v>5129319</v>
      </c>
      <c r="M68" s="75"/>
    </row>
    <row r="69" spans="1:13" ht="24" customHeight="1">
      <c r="A69" s="75" t="s">
        <v>1401</v>
      </c>
      <c r="B69" s="75" t="s">
        <v>1403</v>
      </c>
      <c r="C69" s="76">
        <v>34</v>
      </c>
      <c r="D69" s="75" t="s">
        <v>179</v>
      </c>
      <c r="E69" s="77">
        <v>15750</v>
      </c>
      <c r="F69" s="77">
        <f t="shared" si="10"/>
        <v>535500</v>
      </c>
      <c r="G69" s="77">
        <v>0</v>
      </c>
      <c r="H69" s="77">
        <f t="shared" si="11"/>
        <v>0</v>
      </c>
      <c r="I69" s="77">
        <v>0</v>
      </c>
      <c r="J69" s="77">
        <f t="shared" si="12"/>
        <v>0</v>
      </c>
      <c r="K69" s="77">
        <f t="shared" si="13"/>
        <v>15750</v>
      </c>
      <c r="L69" s="77">
        <f t="shared" si="9"/>
        <v>535500</v>
      </c>
      <c r="M69" s="75"/>
    </row>
    <row r="70" spans="1:13" ht="24" customHeight="1">
      <c r="A70" s="75" t="s">
        <v>1404</v>
      </c>
      <c r="B70" s="75" t="s">
        <v>1405</v>
      </c>
      <c r="C70" s="76">
        <v>21</v>
      </c>
      <c r="D70" s="75" t="s">
        <v>1406</v>
      </c>
      <c r="E70" s="77">
        <v>14941.5</v>
      </c>
      <c r="F70" s="77">
        <f t="shared" si="10"/>
        <v>313772</v>
      </c>
      <c r="G70" s="77">
        <v>59622.15</v>
      </c>
      <c r="H70" s="77">
        <f t="shared" si="11"/>
        <v>1252065</v>
      </c>
      <c r="I70" s="77">
        <v>17196.900000000001</v>
      </c>
      <c r="J70" s="77">
        <f t="shared" si="12"/>
        <v>361135</v>
      </c>
      <c r="K70" s="77">
        <f t="shared" si="13"/>
        <v>91760.549999999988</v>
      </c>
      <c r="L70" s="77">
        <f t="shared" si="9"/>
        <v>1926972</v>
      </c>
      <c r="M70" s="75"/>
    </row>
    <row r="71" spans="1:13" ht="24" customHeight="1">
      <c r="A71" s="75" t="s">
        <v>1407</v>
      </c>
      <c r="B71" s="75" t="s">
        <v>1408</v>
      </c>
      <c r="C71" s="76">
        <v>2</v>
      </c>
      <c r="D71" s="75" t="s">
        <v>179</v>
      </c>
      <c r="E71" s="77">
        <v>148718.85</v>
      </c>
      <c r="F71" s="77">
        <f t="shared" si="10"/>
        <v>297438</v>
      </c>
      <c r="G71" s="77">
        <v>57315.3</v>
      </c>
      <c r="H71" s="77">
        <f t="shared" si="11"/>
        <v>114631</v>
      </c>
      <c r="I71" s="77">
        <v>0</v>
      </c>
      <c r="J71" s="77">
        <f t="shared" si="12"/>
        <v>0</v>
      </c>
      <c r="K71" s="77">
        <f t="shared" si="13"/>
        <v>206034.15000000002</v>
      </c>
      <c r="L71" s="77">
        <f t="shared" si="9"/>
        <v>412069</v>
      </c>
      <c r="M71" s="75"/>
    </row>
    <row r="72" spans="1:13" ht="24" customHeight="1">
      <c r="A72" s="75" t="s">
        <v>1409</v>
      </c>
      <c r="B72" s="75" t="s">
        <v>1410</v>
      </c>
      <c r="C72" s="76">
        <v>6</v>
      </c>
      <c r="D72" s="75" t="s">
        <v>179</v>
      </c>
      <c r="E72" s="77">
        <v>466734.45</v>
      </c>
      <c r="F72" s="77">
        <f t="shared" si="10"/>
        <v>2800407</v>
      </c>
      <c r="G72" s="77">
        <v>157819.20000000001</v>
      </c>
      <c r="H72" s="77">
        <f t="shared" si="11"/>
        <v>946915</v>
      </c>
      <c r="I72" s="77">
        <v>0</v>
      </c>
      <c r="J72" s="77">
        <f t="shared" si="12"/>
        <v>0</v>
      </c>
      <c r="K72" s="77">
        <f t="shared" si="13"/>
        <v>624553.65</v>
      </c>
      <c r="L72" s="77">
        <f t="shared" si="9"/>
        <v>3747322</v>
      </c>
      <c r="M72" s="75"/>
    </row>
    <row r="73" spans="1:13" ht="24" customHeight="1">
      <c r="A73" s="75" t="s">
        <v>1411</v>
      </c>
      <c r="B73" s="75" t="s">
        <v>1412</v>
      </c>
      <c r="C73" s="76">
        <v>6</v>
      </c>
      <c r="D73" s="75" t="s">
        <v>179</v>
      </c>
      <c r="E73" s="77">
        <v>294000</v>
      </c>
      <c r="F73" s="77">
        <f t="shared" si="10"/>
        <v>1764000</v>
      </c>
      <c r="G73" s="77">
        <v>0</v>
      </c>
      <c r="H73" s="77">
        <f t="shared" si="11"/>
        <v>0</v>
      </c>
      <c r="I73" s="77">
        <v>0</v>
      </c>
      <c r="J73" s="77">
        <f t="shared" si="12"/>
        <v>0</v>
      </c>
      <c r="K73" s="77">
        <f t="shared" si="13"/>
        <v>294000</v>
      </c>
      <c r="L73" s="77">
        <f t="shared" si="9"/>
        <v>1764000</v>
      </c>
      <c r="M73" s="75"/>
    </row>
    <row r="74" spans="1:13" ht="24" customHeight="1">
      <c r="A74" s="141" t="s">
        <v>1413</v>
      </c>
      <c r="B74" s="142"/>
      <c r="C74" s="72"/>
      <c r="D74" s="72"/>
      <c r="E74" s="73"/>
      <c r="F74" s="74">
        <f>SUM(F75:F106)</f>
        <v>62703135</v>
      </c>
      <c r="G74" s="73"/>
      <c r="H74" s="74">
        <f>SUM(H75:H106)</f>
        <v>24119403</v>
      </c>
      <c r="I74" s="73"/>
      <c r="J74" s="74">
        <f>SUM(J75:J106)</f>
        <v>1032510</v>
      </c>
      <c r="K74" s="73"/>
      <c r="L74" s="74">
        <f t="shared" si="9"/>
        <v>87855048</v>
      </c>
      <c r="M74" s="72"/>
    </row>
    <row r="75" spans="1:13" ht="24" customHeight="1">
      <c r="A75" s="75" t="s">
        <v>1346</v>
      </c>
      <c r="B75" s="75" t="s">
        <v>1347</v>
      </c>
      <c r="C75" s="76">
        <v>558</v>
      </c>
      <c r="D75" s="75" t="s">
        <v>231</v>
      </c>
      <c r="E75" s="77">
        <v>992.25</v>
      </c>
      <c r="F75" s="77">
        <f t="shared" ref="F75:F106" si="14">ROUND(E75*C75,0)</f>
        <v>553676</v>
      </c>
      <c r="G75" s="77">
        <v>9452.1</v>
      </c>
      <c r="H75" s="77">
        <f t="shared" ref="H75:H106" si="15">ROUND(G75*C75,0)</f>
        <v>5274272</v>
      </c>
      <c r="I75" s="77">
        <v>0</v>
      </c>
      <c r="J75" s="77">
        <f t="shared" ref="J75:J106" si="16">ROUND(I75*C75,0)</f>
        <v>0</v>
      </c>
      <c r="K75" s="77">
        <f t="shared" ref="K75:K106" si="17">E75+G75+I75</f>
        <v>10444.35</v>
      </c>
      <c r="L75" s="77">
        <f t="shared" si="9"/>
        <v>5827948</v>
      </c>
      <c r="M75" s="75"/>
    </row>
    <row r="76" spans="1:13" ht="24" customHeight="1">
      <c r="A76" s="75" t="s">
        <v>1349</v>
      </c>
      <c r="B76" s="75" t="s">
        <v>1350</v>
      </c>
      <c r="C76" s="76">
        <v>528</v>
      </c>
      <c r="D76" s="75" t="s">
        <v>231</v>
      </c>
      <c r="E76" s="77">
        <v>1972.95</v>
      </c>
      <c r="F76" s="77">
        <f t="shared" si="14"/>
        <v>1041718</v>
      </c>
      <c r="G76" s="77">
        <v>2586.15</v>
      </c>
      <c r="H76" s="77">
        <f t="shared" si="15"/>
        <v>1365487</v>
      </c>
      <c r="I76" s="77">
        <v>0</v>
      </c>
      <c r="J76" s="77">
        <f t="shared" si="16"/>
        <v>0</v>
      </c>
      <c r="K76" s="77">
        <f t="shared" si="17"/>
        <v>4559.1000000000004</v>
      </c>
      <c r="L76" s="77">
        <f t="shared" si="9"/>
        <v>2407205</v>
      </c>
      <c r="M76" s="75"/>
    </row>
    <row r="77" spans="1:13" ht="24" customHeight="1">
      <c r="A77" s="75" t="s">
        <v>1351</v>
      </c>
      <c r="B77" s="75" t="s">
        <v>1353</v>
      </c>
      <c r="C77" s="76">
        <v>19</v>
      </c>
      <c r="D77" s="75" t="s">
        <v>231</v>
      </c>
      <c r="E77" s="77">
        <v>4298.7</v>
      </c>
      <c r="F77" s="77">
        <f t="shared" si="14"/>
        <v>81675</v>
      </c>
      <c r="G77" s="77">
        <v>3016.65</v>
      </c>
      <c r="H77" s="77">
        <f t="shared" si="15"/>
        <v>57316</v>
      </c>
      <c r="I77" s="77">
        <v>0</v>
      </c>
      <c r="J77" s="77">
        <f t="shared" si="16"/>
        <v>0</v>
      </c>
      <c r="K77" s="77">
        <f t="shared" si="17"/>
        <v>7315.35</v>
      </c>
      <c r="L77" s="77">
        <f t="shared" si="9"/>
        <v>138991</v>
      </c>
      <c r="M77" s="75"/>
    </row>
    <row r="78" spans="1:13" ht="24" customHeight="1">
      <c r="A78" s="75" t="s">
        <v>1354</v>
      </c>
      <c r="B78" s="75" t="s">
        <v>1355</v>
      </c>
      <c r="C78" s="76">
        <v>132</v>
      </c>
      <c r="D78" s="75" t="s">
        <v>231</v>
      </c>
      <c r="E78" s="77">
        <v>2221.8000000000002</v>
      </c>
      <c r="F78" s="77">
        <f t="shared" si="14"/>
        <v>293278</v>
      </c>
      <c r="G78" s="77">
        <v>4470.9000000000005</v>
      </c>
      <c r="H78" s="77">
        <f t="shared" si="15"/>
        <v>590159</v>
      </c>
      <c r="I78" s="77">
        <v>0</v>
      </c>
      <c r="J78" s="77">
        <f t="shared" si="16"/>
        <v>0</v>
      </c>
      <c r="K78" s="77">
        <f t="shared" si="17"/>
        <v>6692.7000000000007</v>
      </c>
      <c r="L78" s="77">
        <f t="shared" si="9"/>
        <v>883437</v>
      </c>
      <c r="M78" s="75"/>
    </row>
    <row r="79" spans="1:13" ht="24" customHeight="1">
      <c r="A79" s="75" t="s">
        <v>1356</v>
      </c>
      <c r="B79" s="75" t="s">
        <v>1414</v>
      </c>
      <c r="C79" s="76">
        <v>109</v>
      </c>
      <c r="D79" s="75" t="s">
        <v>231</v>
      </c>
      <c r="E79" s="77">
        <v>3052.35</v>
      </c>
      <c r="F79" s="77">
        <f t="shared" si="14"/>
        <v>332706</v>
      </c>
      <c r="G79" s="77">
        <v>0</v>
      </c>
      <c r="H79" s="77">
        <f t="shared" si="15"/>
        <v>0</v>
      </c>
      <c r="I79" s="77">
        <v>0</v>
      </c>
      <c r="J79" s="77">
        <f t="shared" si="16"/>
        <v>0</v>
      </c>
      <c r="K79" s="77">
        <f t="shared" si="17"/>
        <v>3052.35</v>
      </c>
      <c r="L79" s="77">
        <f t="shared" si="9"/>
        <v>332706</v>
      </c>
      <c r="M79" s="75"/>
    </row>
    <row r="80" spans="1:13" ht="24" customHeight="1">
      <c r="A80" s="75" t="s">
        <v>1356</v>
      </c>
      <c r="B80" s="75" t="s">
        <v>1415</v>
      </c>
      <c r="C80" s="76">
        <v>105</v>
      </c>
      <c r="D80" s="75" t="s">
        <v>231</v>
      </c>
      <c r="E80" s="77">
        <v>7260.75</v>
      </c>
      <c r="F80" s="77">
        <f t="shared" si="14"/>
        <v>762379</v>
      </c>
      <c r="G80" s="77">
        <v>0</v>
      </c>
      <c r="H80" s="77">
        <f t="shared" si="15"/>
        <v>0</v>
      </c>
      <c r="I80" s="77">
        <v>0</v>
      </c>
      <c r="J80" s="77">
        <f t="shared" si="16"/>
        <v>0</v>
      </c>
      <c r="K80" s="77">
        <f t="shared" si="17"/>
        <v>7260.75</v>
      </c>
      <c r="L80" s="77">
        <f t="shared" si="9"/>
        <v>762379</v>
      </c>
      <c r="M80" s="75"/>
    </row>
    <row r="81" spans="1:13" ht="24" customHeight="1">
      <c r="A81" s="75" t="s">
        <v>1356</v>
      </c>
      <c r="B81" s="75" t="s">
        <v>1416</v>
      </c>
      <c r="C81" s="76">
        <v>387</v>
      </c>
      <c r="D81" s="75" t="s">
        <v>231</v>
      </c>
      <c r="E81" s="77">
        <v>5310.9000000000005</v>
      </c>
      <c r="F81" s="77">
        <f t="shared" si="14"/>
        <v>2055318</v>
      </c>
      <c r="G81" s="77">
        <v>0</v>
      </c>
      <c r="H81" s="77">
        <f t="shared" si="15"/>
        <v>0</v>
      </c>
      <c r="I81" s="77">
        <v>0</v>
      </c>
      <c r="J81" s="77">
        <f t="shared" si="16"/>
        <v>0</v>
      </c>
      <c r="K81" s="77">
        <f t="shared" si="17"/>
        <v>5310.9000000000005</v>
      </c>
      <c r="L81" s="77">
        <f t="shared" si="9"/>
        <v>2055318</v>
      </c>
      <c r="M81" s="75"/>
    </row>
    <row r="82" spans="1:13" ht="24" customHeight="1">
      <c r="A82" s="75" t="s">
        <v>1361</v>
      </c>
      <c r="B82" s="75" t="s">
        <v>1362</v>
      </c>
      <c r="C82" s="76">
        <v>27</v>
      </c>
      <c r="D82" s="75" t="s">
        <v>179</v>
      </c>
      <c r="E82" s="77">
        <v>7450.8</v>
      </c>
      <c r="F82" s="77">
        <f t="shared" si="14"/>
        <v>201172</v>
      </c>
      <c r="G82" s="77">
        <v>46062.450000000004</v>
      </c>
      <c r="H82" s="77">
        <f t="shared" si="15"/>
        <v>1243686</v>
      </c>
      <c r="I82" s="77">
        <v>0</v>
      </c>
      <c r="J82" s="77">
        <f t="shared" si="16"/>
        <v>0</v>
      </c>
      <c r="K82" s="77">
        <f t="shared" si="17"/>
        <v>53513.250000000007</v>
      </c>
      <c r="L82" s="77">
        <f t="shared" si="9"/>
        <v>1444858</v>
      </c>
      <c r="M82" s="75"/>
    </row>
    <row r="83" spans="1:13" ht="24" customHeight="1">
      <c r="A83" s="75" t="s">
        <v>1363</v>
      </c>
      <c r="B83" s="75" t="s">
        <v>1364</v>
      </c>
      <c r="C83" s="76">
        <v>8</v>
      </c>
      <c r="D83" s="75" t="s">
        <v>179</v>
      </c>
      <c r="E83" s="77">
        <v>757.05000000000007</v>
      </c>
      <c r="F83" s="77">
        <f t="shared" si="14"/>
        <v>6056</v>
      </c>
      <c r="G83" s="77">
        <v>7758.4500000000007</v>
      </c>
      <c r="H83" s="77">
        <f t="shared" si="15"/>
        <v>62068</v>
      </c>
      <c r="I83" s="77">
        <v>0</v>
      </c>
      <c r="J83" s="77">
        <f t="shared" si="16"/>
        <v>0</v>
      </c>
      <c r="K83" s="77">
        <f t="shared" si="17"/>
        <v>8515.5</v>
      </c>
      <c r="L83" s="77">
        <f t="shared" si="9"/>
        <v>68124</v>
      </c>
      <c r="M83" s="75"/>
    </row>
    <row r="84" spans="1:13" ht="24" customHeight="1">
      <c r="A84" s="75" t="s">
        <v>1365</v>
      </c>
      <c r="B84" s="75" t="s">
        <v>1366</v>
      </c>
      <c r="C84" s="76">
        <v>498</v>
      </c>
      <c r="D84" s="75" t="s">
        <v>231</v>
      </c>
      <c r="E84" s="77">
        <v>196.35</v>
      </c>
      <c r="F84" s="77">
        <f t="shared" si="14"/>
        <v>97782</v>
      </c>
      <c r="G84" s="77">
        <v>248.85000000000002</v>
      </c>
      <c r="H84" s="77">
        <f t="shared" si="15"/>
        <v>123927</v>
      </c>
      <c r="I84" s="77">
        <v>0</v>
      </c>
      <c r="J84" s="77">
        <f t="shared" si="16"/>
        <v>0</v>
      </c>
      <c r="K84" s="77">
        <f t="shared" si="17"/>
        <v>445.20000000000005</v>
      </c>
      <c r="L84" s="77">
        <f t="shared" si="9"/>
        <v>221709</v>
      </c>
      <c r="M84" s="75"/>
    </row>
    <row r="85" spans="1:13" ht="24" customHeight="1">
      <c r="A85" s="75" t="s">
        <v>1367</v>
      </c>
      <c r="B85" s="75" t="s">
        <v>1417</v>
      </c>
      <c r="C85" s="76">
        <v>4</v>
      </c>
      <c r="D85" s="75" t="s">
        <v>179</v>
      </c>
      <c r="E85" s="77">
        <v>1140.3</v>
      </c>
      <c r="F85" s="77">
        <f t="shared" si="14"/>
        <v>4561</v>
      </c>
      <c r="G85" s="77">
        <v>31041.15</v>
      </c>
      <c r="H85" s="77">
        <f t="shared" si="15"/>
        <v>124165</v>
      </c>
      <c r="I85" s="77">
        <v>0</v>
      </c>
      <c r="J85" s="77">
        <f t="shared" si="16"/>
        <v>0</v>
      </c>
      <c r="K85" s="77">
        <f t="shared" si="17"/>
        <v>32181.45</v>
      </c>
      <c r="L85" s="77">
        <f t="shared" si="9"/>
        <v>128726</v>
      </c>
      <c r="M85" s="75"/>
    </row>
    <row r="86" spans="1:13" ht="24" customHeight="1">
      <c r="A86" s="75" t="s">
        <v>1367</v>
      </c>
      <c r="B86" s="75" t="s">
        <v>1368</v>
      </c>
      <c r="C86" s="76">
        <v>4</v>
      </c>
      <c r="D86" s="75" t="s">
        <v>179</v>
      </c>
      <c r="E86" s="77">
        <v>1410.15</v>
      </c>
      <c r="F86" s="77">
        <f t="shared" si="14"/>
        <v>5641</v>
      </c>
      <c r="G86" s="77">
        <v>37939.65</v>
      </c>
      <c r="H86" s="77">
        <f t="shared" si="15"/>
        <v>151759</v>
      </c>
      <c r="I86" s="77">
        <v>0</v>
      </c>
      <c r="J86" s="77">
        <f t="shared" si="16"/>
        <v>0</v>
      </c>
      <c r="K86" s="77">
        <f t="shared" si="17"/>
        <v>39349.800000000003</v>
      </c>
      <c r="L86" s="77">
        <f t="shared" si="9"/>
        <v>157400</v>
      </c>
      <c r="M86" s="75"/>
    </row>
    <row r="87" spans="1:13" ht="24" customHeight="1">
      <c r="A87" s="75" t="s">
        <v>1369</v>
      </c>
      <c r="B87" s="75" t="s">
        <v>1370</v>
      </c>
      <c r="C87" s="76">
        <v>21</v>
      </c>
      <c r="D87" s="75" t="s">
        <v>23</v>
      </c>
      <c r="E87" s="77">
        <v>12235.65</v>
      </c>
      <c r="F87" s="77">
        <f t="shared" si="14"/>
        <v>256949</v>
      </c>
      <c r="G87" s="77">
        <v>123176.55</v>
      </c>
      <c r="H87" s="77">
        <f t="shared" si="15"/>
        <v>2586708</v>
      </c>
      <c r="I87" s="77">
        <v>33298.65</v>
      </c>
      <c r="J87" s="77">
        <f t="shared" si="16"/>
        <v>699272</v>
      </c>
      <c r="K87" s="77">
        <f t="shared" si="17"/>
        <v>168710.85</v>
      </c>
      <c r="L87" s="77">
        <f t="shared" si="9"/>
        <v>3542929</v>
      </c>
      <c r="M87" s="75"/>
    </row>
    <row r="88" spans="1:13" ht="24" customHeight="1">
      <c r="A88" s="75" t="s">
        <v>1372</v>
      </c>
      <c r="B88" s="75" t="s">
        <v>1373</v>
      </c>
      <c r="C88" s="78">
        <v>176.48</v>
      </c>
      <c r="D88" s="75" t="s">
        <v>99</v>
      </c>
      <c r="E88" s="77">
        <v>526.05000000000007</v>
      </c>
      <c r="F88" s="77">
        <f t="shared" si="14"/>
        <v>92837</v>
      </c>
      <c r="G88" s="77">
        <v>4891.95</v>
      </c>
      <c r="H88" s="77">
        <f t="shared" si="15"/>
        <v>863331</v>
      </c>
      <c r="I88" s="77">
        <v>507.15000000000003</v>
      </c>
      <c r="J88" s="77">
        <f t="shared" si="16"/>
        <v>89502</v>
      </c>
      <c r="K88" s="77">
        <f t="shared" si="17"/>
        <v>5925.15</v>
      </c>
      <c r="L88" s="77">
        <f t="shared" si="9"/>
        <v>1045670</v>
      </c>
      <c r="M88" s="75"/>
    </row>
    <row r="89" spans="1:13" ht="24" customHeight="1">
      <c r="A89" s="75" t="s">
        <v>1374</v>
      </c>
      <c r="B89" s="75" t="s">
        <v>1373</v>
      </c>
      <c r="C89" s="78">
        <v>175.42</v>
      </c>
      <c r="D89" s="75" t="s">
        <v>99</v>
      </c>
      <c r="E89" s="77">
        <v>471.45000000000005</v>
      </c>
      <c r="F89" s="77">
        <f t="shared" si="14"/>
        <v>82702</v>
      </c>
      <c r="G89" s="77">
        <v>3085.9500000000003</v>
      </c>
      <c r="H89" s="77">
        <f t="shared" si="15"/>
        <v>541337</v>
      </c>
      <c r="I89" s="77">
        <v>507.15000000000003</v>
      </c>
      <c r="J89" s="77">
        <f t="shared" si="16"/>
        <v>88964</v>
      </c>
      <c r="K89" s="77">
        <f t="shared" si="17"/>
        <v>4064.5500000000006</v>
      </c>
      <c r="L89" s="77">
        <f t="shared" si="9"/>
        <v>713003</v>
      </c>
      <c r="M89" s="75"/>
    </row>
    <row r="90" spans="1:13" ht="24" customHeight="1">
      <c r="A90" s="75" t="s">
        <v>1375</v>
      </c>
      <c r="B90" s="75" t="s">
        <v>1376</v>
      </c>
      <c r="C90" s="78">
        <v>1.06</v>
      </c>
      <c r="D90" s="75" t="s">
        <v>99</v>
      </c>
      <c r="E90" s="77">
        <v>1083.6000000000001</v>
      </c>
      <c r="F90" s="77">
        <f t="shared" si="14"/>
        <v>1149</v>
      </c>
      <c r="G90" s="77">
        <v>36133.65</v>
      </c>
      <c r="H90" s="77">
        <f t="shared" si="15"/>
        <v>38302</v>
      </c>
      <c r="I90" s="77">
        <v>0</v>
      </c>
      <c r="J90" s="77">
        <f t="shared" si="16"/>
        <v>0</v>
      </c>
      <c r="K90" s="77">
        <f t="shared" si="17"/>
        <v>37217.25</v>
      </c>
      <c r="L90" s="77">
        <f t="shared" si="9"/>
        <v>39451</v>
      </c>
      <c r="M90" s="75"/>
    </row>
    <row r="91" spans="1:13" ht="24" customHeight="1">
      <c r="A91" s="75" t="s">
        <v>1377</v>
      </c>
      <c r="B91" s="75" t="s">
        <v>1378</v>
      </c>
      <c r="C91" s="76">
        <v>2</v>
      </c>
      <c r="D91" s="75" t="s">
        <v>1051</v>
      </c>
      <c r="E91" s="77">
        <v>40315.800000000003</v>
      </c>
      <c r="F91" s="77">
        <f t="shared" si="14"/>
        <v>80632</v>
      </c>
      <c r="G91" s="77">
        <v>115731</v>
      </c>
      <c r="H91" s="77">
        <f t="shared" si="15"/>
        <v>231462</v>
      </c>
      <c r="I91" s="77">
        <v>0</v>
      </c>
      <c r="J91" s="77">
        <f t="shared" si="16"/>
        <v>0</v>
      </c>
      <c r="K91" s="77">
        <f t="shared" si="17"/>
        <v>156046.79999999999</v>
      </c>
      <c r="L91" s="77">
        <f t="shared" si="9"/>
        <v>312094</v>
      </c>
      <c r="M91" s="75"/>
    </row>
    <row r="92" spans="1:13" ht="24" customHeight="1">
      <c r="A92" s="75" t="s">
        <v>1379</v>
      </c>
      <c r="B92" s="75"/>
      <c r="C92" s="76">
        <v>6</v>
      </c>
      <c r="D92" s="75" t="s">
        <v>1051</v>
      </c>
      <c r="E92" s="77">
        <v>2545.2000000000003</v>
      </c>
      <c r="F92" s="77">
        <f t="shared" si="14"/>
        <v>15271</v>
      </c>
      <c r="G92" s="77">
        <v>0</v>
      </c>
      <c r="H92" s="77">
        <f t="shared" si="15"/>
        <v>0</v>
      </c>
      <c r="I92" s="77">
        <v>0</v>
      </c>
      <c r="J92" s="77">
        <f t="shared" si="16"/>
        <v>0</v>
      </c>
      <c r="K92" s="77">
        <f t="shared" si="17"/>
        <v>2545.2000000000003</v>
      </c>
      <c r="L92" s="77">
        <f t="shared" si="9"/>
        <v>15271</v>
      </c>
      <c r="M92" s="75"/>
    </row>
    <row r="93" spans="1:13" ht="24" customHeight="1">
      <c r="A93" s="75" t="s">
        <v>1380</v>
      </c>
      <c r="B93" s="75" t="s">
        <v>1418</v>
      </c>
      <c r="C93" s="76">
        <v>106</v>
      </c>
      <c r="D93" s="75" t="s">
        <v>231</v>
      </c>
      <c r="E93" s="77">
        <v>131.25</v>
      </c>
      <c r="F93" s="77">
        <f t="shared" si="14"/>
        <v>13913</v>
      </c>
      <c r="G93" s="77">
        <v>4390.05</v>
      </c>
      <c r="H93" s="77">
        <f t="shared" si="15"/>
        <v>465345</v>
      </c>
      <c r="I93" s="77">
        <v>0</v>
      </c>
      <c r="J93" s="77">
        <f t="shared" si="16"/>
        <v>0</v>
      </c>
      <c r="K93" s="77">
        <f t="shared" si="17"/>
        <v>4521.3</v>
      </c>
      <c r="L93" s="77">
        <f t="shared" si="9"/>
        <v>479258</v>
      </c>
      <c r="M93" s="75"/>
    </row>
    <row r="94" spans="1:13" ht="24" customHeight="1">
      <c r="A94" s="75" t="s">
        <v>1380</v>
      </c>
      <c r="B94" s="75" t="s">
        <v>1419</v>
      </c>
      <c r="C94" s="76">
        <v>114</v>
      </c>
      <c r="D94" s="75" t="s">
        <v>231</v>
      </c>
      <c r="E94" s="77">
        <v>150.15</v>
      </c>
      <c r="F94" s="77">
        <f t="shared" si="14"/>
        <v>17117</v>
      </c>
      <c r="G94" s="77">
        <v>5014.8</v>
      </c>
      <c r="H94" s="77">
        <f t="shared" si="15"/>
        <v>571687</v>
      </c>
      <c r="I94" s="77">
        <v>0</v>
      </c>
      <c r="J94" s="77">
        <f t="shared" si="16"/>
        <v>0</v>
      </c>
      <c r="K94" s="77">
        <f t="shared" si="17"/>
        <v>5164.95</v>
      </c>
      <c r="L94" s="77">
        <f t="shared" si="9"/>
        <v>588804</v>
      </c>
      <c r="M94" s="75"/>
    </row>
    <row r="95" spans="1:13" ht="24" customHeight="1">
      <c r="A95" s="75" t="s">
        <v>1380</v>
      </c>
      <c r="B95" s="75" t="s">
        <v>1420</v>
      </c>
      <c r="C95" s="76">
        <v>376</v>
      </c>
      <c r="D95" s="75" t="s">
        <v>231</v>
      </c>
      <c r="E95" s="77">
        <v>214.20000000000002</v>
      </c>
      <c r="F95" s="77">
        <f t="shared" si="14"/>
        <v>80539</v>
      </c>
      <c r="G95" s="77">
        <v>7159.9500000000007</v>
      </c>
      <c r="H95" s="77">
        <f t="shared" si="15"/>
        <v>2692141</v>
      </c>
      <c r="I95" s="77">
        <v>0</v>
      </c>
      <c r="J95" s="77">
        <f t="shared" si="16"/>
        <v>0</v>
      </c>
      <c r="K95" s="77">
        <f t="shared" si="17"/>
        <v>7374.1500000000005</v>
      </c>
      <c r="L95" s="77">
        <f t="shared" si="9"/>
        <v>2772680</v>
      </c>
      <c r="M95" s="75"/>
    </row>
    <row r="96" spans="1:13" ht="24" customHeight="1">
      <c r="A96" s="75" t="s">
        <v>1387</v>
      </c>
      <c r="B96" s="75" t="s">
        <v>1388</v>
      </c>
      <c r="C96" s="76">
        <v>21</v>
      </c>
      <c r="D96" s="75" t="s">
        <v>179</v>
      </c>
      <c r="E96" s="77">
        <v>526577.1</v>
      </c>
      <c r="F96" s="77">
        <f t="shared" si="14"/>
        <v>11058119</v>
      </c>
      <c r="G96" s="77">
        <v>52586.100000000006</v>
      </c>
      <c r="H96" s="77">
        <f t="shared" si="15"/>
        <v>1104308</v>
      </c>
      <c r="I96" s="77">
        <v>0</v>
      </c>
      <c r="J96" s="77">
        <f t="shared" si="16"/>
        <v>0</v>
      </c>
      <c r="K96" s="77">
        <f t="shared" si="17"/>
        <v>579163.19999999995</v>
      </c>
      <c r="L96" s="77">
        <f t="shared" si="9"/>
        <v>12162427</v>
      </c>
      <c r="M96" s="75"/>
    </row>
    <row r="97" spans="1:13" ht="24" customHeight="1">
      <c r="A97" s="75" t="s">
        <v>1389</v>
      </c>
      <c r="B97" s="75" t="s">
        <v>1390</v>
      </c>
      <c r="C97" s="76">
        <v>21</v>
      </c>
      <c r="D97" s="75" t="s">
        <v>179</v>
      </c>
      <c r="E97" s="77">
        <v>110918.85</v>
      </c>
      <c r="F97" s="77">
        <f t="shared" si="14"/>
        <v>2329296</v>
      </c>
      <c r="G97" s="77">
        <v>57315.3</v>
      </c>
      <c r="H97" s="77">
        <f t="shared" si="15"/>
        <v>1203621</v>
      </c>
      <c r="I97" s="77">
        <v>0</v>
      </c>
      <c r="J97" s="77">
        <f t="shared" si="16"/>
        <v>0</v>
      </c>
      <c r="K97" s="77">
        <f t="shared" si="17"/>
        <v>168234.15000000002</v>
      </c>
      <c r="L97" s="77">
        <f t="shared" si="9"/>
        <v>3532917</v>
      </c>
      <c r="M97" s="75"/>
    </row>
    <row r="98" spans="1:13" ht="24" customHeight="1">
      <c r="A98" s="75" t="s">
        <v>1393</v>
      </c>
      <c r="B98" s="75" t="s">
        <v>1394</v>
      </c>
      <c r="C98" s="76">
        <v>2</v>
      </c>
      <c r="D98" s="75" t="s">
        <v>179</v>
      </c>
      <c r="E98" s="77">
        <v>6609092.7000000002</v>
      </c>
      <c r="F98" s="77">
        <f t="shared" si="14"/>
        <v>13218185</v>
      </c>
      <c r="G98" s="77">
        <v>293106.45</v>
      </c>
      <c r="H98" s="77">
        <f t="shared" si="15"/>
        <v>586213</v>
      </c>
      <c r="I98" s="77">
        <v>0</v>
      </c>
      <c r="J98" s="77">
        <f t="shared" si="16"/>
        <v>0</v>
      </c>
      <c r="K98" s="77">
        <f t="shared" si="17"/>
        <v>6902199.1500000004</v>
      </c>
      <c r="L98" s="77">
        <f t="shared" ref="L98:L161" si="18">F98+H98+J98</f>
        <v>13804398</v>
      </c>
      <c r="M98" s="75"/>
    </row>
    <row r="99" spans="1:13" ht="24" customHeight="1">
      <c r="A99" s="75" t="s">
        <v>1397</v>
      </c>
      <c r="B99" s="75" t="s">
        <v>1398</v>
      </c>
      <c r="C99" s="76">
        <v>21</v>
      </c>
      <c r="D99" s="75" t="s">
        <v>179</v>
      </c>
      <c r="E99" s="77">
        <v>10868.550000000001</v>
      </c>
      <c r="F99" s="77">
        <f t="shared" si="14"/>
        <v>228240</v>
      </c>
      <c r="G99" s="77">
        <v>12285</v>
      </c>
      <c r="H99" s="77">
        <f t="shared" si="15"/>
        <v>257985</v>
      </c>
      <c r="I99" s="77">
        <v>0</v>
      </c>
      <c r="J99" s="77">
        <f t="shared" si="16"/>
        <v>0</v>
      </c>
      <c r="K99" s="77">
        <f t="shared" si="17"/>
        <v>23153.550000000003</v>
      </c>
      <c r="L99" s="77">
        <f t="shared" si="18"/>
        <v>486225</v>
      </c>
      <c r="M99" s="75"/>
    </row>
    <row r="100" spans="1:13" ht="24" customHeight="1">
      <c r="A100" s="75" t="s">
        <v>1399</v>
      </c>
      <c r="B100" s="75" t="s">
        <v>1400</v>
      </c>
      <c r="C100" s="76">
        <v>21</v>
      </c>
      <c r="D100" s="75" t="s">
        <v>179</v>
      </c>
      <c r="E100" s="77">
        <v>1254272.25</v>
      </c>
      <c r="F100" s="77">
        <f t="shared" si="14"/>
        <v>26339717</v>
      </c>
      <c r="G100" s="77">
        <v>89080.95</v>
      </c>
      <c r="H100" s="77">
        <f t="shared" si="15"/>
        <v>1870700</v>
      </c>
      <c r="I100" s="77">
        <v>0</v>
      </c>
      <c r="J100" s="77">
        <f t="shared" si="16"/>
        <v>0</v>
      </c>
      <c r="K100" s="77">
        <f t="shared" si="17"/>
        <v>1343353.2</v>
      </c>
      <c r="L100" s="77">
        <f t="shared" si="18"/>
        <v>28210417</v>
      </c>
      <c r="M100" s="75"/>
    </row>
    <row r="101" spans="1:13" ht="24" customHeight="1">
      <c r="A101" s="75" t="s">
        <v>1401</v>
      </c>
      <c r="B101" s="75" t="s">
        <v>1402</v>
      </c>
      <c r="C101" s="76">
        <v>21</v>
      </c>
      <c r="D101" s="75" t="s">
        <v>179</v>
      </c>
      <c r="E101" s="77">
        <v>59386.950000000004</v>
      </c>
      <c r="F101" s="77">
        <f t="shared" si="14"/>
        <v>1247126</v>
      </c>
      <c r="G101" s="77">
        <v>54597.9</v>
      </c>
      <c r="H101" s="77">
        <f t="shared" si="15"/>
        <v>1146556</v>
      </c>
      <c r="I101" s="77">
        <v>0</v>
      </c>
      <c r="J101" s="77">
        <f t="shared" si="16"/>
        <v>0</v>
      </c>
      <c r="K101" s="77">
        <f t="shared" si="17"/>
        <v>113984.85</v>
      </c>
      <c r="L101" s="77">
        <f t="shared" si="18"/>
        <v>2393682</v>
      </c>
      <c r="M101" s="75"/>
    </row>
    <row r="102" spans="1:13" ht="24" customHeight="1">
      <c r="A102" s="75" t="s">
        <v>1401</v>
      </c>
      <c r="B102" s="75" t="s">
        <v>1403</v>
      </c>
      <c r="C102" s="76">
        <v>16</v>
      </c>
      <c r="D102" s="75" t="s">
        <v>179</v>
      </c>
      <c r="E102" s="77">
        <v>15750</v>
      </c>
      <c r="F102" s="77">
        <f t="shared" si="14"/>
        <v>252000</v>
      </c>
      <c r="G102" s="77">
        <v>0</v>
      </c>
      <c r="H102" s="77">
        <f t="shared" si="15"/>
        <v>0</v>
      </c>
      <c r="I102" s="77">
        <v>0</v>
      </c>
      <c r="J102" s="77">
        <f t="shared" si="16"/>
        <v>0</v>
      </c>
      <c r="K102" s="77">
        <f t="shared" si="17"/>
        <v>15750</v>
      </c>
      <c r="L102" s="77">
        <f t="shared" si="18"/>
        <v>252000</v>
      </c>
      <c r="M102" s="75"/>
    </row>
    <row r="103" spans="1:13" ht="24" customHeight="1">
      <c r="A103" s="75" t="s">
        <v>1404</v>
      </c>
      <c r="B103" s="75" t="s">
        <v>1405</v>
      </c>
      <c r="C103" s="76">
        <v>9</v>
      </c>
      <c r="D103" s="75" t="s">
        <v>1406</v>
      </c>
      <c r="E103" s="77">
        <v>14941.5</v>
      </c>
      <c r="F103" s="77">
        <f t="shared" si="14"/>
        <v>134474</v>
      </c>
      <c r="G103" s="77">
        <v>59622.15</v>
      </c>
      <c r="H103" s="77">
        <f t="shared" si="15"/>
        <v>536599</v>
      </c>
      <c r="I103" s="77">
        <v>17196.900000000001</v>
      </c>
      <c r="J103" s="77">
        <f t="shared" si="16"/>
        <v>154772</v>
      </c>
      <c r="K103" s="77">
        <f t="shared" si="17"/>
        <v>91760.549999999988</v>
      </c>
      <c r="L103" s="77">
        <f t="shared" si="18"/>
        <v>825845</v>
      </c>
      <c r="M103" s="75"/>
    </row>
    <row r="104" spans="1:13" ht="24" customHeight="1">
      <c r="A104" s="75" t="s">
        <v>1407</v>
      </c>
      <c r="B104" s="75" t="s">
        <v>1408</v>
      </c>
      <c r="C104" s="76">
        <v>2</v>
      </c>
      <c r="D104" s="75" t="s">
        <v>179</v>
      </c>
      <c r="E104" s="77">
        <v>148718.85</v>
      </c>
      <c r="F104" s="77">
        <f t="shared" si="14"/>
        <v>297438</v>
      </c>
      <c r="G104" s="77">
        <v>57315.3</v>
      </c>
      <c r="H104" s="77">
        <f t="shared" si="15"/>
        <v>114631</v>
      </c>
      <c r="I104" s="77">
        <v>0</v>
      </c>
      <c r="J104" s="77">
        <f t="shared" si="16"/>
        <v>0</v>
      </c>
      <c r="K104" s="77">
        <f t="shared" si="17"/>
        <v>206034.15000000002</v>
      </c>
      <c r="L104" s="77">
        <f t="shared" si="18"/>
        <v>412069</v>
      </c>
      <c r="M104" s="75"/>
    </row>
    <row r="105" spans="1:13" ht="24" customHeight="1">
      <c r="A105" s="75" t="s">
        <v>1409</v>
      </c>
      <c r="B105" s="75" t="s">
        <v>1410</v>
      </c>
      <c r="C105" s="76">
        <v>2</v>
      </c>
      <c r="D105" s="75" t="s">
        <v>179</v>
      </c>
      <c r="E105" s="77">
        <v>466734.45</v>
      </c>
      <c r="F105" s="77">
        <f t="shared" si="14"/>
        <v>933469</v>
      </c>
      <c r="G105" s="77">
        <v>157819.20000000001</v>
      </c>
      <c r="H105" s="77">
        <f t="shared" si="15"/>
        <v>315638</v>
      </c>
      <c r="I105" s="77">
        <v>0</v>
      </c>
      <c r="J105" s="77">
        <f t="shared" si="16"/>
        <v>0</v>
      </c>
      <c r="K105" s="77">
        <f t="shared" si="17"/>
        <v>624553.65</v>
      </c>
      <c r="L105" s="77">
        <f t="shared" si="18"/>
        <v>1249107</v>
      </c>
      <c r="M105" s="75"/>
    </row>
    <row r="106" spans="1:13" ht="24" customHeight="1">
      <c r="A106" s="75" t="s">
        <v>1411</v>
      </c>
      <c r="B106" s="75" t="s">
        <v>1412</v>
      </c>
      <c r="C106" s="76">
        <v>2</v>
      </c>
      <c r="D106" s="75" t="s">
        <v>179</v>
      </c>
      <c r="E106" s="77">
        <v>294000</v>
      </c>
      <c r="F106" s="77">
        <f t="shared" si="14"/>
        <v>588000</v>
      </c>
      <c r="G106" s="77">
        <v>0</v>
      </c>
      <c r="H106" s="77">
        <f t="shared" si="15"/>
        <v>0</v>
      </c>
      <c r="I106" s="77">
        <v>0</v>
      </c>
      <c r="J106" s="77">
        <f t="shared" si="16"/>
        <v>0</v>
      </c>
      <c r="K106" s="77">
        <f t="shared" si="17"/>
        <v>294000</v>
      </c>
      <c r="L106" s="77">
        <f t="shared" si="18"/>
        <v>588000</v>
      </c>
      <c r="M106" s="75"/>
    </row>
    <row r="107" spans="1:13" ht="24" customHeight="1">
      <c r="A107" s="141" t="s">
        <v>1421</v>
      </c>
      <c r="B107" s="142"/>
      <c r="C107" s="72"/>
      <c r="D107" s="72"/>
      <c r="E107" s="73"/>
      <c r="F107" s="74">
        <f>SUM(F108:F131)</f>
        <v>18575525</v>
      </c>
      <c r="G107" s="73"/>
      <c r="H107" s="74">
        <f>SUM(H108:H131)</f>
        <v>11313170</v>
      </c>
      <c r="I107" s="73"/>
      <c r="J107" s="74">
        <f>SUM(J108:J131)</f>
        <v>362824</v>
      </c>
      <c r="K107" s="73"/>
      <c r="L107" s="74">
        <f t="shared" si="18"/>
        <v>30251519</v>
      </c>
      <c r="M107" s="72"/>
    </row>
    <row r="108" spans="1:13" ht="24" customHeight="1">
      <c r="A108" s="75" t="s">
        <v>1346</v>
      </c>
      <c r="B108" s="75" t="s">
        <v>1348</v>
      </c>
      <c r="C108" s="76">
        <v>119</v>
      </c>
      <c r="D108" s="75" t="s">
        <v>231</v>
      </c>
      <c r="E108" s="77">
        <v>1228.5</v>
      </c>
      <c r="F108" s="77">
        <f t="shared" ref="F108:F131" si="19">ROUND(E108*C108,0)</f>
        <v>146192</v>
      </c>
      <c r="G108" s="77">
        <v>9452.1</v>
      </c>
      <c r="H108" s="77">
        <f t="shared" ref="H108:H131" si="20">ROUND(G108*C108,0)</f>
        <v>1124800</v>
      </c>
      <c r="I108" s="77">
        <v>0</v>
      </c>
      <c r="J108" s="77">
        <f t="shared" ref="J108:J131" si="21">ROUND(I108*C108,0)</f>
        <v>0</v>
      </c>
      <c r="K108" s="77">
        <f t="shared" ref="K108:K131" si="22">E108+G108+I108</f>
        <v>10680.6</v>
      </c>
      <c r="L108" s="77">
        <f t="shared" si="18"/>
        <v>1270992</v>
      </c>
      <c r="M108" s="75"/>
    </row>
    <row r="109" spans="1:13" ht="24" customHeight="1">
      <c r="A109" s="75" t="s">
        <v>1346</v>
      </c>
      <c r="B109" s="75" t="s">
        <v>1422</v>
      </c>
      <c r="C109" s="76">
        <v>11</v>
      </c>
      <c r="D109" s="75" t="s">
        <v>231</v>
      </c>
      <c r="E109" s="77">
        <v>2410.8000000000002</v>
      </c>
      <c r="F109" s="77">
        <f t="shared" si="19"/>
        <v>26519</v>
      </c>
      <c r="G109" s="77">
        <v>11844</v>
      </c>
      <c r="H109" s="77">
        <f t="shared" si="20"/>
        <v>130284</v>
      </c>
      <c r="I109" s="77">
        <v>0</v>
      </c>
      <c r="J109" s="77">
        <f t="shared" si="21"/>
        <v>0</v>
      </c>
      <c r="K109" s="77">
        <f t="shared" si="22"/>
        <v>14254.8</v>
      </c>
      <c r="L109" s="77">
        <f t="shared" si="18"/>
        <v>156803</v>
      </c>
      <c r="M109" s="75"/>
    </row>
    <row r="110" spans="1:13" ht="24" customHeight="1">
      <c r="A110" s="75" t="s">
        <v>1346</v>
      </c>
      <c r="B110" s="75" t="s">
        <v>1423</v>
      </c>
      <c r="C110" s="76">
        <v>51</v>
      </c>
      <c r="D110" s="75" t="s">
        <v>231</v>
      </c>
      <c r="E110" s="77">
        <v>3284.4</v>
      </c>
      <c r="F110" s="77">
        <f t="shared" si="19"/>
        <v>167504</v>
      </c>
      <c r="G110" s="77">
        <v>17599.05</v>
      </c>
      <c r="H110" s="77">
        <f t="shared" si="20"/>
        <v>897552</v>
      </c>
      <c r="I110" s="77">
        <v>0</v>
      </c>
      <c r="J110" s="77">
        <f t="shared" si="21"/>
        <v>0</v>
      </c>
      <c r="K110" s="77">
        <f t="shared" si="22"/>
        <v>20883.45</v>
      </c>
      <c r="L110" s="77">
        <f t="shared" si="18"/>
        <v>1065056</v>
      </c>
      <c r="M110" s="75"/>
    </row>
    <row r="111" spans="1:13" ht="24" customHeight="1">
      <c r="A111" s="75" t="s">
        <v>1349</v>
      </c>
      <c r="B111" s="75" t="s">
        <v>1350</v>
      </c>
      <c r="C111" s="76">
        <v>60</v>
      </c>
      <c r="D111" s="75" t="s">
        <v>231</v>
      </c>
      <c r="E111" s="77">
        <v>1972.95</v>
      </c>
      <c r="F111" s="77">
        <f t="shared" si="19"/>
        <v>118377</v>
      </c>
      <c r="G111" s="77">
        <v>2586.15</v>
      </c>
      <c r="H111" s="77">
        <f t="shared" si="20"/>
        <v>155169</v>
      </c>
      <c r="I111" s="77">
        <v>0</v>
      </c>
      <c r="J111" s="77">
        <f t="shared" si="21"/>
        <v>0</v>
      </c>
      <c r="K111" s="77">
        <f t="shared" si="22"/>
        <v>4559.1000000000004</v>
      </c>
      <c r="L111" s="77">
        <f t="shared" si="18"/>
        <v>273546</v>
      </c>
      <c r="M111" s="75"/>
    </row>
    <row r="112" spans="1:13" ht="24" customHeight="1">
      <c r="A112" s="75" t="s">
        <v>1356</v>
      </c>
      <c r="B112" s="75" t="s">
        <v>1414</v>
      </c>
      <c r="C112" s="76">
        <v>115</v>
      </c>
      <c r="D112" s="75" t="s">
        <v>231</v>
      </c>
      <c r="E112" s="77">
        <v>3052.35</v>
      </c>
      <c r="F112" s="77">
        <f t="shared" si="19"/>
        <v>351020</v>
      </c>
      <c r="G112" s="77">
        <v>0</v>
      </c>
      <c r="H112" s="77">
        <f t="shared" si="20"/>
        <v>0</v>
      </c>
      <c r="I112" s="77">
        <v>0</v>
      </c>
      <c r="J112" s="77">
        <f t="shared" si="21"/>
        <v>0</v>
      </c>
      <c r="K112" s="77">
        <f t="shared" si="22"/>
        <v>3052.35</v>
      </c>
      <c r="L112" s="77">
        <f t="shared" si="18"/>
        <v>351020</v>
      </c>
      <c r="M112" s="75"/>
    </row>
    <row r="113" spans="1:13" ht="24" customHeight="1">
      <c r="A113" s="75" t="s">
        <v>1424</v>
      </c>
      <c r="B113" s="75" t="s">
        <v>1425</v>
      </c>
      <c r="C113" s="76">
        <v>142</v>
      </c>
      <c r="D113" s="75" t="s">
        <v>231</v>
      </c>
      <c r="E113" s="77">
        <v>4023.6000000000004</v>
      </c>
      <c r="F113" s="77">
        <f t="shared" si="19"/>
        <v>571351</v>
      </c>
      <c r="G113" s="77">
        <v>10218.6</v>
      </c>
      <c r="H113" s="77">
        <f t="shared" si="20"/>
        <v>1451041</v>
      </c>
      <c r="I113" s="77">
        <v>0</v>
      </c>
      <c r="J113" s="77">
        <f t="shared" si="21"/>
        <v>0</v>
      </c>
      <c r="K113" s="77">
        <f t="shared" si="22"/>
        <v>14242.2</v>
      </c>
      <c r="L113" s="77">
        <f t="shared" si="18"/>
        <v>2022392</v>
      </c>
      <c r="M113" s="75"/>
    </row>
    <row r="114" spans="1:13" ht="24" customHeight="1">
      <c r="A114" s="75" t="s">
        <v>1426</v>
      </c>
      <c r="B114" s="75" t="s">
        <v>1427</v>
      </c>
      <c r="C114" s="76">
        <v>2</v>
      </c>
      <c r="D114" s="75" t="s">
        <v>376</v>
      </c>
      <c r="E114" s="77">
        <v>213019.80000000002</v>
      </c>
      <c r="F114" s="77">
        <f t="shared" si="19"/>
        <v>426040</v>
      </c>
      <c r="G114" s="77">
        <v>100661.40000000001</v>
      </c>
      <c r="H114" s="77">
        <f t="shared" si="20"/>
        <v>201323</v>
      </c>
      <c r="I114" s="77">
        <v>0</v>
      </c>
      <c r="J114" s="77">
        <f t="shared" si="21"/>
        <v>0</v>
      </c>
      <c r="K114" s="77">
        <f t="shared" si="22"/>
        <v>313681.2</v>
      </c>
      <c r="L114" s="77">
        <f t="shared" si="18"/>
        <v>627363</v>
      </c>
      <c r="M114" s="75"/>
    </row>
    <row r="115" spans="1:13" ht="24" customHeight="1">
      <c r="A115" s="75" t="s">
        <v>1361</v>
      </c>
      <c r="B115" s="75" t="s">
        <v>1362</v>
      </c>
      <c r="C115" s="76">
        <v>3</v>
      </c>
      <c r="D115" s="75" t="s">
        <v>179</v>
      </c>
      <c r="E115" s="77">
        <v>7450.8</v>
      </c>
      <c r="F115" s="77">
        <f t="shared" si="19"/>
        <v>22352</v>
      </c>
      <c r="G115" s="77">
        <v>46062.450000000004</v>
      </c>
      <c r="H115" s="77">
        <f t="shared" si="20"/>
        <v>138187</v>
      </c>
      <c r="I115" s="77">
        <v>0</v>
      </c>
      <c r="J115" s="77">
        <f t="shared" si="21"/>
        <v>0</v>
      </c>
      <c r="K115" s="77">
        <f t="shared" si="22"/>
        <v>53513.250000000007</v>
      </c>
      <c r="L115" s="77">
        <f t="shared" si="18"/>
        <v>160539</v>
      </c>
      <c r="M115" s="75"/>
    </row>
    <row r="116" spans="1:13" ht="24" customHeight="1">
      <c r="A116" s="75" t="s">
        <v>1365</v>
      </c>
      <c r="B116" s="75" t="s">
        <v>1366</v>
      </c>
      <c r="C116" s="76">
        <v>136</v>
      </c>
      <c r="D116" s="75" t="s">
        <v>231</v>
      </c>
      <c r="E116" s="77">
        <v>196.35</v>
      </c>
      <c r="F116" s="77">
        <f t="shared" si="19"/>
        <v>26704</v>
      </c>
      <c r="G116" s="77">
        <v>248.85000000000002</v>
      </c>
      <c r="H116" s="77">
        <f t="shared" si="20"/>
        <v>33844</v>
      </c>
      <c r="I116" s="77">
        <v>0</v>
      </c>
      <c r="J116" s="77">
        <f t="shared" si="21"/>
        <v>0</v>
      </c>
      <c r="K116" s="77">
        <f t="shared" si="22"/>
        <v>445.20000000000005</v>
      </c>
      <c r="L116" s="77">
        <f t="shared" si="18"/>
        <v>60548</v>
      </c>
      <c r="M116" s="75"/>
    </row>
    <row r="117" spans="1:13" ht="24" customHeight="1">
      <c r="A117" s="75" t="s">
        <v>1428</v>
      </c>
      <c r="B117" s="75" t="s">
        <v>1429</v>
      </c>
      <c r="C117" s="78">
        <v>6.7830000000000004</v>
      </c>
      <c r="D117" s="75" t="s">
        <v>99</v>
      </c>
      <c r="E117" s="77">
        <v>106344</v>
      </c>
      <c r="F117" s="77">
        <f t="shared" si="19"/>
        <v>721331</v>
      </c>
      <c r="G117" s="77">
        <v>0</v>
      </c>
      <c r="H117" s="77">
        <f t="shared" si="20"/>
        <v>0</v>
      </c>
      <c r="I117" s="77">
        <v>0</v>
      </c>
      <c r="J117" s="77">
        <f t="shared" si="21"/>
        <v>0</v>
      </c>
      <c r="K117" s="77">
        <f t="shared" si="22"/>
        <v>106344</v>
      </c>
      <c r="L117" s="77">
        <f t="shared" si="18"/>
        <v>721331</v>
      </c>
      <c r="M117" s="75"/>
    </row>
    <row r="118" spans="1:13" ht="24" customHeight="1">
      <c r="A118" s="75" t="s">
        <v>1372</v>
      </c>
      <c r="B118" s="75" t="s">
        <v>1373</v>
      </c>
      <c r="C118" s="78">
        <v>86.376000000000005</v>
      </c>
      <c r="D118" s="75" t="s">
        <v>99</v>
      </c>
      <c r="E118" s="77">
        <v>526.05000000000007</v>
      </c>
      <c r="F118" s="77">
        <f t="shared" si="19"/>
        <v>45438</v>
      </c>
      <c r="G118" s="77">
        <v>4891.95</v>
      </c>
      <c r="H118" s="77">
        <f t="shared" si="20"/>
        <v>422547</v>
      </c>
      <c r="I118" s="77">
        <v>507.15000000000003</v>
      </c>
      <c r="J118" s="77">
        <f t="shared" si="21"/>
        <v>43806</v>
      </c>
      <c r="K118" s="77">
        <f t="shared" si="22"/>
        <v>5925.15</v>
      </c>
      <c r="L118" s="77">
        <f t="shared" si="18"/>
        <v>511791</v>
      </c>
      <c r="M118" s="75"/>
    </row>
    <row r="119" spans="1:13" ht="24" customHeight="1">
      <c r="A119" s="75" t="s">
        <v>1374</v>
      </c>
      <c r="B119" s="75" t="s">
        <v>1373</v>
      </c>
      <c r="C119" s="78">
        <v>79.593000000000004</v>
      </c>
      <c r="D119" s="75" t="s">
        <v>99</v>
      </c>
      <c r="E119" s="77">
        <v>471.45000000000005</v>
      </c>
      <c r="F119" s="77">
        <f t="shared" si="19"/>
        <v>37524</v>
      </c>
      <c r="G119" s="77">
        <v>3085.9500000000003</v>
      </c>
      <c r="H119" s="77">
        <f t="shared" si="20"/>
        <v>245620</v>
      </c>
      <c r="I119" s="77">
        <v>507.15000000000003</v>
      </c>
      <c r="J119" s="77">
        <f t="shared" si="21"/>
        <v>40366</v>
      </c>
      <c r="K119" s="77">
        <f t="shared" si="22"/>
        <v>4064.5500000000006</v>
      </c>
      <c r="L119" s="77">
        <f t="shared" si="18"/>
        <v>323510</v>
      </c>
      <c r="M119" s="75"/>
    </row>
    <row r="120" spans="1:13" ht="24" customHeight="1">
      <c r="A120" s="75" t="s">
        <v>1375</v>
      </c>
      <c r="B120" s="75" t="s">
        <v>1376</v>
      </c>
      <c r="C120" s="78">
        <v>6.7830000000000004</v>
      </c>
      <c r="D120" s="75" t="s">
        <v>99</v>
      </c>
      <c r="E120" s="77">
        <v>1083.6000000000001</v>
      </c>
      <c r="F120" s="77">
        <f t="shared" si="19"/>
        <v>7350</v>
      </c>
      <c r="G120" s="77">
        <v>36133.65</v>
      </c>
      <c r="H120" s="77">
        <f t="shared" si="20"/>
        <v>245095</v>
      </c>
      <c r="I120" s="77">
        <v>0</v>
      </c>
      <c r="J120" s="77">
        <f t="shared" si="21"/>
        <v>0</v>
      </c>
      <c r="K120" s="77">
        <f t="shared" si="22"/>
        <v>37217.25</v>
      </c>
      <c r="L120" s="77">
        <f t="shared" si="18"/>
        <v>252445</v>
      </c>
      <c r="M120" s="75"/>
    </row>
    <row r="121" spans="1:13" ht="24" customHeight="1">
      <c r="A121" s="75" t="s">
        <v>1430</v>
      </c>
      <c r="B121" s="75" t="s">
        <v>1431</v>
      </c>
      <c r="C121" s="78">
        <v>6.7830000000000004</v>
      </c>
      <c r="D121" s="75" t="s">
        <v>99</v>
      </c>
      <c r="E121" s="77">
        <v>1846.95</v>
      </c>
      <c r="F121" s="77">
        <f t="shared" si="19"/>
        <v>12528</v>
      </c>
      <c r="G121" s="77">
        <v>61566.75</v>
      </c>
      <c r="H121" s="77">
        <f t="shared" si="20"/>
        <v>417607</v>
      </c>
      <c r="I121" s="77">
        <v>0</v>
      </c>
      <c r="J121" s="77">
        <f t="shared" si="21"/>
        <v>0</v>
      </c>
      <c r="K121" s="77">
        <f t="shared" si="22"/>
        <v>63413.7</v>
      </c>
      <c r="L121" s="77">
        <f t="shared" si="18"/>
        <v>430135</v>
      </c>
      <c r="M121" s="75"/>
    </row>
    <row r="122" spans="1:13" ht="24" customHeight="1">
      <c r="A122" s="75" t="s">
        <v>1432</v>
      </c>
      <c r="B122" s="75" t="s">
        <v>1433</v>
      </c>
      <c r="C122" s="76">
        <v>24</v>
      </c>
      <c r="D122" s="75" t="s">
        <v>93</v>
      </c>
      <c r="E122" s="77">
        <v>25646.25</v>
      </c>
      <c r="F122" s="77">
        <f t="shared" si="19"/>
        <v>615510</v>
      </c>
      <c r="G122" s="77">
        <v>37272.9</v>
      </c>
      <c r="H122" s="77">
        <f t="shared" si="20"/>
        <v>894550</v>
      </c>
      <c r="I122" s="77">
        <v>0</v>
      </c>
      <c r="J122" s="77">
        <f t="shared" si="21"/>
        <v>0</v>
      </c>
      <c r="K122" s="77">
        <f t="shared" si="22"/>
        <v>62919.15</v>
      </c>
      <c r="L122" s="77">
        <f t="shared" si="18"/>
        <v>1510060</v>
      </c>
      <c r="M122" s="75"/>
    </row>
    <row r="123" spans="1:13" ht="24" customHeight="1">
      <c r="A123" s="75" t="s">
        <v>1434</v>
      </c>
      <c r="B123" s="75"/>
      <c r="C123" s="76">
        <v>6</v>
      </c>
      <c r="D123" s="75" t="s">
        <v>179</v>
      </c>
      <c r="E123" s="77">
        <v>36750</v>
      </c>
      <c r="F123" s="77">
        <f t="shared" si="19"/>
        <v>220500</v>
      </c>
      <c r="G123" s="77">
        <v>0</v>
      </c>
      <c r="H123" s="77">
        <f t="shared" si="20"/>
        <v>0</v>
      </c>
      <c r="I123" s="77">
        <v>0</v>
      </c>
      <c r="J123" s="77">
        <f t="shared" si="21"/>
        <v>0</v>
      </c>
      <c r="K123" s="77">
        <f t="shared" si="22"/>
        <v>36750</v>
      </c>
      <c r="L123" s="77">
        <f t="shared" si="18"/>
        <v>220500</v>
      </c>
      <c r="M123" s="75"/>
    </row>
    <row r="124" spans="1:13" ht="24" customHeight="1">
      <c r="A124" s="75" t="s">
        <v>1435</v>
      </c>
      <c r="B124" s="75" t="s">
        <v>1436</v>
      </c>
      <c r="C124" s="76">
        <v>3</v>
      </c>
      <c r="D124" s="75" t="s">
        <v>179</v>
      </c>
      <c r="E124" s="77">
        <v>388500</v>
      </c>
      <c r="F124" s="77">
        <f t="shared" si="19"/>
        <v>1165500</v>
      </c>
      <c r="G124" s="77">
        <v>0</v>
      </c>
      <c r="H124" s="77">
        <f t="shared" si="20"/>
        <v>0</v>
      </c>
      <c r="I124" s="77">
        <v>0</v>
      </c>
      <c r="J124" s="77">
        <f t="shared" si="21"/>
        <v>0</v>
      </c>
      <c r="K124" s="77">
        <f t="shared" si="22"/>
        <v>388500</v>
      </c>
      <c r="L124" s="77">
        <f t="shared" si="18"/>
        <v>1165500</v>
      </c>
      <c r="M124" s="75"/>
    </row>
    <row r="125" spans="1:13" ht="24" customHeight="1">
      <c r="A125" s="75" t="s">
        <v>1380</v>
      </c>
      <c r="B125" s="75" t="s">
        <v>1418</v>
      </c>
      <c r="C125" s="76">
        <v>112</v>
      </c>
      <c r="D125" s="75" t="s">
        <v>231</v>
      </c>
      <c r="E125" s="77">
        <v>131.25</v>
      </c>
      <c r="F125" s="77">
        <f t="shared" si="19"/>
        <v>14700</v>
      </c>
      <c r="G125" s="77">
        <v>4390.05</v>
      </c>
      <c r="H125" s="77">
        <f t="shared" si="20"/>
        <v>491686</v>
      </c>
      <c r="I125" s="77">
        <v>0</v>
      </c>
      <c r="J125" s="77">
        <f t="shared" si="21"/>
        <v>0</v>
      </c>
      <c r="K125" s="77">
        <f t="shared" si="22"/>
        <v>4521.3</v>
      </c>
      <c r="L125" s="77">
        <f t="shared" si="18"/>
        <v>506386</v>
      </c>
      <c r="M125" s="75"/>
    </row>
    <row r="126" spans="1:13" ht="24" customHeight="1">
      <c r="A126" s="75" t="s">
        <v>1437</v>
      </c>
      <c r="B126" s="75" t="s">
        <v>1438</v>
      </c>
      <c r="C126" s="76">
        <v>6</v>
      </c>
      <c r="D126" s="75" t="s">
        <v>179</v>
      </c>
      <c r="E126" s="77">
        <v>390093.9</v>
      </c>
      <c r="F126" s="77">
        <f t="shared" si="19"/>
        <v>2340563</v>
      </c>
      <c r="G126" s="77">
        <v>403160.10000000003</v>
      </c>
      <c r="H126" s="77">
        <f t="shared" si="20"/>
        <v>2418961</v>
      </c>
      <c r="I126" s="77">
        <v>0</v>
      </c>
      <c r="J126" s="77">
        <f t="shared" si="21"/>
        <v>0</v>
      </c>
      <c r="K126" s="77">
        <f t="shared" si="22"/>
        <v>793254</v>
      </c>
      <c r="L126" s="77">
        <f t="shared" si="18"/>
        <v>4759524</v>
      </c>
      <c r="M126" s="75"/>
    </row>
    <row r="127" spans="1:13" ht="24" customHeight="1">
      <c r="A127" s="75" t="s">
        <v>1439</v>
      </c>
      <c r="B127" s="75"/>
      <c r="C127" s="76">
        <v>4</v>
      </c>
      <c r="D127" s="75" t="s">
        <v>179</v>
      </c>
      <c r="E127" s="77">
        <v>945000</v>
      </c>
      <c r="F127" s="77">
        <f t="shared" si="19"/>
        <v>3780000</v>
      </c>
      <c r="G127" s="77">
        <v>0</v>
      </c>
      <c r="H127" s="77">
        <f t="shared" si="20"/>
        <v>0</v>
      </c>
      <c r="I127" s="77">
        <v>0</v>
      </c>
      <c r="J127" s="77">
        <f t="shared" si="21"/>
        <v>0</v>
      </c>
      <c r="K127" s="77">
        <f t="shared" si="22"/>
        <v>945000</v>
      </c>
      <c r="L127" s="77">
        <f t="shared" si="18"/>
        <v>3780000</v>
      </c>
      <c r="M127" s="75"/>
    </row>
    <row r="128" spans="1:13" ht="24" customHeight="1">
      <c r="A128" s="75" t="s">
        <v>1440</v>
      </c>
      <c r="B128" s="75"/>
      <c r="C128" s="76">
        <v>1</v>
      </c>
      <c r="D128" s="75" t="s">
        <v>179</v>
      </c>
      <c r="E128" s="77">
        <v>1260000</v>
      </c>
      <c r="F128" s="77">
        <f t="shared" si="19"/>
        <v>1260000</v>
      </c>
      <c r="G128" s="77">
        <v>0</v>
      </c>
      <c r="H128" s="77">
        <f t="shared" si="20"/>
        <v>0</v>
      </c>
      <c r="I128" s="77">
        <v>0</v>
      </c>
      <c r="J128" s="77">
        <f t="shared" si="21"/>
        <v>0</v>
      </c>
      <c r="K128" s="77">
        <f t="shared" si="22"/>
        <v>1260000</v>
      </c>
      <c r="L128" s="77">
        <f t="shared" si="18"/>
        <v>1260000</v>
      </c>
      <c r="M128" s="75"/>
    </row>
    <row r="129" spans="1:13" ht="24" customHeight="1">
      <c r="A129" s="75" t="s">
        <v>1441</v>
      </c>
      <c r="B129" s="75" t="s">
        <v>1442</v>
      </c>
      <c r="C129" s="76">
        <v>1</v>
      </c>
      <c r="D129" s="75" t="s">
        <v>179</v>
      </c>
      <c r="E129" s="77">
        <v>2112512.85</v>
      </c>
      <c r="F129" s="77">
        <f t="shared" si="19"/>
        <v>2112513</v>
      </c>
      <c r="G129" s="77">
        <v>417115.65</v>
      </c>
      <c r="H129" s="77">
        <f t="shared" si="20"/>
        <v>417116</v>
      </c>
      <c r="I129" s="77">
        <v>0</v>
      </c>
      <c r="J129" s="77">
        <f t="shared" si="21"/>
        <v>0</v>
      </c>
      <c r="K129" s="77">
        <f t="shared" si="22"/>
        <v>2529628.5</v>
      </c>
      <c r="L129" s="77">
        <f t="shared" si="18"/>
        <v>2529629</v>
      </c>
      <c r="M129" s="75"/>
    </row>
    <row r="130" spans="1:13" ht="24" customHeight="1">
      <c r="A130" s="75" t="s">
        <v>1441</v>
      </c>
      <c r="B130" s="75" t="s">
        <v>1443</v>
      </c>
      <c r="C130" s="76">
        <v>2</v>
      </c>
      <c r="D130" s="75" t="s">
        <v>179</v>
      </c>
      <c r="E130" s="77">
        <v>2117518.2000000002</v>
      </c>
      <c r="F130" s="77">
        <f t="shared" si="19"/>
        <v>4235036</v>
      </c>
      <c r="G130" s="77">
        <v>583961.70000000007</v>
      </c>
      <c r="H130" s="77">
        <f t="shared" si="20"/>
        <v>1167923</v>
      </c>
      <c r="I130" s="77">
        <v>0</v>
      </c>
      <c r="J130" s="77">
        <f t="shared" si="21"/>
        <v>0</v>
      </c>
      <c r="K130" s="77">
        <f t="shared" si="22"/>
        <v>2701479.9000000004</v>
      </c>
      <c r="L130" s="77">
        <f t="shared" si="18"/>
        <v>5402959</v>
      </c>
      <c r="M130" s="75"/>
    </row>
    <row r="131" spans="1:13" ht="24" customHeight="1">
      <c r="A131" s="75" t="s">
        <v>1444</v>
      </c>
      <c r="B131" s="75" t="s">
        <v>1445</v>
      </c>
      <c r="C131" s="76">
        <v>9</v>
      </c>
      <c r="D131" s="75" t="s">
        <v>1406</v>
      </c>
      <c r="E131" s="77">
        <v>16774.8</v>
      </c>
      <c r="F131" s="77">
        <f t="shared" si="19"/>
        <v>150973</v>
      </c>
      <c r="G131" s="77">
        <v>51096.15</v>
      </c>
      <c r="H131" s="77">
        <f t="shared" si="20"/>
        <v>459865</v>
      </c>
      <c r="I131" s="77">
        <v>30961.350000000002</v>
      </c>
      <c r="J131" s="77">
        <f t="shared" si="21"/>
        <v>278652</v>
      </c>
      <c r="K131" s="77">
        <f t="shared" si="22"/>
        <v>98832.3</v>
      </c>
      <c r="L131" s="77">
        <f t="shared" si="18"/>
        <v>889490</v>
      </c>
      <c r="M131" s="75"/>
    </row>
    <row r="132" spans="1:13" ht="24" customHeight="1">
      <c r="A132" s="141" t="s">
        <v>1446</v>
      </c>
      <c r="B132" s="142"/>
      <c r="C132" s="72"/>
      <c r="D132" s="72"/>
      <c r="E132" s="73"/>
      <c r="F132" s="74">
        <f>SUM(F133:F175)</f>
        <v>72948061</v>
      </c>
      <c r="G132" s="73"/>
      <c r="H132" s="74">
        <f>SUM(H133:H175)</f>
        <v>18973472</v>
      </c>
      <c r="I132" s="73"/>
      <c r="J132" s="74">
        <f>SUM(J133:J175)</f>
        <v>4264900</v>
      </c>
      <c r="K132" s="73"/>
      <c r="L132" s="74">
        <f t="shared" si="18"/>
        <v>96186433</v>
      </c>
      <c r="M132" s="72"/>
    </row>
    <row r="133" spans="1:13" ht="24" customHeight="1">
      <c r="A133" s="75" t="s">
        <v>1346</v>
      </c>
      <c r="B133" s="75" t="s">
        <v>1447</v>
      </c>
      <c r="C133" s="76">
        <v>136</v>
      </c>
      <c r="D133" s="75" t="s">
        <v>231</v>
      </c>
      <c r="E133" s="77">
        <v>897.75</v>
      </c>
      <c r="F133" s="77">
        <f t="shared" ref="F133:F175" si="23">ROUND(E133*C133,0)</f>
        <v>122094</v>
      </c>
      <c r="G133" s="77">
        <v>6301.05</v>
      </c>
      <c r="H133" s="77">
        <f t="shared" ref="H133:H175" si="24">ROUND(G133*C133,0)</f>
        <v>856943</v>
      </c>
      <c r="I133" s="77">
        <v>0</v>
      </c>
      <c r="J133" s="77">
        <f t="shared" ref="J133:J175" si="25">ROUND(I133*C133,0)</f>
        <v>0</v>
      </c>
      <c r="K133" s="77">
        <f t="shared" ref="K133:K175" si="26">E133+G133+I133</f>
        <v>7198.8</v>
      </c>
      <c r="L133" s="77">
        <f t="shared" si="18"/>
        <v>979037</v>
      </c>
      <c r="M133" s="75"/>
    </row>
    <row r="134" spans="1:13" ht="24" customHeight="1">
      <c r="A134" s="75" t="s">
        <v>1346</v>
      </c>
      <c r="B134" s="75" t="s">
        <v>1448</v>
      </c>
      <c r="C134" s="76">
        <v>136</v>
      </c>
      <c r="D134" s="75" t="s">
        <v>231</v>
      </c>
      <c r="E134" s="77">
        <v>1134</v>
      </c>
      <c r="F134" s="77">
        <f t="shared" si="23"/>
        <v>154224</v>
      </c>
      <c r="G134" s="77">
        <v>6301.05</v>
      </c>
      <c r="H134" s="77">
        <f t="shared" si="24"/>
        <v>856943</v>
      </c>
      <c r="I134" s="77">
        <v>0</v>
      </c>
      <c r="J134" s="77">
        <f t="shared" si="25"/>
        <v>0</v>
      </c>
      <c r="K134" s="77">
        <f t="shared" si="26"/>
        <v>7435.05</v>
      </c>
      <c r="L134" s="77">
        <f t="shared" si="18"/>
        <v>1011167</v>
      </c>
      <c r="M134" s="75"/>
    </row>
    <row r="135" spans="1:13" ht="24" customHeight="1">
      <c r="A135" s="75" t="s">
        <v>1449</v>
      </c>
      <c r="B135" s="75" t="s">
        <v>1450</v>
      </c>
      <c r="C135" s="76">
        <v>440</v>
      </c>
      <c r="D135" s="75" t="s">
        <v>231</v>
      </c>
      <c r="E135" s="77">
        <v>36325.800000000003</v>
      </c>
      <c r="F135" s="77">
        <f t="shared" si="23"/>
        <v>15983352</v>
      </c>
      <c r="G135" s="77">
        <v>10716.300000000001</v>
      </c>
      <c r="H135" s="77">
        <f t="shared" si="24"/>
        <v>4715172</v>
      </c>
      <c r="I135" s="77">
        <v>0</v>
      </c>
      <c r="J135" s="77">
        <f t="shared" si="25"/>
        <v>0</v>
      </c>
      <c r="K135" s="77">
        <f t="shared" si="26"/>
        <v>47042.100000000006</v>
      </c>
      <c r="L135" s="77">
        <f t="shared" si="18"/>
        <v>20698524</v>
      </c>
      <c r="M135" s="75"/>
    </row>
    <row r="136" spans="1:13" ht="24" customHeight="1">
      <c r="A136" s="75" t="s">
        <v>1349</v>
      </c>
      <c r="B136" s="75" t="s">
        <v>1350</v>
      </c>
      <c r="C136" s="76">
        <v>3</v>
      </c>
      <c r="D136" s="75" t="s">
        <v>231</v>
      </c>
      <c r="E136" s="77">
        <v>1972.95</v>
      </c>
      <c r="F136" s="77">
        <f t="shared" si="23"/>
        <v>5919</v>
      </c>
      <c r="G136" s="77">
        <v>2586.15</v>
      </c>
      <c r="H136" s="77">
        <f t="shared" si="24"/>
        <v>7758</v>
      </c>
      <c r="I136" s="77">
        <v>0</v>
      </c>
      <c r="J136" s="77">
        <f t="shared" si="25"/>
        <v>0</v>
      </c>
      <c r="K136" s="77">
        <f t="shared" si="26"/>
        <v>4559.1000000000004</v>
      </c>
      <c r="L136" s="77">
        <f t="shared" si="18"/>
        <v>13677</v>
      </c>
      <c r="M136" s="75"/>
    </row>
    <row r="137" spans="1:13" ht="24" customHeight="1">
      <c r="A137" s="75" t="s">
        <v>1351</v>
      </c>
      <c r="B137" s="75" t="s">
        <v>1353</v>
      </c>
      <c r="C137" s="76">
        <v>29</v>
      </c>
      <c r="D137" s="75" t="s">
        <v>231</v>
      </c>
      <c r="E137" s="77">
        <v>4298.7</v>
      </c>
      <c r="F137" s="77">
        <f t="shared" si="23"/>
        <v>124662</v>
      </c>
      <c r="G137" s="77">
        <v>3016.65</v>
      </c>
      <c r="H137" s="77">
        <f t="shared" si="24"/>
        <v>87483</v>
      </c>
      <c r="I137" s="77">
        <v>0</v>
      </c>
      <c r="J137" s="77">
        <f t="shared" si="25"/>
        <v>0</v>
      </c>
      <c r="K137" s="77">
        <f t="shared" si="26"/>
        <v>7315.35</v>
      </c>
      <c r="L137" s="77">
        <f t="shared" si="18"/>
        <v>212145</v>
      </c>
      <c r="M137" s="75"/>
    </row>
    <row r="138" spans="1:13" ht="24" customHeight="1">
      <c r="A138" s="75" t="s">
        <v>1354</v>
      </c>
      <c r="B138" s="75" t="s">
        <v>1451</v>
      </c>
      <c r="C138" s="76">
        <v>139</v>
      </c>
      <c r="D138" s="75" t="s">
        <v>231</v>
      </c>
      <c r="E138" s="77">
        <v>5553.45</v>
      </c>
      <c r="F138" s="77">
        <f t="shared" si="23"/>
        <v>771930</v>
      </c>
      <c r="G138" s="77">
        <v>8303.4</v>
      </c>
      <c r="H138" s="77">
        <f t="shared" si="24"/>
        <v>1154173</v>
      </c>
      <c r="I138" s="77">
        <v>0</v>
      </c>
      <c r="J138" s="77">
        <f t="shared" si="25"/>
        <v>0</v>
      </c>
      <c r="K138" s="77">
        <f t="shared" si="26"/>
        <v>13856.849999999999</v>
      </c>
      <c r="L138" s="77">
        <f t="shared" si="18"/>
        <v>1926103</v>
      </c>
      <c r="M138" s="75"/>
    </row>
    <row r="139" spans="1:13" ht="24" customHeight="1">
      <c r="A139" s="75" t="s">
        <v>1452</v>
      </c>
      <c r="B139" s="75" t="s">
        <v>1453</v>
      </c>
      <c r="C139" s="76">
        <v>548</v>
      </c>
      <c r="D139" s="75" t="s">
        <v>231</v>
      </c>
      <c r="E139" s="77">
        <v>1271.55</v>
      </c>
      <c r="F139" s="77">
        <f t="shared" si="23"/>
        <v>696809</v>
      </c>
      <c r="G139" s="77">
        <v>5644.8</v>
      </c>
      <c r="H139" s="77">
        <f t="shared" si="24"/>
        <v>3093350</v>
      </c>
      <c r="I139" s="77">
        <v>0</v>
      </c>
      <c r="J139" s="77">
        <f t="shared" si="25"/>
        <v>0</v>
      </c>
      <c r="K139" s="77">
        <f t="shared" si="26"/>
        <v>6916.35</v>
      </c>
      <c r="L139" s="77">
        <f t="shared" si="18"/>
        <v>3790159</v>
      </c>
      <c r="M139" s="75"/>
    </row>
    <row r="140" spans="1:13" ht="24" customHeight="1">
      <c r="A140" s="75" t="s">
        <v>1361</v>
      </c>
      <c r="B140" s="75" t="s">
        <v>1362</v>
      </c>
      <c r="C140" s="76">
        <v>12</v>
      </c>
      <c r="D140" s="75" t="s">
        <v>179</v>
      </c>
      <c r="E140" s="77">
        <v>7450.8</v>
      </c>
      <c r="F140" s="77">
        <f t="shared" si="23"/>
        <v>89410</v>
      </c>
      <c r="G140" s="77">
        <v>46062.450000000004</v>
      </c>
      <c r="H140" s="77">
        <f t="shared" si="24"/>
        <v>552749</v>
      </c>
      <c r="I140" s="77">
        <v>0</v>
      </c>
      <c r="J140" s="77">
        <f t="shared" si="25"/>
        <v>0</v>
      </c>
      <c r="K140" s="77">
        <f t="shared" si="26"/>
        <v>53513.250000000007</v>
      </c>
      <c r="L140" s="77">
        <f t="shared" si="18"/>
        <v>642159</v>
      </c>
      <c r="M140" s="75"/>
    </row>
    <row r="141" spans="1:13" ht="24" customHeight="1">
      <c r="A141" s="75" t="s">
        <v>1363</v>
      </c>
      <c r="B141" s="75" t="s">
        <v>1364</v>
      </c>
      <c r="C141" s="76">
        <v>12</v>
      </c>
      <c r="D141" s="75" t="s">
        <v>179</v>
      </c>
      <c r="E141" s="77">
        <v>757.05000000000007</v>
      </c>
      <c r="F141" s="77">
        <f t="shared" si="23"/>
        <v>9085</v>
      </c>
      <c r="G141" s="77">
        <v>7758.4500000000007</v>
      </c>
      <c r="H141" s="77">
        <f t="shared" si="24"/>
        <v>93101</v>
      </c>
      <c r="I141" s="77">
        <v>0</v>
      </c>
      <c r="J141" s="77">
        <f t="shared" si="25"/>
        <v>0</v>
      </c>
      <c r="K141" s="77">
        <f t="shared" si="26"/>
        <v>8515.5</v>
      </c>
      <c r="L141" s="77">
        <f t="shared" si="18"/>
        <v>102186</v>
      </c>
      <c r="M141" s="75"/>
    </row>
    <row r="142" spans="1:13" ht="24" customHeight="1">
      <c r="A142" s="75" t="s">
        <v>1365</v>
      </c>
      <c r="B142" s="75" t="s">
        <v>1366</v>
      </c>
      <c r="C142" s="76">
        <v>666</v>
      </c>
      <c r="D142" s="75" t="s">
        <v>231</v>
      </c>
      <c r="E142" s="77">
        <v>196.35</v>
      </c>
      <c r="F142" s="77">
        <f t="shared" si="23"/>
        <v>130769</v>
      </c>
      <c r="G142" s="77">
        <v>248.85000000000002</v>
      </c>
      <c r="H142" s="77">
        <f t="shared" si="24"/>
        <v>165734</v>
      </c>
      <c r="I142" s="77">
        <v>0</v>
      </c>
      <c r="J142" s="77">
        <f t="shared" si="25"/>
        <v>0</v>
      </c>
      <c r="K142" s="77">
        <f t="shared" si="26"/>
        <v>445.20000000000005</v>
      </c>
      <c r="L142" s="77">
        <f t="shared" si="18"/>
        <v>296503</v>
      </c>
      <c r="M142" s="75"/>
    </row>
    <row r="143" spans="1:13" ht="24" customHeight="1">
      <c r="A143" s="75" t="s">
        <v>1454</v>
      </c>
      <c r="B143" s="75" t="s">
        <v>1455</v>
      </c>
      <c r="C143" s="76">
        <v>6</v>
      </c>
      <c r="D143" s="75" t="s">
        <v>440</v>
      </c>
      <c r="E143" s="77">
        <v>128008.65000000001</v>
      </c>
      <c r="F143" s="77">
        <f t="shared" si="23"/>
        <v>768052</v>
      </c>
      <c r="G143" s="77">
        <v>416984.4</v>
      </c>
      <c r="H143" s="77">
        <f t="shared" si="24"/>
        <v>2501906</v>
      </c>
      <c r="I143" s="77">
        <v>0</v>
      </c>
      <c r="J143" s="77">
        <f t="shared" si="25"/>
        <v>0</v>
      </c>
      <c r="K143" s="77">
        <f t="shared" si="26"/>
        <v>544993.05000000005</v>
      </c>
      <c r="L143" s="77">
        <f t="shared" si="18"/>
        <v>3269958</v>
      </c>
      <c r="M143" s="75"/>
    </row>
    <row r="144" spans="1:13" ht="24" customHeight="1">
      <c r="A144" s="75" t="s">
        <v>1456</v>
      </c>
      <c r="B144" s="75" t="s">
        <v>1457</v>
      </c>
      <c r="C144" s="76">
        <v>6</v>
      </c>
      <c r="D144" s="75" t="s">
        <v>1458</v>
      </c>
      <c r="E144" s="77">
        <v>399725.55</v>
      </c>
      <c r="F144" s="77">
        <f t="shared" si="23"/>
        <v>2398353</v>
      </c>
      <c r="G144" s="77">
        <v>374201.10000000003</v>
      </c>
      <c r="H144" s="77">
        <f t="shared" si="24"/>
        <v>2245207</v>
      </c>
      <c r="I144" s="77">
        <v>0</v>
      </c>
      <c r="J144" s="77">
        <f t="shared" si="25"/>
        <v>0</v>
      </c>
      <c r="K144" s="77">
        <f t="shared" si="26"/>
        <v>773926.65</v>
      </c>
      <c r="L144" s="77">
        <f t="shared" si="18"/>
        <v>4643560</v>
      </c>
      <c r="M144" s="75"/>
    </row>
    <row r="145" spans="1:13" ht="24" customHeight="1">
      <c r="A145" s="75" t="s">
        <v>1372</v>
      </c>
      <c r="B145" s="75" t="s">
        <v>1373</v>
      </c>
      <c r="C145" s="78">
        <v>259.26</v>
      </c>
      <c r="D145" s="75" t="s">
        <v>99</v>
      </c>
      <c r="E145" s="77">
        <v>526.05000000000007</v>
      </c>
      <c r="F145" s="77">
        <f t="shared" si="23"/>
        <v>136384</v>
      </c>
      <c r="G145" s="77">
        <v>4891.95</v>
      </c>
      <c r="H145" s="77">
        <f t="shared" si="24"/>
        <v>1268287</v>
      </c>
      <c r="I145" s="77">
        <v>507.15000000000003</v>
      </c>
      <c r="J145" s="77">
        <f t="shared" si="25"/>
        <v>131484</v>
      </c>
      <c r="K145" s="77">
        <f t="shared" si="26"/>
        <v>5925.15</v>
      </c>
      <c r="L145" s="77">
        <f t="shared" si="18"/>
        <v>1536155</v>
      </c>
      <c r="M145" s="75"/>
    </row>
    <row r="146" spans="1:13" ht="24" customHeight="1">
      <c r="A146" s="75" t="s">
        <v>1374</v>
      </c>
      <c r="B146" s="75" t="s">
        <v>1373</v>
      </c>
      <c r="C146" s="78">
        <v>248.88</v>
      </c>
      <c r="D146" s="75" t="s">
        <v>99</v>
      </c>
      <c r="E146" s="77">
        <v>471.45000000000005</v>
      </c>
      <c r="F146" s="77">
        <f t="shared" si="23"/>
        <v>117334</v>
      </c>
      <c r="G146" s="77">
        <v>3085.9500000000003</v>
      </c>
      <c r="H146" s="77">
        <f t="shared" si="24"/>
        <v>768031</v>
      </c>
      <c r="I146" s="77">
        <v>507.15000000000003</v>
      </c>
      <c r="J146" s="77">
        <f t="shared" si="25"/>
        <v>126219</v>
      </c>
      <c r="K146" s="77">
        <f t="shared" si="26"/>
        <v>4064.5500000000006</v>
      </c>
      <c r="L146" s="77">
        <f t="shared" si="18"/>
        <v>1011584</v>
      </c>
      <c r="M146" s="75"/>
    </row>
    <row r="147" spans="1:13" ht="24" customHeight="1">
      <c r="A147" s="75" t="s">
        <v>1375</v>
      </c>
      <c r="B147" s="75" t="s">
        <v>1376</v>
      </c>
      <c r="C147" s="78">
        <v>10.38</v>
      </c>
      <c r="D147" s="75" t="s">
        <v>99</v>
      </c>
      <c r="E147" s="77">
        <v>1083.6000000000001</v>
      </c>
      <c r="F147" s="77">
        <f t="shared" si="23"/>
        <v>11248</v>
      </c>
      <c r="G147" s="77">
        <v>36133.65</v>
      </c>
      <c r="H147" s="77">
        <f t="shared" si="24"/>
        <v>375067</v>
      </c>
      <c r="I147" s="77">
        <v>0</v>
      </c>
      <c r="J147" s="77">
        <f t="shared" si="25"/>
        <v>0</v>
      </c>
      <c r="K147" s="77">
        <f t="shared" si="26"/>
        <v>37217.25</v>
      </c>
      <c r="L147" s="77">
        <f t="shared" si="18"/>
        <v>386315</v>
      </c>
      <c r="M147" s="75"/>
    </row>
    <row r="148" spans="1:13" ht="24" customHeight="1">
      <c r="A148" s="75" t="s">
        <v>1459</v>
      </c>
      <c r="B148" s="75" t="s">
        <v>1460</v>
      </c>
      <c r="C148" s="76">
        <v>6</v>
      </c>
      <c r="D148" s="75" t="s">
        <v>179</v>
      </c>
      <c r="E148" s="77">
        <v>8820</v>
      </c>
      <c r="F148" s="77">
        <f t="shared" si="23"/>
        <v>52920</v>
      </c>
      <c r="G148" s="77">
        <v>0</v>
      </c>
      <c r="H148" s="77">
        <f t="shared" si="24"/>
        <v>0</v>
      </c>
      <c r="I148" s="77">
        <v>0</v>
      </c>
      <c r="J148" s="77">
        <f t="shared" si="25"/>
        <v>0</v>
      </c>
      <c r="K148" s="77">
        <f t="shared" si="26"/>
        <v>8820</v>
      </c>
      <c r="L148" s="77">
        <f t="shared" si="18"/>
        <v>52920</v>
      </c>
      <c r="M148" s="75"/>
    </row>
    <row r="149" spans="1:13" ht="24" customHeight="1">
      <c r="A149" s="75" t="s">
        <v>1389</v>
      </c>
      <c r="B149" s="75" t="s">
        <v>1390</v>
      </c>
      <c r="C149" s="76">
        <v>3</v>
      </c>
      <c r="D149" s="75" t="s">
        <v>179</v>
      </c>
      <c r="E149" s="77">
        <v>110918.85</v>
      </c>
      <c r="F149" s="77">
        <f t="shared" si="23"/>
        <v>332757</v>
      </c>
      <c r="G149" s="77">
        <v>57315.3</v>
      </c>
      <c r="H149" s="77">
        <f t="shared" si="24"/>
        <v>171946</v>
      </c>
      <c r="I149" s="77">
        <v>0</v>
      </c>
      <c r="J149" s="77">
        <f t="shared" si="25"/>
        <v>0</v>
      </c>
      <c r="K149" s="77">
        <f t="shared" si="26"/>
        <v>168234.15000000002</v>
      </c>
      <c r="L149" s="77">
        <f t="shared" si="18"/>
        <v>504703</v>
      </c>
      <c r="M149" s="75"/>
    </row>
    <row r="150" spans="1:13" ht="24" customHeight="1">
      <c r="A150" s="75" t="s">
        <v>1461</v>
      </c>
      <c r="B150" s="75" t="s">
        <v>1462</v>
      </c>
      <c r="C150" s="76">
        <v>2</v>
      </c>
      <c r="D150" s="75" t="s">
        <v>179</v>
      </c>
      <c r="E150" s="77">
        <v>76146</v>
      </c>
      <c r="F150" s="77">
        <f t="shared" si="23"/>
        <v>152292</v>
      </c>
      <c r="G150" s="77">
        <v>0</v>
      </c>
      <c r="H150" s="77">
        <f t="shared" si="24"/>
        <v>0</v>
      </c>
      <c r="I150" s="77">
        <v>0</v>
      </c>
      <c r="J150" s="77">
        <f t="shared" si="25"/>
        <v>0</v>
      </c>
      <c r="K150" s="77">
        <f t="shared" si="26"/>
        <v>76146</v>
      </c>
      <c r="L150" s="77">
        <f t="shared" si="18"/>
        <v>152292</v>
      </c>
      <c r="M150" s="75"/>
    </row>
    <row r="151" spans="1:13" ht="24" customHeight="1">
      <c r="A151" s="75" t="s">
        <v>1463</v>
      </c>
      <c r="B151" s="75" t="s">
        <v>1464</v>
      </c>
      <c r="C151" s="76">
        <v>2</v>
      </c>
      <c r="D151" s="75" t="s">
        <v>179</v>
      </c>
      <c r="E151" s="77">
        <v>61173</v>
      </c>
      <c r="F151" s="77">
        <f t="shared" si="23"/>
        <v>122346</v>
      </c>
      <c r="G151" s="77">
        <v>0</v>
      </c>
      <c r="H151" s="77">
        <f t="shared" si="24"/>
        <v>0</v>
      </c>
      <c r="I151" s="77">
        <v>0</v>
      </c>
      <c r="J151" s="77">
        <f t="shared" si="25"/>
        <v>0</v>
      </c>
      <c r="K151" s="77">
        <f t="shared" si="26"/>
        <v>61173</v>
      </c>
      <c r="L151" s="77">
        <f t="shared" si="18"/>
        <v>122346</v>
      </c>
      <c r="M151" s="75"/>
    </row>
    <row r="152" spans="1:13" ht="24" customHeight="1">
      <c r="A152" s="75" t="s">
        <v>1465</v>
      </c>
      <c r="B152" s="75" t="s">
        <v>1466</v>
      </c>
      <c r="C152" s="76">
        <v>20</v>
      </c>
      <c r="D152" s="75" t="s">
        <v>179</v>
      </c>
      <c r="E152" s="77">
        <v>9156</v>
      </c>
      <c r="F152" s="77">
        <f t="shared" si="23"/>
        <v>183120</v>
      </c>
      <c r="G152" s="77">
        <v>0</v>
      </c>
      <c r="H152" s="77">
        <f t="shared" si="24"/>
        <v>0</v>
      </c>
      <c r="I152" s="77">
        <v>0</v>
      </c>
      <c r="J152" s="77">
        <f t="shared" si="25"/>
        <v>0</v>
      </c>
      <c r="K152" s="77">
        <f t="shared" si="26"/>
        <v>9156</v>
      </c>
      <c r="L152" s="77">
        <f t="shared" si="18"/>
        <v>183120</v>
      </c>
      <c r="M152" s="75"/>
    </row>
    <row r="153" spans="1:13" ht="24" customHeight="1">
      <c r="A153" s="75" t="s">
        <v>1467</v>
      </c>
      <c r="B153" s="75" t="s">
        <v>1468</v>
      </c>
      <c r="C153" s="76">
        <v>3</v>
      </c>
      <c r="D153" s="75" t="s">
        <v>179</v>
      </c>
      <c r="E153" s="77">
        <v>601650</v>
      </c>
      <c r="F153" s="77">
        <f t="shared" si="23"/>
        <v>1804950</v>
      </c>
      <c r="G153" s="77">
        <v>0</v>
      </c>
      <c r="H153" s="77">
        <f t="shared" si="24"/>
        <v>0</v>
      </c>
      <c r="I153" s="77">
        <v>0</v>
      </c>
      <c r="J153" s="77">
        <f t="shared" si="25"/>
        <v>0</v>
      </c>
      <c r="K153" s="77">
        <f t="shared" si="26"/>
        <v>601650</v>
      </c>
      <c r="L153" s="77">
        <f t="shared" si="18"/>
        <v>1804950</v>
      </c>
      <c r="M153" s="75"/>
    </row>
    <row r="154" spans="1:13" ht="24" customHeight="1">
      <c r="A154" s="75" t="s">
        <v>1469</v>
      </c>
      <c r="B154" s="75" t="s">
        <v>1470</v>
      </c>
      <c r="C154" s="76">
        <v>3</v>
      </c>
      <c r="D154" s="75" t="s">
        <v>179</v>
      </c>
      <c r="E154" s="77">
        <v>1136100</v>
      </c>
      <c r="F154" s="77">
        <f t="shared" si="23"/>
        <v>3408300</v>
      </c>
      <c r="G154" s="77">
        <v>0</v>
      </c>
      <c r="H154" s="77">
        <f t="shared" si="24"/>
        <v>0</v>
      </c>
      <c r="I154" s="77">
        <v>0</v>
      </c>
      <c r="J154" s="77">
        <f t="shared" si="25"/>
        <v>0</v>
      </c>
      <c r="K154" s="77">
        <f t="shared" si="26"/>
        <v>1136100</v>
      </c>
      <c r="L154" s="77">
        <f t="shared" si="18"/>
        <v>3408300</v>
      </c>
      <c r="M154" s="75"/>
    </row>
    <row r="155" spans="1:13" ht="24" customHeight="1">
      <c r="A155" s="75" t="s">
        <v>1471</v>
      </c>
      <c r="B155" s="75" t="s">
        <v>1472</v>
      </c>
      <c r="C155" s="76">
        <v>3</v>
      </c>
      <c r="D155" s="75" t="s">
        <v>179</v>
      </c>
      <c r="E155" s="77">
        <v>934500</v>
      </c>
      <c r="F155" s="77">
        <f t="shared" si="23"/>
        <v>2803500</v>
      </c>
      <c r="G155" s="77">
        <v>0</v>
      </c>
      <c r="H155" s="77">
        <f t="shared" si="24"/>
        <v>0</v>
      </c>
      <c r="I155" s="77">
        <v>0</v>
      </c>
      <c r="J155" s="77">
        <f t="shared" si="25"/>
        <v>0</v>
      </c>
      <c r="K155" s="77">
        <f t="shared" si="26"/>
        <v>934500</v>
      </c>
      <c r="L155" s="77">
        <f t="shared" si="18"/>
        <v>2803500</v>
      </c>
      <c r="M155" s="75"/>
    </row>
    <row r="156" spans="1:13" ht="24" customHeight="1">
      <c r="A156" s="75" t="s">
        <v>1473</v>
      </c>
      <c r="B156" s="75" t="s">
        <v>1474</v>
      </c>
      <c r="C156" s="76">
        <v>90</v>
      </c>
      <c r="D156" s="75" t="s">
        <v>179</v>
      </c>
      <c r="E156" s="77">
        <v>2877</v>
      </c>
      <c r="F156" s="77">
        <f t="shared" si="23"/>
        <v>258930</v>
      </c>
      <c r="G156" s="77">
        <v>0</v>
      </c>
      <c r="H156" s="77">
        <f t="shared" si="24"/>
        <v>0</v>
      </c>
      <c r="I156" s="77">
        <v>0</v>
      </c>
      <c r="J156" s="77">
        <f t="shared" si="25"/>
        <v>0</v>
      </c>
      <c r="K156" s="77">
        <f t="shared" si="26"/>
        <v>2877</v>
      </c>
      <c r="L156" s="77">
        <f t="shared" si="18"/>
        <v>258930</v>
      </c>
      <c r="M156" s="75"/>
    </row>
    <row r="157" spans="1:13" ht="24" customHeight="1">
      <c r="A157" s="75" t="s">
        <v>1475</v>
      </c>
      <c r="B157" s="75" t="s">
        <v>1476</v>
      </c>
      <c r="C157" s="76">
        <v>3</v>
      </c>
      <c r="D157" s="75" t="s">
        <v>179</v>
      </c>
      <c r="E157" s="77">
        <v>166950</v>
      </c>
      <c r="F157" s="77">
        <f t="shared" si="23"/>
        <v>500850</v>
      </c>
      <c r="G157" s="77">
        <v>0</v>
      </c>
      <c r="H157" s="77">
        <f t="shared" si="24"/>
        <v>0</v>
      </c>
      <c r="I157" s="77">
        <v>0</v>
      </c>
      <c r="J157" s="77">
        <f t="shared" si="25"/>
        <v>0</v>
      </c>
      <c r="K157" s="77">
        <f t="shared" si="26"/>
        <v>166950</v>
      </c>
      <c r="L157" s="77">
        <f t="shared" si="18"/>
        <v>500850</v>
      </c>
      <c r="M157" s="75"/>
    </row>
    <row r="158" spans="1:13" ht="24" customHeight="1">
      <c r="A158" s="75" t="s">
        <v>1404</v>
      </c>
      <c r="B158" s="75" t="s">
        <v>1405</v>
      </c>
      <c r="C158" s="76">
        <v>1</v>
      </c>
      <c r="D158" s="75" t="s">
        <v>1406</v>
      </c>
      <c r="E158" s="77">
        <v>14941.5</v>
      </c>
      <c r="F158" s="77">
        <f t="shared" si="23"/>
        <v>14942</v>
      </c>
      <c r="G158" s="77">
        <v>59622.15</v>
      </c>
      <c r="H158" s="77">
        <f t="shared" si="24"/>
        <v>59622</v>
      </c>
      <c r="I158" s="77">
        <v>17196.900000000001</v>
      </c>
      <c r="J158" s="77">
        <f t="shared" si="25"/>
        <v>17197</v>
      </c>
      <c r="K158" s="77">
        <f t="shared" si="26"/>
        <v>91760.549999999988</v>
      </c>
      <c r="L158" s="77">
        <f t="shared" si="18"/>
        <v>91761</v>
      </c>
      <c r="M158" s="75"/>
    </row>
    <row r="159" spans="1:13" ht="24" customHeight="1">
      <c r="A159" s="75" t="s">
        <v>1477</v>
      </c>
      <c r="B159" s="75" t="s">
        <v>1478</v>
      </c>
      <c r="C159" s="76">
        <v>5</v>
      </c>
      <c r="D159" s="75" t="s">
        <v>179</v>
      </c>
      <c r="E159" s="77">
        <v>1849050</v>
      </c>
      <c r="F159" s="77">
        <f t="shared" si="23"/>
        <v>9245250</v>
      </c>
      <c r="G159" s="77">
        <v>0</v>
      </c>
      <c r="H159" s="77">
        <f t="shared" si="24"/>
        <v>0</v>
      </c>
      <c r="I159" s="77">
        <v>0</v>
      </c>
      <c r="J159" s="77">
        <f t="shared" si="25"/>
        <v>0</v>
      </c>
      <c r="K159" s="77">
        <f t="shared" si="26"/>
        <v>1849050</v>
      </c>
      <c r="L159" s="77">
        <f t="shared" si="18"/>
        <v>9245250</v>
      </c>
      <c r="M159" s="75"/>
    </row>
    <row r="160" spans="1:13" ht="24" customHeight="1">
      <c r="A160" s="75" t="s">
        <v>1479</v>
      </c>
      <c r="B160" s="75" t="s">
        <v>1480</v>
      </c>
      <c r="C160" s="76">
        <v>3</v>
      </c>
      <c r="D160" s="75" t="s">
        <v>179</v>
      </c>
      <c r="E160" s="77">
        <v>4958100</v>
      </c>
      <c r="F160" s="77">
        <f t="shared" si="23"/>
        <v>14874300</v>
      </c>
      <c r="G160" s="77">
        <v>0</v>
      </c>
      <c r="H160" s="77">
        <f t="shared" si="24"/>
        <v>0</v>
      </c>
      <c r="I160" s="77">
        <v>0</v>
      </c>
      <c r="J160" s="77">
        <f t="shared" si="25"/>
        <v>0</v>
      </c>
      <c r="K160" s="77">
        <f t="shared" si="26"/>
        <v>4958100</v>
      </c>
      <c r="L160" s="77">
        <f t="shared" si="18"/>
        <v>14874300</v>
      </c>
      <c r="M160" s="75"/>
    </row>
    <row r="161" spans="1:13" ht="24" customHeight="1">
      <c r="A161" s="75" t="s">
        <v>1481</v>
      </c>
      <c r="B161" s="75" t="s">
        <v>1482</v>
      </c>
      <c r="C161" s="76">
        <v>9</v>
      </c>
      <c r="D161" s="75" t="s">
        <v>179</v>
      </c>
      <c r="E161" s="77">
        <v>255801</v>
      </c>
      <c r="F161" s="77">
        <f t="shared" si="23"/>
        <v>2302209</v>
      </c>
      <c r="G161" s="77">
        <v>0</v>
      </c>
      <c r="H161" s="77">
        <f t="shared" si="24"/>
        <v>0</v>
      </c>
      <c r="I161" s="77">
        <v>0</v>
      </c>
      <c r="J161" s="77">
        <f t="shared" si="25"/>
        <v>0</v>
      </c>
      <c r="K161" s="77">
        <f t="shared" si="26"/>
        <v>255801</v>
      </c>
      <c r="L161" s="77">
        <f t="shared" si="18"/>
        <v>2302209</v>
      </c>
      <c r="M161" s="75"/>
    </row>
    <row r="162" spans="1:13" ht="24" customHeight="1">
      <c r="A162" s="75" t="s">
        <v>1481</v>
      </c>
      <c r="B162" s="75" t="s">
        <v>1483</v>
      </c>
      <c r="C162" s="76">
        <v>3</v>
      </c>
      <c r="D162" s="75" t="s">
        <v>179</v>
      </c>
      <c r="E162" s="77">
        <v>288015</v>
      </c>
      <c r="F162" s="77">
        <f t="shared" si="23"/>
        <v>864045</v>
      </c>
      <c r="G162" s="77">
        <v>0</v>
      </c>
      <c r="H162" s="77">
        <f t="shared" si="24"/>
        <v>0</v>
      </c>
      <c r="I162" s="77">
        <v>0</v>
      </c>
      <c r="J162" s="77">
        <f t="shared" si="25"/>
        <v>0</v>
      </c>
      <c r="K162" s="77">
        <f t="shared" si="26"/>
        <v>288015</v>
      </c>
      <c r="L162" s="77">
        <f t="shared" ref="L162:L225" si="27">F162+H162+J162</f>
        <v>864045</v>
      </c>
      <c r="M162" s="75"/>
    </row>
    <row r="163" spans="1:13" ht="24" customHeight="1">
      <c r="A163" s="75" t="s">
        <v>1484</v>
      </c>
      <c r="B163" s="75" t="s">
        <v>1485</v>
      </c>
      <c r="C163" s="76">
        <v>3</v>
      </c>
      <c r="D163" s="75" t="s">
        <v>179</v>
      </c>
      <c r="E163" s="77">
        <v>226684.5</v>
      </c>
      <c r="F163" s="77">
        <f t="shared" si="23"/>
        <v>680054</v>
      </c>
      <c r="G163" s="77">
        <v>0</v>
      </c>
      <c r="H163" s="77">
        <f t="shared" si="24"/>
        <v>0</v>
      </c>
      <c r="I163" s="77">
        <v>0</v>
      </c>
      <c r="J163" s="77">
        <f t="shared" si="25"/>
        <v>0</v>
      </c>
      <c r="K163" s="77">
        <f t="shared" si="26"/>
        <v>226684.5</v>
      </c>
      <c r="L163" s="77">
        <f t="shared" si="27"/>
        <v>680054</v>
      </c>
      <c r="M163" s="75"/>
    </row>
    <row r="164" spans="1:13" ht="24" customHeight="1">
      <c r="A164" s="75" t="s">
        <v>1484</v>
      </c>
      <c r="B164" s="75" t="s">
        <v>1486</v>
      </c>
      <c r="C164" s="76">
        <v>3</v>
      </c>
      <c r="D164" s="75" t="s">
        <v>179</v>
      </c>
      <c r="E164" s="77">
        <v>166383</v>
      </c>
      <c r="F164" s="77">
        <f t="shared" si="23"/>
        <v>499149</v>
      </c>
      <c r="G164" s="77">
        <v>0</v>
      </c>
      <c r="H164" s="77">
        <f t="shared" si="24"/>
        <v>0</v>
      </c>
      <c r="I164" s="77">
        <v>0</v>
      </c>
      <c r="J164" s="77">
        <f t="shared" si="25"/>
        <v>0</v>
      </c>
      <c r="K164" s="77">
        <f t="shared" si="26"/>
        <v>166383</v>
      </c>
      <c r="L164" s="77">
        <f t="shared" si="27"/>
        <v>499149</v>
      </c>
      <c r="M164" s="75"/>
    </row>
    <row r="165" spans="1:13" ht="24" customHeight="1">
      <c r="A165" s="75" t="s">
        <v>1487</v>
      </c>
      <c r="B165" s="75" t="s">
        <v>1471</v>
      </c>
      <c r="C165" s="76">
        <v>1</v>
      </c>
      <c r="D165" s="75" t="s">
        <v>179</v>
      </c>
      <c r="E165" s="77">
        <v>6248550</v>
      </c>
      <c r="F165" s="77">
        <f t="shared" si="23"/>
        <v>6248550</v>
      </c>
      <c r="G165" s="77">
        <v>0</v>
      </c>
      <c r="H165" s="77">
        <f t="shared" si="24"/>
        <v>0</v>
      </c>
      <c r="I165" s="77">
        <v>0</v>
      </c>
      <c r="J165" s="77">
        <f t="shared" si="25"/>
        <v>0</v>
      </c>
      <c r="K165" s="77">
        <f t="shared" si="26"/>
        <v>6248550</v>
      </c>
      <c r="L165" s="77">
        <f t="shared" si="27"/>
        <v>6248550</v>
      </c>
      <c r="M165" s="75"/>
    </row>
    <row r="166" spans="1:13" ht="24" customHeight="1">
      <c r="A166" s="75" t="s">
        <v>1488</v>
      </c>
      <c r="B166" s="75" t="s">
        <v>1489</v>
      </c>
      <c r="C166" s="76">
        <v>30</v>
      </c>
      <c r="D166" s="75" t="s">
        <v>179</v>
      </c>
      <c r="E166" s="77">
        <v>4830</v>
      </c>
      <c r="F166" s="77">
        <f t="shared" si="23"/>
        <v>144900</v>
      </c>
      <c r="G166" s="77">
        <v>0</v>
      </c>
      <c r="H166" s="77">
        <f t="shared" si="24"/>
        <v>0</v>
      </c>
      <c r="I166" s="77">
        <v>0</v>
      </c>
      <c r="J166" s="77">
        <f t="shared" si="25"/>
        <v>0</v>
      </c>
      <c r="K166" s="77">
        <f t="shared" si="26"/>
        <v>4830</v>
      </c>
      <c r="L166" s="77">
        <f t="shared" si="27"/>
        <v>144900</v>
      </c>
      <c r="M166" s="75"/>
    </row>
    <row r="167" spans="1:13" ht="24" customHeight="1">
      <c r="A167" s="75" t="s">
        <v>1488</v>
      </c>
      <c r="B167" s="75" t="s">
        <v>1490</v>
      </c>
      <c r="C167" s="76">
        <v>30</v>
      </c>
      <c r="D167" s="75" t="s">
        <v>179</v>
      </c>
      <c r="E167" s="77">
        <v>5859</v>
      </c>
      <c r="F167" s="77">
        <f t="shared" si="23"/>
        <v>175770</v>
      </c>
      <c r="G167" s="77">
        <v>0</v>
      </c>
      <c r="H167" s="77">
        <f t="shared" si="24"/>
        <v>0</v>
      </c>
      <c r="I167" s="77">
        <v>0</v>
      </c>
      <c r="J167" s="77">
        <f t="shared" si="25"/>
        <v>0</v>
      </c>
      <c r="K167" s="77">
        <f t="shared" si="26"/>
        <v>5859</v>
      </c>
      <c r="L167" s="77">
        <f t="shared" si="27"/>
        <v>175770</v>
      </c>
      <c r="M167" s="75"/>
    </row>
    <row r="168" spans="1:13" ht="24" customHeight="1">
      <c r="A168" s="75" t="s">
        <v>1491</v>
      </c>
      <c r="B168" s="75" t="s">
        <v>1492</v>
      </c>
      <c r="C168" s="76">
        <v>16</v>
      </c>
      <c r="D168" s="75" t="s">
        <v>179</v>
      </c>
      <c r="E168" s="77">
        <v>29326.5</v>
      </c>
      <c r="F168" s="77">
        <f t="shared" si="23"/>
        <v>469224</v>
      </c>
      <c r="G168" s="77">
        <v>0</v>
      </c>
      <c r="H168" s="77">
        <f t="shared" si="24"/>
        <v>0</v>
      </c>
      <c r="I168" s="77">
        <v>0</v>
      </c>
      <c r="J168" s="77">
        <f t="shared" si="25"/>
        <v>0</v>
      </c>
      <c r="K168" s="77">
        <f t="shared" si="26"/>
        <v>29326.5</v>
      </c>
      <c r="L168" s="77">
        <f t="shared" si="27"/>
        <v>469224</v>
      </c>
      <c r="M168" s="75"/>
    </row>
    <row r="169" spans="1:13" ht="24" customHeight="1">
      <c r="A169" s="75" t="s">
        <v>1491</v>
      </c>
      <c r="B169" s="75" t="s">
        <v>1493</v>
      </c>
      <c r="C169" s="76">
        <v>12</v>
      </c>
      <c r="D169" s="75" t="s">
        <v>179</v>
      </c>
      <c r="E169" s="77">
        <v>57004.5</v>
      </c>
      <c r="F169" s="77">
        <f t="shared" si="23"/>
        <v>684054</v>
      </c>
      <c r="G169" s="77">
        <v>0</v>
      </c>
      <c r="H169" s="77">
        <f t="shared" si="24"/>
        <v>0</v>
      </c>
      <c r="I169" s="77">
        <v>0</v>
      </c>
      <c r="J169" s="77">
        <f t="shared" si="25"/>
        <v>0</v>
      </c>
      <c r="K169" s="77">
        <f t="shared" si="26"/>
        <v>57004.5</v>
      </c>
      <c r="L169" s="77">
        <f t="shared" si="27"/>
        <v>684054</v>
      </c>
      <c r="M169" s="75"/>
    </row>
    <row r="170" spans="1:13" ht="24" customHeight="1">
      <c r="A170" s="75" t="s">
        <v>1491</v>
      </c>
      <c r="B170" s="75" t="s">
        <v>1494</v>
      </c>
      <c r="C170" s="76">
        <v>9</v>
      </c>
      <c r="D170" s="75" t="s">
        <v>179</v>
      </c>
      <c r="E170" s="77">
        <v>131092.5</v>
      </c>
      <c r="F170" s="77">
        <f t="shared" si="23"/>
        <v>1179833</v>
      </c>
      <c r="G170" s="77">
        <v>0</v>
      </c>
      <c r="H170" s="77">
        <f t="shared" si="24"/>
        <v>0</v>
      </c>
      <c r="I170" s="77">
        <v>0</v>
      </c>
      <c r="J170" s="77">
        <f t="shared" si="25"/>
        <v>0</v>
      </c>
      <c r="K170" s="77">
        <f t="shared" si="26"/>
        <v>131092.5</v>
      </c>
      <c r="L170" s="77">
        <f t="shared" si="27"/>
        <v>1179833</v>
      </c>
      <c r="M170" s="75"/>
    </row>
    <row r="171" spans="1:13" ht="24" customHeight="1">
      <c r="A171" s="75" t="s">
        <v>1491</v>
      </c>
      <c r="B171" s="75" t="s">
        <v>1495</v>
      </c>
      <c r="C171" s="76">
        <v>3</v>
      </c>
      <c r="D171" s="75" t="s">
        <v>179</v>
      </c>
      <c r="E171" s="77">
        <v>115248</v>
      </c>
      <c r="F171" s="77">
        <f t="shared" si="23"/>
        <v>345744</v>
      </c>
      <c r="G171" s="77">
        <v>0</v>
      </c>
      <c r="H171" s="77">
        <f t="shared" si="24"/>
        <v>0</v>
      </c>
      <c r="I171" s="77">
        <v>0</v>
      </c>
      <c r="J171" s="77">
        <f t="shared" si="25"/>
        <v>0</v>
      </c>
      <c r="K171" s="77">
        <f t="shared" si="26"/>
        <v>115248</v>
      </c>
      <c r="L171" s="77">
        <f t="shared" si="27"/>
        <v>345744</v>
      </c>
      <c r="M171" s="75"/>
    </row>
    <row r="172" spans="1:13" ht="24" customHeight="1">
      <c r="A172" s="75" t="s">
        <v>1496</v>
      </c>
      <c r="B172" s="75" t="s">
        <v>1497</v>
      </c>
      <c r="C172" s="76">
        <v>9</v>
      </c>
      <c r="D172" s="75" t="s">
        <v>179</v>
      </c>
      <c r="E172" s="77">
        <v>372750</v>
      </c>
      <c r="F172" s="77">
        <f t="shared" si="23"/>
        <v>3354750</v>
      </c>
      <c r="G172" s="77">
        <v>0</v>
      </c>
      <c r="H172" s="77">
        <f t="shared" si="24"/>
        <v>0</v>
      </c>
      <c r="I172" s="77">
        <v>0</v>
      </c>
      <c r="J172" s="77">
        <f t="shared" si="25"/>
        <v>0</v>
      </c>
      <c r="K172" s="77">
        <f t="shared" si="26"/>
        <v>372750</v>
      </c>
      <c r="L172" s="77">
        <f t="shared" si="27"/>
        <v>3354750</v>
      </c>
      <c r="M172" s="75"/>
    </row>
    <row r="173" spans="1:13" ht="24" customHeight="1">
      <c r="A173" s="75" t="s">
        <v>1498</v>
      </c>
      <c r="B173" s="75" t="s">
        <v>1499</v>
      </c>
      <c r="C173" s="76">
        <v>6</v>
      </c>
      <c r="D173" s="75" t="s">
        <v>179</v>
      </c>
      <c r="E173" s="77">
        <v>64512</v>
      </c>
      <c r="F173" s="77">
        <f t="shared" si="23"/>
        <v>387072</v>
      </c>
      <c r="G173" s="77">
        <v>0</v>
      </c>
      <c r="H173" s="77">
        <f t="shared" si="24"/>
        <v>0</v>
      </c>
      <c r="I173" s="77">
        <v>0</v>
      </c>
      <c r="J173" s="77">
        <f t="shared" si="25"/>
        <v>0</v>
      </c>
      <c r="K173" s="77">
        <f t="shared" si="26"/>
        <v>64512</v>
      </c>
      <c r="L173" s="77">
        <f t="shared" si="27"/>
        <v>387072</v>
      </c>
      <c r="M173" s="75"/>
    </row>
    <row r="174" spans="1:13" ht="24" customHeight="1">
      <c r="A174" s="75" t="s">
        <v>1498</v>
      </c>
      <c r="B174" s="75" t="s">
        <v>1500</v>
      </c>
      <c r="C174" s="76">
        <v>3</v>
      </c>
      <c r="D174" s="75" t="s">
        <v>179</v>
      </c>
      <c r="E174" s="77">
        <v>112875</v>
      </c>
      <c r="F174" s="77">
        <f t="shared" si="23"/>
        <v>338625</v>
      </c>
      <c r="G174" s="77">
        <v>0</v>
      </c>
      <c r="H174" s="77">
        <f t="shared" si="24"/>
        <v>0</v>
      </c>
      <c r="I174" s="77">
        <v>0</v>
      </c>
      <c r="J174" s="77">
        <f t="shared" si="25"/>
        <v>0</v>
      </c>
      <c r="K174" s="77">
        <f t="shared" si="26"/>
        <v>112875</v>
      </c>
      <c r="L174" s="77">
        <f t="shared" si="27"/>
        <v>338625</v>
      </c>
      <c r="M174" s="75"/>
    </row>
    <row r="175" spans="1:13" ht="24" customHeight="1">
      <c r="A175" s="75" t="s">
        <v>1501</v>
      </c>
      <c r="B175" s="75" t="s">
        <v>1502</v>
      </c>
      <c r="C175" s="76">
        <v>1</v>
      </c>
      <c r="D175" s="75" t="s">
        <v>23</v>
      </c>
      <c r="E175" s="77">
        <v>0</v>
      </c>
      <c r="F175" s="77">
        <f t="shared" si="23"/>
        <v>0</v>
      </c>
      <c r="G175" s="77">
        <v>0</v>
      </c>
      <c r="H175" s="77">
        <f t="shared" si="24"/>
        <v>0</v>
      </c>
      <c r="I175" s="77">
        <v>3990000</v>
      </c>
      <c r="J175" s="77">
        <f t="shared" si="25"/>
        <v>3990000</v>
      </c>
      <c r="K175" s="77">
        <f t="shared" si="26"/>
        <v>3990000</v>
      </c>
      <c r="L175" s="77">
        <f t="shared" si="27"/>
        <v>3990000</v>
      </c>
      <c r="M175" s="75"/>
    </row>
    <row r="176" spans="1:13" ht="24" customHeight="1">
      <c r="A176" s="141" t="s">
        <v>1503</v>
      </c>
      <c r="B176" s="142"/>
      <c r="C176" s="72"/>
      <c r="D176" s="72"/>
      <c r="E176" s="73"/>
      <c r="F176" s="74">
        <f>SUM(F177:F177)</f>
        <v>24853500</v>
      </c>
      <c r="G176" s="73"/>
      <c r="H176" s="74">
        <f>SUM(H177:H177)</f>
        <v>0</v>
      </c>
      <c r="I176" s="73"/>
      <c r="J176" s="74">
        <f>SUM(J177:J177)</f>
        <v>0</v>
      </c>
      <c r="K176" s="73"/>
      <c r="L176" s="74">
        <f t="shared" si="27"/>
        <v>24853500</v>
      </c>
      <c r="M176" s="72"/>
    </row>
    <row r="177" spans="1:13" ht="24" customHeight="1">
      <c r="A177" s="75" t="s">
        <v>1504</v>
      </c>
      <c r="B177" s="75"/>
      <c r="C177" s="76">
        <v>1</v>
      </c>
      <c r="D177" s="75" t="s">
        <v>1505</v>
      </c>
      <c r="E177" s="77">
        <v>24853500</v>
      </c>
      <c r="F177" s="77">
        <f>ROUND(E177*C177,0)</f>
        <v>24853500</v>
      </c>
      <c r="G177" s="77">
        <v>0</v>
      </c>
      <c r="H177" s="77">
        <f>ROUND(G177*C177,0)</f>
        <v>0</v>
      </c>
      <c r="I177" s="77">
        <v>0</v>
      </c>
      <c r="J177" s="77">
        <f>ROUND(I177*C177,0)</f>
        <v>0</v>
      </c>
      <c r="K177" s="77">
        <f>E177+G177+I177</f>
        <v>24853500</v>
      </c>
      <c r="L177" s="77">
        <f t="shared" si="27"/>
        <v>24853500</v>
      </c>
      <c r="M177" s="75"/>
    </row>
    <row r="178" spans="1:13" ht="24" customHeight="1">
      <c r="A178" s="141" t="s">
        <v>1506</v>
      </c>
      <c r="B178" s="142"/>
      <c r="C178" s="72"/>
      <c r="D178" s="72"/>
      <c r="E178" s="73"/>
      <c r="F178" s="74">
        <f>SUM(F179:F210)</f>
        <v>112592176</v>
      </c>
      <c r="G178" s="73"/>
      <c r="H178" s="74">
        <f>SUM(H179:H210)</f>
        <v>47591777</v>
      </c>
      <c r="I178" s="73"/>
      <c r="J178" s="74">
        <f>SUM(J179:J210)</f>
        <v>2041425</v>
      </c>
      <c r="K178" s="73"/>
      <c r="L178" s="74">
        <f t="shared" si="27"/>
        <v>162225378</v>
      </c>
      <c r="M178" s="72"/>
    </row>
    <row r="179" spans="1:13" ht="24" customHeight="1">
      <c r="A179" s="75" t="s">
        <v>1346</v>
      </c>
      <c r="B179" s="75" t="s">
        <v>1347</v>
      </c>
      <c r="C179" s="76">
        <v>1313</v>
      </c>
      <c r="D179" s="75" t="s">
        <v>231</v>
      </c>
      <c r="E179" s="77">
        <v>992.25</v>
      </c>
      <c r="F179" s="77">
        <f t="shared" ref="F179:F210" si="28">ROUND(E179*C179,0)</f>
        <v>1302824</v>
      </c>
      <c r="G179" s="77">
        <v>9452.1</v>
      </c>
      <c r="H179" s="77">
        <f t="shared" ref="H179:H210" si="29">ROUND(G179*C179,0)</f>
        <v>12410607</v>
      </c>
      <c r="I179" s="77">
        <v>0</v>
      </c>
      <c r="J179" s="77">
        <f t="shared" ref="J179:J210" si="30">ROUND(I179*C179,0)</f>
        <v>0</v>
      </c>
      <c r="K179" s="77">
        <f t="shared" ref="K179:K210" si="31">E179+G179+I179</f>
        <v>10444.35</v>
      </c>
      <c r="L179" s="77">
        <f t="shared" si="27"/>
        <v>13713431</v>
      </c>
      <c r="M179" s="75"/>
    </row>
    <row r="180" spans="1:13" ht="24" customHeight="1">
      <c r="A180" s="75" t="s">
        <v>1349</v>
      </c>
      <c r="B180" s="75" t="s">
        <v>1350</v>
      </c>
      <c r="C180" s="76">
        <v>16</v>
      </c>
      <c r="D180" s="75" t="s">
        <v>231</v>
      </c>
      <c r="E180" s="77">
        <v>1972.95</v>
      </c>
      <c r="F180" s="77">
        <f t="shared" si="28"/>
        <v>31567</v>
      </c>
      <c r="G180" s="77">
        <v>2586.15</v>
      </c>
      <c r="H180" s="77">
        <f t="shared" si="29"/>
        <v>41378</v>
      </c>
      <c r="I180" s="77">
        <v>0</v>
      </c>
      <c r="J180" s="77">
        <f t="shared" si="30"/>
        <v>0</v>
      </c>
      <c r="K180" s="77">
        <f t="shared" si="31"/>
        <v>4559.1000000000004</v>
      </c>
      <c r="L180" s="77">
        <f t="shared" si="27"/>
        <v>72945</v>
      </c>
      <c r="M180" s="75"/>
    </row>
    <row r="181" spans="1:13" ht="24" customHeight="1">
      <c r="A181" s="75" t="s">
        <v>1351</v>
      </c>
      <c r="B181" s="75" t="s">
        <v>1352</v>
      </c>
      <c r="C181" s="76">
        <v>1392</v>
      </c>
      <c r="D181" s="75" t="s">
        <v>231</v>
      </c>
      <c r="E181" s="77">
        <v>3271.8</v>
      </c>
      <c r="F181" s="77">
        <f t="shared" si="28"/>
        <v>4554346</v>
      </c>
      <c r="G181" s="77">
        <v>2586.15</v>
      </c>
      <c r="H181" s="77">
        <f t="shared" si="29"/>
        <v>3599921</v>
      </c>
      <c r="I181" s="77">
        <v>0</v>
      </c>
      <c r="J181" s="77">
        <f t="shared" si="30"/>
        <v>0</v>
      </c>
      <c r="K181" s="77">
        <f t="shared" si="31"/>
        <v>5857.9500000000007</v>
      </c>
      <c r="L181" s="77">
        <f t="shared" si="27"/>
        <v>8154267</v>
      </c>
      <c r="M181" s="75"/>
    </row>
    <row r="182" spans="1:13" ht="24" customHeight="1">
      <c r="A182" s="75" t="s">
        <v>1351</v>
      </c>
      <c r="B182" s="75" t="s">
        <v>1353</v>
      </c>
      <c r="C182" s="76">
        <v>9</v>
      </c>
      <c r="D182" s="75" t="s">
        <v>231</v>
      </c>
      <c r="E182" s="77">
        <v>4298.7</v>
      </c>
      <c r="F182" s="77">
        <f t="shared" si="28"/>
        <v>38688</v>
      </c>
      <c r="G182" s="77">
        <v>3016.65</v>
      </c>
      <c r="H182" s="77">
        <f t="shared" si="29"/>
        <v>27150</v>
      </c>
      <c r="I182" s="77">
        <v>0</v>
      </c>
      <c r="J182" s="77">
        <f t="shared" si="30"/>
        <v>0</v>
      </c>
      <c r="K182" s="77">
        <f t="shared" si="31"/>
        <v>7315.35</v>
      </c>
      <c r="L182" s="77">
        <f t="shared" si="27"/>
        <v>65838</v>
      </c>
      <c r="M182" s="75"/>
    </row>
    <row r="183" spans="1:13" ht="24" customHeight="1">
      <c r="A183" s="75" t="s">
        <v>1354</v>
      </c>
      <c r="B183" s="75" t="s">
        <v>1355</v>
      </c>
      <c r="C183" s="76">
        <v>517</v>
      </c>
      <c r="D183" s="75" t="s">
        <v>231</v>
      </c>
      <c r="E183" s="77">
        <v>2221.8000000000002</v>
      </c>
      <c r="F183" s="77">
        <f t="shared" si="28"/>
        <v>1148671</v>
      </c>
      <c r="G183" s="77">
        <v>4470.9000000000005</v>
      </c>
      <c r="H183" s="77">
        <f t="shared" si="29"/>
        <v>2311455</v>
      </c>
      <c r="I183" s="77">
        <v>0</v>
      </c>
      <c r="J183" s="77">
        <f t="shared" si="30"/>
        <v>0</v>
      </c>
      <c r="K183" s="77">
        <f t="shared" si="31"/>
        <v>6692.7000000000007</v>
      </c>
      <c r="L183" s="77">
        <f t="shared" si="27"/>
        <v>3460126</v>
      </c>
      <c r="M183" s="75"/>
    </row>
    <row r="184" spans="1:13" ht="24" customHeight="1">
      <c r="A184" s="75" t="s">
        <v>1356</v>
      </c>
      <c r="B184" s="75" t="s">
        <v>1357</v>
      </c>
      <c r="C184" s="76">
        <v>263</v>
      </c>
      <c r="D184" s="75" t="s">
        <v>231</v>
      </c>
      <c r="E184" s="77">
        <v>4644.1500000000005</v>
      </c>
      <c r="F184" s="77">
        <f t="shared" si="28"/>
        <v>1221411</v>
      </c>
      <c r="G184" s="77">
        <v>0</v>
      </c>
      <c r="H184" s="77">
        <f t="shared" si="29"/>
        <v>0</v>
      </c>
      <c r="I184" s="77">
        <v>0</v>
      </c>
      <c r="J184" s="77">
        <f t="shared" si="30"/>
        <v>0</v>
      </c>
      <c r="K184" s="77">
        <f t="shared" si="31"/>
        <v>4644.1500000000005</v>
      </c>
      <c r="L184" s="77">
        <f t="shared" si="27"/>
        <v>1221411</v>
      </c>
      <c r="M184" s="75"/>
    </row>
    <row r="185" spans="1:13" ht="24" customHeight="1">
      <c r="A185" s="75" t="s">
        <v>1356</v>
      </c>
      <c r="B185" s="75" t="s">
        <v>1507</v>
      </c>
      <c r="C185" s="76">
        <v>52</v>
      </c>
      <c r="D185" s="75" t="s">
        <v>231</v>
      </c>
      <c r="E185" s="77">
        <v>14748.300000000001</v>
      </c>
      <c r="F185" s="77">
        <f t="shared" si="28"/>
        <v>766912</v>
      </c>
      <c r="G185" s="77">
        <v>0</v>
      </c>
      <c r="H185" s="77">
        <f t="shared" si="29"/>
        <v>0</v>
      </c>
      <c r="I185" s="77">
        <v>0</v>
      </c>
      <c r="J185" s="77">
        <f t="shared" si="30"/>
        <v>0</v>
      </c>
      <c r="K185" s="77">
        <f t="shared" si="31"/>
        <v>14748.300000000001</v>
      </c>
      <c r="L185" s="77">
        <f t="shared" si="27"/>
        <v>766912</v>
      </c>
      <c r="M185" s="75"/>
    </row>
    <row r="186" spans="1:13" ht="24" customHeight="1">
      <c r="A186" s="75" t="s">
        <v>1356</v>
      </c>
      <c r="B186" s="75" t="s">
        <v>1359</v>
      </c>
      <c r="C186" s="76">
        <v>1056</v>
      </c>
      <c r="D186" s="75" t="s">
        <v>231</v>
      </c>
      <c r="E186" s="77">
        <v>8428.35</v>
      </c>
      <c r="F186" s="77">
        <f t="shared" si="28"/>
        <v>8900338</v>
      </c>
      <c r="G186" s="77">
        <v>0</v>
      </c>
      <c r="H186" s="77">
        <f t="shared" si="29"/>
        <v>0</v>
      </c>
      <c r="I186" s="77">
        <v>0</v>
      </c>
      <c r="J186" s="77">
        <f t="shared" si="30"/>
        <v>0</v>
      </c>
      <c r="K186" s="77">
        <f t="shared" si="31"/>
        <v>8428.35</v>
      </c>
      <c r="L186" s="77">
        <f t="shared" si="27"/>
        <v>8900338</v>
      </c>
      <c r="M186" s="75"/>
    </row>
    <row r="187" spans="1:13" ht="24" customHeight="1">
      <c r="A187" s="75" t="s">
        <v>1361</v>
      </c>
      <c r="B187" s="75" t="s">
        <v>1362</v>
      </c>
      <c r="C187" s="76">
        <v>3</v>
      </c>
      <c r="D187" s="75" t="s">
        <v>179</v>
      </c>
      <c r="E187" s="77">
        <v>7450.8</v>
      </c>
      <c r="F187" s="77">
        <f t="shared" si="28"/>
        <v>22352</v>
      </c>
      <c r="G187" s="77">
        <v>46062.450000000004</v>
      </c>
      <c r="H187" s="77">
        <f t="shared" si="29"/>
        <v>138187</v>
      </c>
      <c r="I187" s="77">
        <v>0</v>
      </c>
      <c r="J187" s="77">
        <f t="shared" si="30"/>
        <v>0</v>
      </c>
      <c r="K187" s="77">
        <f t="shared" si="31"/>
        <v>53513.250000000007</v>
      </c>
      <c r="L187" s="77">
        <f t="shared" si="27"/>
        <v>160539</v>
      </c>
      <c r="M187" s="75"/>
    </row>
    <row r="188" spans="1:13" ht="24" customHeight="1">
      <c r="A188" s="75" t="s">
        <v>1363</v>
      </c>
      <c r="B188" s="75" t="s">
        <v>1364</v>
      </c>
      <c r="C188" s="76">
        <v>4</v>
      </c>
      <c r="D188" s="75" t="s">
        <v>179</v>
      </c>
      <c r="E188" s="77">
        <v>757.05000000000007</v>
      </c>
      <c r="F188" s="77">
        <f t="shared" si="28"/>
        <v>3028</v>
      </c>
      <c r="G188" s="77">
        <v>7758.4500000000007</v>
      </c>
      <c r="H188" s="77">
        <f t="shared" si="29"/>
        <v>31034</v>
      </c>
      <c r="I188" s="77">
        <v>0</v>
      </c>
      <c r="J188" s="77">
        <f t="shared" si="30"/>
        <v>0</v>
      </c>
      <c r="K188" s="77">
        <f t="shared" si="31"/>
        <v>8515.5</v>
      </c>
      <c r="L188" s="77">
        <f t="shared" si="27"/>
        <v>34062</v>
      </c>
      <c r="M188" s="75"/>
    </row>
    <row r="189" spans="1:13" ht="24" customHeight="1">
      <c r="A189" s="75" t="s">
        <v>1365</v>
      </c>
      <c r="B189" s="75" t="s">
        <v>1366</v>
      </c>
      <c r="C189" s="76">
        <v>1216</v>
      </c>
      <c r="D189" s="75" t="s">
        <v>231</v>
      </c>
      <c r="E189" s="77">
        <v>196.35</v>
      </c>
      <c r="F189" s="77">
        <f t="shared" si="28"/>
        <v>238762</v>
      </c>
      <c r="G189" s="77">
        <v>248.85000000000002</v>
      </c>
      <c r="H189" s="77">
        <f t="shared" si="29"/>
        <v>302602</v>
      </c>
      <c r="I189" s="77">
        <v>0</v>
      </c>
      <c r="J189" s="77">
        <f t="shared" si="30"/>
        <v>0</v>
      </c>
      <c r="K189" s="77">
        <f t="shared" si="31"/>
        <v>445.20000000000005</v>
      </c>
      <c r="L189" s="77">
        <f t="shared" si="27"/>
        <v>541364</v>
      </c>
      <c r="M189" s="75"/>
    </row>
    <row r="190" spans="1:13" ht="24" customHeight="1">
      <c r="A190" s="75" t="s">
        <v>1367</v>
      </c>
      <c r="B190" s="75" t="s">
        <v>1508</v>
      </c>
      <c r="C190" s="76">
        <v>4</v>
      </c>
      <c r="D190" s="75" t="s">
        <v>179</v>
      </c>
      <c r="E190" s="77">
        <v>1572.9</v>
      </c>
      <c r="F190" s="77">
        <f t="shared" si="28"/>
        <v>6292</v>
      </c>
      <c r="G190" s="77">
        <v>41388.9</v>
      </c>
      <c r="H190" s="77">
        <f t="shared" si="29"/>
        <v>165556</v>
      </c>
      <c r="I190" s="77">
        <v>0</v>
      </c>
      <c r="J190" s="77">
        <f t="shared" si="30"/>
        <v>0</v>
      </c>
      <c r="K190" s="77">
        <f t="shared" si="31"/>
        <v>42961.8</v>
      </c>
      <c r="L190" s="77">
        <f t="shared" si="27"/>
        <v>171848</v>
      </c>
      <c r="M190" s="75"/>
    </row>
    <row r="191" spans="1:13" ht="24" customHeight="1">
      <c r="A191" s="75" t="s">
        <v>1369</v>
      </c>
      <c r="B191" s="75" t="s">
        <v>1371</v>
      </c>
      <c r="C191" s="76">
        <v>29</v>
      </c>
      <c r="D191" s="75" t="s">
        <v>23</v>
      </c>
      <c r="E191" s="77">
        <v>14922.6</v>
      </c>
      <c r="F191" s="77">
        <f t="shared" si="28"/>
        <v>432755</v>
      </c>
      <c r="G191" s="77">
        <v>160984.95000000001</v>
      </c>
      <c r="H191" s="77">
        <f t="shared" si="29"/>
        <v>4668564</v>
      </c>
      <c r="I191" s="77">
        <v>39352.950000000004</v>
      </c>
      <c r="J191" s="77">
        <f t="shared" si="30"/>
        <v>1141236</v>
      </c>
      <c r="K191" s="77">
        <f t="shared" si="31"/>
        <v>215260.50000000003</v>
      </c>
      <c r="L191" s="77">
        <f t="shared" si="27"/>
        <v>6242555</v>
      </c>
      <c r="M191" s="75"/>
    </row>
    <row r="192" spans="1:13" ht="24" customHeight="1">
      <c r="A192" s="75" t="s">
        <v>1372</v>
      </c>
      <c r="B192" s="75" t="s">
        <v>1373</v>
      </c>
      <c r="C192" s="78">
        <v>529.22</v>
      </c>
      <c r="D192" s="75" t="s">
        <v>99</v>
      </c>
      <c r="E192" s="77">
        <v>526.05000000000007</v>
      </c>
      <c r="F192" s="77">
        <f t="shared" si="28"/>
        <v>278396</v>
      </c>
      <c r="G192" s="77">
        <v>4891.95</v>
      </c>
      <c r="H192" s="77">
        <f t="shared" si="29"/>
        <v>2588918</v>
      </c>
      <c r="I192" s="77">
        <v>507.15000000000003</v>
      </c>
      <c r="J192" s="77">
        <f t="shared" si="30"/>
        <v>268394</v>
      </c>
      <c r="K192" s="77">
        <f t="shared" si="31"/>
        <v>5925.15</v>
      </c>
      <c r="L192" s="77">
        <f t="shared" si="27"/>
        <v>3135708</v>
      </c>
      <c r="M192" s="75"/>
    </row>
    <row r="193" spans="1:13" ht="24" customHeight="1">
      <c r="A193" s="75" t="s">
        <v>1374</v>
      </c>
      <c r="B193" s="75" t="s">
        <v>1373</v>
      </c>
      <c r="C193" s="78">
        <v>499.78</v>
      </c>
      <c r="D193" s="75" t="s">
        <v>99</v>
      </c>
      <c r="E193" s="77">
        <v>471.45000000000005</v>
      </c>
      <c r="F193" s="77">
        <f t="shared" si="28"/>
        <v>235621</v>
      </c>
      <c r="G193" s="77">
        <v>3085.9500000000003</v>
      </c>
      <c r="H193" s="77">
        <f t="shared" si="29"/>
        <v>1542296</v>
      </c>
      <c r="I193" s="77">
        <v>507.15000000000003</v>
      </c>
      <c r="J193" s="77">
        <f t="shared" si="30"/>
        <v>253463</v>
      </c>
      <c r="K193" s="77">
        <f t="shared" si="31"/>
        <v>4064.5500000000006</v>
      </c>
      <c r="L193" s="77">
        <f t="shared" si="27"/>
        <v>2031380</v>
      </c>
      <c r="M193" s="75"/>
    </row>
    <row r="194" spans="1:13" ht="24" customHeight="1">
      <c r="A194" s="75" t="s">
        <v>1375</v>
      </c>
      <c r="B194" s="75" t="s">
        <v>1376</v>
      </c>
      <c r="C194" s="78">
        <v>29.44</v>
      </c>
      <c r="D194" s="75" t="s">
        <v>99</v>
      </c>
      <c r="E194" s="77">
        <v>1083.6000000000001</v>
      </c>
      <c r="F194" s="77">
        <f t="shared" si="28"/>
        <v>31901</v>
      </c>
      <c r="G194" s="77">
        <v>36133.65</v>
      </c>
      <c r="H194" s="77">
        <f t="shared" si="29"/>
        <v>1063775</v>
      </c>
      <c r="I194" s="77">
        <v>0</v>
      </c>
      <c r="J194" s="77">
        <f t="shared" si="30"/>
        <v>0</v>
      </c>
      <c r="K194" s="77">
        <f t="shared" si="31"/>
        <v>37217.25</v>
      </c>
      <c r="L194" s="77">
        <f t="shared" si="27"/>
        <v>1095676</v>
      </c>
      <c r="M194" s="75"/>
    </row>
    <row r="195" spans="1:13" ht="24" customHeight="1">
      <c r="A195" s="75" t="s">
        <v>1377</v>
      </c>
      <c r="B195" s="75" t="s">
        <v>1378</v>
      </c>
      <c r="C195" s="76">
        <v>1</v>
      </c>
      <c r="D195" s="75" t="s">
        <v>1051</v>
      </c>
      <c r="E195" s="77">
        <v>40315.800000000003</v>
      </c>
      <c r="F195" s="77">
        <f t="shared" si="28"/>
        <v>40316</v>
      </c>
      <c r="G195" s="77">
        <v>115731</v>
      </c>
      <c r="H195" s="77">
        <f t="shared" si="29"/>
        <v>115731</v>
      </c>
      <c r="I195" s="77">
        <v>0</v>
      </c>
      <c r="J195" s="77">
        <f t="shared" si="30"/>
        <v>0</v>
      </c>
      <c r="K195" s="77">
        <f t="shared" si="31"/>
        <v>156046.79999999999</v>
      </c>
      <c r="L195" s="77">
        <f t="shared" si="27"/>
        <v>156047</v>
      </c>
      <c r="M195" s="75"/>
    </row>
    <row r="196" spans="1:13" ht="24" customHeight="1">
      <c r="A196" s="75" t="s">
        <v>1379</v>
      </c>
      <c r="B196" s="75"/>
      <c r="C196" s="76">
        <v>3</v>
      </c>
      <c r="D196" s="75" t="s">
        <v>1051</v>
      </c>
      <c r="E196" s="77">
        <v>2545.2000000000003</v>
      </c>
      <c r="F196" s="77">
        <f t="shared" si="28"/>
        <v>7636</v>
      </c>
      <c r="G196" s="77">
        <v>0</v>
      </c>
      <c r="H196" s="77">
        <f t="shared" si="29"/>
        <v>0</v>
      </c>
      <c r="I196" s="77">
        <v>0</v>
      </c>
      <c r="J196" s="77">
        <f t="shared" si="30"/>
        <v>0</v>
      </c>
      <c r="K196" s="77">
        <f t="shared" si="31"/>
        <v>2545.2000000000003</v>
      </c>
      <c r="L196" s="77">
        <f t="shared" si="27"/>
        <v>7636</v>
      </c>
      <c r="M196" s="75"/>
    </row>
    <row r="197" spans="1:13" ht="24" customHeight="1">
      <c r="A197" s="75" t="s">
        <v>1380</v>
      </c>
      <c r="B197" s="75" t="s">
        <v>1381</v>
      </c>
      <c r="C197" s="76">
        <v>256</v>
      </c>
      <c r="D197" s="75" t="s">
        <v>231</v>
      </c>
      <c r="E197" s="77">
        <v>137.55000000000001</v>
      </c>
      <c r="F197" s="77">
        <f t="shared" si="28"/>
        <v>35213</v>
      </c>
      <c r="G197" s="77">
        <v>4600.05</v>
      </c>
      <c r="H197" s="77">
        <f t="shared" si="29"/>
        <v>1177613</v>
      </c>
      <c r="I197" s="77">
        <v>0</v>
      </c>
      <c r="J197" s="77">
        <f t="shared" si="30"/>
        <v>0</v>
      </c>
      <c r="K197" s="77">
        <f t="shared" si="31"/>
        <v>4737.6000000000004</v>
      </c>
      <c r="L197" s="77">
        <f t="shared" si="27"/>
        <v>1212826</v>
      </c>
      <c r="M197" s="75"/>
    </row>
    <row r="198" spans="1:13" ht="24" customHeight="1">
      <c r="A198" s="75" t="s">
        <v>1380</v>
      </c>
      <c r="B198" s="75" t="s">
        <v>1509</v>
      </c>
      <c r="C198" s="76">
        <v>57</v>
      </c>
      <c r="D198" s="75" t="s">
        <v>231</v>
      </c>
      <c r="E198" s="77">
        <v>186.9</v>
      </c>
      <c r="F198" s="77">
        <f t="shared" si="28"/>
        <v>10653</v>
      </c>
      <c r="G198" s="77">
        <v>6249.6</v>
      </c>
      <c r="H198" s="77">
        <f t="shared" si="29"/>
        <v>356227</v>
      </c>
      <c r="I198" s="77">
        <v>0</v>
      </c>
      <c r="J198" s="77">
        <f t="shared" si="30"/>
        <v>0</v>
      </c>
      <c r="K198" s="77">
        <f t="shared" si="31"/>
        <v>6436.5</v>
      </c>
      <c r="L198" s="77">
        <f t="shared" si="27"/>
        <v>366880</v>
      </c>
      <c r="M198" s="75"/>
    </row>
    <row r="199" spans="1:13" ht="24" customHeight="1">
      <c r="A199" s="75" t="s">
        <v>1380</v>
      </c>
      <c r="B199" s="75" t="s">
        <v>1383</v>
      </c>
      <c r="C199" s="76">
        <v>1026</v>
      </c>
      <c r="D199" s="75" t="s">
        <v>231</v>
      </c>
      <c r="E199" s="77">
        <v>224.70000000000002</v>
      </c>
      <c r="F199" s="77">
        <f t="shared" si="28"/>
        <v>230542</v>
      </c>
      <c r="G199" s="77">
        <v>7500.1500000000005</v>
      </c>
      <c r="H199" s="77">
        <f t="shared" si="29"/>
        <v>7695154</v>
      </c>
      <c r="I199" s="77">
        <v>0</v>
      </c>
      <c r="J199" s="77">
        <f t="shared" si="30"/>
        <v>0</v>
      </c>
      <c r="K199" s="77">
        <f t="shared" si="31"/>
        <v>7724.85</v>
      </c>
      <c r="L199" s="77">
        <f t="shared" si="27"/>
        <v>7925696</v>
      </c>
      <c r="M199" s="75"/>
    </row>
    <row r="200" spans="1:13" ht="24" customHeight="1">
      <c r="A200" s="75" t="s">
        <v>1385</v>
      </c>
      <c r="B200" s="75" t="s">
        <v>1386</v>
      </c>
      <c r="C200" s="76">
        <v>29</v>
      </c>
      <c r="D200" s="75" t="s">
        <v>179</v>
      </c>
      <c r="E200" s="77">
        <v>653787.75</v>
      </c>
      <c r="F200" s="77">
        <f t="shared" si="28"/>
        <v>18959845</v>
      </c>
      <c r="G200" s="77">
        <v>92948.1</v>
      </c>
      <c r="H200" s="77">
        <f t="shared" si="29"/>
        <v>2695495</v>
      </c>
      <c r="I200" s="77">
        <v>0</v>
      </c>
      <c r="J200" s="77">
        <f t="shared" si="30"/>
        <v>0</v>
      </c>
      <c r="K200" s="77">
        <f t="shared" si="31"/>
        <v>746735.85</v>
      </c>
      <c r="L200" s="77">
        <f t="shared" si="27"/>
        <v>21655340</v>
      </c>
      <c r="M200" s="75"/>
    </row>
    <row r="201" spans="1:13" ht="24" customHeight="1">
      <c r="A201" s="75" t="s">
        <v>1391</v>
      </c>
      <c r="B201" s="75" t="s">
        <v>1392</v>
      </c>
      <c r="C201" s="76">
        <v>50</v>
      </c>
      <c r="D201" s="75" t="s">
        <v>179</v>
      </c>
      <c r="E201" s="77">
        <v>324908.85000000003</v>
      </c>
      <c r="F201" s="77">
        <f t="shared" si="28"/>
        <v>16245443</v>
      </c>
      <c r="G201" s="77">
        <v>57315.3</v>
      </c>
      <c r="H201" s="77">
        <f t="shared" si="29"/>
        <v>2865765</v>
      </c>
      <c r="I201" s="77">
        <v>0</v>
      </c>
      <c r="J201" s="77">
        <f t="shared" si="30"/>
        <v>0</v>
      </c>
      <c r="K201" s="77">
        <f t="shared" si="31"/>
        <v>382224.15</v>
      </c>
      <c r="L201" s="77">
        <f t="shared" si="27"/>
        <v>19111208</v>
      </c>
      <c r="M201" s="75"/>
    </row>
    <row r="202" spans="1:13" ht="24" customHeight="1">
      <c r="A202" s="75" t="s">
        <v>1393</v>
      </c>
      <c r="B202" s="75" t="s">
        <v>1510</v>
      </c>
      <c r="C202" s="76">
        <v>1</v>
      </c>
      <c r="D202" s="75" t="s">
        <v>179</v>
      </c>
      <c r="E202" s="77">
        <v>6762368.5500000007</v>
      </c>
      <c r="F202" s="77">
        <f t="shared" si="28"/>
        <v>6762369</v>
      </c>
      <c r="G202" s="77">
        <v>12285</v>
      </c>
      <c r="H202" s="77">
        <f t="shared" si="29"/>
        <v>12285</v>
      </c>
      <c r="I202" s="77">
        <v>0</v>
      </c>
      <c r="J202" s="77">
        <f t="shared" si="30"/>
        <v>0</v>
      </c>
      <c r="K202" s="77">
        <f t="shared" si="31"/>
        <v>6774653.5500000007</v>
      </c>
      <c r="L202" s="77">
        <f t="shared" si="27"/>
        <v>6774654</v>
      </c>
      <c r="M202" s="75"/>
    </row>
    <row r="203" spans="1:13" ht="24" customHeight="1">
      <c r="A203" s="75" t="s">
        <v>1395</v>
      </c>
      <c r="B203" s="75" t="s">
        <v>1396</v>
      </c>
      <c r="C203" s="76">
        <v>29</v>
      </c>
      <c r="D203" s="75" t="s">
        <v>179</v>
      </c>
      <c r="E203" s="77">
        <v>1575000</v>
      </c>
      <c r="F203" s="77">
        <f t="shared" si="28"/>
        <v>45675000</v>
      </c>
      <c r="G203" s="77">
        <v>0</v>
      </c>
      <c r="H203" s="77">
        <f t="shared" si="29"/>
        <v>0</v>
      </c>
      <c r="I203" s="77">
        <v>0</v>
      </c>
      <c r="J203" s="77">
        <f t="shared" si="30"/>
        <v>0</v>
      </c>
      <c r="K203" s="77">
        <f t="shared" si="31"/>
        <v>1575000</v>
      </c>
      <c r="L203" s="77">
        <f t="shared" si="27"/>
        <v>45675000</v>
      </c>
      <c r="M203" s="75"/>
    </row>
    <row r="204" spans="1:13" ht="24" customHeight="1">
      <c r="A204" s="75" t="s">
        <v>1397</v>
      </c>
      <c r="B204" s="75" t="s">
        <v>1398</v>
      </c>
      <c r="C204" s="76">
        <v>29</v>
      </c>
      <c r="D204" s="75" t="s">
        <v>179</v>
      </c>
      <c r="E204" s="77">
        <v>10868.550000000001</v>
      </c>
      <c r="F204" s="77">
        <f t="shared" si="28"/>
        <v>315188</v>
      </c>
      <c r="G204" s="77">
        <v>12285</v>
      </c>
      <c r="H204" s="77">
        <f t="shared" si="29"/>
        <v>356265</v>
      </c>
      <c r="I204" s="77">
        <v>0</v>
      </c>
      <c r="J204" s="77">
        <f t="shared" si="30"/>
        <v>0</v>
      </c>
      <c r="K204" s="77">
        <f t="shared" si="31"/>
        <v>23153.550000000003</v>
      </c>
      <c r="L204" s="77">
        <f t="shared" si="27"/>
        <v>671453</v>
      </c>
      <c r="M204" s="75"/>
    </row>
    <row r="205" spans="1:13" ht="24" customHeight="1">
      <c r="A205" s="75" t="s">
        <v>1401</v>
      </c>
      <c r="B205" s="75" t="s">
        <v>1402</v>
      </c>
      <c r="C205" s="76">
        <v>29</v>
      </c>
      <c r="D205" s="75" t="s">
        <v>179</v>
      </c>
      <c r="E205" s="77">
        <v>59386.950000000004</v>
      </c>
      <c r="F205" s="77">
        <f t="shared" si="28"/>
        <v>1722222</v>
      </c>
      <c r="G205" s="77">
        <v>54597.9</v>
      </c>
      <c r="H205" s="77">
        <f t="shared" si="29"/>
        <v>1583339</v>
      </c>
      <c r="I205" s="77">
        <v>0</v>
      </c>
      <c r="J205" s="77">
        <f t="shared" si="30"/>
        <v>0</v>
      </c>
      <c r="K205" s="77">
        <f t="shared" si="31"/>
        <v>113984.85</v>
      </c>
      <c r="L205" s="77">
        <f t="shared" si="27"/>
        <v>3305561</v>
      </c>
      <c r="M205" s="75"/>
    </row>
    <row r="206" spans="1:13" ht="24" customHeight="1">
      <c r="A206" s="75" t="s">
        <v>1401</v>
      </c>
      <c r="B206" s="75" t="s">
        <v>1403</v>
      </c>
      <c r="C206" s="76">
        <v>39</v>
      </c>
      <c r="D206" s="75" t="s">
        <v>179</v>
      </c>
      <c r="E206" s="77">
        <v>15750</v>
      </c>
      <c r="F206" s="77">
        <f t="shared" si="28"/>
        <v>614250</v>
      </c>
      <c r="G206" s="77">
        <v>0</v>
      </c>
      <c r="H206" s="77">
        <f t="shared" si="29"/>
        <v>0</v>
      </c>
      <c r="I206" s="77">
        <v>0</v>
      </c>
      <c r="J206" s="77">
        <f t="shared" si="30"/>
        <v>0</v>
      </c>
      <c r="K206" s="77">
        <f t="shared" si="31"/>
        <v>15750</v>
      </c>
      <c r="L206" s="77">
        <f t="shared" si="27"/>
        <v>614250</v>
      </c>
      <c r="M206" s="75"/>
    </row>
    <row r="207" spans="1:13" ht="24" customHeight="1">
      <c r="A207" s="75" t="s">
        <v>1404</v>
      </c>
      <c r="B207" s="75" t="s">
        <v>1405</v>
      </c>
      <c r="C207" s="76">
        <v>22</v>
      </c>
      <c r="D207" s="75" t="s">
        <v>1406</v>
      </c>
      <c r="E207" s="77">
        <v>14941.5</v>
      </c>
      <c r="F207" s="77">
        <f t="shared" si="28"/>
        <v>328713</v>
      </c>
      <c r="G207" s="77">
        <v>59622.15</v>
      </c>
      <c r="H207" s="77">
        <f t="shared" si="29"/>
        <v>1311687</v>
      </c>
      <c r="I207" s="77">
        <v>17196.900000000001</v>
      </c>
      <c r="J207" s="77">
        <f t="shared" si="30"/>
        <v>378332</v>
      </c>
      <c r="K207" s="77">
        <f t="shared" si="31"/>
        <v>91760.549999999988</v>
      </c>
      <c r="L207" s="77">
        <f t="shared" si="27"/>
        <v>2018732</v>
      </c>
      <c r="M207" s="75"/>
    </row>
    <row r="208" spans="1:13" ht="24" customHeight="1">
      <c r="A208" s="75" t="s">
        <v>1407</v>
      </c>
      <c r="B208" s="75" t="s">
        <v>1408</v>
      </c>
      <c r="C208" s="76">
        <v>1</v>
      </c>
      <c r="D208" s="75" t="s">
        <v>179</v>
      </c>
      <c r="E208" s="77">
        <v>148718.85</v>
      </c>
      <c r="F208" s="77">
        <f t="shared" si="28"/>
        <v>148719</v>
      </c>
      <c r="G208" s="77">
        <v>57315.3</v>
      </c>
      <c r="H208" s="77">
        <f t="shared" si="29"/>
        <v>57315</v>
      </c>
      <c r="I208" s="77">
        <v>0</v>
      </c>
      <c r="J208" s="77">
        <f t="shared" si="30"/>
        <v>0</v>
      </c>
      <c r="K208" s="77">
        <f t="shared" si="31"/>
        <v>206034.15000000002</v>
      </c>
      <c r="L208" s="77">
        <f t="shared" si="27"/>
        <v>206034</v>
      </c>
      <c r="M208" s="75"/>
    </row>
    <row r="209" spans="1:13" ht="24" customHeight="1">
      <c r="A209" s="75" t="s">
        <v>1409</v>
      </c>
      <c r="B209" s="75" t="s">
        <v>1410</v>
      </c>
      <c r="C209" s="76">
        <v>3</v>
      </c>
      <c r="D209" s="75" t="s">
        <v>179</v>
      </c>
      <c r="E209" s="77">
        <v>466734.45</v>
      </c>
      <c r="F209" s="77">
        <f t="shared" si="28"/>
        <v>1400203</v>
      </c>
      <c r="G209" s="77">
        <v>157819.20000000001</v>
      </c>
      <c r="H209" s="77">
        <f t="shared" si="29"/>
        <v>473458</v>
      </c>
      <c r="I209" s="77">
        <v>0</v>
      </c>
      <c r="J209" s="77">
        <f t="shared" si="30"/>
        <v>0</v>
      </c>
      <c r="K209" s="77">
        <f t="shared" si="31"/>
        <v>624553.65</v>
      </c>
      <c r="L209" s="77">
        <f t="shared" si="27"/>
        <v>1873661</v>
      </c>
      <c r="M209" s="75"/>
    </row>
    <row r="210" spans="1:13" ht="24" customHeight="1">
      <c r="A210" s="75" t="s">
        <v>1411</v>
      </c>
      <c r="B210" s="75" t="s">
        <v>1412</v>
      </c>
      <c r="C210" s="76">
        <v>3</v>
      </c>
      <c r="D210" s="75" t="s">
        <v>179</v>
      </c>
      <c r="E210" s="77">
        <v>294000</v>
      </c>
      <c r="F210" s="77">
        <f t="shared" si="28"/>
        <v>882000</v>
      </c>
      <c r="G210" s="77">
        <v>0</v>
      </c>
      <c r="H210" s="77">
        <f t="shared" si="29"/>
        <v>0</v>
      </c>
      <c r="I210" s="77">
        <v>0</v>
      </c>
      <c r="J210" s="77">
        <f t="shared" si="30"/>
        <v>0</v>
      </c>
      <c r="K210" s="77">
        <f t="shared" si="31"/>
        <v>294000</v>
      </c>
      <c r="L210" s="77">
        <f t="shared" si="27"/>
        <v>882000</v>
      </c>
      <c r="M210" s="75"/>
    </row>
    <row r="211" spans="1:13" ht="24" customHeight="1">
      <c r="A211" s="141" t="s">
        <v>1511</v>
      </c>
      <c r="B211" s="142"/>
      <c r="C211" s="72"/>
      <c r="D211" s="72"/>
      <c r="E211" s="73"/>
      <c r="F211" s="74">
        <f>SUM(F212:F248)</f>
        <v>36344294</v>
      </c>
      <c r="G211" s="73"/>
      <c r="H211" s="74">
        <f>SUM(H212:H248)</f>
        <v>16468932</v>
      </c>
      <c r="I211" s="73"/>
      <c r="J211" s="74">
        <f>SUM(J212:J248)</f>
        <v>290901</v>
      </c>
      <c r="K211" s="73"/>
      <c r="L211" s="74">
        <f t="shared" si="27"/>
        <v>53104127</v>
      </c>
      <c r="M211" s="72"/>
    </row>
    <row r="212" spans="1:13" ht="24" customHeight="1">
      <c r="A212" s="75" t="s">
        <v>1346</v>
      </c>
      <c r="B212" s="75" t="s">
        <v>1348</v>
      </c>
      <c r="C212" s="76">
        <v>74</v>
      </c>
      <c r="D212" s="75" t="s">
        <v>231</v>
      </c>
      <c r="E212" s="77">
        <v>1228.5</v>
      </c>
      <c r="F212" s="77">
        <f t="shared" ref="F212:F248" si="32">ROUND(E212*C212,0)</f>
        <v>90909</v>
      </c>
      <c r="G212" s="77">
        <v>9452.1</v>
      </c>
      <c r="H212" s="77">
        <f t="shared" ref="H212:H248" si="33">ROUND(G212*C212,0)</f>
        <v>699455</v>
      </c>
      <c r="I212" s="77">
        <v>0</v>
      </c>
      <c r="J212" s="77">
        <f t="shared" ref="J212:J248" si="34">ROUND(I212*C212,0)</f>
        <v>0</v>
      </c>
      <c r="K212" s="77">
        <f t="shared" ref="K212:K248" si="35">E212+G212+I212</f>
        <v>10680.6</v>
      </c>
      <c r="L212" s="77">
        <f t="shared" si="27"/>
        <v>790364</v>
      </c>
      <c r="M212" s="75"/>
    </row>
    <row r="213" spans="1:13" ht="24" customHeight="1">
      <c r="A213" s="75" t="s">
        <v>1346</v>
      </c>
      <c r="B213" s="75" t="s">
        <v>1512</v>
      </c>
      <c r="C213" s="76">
        <v>11</v>
      </c>
      <c r="D213" s="75" t="s">
        <v>231</v>
      </c>
      <c r="E213" s="77">
        <v>1916.25</v>
      </c>
      <c r="F213" s="77">
        <f t="shared" si="32"/>
        <v>21079</v>
      </c>
      <c r="G213" s="77">
        <v>11844</v>
      </c>
      <c r="H213" s="77">
        <f t="shared" si="33"/>
        <v>130284</v>
      </c>
      <c r="I213" s="77">
        <v>0</v>
      </c>
      <c r="J213" s="77">
        <f t="shared" si="34"/>
        <v>0</v>
      </c>
      <c r="K213" s="77">
        <f t="shared" si="35"/>
        <v>13760.25</v>
      </c>
      <c r="L213" s="77">
        <f t="shared" si="27"/>
        <v>151363</v>
      </c>
      <c r="M213" s="75"/>
    </row>
    <row r="214" spans="1:13" ht="24" customHeight="1">
      <c r="A214" s="75" t="s">
        <v>1346</v>
      </c>
      <c r="B214" s="75" t="s">
        <v>1422</v>
      </c>
      <c r="C214" s="76">
        <v>17</v>
      </c>
      <c r="D214" s="75" t="s">
        <v>231</v>
      </c>
      <c r="E214" s="77">
        <v>2410.8000000000002</v>
      </c>
      <c r="F214" s="77">
        <f t="shared" si="32"/>
        <v>40984</v>
      </c>
      <c r="G214" s="77">
        <v>11844</v>
      </c>
      <c r="H214" s="77">
        <f t="shared" si="33"/>
        <v>201348</v>
      </c>
      <c r="I214" s="77">
        <v>0</v>
      </c>
      <c r="J214" s="77">
        <f t="shared" si="34"/>
        <v>0</v>
      </c>
      <c r="K214" s="77">
        <f t="shared" si="35"/>
        <v>14254.8</v>
      </c>
      <c r="L214" s="77">
        <f t="shared" si="27"/>
        <v>242332</v>
      </c>
      <c r="M214" s="75"/>
    </row>
    <row r="215" spans="1:13" ht="24" customHeight="1">
      <c r="A215" s="75" t="s">
        <v>1346</v>
      </c>
      <c r="B215" s="75" t="s">
        <v>1423</v>
      </c>
      <c r="C215" s="76">
        <v>123</v>
      </c>
      <c r="D215" s="75" t="s">
        <v>231</v>
      </c>
      <c r="E215" s="77">
        <v>3284.4</v>
      </c>
      <c r="F215" s="77">
        <f t="shared" si="32"/>
        <v>403981</v>
      </c>
      <c r="G215" s="77">
        <v>17599.05</v>
      </c>
      <c r="H215" s="77">
        <f t="shared" si="33"/>
        <v>2164683</v>
      </c>
      <c r="I215" s="77">
        <v>0</v>
      </c>
      <c r="J215" s="77">
        <f t="shared" si="34"/>
        <v>0</v>
      </c>
      <c r="K215" s="77">
        <f t="shared" si="35"/>
        <v>20883.45</v>
      </c>
      <c r="L215" s="77">
        <f t="shared" si="27"/>
        <v>2568664</v>
      </c>
      <c r="M215" s="75"/>
    </row>
    <row r="216" spans="1:13" ht="24" customHeight="1">
      <c r="A216" s="75" t="s">
        <v>1349</v>
      </c>
      <c r="B216" s="75" t="s">
        <v>1350</v>
      </c>
      <c r="C216" s="76">
        <v>123</v>
      </c>
      <c r="D216" s="75" t="s">
        <v>231</v>
      </c>
      <c r="E216" s="77">
        <v>1972.95</v>
      </c>
      <c r="F216" s="77">
        <f t="shared" si="32"/>
        <v>242673</v>
      </c>
      <c r="G216" s="77">
        <v>2586.15</v>
      </c>
      <c r="H216" s="77">
        <f t="shared" si="33"/>
        <v>318096</v>
      </c>
      <c r="I216" s="77">
        <v>0</v>
      </c>
      <c r="J216" s="77">
        <f t="shared" si="34"/>
        <v>0</v>
      </c>
      <c r="K216" s="77">
        <f t="shared" si="35"/>
        <v>4559.1000000000004</v>
      </c>
      <c r="L216" s="77">
        <f t="shared" si="27"/>
        <v>560769</v>
      </c>
      <c r="M216" s="75"/>
    </row>
    <row r="217" spans="1:13" ht="24" customHeight="1">
      <c r="A217" s="75" t="s">
        <v>1356</v>
      </c>
      <c r="B217" s="75" t="s">
        <v>1414</v>
      </c>
      <c r="C217" s="76">
        <v>57</v>
      </c>
      <c r="D217" s="75" t="s">
        <v>231</v>
      </c>
      <c r="E217" s="77">
        <v>3052.35</v>
      </c>
      <c r="F217" s="77">
        <f t="shared" si="32"/>
        <v>173984</v>
      </c>
      <c r="G217" s="77">
        <v>0</v>
      </c>
      <c r="H217" s="77">
        <f t="shared" si="33"/>
        <v>0</v>
      </c>
      <c r="I217" s="77">
        <v>0</v>
      </c>
      <c r="J217" s="77">
        <f t="shared" si="34"/>
        <v>0</v>
      </c>
      <c r="K217" s="77">
        <f t="shared" si="35"/>
        <v>3052.35</v>
      </c>
      <c r="L217" s="77">
        <f t="shared" si="27"/>
        <v>173984</v>
      </c>
      <c r="M217" s="75"/>
    </row>
    <row r="218" spans="1:13" ht="24" customHeight="1">
      <c r="A218" s="75" t="s">
        <v>1424</v>
      </c>
      <c r="B218" s="75" t="s">
        <v>1425</v>
      </c>
      <c r="C218" s="76">
        <v>308</v>
      </c>
      <c r="D218" s="75" t="s">
        <v>231</v>
      </c>
      <c r="E218" s="77">
        <v>4023.6000000000004</v>
      </c>
      <c r="F218" s="77">
        <f t="shared" si="32"/>
        <v>1239269</v>
      </c>
      <c r="G218" s="77">
        <v>10218.6</v>
      </c>
      <c r="H218" s="77">
        <f t="shared" si="33"/>
        <v>3147329</v>
      </c>
      <c r="I218" s="77">
        <v>0</v>
      </c>
      <c r="J218" s="77">
        <f t="shared" si="34"/>
        <v>0</v>
      </c>
      <c r="K218" s="77">
        <f t="shared" si="35"/>
        <v>14242.2</v>
      </c>
      <c r="L218" s="77">
        <f t="shared" si="27"/>
        <v>4386598</v>
      </c>
      <c r="M218" s="75"/>
    </row>
    <row r="219" spans="1:13" ht="24" customHeight="1">
      <c r="A219" s="75" t="s">
        <v>1361</v>
      </c>
      <c r="B219" s="75" t="s">
        <v>1362</v>
      </c>
      <c r="C219" s="76">
        <v>4</v>
      </c>
      <c r="D219" s="75" t="s">
        <v>179</v>
      </c>
      <c r="E219" s="77">
        <v>7450.8</v>
      </c>
      <c r="F219" s="77">
        <f t="shared" si="32"/>
        <v>29803</v>
      </c>
      <c r="G219" s="77">
        <v>46062.450000000004</v>
      </c>
      <c r="H219" s="77">
        <f t="shared" si="33"/>
        <v>184250</v>
      </c>
      <c r="I219" s="77">
        <v>0</v>
      </c>
      <c r="J219" s="77">
        <f t="shared" si="34"/>
        <v>0</v>
      </c>
      <c r="K219" s="77">
        <f t="shared" si="35"/>
        <v>53513.250000000007</v>
      </c>
      <c r="L219" s="77">
        <f t="shared" si="27"/>
        <v>214053</v>
      </c>
      <c r="M219" s="75"/>
    </row>
    <row r="220" spans="1:13" ht="24" customHeight="1">
      <c r="A220" s="75" t="s">
        <v>1365</v>
      </c>
      <c r="B220" s="75" t="s">
        <v>1366</v>
      </c>
      <c r="C220" s="76">
        <v>152</v>
      </c>
      <c r="D220" s="75" t="s">
        <v>231</v>
      </c>
      <c r="E220" s="77">
        <v>196.35</v>
      </c>
      <c r="F220" s="77">
        <f t="shared" si="32"/>
        <v>29845</v>
      </c>
      <c r="G220" s="77">
        <v>248.85000000000002</v>
      </c>
      <c r="H220" s="77">
        <f t="shared" si="33"/>
        <v>37825</v>
      </c>
      <c r="I220" s="77">
        <v>0</v>
      </c>
      <c r="J220" s="77">
        <f t="shared" si="34"/>
        <v>0</v>
      </c>
      <c r="K220" s="77">
        <f t="shared" si="35"/>
        <v>445.20000000000005</v>
      </c>
      <c r="L220" s="77">
        <f t="shared" si="27"/>
        <v>67670</v>
      </c>
      <c r="M220" s="75"/>
    </row>
    <row r="221" spans="1:13" ht="24" customHeight="1">
      <c r="A221" s="75" t="s">
        <v>1428</v>
      </c>
      <c r="B221" s="75" t="s">
        <v>1429</v>
      </c>
      <c r="C221" s="78">
        <v>5.0979999999999999</v>
      </c>
      <c r="D221" s="75" t="s">
        <v>99</v>
      </c>
      <c r="E221" s="77">
        <v>106344</v>
      </c>
      <c r="F221" s="77">
        <f t="shared" si="32"/>
        <v>542142</v>
      </c>
      <c r="G221" s="77">
        <v>0</v>
      </c>
      <c r="H221" s="77">
        <f t="shared" si="33"/>
        <v>0</v>
      </c>
      <c r="I221" s="77">
        <v>0</v>
      </c>
      <c r="J221" s="77">
        <f t="shared" si="34"/>
        <v>0</v>
      </c>
      <c r="K221" s="77">
        <f t="shared" si="35"/>
        <v>106344</v>
      </c>
      <c r="L221" s="77">
        <f t="shared" si="27"/>
        <v>542142</v>
      </c>
      <c r="M221" s="75"/>
    </row>
    <row r="222" spans="1:13" ht="24" customHeight="1">
      <c r="A222" s="75" t="s">
        <v>1372</v>
      </c>
      <c r="B222" s="75" t="s">
        <v>1373</v>
      </c>
      <c r="C222" s="78">
        <v>107.04</v>
      </c>
      <c r="D222" s="75" t="s">
        <v>99</v>
      </c>
      <c r="E222" s="77">
        <v>526.05000000000007</v>
      </c>
      <c r="F222" s="77">
        <f t="shared" si="32"/>
        <v>56308</v>
      </c>
      <c r="G222" s="77">
        <v>4891.95</v>
      </c>
      <c r="H222" s="77">
        <f t="shared" si="33"/>
        <v>523634</v>
      </c>
      <c r="I222" s="77">
        <v>507.15000000000003</v>
      </c>
      <c r="J222" s="77">
        <f t="shared" si="34"/>
        <v>54285</v>
      </c>
      <c r="K222" s="77">
        <f t="shared" si="35"/>
        <v>5925.15</v>
      </c>
      <c r="L222" s="77">
        <f t="shared" si="27"/>
        <v>634227</v>
      </c>
      <c r="M222" s="75"/>
    </row>
    <row r="223" spans="1:13" ht="24" customHeight="1">
      <c r="A223" s="75" t="s">
        <v>1374</v>
      </c>
      <c r="B223" s="75" t="s">
        <v>1373</v>
      </c>
      <c r="C223" s="78">
        <v>100.262</v>
      </c>
      <c r="D223" s="75" t="s">
        <v>99</v>
      </c>
      <c r="E223" s="77">
        <v>471.45000000000005</v>
      </c>
      <c r="F223" s="77">
        <f t="shared" si="32"/>
        <v>47269</v>
      </c>
      <c r="G223" s="77">
        <v>3085.9500000000003</v>
      </c>
      <c r="H223" s="77">
        <f t="shared" si="33"/>
        <v>309404</v>
      </c>
      <c r="I223" s="77">
        <v>507.15000000000003</v>
      </c>
      <c r="J223" s="77">
        <f t="shared" si="34"/>
        <v>50848</v>
      </c>
      <c r="K223" s="77">
        <f t="shared" si="35"/>
        <v>4064.5500000000006</v>
      </c>
      <c r="L223" s="77">
        <f t="shared" si="27"/>
        <v>407521</v>
      </c>
      <c r="M223" s="75"/>
    </row>
    <row r="224" spans="1:13" ht="24" customHeight="1">
      <c r="A224" s="75" t="s">
        <v>1375</v>
      </c>
      <c r="B224" s="75" t="s">
        <v>1376</v>
      </c>
      <c r="C224" s="78">
        <v>6.7779999999999996</v>
      </c>
      <c r="D224" s="75" t="s">
        <v>99</v>
      </c>
      <c r="E224" s="77">
        <v>1083.6000000000001</v>
      </c>
      <c r="F224" s="77">
        <f t="shared" si="32"/>
        <v>7345</v>
      </c>
      <c r="G224" s="77">
        <v>36133.65</v>
      </c>
      <c r="H224" s="77">
        <f t="shared" si="33"/>
        <v>244914</v>
      </c>
      <c r="I224" s="77">
        <v>0</v>
      </c>
      <c r="J224" s="77">
        <f t="shared" si="34"/>
        <v>0</v>
      </c>
      <c r="K224" s="77">
        <f t="shared" si="35"/>
        <v>37217.25</v>
      </c>
      <c r="L224" s="77">
        <f t="shared" si="27"/>
        <v>252259</v>
      </c>
      <c r="M224" s="75"/>
    </row>
    <row r="225" spans="1:13" ht="24" customHeight="1">
      <c r="A225" s="75" t="s">
        <v>1430</v>
      </c>
      <c r="B225" s="75" t="s">
        <v>1431</v>
      </c>
      <c r="C225" s="78">
        <v>5.0979999999999999</v>
      </c>
      <c r="D225" s="75" t="s">
        <v>99</v>
      </c>
      <c r="E225" s="77">
        <v>1846.95</v>
      </c>
      <c r="F225" s="77">
        <f t="shared" si="32"/>
        <v>9416</v>
      </c>
      <c r="G225" s="77">
        <v>61566.75</v>
      </c>
      <c r="H225" s="77">
        <f t="shared" si="33"/>
        <v>313867</v>
      </c>
      <c r="I225" s="77">
        <v>0</v>
      </c>
      <c r="J225" s="77">
        <f t="shared" si="34"/>
        <v>0</v>
      </c>
      <c r="K225" s="77">
        <f t="shared" si="35"/>
        <v>63413.7</v>
      </c>
      <c r="L225" s="77">
        <f t="shared" si="27"/>
        <v>323283</v>
      </c>
      <c r="M225" s="75"/>
    </row>
    <row r="226" spans="1:13" ht="24" customHeight="1">
      <c r="A226" s="75" t="s">
        <v>1432</v>
      </c>
      <c r="B226" s="75" t="s">
        <v>1433</v>
      </c>
      <c r="C226" s="76">
        <v>20</v>
      </c>
      <c r="D226" s="75" t="s">
        <v>93</v>
      </c>
      <c r="E226" s="77">
        <v>25646.25</v>
      </c>
      <c r="F226" s="77">
        <f t="shared" si="32"/>
        <v>512925</v>
      </c>
      <c r="G226" s="77">
        <v>37272.9</v>
      </c>
      <c r="H226" s="77">
        <f t="shared" si="33"/>
        <v>745458</v>
      </c>
      <c r="I226" s="77">
        <v>0</v>
      </c>
      <c r="J226" s="77">
        <f t="shared" si="34"/>
        <v>0</v>
      </c>
      <c r="K226" s="77">
        <f t="shared" si="35"/>
        <v>62919.15</v>
      </c>
      <c r="L226" s="77">
        <f t="shared" ref="L226:L251" si="36">F226+H226+J226</f>
        <v>1258383</v>
      </c>
      <c r="M226" s="75"/>
    </row>
    <row r="227" spans="1:13" ht="24" customHeight="1">
      <c r="A227" s="75" t="s">
        <v>1434</v>
      </c>
      <c r="B227" s="75"/>
      <c r="C227" s="76">
        <v>6</v>
      </c>
      <c r="D227" s="75" t="s">
        <v>179</v>
      </c>
      <c r="E227" s="77">
        <v>36750</v>
      </c>
      <c r="F227" s="77">
        <f t="shared" si="32"/>
        <v>220500</v>
      </c>
      <c r="G227" s="77">
        <v>0</v>
      </c>
      <c r="H227" s="77">
        <f t="shared" si="33"/>
        <v>0</v>
      </c>
      <c r="I227" s="77">
        <v>0</v>
      </c>
      <c r="J227" s="77">
        <f t="shared" si="34"/>
        <v>0</v>
      </c>
      <c r="K227" s="77">
        <f t="shared" si="35"/>
        <v>36750</v>
      </c>
      <c r="L227" s="77">
        <f t="shared" si="36"/>
        <v>220500</v>
      </c>
      <c r="M227" s="75"/>
    </row>
    <row r="228" spans="1:13" ht="24" customHeight="1">
      <c r="A228" s="75" t="s">
        <v>1513</v>
      </c>
      <c r="B228" s="75" t="s">
        <v>1514</v>
      </c>
      <c r="C228" s="76">
        <v>2</v>
      </c>
      <c r="D228" s="75" t="s">
        <v>368</v>
      </c>
      <c r="E228" s="77">
        <v>40887</v>
      </c>
      <c r="F228" s="77">
        <f t="shared" si="32"/>
        <v>81774</v>
      </c>
      <c r="G228" s="77">
        <v>137932.20000000001</v>
      </c>
      <c r="H228" s="77">
        <f t="shared" si="33"/>
        <v>275864</v>
      </c>
      <c r="I228" s="77">
        <v>0</v>
      </c>
      <c r="J228" s="77">
        <f t="shared" si="34"/>
        <v>0</v>
      </c>
      <c r="K228" s="77">
        <f t="shared" si="35"/>
        <v>178819.20000000001</v>
      </c>
      <c r="L228" s="77">
        <f t="shared" si="36"/>
        <v>357638</v>
      </c>
      <c r="M228" s="75"/>
    </row>
    <row r="229" spans="1:13" ht="24" customHeight="1">
      <c r="A229" s="75" t="s">
        <v>1515</v>
      </c>
      <c r="B229" s="75" t="s">
        <v>1516</v>
      </c>
      <c r="C229" s="76">
        <v>3</v>
      </c>
      <c r="D229" s="75" t="s">
        <v>179</v>
      </c>
      <c r="E229" s="77">
        <v>372234.45</v>
      </c>
      <c r="F229" s="77">
        <f t="shared" si="32"/>
        <v>1116703</v>
      </c>
      <c r="G229" s="77">
        <v>157819.20000000001</v>
      </c>
      <c r="H229" s="77">
        <f t="shared" si="33"/>
        <v>473458</v>
      </c>
      <c r="I229" s="77">
        <v>0</v>
      </c>
      <c r="J229" s="77">
        <f t="shared" si="34"/>
        <v>0</v>
      </c>
      <c r="K229" s="77">
        <f t="shared" si="35"/>
        <v>530053.65</v>
      </c>
      <c r="L229" s="77">
        <f t="shared" si="36"/>
        <v>1590161</v>
      </c>
      <c r="M229" s="75"/>
    </row>
    <row r="230" spans="1:13" ht="24" customHeight="1">
      <c r="A230" s="75" t="s">
        <v>1517</v>
      </c>
      <c r="B230" s="75" t="s">
        <v>1518</v>
      </c>
      <c r="C230" s="76">
        <v>1</v>
      </c>
      <c r="D230" s="75" t="s">
        <v>376</v>
      </c>
      <c r="E230" s="77">
        <v>22116.15</v>
      </c>
      <c r="F230" s="77">
        <f t="shared" si="32"/>
        <v>22116</v>
      </c>
      <c r="G230" s="77">
        <v>737239.65</v>
      </c>
      <c r="H230" s="77">
        <f t="shared" si="33"/>
        <v>737240</v>
      </c>
      <c r="I230" s="77">
        <v>0</v>
      </c>
      <c r="J230" s="77">
        <f t="shared" si="34"/>
        <v>0</v>
      </c>
      <c r="K230" s="77">
        <f t="shared" si="35"/>
        <v>759355.8</v>
      </c>
      <c r="L230" s="77">
        <f t="shared" si="36"/>
        <v>759356</v>
      </c>
      <c r="M230" s="75"/>
    </row>
    <row r="231" spans="1:13" ht="24" customHeight="1">
      <c r="A231" s="75" t="s">
        <v>1519</v>
      </c>
      <c r="B231" s="75" t="s">
        <v>1520</v>
      </c>
      <c r="C231" s="76">
        <v>1</v>
      </c>
      <c r="D231" s="75" t="s">
        <v>179</v>
      </c>
      <c r="E231" s="77">
        <v>5460000</v>
      </c>
      <c r="F231" s="77">
        <f t="shared" si="32"/>
        <v>5460000</v>
      </c>
      <c r="G231" s="77">
        <v>0</v>
      </c>
      <c r="H231" s="77">
        <f t="shared" si="33"/>
        <v>0</v>
      </c>
      <c r="I231" s="77">
        <v>0</v>
      </c>
      <c r="J231" s="77">
        <f t="shared" si="34"/>
        <v>0</v>
      </c>
      <c r="K231" s="77">
        <f t="shared" si="35"/>
        <v>5460000</v>
      </c>
      <c r="L231" s="77">
        <f t="shared" si="36"/>
        <v>5460000</v>
      </c>
      <c r="M231" s="75"/>
    </row>
    <row r="232" spans="1:13" ht="24" customHeight="1">
      <c r="A232" s="75" t="s">
        <v>1435</v>
      </c>
      <c r="B232" s="75" t="s">
        <v>1436</v>
      </c>
      <c r="C232" s="76">
        <v>2</v>
      </c>
      <c r="D232" s="75" t="s">
        <v>179</v>
      </c>
      <c r="E232" s="77">
        <v>388500</v>
      </c>
      <c r="F232" s="77">
        <f t="shared" si="32"/>
        <v>777000</v>
      </c>
      <c r="G232" s="77">
        <v>0</v>
      </c>
      <c r="H232" s="77">
        <f t="shared" si="33"/>
        <v>0</v>
      </c>
      <c r="I232" s="77">
        <v>0</v>
      </c>
      <c r="J232" s="77">
        <f t="shared" si="34"/>
        <v>0</v>
      </c>
      <c r="K232" s="77">
        <f t="shared" si="35"/>
        <v>388500</v>
      </c>
      <c r="L232" s="77">
        <f t="shared" si="36"/>
        <v>777000</v>
      </c>
      <c r="M232" s="75"/>
    </row>
    <row r="233" spans="1:13" ht="24" customHeight="1">
      <c r="A233" s="75" t="s">
        <v>1380</v>
      </c>
      <c r="B233" s="75" t="s">
        <v>1418</v>
      </c>
      <c r="C233" s="76">
        <v>56</v>
      </c>
      <c r="D233" s="75" t="s">
        <v>231</v>
      </c>
      <c r="E233" s="77">
        <v>131.25</v>
      </c>
      <c r="F233" s="77">
        <f t="shared" si="32"/>
        <v>7350</v>
      </c>
      <c r="G233" s="77">
        <v>4390.05</v>
      </c>
      <c r="H233" s="77">
        <f t="shared" si="33"/>
        <v>245843</v>
      </c>
      <c r="I233" s="77">
        <v>0</v>
      </c>
      <c r="J233" s="77">
        <f t="shared" si="34"/>
        <v>0</v>
      </c>
      <c r="K233" s="77">
        <f t="shared" si="35"/>
        <v>4521.3</v>
      </c>
      <c r="L233" s="77">
        <f t="shared" si="36"/>
        <v>253193</v>
      </c>
      <c r="M233" s="75"/>
    </row>
    <row r="234" spans="1:13" ht="24" customHeight="1">
      <c r="A234" s="75" t="s">
        <v>1521</v>
      </c>
      <c r="B234" s="75"/>
      <c r="C234" s="76">
        <v>1</v>
      </c>
      <c r="D234" s="75" t="s">
        <v>179</v>
      </c>
      <c r="E234" s="77">
        <v>579292.35</v>
      </c>
      <c r="F234" s="77">
        <f t="shared" si="32"/>
        <v>579292</v>
      </c>
      <c r="G234" s="77">
        <v>59770.200000000004</v>
      </c>
      <c r="H234" s="77">
        <f t="shared" si="33"/>
        <v>59770</v>
      </c>
      <c r="I234" s="77">
        <v>0</v>
      </c>
      <c r="J234" s="77">
        <f t="shared" si="34"/>
        <v>0</v>
      </c>
      <c r="K234" s="77">
        <f t="shared" si="35"/>
        <v>639062.54999999993</v>
      </c>
      <c r="L234" s="77">
        <f t="shared" si="36"/>
        <v>639062</v>
      </c>
      <c r="M234" s="75"/>
    </row>
    <row r="235" spans="1:13" ht="24" customHeight="1">
      <c r="A235" s="75" t="s">
        <v>1437</v>
      </c>
      <c r="B235" s="75" t="s">
        <v>1438</v>
      </c>
      <c r="C235" s="76">
        <v>4</v>
      </c>
      <c r="D235" s="75" t="s">
        <v>179</v>
      </c>
      <c r="E235" s="77">
        <v>390093.9</v>
      </c>
      <c r="F235" s="77">
        <f t="shared" si="32"/>
        <v>1560376</v>
      </c>
      <c r="G235" s="77">
        <v>403160.10000000003</v>
      </c>
      <c r="H235" s="77">
        <f t="shared" si="33"/>
        <v>1612640</v>
      </c>
      <c r="I235" s="77">
        <v>0</v>
      </c>
      <c r="J235" s="77">
        <f t="shared" si="34"/>
        <v>0</v>
      </c>
      <c r="K235" s="77">
        <f t="shared" si="35"/>
        <v>793254</v>
      </c>
      <c r="L235" s="77">
        <f t="shared" si="36"/>
        <v>3173016</v>
      </c>
      <c r="M235" s="75"/>
    </row>
    <row r="236" spans="1:13" ht="24" customHeight="1">
      <c r="A236" s="75" t="s">
        <v>1437</v>
      </c>
      <c r="B236" s="75" t="s">
        <v>1522</v>
      </c>
      <c r="C236" s="76">
        <v>2</v>
      </c>
      <c r="D236" s="75" t="s">
        <v>179</v>
      </c>
      <c r="E236" s="77">
        <v>558093.9</v>
      </c>
      <c r="F236" s="77">
        <f t="shared" si="32"/>
        <v>1116188</v>
      </c>
      <c r="G236" s="77">
        <v>403160.10000000003</v>
      </c>
      <c r="H236" s="77">
        <f t="shared" si="33"/>
        <v>806320</v>
      </c>
      <c r="I236" s="77">
        <v>0</v>
      </c>
      <c r="J236" s="77">
        <f t="shared" si="34"/>
        <v>0</v>
      </c>
      <c r="K236" s="77">
        <f t="shared" si="35"/>
        <v>961254</v>
      </c>
      <c r="L236" s="77">
        <f t="shared" si="36"/>
        <v>1922508</v>
      </c>
      <c r="M236" s="75"/>
    </row>
    <row r="237" spans="1:13" ht="24" customHeight="1">
      <c r="A237" s="75" t="s">
        <v>1523</v>
      </c>
      <c r="B237" s="75"/>
      <c r="C237" s="76">
        <v>1</v>
      </c>
      <c r="D237" s="75" t="s">
        <v>179</v>
      </c>
      <c r="E237" s="77">
        <v>577500</v>
      </c>
      <c r="F237" s="77">
        <f t="shared" si="32"/>
        <v>577500</v>
      </c>
      <c r="G237" s="77">
        <v>0</v>
      </c>
      <c r="H237" s="77">
        <f t="shared" si="33"/>
        <v>0</v>
      </c>
      <c r="I237" s="77">
        <v>0</v>
      </c>
      <c r="J237" s="77">
        <f t="shared" si="34"/>
        <v>0</v>
      </c>
      <c r="K237" s="77">
        <f t="shared" si="35"/>
        <v>577500</v>
      </c>
      <c r="L237" s="77">
        <f t="shared" si="36"/>
        <v>577500</v>
      </c>
      <c r="M237" s="75"/>
    </row>
    <row r="238" spans="1:13" ht="24" customHeight="1">
      <c r="A238" s="75" t="s">
        <v>1524</v>
      </c>
      <c r="B238" s="75"/>
      <c r="C238" s="76">
        <v>2</v>
      </c>
      <c r="D238" s="75" t="s">
        <v>179</v>
      </c>
      <c r="E238" s="77">
        <v>531921.6</v>
      </c>
      <c r="F238" s="77">
        <f t="shared" si="32"/>
        <v>1063843</v>
      </c>
      <c r="G238" s="77">
        <v>230744.85</v>
      </c>
      <c r="H238" s="77">
        <f t="shared" si="33"/>
        <v>461490</v>
      </c>
      <c r="I238" s="77">
        <v>0</v>
      </c>
      <c r="J238" s="77">
        <f t="shared" si="34"/>
        <v>0</v>
      </c>
      <c r="K238" s="77">
        <f t="shared" si="35"/>
        <v>762666.45</v>
      </c>
      <c r="L238" s="77">
        <f t="shared" si="36"/>
        <v>1525333</v>
      </c>
      <c r="M238" s="75"/>
    </row>
    <row r="239" spans="1:13" ht="24" customHeight="1">
      <c r="A239" s="75" t="s">
        <v>1525</v>
      </c>
      <c r="B239" s="75" t="s">
        <v>1526</v>
      </c>
      <c r="C239" s="76">
        <v>2</v>
      </c>
      <c r="D239" s="75" t="s">
        <v>179</v>
      </c>
      <c r="E239" s="77">
        <v>487180.05000000005</v>
      </c>
      <c r="F239" s="77">
        <f t="shared" si="32"/>
        <v>974360</v>
      </c>
      <c r="G239" s="77">
        <v>489368.25</v>
      </c>
      <c r="H239" s="77">
        <f t="shared" si="33"/>
        <v>978737</v>
      </c>
      <c r="I239" s="77">
        <v>0</v>
      </c>
      <c r="J239" s="77">
        <f t="shared" si="34"/>
        <v>0</v>
      </c>
      <c r="K239" s="77">
        <f t="shared" si="35"/>
        <v>976548.3</v>
      </c>
      <c r="L239" s="77">
        <f t="shared" si="36"/>
        <v>1953097</v>
      </c>
      <c r="M239" s="75"/>
    </row>
    <row r="240" spans="1:13" ht="24" customHeight="1">
      <c r="A240" s="75" t="s">
        <v>1527</v>
      </c>
      <c r="B240" s="75" t="s">
        <v>1528</v>
      </c>
      <c r="C240" s="76">
        <v>2</v>
      </c>
      <c r="D240" s="75" t="s">
        <v>179</v>
      </c>
      <c r="E240" s="77">
        <v>176919.75</v>
      </c>
      <c r="F240" s="77">
        <f t="shared" si="32"/>
        <v>353840</v>
      </c>
      <c r="G240" s="77">
        <v>122341.8</v>
      </c>
      <c r="H240" s="77">
        <f t="shared" si="33"/>
        <v>244684</v>
      </c>
      <c r="I240" s="77">
        <v>0</v>
      </c>
      <c r="J240" s="77">
        <f t="shared" si="34"/>
        <v>0</v>
      </c>
      <c r="K240" s="77">
        <f t="shared" si="35"/>
        <v>299261.55</v>
      </c>
      <c r="L240" s="77">
        <f t="shared" si="36"/>
        <v>598524</v>
      </c>
      <c r="M240" s="75"/>
    </row>
    <row r="241" spans="1:13" ht="24" customHeight="1">
      <c r="A241" s="75" t="s">
        <v>1529</v>
      </c>
      <c r="B241" s="75"/>
      <c r="C241" s="76">
        <v>1</v>
      </c>
      <c r="D241" s="75" t="s">
        <v>179</v>
      </c>
      <c r="E241" s="77">
        <v>9450000</v>
      </c>
      <c r="F241" s="77">
        <f t="shared" si="32"/>
        <v>9450000</v>
      </c>
      <c r="G241" s="77">
        <v>0</v>
      </c>
      <c r="H241" s="77">
        <f t="shared" si="33"/>
        <v>0</v>
      </c>
      <c r="I241" s="77">
        <v>0</v>
      </c>
      <c r="J241" s="77">
        <f t="shared" si="34"/>
        <v>0</v>
      </c>
      <c r="K241" s="77">
        <f t="shared" si="35"/>
        <v>9450000</v>
      </c>
      <c r="L241" s="77">
        <f t="shared" si="36"/>
        <v>9450000</v>
      </c>
      <c r="M241" s="75"/>
    </row>
    <row r="242" spans="1:13" ht="24" customHeight="1">
      <c r="A242" s="75" t="s">
        <v>1439</v>
      </c>
      <c r="B242" s="75"/>
      <c r="C242" s="76">
        <v>2</v>
      </c>
      <c r="D242" s="75" t="s">
        <v>179</v>
      </c>
      <c r="E242" s="77">
        <v>945000</v>
      </c>
      <c r="F242" s="77">
        <f t="shared" si="32"/>
        <v>1890000</v>
      </c>
      <c r="G242" s="77">
        <v>0</v>
      </c>
      <c r="H242" s="77">
        <f t="shared" si="33"/>
        <v>0</v>
      </c>
      <c r="I242" s="77">
        <v>0</v>
      </c>
      <c r="J242" s="77">
        <f t="shared" si="34"/>
        <v>0</v>
      </c>
      <c r="K242" s="77">
        <f t="shared" si="35"/>
        <v>945000</v>
      </c>
      <c r="L242" s="77">
        <f t="shared" si="36"/>
        <v>1890000</v>
      </c>
      <c r="M242" s="75"/>
    </row>
    <row r="243" spans="1:13" ht="24" customHeight="1">
      <c r="A243" s="75" t="s">
        <v>1440</v>
      </c>
      <c r="B243" s="75"/>
      <c r="C243" s="76">
        <v>1</v>
      </c>
      <c r="D243" s="75" t="s">
        <v>179</v>
      </c>
      <c r="E243" s="77">
        <v>1260000</v>
      </c>
      <c r="F243" s="77">
        <f t="shared" si="32"/>
        <v>1260000</v>
      </c>
      <c r="G243" s="77">
        <v>0</v>
      </c>
      <c r="H243" s="77">
        <f t="shared" si="33"/>
        <v>0</v>
      </c>
      <c r="I243" s="77">
        <v>0</v>
      </c>
      <c r="J243" s="77">
        <f t="shared" si="34"/>
        <v>0</v>
      </c>
      <c r="K243" s="77">
        <f t="shared" si="35"/>
        <v>1260000</v>
      </c>
      <c r="L243" s="77">
        <f t="shared" si="36"/>
        <v>1260000</v>
      </c>
      <c r="M243" s="75"/>
    </row>
    <row r="244" spans="1:13" ht="24" customHeight="1">
      <c r="A244" s="75" t="s">
        <v>1441</v>
      </c>
      <c r="B244" s="75" t="s">
        <v>1443</v>
      </c>
      <c r="C244" s="76">
        <v>1</v>
      </c>
      <c r="D244" s="75" t="s">
        <v>179</v>
      </c>
      <c r="E244" s="77">
        <v>2117518.2000000002</v>
      </c>
      <c r="F244" s="77">
        <f t="shared" si="32"/>
        <v>2117518</v>
      </c>
      <c r="G244" s="77">
        <v>583961.70000000007</v>
      </c>
      <c r="H244" s="77">
        <f t="shared" si="33"/>
        <v>583962</v>
      </c>
      <c r="I244" s="77">
        <v>0</v>
      </c>
      <c r="J244" s="77">
        <f t="shared" si="34"/>
        <v>0</v>
      </c>
      <c r="K244" s="77">
        <f t="shared" si="35"/>
        <v>2701479.9000000004</v>
      </c>
      <c r="L244" s="77">
        <f t="shared" si="36"/>
        <v>2701480</v>
      </c>
      <c r="M244" s="75"/>
    </row>
    <row r="245" spans="1:13" ht="24" customHeight="1">
      <c r="A245" s="75" t="s">
        <v>1441</v>
      </c>
      <c r="B245" s="75" t="s">
        <v>1530</v>
      </c>
      <c r="C245" s="76">
        <v>1</v>
      </c>
      <c r="D245" s="75" t="s">
        <v>179</v>
      </c>
      <c r="E245" s="77">
        <v>2112512.85</v>
      </c>
      <c r="F245" s="77">
        <f t="shared" si="32"/>
        <v>2112513</v>
      </c>
      <c r="G245" s="77">
        <v>417115.65</v>
      </c>
      <c r="H245" s="77">
        <f t="shared" si="33"/>
        <v>417116</v>
      </c>
      <c r="I245" s="77">
        <v>0</v>
      </c>
      <c r="J245" s="77">
        <f t="shared" si="34"/>
        <v>0</v>
      </c>
      <c r="K245" s="77">
        <f t="shared" si="35"/>
        <v>2529628.5</v>
      </c>
      <c r="L245" s="77">
        <f t="shared" si="36"/>
        <v>2529629</v>
      </c>
      <c r="M245" s="75"/>
    </row>
    <row r="246" spans="1:13" ht="24" customHeight="1">
      <c r="A246" s="75" t="s">
        <v>1531</v>
      </c>
      <c r="B246" s="75"/>
      <c r="C246" s="76">
        <v>1</v>
      </c>
      <c r="D246" s="75" t="s">
        <v>179</v>
      </c>
      <c r="E246" s="77">
        <v>682500</v>
      </c>
      <c r="F246" s="77">
        <f t="shared" si="32"/>
        <v>682500</v>
      </c>
      <c r="G246" s="77">
        <v>0</v>
      </c>
      <c r="H246" s="77">
        <f t="shared" si="33"/>
        <v>0</v>
      </c>
      <c r="I246" s="77">
        <v>0</v>
      </c>
      <c r="J246" s="77">
        <f t="shared" si="34"/>
        <v>0</v>
      </c>
      <c r="K246" s="77">
        <f t="shared" si="35"/>
        <v>682500</v>
      </c>
      <c r="L246" s="77">
        <f t="shared" si="36"/>
        <v>682500</v>
      </c>
      <c r="M246" s="75"/>
    </row>
    <row r="247" spans="1:13" ht="24" customHeight="1">
      <c r="A247" s="75" t="s">
        <v>1532</v>
      </c>
      <c r="B247" s="75"/>
      <c r="C247" s="76">
        <v>2</v>
      </c>
      <c r="D247" s="75" t="s">
        <v>179</v>
      </c>
      <c r="E247" s="77">
        <v>686169.75</v>
      </c>
      <c r="F247" s="77">
        <f t="shared" si="32"/>
        <v>1372340</v>
      </c>
      <c r="G247" s="77">
        <v>122341.8</v>
      </c>
      <c r="H247" s="77">
        <f t="shared" si="33"/>
        <v>244684</v>
      </c>
      <c r="I247" s="77">
        <v>0</v>
      </c>
      <c r="J247" s="77">
        <f t="shared" si="34"/>
        <v>0</v>
      </c>
      <c r="K247" s="77">
        <f t="shared" si="35"/>
        <v>808511.55</v>
      </c>
      <c r="L247" s="77">
        <f t="shared" si="36"/>
        <v>1617024</v>
      </c>
      <c r="M247" s="75"/>
    </row>
    <row r="248" spans="1:13" ht="24" customHeight="1">
      <c r="A248" s="75" t="s">
        <v>1444</v>
      </c>
      <c r="B248" s="75" t="s">
        <v>1445</v>
      </c>
      <c r="C248" s="76">
        <v>6</v>
      </c>
      <c r="D248" s="75" t="s">
        <v>1406</v>
      </c>
      <c r="E248" s="77">
        <v>16774.8</v>
      </c>
      <c r="F248" s="77">
        <f t="shared" si="32"/>
        <v>100649</v>
      </c>
      <c r="G248" s="77">
        <v>51096.15</v>
      </c>
      <c r="H248" s="77">
        <f t="shared" si="33"/>
        <v>306577</v>
      </c>
      <c r="I248" s="77">
        <v>30961.350000000002</v>
      </c>
      <c r="J248" s="77">
        <f t="shared" si="34"/>
        <v>185768</v>
      </c>
      <c r="K248" s="77">
        <f t="shared" si="35"/>
        <v>98832.3</v>
      </c>
      <c r="L248" s="77">
        <f t="shared" si="36"/>
        <v>592994</v>
      </c>
      <c r="M248" s="75"/>
    </row>
    <row r="249" spans="1:13" ht="24" customHeight="1">
      <c r="A249" s="141" t="s">
        <v>1533</v>
      </c>
      <c r="B249" s="142"/>
      <c r="C249" s="72"/>
      <c r="D249" s="72"/>
      <c r="E249" s="73"/>
      <c r="F249" s="74">
        <f>SUM(F250:F250)</f>
        <v>24853500</v>
      </c>
      <c r="G249" s="73"/>
      <c r="H249" s="74">
        <f>SUM(H250:H250)</f>
        <v>0</v>
      </c>
      <c r="I249" s="73"/>
      <c r="J249" s="74">
        <f>SUM(J250:J250)</f>
        <v>0</v>
      </c>
      <c r="K249" s="73"/>
      <c r="L249" s="74">
        <f t="shared" si="36"/>
        <v>24853500</v>
      </c>
      <c r="M249" s="72"/>
    </row>
    <row r="250" spans="1:13" ht="24" customHeight="1">
      <c r="A250" s="75" t="s">
        <v>1504</v>
      </c>
      <c r="B250" s="75"/>
      <c r="C250" s="76">
        <v>1</v>
      </c>
      <c r="D250" s="75" t="s">
        <v>1505</v>
      </c>
      <c r="E250" s="77">
        <v>24853500</v>
      </c>
      <c r="F250" s="77">
        <f>ROUND(E250*C250,0)</f>
        <v>24853500</v>
      </c>
      <c r="G250" s="77">
        <v>0</v>
      </c>
      <c r="H250" s="77">
        <f>ROUND(G250*C250,0)</f>
        <v>0</v>
      </c>
      <c r="I250" s="77">
        <v>0</v>
      </c>
      <c r="J250" s="77">
        <f>ROUND(I250*C250,0)</f>
        <v>0</v>
      </c>
      <c r="K250" s="77">
        <f>E250+G250+I250</f>
        <v>24853500</v>
      </c>
      <c r="L250" s="77">
        <f t="shared" si="36"/>
        <v>24853500</v>
      </c>
      <c r="M250" s="75"/>
    </row>
    <row r="251" spans="1:13" ht="24" customHeight="1">
      <c r="A251" s="143" t="s">
        <v>1534</v>
      </c>
      <c r="B251" s="144"/>
      <c r="C251" s="79"/>
      <c r="D251" s="79"/>
      <c r="E251" s="80"/>
      <c r="F251" s="81">
        <f>F34+F74+F107+F132+F176+F178+F211+F249</f>
        <v>521236885</v>
      </c>
      <c r="G251" s="80"/>
      <c r="H251" s="81">
        <f>H34+H74+H107+H132+H176+H178+H211+H249</f>
        <v>193226975</v>
      </c>
      <c r="I251" s="80"/>
      <c r="J251" s="81">
        <f>J34+J74+J107+J132+J176+J178+J211+J249</f>
        <v>10904663</v>
      </c>
      <c r="K251" s="80"/>
      <c r="L251" s="81">
        <f t="shared" si="36"/>
        <v>725368523</v>
      </c>
      <c r="M251" s="79"/>
    </row>
  </sheetData>
  <mergeCells count="27">
    <mergeCell ref="A9:B9"/>
    <mergeCell ref="A10:B10"/>
    <mergeCell ref="A211:B211"/>
    <mergeCell ref="A249:B249"/>
    <mergeCell ref="A251:B251"/>
    <mergeCell ref="A34:B34"/>
    <mergeCell ref="A74:B74"/>
    <mergeCell ref="A107:B107"/>
    <mergeCell ref="A132:B132"/>
    <mergeCell ref="A176:B176"/>
    <mergeCell ref="A178:B178"/>
    <mergeCell ref="A11:B11"/>
    <mergeCell ref="C1:C2"/>
    <mergeCell ref="D1:D2"/>
    <mergeCell ref="I1:J1"/>
    <mergeCell ref="K1:L1"/>
    <mergeCell ref="M1:M2"/>
    <mergeCell ref="E1:F1"/>
    <mergeCell ref="G1:H1"/>
    <mergeCell ref="A6:B6"/>
    <mergeCell ref="A7:B7"/>
    <mergeCell ref="A8:B8"/>
    <mergeCell ref="A5:B5"/>
    <mergeCell ref="A1:A2"/>
    <mergeCell ref="B1:B2"/>
    <mergeCell ref="A3:B3"/>
    <mergeCell ref="A4:B4"/>
  </mergeCells>
  <phoneticPr fontId="13" type="noConversion"/>
  <pageMargins left="0.39370078740157483" right="0.39370078740157483" top="0.59055118110236227" bottom="0.39370078740157483" header="0.51181102362204722" footer="0.51181102362204722"/>
  <pageSetup paperSize="9"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5</vt:i4>
      </vt:variant>
    </vt:vector>
  </HeadingPairs>
  <TitlesOfParts>
    <vt:vector size="11" baseType="lpstr">
      <vt:lpstr>표지</vt:lpstr>
      <vt:lpstr>견적서</vt:lpstr>
      <vt:lpstr>원가계산</vt:lpstr>
      <vt:lpstr>집계표</vt:lpstr>
      <vt:lpstr>토목,조경 내역서</vt:lpstr>
      <vt:lpstr>전기</vt:lpstr>
      <vt:lpstr>전기!Print_Area</vt:lpstr>
      <vt:lpstr>집계표!Print_Area</vt:lpstr>
      <vt:lpstr>전기!Print_Titles</vt:lpstr>
      <vt:lpstr>집계표!Print_Titles</vt:lpstr>
      <vt:lpstr>'토목,조경 내역서'!Print_Titles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김찬식 초록마을</cp:lastModifiedBy>
  <cp:lastPrinted>2026-07-06T08:15:48Z</cp:lastPrinted>
  <dcterms:created xsi:type="dcterms:W3CDTF">2026-07-02T00:47:01Z</dcterms:created>
  <dcterms:modified xsi:type="dcterms:W3CDTF">2026-07-09T00:43:32Z</dcterms:modified>
</cp:coreProperties>
</file>