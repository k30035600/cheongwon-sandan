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7_타견적/실행예산서/"/>
    </mc:Choice>
  </mc:AlternateContent>
  <xr:revisionPtr revIDLastSave="291" documentId="11_22E781D9D37BEA9EEF27C075455EEEBBA23738CF" xr6:coauthVersionLast="47" xr6:coauthVersionMax="47" xr10:uidLastSave="{E472DBDA-73BE-4255-8818-9C9D4B9BDD6E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H7" i="1"/>
  <c r="I7" i="1"/>
  <c r="J7" i="1"/>
  <c r="F7" i="1"/>
  <c r="J22" i="1"/>
  <c r="J12" i="1"/>
  <c r="H28" i="1"/>
  <c r="G28" i="1"/>
  <c r="F28" i="1"/>
  <c r="H27" i="1"/>
  <c r="H29" i="1" s="1"/>
  <c r="G27" i="1"/>
  <c r="G29" i="1" s="1"/>
  <c r="F27" i="1"/>
  <c r="F29" i="1" s="1"/>
  <c r="I61" i="1"/>
  <c r="J61" i="1" s="1"/>
  <c r="I60" i="1"/>
  <c r="J60" i="1" s="1"/>
  <c r="I58" i="1"/>
  <c r="J58" i="1" s="1"/>
  <c r="I56" i="1"/>
  <c r="J56" i="1" s="1"/>
  <c r="I55" i="1"/>
  <c r="I57" i="1" s="1"/>
  <c r="J57" i="1" s="1"/>
  <c r="I52" i="1"/>
  <c r="I59" i="1" s="1"/>
  <c r="J59" i="1" s="1"/>
  <c r="J50" i="1"/>
  <c r="K49" i="1" s="1"/>
  <c r="I45" i="1"/>
  <c r="J45" i="1" s="1"/>
  <c r="I44" i="1"/>
  <c r="J44" i="1" s="1"/>
  <c r="I42" i="1"/>
  <c r="J42" i="1" s="1"/>
  <c r="I40" i="1"/>
  <c r="J40" i="1" s="1"/>
  <c r="I39" i="1"/>
  <c r="J39" i="1" s="1"/>
  <c r="I36" i="1"/>
  <c r="I43" i="1" s="1"/>
  <c r="J43" i="1" s="1"/>
  <c r="J33" i="1"/>
  <c r="K33" i="1" s="1"/>
  <c r="J21" i="1"/>
  <c r="J20" i="1"/>
  <c r="J19" i="1"/>
  <c r="J18" i="1"/>
  <c r="J17" i="1"/>
  <c r="J16" i="1"/>
  <c r="J15" i="1"/>
  <c r="J14" i="1"/>
  <c r="J13" i="1"/>
  <c r="K12" i="1"/>
  <c r="J11" i="1"/>
  <c r="J10" i="1"/>
  <c r="J9" i="1"/>
  <c r="G6" i="1"/>
  <c r="J6" i="1" s="1"/>
  <c r="E12" i="1" s="1"/>
  <c r="J52" i="1" l="1"/>
  <c r="J36" i="1"/>
  <c r="E13" i="1"/>
  <c r="C33" i="1"/>
  <c r="C49" i="1"/>
  <c r="K9" i="1"/>
  <c r="E9" i="1" s="1"/>
  <c r="I38" i="1"/>
  <c r="J38" i="1" s="1"/>
  <c r="I41" i="1"/>
  <c r="J41" i="1" s="1"/>
  <c r="D9" i="1"/>
  <c r="I4" i="1" s="1"/>
  <c r="D12" i="1"/>
  <c r="I54" i="1"/>
  <c r="J54" i="1" s="1"/>
  <c r="J55" i="1"/>
  <c r="J28" i="1"/>
  <c r="E22" i="1"/>
  <c r="I37" i="1"/>
  <c r="I53" i="1"/>
  <c r="J27" i="1"/>
  <c r="I5" i="1" l="1"/>
  <c r="F4" i="1"/>
  <c r="G4" i="1"/>
  <c r="H4" i="1"/>
  <c r="I46" i="1"/>
  <c r="I62" i="1"/>
  <c r="J29" i="1"/>
  <c r="J37" i="1"/>
  <c r="J53" i="1"/>
  <c r="H5" i="1" l="1"/>
  <c r="F5" i="1"/>
  <c r="G5" i="1"/>
  <c r="I47" i="1"/>
  <c r="J46" i="1" s="1"/>
  <c r="I63" i="1"/>
  <c r="K28" i="1" s="1"/>
  <c r="J4" i="1"/>
  <c r="J5" i="1" l="1"/>
  <c r="J62" i="1"/>
  <c r="K52" i="1"/>
  <c r="E53" i="1" s="1"/>
  <c r="K27" i="1"/>
  <c r="K29" i="1" s="1"/>
  <c r="K30" i="1" s="1"/>
  <c r="K31" i="1" s="1"/>
  <c r="K36" i="1"/>
  <c r="D52" i="1"/>
  <c r="E49" i="1"/>
  <c r="D49" i="1"/>
  <c r="E52" i="1"/>
  <c r="I27" i="1"/>
  <c r="I28" i="1"/>
  <c r="E62" i="1" l="1"/>
  <c r="I29" i="1"/>
  <c r="D36" i="1"/>
  <c r="E33" i="1"/>
  <c r="D33" i="1"/>
  <c r="E36" i="1"/>
  <c r="E37" i="1"/>
  <c r="E46" i="1"/>
</calcChain>
</file>

<file path=xl/sharedStrings.xml><?xml version="1.0" encoding="utf-8"?>
<sst xmlns="http://schemas.openxmlformats.org/spreadsheetml/2006/main" count="118" uniqueCount="61">
  <si>
    <t>공정 / 공종</t>
  </si>
  <si>
    <t>공사규모</t>
  </si>
  <si>
    <t>재료비</t>
  </si>
  <si>
    <t>노무비</t>
  </si>
  <si>
    <t>경비</t>
  </si>
  <si>
    <t>간접공사비</t>
  </si>
  <si>
    <t>총공사비</t>
  </si>
  <si>
    <t>비고</t>
  </si>
  <si>
    <t>설계가</t>
  </si>
  <si>
    <t>100억 이상 ~ 300억 미만</t>
  </si>
  <si>
    <t>표준품셈/일위대가 기준</t>
  </si>
  <si>
    <t>도급가(견적가)</t>
  </si>
  <si>
    <t>50억 이상 ~ 100억 미만</t>
  </si>
  <si>
    <t>10억 이상 ~ 50억 미만</t>
  </si>
  <si>
    <t>희상건설</t>
  </si>
  <si>
    <t>토목공사</t>
  </si>
  <si>
    <t>조경공사</t>
  </si>
  <si>
    <t>간접노무비</t>
  </si>
  <si>
    <t>직접노무비×19.7%</t>
  </si>
  <si>
    <t>산재보험료</t>
  </si>
  <si>
    <t>노무비계×3.56%</t>
  </si>
  <si>
    <t>고용보험료</t>
  </si>
  <si>
    <t>노무비계×1.15%</t>
  </si>
  <si>
    <t>국민건강보험료</t>
  </si>
  <si>
    <t>직접노무비×3.595%</t>
  </si>
  <si>
    <t>국민연금보험료</t>
  </si>
  <si>
    <t>직접노무비×4.75%</t>
  </si>
  <si>
    <t>노인장기요양보험료</t>
  </si>
  <si>
    <t>건강보험료×13.14%</t>
  </si>
  <si>
    <t>산업안전보건관리비</t>
  </si>
  <si>
    <t>(재+직노)×2.60%</t>
  </si>
  <si>
    <t>기타경비(공과잡비)</t>
  </si>
  <si>
    <t>(재+노무비계)×6.2%</t>
  </si>
  <si>
    <t>건설기계대여대금지급보증</t>
  </si>
  <si>
    <t>직접공사비×0.40%</t>
  </si>
  <si>
    <t>환경보전비</t>
  </si>
  <si>
    <t>직접공사비×0.60%</t>
  </si>
  <si>
    <t>일반관리비</t>
  </si>
  <si>
    <t>순공사원가×5%</t>
  </si>
  <si>
    <t>이윤</t>
  </si>
  <si>
    <t>(노무비계+경비계+일반관리비)×7%</t>
  </si>
  <si>
    <t>토목</t>
  </si>
  <si>
    <t>조경</t>
  </si>
  <si>
    <t>합 계</t>
  </si>
  <si>
    <t>토목+조경</t>
  </si>
  <si>
    <t>부가가치세</t>
  </si>
  <si>
    <t>공급가액×10%</t>
  </si>
  <si>
    <t>도급액</t>
  </si>
  <si>
    <t>공급가액+부가세</t>
  </si>
  <si>
    <t>설계가 vs 도급가 vs 하도급가</t>
    <phoneticPr fontId="2" type="noConversion"/>
  </si>
  <si>
    <t>조경공사</t>
    <phoneticPr fontId="2" type="noConversion"/>
  </si>
  <si>
    <t>토목공사</t>
    <phoneticPr fontId="2" type="noConversion"/>
  </si>
  <si>
    <t>토목 + 조경 합산</t>
    <phoneticPr fontId="2" type="noConversion"/>
  </si>
  <si>
    <t>조달청</t>
    <phoneticPr fontId="2" type="noConversion"/>
  </si>
  <si>
    <t>설계가</t>
    <phoneticPr fontId="2" type="noConversion"/>
  </si>
  <si>
    <t>입찰가</t>
    <phoneticPr fontId="2" type="noConversion"/>
  </si>
  <si>
    <t>전기공사</t>
    <phoneticPr fontId="2" type="noConversion"/>
  </si>
  <si>
    <t>조달청 기준 낙찰율</t>
    <phoneticPr fontId="2" type="noConversion"/>
  </si>
  <si>
    <t>희상건설 견적서 제출가</t>
    <phoneticPr fontId="2" type="noConversion"/>
  </si>
  <si>
    <t>100억 이상 ~ 300억 미만</t>
    <phoneticPr fontId="2" type="noConversion"/>
  </si>
  <si>
    <t>시행일: 2026년 1월 30일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</si>
</sst>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0_-;\-* #,##0.000_-;_-* &quot;-&quot;_-;_-@_-"/>
    <numFmt numFmtId="177" formatCode="0.0%"/>
    <numFmt numFmtId="178" formatCode="0.000%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b/>
      <sz val="20"/>
      <color rgb="FF1F3864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41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5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1" xfId="0" applyFont="1" applyBorder="1">
      <alignment vertical="center"/>
    </xf>
    <xf numFmtId="0" fontId="6" fillId="0" borderId="0" xfId="0" applyFont="1">
      <alignment vertical="center"/>
    </xf>
    <xf numFmtId="41" fontId="6" fillId="0" borderId="0" xfId="1" applyFont="1">
      <alignment vertical="center"/>
    </xf>
    <xf numFmtId="41" fontId="6" fillId="0" borderId="5" xfId="1" applyFont="1" applyBorder="1">
      <alignment vertical="center"/>
    </xf>
    <xf numFmtId="0" fontId="6" fillId="0" borderId="4" xfId="0" applyFont="1" applyBorder="1">
      <alignment vertical="center"/>
    </xf>
    <xf numFmtId="0" fontId="6" fillId="0" borderId="7" xfId="0" applyFont="1" applyBorder="1">
      <alignment vertical="center"/>
    </xf>
    <xf numFmtId="41" fontId="6" fillId="0" borderId="8" xfId="1" applyFont="1" applyBorder="1">
      <alignment vertical="center"/>
    </xf>
    <xf numFmtId="0" fontId="3" fillId="2" borderId="19" xfId="0" applyFont="1" applyFill="1" applyBorder="1" applyAlignment="1">
      <alignment horizontal="center" vertical="center"/>
    </xf>
    <xf numFmtId="41" fontId="3" fillId="2" borderId="20" xfId="1" applyFont="1" applyFill="1" applyBorder="1" applyAlignment="1">
      <alignment horizontal="center" vertical="center"/>
    </xf>
    <xf numFmtId="176" fontId="3" fillId="2" borderId="21" xfId="1" applyNumberFormat="1" applyFont="1" applyFill="1" applyBorder="1" applyAlignment="1">
      <alignment horizontal="center" vertical="center"/>
    </xf>
    <xf numFmtId="41" fontId="3" fillId="3" borderId="2" xfId="1" applyFont="1" applyFill="1" applyBorder="1">
      <alignment vertical="center"/>
    </xf>
    <xf numFmtId="41" fontId="3" fillId="3" borderId="5" xfId="1" applyFont="1" applyFill="1" applyBorder="1">
      <alignment vertical="center"/>
    </xf>
    <xf numFmtId="41" fontId="3" fillId="3" borderId="8" xfId="1" applyFont="1" applyFill="1" applyBorder="1">
      <alignment vertical="center"/>
    </xf>
    <xf numFmtId="177" fontId="6" fillId="0" borderId="10" xfId="2" applyNumberFormat="1" applyFont="1" applyBorder="1" applyAlignment="1">
      <alignment horizontal="right" vertical="center"/>
    </xf>
    <xf numFmtId="177" fontId="6" fillId="3" borderId="20" xfId="0" applyNumberFormat="1" applyFont="1" applyFill="1" applyBorder="1">
      <alignment vertical="center"/>
    </xf>
    <xf numFmtId="177" fontId="6" fillId="3" borderId="20" xfId="1" applyNumberFormat="1" applyFont="1" applyFill="1" applyBorder="1">
      <alignment vertical="center"/>
    </xf>
    <xf numFmtId="177" fontId="6" fillId="2" borderId="20" xfId="0" applyNumberFormat="1" applyFont="1" applyFill="1" applyBorder="1">
      <alignment vertical="center"/>
    </xf>
    <xf numFmtId="177" fontId="6" fillId="2" borderId="20" xfId="1" applyNumberFormat="1" applyFont="1" applyFill="1" applyBorder="1">
      <alignment vertical="center"/>
    </xf>
    <xf numFmtId="177" fontId="6" fillId="0" borderId="0" xfId="0" applyNumberFormat="1" applyFont="1">
      <alignment vertical="center"/>
    </xf>
    <xf numFmtId="177" fontId="6" fillId="0" borderId="0" xfId="1" applyNumberFormat="1" applyFont="1">
      <alignment vertical="center"/>
    </xf>
    <xf numFmtId="177" fontId="3" fillId="0" borderId="2" xfId="0" applyNumberFormat="1" applyFont="1" applyBorder="1">
      <alignment vertical="center"/>
    </xf>
    <xf numFmtId="177" fontId="3" fillId="0" borderId="2" xfId="1" applyNumberFormat="1" applyFont="1" applyBorder="1">
      <alignment vertical="center"/>
    </xf>
    <xf numFmtId="0" fontId="6" fillId="0" borderId="14" xfId="0" applyFont="1" applyBorder="1">
      <alignment vertical="center"/>
    </xf>
    <xf numFmtId="41" fontId="6" fillId="0" borderId="11" xfId="1" applyFont="1" applyBorder="1">
      <alignment vertical="center"/>
    </xf>
    <xf numFmtId="177" fontId="3" fillId="0" borderId="10" xfId="2" applyNumberFormat="1" applyFont="1" applyBorder="1" applyAlignment="1">
      <alignment horizontal="right" vertical="center"/>
    </xf>
    <xf numFmtId="177" fontId="3" fillId="0" borderId="9" xfId="0" applyNumberFormat="1" applyFont="1" applyBorder="1">
      <alignment vertical="center"/>
    </xf>
    <xf numFmtId="177" fontId="3" fillId="0" borderId="9" xfId="1" applyNumberFormat="1" applyFont="1" applyBorder="1">
      <alignment vertical="center"/>
    </xf>
    <xf numFmtId="0" fontId="10" fillId="3" borderId="2" xfId="0" applyFont="1" applyFill="1" applyBorder="1">
      <alignment vertical="center"/>
    </xf>
    <xf numFmtId="0" fontId="10" fillId="3" borderId="5" xfId="0" applyFont="1" applyFill="1" applyBorder="1">
      <alignment vertical="center"/>
    </xf>
    <xf numFmtId="0" fontId="13" fillId="0" borderId="24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4" fillId="3" borderId="19" xfId="0" applyFont="1" applyFill="1" applyBorder="1" applyAlignment="1">
      <alignment horizontal="left" vertical="center" wrapText="1"/>
    </xf>
    <xf numFmtId="0" fontId="14" fillId="3" borderId="20" xfId="0" applyFont="1" applyFill="1" applyBorder="1" applyAlignment="1">
      <alignment horizontal="left" vertical="center" wrapText="1"/>
    </xf>
    <xf numFmtId="0" fontId="13" fillId="2" borderId="19" xfId="0" applyFont="1" applyFill="1" applyBorder="1" applyAlignment="1">
      <alignment horizontal="left" vertical="center" wrapText="1"/>
    </xf>
    <xf numFmtId="0" fontId="13" fillId="2" borderId="20" xfId="0" applyFont="1" applyFill="1" applyBorder="1" applyAlignment="1">
      <alignment horizontal="left" vertical="center" wrapText="1"/>
    </xf>
    <xf numFmtId="0" fontId="10" fillId="3" borderId="8" xfId="0" applyFont="1" applyFill="1" applyBorder="1">
      <alignment vertical="center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177" fontId="3" fillId="0" borderId="17" xfId="0" applyNumberFormat="1" applyFont="1" applyBorder="1">
      <alignment vertical="center"/>
    </xf>
    <xf numFmtId="177" fontId="3" fillId="0" borderId="17" xfId="1" applyNumberFormat="1" applyFont="1" applyBorder="1">
      <alignment vertical="center"/>
    </xf>
    <xf numFmtId="177" fontId="3" fillId="0" borderId="11" xfId="2" applyNumberFormat="1" applyFont="1" applyBorder="1" applyAlignment="1">
      <alignment horizontal="right" vertical="center"/>
    </xf>
    <xf numFmtId="41" fontId="6" fillId="0" borderId="17" xfId="1" applyFont="1" applyBorder="1" applyAlignment="1">
      <alignment horizontal="center" vertical="center"/>
    </xf>
    <xf numFmtId="41" fontId="6" fillId="0" borderId="9" xfId="1" applyFont="1" applyBorder="1" applyAlignment="1">
      <alignment horizontal="center" vertical="center"/>
    </xf>
    <xf numFmtId="177" fontId="3" fillId="0" borderId="11" xfId="2" applyNumberFormat="1" applyFont="1" applyBorder="1" applyAlignment="1">
      <alignment horizontal="center" vertical="center"/>
    </xf>
    <xf numFmtId="177" fontId="3" fillId="0" borderId="5" xfId="0" applyNumberFormat="1" applyFont="1" applyBorder="1" applyAlignment="1"/>
    <xf numFmtId="177" fontId="3" fillId="0" borderId="8" xfId="0" applyNumberFormat="1" applyFont="1" applyBorder="1" applyAlignment="1"/>
    <xf numFmtId="177" fontId="6" fillId="0" borderId="10" xfId="2" applyNumberFormat="1" applyFont="1" applyBorder="1" applyAlignment="1">
      <alignment horizontal="right" vertical="center"/>
    </xf>
    <xf numFmtId="177" fontId="6" fillId="0" borderId="11" xfId="2" applyNumberFormat="1" applyFont="1" applyBorder="1" applyAlignment="1">
      <alignment horizontal="right" vertical="center"/>
    </xf>
    <xf numFmtId="177" fontId="6" fillId="0" borderId="11" xfId="2" applyNumberFormat="1" applyFont="1" applyBorder="1" applyAlignment="1">
      <alignment horizontal="center" vertical="center"/>
    </xf>
    <xf numFmtId="177" fontId="6" fillId="0" borderId="5" xfId="0" applyNumberFormat="1" applyFont="1" applyBorder="1" applyAlignment="1"/>
    <xf numFmtId="177" fontId="6" fillId="0" borderId="8" xfId="0" applyNumberFormat="1" applyFont="1" applyBorder="1" applyAlignment="1"/>
    <xf numFmtId="177" fontId="3" fillId="0" borderId="10" xfId="2" applyNumberFormat="1" applyFont="1" applyBorder="1" applyAlignment="1">
      <alignment horizontal="right" vertical="center"/>
    </xf>
    <xf numFmtId="177" fontId="3" fillId="0" borderId="11" xfId="2" applyNumberFormat="1" applyFont="1" applyBorder="1" applyAlignment="1">
      <alignment horizontal="right" vertical="center"/>
    </xf>
    <xf numFmtId="177" fontId="3" fillId="0" borderId="5" xfId="2" applyNumberFormat="1" applyFont="1" applyBorder="1" applyAlignment="1">
      <alignment horizontal="right" vertical="center"/>
    </xf>
    <xf numFmtId="177" fontId="3" fillId="0" borderId="8" xfId="0" applyNumberFormat="1" applyFont="1" applyBorder="1" applyAlignment="1">
      <alignment horizontal="right"/>
    </xf>
    <xf numFmtId="41" fontId="6" fillId="0" borderId="17" xfId="1" applyFont="1" applyBorder="1" applyAlignment="1">
      <alignment horizontal="center" vertical="center"/>
    </xf>
    <xf numFmtId="41" fontId="6" fillId="0" borderId="9" xfId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2" fillId="3" borderId="4" xfId="0" applyFont="1" applyFill="1" applyBorder="1" applyAlignment="1"/>
    <xf numFmtId="0" fontId="12" fillId="3" borderId="7" xfId="0" applyFont="1" applyFill="1" applyBorder="1" applyAlignment="1"/>
    <xf numFmtId="3" fontId="8" fillId="0" borderId="13" xfId="0" applyNumberFormat="1" applyFont="1" applyBorder="1" applyAlignment="1">
      <alignment horizontal="right" vertical="center"/>
    </xf>
    <xf numFmtId="0" fontId="9" fillId="0" borderId="6" xfId="0" applyFont="1" applyBorder="1" applyAlignment="1"/>
    <xf numFmtId="0" fontId="9" fillId="0" borderId="15" xfId="0" applyFont="1" applyBorder="1" applyAlignment="1"/>
    <xf numFmtId="9" fontId="3" fillId="0" borderId="2" xfId="2" applyFont="1" applyBorder="1" applyAlignment="1">
      <alignment horizontal="right" vertical="center"/>
    </xf>
    <xf numFmtId="9" fontId="6" fillId="0" borderId="5" xfId="0" applyNumberFormat="1" applyFont="1" applyBorder="1" applyAlignment="1"/>
    <xf numFmtId="9" fontId="6" fillId="0" borderId="8" xfId="0" applyNumberFormat="1" applyFont="1" applyBorder="1" applyAlignment="1"/>
    <xf numFmtId="177" fontId="3" fillId="0" borderId="2" xfId="2" applyNumberFormat="1" applyFont="1" applyBorder="1" applyAlignment="1">
      <alignment horizontal="right" vertical="center"/>
    </xf>
    <xf numFmtId="0" fontId="11" fillId="3" borderId="4" xfId="0" applyFont="1" applyFill="1" applyBorder="1" applyAlignment="1"/>
    <xf numFmtId="0" fontId="11" fillId="3" borderId="7" xfId="0" applyFont="1" applyFill="1" applyBorder="1" applyAlignment="1"/>
    <xf numFmtId="177" fontId="3" fillId="0" borderId="2" xfId="0" applyNumberFormat="1" applyFont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center" vertical="center"/>
    </xf>
    <xf numFmtId="177" fontId="6" fillId="3" borderId="5" xfId="0" applyNumberFormat="1" applyFont="1" applyFill="1" applyBorder="1" applyAlignment="1"/>
    <xf numFmtId="177" fontId="6" fillId="3" borderId="8" xfId="0" applyNumberFormat="1" applyFont="1" applyFill="1" applyBorder="1" applyAlignment="1"/>
    <xf numFmtId="177" fontId="3" fillId="3" borderId="2" xfId="0" applyNumberFormat="1" applyFont="1" applyFill="1" applyBorder="1" applyAlignment="1">
      <alignment horizontal="center" vertical="center"/>
    </xf>
    <xf numFmtId="177" fontId="3" fillId="3" borderId="5" xfId="0" applyNumberFormat="1" applyFont="1" applyFill="1" applyBorder="1" applyAlignment="1"/>
    <xf numFmtId="177" fontId="3" fillId="3" borderId="8" xfId="0" applyNumberFormat="1" applyFont="1" applyFill="1" applyBorder="1" applyAlignment="1"/>
    <xf numFmtId="177" fontId="3" fillId="3" borderId="23" xfId="2" applyNumberFormat="1" applyFont="1" applyFill="1" applyBorder="1" applyAlignment="1">
      <alignment horizontal="right" vertical="center"/>
    </xf>
    <xf numFmtId="177" fontId="3" fillId="3" borderId="10" xfId="2" applyNumberFormat="1" applyFont="1" applyFill="1" applyBorder="1" applyAlignment="1">
      <alignment horizontal="right" vertical="center"/>
    </xf>
    <xf numFmtId="177" fontId="3" fillId="3" borderId="9" xfId="2" applyNumberFormat="1" applyFont="1" applyFill="1" applyBorder="1" applyAlignment="1">
      <alignment horizontal="right" vertical="center"/>
    </xf>
    <xf numFmtId="41" fontId="8" fillId="0" borderId="13" xfId="1" applyFont="1" applyBorder="1" applyAlignment="1">
      <alignment horizontal="center" vertical="center"/>
    </xf>
    <xf numFmtId="0" fontId="8" fillId="3" borderId="6" xfId="0" applyFont="1" applyFill="1" applyBorder="1" applyAlignment="1"/>
    <xf numFmtId="0" fontId="8" fillId="3" borderId="15" xfId="0" applyFont="1" applyFill="1" applyBorder="1" applyAlignment="1"/>
    <xf numFmtId="177" fontId="6" fillId="0" borderId="5" xfId="2" applyNumberFormat="1" applyFont="1" applyBorder="1" applyAlignment="1">
      <alignment horizontal="right" vertical="center"/>
    </xf>
    <xf numFmtId="177" fontId="6" fillId="0" borderId="8" xfId="0" applyNumberFormat="1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77" fontId="6" fillId="3" borderId="23" xfId="2" applyNumberFormat="1" applyFont="1" applyFill="1" applyBorder="1" applyAlignment="1">
      <alignment horizontal="right" vertical="center"/>
    </xf>
    <xf numFmtId="177" fontId="6" fillId="3" borderId="10" xfId="2" applyNumberFormat="1" applyFont="1" applyFill="1" applyBorder="1" applyAlignment="1">
      <alignment horizontal="right" vertical="center"/>
    </xf>
    <xf numFmtId="177" fontId="6" fillId="3" borderId="9" xfId="2" applyNumberFormat="1" applyFont="1" applyFill="1" applyBorder="1" applyAlignment="1">
      <alignment horizontal="right" vertical="center"/>
    </xf>
    <xf numFmtId="41" fontId="8" fillId="3" borderId="3" xfId="1" applyFont="1" applyFill="1" applyBorder="1" applyAlignment="1">
      <alignment horizontal="center" vertical="center"/>
    </xf>
    <xf numFmtId="41" fontId="1" fillId="0" borderId="5" xfId="1" applyBorder="1">
      <alignment vertical="center"/>
    </xf>
    <xf numFmtId="41" fontId="1" fillId="0" borderId="5" xfId="1" applyBorder="1">
      <alignment vertical="center"/>
    </xf>
    <xf numFmtId="41" fontId="1" fillId="0" borderId="8" xfId="1" applyBorder="1">
      <alignment vertical="center"/>
    </xf>
    <xf numFmtId="41" fontId="1" fillId="0" borderId="8" xfId="1" applyBorder="1">
      <alignment vertical="center"/>
    </xf>
    <xf numFmtId="0" fontId="9" fillId="0" borderId="0" xfId="0" applyFont="1">
      <alignment vertical="center"/>
    </xf>
    <xf numFmtId="41" fontId="8" fillId="0" borderId="26" xfId="1" applyFont="1" applyBorder="1">
      <alignment vertical="center"/>
    </xf>
    <xf numFmtId="41" fontId="8" fillId="0" borderId="27" xfId="1" applyFont="1" applyBorder="1">
      <alignment vertical="center"/>
    </xf>
    <xf numFmtId="41" fontId="1" fillId="0" borderId="11" xfId="1" applyBorder="1">
      <alignment vertical="center"/>
    </xf>
    <xf numFmtId="41" fontId="3" fillId="0" borderId="2" xfId="1" applyFont="1" applyBorder="1">
      <alignment vertical="center"/>
    </xf>
    <xf numFmtId="41" fontId="8" fillId="3" borderId="3" xfId="1" applyFont="1" applyFill="1" applyBorder="1">
      <alignment vertical="center"/>
    </xf>
    <xf numFmtId="41" fontId="8" fillId="3" borderId="6" xfId="1" applyFont="1" applyFill="1" applyBorder="1">
      <alignment vertical="center"/>
    </xf>
    <xf numFmtId="0" fontId="15" fillId="0" borderId="0" xfId="0" applyFont="1" applyFill="1" applyAlignment="1">
      <alignment horizontal="left" vertical="center" wrapText="1"/>
    </xf>
    <xf numFmtId="41" fontId="8" fillId="0" borderId="3" xfId="1" applyFont="1" applyBorder="1">
      <alignment vertical="center"/>
    </xf>
    <xf numFmtId="41" fontId="3" fillId="0" borderId="17" xfId="1" applyFont="1" applyBorder="1">
      <alignment vertical="center"/>
    </xf>
    <xf numFmtId="41" fontId="8" fillId="0" borderId="18" xfId="1" applyFont="1" applyBorder="1">
      <alignment vertical="center"/>
    </xf>
    <xf numFmtId="41" fontId="3" fillId="3" borderId="20" xfId="1" applyFont="1" applyFill="1" applyBorder="1">
      <alignment vertical="center"/>
    </xf>
    <xf numFmtId="41" fontId="8" fillId="3" borderId="21" xfId="1" applyFont="1" applyFill="1" applyBorder="1">
      <alignment vertical="center"/>
    </xf>
    <xf numFmtId="41" fontId="3" fillId="0" borderId="10" xfId="1" applyFont="1" applyBorder="1">
      <alignment vertical="center"/>
    </xf>
    <xf numFmtId="41" fontId="8" fillId="0" borderId="12" xfId="1" applyFont="1" applyBorder="1">
      <alignment vertical="center"/>
    </xf>
    <xf numFmtId="41" fontId="3" fillId="2" borderId="20" xfId="1" applyFont="1" applyFill="1" applyBorder="1">
      <alignment vertical="center"/>
    </xf>
    <xf numFmtId="41" fontId="8" fillId="2" borderId="21" xfId="1" applyFont="1" applyFill="1" applyBorder="1">
      <alignment vertical="center"/>
    </xf>
    <xf numFmtId="41" fontId="8" fillId="3" borderId="15" xfId="1" applyFont="1" applyFill="1" applyBorder="1">
      <alignment vertical="center"/>
    </xf>
    <xf numFmtId="41" fontId="3" fillId="3" borderId="3" xfId="1" applyFont="1" applyFill="1" applyBorder="1">
      <alignment vertical="center"/>
    </xf>
    <xf numFmtId="41" fontId="3" fillId="3" borderId="6" xfId="1" applyFont="1" applyFill="1" applyBorder="1">
      <alignment vertical="center"/>
    </xf>
    <xf numFmtId="41" fontId="3" fillId="3" borderId="15" xfId="1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41" fontId="6" fillId="0" borderId="2" xfId="1" quotePrefix="1" applyFont="1" applyBorder="1" applyAlignment="1">
      <alignment horizontal="center" vertical="center"/>
    </xf>
    <xf numFmtId="41" fontId="6" fillId="0" borderId="2" xfId="1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3" fillId="2" borderId="28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left" vertical="center" indent="1"/>
    </xf>
    <xf numFmtId="177" fontId="3" fillId="2" borderId="30" xfId="1" applyNumberFormat="1" applyFont="1" applyFill="1" applyBorder="1" applyAlignment="1">
      <alignment horizontal="center" vertical="center"/>
    </xf>
    <xf numFmtId="10" fontId="6" fillId="0" borderId="31" xfId="2" applyNumberFormat="1" applyFont="1" applyBorder="1" applyAlignment="1">
      <alignment horizontal="right" vertical="center"/>
    </xf>
    <xf numFmtId="0" fontId="3" fillId="0" borderId="32" xfId="0" applyFont="1" applyBorder="1" applyAlignment="1">
      <alignment horizontal="left" vertical="center" indent="1"/>
    </xf>
    <xf numFmtId="10" fontId="6" fillId="0" borderId="33" xfId="2" applyNumberFormat="1" applyFont="1" applyBorder="1" applyAlignment="1">
      <alignment horizontal="right" vertical="center"/>
    </xf>
    <xf numFmtId="0" fontId="6" fillId="0" borderId="18" xfId="0" applyFont="1" applyBorder="1">
      <alignment vertical="center"/>
    </xf>
    <xf numFmtId="0" fontId="3" fillId="0" borderId="34" xfId="0" applyFont="1" applyBorder="1" applyAlignment="1">
      <alignment horizontal="left" vertical="center" indent="1"/>
    </xf>
    <xf numFmtId="178" fontId="6" fillId="0" borderId="35" xfId="2" applyNumberFormat="1" applyFont="1" applyBorder="1" applyAlignment="1">
      <alignment horizontal="right" vertical="center"/>
    </xf>
    <xf numFmtId="0" fontId="6" fillId="0" borderId="25" xfId="0" applyFont="1" applyBorder="1">
      <alignment vertical="center"/>
    </xf>
    <xf numFmtId="0" fontId="3" fillId="2" borderId="36" xfId="0" applyFont="1" applyFill="1" applyBorder="1" applyAlignment="1">
      <alignment horizontal="right" vertical="center"/>
    </xf>
    <xf numFmtId="0" fontId="3" fillId="2" borderId="37" xfId="0" applyFont="1" applyFill="1" applyBorder="1" applyAlignment="1">
      <alignment horizontal="left" vertical="center" indent="1"/>
    </xf>
    <xf numFmtId="10" fontId="3" fillId="2" borderId="38" xfId="2" applyNumberFormat="1" applyFont="1" applyFill="1" applyBorder="1" applyAlignment="1">
      <alignment horizontal="right" vertical="center"/>
    </xf>
    <xf numFmtId="41" fontId="3" fillId="2" borderId="39" xfId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7" fillId="0" borderId="0" xfId="0" applyFont="1" applyBorder="1" applyAlignment="1">
      <alignment horizontal="center" vertical="center"/>
    </xf>
    <xf numFmtId="177" fontId="3" fillId="2" borderId="41" xfId="1" applyNumberFormat="1" applyFont="1" applyFill="1" applyBorder="1" applyAlignment="1">
      <alignment horizontal="center" vertical="center"/>
    </xf>
    <xf numFmtId="177" fontId="6" fillId="2" borderId="42" xfId="0" applyNumberFormat="1" applyFont="1" applyFill="1" applyBorder="1" applyAlignment="1"/>
    <xf numFmtId="10" fontId="6" fillId="0" borderId="43" xfId="0" applyNumberFormat="1" applyFont="1" applyBorder="1">
      <alignment vertical="center"/>
    </xf>
    <xf numFmtId="10" fontId="6" fillId="0" borderId="44" xfId="0" applyNumberFormat="1" applyFont="1" applyBorder="1">
      <alignment vertical="center"/>
    </xf>
    <xf numFmtId="178" fontId="6" fillId="0" borderId="45" xfId="2" applyNumberFormat="1" applyFont="1" applyBorder="1">
      <alignment vertical="center"/>
    </xf>
    <xf numFmtId="178" fontId="6" fillId="0" borderId="46" xfId="2" applyNumberFormat="1" applyFont="1" applyBorder="1">
      <alignment vertical="center"/>
    </xf>
    <xf numFmtId="177" fontId="6" fillId="2" borderId="36" xfId="2" applyNumberFormat="1" applyFont="1" applyFill="1" applyBorder="1">
      <alignment vertical="center"/>
    </xf>
    <xf numFmtId="177" fontId="6" fillId="2" borderId="40" xfId="2" applyNumberFormat="1" applyFont="1" applyFill="1" applyBorder="1">
      <alignment vertical="center"/>
    </xf>
    <xf numFmtId="178" fontId="6" fillId="0" borderId="47" xfId="2" applyNumberFormat="1" applyFont="1" applyBorder="1">
      <alignment vertical="center"/>
    </xf>
    <xf numFmtId="178" fontId="6" fillId="0" borderId="48" xfId="2" applyNumberFormat="1" applyFont="1" applyBorder="1">
      <alignment vertical="center"/>
    </xf>
    <xf numFmtId="0" fontId="3" fillId="0" borderId="16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/>
    </xf>
  </cellXfs>
  <cellStyles count="4">
    <cellStyle name="백분율" xfId="2" builtinId="5"/>
    <cellStyle name="쉼표 [0]" xfId="1" builtinId="6"/>
    <cellStyle name="쉼표 [0] 2" xfId="3" xr:uid="{00000000-0005-0000-0000-000003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3"/>
  <sheetViews>
    <sheetView tabSelected="1" workbookViewId="0">
      <selection activeCell="P26" sqref="P26"/>
    </sheetView>
  </sheetViews>
  <sheetFormatPr defaultRowHeight="26.1" customHeight="1" x14ac:dyDescent="0.3"/>
  <cols>
    <col min="1" max="1" width="25.5" style="4" bestFit="1" customWidth="1"/>
    <col min="2" max="2" width="29.5" style="4" bestFit="1" customWidth="1"/>
    <col min="3" max="3" width="8.5" style="21" bestFit="1" customWidth="1"/>
    <col min="4" max="5" width="8.5" style="22" bestFit="1" customWidth="1"/>
    <col min="6" max="9" width="16.625" style="5" bestFit="1" customWidth="1"/>
    <col min="10" max="10" width="17.875" style="5" bestFit="1" customWidth="1"/>
    <col min="11" max="11" width="23.25" style="4" bestFit="1" customWidth="1"/>
    <col min="12" max="12" width="9" style="4" customWidth="1"/>
    <col min="13" max="16384" width="9" style="4"/>
  </cols>
  <sheetData>
    <row r="1" spans="1:11" ht="26.1" customHeight="1" x14ac:dyDescent="0.3">
      <c r="A1" s="89" t="s">
        <v>49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ht="26.1" customHeight="1" thickBot="1" x14ac:dyDescent="0.35">
      <c r="A2" s="90"/>
      <c r="B2" s="90"/>
      <c r="C2" s="139"/>
      <c r="D2" s="139"/>
      <c r="E2" s="90"/>
      <c r="F2" s="90"/>
      <c r="G2" s="90"/>
      <c r="H2" s="90"/>
      <c r="I2" s="90"/>
      <c r="J2" s="90"/>
      <c r="K2" s="90"/>
    </row>
    <row r="3" spans="1:11" ht="26.1" customHeight="1" x14ac:dyDescent="0.3">
      <c r="A3" s="10" t="s">
        <v>0</v>
      </c>
      <c r="B3" s="124" t="s">
        <v>1</v>
      </c>
      <c r="C3" s="140" t="s">
        <v>53</v>
      </c>
      <c r="D3" s="141"/>
      <c r="E3" s="126" t="s">
        <v>54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2" t="s">
        <v>7</v>
      </c>
    </row>
    <row r="4" spans="1:11" ht="26.1" customHeight="1" x14ac:dyDescent="0.3">
      <c r="A4" s="120" t="s">
        <v>8</v>
      </c>
      <c r="B4" s="125" t="s">
        <v>9</v>
      </c>
      <c r="C4" s="142">
        <v>1</v>
      </c>
      <c r="D4" s="143">
        <v>1</v>
      </c>
      <c r="E4" s="127">
        <v>1</v>
      </c>
      <c r="F4" s="121">
        <f>F6/$D$9</f>
        <v>5267638857.1375532</v>
      </c>
      <c r="G4" s="121">
        <f>G6/$D$9</f>
        <v>2664435787.4906635</v>
      </c>
      <c r="H4" s="121">
        <f>H6/$D$9</f>
        <v>5969731457.1863575</v>
      </c>
      <c r="I4" s="121">
        <f>I6/$D$9</f>
        <v>3347551327.1059761</v>
      </c>
      <c r="J4" s="122">
        <f>SUM(C4:I4)</f>
        <v>17249357431.920551</v>
      </c>
      <c r="K4" s="123" t="s">
        <v>10</v>
      </c>
    </row>
    <row r="5" spans="1:11" ht="26.1" customHeight="1" thickBot="1" x14ac:dyDescent="0.35">
      <c r="A5" s="150" t="s">
        <v>55</v>
      </c>
      <c r="B5" s="128" t="s">
        <v>59</v>
      </c>
      <c r="C5" s="144">
        <v>0.79995000000000005</v>
      </c>
      <c r="D5" s="145">
        <v>0.81994999999999996</v>
      </c>
      <c r="E5" s="129"/>
      <c r="F5" s="46">
        <f>F4*$D$5</f>
        <v>4319200480.9099369</v>
      </c>
      <c r="G5" s="46">
        <f>G4*$D$5</f>
        <v>2184704123.9529696</v>
      </c>
      <c r="H5" s="46">
        <f>H4*$D$5</f>
        <v>4894881308.3199539</v>
      </c>
      <c r="I5" s="46">
        <f>I4*$D$5</f>
        <v>2744824710.6605449</v>
      </c>
      <c r="J5" s="46">
        <f>SUM(F5:I5)</f>
        <v>14143610623.843407</v>
      </c>
      <c r="K5" s="130" t="s">
        <v>57</v>
      </c>
    </row>
    <row r="6" spans="1:11" ht="26.1" customHeight="1" thickBot="1" x14ac:dyDescent="0.35">
      <c r="A6" s="134" t="s">
        <v>11</v>
      </c>
      <c r="B6" s="135" t="s">
        <v>12</v>
      </c>
      <c r="C6" s="146"/>
      <c r="D6" s="147"/>
      <c r="E6" s="136">
        <v>0.75</v>
      </c>
      <c r="F6" s="137">
        <v>4245357794</v>
      </c>
      <c r="G6" s="137">
        <f>SUM(G9:G11)</f>
        <v>2147353595</v>
      </c>
      <c r="H6" s="137">
        <v>4811196564</v>
      </c>
      <c r="I6" s="137">
        <v>2697898148.0645752</v>
      </c>
      <c r="J6" s="137">
        <f>SUM(C6:I6)</f>
        <v>13901806101.814575</v>
      </c>
      <c r="K6" s="138" t="s">
        <v>58</v>
      </c>
    </row>
    <row r="7" spans="1:11" ht="26.1" customHeight="1" thickBot="1" x14ac:dyDescent="0.35">
      <c r="A7" s="151" t="s">
        <v>55</v>
      </c>
      <c r="B7" s="131" t="s">
        <v>13</v>
      </c>
      <c r="C7" s="148">
        <v>0.86745000000000005</v>
      </c>
      <c r="D7" s="149">
        <v>0.88744999999999996</v>
      </c>
      <c r="E7" s="132"/>
      <c r="F7" s="47">
        <f>F5-F6</f>
        <v>73842686.909936905</v>
      </c>
      <c r="G7" s="47">
        <f t="shared" ref="G7:J7" si="0">G5-G6</f>
        <v>37350528.952969551</v>
      </c>
      <c r="H7" s="47">
        <f t="shared" si="0"/>
        <v>83684744.319953918</v>
      </c>
      <c r="I7" s="47">
        <f t="shared" si="0"/>
        <v>46926562.595969677</v>
      </c>
      <c r="J7" s="47">
        <f t="shared" si="0"/>
        <v>241804522.02883148</v>
      </c>
      <c r="K7" s="133" t="s">
        <v>60</v>
      </c>
    </row>
    <row r="9" spans="1:11" ht="26.1" customHeight="1" x14ac:dyDescent="0.3">
      <c r="A9" s="62" t="s">
        <v>14</v>
      </c>
      <c r="B9" s="30" t="s">
        <v>15</v>
      </c>
      <c r="C9" s="74">
        <v>0.75</v>
      </c>
      <c r="D9" s="75">
        <f>K9/J6</f>
        <v>0.80593182432155896</v>
      </c>
      <c r="E9" s="91">
        <f>K9/J6</f>
        <v>0.80593182432155896</v>
      </c>
      <c r="F9" s="13">
        <v>3646620419</v>
      </c>
      <c r="G9" s="13">
        <v>1897107375</v>
      </c>
      <c r="H9" s="13">
        <v>4109082787</v>
      </c>
      <c r="I9" s="13"/>
      <c r="J9" s="13">
        <f>SUM(F9:I9)</f>
        <v>9652810581</v>
      </c>
      <c r="K9" s="94">
        <f>SUM(J9:J11)</f>
        <v>11203907953</v>
      </c>
    </row>
    <row r="10" spans="1:11" ht="26.1" customHeight="1" x14ac:dyDescent="0.3">
      <c r="A10" s="72"/>
      <c r="B10" s="31" t="s">
        <v>16</v>
      </c>
      <c r="C10" s="54"/>
      <c r="D10" s="76"/>
      <c r="E10" s="92"/>
      <c r="F10" s="14">
        <v>77500490</v>
      </c>
      <c r="G10" s="14">
        <v>57019245</v>
      </c>
      <c r="H10" s="14">
        <v>691209114</v>
      </c>
      <c r="I10" s="14"/>
      <c r="J10" s="14">
        <f>SUM(F10:I10)</f>
        <v>825728849</v>
      </c>
      <c r="K10" s="85"/>
    </row>
    <row r="11" spans="1:11" ht="26.1" customHeight="1" x14ac:dyDescent="0.3">
      <c r="A11" s="73"/>
      <c r="B11" s="38" t="s">
        <v>56</v>
      </c>
      <c r="C11" s="54"/>
      <c r="D11" s="77"/>
      <c r="E11" s="93"/>
      <c r="F11" s="15">
        <v>521236885</v>
      </c>
      <c r="G11" s="15">
        <v>193226975</v>
      </c>
      <c r="H11" s="15">
        <v>10904663</v>
      </c>
      <c r="I11" s="15"/>
      <c r="J11" s="15">
        <f>SUM(F11:I11)</f>
        <v>725368523</v>
      </c>
      <c r="K11" s="86"/>
    </row>
    <row r="12" spans="1:11" ht="26.1" customHeight="1" x14ac:dyDescent="0.3">
      <c r="A12" s="25" t="s">
        <v>17</v>
      </c>
      <c r="B12" s="3" t="s">
        <v>18</v>
      </c>
      <c r="C12" s="54"/>
      <c r="D12" s="53">
        <f>K12/J6</f>
        <v>0.19406817562449125</v>
      </c>
      <c r="E12" s="16">
        <f>I12/J6</f>
        <v>3.0429762515518245E-2</v>
      </c>
      <c r="F12" s="26"/>
      <c r="G12" s="26"/>
      <c r="H12" s="26"/>
      <c r="I12" s="26">
        <v>423028658.21499997</v>
      </c>
      <c r="J12" s="26">
        <f>I12</f>
        <v>423028658.21499997</v>
      </c>
      <c r="K12" s="84">
        <f>SUM(I12:I23)</f>
        <v>2697898148.0645752</v>
      </c>
    </row>
    <row r="13" spans="1:11" ht="26.1" customHeight="1" x14ac:dyDescent="0.3">
      <c r="A13" s="7" t="s">
        <v>19</v>
      </c>
      <c r="B13" s="1" t="s">
        <v>20</v>
      </c>
      <c r="C13" s="54"/>
      <c r="D13" s="54"/>
      <c r="E13" s="51">
        <f>SUM(J13:J21)/J6</f>
        <v>7.2740969491811677E-2</v>
      </c>
      <c r="F13" s="6"/>
      <c r="G13" s="6"/>
      <c r="H13" s="6"/>
      <c r="I13" s="6">
        <v>91505608.21445401</v>
      </c>
      <c r="J13" s="6">
        <f t="shared" ref="J13:J21" si="1">I13</f>
        <v>91505608.21445401</v>
      </c>
      <c r="K13" s="66"/>
    </row>
    <row r="14" spans="1:11" ht="26.1" customHeight="1" x14ac:dyDescent="0.3">
      <c r="A14" s="7" t="s">
        <v>21</v>
      </c>
      <c r="B14" s="1" t="s">
        <v>22</v>
      </c>
      <c r="C14" s="54"/>
      <c r="D14" s="54"/>
      <c r="E14" s="51"/>
      <c r="F14" s="6"/>
      <c r="G14" s="6"/>
      <c r="H14" s="6"/>
      <c r="I14" s="6">
        <v>29559395.9119725</v>
      </c>
      <c r="J14" s="6">
        <f t="shared" si="1"/>
        <v>29559395.9119725</v>
      </c>
      <c r="K14" s="66"/>
    </row>
    <row r="15" spans="1:11" ht="26.1" customHeight="1" x14ac:dyDescent="0.3">
      <c r="A15" s="7" t="s">
        <v>23</v>
      </c>
      <c r="B15" s="1" t="s">
        <v>24</v>
      </c>
      <c r="C15" s="54"/>
      <c r="D15" s="54"/>
      <c r="E15" s="51"/>
      <c r="F15" s="6"/>
      <c r="G15" s="6"/>
      <c r="H15" s="6"/>
      <c r="I15" s="6">
        <v>77197361.740250006</v>
      </c>
      <c r="J15" s="6">
        <f t="shared" si="1"/>
        <v>77197361.740250006</v>
      </c>
      <c r="K15" s="66"/>
    </row>
    <row r="16" spans="1:11" ht="26.1" customHeight="1" x14ac:dyDescent="0.3">
      <c r="A16" s="7" t="s">
        <v>25</v>
      </c>
      <c r="B16" s="1" t="s">
        <v>26</v>
      </c>
      <c r="C16" s="54"/>
      <c r="D16" s="54"/>
      <c r="E16" s="51"/>
      <c r="F16" s="6"/>
      <c r="G16" s="6"/>
      <c r="H16" s="6"/>
      <c r="I16" s="6">
        <v>101999295.7625</v>
      </c>
      <c r="J16" s="6">
        <f t="shared" si="1"/>
        <v>101999295.7625</v>
      </c>
      <c r="K16" s="66"/>
    </row>
    <row r="17" spans="1:11" ht="26.1" customHeight="1" x14ac:dyDescent="0.3">
      <c r="A17" s="7" t="s">
        <v>27</v>
      </c>
      <c r="B17" s="1" t="s">
        <v>28</v>
      </c>
      <c r="C17" s="54"/>
      <c r="D17" s="54"/>
      <c r="E17" s="51"/>
      <c r="F17" s="6"/>
      <c r="G17" s="6"/>
      <c r="H17" s="6"/>
      <c r="I17" s="6">
        <v>10143733.33266885</v>
      </c>
      <c r="J17" s="6">
        <f t="shared" si="1"/>
        <v>10143733.33266885</v>
      </c>
      <c r="K17" s="66"/>
    </row>
    <row r="18" spans="1:11" ht="26.1" customHeight="1" x14ac:dyDescent="0.3">
      <c r="A18" s="7" t="s">
        <v>29</v>
      </c>
      <c r="B18" s="1" t="s">
        <v>30</v>
      </c>
      <c r="C18" s="54"/>
      <c r="D18" s="54"/>
      <c r="E18" s="51"/>
      <c r="F18" s="6"/>
      <c r="G18" s="6"/>
      <c r="H18" s="6"/>
      <c r="I18" s="6">
        <v>166210496.11399999</v>
      </c>
      <c r="J18" s="6">
        <f t="shared" si="1"/>
        <v>166210496.11399999</v>
      </c>
      <c r="K18" s="66"/>
    </row>
    <row r="19" spans="1:11" ht="26.1" customHeight="1" x14ac:dyDescent="0.3">
      <c r="A19" s="7" t="s">
        <v>31</v>
      </c>
      <c r="B19" s="1" t="s">
        <v>32</v>
      </c>
      <c r="C19" s="54"/>
      <c r="D19" s="54"/>
      <c r="E19" s="51"/>
      <c r="F19" s="6"/>
      <c r="G19" s="6"/>
      <c r="H19" s="6"/>
      <c r="I19" s="6">
        <v>422575882.92733002</v>
      </c>
      <c r="J19" s="6">
        <f t="shared" si="1"/>
        <v>422575882.92733002</v>
      </c>
      <c r="K19" s="66"/>
    </row>
    <row r="20" spans="1:11" ht="26.1" customHeight="1" x14ac:dyDescent="0.3">
      <c r="A20" s="7" t="s">
        <v>33</v>
      </c>
      <c r="B20" s="1" t="s">
        <v>34</v>
      </c>
      <c r="C20" s="54"/>
      <c r="D20" s="54"/>
      <c r="E20" s="51"/>
      <c r="F20" s="6"/>
      <c r="G20" s="6"/>
      <c r="H20" s="6"/>
      <c r="I20" s="6">
        <v>44815631.811999999</v>
      </c>
      <c r="J20" s="6">
        <f t="shared" si="1"/>
        <v>44815631.811999999</v>
      </c>
      <c r="K20" s="66"/>
    </row>
    <row r="21" spans="1:11" ht="26.1" customHeight="1" x14ac:dyDescent="0.3">
      <c r="A21" s="7" t="s">
        <v>35</v>
      </c>
      <c r="B21" s="1" t="s">
        <v>36</v>
      </c>
      <c r="C21" s="54"/>
      <c r="D21" s="54"/>
      <c r="E21" s="52"/>
      <c r="F21" s="6"/>
      <c r="G21" s="6"/>
      <c r="H21" s="6"/>
      <c r="I21" s="6">
        <v>67223447.717999995</v>
      </c>
      <c r="J21" s="6">
        <f t="shared" si="1"/>
        <v>67223447.717999995</v>
      </c>
      <c r="K21" s="66"/>
    </row>
    <row r="22" spans="1:11" ht="26.1" customHeight="1" x14ac:dyDescent="0.3">
      <c r="A22" s="7" t="s">
        <v>37</v>
      </c>
      <c r="B22" s="1" t="s">
        <v>38</v>
      </c>
      <c r="C22" s="54"/>
      <c r="D22" s="54"/>
      <c r="E22" s="87">
        <f>SUM(F22:I23)/J6</f>
        <v>9.0897443617161344E-2</v>
      </c>
      <c r="F22" s="6"/>
      <c r="G22" s="6"/>
      <c r="H22" s="6"/>
      <c r="I22" s="6">
        <v>631908373.23740888</v>
      </c>
      <c r="J22" s="60">
        <f>SUM(I22:I23)</f>
        <v>1263638636.3163998</v>
      </c>
      <c r="K22" s="66"/>
    </row>
    <row r="23" spans="1:11" ht="26.1" customHeight="1" x14ac:dyDescent="0.3">
      <c r="A23" s="8" t="s">
        <v>39</v>
      </c>
      <c r="B23" s="2" t="s">
        <v>40</v>
      </c>
      <c r="C23" s="55"/>
      <c r="D23" s="55"/>
      <c r="E23" s="88"/>
      <c r="F23" s="9"/>
      <c r="G23" s="9"/>
      <c r="H23" s="9"/>
      <c r="I23" s="9">
        <v>631730263.07899094</v>
      </c>
      <c r="J23" s="61"/>
      <c r="K23" s="67"/>
    </row>
    <row r="25" spans="1:11" ht="26.1" customHeight="1" x14ac:dyDescent="0.3">
      <c r="A25" s="106" t="s">
        <v>52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</row>
    <row r="26" spans="1:11" ht="26.1" customHeight="1" x14ac:dyDescent="0.3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</row>
    <row r="27" spans="1:11" ht="26.1" customHeight="1" x14ac:dyDescent="0.3">
      <c r="A27" s="39" t="s">
        <v>41</v>
      </c>
      <c r="B27" s="40" t="s">
        <v>15</v>
      </c>
      <c r="C27" s="23"/>
      <c r="D27" s="24"/>
      <c r="E27" s="24"/>
      <c r="F27" s="103">
        <f>F33</f>
        <v>3179386713</v>
      </c>
      <c r="G27" s="103">
        <f>G33</f>
        <v>1631287599</v>
      </c>
      <c r="H27" s="103">
        <f>H33</f>
        <v>3543142087</v>
      </c>
      <c r="I27" s="103">
        <f>SUM(I36:I47)</f>
        <v>2026982310</v>
      </c>
      <c r="J27" s="103">
        <f>J33</f>
        <v>8353816399</v>
      </c>
      <c r="K27" s="107">
        <f>J33+SUM(I36:I47)</f>
        <v>10380798709</v>
      </c>
    </row>
    <row r="28" spans="1:11" ht="26.1" customHeight="1" x14ac:dyDescent="0.3">
      <c r="A28" s="41" t="s">
        <v>42</v>
      </c>
      <c r="B28" s="42" t="s">
        <v>16</v>
      </c>
      <c r="C28" s="43"/>
      <c r="D28" s="44"/>
      <c r="E28" s="44"/>
      <c r="F28" s="108">
        <f>F50</f>
        <v>77500490</v>
      </c>
      <c r="G28" s="108">
        <f>G50</f>
        <v>57019245</v>
      </c>
      <c r="H28" s="108">
        <f>H50</f>
        <v>691209114</v>
      </c>
      <c r="I28" s="108">
        <f>SUM(I52:I63)</f>
        <v>141791919</v>
      </c>
      <c r="J28" s="108">
        <f>J50</f>
        <v>825728849</v>
      </c>
      <c r="K28" s="109">
        <f>J50+SUM(I52:I63)</f>
        <v>967520768</v>
      </c>
    </row>
    <row r="29" spans="1:11" ht="26.1" customHeight="1" x14ac:dyDescent="0.3">
      <c r="A29" s="34" t="s">
        <v>43</v>
      </c>
      <c r="B29" s="35" t="s">
        <v>44</v>
      </c>
      <c r="C29" s="17"/>
      <c r="D29" s="18"/>
      <c r="E29" s="18"/>
      <c r="F29" s="110">
        <f t="shared" ref="F29:K29" si="2">F27+F28</f>
        <v>3256887203</v>
      </c>
      <c r="G29" s="110">
        <f t="shared" si="2"/>
        <v>1688306844</v>
      </c>
      <c r="H29" s="110">
        <f t="shared" si="2"/>
        <v>4234351201</v>
      </c>
      <c r="I29" s="110">
        <f t="shared" si="2"/>
        <v>2168774229</v>
      </c>
      <c r="J29" s="110">
        <f t="shared" si="2"/>
        <v>9179545248</v>
      </c>
      <c r="K29" s="111">
        <f t="shared" si="2"/>
        <v>11348319477</v>
      </c>
    </row>
    <row r="30" spans="1:11" ht="26.1" customHeight="1" x14ac:dyDescent="0.3">
      <c r="A30" s="32" t="s">
        <v>45</v>
      </c>
      <c r="B30" s="33" t="s">
        <v>46</v>
      </c>
      <c r="C30" s="28"/>
      <c r="D30" s="29"/>
      <c r="E30" s="29"/>
      <c r="F30" s="112"/>
      <c r="G30" s="112"/>
      <c r="H30" s="112"/>
      <c r="I30" s="112"/>
      <c r="J30" s="112"/>
      <c r="K30" s="113">
        <f>ROUND(K29*0.1,0)</f>
        <v>1134831948</v>
      </c>
    </row>
    <row r="31" spans="1:11" ht="26.1" customHeight="1" x14ac:dyDescent="0.3">
      <c r="A31" s="36" t="s">
        <v>47</v>
      </c>
      <c r="B31" s="37" t="s">
        <v>48</v>
      </c>
      <c r="C31" s="19"/>
      <c r="D31" s="20"/>
      <c r="E31" s="20"/>
      <c r="F31" s="114"/>
      <c r="G31" s="114"/>
      <c r="H31" s="114"/>
      <c r="I31" s="114"/>
      <c r="J31" s="114"/>
      <c r="K31" s="115">
        <f>K29+K30</f>
        <v>12483151425</v>
      </c>
    </row>
    <row r="32" spans="1:11" ht="26.1" customHeight="1" x14ac:dyDescent="0.3">
      <c r="K32" s="99"/>
    </row>
    <row r="33" spans="1:11" ht="26.1" customHeight="1" x14ac:dyDescent="0.3">
      <c r="A33" s="62" t="s">
        <v>51</v>
      </c>
      <c r="B33" s="30" t="s">
        <v>15</v>
      </c>
      <c r="C33" s="71">
        <f>J33/J9</f>
        <v>0.86542839817484241</v>
      </c>
      <c r="D33" s="78">
        <f>K33/(K33+K36)</f>
        <v>0.80473734566853361</v>
      </c>
      <c r="E33" s="81">
        <f>K33/SUM(K33:K47)</f>
        <v>0.80473734566853361</v>
      </c>
      <c r="F33" s="13">
        <v>3179386713</v>
      </c>
      <c r="G33" s="13">
        <v>1631287599</v>
      </c>
      <c r="H33" s="13">
        <v>3543142087</v>
      </c>
      <c r="I33" s="13"/>
      <c r="J33" s="13">
        <f>(F33+G33+H33)</f>
        <v>8353816399</v>
      </c>
      <c r="K33" s="104">
        <f>SUM(J33:J35)</f>
        <v>8353816399</v>
      </c>
    </row>
    <row r="34" spans="1:11" ht="26.1" customHeight="1" x14ac:dyDescent="0.3">
      <c r="A34" s="72"/>
      <c r="B34" s="31" t="s">
        <v>16</v>
      </c>
      <c r="C34" s="54"/>
      <c r="D34" s="79"/>
      <c r="E34" s="82"/>
      <c r="F34" s="14"/>
      <c r="G34" s="14"/>
      <c r="H34" s="14"/>
      <c r="I34" s="14"/>
      <c r="J34" s="14"/>
      <c r="K34" s="105"/>
    </row>
    <row r="35" spans="1:11" ht="26.1" customHeight="1" x14ac:dyDescent="0.3">
      <c r="A35" s="73"/>
      <c r="B35" s="38" t="s">
        <v>56</v>
      </c>
      <c r="C35" s="54"/>
      <c r="D35" s="80"/>
      <c r="E35" s="83"/>
      <c r="F35" s="15"/>
      <c r="G35" s="15"/>
      <c r="H35" s="15"/>
      <c r="I35" s="15"/>
      <c r="J35" s="15"/>
      <c r="K35" s="116"/>
    </row>
    <row r="36" spans="1:11" ht="26.1" customHeight="1" x14ac:dyDescent="0.3">
      <c r="A36" s="25" t="s">
        <v>17</v>
      </c>
      <c r="B36" s="3" t="s">
        <v>18</v>
      </c>
      <c r="C36" s="54"/>
      <c r="D36" s="48">
        <f>K36/(K33+K36)</f>
        <v>0.19526265433146645</v>
      </c>
      <c r="E36" s="27">
        <f>I36/SUM(K33:K47)</f>
        <v>3.0957507799605287E-2</v>
      </c>
      <c r="F36" s="26"/>
      <c r="G36" s="26"/>
      <c r="H36" s="26"/>
      <c r="I36" s="102">
        <f>ROUND(G33*0.197,0)</f>
        <v>321363657</v>
      </c>
      <c r="J36" s="102">
        <f>I36</f>
        <v>321363657</v>
      </c>
      <c r="K36" s="65">
        <f>SUM(I36:I47)</f>
        <v>2026982310</v>
      </c>
    </row>
    <row r="37" spans="1:11" ht="26.1" customHeight="1" x14ac:dyDescent="0.3">
      <c r="A37" s="7" t="s">
        <v>19</v>
      </c>
      <c r="B37" s="1" t="s">
        <v>20</v>
      </c>
      <c r="C37" s="54"/>
      <c r="D37" s="49"/>
      <c r="E37" s="56">
        <f>SUM(I37:I45)/(K33+K36)</f>
        <v>7.3463402997962904E-2</v>
      </c>
      <c r="F37" s="6"/>
      <c r="G37" s="6"/>
      <c r="H37" s="6"/>
      <c r="I37" s="95">
        <f>ROUND((G33+I36)*0.0356,0)</f>
        <v>69514385</v>
      </c>
      <c r="J37" s="95">
        <f t="shared" ref="J37:J45" si="3">I37</f>
        <v>69514385</v>
      </c>
      <c r="K37" s="66"/>
    </row>
    <row r="38" spans="1:11" ht="26.1" customHeight="1" x14ac:dyDescent="0.3">
      <c r="A38" s="7" t="s">
        <v>21</v>
      </c>
      <c r="B38" s="1" t="s">
        <v>22</v>
      </c>
      <c r="C38" s="54"/>
      <c r="D38" s="49"/>
      <c r="E38" s="56"/>
      <c r="F38" s="6"/>
      <c r="G38" s="6"/>
      <c r="H38" s="6"/>
      <c r="I38" s="95">
        <f>ROUND((G33+I36)*0.0115,0)</f>
        <v>22455489</v>
      </c>
      <c r="J38" s="95">
        <f t="shared" si="3"/>
        <v>22455489</v>
      </c>
      <c r="K38" s="66"/>
    </row>
    <row r="39" spans="1:11" ht="26.1" customHeight="1" x14ac:dyDescent="0.3">
      <c r="A39" s="7" t="s">
        <v>23</v>
      </c>
      <c r="B39" s="1" t="s">
        <v>24</v>
      </c>
      <c r="C39" s="54"/>
      <c r="D39" s="49"/>
      <c r="E39" s="56"/>
      <c r="F39" s="6"/>
      <c r="G39" s="6"/>
      <c r="H39" s="6"/>
      <c r="I39" s="95">
        <f>ROUND(G33*0.03595,0)</f>
        <v>58644789</v>
      </c>
      <c r="J39" s="95">
        <f t="shared" si="3"/>
        <v>58644789</v>
      </c>
      <c r="K39" s="66"/>
    </row>
    <row r="40" spans="1:11" ht="26.1" customHeight="1" x14ac:dyDescent="0.3">
      <c r="A40" s="7" t="s">
        <v>25</v>
      </c>
      <c r="B40" s="1" t="s">
        <v>26</v>
      </c>
      <c r="C40" s="54"/>
      <c r="D40" s="49"/>
      <c r="E40" s="56"/>
      <c r="F40" s="6"/>
      <c r="G40" s="6"/>
      <c r="H40" s="6"/>
      <c r="I40" s="95">
        <f>ROUND(G33*0.0475,0)</f>
        <v>77486161</v>
      </c>
      <c r="J40" s="95">
        <f t="shared" si="3"/>
        <v>77486161</v>
      </c>
      <c r="K40" s="66"/>
    </row>
    <row r="41" spans="1:11" ht="26.1" customHeight="1" x14ac:dyDescent="0.3">
      <c r="A41" s="7" t="s">
        <v>27</v>
      </c>
      <c r="B41" s="1" t="s">
        <v>28</v>
      </c>
      <c r="C41" s="54"/>
      <c r="D41" s="49"/>
      <c r="E41" s="56"/>
      <c r="F41" s="6"/>
      <c r="G41" s="6"/>
      <c r="H41" s="6"/>
      <c r="I41" s="95">
        <f>ROUND(I39*0.1314,0)</f>
        <v>7705925</v>
      </c>
      <c r="J41" s="95">
        <f t="shared" si="3"/>
        <v>7705925</v>
      </c>
      <c r="K41" s="66"/>
    </row>
    <row r="42" spans="1:11" ht="26.1" customHeight="1" x14ac:dyDescent="0.3">
      <c r="A42" s="7" t="s">
        <v>29</v>
      </c>
      <c r="B42" s="1" t="s">
        <v>30</v>
      </c>
      <c r="C42" s="54"/>
      <c r="D42" s="49"/>
      <c r="E42" s="56"/>
      <c r="F42" s="6"/>
      <c r="G42" s="6"/>
      <c r="H42" s="6"/>
      <c r="I42" s="95">
        <f>ROUND((F33+G33)*0.026,0)</f>
        <v>125077532</v>
      </c>
      <c r="J42" s="95">
        <f t="shared" si="3"/>
        <v>125077532</v>
      </c>
      <c r="K42" s="66"/>
    </row>
    <row r="43" spans="1:11" ht="26.1" customHeight="1" x14ac:dyDescent="0.3">
      <c r="A43" s="7" t="s">
        <v>31</v>
      </c>
      <c r="B43" s="1" t="s">
        <v>32</v>
      </c>
      <c r="C43" s="54"/>
      <c r="D43" s="49"/>
      <c r="E43" s="56"/>
      <c r="F43" s="6"/>
      <c r="G43" s="6"/>
      <c r="H43" s="6"/>
      <c r="I43" s="95">
        <f>ROUND((F33+G33+I36)*0.062,0)</f>
        <v>318186354</v>
      </c>
      <c r="J43" s="95">
        <f t="shared" si="3"/>
        <v>318186354</v>
      </c>
      <c r="K43" s="66"/>
    </row>
    <row r="44" spans="1:11" ht="26.1" customHeight="1" x14ac:dyDescent="0.3">
      <c r="A44" s="7" t="s">
        <v>33</v>
      </c>
      <c r="B44" s="1" t="s">
        <v>34</v>
      </c>
      <c r="C44" s="54"/>
      <c r="D44" s="49"/>
      <c r="E44" s="56"/>
      <c r="F44" s="6"/>
      <c r="G44" s="6"/>
      <c r="H44" s="6"/>
      <c r="I44" s="95">
        <f>ROUND((F33+G33+H33)*0.004,0)</f>
        <v>33415266</v>
      </c>
      <c r="J44" s="95">
        <f t="shared" si="3"/>
        <v>33415266</v>
      </c>
      <c r="K44" s="66"/>
    </row>
    <row r="45" spans="1:11" ht="26.1" customHeight="1" x14ac:dyDescent="0.3">
      <c r="A45" s="7" t="s">
        <v>35</v>
      </c>
      <c r="B45" s="1" t="s">
        <v>36</v>
      </c>
      <c r="C45" s="54"/>
      <c r="D45" s="49"/>
      <c r="E45" s="57"/>
      <c r="F45" s="6"/>
      <c r="G45" s="6"/>
      <c r="H45" s="6"/>
      <c r="I45" s="95">
        <f>ROUND((F33+G33+H33)*0.006,0)</f>
        <v>50122898</v>
      </c>
      <c r="J45" s="95">
        <f t="shared" si="3"/>
        <v>50122898</v>
      </c>
      <c r="K45" s="66"/>
    </row>
    <row r="46" spans="1:11" ht="26.1" customHeight="1" x14ac:dyDescent="0.3">
      <c r="A46" s="7" t="s">
        <v>37</v>
      </c>
      <c r="B46" s="1" t="s">
        <v>38</v>
      </c>
      <c r="C46" s="54"/>
      <c r="D46" s="49"/>
      <c r="E46" s="58">
        <f>SUM(I46:I47)/SUM(K33:K47)</f>
        <v>9.0841743533898248E-2</v>
      </c>
      <c r="F46" s="6"/>
      <c r="G46" s="6"/>
      <c r="H46" s="6"/>
      <c r="I46" s="95">
        <f>ROUND((F33+G33+I36+H33+SUM(I37:I45))*0.05,0)</f>
        <v>471889443</v>
      </c>
      <c r="J46" s="96">
        <f>SUM(I46:I47)</f>
        <v>943009854</v>
      </c>
      <c r="K46" s="66"/>
    </row>
    <row r="47" spans="1:11" ht="26.1" customHeight="1" x14ac:dyDescent="0.3">
      <c r="A47" s="8" t="s">
        <v>39</v>
      </c>
      <c r="B47" s="2" t="s">
        <v>40</v>
      </c>
      <c r="C47" s="55"/>
      <c r="D47" s="50"/>
      <c r="E47" s="59"/>
      <c r="F47" s="9"/>
      <c r="G47" s="9"/>
      <c r="H47" s="9"/>
      <c r="I47" s="97">
        <f>ROUND((G33+I36+H33+SUM(I37:I45)+I46)*0.07,0)</f>
        <v>471120411</v>
      </c>
      <c r="J47" s="98"/>
      <c r="K47" s="67"/>
    </row>
    <row r="49" spans="1:11" ht="26.1" customHeight="1" x14ac:dyDescent="0.3">
      <c r="A49" s="62" t="s">
        <v>50</v>
      </c>
      <c r="B49" s="30" t="s">
        <v>15</v>
      </c>
      <c r="C49" s="68">
        <f>K49/J10</f>
        <v>1</v>
      </c>
      <c r="D49" s="78">
        <f>K49/SUM(K49:K63)</f>
        <v>0.85344819078860334</v>
      </c>
      <c r="E49" s="81">
        <f>K49/SUM(K49:K63)</f>
        <v>0.85344819078860334</v>
      </c>
      <c r="F49" s="13"/>
      <c r="G49" s="13"/>
      <c r="H49" s="13"/>
      <c r="I49" s="13"/>
      <c r="J49" s="13"/>
      <c r="K49" s="117">
        <f>SUM(J49:J51)</f>
        <v>825728849</v>
      </c>
    </row>
    <row r="50" spans="1:11" ht="26.1" customHeight="1" x14ac:dyDescent="0.3">
      <c r="A50" s="63"/>
      <c r="B50" s="31" t="s">
        <v>16</v>
      </c>
      <c r="C50" s="69"/>
      <c r="D50" s="79"/>
      <c r="E50" s="82"/>
      <c r="F50" s="14">
        <v>77500490</v>
      </c>
      <c r="G50" s="14">
        <v>57019245</v>
      </c>
      <c r="H50" s="14">
        <v>691209114</v>
      </c>
      <c r="I50" s="14"/>
      <c r="J50" s="14">
        <f>(F50+G50+H50)</f>
        <v>825728849</v>
      </c>
      <c r="K50" s="118"/>
    </row>
    <row r="51" spans="1:11" ht="26.1" customHeight="1" x14ac:dyDescent="0.3">
      <c r="A51" s="64"/>
      <c r="B51" s="38" t="s">
        <v>56</v>
      </c>
      <c r="C51" s="69"/>
      <c r="D51" s="80"/>
      <c r="E51" s="83"/>
      <c r="F51" s="15"/>
      <c r="G51" s="15"/>
      <c r="H51" s="15"/>
      <c r="I51" s="15"/>
      <c r="J51" s="15"/>
      <c r="K51" s="119"/>
    </row>
    <row r="52" spans="1:11" ht="26.1" customHeight="1" x14ac:dyDescent="0.3">
      <c r="A52" s="25" t="s">
        <v>17</v>
      </c>
      <c r="B52" s="3" t="s">
        <v>18</v>
      </c>
      <c r="C52" s="69"/>
      <c r="D52" s="48">
        <f>K52/SUM(K49:K63)</f>
        <v>0.14655180921139668</v>
      </c>
      <c r="E52" s="45">
        <f>I52/SUM(K49:K63)</f>
        <v>1.1609870683416689E-2</v>
      </c>
      <c r="F52" s="26"/>
      <c r="G52" s="26"/>
      <c r="H52" s="26"/>
      <c r="I52" s="102">
        <f>ROUND(G50*0.197,0)</f>
        <v>11232791</v>
      </c>
      <c r="J52" s="102">
        <f>I52</f>
        <v>11232791</v>
      </c>
      <c r="K52" s="100">
        <f>SUM(I52:I63)</f>
        <v>141791919</v>
      </c>
    </row>
    <row r="53" spans="1:11" ht="26.1" customHeight="1" x14ac:dyDescent="0.3">
      <c r="A53" s="7" t="s">
        <v>19</v>
      </c>
      <c r="B53" s="1" t="s">
        <v>20</v>
      </c>
      <c r="C53" s="69"/>
      <c r="D53" s="49"/>
      <c r="E53" s="58">
        <f>SUM(I53:I61)/SUM(K49:K63)</f>
        <v>3.0008382207667505E-2</v>
      </c>
      <c r="F53" s="6"/>
      <c r="G53" s="6"/>
      <c r="H53" s="6"/>
      <c r="I53" s="95">
        <f>ROUND((G50+I52)*0.0356,0)</f>
        <v>2429772</v>
      </c>
      <c r="J53" s="95">
        <f t="shared" ref="J53:J61" si="4">I53</f>
        <v>2429772</v>
      </c>
      <c r="K53" s="100"/>
    </row>
    <row r="54" spans="1:11" ht="26.1" customHeight="1" x14ac:dyDescent="0.3">
      <c r="A54" s="7" t="s">
        <v>21</v>
      </c>
      <c r="B54" s="1" t="s">
        <v>22</v>
      </c>
      <c r="C54" s="69"/>
      <c r="D54" s="49"/>
      <c r="E54" s="58"/>
      <c r="F54" s="6"/>
      <c r="G54" s="6"/>
      <c r="H54" s="6"/>
      <c r="I54" s="95">
        <f>ROUND((G50+I52)*0.0115,0)</f>
        <v>784898</v>
      </c>
      <c r="J54" s="95">
        <f t="shared" si="4"/>
        <v>784898</v>
      </c>
      <c r="K54" s="100"/>
    </row>
    <row r="55" spans="1:11" ht="26.1" customHeight="1" x14ac:dyDescent="0.3">
      <c r="A55" s="7" t="s">
        <v>23</v>
      </c>
      <c r="B55" s="1" t="s">
        <v>24</v>
      </c>
      <c r="C55" s="69"/>
      <c r="D55" s="49"/>
      <c r="E55" s="58"/>
      <c r="F55" s="6"/>
      <c r="G55" s="6"/>
      <c r="H55" s="6"/>
      <c r="I55" s="95">
        <f>ROUND(G50*0.03595,0)</f>
        <v>2049842</v>
      </c>
      <c r="J55" s="95">
        <f t="shared" si="4"/>
        <v>2049842</v>
      </c>
      <c r="K55" s="100"/>
    </row>
    <row r="56" spans="1:11" ht="26.1" customHeight="1" x14ac:dyDescent="0.3">
      <c r="A56" s="7" t="s">
        <v>25</v>
      </c>
      <c r="B56" s="1" t="s">
        <v>26</v>
      </c>
      <c r="C56" s="69"/>
      <c r="D56" s="49"/>
      <c r="E56" s="58"/>
      <c r="F56" s="6"/>
      <c r="G56" s="6"/>
      <c r="H56" s="6"/>
      <c r="I56" s="95">
        <f>ROUND(G50*0.0475,0)</f>
        <v>2708414</v>
      </c>
      <c r="J56" s="95">
        <f t="shared" si="4"/>
        <v>2708414</v>
      </c>
      <c r="K56" s="100"/>
    </row>
    <row r="57" spans="1:11" ht="26.1" customHeight="1" x14ac:dyDescent="0.3">
      <c r="A57" s="7" t="s">
        <v>27</v>
      </c>
      <c r="B57" s="1" t="s">
        <v>28</v>
      </c>
      <c r="C57" s="69"/>
      <c r="D57" s="49"/>
      <c r="E57" s="58"/>
      <c r="F57" s="6"/>
      <c r="G57" s="6"/>
      <c r="H57" s="6"/>
      <c r="I57" s="95">
        <f>ROUND(I55*0.1314,0)</f>
        <v>269349</v>
      </c>
      <c r="J57" s="95">
        <f t="shared" si="4"/>
        <v>269349</v>
      </c>
      <c r="K57" s="100"/>
    </row>
    <row r="58" spans="1:11" ht="26.1" customHeight="1" x14ac:dyDescent="0.3">
      <c r="A58" s="7" t="s">
        <v>29</v>
      </c>
      <c r="B58" s="1" t="s">
        <v>30</v>
      </c>
      <c r="C58" s="69"/>
      <c r="D58" s="49"/>
      <c r="E58" s="58"/>
      <c r="F58" s="6"/>
      <c r="G58" s="6"/>
      <c r="H58" s="6"/>
      <c r="I58" s="95">
        <f>ROUND((F50+G50)*0.026,0)</f>
        <v>3497513</v>
      </c>
      <c r="J58" s="95">
        <f t="shared" si="4"/>
        <v>3497513</v>
      </c>
      <c r="K58" s="100"/>
    </row>
    <row r="59" spans="1:11" ht="26.1" customHeight="1" x14ac:dyDescent="0.3">
      <c r="A59" s="7" t="s">
        <v>31</v>
      </c>
      <c r="B59" s="1" t="s">
        <v>32</v>
      </c>
      <c r="C59" s="69"/>
      <c r="D59" s="49"/>
      <c r="E59" s="58"/>
      <c r="F59" s="6"/>
      <c r="G59" s="6"/>
      <c r="H59" s="6"/>
      <c r="I59" s="95">
        <f>ROUND((F50+G50+I52)*0.062,0)</f>
        <v>9036657</v>
      </c>
      <c r="J59" s="95">
        <f t="shared" si="4"/>
        <v>9036657</v>
      </c>
      <c r="K59" s="100"/>
    </row>
    <row r="60" spans="1:11" ht="26.1" customHeight="1" x14ac:dyDescent="0.3">
      <c r="A60" s="7" t="s">
        <v>33</v>
      </c>
      <c r="B60" s="1" t="s">
        <v>34</v>
      </c>
      <c r="C60" s="69"/>
      <c r="D60" s="49"/>
      <c r="E60" s="58"/>
      <c r="F60" s="6"/>
      <c r="G60" s="6"/>
      <c r="H60" s="6"/>
      <c r="I60" s="95">
        <f>ROUND((F50+G50+H50)*0.004,0)</f>
        <v>3302915</v>
      </c>
      <c r="J60" s="95">
        <f t="shared" si="4"/>
        <v>3302915</v>
      </c>
      <c r="K60" s="100"/>
    </row>
    <row r="61" spans="1:11" ht="26.1" customHeight="1" x14ac:dyDescent="0.3">
      <c r="A61" s="7" t="s">
        <v>35</v>
      </c>
      <c r="B61" s="1" t="s">
        <v>36</v>
      </c>
      <c r="C61" s="69"/>
      <c r="D61" s="49"/>
      <c r="E61" s="58"/>
      <c r="F61" s="6"/>
      <c r="G61" s="6"/>
      <c r="H61" s="6"/>
      <c r="I61" s="95">
        <f>ROUND((F50+G50+H50)*0.006,0)</f>
        <v>4954373</v>
      </c>
      <c r="J61" s="95">
        <f t="shared" si="4"/>
        <v>4954373</v>
      </c>
      <c r="K61" s="100"/>
    </row>
    <row r="62" spans="1:11" ht="26.1" customHeight="1" x14ac:dyDescent="0.3">
      <c r="A62" s="7" t="s">
        <v>37</v>
      </c>
      <c r="B62" s="1" t="s">
        <v>38</v>
      </c>
      <c r="C62" s="69"/>
      <c r="D62" s="49"/>
      <c r="E62" s="58">
        <f>SUM(I62:I63)/SUM(K49:K63)</f>
        <v>0.1049335563203125</v>
      </c>
      <c r="F62" s="6"/>
      <c r="G62" s="6"/>
      <c r="H62" s="6"/>
      <c r="I62" s="95">
        <f>ROUND((F50+G50+I52+H50+SUM(I53:I61))*0.05,0)</f>
        <v>43299769</v>
      </c>
      <c r="J62" s="96">
        <f>SUM(I62:I63)</f>
        <v>101525395</v>
      </c>
      <c r="K62" s="100"/>
    </row>
    <row r="63" spans="1:11" ht="26.1" customHeight="1" x14ac:dyDescent="0.3">
      <c r="A63" s="8" t="s">
        <v>39</v>
      </c>
      <c r="B63" s="2" t="s">
        <v>40</v>
      </c>
      <c r="C63" s="70"/>
      <c r="D63" s="50"/>
      <c r="E63" s="59"/>
      <c r="F63" s="9"/>
      <c r="G63" s="9"/>
      <c r="H63" s="9"/>
      <c r="I63" s="97">
        <f>ROUND((G50+I52+H50+SUM(I53:I61)+I62)*0.07,0)</f>
        <v>58225626</v>
      </c>
      <c r="J63" s="98"/>
      <c r="K63" s="101"/>
    </row>
  </sheetData>
  <mergeCells count="34">
    <mergeCell ref="A1:K2"/>
    <mergeCell ref="E9:E11"/>
    <mergeCell ref="D33:D35"/>
    <mergeCell ref="E33:E35"/>
    <mergeCell ref="A25:K26"/>
    <mergeCell ref="E4:E5"/>
    <mergeCell ref="C3:D3"/>
    <mergeCell ref="K9:K11"/>
    <mergeCell ref="A49:A51"/>
    <mergeCell ref="K36:K47"/>
    <mergeCell ref="C49:C63"/>
    <mergeCell ref="C33:C47"/>
    <mergeCell ref="A9:A11"/>
    <mergeCell ref="C9:C23"/>
    <mergeCell ref="D9:D11"/>
    <mergeCell ref="K52:K63"/>
    <mergeCell ref="E37:E45"/>
    <mergeCell ref="E46:E47"/>
    <mergeCell ref="D49:D51"/>
    <mergeCell ref="E49:E51"/>
    <mergeCell ref="K12:K23"/>
    <mergeCell ref="K49:K51"/>
    <mergeCell ref="E22:E23"/>
    <mergeCell ref="A33:A35"/>
    <mergeCell ref="D52:D63"/>
    <mergeCell ref="K33:K35"/>
    <mergeCell ref="E13:E21"/>
    <mergeCell ref="D12:D23"/>
    <mergeCell ref="D36:D47"/>
    <mergeCell ref="E53:E61"/>
    <mergeCell ref="E62:E63"/>
    <mergeCell ref="J46:J47"/>
    <mergeCell ref="J62:J63"/>
    <mergeCell ref="J22:J23"/>
  </mergeCells>
  <phoneticPr fontId="2" type="noConversion"/>
  <pageMargins left="0.59055118110236227" right="0.39370078740157483" top="0.59055118110236227" bottom="0.39370078740157483" header="0.51181102362204722" footer="0.51181102362204722"/>
  <pageSetup paperSize="8" scale="66" orientation="portrait" r:id="rId1"/>
  <ignoredErrors>
    <ignoredError sqref="I27:K30 J5:J6" formula="1"/>
    <ignoredError sqref="J2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cp:lastPrinted>2026-07-09T08:10:22Z</cp:lastPrinted>
  <dcterms:created xsi:type="dcterms:W3CDTF">2026-07-08T23:34:20Z</dcterms:created>
  <dcterms:modified xsi:type="dcterms:W3CDTF">2026-07-09T08:10:53Z</dcterms:modified>
</cp:coreProperties>
</file>