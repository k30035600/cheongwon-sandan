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cheongwon/07_타견적/실행예산서/"/>
    </mc:Choice>
  </mc:AlternateContent>
  <xr:revisionPtr revIDLastSave="96" documentId="11_B94CE3D7EE9B87158315B809ADFF2901FB8BFFF6" xr6:coauthVersionLast="47" xr6:coauthVersionMax="47" xr10:uidLastSave="{EC1BEC3B-8844-49DE-A5FF-F95F6D5E9042}"/>
  <bookViews>
    <workbookView xWindow="-120" yWindow="-120" windowWidth="38640" windowHeight="21120" activeTab="1" xr2:uid="{00000000-000D-0000-FFFF-FFFF00000000}"/>
  </bookViews>
  <sheets>
    <sheet name="표지" sheetId="1" r:id="rId1"/>
    <sheet name="대공정별집계표" sheetId="2" r:id="rId2"/>
    <sheet name="토목" sheetId="3" r:id="rId3"/>
    <sheet name="조경" sheetId="4" r:id="rId4"/>
    <sheet name="회전진입" sheetId="5" r:id="rId5"/>
    <sheet name="지구단위" sheetId="6" r:id="rId6"/>
  </sheets>
  <definedNames>
    <definedName name="_xlnm.Print_Titles" localSheetId="2">토목!$4:$5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3" i="6" l="1"/>
  <c r="K193" i="6"/>
  <c r="J193" i="6"/>
  <c r="H193" i="6"/>
  <c r="F193" i="6"/>
  <c r="K192" i="6"/>
  <c r="J192" i="6"/>
  <c r="H192" i="6"/>
  <c r="F192" i="6"/>
  <c r="L192" i="6" s="1"/>
  <c r="L191" i="6"/>
  <c r="K191" i="6"/>
  <c r="J191" i="6"/>
  <c r="H191" i="6"/>
  <c r="F191" i="6"/>
  <c r="K190" i="6"/>
  <c r="J190" i="6"/>
  <c r="H190" i="6"/>
  <c r="F190" i="6"/>
  <c r="L190" i="6" s="1"/>
  <c r="K189" i="6"/>
  <c r="J189" i="6"/>
  <c r="L189" i="6" s="1"/>
  <c r="H189" i="6"/>
  <c r="F189" i="6"/>
  <c r="L188" i="6"/>
  <c r="K188" i="6"/>
  <c r="J188" i="6"/>
  <c r="H188" i="6"/>
  <c r="F188" i="6"/>
  <c r="K187" i="6"/>
  <c r="J187" i="6"/>
  <c r="H187" i="6"/>
  <c r="F187" i="6"/>
  <c r="L187" i="6" s="1"/>
  <c r="K186" i="6"/>
  <c r="J186" i="6"/>
  <c r="H186" i="6"/>
  <c r="F186" i="6"/>
  <c r="L186" i="6" s="1"/>
  <c r="K185" i="6"/>
  <c r="J185" i="6"/>
  <c r="H185" i="6"/>
  <c r="F185" i="6"/>
  <c r="L185" i="6" s="1"/>
  <c r="K184" i="6"/>
  <c r="J184" i="6"/>
  <c r="H184" i="6"/>
  <c r="F184" i="6"/>
  <c r="L184" i="6" s="1"/>
  <c r="K182" i="6"/>
  <c r="J182" i="6"/>
  <c r="H182" i="6"/>
  <c r="F182" i="6"/>
  <c r="L182" i="6" s="1"/>
  <c r="K181" i="6"/>
  <c r="J181" i="6"/>
  <c r="H181" i="6"/>
  <c r="L181" i="6" s="1"/>
  <c r="F181" i="6"/>
  <c r="L180" i="6"/>
  <c r="K180" i="6"/>
  <c r="J180" i="6"/>
  <c r="H180" i="6"/>
  <c r="F180" i="6"/>
  <c r="K179" i="6"/>
  <c r="J179" i="6"/>
  <c r="H179" i="6"/>
  <c r="L179" i="6" s="1"/>
  <c r="F179" i="6"/>
  <c r="L178" i="6"/>
  <c r="K178" i="6"/>
  <c r="J178" i="6"/>
  <c r="H178" i="6"/>
  <c r="F178" i="6"/>
  <c r="K177" i="6"/>
  <c r="J177" i="6"/>
  <c r="H177" i="6"/>
  <c r="F177" i="6"/>
  <c r="L177" i="6" s="1"/>
  <c r="K176" i="6"/>
  <c r="J176" i="6"/>
  <c r="L176" i="6" s="1"/>
  <c r="H176" i="6"/>
  <c r="F176" i="6"/>
  <c r="L175" i="6"/>
  <c r="K175" i="6"/>
  <c r="J175" i="6"/>
  <c r="H175" i="6"/>
  <c r="F175" i="6"/>
  <c r="K174" i="6"/>
  <c r="J174" i="6"/>
  <c r="H174" i="6"/>
  <c r="F174" i="6"/>
  <c r="L174" i="6" s="1"/>
  <c r="K173" i="6"/>
  <c r="J173" i="6"/>
  <c r="H173" i="6"/>
  <c r="F173" i="6"/>
  <c r="L173" i="6" s="1"/>
  <c r="K172" i="6"/>
  <c r="J172" i="6"/>
  <c r="H172" i="6"/>
  <c r="F172" i="6"/>
  <c r="L172" i="6" s="1"/>
  <c r="K171" i="6"/>
  <c r="J171" i="6"/>
  <c r="H171" i="6"/>
  <c r="F171" i="6"/>
  <c r="L171" i="6" s="1"/>
  <c r="K169" i="6"/>
  <c r="J169" i="6"/>
  <c r="H169" i="6"/>
  <c r="F169" i="6"/>
  <c r="L169" i="6" s="1"/>
  <c r="K168" i="6"/>
  <c r="J168" i="6"/>
  <c r="H168" i="6"/>
  <c r="L168" i="6" s="1"/>
  <c r="F168" i="6"/>
  <c r="L167" i="6"/>
  <c r="K167" i="6"/>
  <c r="J167" i="6"/>
  <c r="H167" i="6"/>
  <c r="F167" i="6"/>
  <c r="K166" i="6"/>
  <c r="J166" i="6"/>
  <c r="H166" i="6"/>
  <c r="L166" i="6" s="1"/>
  <c r="F166" i="6"/>
  <c r="L165" i="6"/>
  <c r="K165" i="6"/>
  <c r="J165" i="6"/>
  <c r="H165" i="6"/>
  <c r="F165" i="6"/>
  <c r="K164" i="6"/>
  <c r="J164" i="6"/>
  <c r="H164" i="6"/>
  <c r="F164" i="6"/>
  <c r="L164" i="6" s="1"/>
  <c r="K163" i="6"/>
  <c r="J163" i="6"/>
  <c r="L163" i="6" s="1"/>
  <c r="H163" i="6"/>
  <c r="F163" i="6"/>
  <c r="L162" i="6"/>
  <c r="K162" i="6"/>
  <c r="J162" i="6"/>
  <c r="H162" i="6"/>
  <c r="F162" i="6"/>
  <c r="K161" i="6"/>
  <c r="J161" i="6"/>
  <c r="H161" i="6"/>
  <c r="F161" i="6"/>
  <c r="L161" i="6" s="1"/>
  <c r="K160" i="6"/>
  <c r="J160" i="6"/>
  <c r="H160" i="6"/>
  <c r="F160" i="6"/>
  <c r="L160" i="6" s="1"/>
  <c r="K159" i="6"/>
  <c r="J159" i="6"/>
  <c r="H159" i="6"/>
  <c r="F159" i="6"/>
  <c r="L159" i="6" s="1"/>
  <c r="K158" i="6"/>
  <c r="J158" i="6"/>
  <c r="H158" i="6"/>
  <c r="F158" i="6"/>
  <c r="L158" i="6" s="1"/>
  <c r="K157" i="6"/>
  <c r="J157" i="6"/>
  <c r="H157" i="6"/>
  <c r="F157" i="6"/>
  <c r="L157" i="6" s="1"/>
  <c r="K156" i="6"/>
  <c r="J156" i="6"/>
  <c r="H156" i="6"/>
  <c r="L156" i="6" s="1"/>
  <c r="F156" i="6"/>
  <c r="L154" i="6"/>
  <c r="K154" i="6"/>
  <c r="J154" i="6"/>
  <c r="H154" i="6"/>
  <c r="F154" i="6"/>
  <c r="K153" i="6"/>
  <c r="J153" i="6"/>
  <c r="H153" i="6"/>
  <c r="F153" i="6"/>
  <c r="L153" i="6" s="1"/>
  <c r="L152" i="6"/>
  <c r="K152" i="6"/>
  <c r="J152" i="6"/>
  <c r="H152" i="6"/>
  <c r="F152" i="6"/>
  <c r="K151" i="6"/>
  <c r="J151" i="6"/>
  <c r="H151" i="6"/>
  <c r="F151" i="6"/>
  <c r="L151" i="6" s="1"/>
  <c r="K150" i="6"/>
  <c r="J150" i="6"/>
  <c r="L150" i="6" s="1"/>
  <c r="H150" i="6"/>
  <c r="F150" i="6"/>
  <c r="L149" i="6"/>
  <c r="K149" i="6"/>
  <c r="J149" i="6"/>
  <c r="H149" i="6"/>
  <c r="F149" i="6"/>
  <c r="K148" i="6"/>
  <c r="J148" i="6"/>
  <c r="H148" i="6"/>
  <c r="F148" i="6"/>
  <c r="L148" i="6" s="1"/>
  <c r="K147" i="6"/>
  <c r="J147" i="6"/>
  <c r="H147" i="6"/>
  <c r="F147" i="6"/>
  <c r="L147" i="6" s="1"/>
  <c r="K146" i="6"/>
  <c r="J146" i="6"/>
  <c r="H146" i="6"/>
  <c r="F146" i="6"/>
  <c r="L146" i="6" s="1"/>
  <c r="K145" i="6"/>
  <c r="J145" i="6"/>
  <c r="H145" i="6"/>
  <c r="F145" i="6"/>
  <c r="L145" i="6" s="1"/>
  <c r="K144" i="6"/>
  <c r="J144" i="6"/>
  <c r="H144" i="6"/>
  <c r="F144" i="6"/>
  <c r="L144" i="6" s="1"/>
  <c r="K143" i="6"/>
  <c r="J143" i="6"/>
  <c r="H143" i="6"/>
  <c r="L143" i="6" s="1"/>
  <c r="F143" i="6"/>
  <c r="L142" i="6"/>
  <c r="K142" i="6"/>
  <c r="J142" i="6"/>
  <c r="H142" i="6"/>
  <c r="F142" i="6"/>
  <c r="K141" i="6"/>
  <c r="J141" i="6"/>
  <c r="H141" i="6"/>
  <c r="F141" i="6"/>
  <c r="L141" i="6" s="1"/>
  <c r="L139" i="6"/>
  <c r="K139" i="6"/>
  <c r="J139" i="6"/>
  <c r="H139" i="6"/>
  <c r="F139" i="6"/>
  <c r="K138" i="6"/>
  <c r="J138" i="6"/>
  <c r="H138" i="6"/>
  <c r="F138" i="6"/>
  <c r="L138" i="6" s="1"/>
  <c r="K137" i="6"/>
  <c r="J137" i="6"/>
  <c r="L137" i="6" s="1"/>
  <c r="H137" i="6"/>
  <c r="F137" i="6"/>
  <c r="L136" i="6"/>
  <c r="K136" i="6"/>
  <c r="J136" i="6"/>
  <c r="H136" i="6"/>
  <c r="F136" i="6"/>
  <c r="K135" i="6"/>
  <c r="J135" i="6"/>
  <c r="H135" i="6"/>
  <c r="F135" i="6"/>
  <c r="L135" i="6" s="1"/>
  <c r="K134" i="6"/>
  <c r="J134" i="6"/>
  <c r="H134" i="6"/>
  <c r="F134" i="6"/>
  <c r="L134" i="6" s="1"/>
  <c r="K133" i="6"/>
  <c r="J133" i="6"/>
  <c r="H133" i="6"/>
  <c r="F133" i="6"/>
  <c r="L133" i="6" s="1"/>
  <c r="K132" i="6"/>
  <c r="J132" i="6"/>
  <c r="H132" i="6"/>
  <c r="F132" i="6"/>
  <c r="L132" i="6" s="1"/>
  <c r="K131" i="6"/>
  <c r="J131" i="6"/>
  <c r="H131" i="6"/>
  <c r="F131" i="6"/>
  <c r="L131" i="6" s="1"/>
  <c r="K130" i="6"/>
  <c r="J130" i="6"/>
  <c r="H130" i="6"/>
  <c r="L130" i="6" s="1"/>
  <c r="F130" i="6"/>
  <c r="L129" i="6"/>
  <c r="K129" i="6"/>
  <c r="J129" i="6"/>
  <c r="H129" i="6"/>
  <c r="F129" i="6"/>
  <c r="K128" i="6"/>
  <c r="J128" i="6"/>
  <c r="H128" i="6"/>
  <c r="F128" i="6"/>
  <c r="L128" i="6" s="1"/>
  <c r="L127" i="6"/>
  <c r="K127" i="6"/>
  <c r="J127" i="6"/>
  <c r="H127" i="6"/>
  <c r="F127" i="6"/>
  <c r="K126" i="6"/>
  <c r="J126" i="6"/>
  <c r="H126" i="6"/>
  <c r="F126" i="6"/>
  <c r="L126" i="6" s="1"/>
  <c r="K125" i="6"/>
  <c r="J125" i="6"/>
  <c r="L125" i="6" s="1"/>
  <c r="H125" i="6"/>
  <c r="F125" i="6"/>
  <c r="L123" i="6"/>
  <c r="K123" i="6"/>
  <c r="J123" i="6"/>
  <c r="H123" i="6"/>
  <c r="F123" i="6"/>
  <c r="K122" i="6"/>
  <c r="J122" i="6"/>
  <c r="H122" i="6"/>
  <c r="F122" i="6"/>
  <c r="L122" i="6" s="1"/>
  <c r="K121" i="6"/>
  <c r="J121" i="6"/>
  <c r="H121" i="6"/>
  <c r="F121" i="6"/>
  <c r="L121" i="6" s="1"/>
  <c r="K120" i="6"/>
  <c r="J120" i="6"/>
  <c r="H120" i="6"/>
  <c r="F120" i="6"/>
  <c r="L120" i="6" s="1"/>
  <c r="K119" i="6"/>
  <c r="J119" i="6"/>
  <c r="H119" i="6"/>
  <c r="F119" i="6"/>
  <c r="L119" i="6" s="1"/>
  <c r="K118" i="6"/>
  <c r="J118" i="6"/>
  <c r="H118" i="6"/>
  <c r="F118" i="6"/>
  <c r="L118" i="6" s="1"/>
  <c r="K117" i="6"/>
  <c r="J117" i="6"/>
  <c r="H117" i="6"/>
  <c r="L117" i="6" s="1"/>
  <c r="F117" i="6"/>
  <c r="L116" i="6"/>
  <c r="K116" i="6"/>
  <c r="J116" i="6"/>
  <c r="H116" i="6"/>
  <c r="F116" i="6"/>
  <c r="K115" i="6"/>
  <c r="J115" i="6"/>
  <c r="H115" i="6"/>
  <c r="L115" i="6" s="1"/>
  <c r="F115" i="6"/>
  <c r="L114" i="6"/>
  <c r="K114" i="6"/>
  <c r="J114" i="6"/>
  <c r="H114" i="6"/>
  <c r="F114" i="6"/>
  <c r="K113" i="6"/>
  <c r="J113" i="6"/>
  <c r="H113" i="6"/>
  <c r="F113" i="6"/>
  <c r="L113" i="6" s="1"/>
  <c r="K112" i="6"/>
  <c r="J112" i="6"/>
  <c r="L112" i="6" s="1"/>
  <c r="H112" i="6"/>
  <c r="F112" i="6"/>
  <c r="L111" i="6"/>
  <c r="K111" i="6"/>
  <c r="J111" i="6"/>
  <c r="H111" i="6"/>
  <c r="F111" i="6"/>
  <c r="K110" i="6"/>
  <c r="J110" i="6"/>
  <c r="H110" i="6"/>
  <c r="F110" i="6"/>
  <c r="L110" i="6" s="1"/>
  <c r="K109" i="6"/>
  <c r="J109" i="6"/>
  <c r="H109" i="6"/>
  <c r="F109" i="6"/>
  <c r="L109" i="6" s="1"/>
  <c r="K107" i="6"/>
  <c r="J107" i="6"/>
  <c r="H107" i="6"/>
  <c r="F107" i="6"/>
  <c r="L107" i="6" s="1"/>
  <c r="K106" i="6"/>
  <c r="J106" i="6"/>
  <c r="H106" i="6"/>
  <c r="F106" i="6"/>
  <c r="L106" i="6" s="1"/>
  <c r="K105" i="6"/>
  <c r="J105" i="6"/>
  <c r="H105" i="6"/>
  <c r="F105" i="6"/>
  <c r="L105" i="6" s="1"/>
  <c r="K104" i="6"/>
  <c r="J104" i="6"/>
  <c r="H104" i="6"/>
  <c r="L104" i="6" s="1"/>
  <c r="F104" i="6"/>
  <c r="L103" i="6"/>
  <c r="K103" i="6"/>
  <c r="J103" i="6"/>
  <c r="H103" i="6"/>
  <c r="F103" i="6"/>
  <c r="K102" i="6"/>
  <c r="J102" i="6"/>
  <c r="H102" i="6"/>
  <c r="F102" i="6"/>
  <c r="L102" i="6" s="1"/>
  <c r="L101" i="6"/>
  <c r="K101" i="6"/>
  <c r="J101" i="6"/>
  <c r="H101" i="6"/>
  <c r="F101" i="6"/>
  <c r="K100" i="6"/>
  <c r="J100" i="6"/>
  <c r="H100" i="6"/>
  <c r="F100" i="6"/>
  <c r="L100" i="6" s="1"/>
  <c r="K99" i="6"/>
  <c r="J99" i="6"/>
  <c r="L99" i="6" s="1"/>
  <c r="H99" i="6"/>
  <c r="F99" i="6"/>
  <c r="L98" i="6"/>
  <c r="K98" i="6"/>
  <c r="J98" i="6"/>
  <c r="H98" i="6"/>
  <c r="F98" i="6"/>
  <c r="K97" i="6"/>
  <c r="J97" i="6"/>
  <c r="H97" i="6"/>
  <c r="F97" i="6"/>
  <c r="L97" i="6" s="1"/>
  <c r="K96" i="6"/>
  <c r="J96" i="6"/>
  <c r="H96" i="6"/>
  <c r="F96" i="6"/>
  <c r="L96" i="6" s="1"/>
  <c r="K95" i="6"/>
  <c r="J95" i="6"/>
  <c r="H95" i="6"/>
  <c r="F95" i="6"/>
  <c r="L95" i="6" s="1"/>
  <c r="K94" i="6"/>
  <c r="J94" i="6"/>
  <c r="H94" i="6"/>
  <c r="F94" i="6"/>
  <c r="L94" i="6" s="1"/>
  <c r="K93" i="6"/>
  <c r="J93" i="6"/>
  <c r="H93" i="6"/>
  <c r="F93" i="6"/>
  <c r="L93" i="6" s="1"/>
  <c r="K92" i="6"/>
  <c r="J92" i="6"/>
  <c r="H92" i="6"/>
  <c r="L92" i="6" s="1"/>
  <c r="F92" i="6"/>
  <c r="L91" i="6"/>
  <c r="K91" i="6"/>
  <c r="J91" i="6"/>
  <c r="H91" i="6"/>
  <c r="F91" i="6"/>
  <c r="K89" i="6"/>
  <c r="J89" i="6"/>
  <c r="H89" i="6"/>
  <c r="F89" i="6"/>
  <c r="L89" i="6" s="1"/>
  <c r="L88" i="6"/>
  <c r="K88" i="6"/>
  <c r="J88" i="6"/>
  <c r="H88" i="6"/>
  <c r="F88" i="6"/>
  <c r="K87" i="6"/>
  <c r="J87" i="6"/>
  <c r="H87" i="6"/>
  <c r="F87" i="6"/>
  <c r="L87" i="6" s="1"/>
  <c r="K86" i="6"/>
  <c r="J86" i="6"/>
  <c r="L86" i="6" s="1"/>
  <c r="H86" i="6"/>
  <c r="F86" i="6"/>
  <c r="L85" i="6"/>
  <c r="K85" i="6"/>
  <c r="J85" i="6"/>
  <c r="H85" i="6"/>
  <c r="F85" i="6"/>
  <c r="K84" i="6"/>
  <c r="J84" i="6"/>
  <c r="H84" i="6"/>
  <c r="F84" i="6"/>
  <c r="L84" i="6" s="1"/>
  <c r="K83" i="6"/>
  <c r="J83" i="6"/>
  <c r="H83" i="6"/>
  <c r="F83" i="6"/>
  <c r="L83" i="6" s="1"/>
  <c r="K82" i="6"/>
  <c r="J82" i="6"/>
  <c r="H82" i="6"/>
  <c r="F82" i="6"/>
  <c r="L82" i="6" s="1"/>
  <c r="K81" i="6"/>
  <c r="J81" i="6"/>
  <c r="H81" i="6"/>
  <c r="F81" i="6"/>
  <c r="L81" i="6" s="1"/>
  <c r="K80" i="6"/>
  <c r="J80" i="6"/>
  <c r="H80" i="6"/>
  <c r="F80" i="6"/>
  <c r="L80" i="6" s="1"/>
  <c r="K79" i="6"/>
  <c r="J79" i="6"/>
  <c r="H79" i="6"/>
  <c r="L79" i="6" s="1"/>
  <c r="F79" i="6"/>
  <c r="L78" i="6"/>
  <c r="K78" i="6"/>
  <c r="J78" i="6"/>
  <c r="H78" i="6"/>
  <c r="F78" i="6"/>
  <c r="K77" i="6"/>
  <c r="J77" i="6"/>
  <c r="H77" i="6"/>
  <c r="L77" i="6" s="1"/>
  <c r="F77" i="6"/>
  <c r="L76" i="6"/>
  <c r="K76" i="6"/>
  <c r="J76" i="6"/>
  <c r="H76" i="6"/>
  <c r="F76" i="6"/>
  <c r="K75" i="6"/>
  <c r="J75" i="6"/>
  <c r="H75" i="6"/>
  <c r="F75" i="6"/>
  <c r="L75" i="6" s="1"/>
  <c r="K74" i="6"/>
  <c r="J74" i="6"/>
  <c r="L74" i="6" s="1"/>
  <c r="H74" i="6"/>
  <c r="F74" i="6"/>
  <c r="L73" i="6"/>
  <c r="K73" i="6"/>
  <c r="J73" i="6"/>
  <c r="H73" i="6"/>
  <c r="F73" i="6"/>
  <c r="K71" i="6"/>
  <c r="J71" i="6"/>
  <c r="H71" i="6"/>
  <c r="F71" i="6"/>
  <c r="L71" i="6" s="1"/>
  <c r="K70" i="6"/>
  <c r="J70" i="6"/>
  <c r="H70" i="6"/>
  <c r="F70" i="6"/>
  <c r="L70" i="6" s="1"/>
  <c r="K69" i="6"/>
  <c r="J69" i="6"/>
  <c r="H69" i="6"/>
  <c r="F69" i="6"/>
  <c r="L69" i="6" s="1"/>
  <c r="K68" i="6"/>
  <c r="J68" i="6"/>
  <c r="H68" i="6"/>
  <c r="F68" i="6"/>
  <c r="L68" i="6" s="1"/>
  <c r="K67" i="6"/>
  <c r="J67" i="6"/>
  <c r="H67" i="6"/>
  <c r="F67" i="6"/>
  <c r="L67" i="6" s="1"/>
  <c r="K66" i="6"/>
  <c r="J66" i="6"/>
  <c r="H66" i="6"/>
  <c r="L66" i="6" s="1"/>
  <c r="F66" i="6"/>
  <c r="L65" i="6"/>
  <c r="K65" i="6"/>
  <c r="J65" i="6"/>
  <c r="H65" i="6"/>
  <c r="F65" i="6"/>
  <c r="K64" i="6"/>
  <c r="J64" i="6"/>
  <c r="H64" i="6"/>
  <c r="F64" i="6"/>
  <c r="L64" i="6" s="1"/>
  <c r="L63" i="6"/>
  <c r="K63" i="6"/>
  <c r="J63" i="6"/>
  <c r="H63" i="6"/>
  <c r="F63" i="6"/>
  <c r="K62" i="6"/>
  <c r="J62" i="6"/>
  <c r="H62" i="6"/>
  <c r="F62" i="6"/>
  <c r="L62" i="6" s="1"/>
  <c r="K61" i="6"/>
  <c r="J61" i="6"/>
  <c r="L61" i="6" s="1"/>
  <c r="H61" i="6"/>
  <c r="F61" i="6"/>
  <c r="L60" i="6"/>
  <c r="K60" i="6"/>
  <c r="J60" i="6"/>
  <c r="H60" i="6"/>
  <c r="F60" i="6"/>
  <c r="K59" i="6"/>
  <c r="J59" i="6"/>
  <c r="H59" i="6"/>
  <c r="F59" i="6"/>
  <c r="L59" i="6" s="1"/>
  <c r="K58" i="6"/>
  <c r="J58" i="6"/>
  <c r="H58" i="6"/>
  <c r="L58" i="6" s="1"/>
  <c r="F58" i="6"/>
  <c r="K56" i="6"/>
  <c r="J56" i="6"/>
  <c r="H56" i="6"/>
  <c r="F56" i="6"/>
  <c r="L56" i="6" s="1"/>
  <c r="K55" i="6"/>
  <c r="J55" i="6"/>
  <c r="H55" i="6"/>
  <c r="F55" i="6"/>
  <c r="L55" i="6" s="1"/>
  <c r="K54" i="6"/>
  <c r="J54" i="6"/>
  <c r="H54" i="6"/>
  <c r="F54" i="6"/>
  <c r="L54" i="6" s="1"/>
  <c r="K53" i="6"/>
  <c r="J53" i="6"/>
  <c r="H53" i="6"/>
  <c r="L53" i="6" s="1"/>
  <c r="F53" i="6"/>
  <c r="L50" i="6"/>
  <c r="K50" i="6"/>
  <c r="J50" i="6"/>
  <c r="H50" i="6"/>
  <c r="F50" i="6"/>
  <c r="K47" i="6"/>
  <c r="J47" i="6"/>
  <c r="H47" i="6"/>
  <c r="L47" i="6" s="1"/>
  <c r="F47" i="6"/>
  <c r="L44" i="6"/>
  <c r="K44" i="6"/>
  <c r="J44" i="6"/>
  <c r="H44" i="6"/>
  <c r="F44" i="6"/>
  <c r="K42" i="6"/>
  <c r="J42" i="6"/>
  <c r="H42" i="6"/>
  <c r="F42" i="6"/>
  <c r="L42" i="6" s="1"/>
  <c r="K39" i="6"/>
  <c r="J39" i="6"/>
  <c r="L39" i="6" s="1"/>
  <c r="H39" i="6"/>
  <c r="F39" i="6"/>
  <c r="F28" i="6"/>
  <c r="J28" i="6" s="1"/>
  <c r="J15" i="6"/>
  <c r="L15" i="6" s="1"/>
  <c r="J9" i="6"/>
  <c r="L9" i="6" s="1"/>
  <c r="L7" i="6"/>
  <c r="J18" i="6" s="1"/>
  <c r="L18" i="6" s="1"/>
  <c r="J7" i="6"/>
  <c r="H7" i="6"/>
  <c r="J12" i="6" s="1"/>
  <c r="F7" i="6"/>
  <c r="F22" i="6" s="1"/>
  <c r="L519" i="5"/>
  <c r="K519" i="5"/>
  <c r="J519" i="5"/>
  <c r="H519" i="5"/>
  <c r="F519" i="5"/>
  <c r="K518" i="5"/>
  <c r="J518" i="5"/>
  <c r="H518" i="5"/>
  <c r="F518" i="5"/>
  <c r="L518" i="5" s="1"/>
  <c r="L517" i="5"/>
  <c r="K517" i="5"/>
  <c r="J517" i="5"/>
  <c r="H517" i="5"/>
  <c r="F517" i="5"/>
  <c r="K515" i="5"/>
  <c r="J515" i="5"/>
  <c r="H515" i="5"/>
  <c r="F515" i="5"/>
  <c r="L515" i="5" s="1"/>
  <c r="K513" i="5"/>
  <c r="J513" i="5"/>
  <c r="L513" i="5" s="1"/>
  <c r="H513" i="5"/>
  <c r="F513" i="5"/>
  <c r="L511" i="5"/>
  <c r="K511" i="5"/>
  <c r="J511" i="5"/>
  <c r="H511" i="5"/>
  <c r="F511" i="5"/>
  <c r="K505" i="5"/>
  <c r="J505" i="5"/>
  <c r="H505" i="5"/>
  <c r="F505" i="5"/>
  <c r="L505" i="5" s="1"/>
  <c r="K504" i="5"/>
  <c r="J504" i="5"/>
  <c r="H504" i="5"/>
  <c r="L504" i="5" s="1"/>
  <c r="F504" i="5"/>
  <c r="K503" i="5"/>
  <c r="J503" i="5"/>
  <c r="H503" i="5"/>
  <c r="F503" i="5"/>
  <c r="L503" i="5" s="1"/>
  <c r="K502" i="5"/>
  <c r="J502" i="5"/>
  <c r="H502" i="5"/>
  <c r="F502" i="5"/>
  <c r="L502" i="5" s="1"/>
  <c r="K501" i="5"/>
  <c r="J501" i="5"/>
  <c r="H501" i="5"/>
  <c r="F501" i="5"/>
  <c r="L501" i="5" s="1"/>
  <c r="L499" i="5"/>
  <c r="K499" i="5"/>
  <c r="J499" i="5"/>
  <c r="H499" i="5"/>
  <c r="F499" i="5"/>
  <c r="L498" i="5"/>
  <c r="K498" i="5"/>
  <c r="J498" i="5"/>
  <c r="H498" i="5"/>
  <c r="F498" i="5"/>
  <c r="K496" i="5"/>
  <c r="J496" i="5"/>
  <c r="H496" i="5"/>
  <c r="F496" i="5"/>
  <c r="L496" i="5" s="1"/>
  <c r="L495" i="5"/>
  <c r="K495" i="5"/>
  <c r="J495" i="5"/>
  <c r="H495" i="5"/>
  <c r="F495" i="5"/>
  <c r="K494" i="5"/>
  <c r="J494" i="5"/>
  <c r="H494" i="5"/>
  <c r="F494" i="5"/>
  <c r="L494" i="5" s="1"/>
  <c r="K493" i="5"/>
  <c r="J493" i="5"/>
  <c r="L493" i="5" s="1"/>
  <c r="H493" i="5"/>
  <c r="F493" i="5"/>
  <c r="L492" i="5"/>
  <c r="K492" i="5"/>
  <c r="J492" i="5"/>
  <c r="H492" i="5"/>
  <c r="F492" i="5"/>
  <c r="K491" i="5"/>
  <c r="J491" i="5"/>
  <c r="H491" i="5"/>
  <c r="F491" i="5"/>
  <c r="L491" i="5" s="1"/>
  <c r="K490" i="5"/>
  <c r="J490" i="5"/>
  <c r="H490" i="5"/>
  <c r="L490" i="5" s="1"/>
  <c r="F490" i="5"/>
  <c r="K489" i="5"/>
  <c r="J489" i="5"/>
  <c r="H489" i="5"/>
  <c r="F489" i="5"/>
  <c r="L489" i="5" s="1"/>
  <c r="K488" i="5"/>
  <c r="J488" i="5"/>
  <c r="H488" i="5"/>
  <c r="F488" i="5"/>
  <c r="L488" i="5" s="1"/>
  <c r="K487" i="5"/>
  <c r="J487" i="5"/>
  <c r="H487" i="5"/>
  <c r="F487" i="5"/>
  <c r="L487" i="5" s="1"/>
  <c r="L486" i="5"/>
  <c r="K486" i="5"/>
  <c r="J486" i="5"/>
  <c r="H486" i="5"/>
  <c r="F486" i="5"/>
  <c r="L485" i="5"/>
  <c r="K485" i="5"/>
  <c r="J485" i="5"/>
  <c r="H485" i="5"/>
  <c r="F485" i="5"/>
  <c r="K484" i="5"/>
  <c r="J484" i="5"/>
  <c r="H484" i="5"/>
  <c r="F484" i="5"/>
  <c r="L484" i="5" s="1"/>
  <c r="L483" i="5"/>
  <c r="K483" i="5"/>
  <c r="J483" i="5"/>
  <c r="H483" i="5"/>
  <c r="F483" i="5"/>
  <c r="K482" i="5"/>
  <c r="J482" i="5"/>
  <c r="H482" i="5"/>
  <c r="F482" i="5"/>
  <c r="L482" i="5" s="1"/>
  <c r="K481" i="5"/>
  <c r="J481" i="5"/>
  <c r="L481" i="5" s="1"/>
  <c r="H481" i="5"/>
  <c r="F481" i="5"/>
  <c r="L478" i="5"/>
  <c r="K478" i="5"/>
  <c r="J478" i="5"/>
  <c r="H478" i="5"/>
  <c r="F478" i="5"/>
  <c r="K477" i="5"/>
  <c r="J477" i="5"/>
  <c r="H477" i="5"/>
  <c r="F477" i="5"/>
  <c r="L477" i="5" s="1"/>
  <c r="K476" i="5"/>
  <c r="J476" i="5"/>
  <c r="H476" i="5"/>
  <c r="L476" i="5" s="1"/>
  <c r="F476" i="5"/>
  <c r="K475" i="5"/>
  <c r="J475" i="5"/>
  <c r="H475" i="5"/>
  <c r="F475" i="5"/>
  <c r="L475" i="5" s="1"/>
  <c r="K474" i="5"/>
  <c r="J474" i="5"/>
  <c r="H474" i="5"/>
  <c r="F474" i="5"/>
  <c r="L474" i="5" s="1"/>
  <c r="K473" i="5"/>
  <c r="J473" i="5"/>
  <c r="H473" i="5"/>
  <c r="F473" i="5"/>
  <c r="L473" i="5" s="1"/>
  <c r="L472" i="5"/>
  <c r="K472" i="5"/>
  <c r="J472" i="5"/>
  <c r="H472" i="5"/>
  <c r="F472" i="5"/>
  <c r="L471" i="5"/>
  <c r="K471" i="5"/>
  <c r="J471" i="5"/>
  <c r="H471" i="5"/>
  <c r="F471" i="5"/>
  <c r="K470" i="5"/>
  <c r="J470" i="5"/>
  <c r="H470" i="5"/>
  <c r="L470" i="5" s="1"/>
  <c r="F470" i="5"/>
  <c r="L469" i="5"/>
  <c r="K469" i="5"/>
  <c r="J469" i="5"/>
  <c r="H469" i="5"/>
  <c r="F469" i="5"/>
  <c r="K468" i="5"/>
  <c r="J468" i="5"/>
  <c r="H468" i="5"/>
  <c r="F468" i="5"/>
  <c r="L468" i="5" s="1"/>
  <c r="K467" i="5"/>
  <c r="J467" i="5"/>
  <c r="L467" i="5" s="1"/>
  <c r="H467" i="5"/>
  <c r="F467" i="5"/>
  <c r="L466" i="5"/>
  <c r="K466" i="5"/>
  <c r="J466" i="5"/>
  <c r="H466" i="5"/>
  <c r="F466" i="5"/>
  <c r="K465" i="5"/>
  <c r="J465" i="5"/>
  <c r="H465" i="5"/>
  <c r="F465" i="5"/>
  <c r="L465" i="5" s="1"/>
  <c r="K464" i="5"/>
  <c r="J464" i="5"/>
  <c r="H464" i="5"/>
  <c r="F464" i="5"/>
  <c r="L464" i="5" s="1"/>
  <c r="K463" i="5"/>
  <c r="J463" i="5"/>
  <c r="H463" i="5"/>
  <c r="F463" i="5"/>
  <c r="L463" i="5" s="1"/>
  <c r="K462" i="5"/>
  <c r="J462" i="5"/>
  <c r="H462" i="5"/>
  <c r="F462" i="5"/>
  <c r="L462" i="5" s="1"/>
  <c r="K460" i="5"/>
  <c r="J460" i="5"/>
  <c r="H460" i="5"/>
  <c r="F460" i="5"/>
  <c r="L460" i="5" s="1"/>
  <c r="L458" i="5"/>
  <c r="K458" i="5"/>
  <c r="J458" i="5"/>
  <c r="H458" i="5"/>
  <c r="F458" i="5"/>
  <c r="K456" i="5"/>
  <c r="J456" i="5"/>
  <c r="L456" i="5" s="1"/>
  <c r="H456" i="5"/>
  <c r="F456" i="5"/>
  <c r="K455" i="5"/>
  <c r="J455" i="5"/>
  <c r="H455" i="5"/>
  <c r="L455" i="5" s="1"/>
  <c r="F455" i="5"/>
  <c r="L454" i="5"/>
  <c r="K454" i="5"/>
  <c r="J454" i="5"/>
  <c r="H454" i="5"/>
  <c r="F454" i="5"/>
  <c r="K452" i="5"/>
  <c r="J452" i="5"/>
  <c r="H452" i="5"/>
  <c r="F452" i="5"/>
  <c r="L452" i="5" s="1"/>
  <c r="K451" i="5"/>
  <c r="J451" i="5"/>
  <c r="L451" i="5" s="1"/>
  <c r="H451" i="5"/>
  <c r="F451" i="5"/>
  <c r="L450" i="5"/>
  <c r="K450" i="5"/>
  <c r="J450" i="5"/>
  <c r="H450" i="5"/>
  <c r="F450" i="5"/>
  <c r="K449" i="5"/>
  <c r="J449" i="5"/>
  <c r="H449" i="5"/>
  <c r="F449" i="5"/>
  <c r="L449" i="5" s="1"/>
  <c r="K448" i="5"/>
  <c r="J448" i="5"/>
  <c r="H448" i="5"/>
  <c r="F448" i="5"/>
  <c r="L448" i="5" s="1"/>
  <c r="K447" i="5"/>
  <c r="J447" i="5"/>
  <c r="H447" i="5"/>
  <c r="F447" i="5"/>
  <c r="L447" i="5" s="1"/>
  <c r="K446" i="5"/>
  <c r="J446" i="5"/>
  <c r="H446" i="5"/>
  <c r="F446" i="5"/>
  <c r="L446" i="5" s="1"/>
  <c r="K445" i="5"/>
  <c r="J445" i="5"/>
  <c r="H445" i="5"/>
  <c r="F445" i="5"/>
  <c r="L445" i="5" s="1"/>
  <c r="L444" i="5"/>
  <c r="K444" i="5"/>
  <c r="J444" i="5"/>
  <c r="H444" i="5"/>
  <c r="F444" i="5"/>
  <c r="K443" i="5"/>
  <c r="J443" i="5"/>
  <c r="L443" i="5" s="1"/>
  <c r="H443" i="5"/>
  <c r="F443" i="5"/>
  <c r="K441" i="5"/>
  <c r="J441" i="5"/>
  <c r="H441" i="5"/>
  <c r="L441" i="5" s="1"/>
  <c r="F441" i="5"/>
  <c r="L440" i="5"/>
  <c r="K440" i="5"/>
  <c r="J440" i="5"/>
  <c r="H440" i="5"/>
  <c r="F440" i="5"/>
  <c r="K439" i="5"/>
  <c r="J439" i="5"/>
  <c r="H439" i="5"/>
  <c r="F439" i="5"/>
  <c r="L439" i="5" s="1"/>
  <c r="K436" i="5"/>
  <c r="J436" i="5"/>
  <c r="H436" i="5"/>
  <c r="F436" i="5"/>
  <c r="L436" i="5" s="1"/>
  <c r="L434" i="5"/>
  <c r="K434" i="5"/>
  <c r="J434" i="5"/>
  <c r="H434" i="5"/>
  <c r="F434" i="5"/>
  <c r="K432" i="5"/>
  <c r="J432" i="5"/>
  <c r="H432" i="5"/>
  <c r="F432" i="5"/>
  <c r="L432" i="5" s="1"/>
  <c r="K431" i="5"/>
  <c r="J431" i="5"/>
  <c r="H431" i="5"/>
  <c r="L431" i="5" s="1"/>
  <c r="F431" i="5"/>
  <c r="K430" i="5"/>
  <c r="J430" i="5"/>
  <c r="H430" i="5"/>
  <c r="F430" i="5"/>
  <c r="L430" i="5" s="1"/>
  <c r="K427" i="5"/>
  <c r="J427" i="5"/>
  <c r="H427" i="5"/>
  <c r="F427" i="5"/>
  <c r="L427" i="5" s="1"/>
  <c r="K425" i="5"/>
  <c r="J425" i="5"/>
  <c r="H425" i="5"/>
  <c r="F425" i="5"/>
  <c r="L425" i="5" s="1"/>
  <c r="L424" i="5"/>
  <c r="K424" i="5"/>
  <c r="J424" i="5"/>
  <c r="H424" i="5"/>
  <c r="F424" i="5"/>
  <c r="K423" i="5"/>
  <c r="J423" i="5"/>
  <c r="L423" i="5" s="1"/>
  <c r="H423" i="5"/>
  <c r="F423" i="5"/>
  <c r="K420" i="5"/>
  <c r="J420" i="5"/>
  <c r="H420" i="5"/>
  <c r="F420" i="5"/>
  <c r="L420" i="5" s="1"/>
  <c r="L419" i="5"/>
  <c r="K419" i="5"/>
  <c r="J419" i="5"/>
  <c r="H419" i="5"/>
  <c r="F419" i="5"/>
  <c r="K416" i="5"/>
  <c r="J416" i="5"/>
  <c r="H416" i="5"/>
  <c r="F416" i="5"/>
  <c r="L416" i="5" s="1"/>
  <c r="K415" i="5"/>
  <c r="J415" i="5"/>
  <c r="H415" i="5"/>
  <c r="F415" i="5"/>
  <c r="L415" i="5" s="1"/>
  <c r="L414" i="5"/>
  <c r="K414" i="5"/>
  <c r="J414" i="5"/>
  <c r="H414" i="5"/>
  <c r="F414" i="5"/>
  <c r="K413" i="5"/>
  <c r="J413" i="5"/>
  <c r="H413" i="5"/>
  <c r="F413" i="5"/>
  <c r="L413" i="5" s="1"/>
  <c r="K412" i="5"/>
  <c r="J412" i="5"/>
  <c r="H412" i="5"/>
  <c r="L412" i="5" s="1"/>
  <c r="F412" i="5"/>
  <c r="K411" i="5"/>
  <c r="J411" i="5"/>
  <c r="H411" i="5"/>
  <c r="F411" i="5"/>
  <c r="L411" i="5" s="1"/>
  <c r="K410" i="5"/>
  <c r="J410" i="5"/>
  <c r="H410" i="5"/>
  <c r="F410" i="5"/>
  <c r="L410" i="5" s="1"/>
  <c r="K407" i="5"/>
  <c r="J407" i="5"/>
  <c r="H407" i="5"/>
  <c r="F407" i="5"/>
  <c r="L407" i="5" s="1"/>
  <c r="L406" i="5"/>
  <c r="K406" i="5"/>
  <c r="J406" i="5"/>
  <c r="H406" i="5"/>
  <c r="F406" i="5"/>
  <c r="K404" i="5"/>
  <c r="J404" i="5"/>
  <c r="L404" i="5" s="1"/>
  <c r="H404" i="5"/>
  <c r="F404" i="5"/>
  <c r="K402" i="5"/>
  <c r="J402" i="5"/>
  <c r="H402" i="5"/>
  <c r="F402" i="5"/>
  <c r="L402" i="5" s="1"/>
  <c r="L401" i="5"/>
  <c r="K401" i="5"/>
  <c r="J401" i="5"/>
  <c r="H401" i="5"/>
  <c r="F401" i="5"/>
  <c r="K400" i="5"/>
  <c r="J400" i="5"/>
  <c r="H400" i="5"/>
  <c r="F400" i="5"/>
  <c r="L400" i="5" s="1"/>
  <c r="K399" i="5"/>
  <c r="J399" i="5"/>
  <c r="H399" i="5"/>
  <c r="F399" i="5"/>
  <c r="L399" i="5" s="1"/>
  <c r="L397" i="5"/>
  <c r="K397" i="5"/>
  <c r="J397" i="5"/>
  <c r="H397" i="5"/>
  <c r="F397" i="5"/>
  <c r="K396" i="5"/>
  <c r="J396" i="5"/>
  <c r="H396" i="5"/>
  <c r="F396" i="5"/>
  <c r="L396" i="5" s="1"/>
  <c r="K395" i="5"/>
  <c r="J395" i="5"/>
  <c r="H395" i="5"/>
  <c r="F395" i="5"/>
  <c r="L395" i="5" s="1"/>
  <c r="K393" i="5"/>
  <c r="J393" i="5"/>
  <c r="H393" i="5"/>
  <c r="F393" i="5"/>
  <c r="L393" i="5" s="1"/>
  <c r="K392" i="5"/>
  <c r="J392" i="5"/>
  <c r="H392" i="5"/>
  <c r="F392" i="5"/>
  <c r="L392" i="5" s="1"/>
  <c r="K390" i="5"/>
  <c r="J390" i="5"/>
  <c r="H390" i="5"/>
  <c r="F390" i="5"/>
  <c r="L390" i="5" s="1"/>
  <c r="L389" i="5"/>
  <c r="K389" i="5"/>
  <c r="J389" i="5"/>
  <c r="H389" i="5"/>
  <c r="F389" i="5"/>
  <c r="K386" i="5"/>
  <c r="J386" i="5"/>
  <c r="L386" i="5" s="1"/>
  <c r="H386" i="5"/>
  <c r="F386" i="5"/>
  <c r="K385" i="5"/>
  <c r="J385" i="5"/>
  <c r="H385" i="5"/>
  <c r="F385" i="5"/>
  <c r="L385" i="5" s="1"/>
  <c r="L383" i="5"/>
  <c r="K383" i="5"/>
  <c r="J383" i="5"/>
  <c r="H383" i="5"/>
  <c r="F383" i="5"/>
  <c r="K382" i="5"/>
  <c r="J382" i="5"/>
  <c r="H382" i="5"/>
  <c r="F382" i="5"/>
  <c r="L382" i="5" s="1"/>
  <c r="K381" i="5"/>
  <c r="J381" i="5"/>
  <c r="H381" i="5"/>
  <c r="F381" i="5"/>
  <c r="L381" i="5" s="1"/>
  <c r="L380" i="5"/>
  <c r="K380" i="5"/>
  <c r="J380" i="5"/>
  <c r="H380" i="5"/>
  <c r="F380" i="5"/>
  <c r="K379" i="5"/>
  <c r="J379" i="5"/>
  <c r="H379" i="5"/>
  <c r="F379" i="5"/>
  <c r="L379" i="5" s="1"/>
  <c r="K378" i="5"/>
  <c r="J378" i="5"/>
  <c r="H378" i="5"/>
  <c r="F378" i="5"/>
  <c r="L378" i="5" s="1"/>
  <c r="K377" i="5"/>
  <c r="J377" i="5"/>
  <c r="H377" i="5"/>
  <c r="F377" i="5"/>
  <c r="L377" i="5" s="1"/>
  <c r="K376" i="5"/>
  <c r="J376" i="5"/>
  <c r="H376" i="5"/>
  <c r="F376" i="5"/>
  <c r="L376" i="5" s="1"/>
  <c r="K375" i="5"/>
  <c r="J375" i="5"/>
  <c r="H375" i="5"/>
  <c r="F375" i="5"/>
  <c r="L375" i="5" s="1"/>
  <c r="L374" i="5"/>
  <c r="K374" i="5"/>
  <c r="J374" i="5"/>
  <c r="H374" i="5"/>
  <c r="F374" i="5"/>
  <c r="L373" i="5"/>
  <c r="K373" i="5"/>
  <c r="J373" i="5"/>
  <c r="H373" i="5"/>
  <c r="F373" i="5"/>
  <c r="K371" i="5"/>
  <c r="J371" i="5"/>
  <c r="H371" i="5"/>
  <c r="F371" i="5"/>
  <c r="L371" i="5" s="1"/>
  <c r="L369" i="5"/>
  <c r="K369" i="5"/>
  <c r="J369" i="5"/>
  <c r="H369" i="5"/>
  <c r="F369" i="5"/>
  <c r="K366" i="5"/>
  <c r="J366" i="5"/>
  <c r="H366" i="5"/>
  <c r="F366" i="5"/>
  <c r="L366" i="5" s="1"/>
  <c r="K364" i="5"/>
  <c r="J364" i="5"/>
  <c r="H364" i="5"/>
  <c r="F364" i="5"/>
  <c r="L364" i="5" s="1"/>
  <c r="L361" i="5"/>
  <c r="K361" i="5"/>
  <c r="J361" i="5"/>
  <c r="H361" i="5"/>
  <c r="F361" i="5"/>
  <c r="K359" i="5"/>
  <c r="J359" i="5"/>
  <c r="H359" i="5"/>
  <c r="F359" i="5"/>
  <c r="L359" i="5" s="1"/>
  <c r="K358" i="5"/>
  <c r="J358" i="5"/>
  <c r="H358" i="5"/>
  <c r="F358" i="5"/>
  <c r="L358" i="5" s="1"/>
  <c r="K356" i="5"/>
  <c r="J356" i="5"/>
  <c r="H356" i="5"/>
  <c r="F356" i="5"/>
  <c r="L356" i="5" s="1"/>
  <c r="K354" i="5"/>
  <c r="J354" i="5"/>
  <c r="H354" i="5"/>
  <c r="F354" i="5"/>
  <c r="L354" i="5" s="1"/>
  <c r="K353" i="5"/>
  <c r="J353" i="5"/>
  <c r="H353" i="5"/>
  <c r="F353" i="5"/>
  <c r="L353" i="5" s="1"/>
  <c r="L350" i="5"/>
  <c r="K350" i="5"/>
  <c r="J350" i="5"/>
  <c r="H350" i="5"/>
  <c r="F350" i="5"/>
  <c r="L349" i="5"/>
  <c r="K349" i="5"/>
  <c r="J349" i="5"/>
  <c r="H349" i="5"/>
  <c r="F349" i="5"/>
  <c r="K346" i="5"/>
  <c r="J346" i="5"/>
  <c r="H346" i="5"/>
  <c r="L346" i="5" s="1"/>
  <c r="F346" i="5"/>
  <c r="L344" i="5"/>
  <c r="K344" i="5"/>
  <c r="J344" i="5"/>
  <c r="H344" i="5"/>
  <c r="F344" i="5"/>
  <c r="K342" i="5"/>
  <c r="J342" i="5"/>
  <c r="H342" i="5"/>
  <c r="F342" i="5"/>
  <c r="L342" i="5" s="1"/>
  <c r="K337" i="5"/>
  <c r="J337" i="5"/>
  <c r="H337" i="5"/>
  <c r="F337" i="5"/>
  <c r="L337" i="5" s="1"/>
  <c r="L335" i="5"/>
  <c r="K335" i="5"/>
  <c r="J335" i="5"/>
  <c r="H335" i="5"/>
  <c r="F335" i="5"/>
  <c r="K334" i="5"/>
  <c r="J334" i="5"/>
  <c r="H334" i="5"/>
  <c r="F334" i="5"/>
  <c r="L334" i="5" s="1"/>
  <c r="K333" i="5"/>
  <c r="J333" i="5"/>
  <c r="H333" i="5"/>
  <c r="F333" i="5"/>
  <c r="L333" i="5" s="1"/>
  <c r="K332" i="5"/>
  <c r="J332" i="5"/>
  <c r="H332" i="5"/>
  <c r="F332" i="5"/>
  <c r="L332" i="5" s="1"/>
  <c r="K331" i="5"/>
  <c r="J331" i="5"/>
  <c r="H331" i="5"/>
  <c r="F331" i="5"/>
  <c r="L331" i="5" s="1"/>
  <c r="K330" i="5"/>
  <c r="J330" i="5"/>
  <c r="H330" i="5"/>
  <c r="F330" i="5"/>
  <c r="L330" i="5" s="1"/>
  <c r="L329" i="5"/>
  <c r="K329" i="5"/>
  <c r="J329" i="5"/>
  <c r="H329" i="5"/>
  <c r="F329" i="5"/>
  <c r="K326" i="5"/>
  <c r="J326" i="5"/>
  <c r="L326" i="5" s="1"/>
  <c r="H326" i="5"/>
  <c r="F326" i="5"/>
  <c r="K325" i="5"/>
  <c r="J325" i="5"/>
  <c r="H325" i="5"/>
  <c r="L325" i="5" s="1"/>
  <c r="F325" i="5"/>
  <c r="L323" i="5"/>
  <c r="K323" i="5"/>
  <c r="J323" i="5"/>
  <c r="H323" i="5"/>
  <c r="F323" i="5"/>
  <c r="K321" i="5"/>
  <c r="J321" i="5"/>
  <c r="H321" i="5"/>
  <c r="F321" i="5"/>
  <c r="L321" i="5" s="1"/>
  <c r="K319" i="5"/>
  <c r="J319" i="5"/>
  <c r="H319" i="5"/>
  <c r="F319" i="5"/>
  <c r="L319" i="5" s="1"/>
  <c r="L316" i="5"/>
  <c r="K316" i="5"/>
  <c r="J316" i="5"/>
  <c r="H316" i="5"/>
  <c r="F316" i="5"/>
  <c r="K314" i="5"/>
  <c r="J314" i="5"/>
  <c r="H314" i="5"/>
  <c r="F314" i="5"/>
  <c r="L314" i="5" s="1"/>
  <c r="K312" i="5"/>
  <c r="J312" i="5"/>
  <c r="H312" i="5"/>
  <c r="F312" i="5"/>
  <c r="L312" i="5" s="1"/>
  <c r="K310" i="5"/>
  <c r="J310" i="5"/>
  <c r="H310" i="5"/>
  <c r="F310" i="5"/>
  <c r="L310" i="5" s="1"/>
  <c r="K307" i="5"/>
  <c r="J307" i="5"/>
  <c r="H307" i="5"/>
  <c r="F307" i="5"/>
  <c r="L307" i="5" s="1"/>
  <c r="K305" i="5"/>
  <c r="J305" i="5"/>
  <c r="H305" i="5"/>
  <c r="F305" i="5"/>
  <c r="L305" i="5" s="1"/>
  <c r="L302" i="5"/>
  <c r="K302" i="5"/>
  <c r="J302" i="5"/>
  <c r="H302" i="5"/>
  <c r="F302" i="5"/>
  <c r="K300" i="5"/>
  <c r="J300" i="5"/>
  <c r="L300" i="5" s="1"/>
  <c r="H300" i="5"/>
  <c r="F300" i="5"/>
  <c r="K295" i="5"/>
  <c r="J295" i="5"/>
  <c r="H295" i="5"/>
  <c r="F295" i="5"/>
  <c r="L295" i="5" s="1"/>
  <c r="L294" i="5"/>
  <c r="K294" i="5"/>
  <c r="J294" i="5"/>
  <c r="H294" i="5"/>
  <c r="F294" i="5"/>
  <c r="K288" i="5"/>
  <c r="J288" i="5"/>
  <c r="H288" i="5"/>
  <c r="F288" i="5"/>
  <c r="L288" i="5" s="1"/>
  <c r="K287" i="5"/>
  <c r="J287" i="5"/>
  <c r="H287" i="5"/>
  <c r="F287" i="5"/>
  <c r="L287" i="5" s="1"/>
  <c r="L286" i="5"/>
  <c r="K286" i="5"/>
  <c r="J286" i="5"/>
  <c r="H286" i="5"/>
  <c r="F286" i="5"/>
  <c r="K284" i="5"/>
  <c r="J284" i="5"/>
  <c r="H284" i="5"/>
  <c r="F284" i="5"/>
  <c r="L284" i="5" s="1"/>
  <c r="K282" i="5"/>
  <c r="J282" i="5"/>
  <c r="H282" i="5"/>
  <c r="F282" i="5"/>
  <c r="L282" i="5" s="1"/>
  <c r="K280" i="5"/>
  <c r="J280" i="5"/>
  <c r="H280" i="5"/>
  <c r="F280" i="5"/>
  <c r="L280" i="5" s="1"/>
  <c r="K273" i="5"/>
  <c r="J273" i="5"/>
  <c r="H273" i="5"/>
  <c r="F273" i="5"/>
  <c r="L273" i="5" s="1"/>
  <c r="K272" i="5"/>
  <c r="J272" i="5"/>
  <c r="H272" i="5"/>
  <c r="F272" i="5"/>
  <c r="L272" i="5" s="1"/>
  <c r="L271" i="5"/>
  <c r="K271" i="5"/>
  <c r="J271" i="5"/>
  <c r="H271" i="5"/>
  <c r="F271" i="5"/>
  <c r="L270" i="5"/>
  <c r="K270" i="5"/>
  <c r="J270" i="5"/>
  <c r="H270" i="5"/>
  <c r="F270" i="5"/>
  <c r="K268" i="5"/>
  <c r="J268" i="5"/>
  <c r="H268" i="5"/>
  <c r="F268" i="5"/>
  <c r="L268" i="5" s="1"/>
  <c r="L267" i="5"/>
  <c r="K267" i="5"/>
  <c r="J267" i="5"/>
  <c r="H267" i="5"/>
  <c r="F267" i="5"/>
  <c r="K265" i="5"/>
  <c r="J265" i="5"/>
  <c r="H265" i="5"/>
  <c r="F265" i="5"/>
  <c r="L265" i="5" s="1"/>
  <c r="K264" i="5"/>
  <c r="J264" i="5"/>
  <c r="H264" i="5"/>
  <c r="F264" i="5"/>
  <c r="L264" i="5" s="1"/>
  <c r="L263" i="5"/>
  <c r="K263" i="5"/>
  <c r="J263" i="5"/>
  <c r="H263" i="5"/>
  <c r="F263" i="5"/>
  <c r="K262" i="5"/>
  <c r="J262" i="5"/>
  <c r="H262" i="5"/>
  <c r="F262" i="5"/>
  <c r="L262" i="5" s="1"/>
  <c r="K261" i="5"/>
  <c r="J261" i="5"/>
  <c r="H261" i="5"/>
  <c r="F261" i="5"/>
  <c r="L261" i="5" s="1"/>
  <c r="K260" i="5"/>
  <c r="J260" i="5"/>
  <c r="H260" i="5"/>
  <c r="F260" i="5"/>
  <c r="L260" i="5" s="1"/>
  <c r="K259" i="5"/>
  <c r="J259" i="5"/>
  <c r="H259" i="5"/>
  <c r="F259" i="5"/>
  <c r="L259" i="5" s="1"/>
  <c r="K258" i="5"/>
  <c r="J258" i="5"/>
  <c r="H258" i="5"/>
  <c r="F258" i="5"/>
  <c r="L258" i="5" s="1"/>
  <c r="L257" i="5"/>
  <c r="K257" i="5"/>
  <c r="J257" i="5"/>
  <c r="H257" i="5"/>
  <c r="F257" i="5"/>
  <c r="L256" i="5"/>
  <c r="K256" i="5"/>
  <c r="J256" i="5"/>
  <c r="H256" i="5"/>
  <c r="F256" i="5"/>
  <c r="K255" i="5"/>
  <c r="J255" i="5"/>
  <c r="H255" i="5"/>
  <c r="F255" i="5"/>
  <c r="L255" i="5" s="1"/>
  <c r="L254" i="5"/>
  <c r="K254" i="5"/>
  <c r="J254" i="5"/>
  <c r="H254" i="5"/>
  <c r="F254" i="5"/>
  <c r="K253" i="5"/>
  <c r="J253" i="5"/>
  <c r="H253" i="5"/>
  <c r="F253" i="5"/>
  <c r="L253" i="5" s="1"/>
  <c r="K252" i="5"/>
  <c r="J252" i="5"/>
  <c r="H252" i="5"/>
  <c r="F252" i="5"/>
  <c r="L252" i="5" s="1"/>
  <c r="L251" i="5"/>
  <c r="K251" i="5"/>
  <c r="J251" i="5"/>
  <c r="H251" i="5"/>
  <c r="F251" i="5"/>
  <c r="K250" i="5"/>
  <c r="J250" i="5"/>
  <c r="H250" i="5"/>
  <c r="F250" i="5"/>
  <c r="L250" i="5" s="1"/>
  <c r="K247" i="5"/>
  <c r="J247" i="5"/>
  <c r="H247" i="5"/>
  <c r="F247" i="5"/>
  <c r="L247" i="5" s="1"/>
  <c r="K246" i="5"/>
  <c r="J246" i="5"/>
  <c r="H246" i="5"/>
  <c r="F246" i="5"/>
  <c r="L246" i="5" s="1"/>
  <c r="K245" i="5"/>
  <c r="J245" i="5"/>
  <c r="H245" i="5"/>
  <c r="F245" i="5"/>
  <c r="L245" i="5" s="1"/>
  <c r="K244" i="5"/>
  <c r="J244" i="5"/>
  <c r="H244" i="5"/>
  <c r="F244" i="5"/>
  <c r="L244" i="5" s="1"/>
  <c r="L243" i="5"/>
  <c r="K243" i="5"/>
  <c r="J243" i="5"/>
  <c r="H243" i="5"/>
  <c r="F243" i="5"/>
  <c r="L242" i="5"/>
  <c r="K242" i="5"/>
  <c r="J242" i="5"/>
  <c r="H242" i="5"/>
  <c r="F242" i="5"/>
  <c r="K241" i="5"/>
  <c r="J241" i="5"/>
  <c r="H241" i="5"/>
  <c r="F241" i="5"/>
  <c r="L241" i="5" s="1"/>
  <c r="L240" i="5"/>
  <c r="K240" i="5"/>
  <c r="J240" i="5"/>
  <c r="H240" i="5"/>
  <c r="F240" i="5"/>
  <c r="K239" i="5"/>
  <c r="J239" i="5"/>
  <c r="H239" i="5"/>
  <c r="F239" i="5"/>
  <c r="L239" i="5" s="1"/>
  <c r="K238" i="5"/>
  <c r="J238" i="5"/>
  <c r="H238" i="5"/>
  <c r="F238" i="5"/>
  <c r="L238" i="5" s="1"/>
  <c r="L237" i="5"/>
  <c r="K237" i="5"/>
  <c r="J237" i="5"/>
  <c r="H237" i="5"/>
  <c r="F237" i="5"/>
  <c r="K236" i="5"/>
  <c r="J236" i="5"/>
  <c r="H236" i="5"/>
  <c r="F236" i="5"/>
  <c r="L236" i="5" s="1"/>
  <c r="K235" i="5"/>
  <c r="J235" i="5"/>
  <c r="H235" i="5"/>
  <c r="F235" i="5"/>
  <c r="L235" i="5" s="1"/>
  <c r="K234" i="5"/>
  <c r="J234" i="5"/>
  <c r="H234" i="5"/>
  <c r="F234" i="5"/>
  <c r="L234" i="5" s="1"/>
  <c r="K233" i="5"/>
  <c r="J233" i="5"/>
  <c r="H233" i="5"/>
  <c r="F233" i="5"/>
  <c r="L233" i="5" s="1"/>
  <c r="K232" i="5"/>
  <c r="J232" i="5"/>
  <c r="H232" i="5"/>
  <c r="F232" i="5"/>
  <c r="L232" i="5" s="1"/>
  <c r="L231" i="5"/>
  <c r="K231" i="5"/>
  <c r="J231" i="5"/>
  <c r="H231" i="5"/>
  <c r="F231" i="5"/>
  <c r="K229" i="5"/>
  <c r="J229" i="5"/>
  <c r="L229" i="5" s="1"/>
  <c r="H229" i="5"/>
  <c r="F229" i="5"/>
  <c r="K227" i="5"/>
  <c r="J227" i="5"/>
  <c r="H227" i="5"/>
  <c r="F227" i="5"/>
  <c r="L227" i="5" s="1"/>
  <c r="L226" i="5"/>
  <c r="K226" i="5"/>
  <c r="J226" i="5"/>
  <c r="H226" i="5"/>
  <c r="F226" i="5"/>
  <c r="K225" i="5"/>
  <c r="J225" i="5"/>
  <c r="H225" i="5"/>
  <c r="F225" i="5"/>
  <c r="L225" i="5" s="1"/>
  <c r="K224" i="5"/>
  <c r="J224" i="5"/>
  <c r="H224" i="5"/>
  <c r="F224" i="5"/>
  <c r="L224" i="5" s="1"/>
  <c r="L222" i="5"/>
  <c r="K222" i="5"/>
  <c r="J222" i="5"/>
  <c r="H222" i="5"/>
  <c r="F222" i="5"/>
  <c r="K221" i="5"/>
  <c r="J221" i="5"/>
  <c r="H221" i="5"/>
  <c r="F221" i="5"/>
  <c r="L221" i="5" s="1"/>
  <c r="K220" i="5"/>
  <c r="J220" i="5"/>
  <c r="H220" i="5"/>
  <c r="F220" i="5"/>
  <c r="L220" i="5" s="1"/>
  <c r="K219" i="5"/>
  <c r="J219" i="5"/>
  <c r="H219" i="5"/>
  <c r="F219" i="5"/>
  <c r="L219" i="5" s="1"/>
  <c r="K218" i="5"/>
  <c r="J218" i="5"/>
  <c r="H218" i="5"/>
  <c r="F218" i="5"/>
  <c r="L218" i="5" s="1"/>
  <c r="K217" i="5"/>
  <c r="J217" i="5"/>
  <c r="H217" i="5"/>
  <c r="F217" i="5"/>
  <c r="L217" i="5" s="1"/>
  <c r="L216" i="5"/>
  <c r="K216" i="5"/>
  <c r="J216" i="5"/>
  <c r="H216" i="5"/>
  <c r="F216" i="5"/>
  <c r="K215" i="5"/>
  <c r="J215" i="5"/>
  <c r="L215" i="5" s="1"/>
  <c r="H215" i="5"/>
  <c r="F215" i="5"/>
  <c r="K213" i="5"/>
  <c r="J213" i="5"/>
  <c r="H213" i="5"/>
  <c r="F213" i="5"/>
  <c r="L213" i="5" s="1"/>
  <c r="L212" i="5"/>
  <c r="K212" i="5"/>
  <c r="J212" i="5"/>
  <c r="H212" i="5"/>
  <c r="F212" i="5"/>
  <c r="K211" i="5"/>
  <c r="J211" i="5"/>
  <c r="H211" i="5"/>
  <c r="F211" i="5"/>
  <c r="L211" i="5" s="1"/>
  <c r="K208" i="5"/>
  <c r="J208" i="5"/>
  <c r="H208" i="5"/>
  <c r="F208" i="5"/>
  <c r="L208" i="5" s="1"/>
  <c r="L206" i="5"/>
  <c r="K206" i="5"/>
  <c r="J206" i="5"/>
  <c r="H206" i="5"/>
  <c r="F206" i="5"/>
  <c r="K204" i="5"/>
  <c r="J204" i="5"/>
  <c r="H204" i="5"/>
  <c r="F204" i="5"/>
  <c r="L204" i="5" s="1"/>
  <c r="K203" i="5"/>
  <c r="J203" i="5"/>
  <c r="H203" i="5"/>
  <c r="F203" i="5"/>
  <c r="L203" i="5" s="1"/>
  <c r="K202" i="5"/>
  <c r="J202" i="5"/>
  <c r="H202" i="5"/>
  <c r="F202" i="5"/>
  <c r="L202" i="5" s="1"/>
  <c r="K199" i="5"/>
  <c r="J199" i="5"/>
  <c r="H199" i="5"/>
  <c r="F199" i="5"/>
  <c r="L199" i="5" s="1"/>
  <c r="K198" i="5"/>
  <c r="J198" i="5"/>
  <c r="H198" i="5"/>
  <c r="F198" i="5"/>
  <c r="L198" i="5" s="1"/>
  <c r="L197" i="5"/>
  <c r="K197" i="5"/>
  <c r="J197" i="5"/>
  <c r="H197" i="5"/>
  <c r="F197" i="5"/>
  <c r="K196" i="5"/>
  <c r="J196" i="5"/>
  <c r="L196" i="5" s="1"/>
  <c r="H196" i="5"/>
  <c r="F196" i="5"/>
  <c r="K195" i="5"/>
  <c r="J195" i="5"/>
  <c r="H195" i="5"/>
  <c r="F195" i="5"/>
  <c r="L195" i="5" s="1"/>
  <c r="L193" i="5"/>
  <c r="K193" i="5"/>
  <c r="J193" i="5"/>
  <c r="H193" i="5"/>
  <c r="F193" i="5"/>
  <c r="K191" i="5"/>
  <c r="J191" i="5"/>
  <c r="H191" i="5"/>
  <c r="F191" i="5"/>
  <c r="L191" i="5" s="1"/>
  <c r="K190" i="5"/>
  <c r="J190" i="5"/>
  <c r="H190" i="5"/>
  <c r="F190" i="5"/>
  <c r="L190" i="5" s="1"/>
  <c r="L189" i="5"/>
  <c r="K189" i="5"/>
  <c r="J189" i="5"/>
  <c r="H189" i="5"/>
  <c r="F189" i="5"/>
  <c r="K186" i="5"/>
  <c r="J186" i="5"/>
  <c r="H186" i="5"/>
  <c r="F186" i="5"/>
  <c r="L186" i="5" s="1"/>
  <c r="K185" i="5"/>
  <c r="J185" i="5"/>
  <c r="H185" i="5"/>
  <c r="F185" i="5"/>
  <c r="L185" i="5" s="1"/>
  <c r="K182" i="5"/>
  <c r="J182" i="5"/>
  <c r="H182" i="5"/>
  <c r="F182" i="5"/>
  <c r="L182" i="5" s="1"/>
  <c r="K181" i="5"/>
  <c r="J181" i="5"/>
  <c r="H181" i="5"/>
  <c r="F181" i="5"/>
  <c r="L181" i="5" s="1"/>
  <c r="K180" i="5"/>
  <c r="J180" i="5"/>
  <c r="H180" i="5"/>
  <c r="F180" i="5"/>
  <c r="L180" i="5" s="1"/>
  <c r="L179" i="5"/>
  <c r="K179" i="5"/>
  <c r="J179" i="5"/>
  <c r="H179" i="5"/>
  <c r="F179" i="5"/>
  <c r="K178" i="5"/>
  <c r="J178" i="5"/>
  <c r="L178" i="5" s="1"/>
  <c r="H178" i="5"/>
  <c r="F178" i="5"/>
  <c r="K177" i="5"/>
  <c r="J177" i="5"/>
  <c r="H177" i="5"/>
  <c r="F177" i="5"/>
  <c r="L177" i="5" s="1"/>
  <c r="L176" i="5"/>
  <c r="K176" i="5"/>
  <c r="J176" i="5"/>
  <c r="H176" i="5"/>
  <c r="F176" i="5"/>
  <c r="K173" i="5"/>
  <c r="J173" i="5"/>
  <c r="H173" i="5"/>
  <c r="F173" i="5"/>
  <c r="L173" i="5" s="1"/>
  <c r="K171" i="5"/>
  <c r="J171" i="5"/>
  <c r="H171" i="5"/>
  <c r="F171" i="5"/>
  <c r="L171" i="5" s="1"/>
  <c r="L169" i="5"/>
  <c r="K169" i="5"/>
  <c r="J169" i="5"/>
  <c r="H169" i="5"/>
  <c r="F169" i="5"/>
  <c r="K168" i="5"/>
  <c r="J168" i="5"/>
  <c r="H168" i="5"/>
  <c r="F168" i="5"/>
  <c r="L168" i="5" s="1"/>
  <c r="K167" i="5"/>
  <c r="J167" i="5"/>
  <c r="H167" i="5"/>
  <c r="F167" i="5"/>
  <c r="L167" i="5" s="1"/>
  <c r="K165" i="5"/>
  <c r="J165" i="5"/>
  <c r="H165" i="5"/>
  <c r="F165" i="5"/>
  <c r="L165" i="5" s="1"/>
  <c r="K162" i="5"/>
  <c r="J162" i="5"/>
  <c r="H162" i="5"/>
  <c r="F162" i="5"/>
  <c r="L162" i="5" s="1"/>
  <c r="K159" i="5"/>
  <c r="J159" i="5"/>
  <c r="H159" i="5"/>
  <c r="F159" i="5"/>
  <c r="L159" i="5" s="1"/>
  <c r="L157" i="5"/>
  <c r="K157" i="5"/>
  <c r="J157" i="5"/>
  <c r="H157" i="5"/>
  <c r="F157" i="5"/>
  <c r="L156" i="5"/>
  <c r="K156" i="5"/>
  <c r="J156" i="5"/>
  <c r="H156" i="5"/>
  <c r="F156" i="5"/>
  <c r="K153" i="5"/>
  <c r="J153" i="5"/>
  <c r="H153" i="5"/>
  <c r="F153" i="5"/>
  <c r="L153" i="5" s="1"/>
  <c r="L150" i="5"/>
  <c r="K150" i="5"/>
  <c r="J150" i="5"/>
  <c r="H150" i="5"/>
  <c r="F150" i="5"/>
  <c r="K148" i="5"/>
  <c r="J148" i="5"/>
  <c r="H148" i="5"/>
  <c r="F148" i="5"/>
  <c r="L148" i="5" s="1"/>
  <c r="K146" i="5"/>
  <c r="J146" i="5"/>
  <c r="H146" i="5"/>
  <c r="F146" i="5"/>
  <c r="L146" i="5" s="1"/>
  <c r="L145" i="5"/>
  <c r="K145" i="5"/>
  <c r="J145" i="5"/>
  <c r="H145" i="5"/>
  <c r="F145" i="5"/>
  <c r="K143" i="5"/>
  <c r="J143" i="5"/>
  <c r="H143" i="5"/>
  <c r="F143" i="5"/>
  <c r="L143" i="5" s="1"/>
  <c r="K140" i="5"/>
  <c r="J140" i="5"/>
  <c r="H140" i="5"/>
  <c r="F140" i="5"/>
  <c r="L140" i="5" s="1"/>
  <c r="K138" i="5"/>
  <c r="J138" i="5"/>
  <c r="H138" i="5"/>
  <c r="F138" i="5"/>
  <c r="L138" i="5" s="1"/>
  <c r="K136" i="5"/>
  <c r="J136" i="5"/>
  <c r="H136" i="5"/>
  <c r="F136" i="5"/>
  <c r="L136" i="5" s="1"/>
  <c r="K131" i="5"/>
  <c r="J131" i="5"/>
  <c r="H131" i="5"/>
  <c r="F131" i="5"/>
  <c r="L131" i="5" s="1"/>
  <c r="L129" i="5"/>
  <c r="K129" i="5"/>
  <c r="J129" i="5"/>
  <c r="H129" i="5"/>
  <c r="F129" i="5"/>
  <c r="L128" i="5"/>
  <c r="K128" i="5"/>
  <c r="J128" i="5"/>
  <c r="H128" i="5"/>
  <c r="F128" i="5"/>
  <c r="K127" i="5"/>
  <c r="J127" i="5"/>
  <c r="H127" i="5"/>
  <c r="F127" i="5"/>
  <c r="L127" i="5" s="1"/>
  <c r="L126" i="5"/>
  <c r="K126" i="5"/>
  <c r="J126" i="5"/>
  <c r="H126" i="5"/>
  <c r="F126" i="5"/>
  <c r="K124" i="5"/>
  <c r="J124" i="5"/>
  <c r="H124" i="5"/>
  <c r="F124" i="5"/>
  <c r="L124" i="5" s="1"/>
  <c r="K123" i="5"/>
  <c r="J123" i="5"/>
  <c r="H123" i="5"/>
  <c r="F123" i="5"/>
  <c r="L123" i="5" s="1"/>
  <c r="L121" i="5"/>
  <c r="K121" i="5"/>
  <c r="J121" i="5"/>
  <c r="H121" i="5"/>
  <c r="F121" i="5"/>
  <c r="K120" i="5"/>
  <c r="J120" i="5"/>
  <c r="H120" i="5"/>
  <c r="F120" i="5"/>
  <c r="L120" i="5" s="1"/>
  <c r="K118" i="5"/>
  <c r="J118" i="5"/>
  <c r="H118" i="5"/>
  <c r="F118" i="5"/>
  <c r="L118" i="5" s="1"/>
  <c r="K117" i="5"/>
  <c r="J117" i="5"/>
  <c r="H117" i="5"/>
  <c r="F117" i="5"/>
  <c r="L117" i="5" s="1"/>
  <c r="K114" i="5"/>
  <c r="J114" i="5"/>
  <c r="H114" i="5"/>
  <c r="F114" i="5"/>
  <c r="L114" i="5" s="1"/>
  <c r="K113" i="5"/>
  <c r="J113" i="5"/>
  <c r="H113" i="5"/>
  <c r="F113" i="5"/>
  <c r="L113" i="5" s="1"/>
  <c r="L111" i="5"/>
  <c r="K111" i="5"/>
  <c r="J111" i="5"/>
  <c r="H111" i="5"/>
  <c r="F111" i="5"/>
  <c r="L108" i="5"/>
  <c r="K108" i="5"/>
  <c r="J108" i="5"/>
  <c r="H108" i="5"/>
  <c r="F108" i="5"/>
  <c r="K105" i="5"/>
  <c r="J105" i="5"/>
  <c r="H105" i="5"/>
  <c r="F105" i="5"/>
  <c r="L105" i="5" s="1"/>
  <c r="L103" i="5"/>
  <c r="K103" i="5"/>
  <c r="J103" i="5"/>
  <c r="H103" i="5"/>
  <c r="F103" i="5"/>
  <c r="K100" i="5"/>
  <c r="J100" i="5"/>
  <c r="H100" i="5"/>
  <c r="F100" i="5"/>
  <c r="L100" i="5" s="1"/>
  <c r="K98" i="5"/>
  <c r="J98" i="5"/>
  <c r="H98" i="5"/>
  <c r="F98" i="5"/>
  <c r="L98" i="5" s="1"/>
  <c r="L97" i="5"/>
  <c r="K97" i="5"/>
  <c r="J97" i="5"/>
  <c r="H97" i="5"/>
  <c r="F97" i="5"/>
  <c r="K95" i="5"/>
  <c r="J95" i="5"/>
  <c r="H95" i="5"/>
  <c r="F95" i="5"/>
  <c r="L95" i="5" s="1"/>
  <c r="K93" i="5"/>
  <c r="J93" i="5"/>
  <c r="H93" i="5"/>
  <c r="F93" i="5"/>
  <c r="L93" i="5" s="1"/>
  <c r="K92" i="5"/>
  <c r="J92" i="5"/>
  <c r="H92" i="5"/>
  <c r="F92" i="5"/>
  <c r="L92" i="5" s="1"/>
  <c r="K89" i="5"/>
  <c r="J89" i="5"/>
  <c r="H89" i="5"/>
  <c r="F89" i="5"/>
  <c r="L89" i="5" s="1"/>
  <c r="K88" i="5"/>
  <c r="J88" i="5"/>
  <c r="H88" i="5"/>
  <c r="F88" i="5"/>
  <c r="L88" i="5" s="1"/>
  <c r="L85" i="5"/>
  <c r="K85" i="5"/>
  <c r="J85" i="5"/>
  <c r="H85" i="5"/>
  <c r="F85" i="5"/>
  <c r="L83" i="5"/>
  <c r="K83" i="5"/>
  <c r="J83" i="5"/>
  <c r="H83" i="5"/>
  <c r="F83" i="5"/>
  <c r="K81" i="5"/>
  <c r="J81" i="5"/>
  <c r="H81" i="5"/>
  <c r="F81" i="5"/>
  <c r="L76" i="5"/>
  <c r="K76" i="5"/>
  <c r="J76" i="5"/>
  <c r="H76" i="5"/>
  <c r="F76" i="5"/>
  <c r="K74" i="5"/>
  <c r="J74" i="5"/>
  <c r="H74" i="5"/>
  <c r="F74" i="5"/>
  <c r="L74" i="5" s="1"/>
  <c r="K73" i="5"/>
  <c r="J73" i="5"/>
  <c r="H73" i="5"/>
  <c r="F73" i="5"/>
  <c r="L73" i="5" s="1"/>
  <c r="L72" i="5"/>
  <c r="K72" i="5"/>
  <c r="J72" i="5"/>
  <c r="H72" i="5"/>
  <c r="F72" i="5"/>
  <c r="K71" i="5"/>
  <c r="J71" i="5"/>
  <c r="H71" i="5"/>
  <c r="F71" i="5"/>
  <c r="L71" i="5" s="1"/>
  <c r="K70" i="5"/>
  <c r="J70" i="5"/>
  <c r="H70" i="5"/>
  <c r="F70" i="5"/>
  <c r="L70" i="5" s="1"/>
  <c r="K67" i="5"/>
  <c r="J67" i="5"/>
  <c r="H67" i="5"/>
  <c r="F67" i="5"/>
  <c r="L67" i="5" s="1"/>
  <c r="K66" i="5"/>
  <c r="J66" i="5"/>
  <c r="H66" i="5"/>
  <c r="F66" i="5"/>
  <c r="L66" i="5" s="1"/>
  <c r="K64" i="5"/>
  <c r="J64" i="5"/>
  <c r="H64" i="5"/>
  <c r="F64" i="5"/>
  <c r="L64" i="5" s="1"/>
  <c r="L62" i="5"/>
  <c r="K62" i="5"/>
  <c r="J62" i="5"/>
  <c r="H62" i="5"/>
  <c r="F62" i="5"/>
  <c r="L60" i="5"/>
  <c r="K60" i="5"/>
  <c r="J60" i="5"/>
  <c r="H60" i="5"/>
  <c r="F60" i="5"/>
  <c r="K57" i="5"/>
  <c r="J57" i="5"/>
  <c r="H57" i="5"/>
  <c r="F57" i="5"/>
  <c r="L55" i="5"/>
  <c r="K55" i="5"/>
  <c r="J55" i="5"/>
  <c r="H55" i="5"/>
  <c r="F55" i="5"/>
  <c r="K53" i="5"/>
  <c r="J53" i="5"/>
  <c r="H53" i="5"/>
  <c r="F53" i="5"/>
  <c r="L53" i="5" s="1"/>
  <c r="K51" i="5"/>
  <c r="J51" i="5"/>
  <c r="H51" i="5"/>
  <c r="F51" i="5"/>
  <c r="L51" i="5" s="1"/>
  <c r="L48" i="5"/>
  <c r="K48" i="5"/>
  <c r="J48" i="5"/>
  <c r="H48" i="5"/>
  <c r="F48" i="5"/>
  <c r="K46" i="5"/>
  <c r="J46" i="5"/>
  <c r="H46" i="5"/>
  <c r="F46" i="5"/>
  <c r="L46" i="5" s="1"/>
  <c r="K42" i="5"/>
  <c r="J42" i="5"/>
  <c r="H42" i="5"/>
  <c r="F42" i="5"/>
  <c r="L42" i="5" s="1"/>
  <c r="K40" i="5"/>
  <c r="J40" i="5"/>
  <c r="H40" i="5"/>
  <c r="F40" i="5"/>
  <c r="L40" i="5" s="1"/>
  <c r="F30" i="5"/>
  <c r="J30" i="5" s="1"/>
  <c r="J15" i="5"/>
  <c r="L15" i="5" s="1"/>
  <c r="L9" i="5"/>
  <c r="J20" i="5" s="1"/>
  <c r="L20" i="5" s="1"/>
  <c r="J9" i="5"/>
  <c r="H9" i="5"/>
  <c r="H24" i="5" s="1"/>
  <c r="F9" i="5"/>
  <c r="K138" i="4"/>
  <c r="J138" i="4"/>
  <c r="H138" i="4"/>
  <c r="F138" i="4"/>
  <c r="L138" i="4" s="1"/>
  <c r="K136" i="4"/>
  <c r="J136" i="4"/>
  <c r="H136" i="4"/>
  <c r="F136" i="4"/>
  <c r="L136" i="4" s="1"/>
  <c r="K135" i="4"/>
  <c r="J135" i="4"/>
  <c r="H135" i="4"/>
  <c r="F135" i="4"/>
  <c r="K134" i="4"/>
  <c r="J134" i="4"/>
  <c r="H134" i="4"/>
  <c r="F134" i="4"/>
  <c r="L134" i="4" s="1"/>
  <c r="K133" i="4"/>
  <c r="J133" i="4"/>
  <c r="H133" i="4"/>
  <c r="F133" i="4"/>
  <c r="K131" i="4"/>
  <c r="J131" i="4"/>
  <c r="H131" i="4"/>
  <c r="F131" i="4"/>
  <c r="K128" i="4"/>
  <c r="J128" i="4"/>
  <c r="H128" i="4"/>
  <c r="F128" i="4"/>
  <c r="L128" i="4" s="1"/>
  <c r="K127" i="4"/>
  <c r="J127" i="4"/>
  <c r="H127" i="4"/>
  <c r="F127" i="4"/>
  <c r="L127" i="4" s="1"/>
  <c r="L126" i="4"/>
  <c r="K126" i="4"/>
  <c r="J126" i="4"/>
  <c r="H126" i="4"/>
  <c r="F126" i="4"/>
  <c r="K125" i="4"/>
  <c r="J125" i="4"/>
  <c r="H125" i="4"/>
  <c r="F125" i="4"/>
  <c r="L125" i="4" s="1"/>
  <c r="L124" i="4"/>
  <c r="K124" i="4"/>
  <c r="J124" i="4"/>
  <c r="H124" i="4"/>
  <c r="F124" i="4"/>
  <c r="K123" i="4"/>
  <c r="J123" i="4"/>
  <c r="H123" i="4"/>
  <c r="F123" i="4"/>
  <c r="L123" i="4" s="1"/>
  <c r="K122" i="4"/>
  <c r="J122" i="4"/>
  <c r="H122" i="4"/>
  <c r="F122" i="4"/>
  <c r="L122" i="4" s="1"/>
  <c r="L121" i="4"/>
  <c r="K121" i="4"/>
  <c r="J121" i="4"/>
  <c r="H121" i="4"/>
  <c r="F121" i="4"/>
  <c r="K118" i="4"/>
  <c r="J118" i="4"/>
  <c r="H118" i="4"/>
  <c r="F118" i="4"/>
  <c r="L118" i="4" s="1"/>
  <c r="K117" i="4"/>
  <c r="J117" i="4"/>
  <c r="H117" i="4"/>
  <c r="F117" i="4"/>
  <c r="K116" i="4"/>
  <c r="J116" i="4"/>
  <c r="H116" i="4"/>
  <c r="F116" i="4"/>
  <c r="K115" i="4"/>
  <c r="J115" i="4"/>
  <c r="H115" i="4"/>
  <c r="F115" i="4"/>
  <c r="L115" i="4" s="1"/>
  <c r="K114" i="4"/>
  <c r="J114" i="4"/>
  <c r="H114" i="4"/>
  <c r="F114" i="4"/>
  <c r="L113" i="4"/>
  <c r="K113" i="4"/>
  <c r="J113" i="4"/>
  <c r="H113" i="4"/>
  <c r="F113" i="4"/>
  <c r="K112" i="4"/>
  <c r="J112" i="4"/>
  <c r="H112" i="4"/>
  <c r="F112" i="4"/>
  <c r="L112" i="4" s="1"/>
  <c r="K109" i="4"/>
  <c r="J109" i="4"/>
  <c r="H109" i="4"/>
  <c r="F109" i="4"/>
  <c r="L108" i="4"/>
  <c r="K108" i="4"/>
  <c r="J108" i="4"/>
  <c r="H108" i="4"/>
  <c r="F108" i="4"/>
  <c r="K107" i="4"/>
  <c r="J107" i="4"/>
  <c r="H107" i="4"/>
  <c r="F107" i="4"/>
  <c r="L107" i="4" s="1"/>
  <c r="K106" i="4"/>
  <c r="J106" i="4"/>
  <c r="H106" i="4"/>
  <c r="F106" i="4"/>
  <c r="K104" i="4"/>
  <c r="J104" i="4"/>
  <c r="H104" i="4"/>
  <c r="F104" i="4"/>
  <c r="L104" i="4" s="1"/>
  <c r="K103" i="4"/>
  <c r="J103" i="4"/>
  <c r="H103" i="4"/>
  <c r="F103" i="4"/>
  <c r="K102" i="4"/>
  <c r="J102" i="4"/>
  <c r="H102" i="4"/>
  <c r="F102" i="4"/>
  <c r="K101" i="4"/>
  <c r="J101" i="4"/>
  <c r="H101" i="4"/>
  <c r="F101" i="4"/>
  <c r="K100" i="4"/>
  <c r="J100" i="4"/>
  <c r="H100" i="4"/>
  <c r="F100" i="4"/>
  <c r="K99" i="4"/>
  <c r="J99" i="4"/>
  <c r="H99" i="4"/>
  <c r="F99" i="4"/>
  <c r="K97" i="4"/>
  <c r="J97" i="4"/>
  <c r="H97" i="4"/>
  <c r="F97" i="4"/>
  <c r="L97" i="4" s="1"/>
  <c r="L96" i="4"/>
  <c r="K96" i="4"/>
  <c r="J96" i="4"/>
  <c r="H96" i="4"/>
  <c r="F96" i="4"/>
  <c r="K95" i="4"/>
  <c r="J95" i="4"/>
  <c r="H95" i="4"/>
  <c r="F95" i="4"/>
  <c r="K94" i="4"/>
  <c r="J94" i="4"/>
  <c r="H94" i="4"/>
  <c r="F94" i="4"/>
  <c r="L94" i="4" s="1"/>
  <c r="K93" i="4"/>
  <c r="J93" i="4"/>
  <c r="H93" i="4"/>
  <c r="F93" i="4"/>
  <c r="K92" i="4"/>
  <c r="J92" i="4"/>
  <c r="H92" i="4"/>
  <c r="F92" i="4"/>
  <c r="L92" i="4" s="1"/>
  <c r="K91" i="4"/>
  <c r="J91" i="4"/>
  <c r="H91" i="4"/>
  <c r="F91" i="4"/>
  <c r="L91" i="4" s="1"/>
  <c r="K90" i="4"/>
  <c r="J90" i="4"/>
  <c r="H90" i="4"/>
  <c r="F90" i="4"/>
  <c r="K88" i="4"/>
  <c r="J88" i="4"/>
  <c r="H88" i="4"/>
  <c r="F88" i="4"/>
  <c r="K87" i="4"/>
  <c r="J87" i="4"/>
  <c r="H87" i="4"/>
  <c r="F87" i="4"/>
  <c r="K86" i="4"/>
  <c r="J86" i="4"/>
  <c r="H86" i="4"/>
  <c r="F86" i="4"/>
  <c r="K85" i="4"/>
  <c r="J85" i="4"/>
  <c r="H85" i="4"/>
  <c r="F85" i="4"/>
  <c r="K84" i="4"/>
  <c r="J84" i="4"/>
  <c r="H84" i="4"/>
  <c r="F84" i="4"/>
  <c r="L84" i="4" s="1"/>
  <c r="L83" i="4"/>
  <c r="K83" i="4"/>
  <c r="J83" i="4"/>
  <c r="H83" i="4"/>
  <c r="F83" i="4"/>
  <c r="K82" i="4"/>
  <c r="J82" i="4"/>
  <c r="H82" i="4"/>
  <c r="F82" i="4"/>
  <c r="L82" i="4" s="1"/>
  <c r="L81" i="4"/>
  <c r="K81" i="4"/>
  <c r="J81" i="4"/>
  <c r="H81" i="4"/>
  <c r="F81" i="4"/>
  <c r="K80" i="4"/>
  <c r="J80" i="4"/>
  <c r="H80" i="4"/>
  <c r="F80" i="4"/>
  <c r="L80" i="4" s="1"/>
  <c r="K79" i="4"/>
  <c r="J79" i="4"/>
  <c r="H79" i="4"/>
  <c r="F79" i="4"/>
  <c r="L79" i="4" s="1"/>
  <c r="L78" i="4"/>
  <c r="K78" i="4"/>
  <c r="J78" i="4"/>
  <c r="H78" i="4"/>
  <c r="F78" i="4"/>
  <c r="K77" i="4"/>
  <c r="J77" i="4"/>
  <c r="H77" i="4"/>
  <c r="F77" i="4"/>
  <c r="L77" i="4" s="1"/>
  <c r="K76" i="4"/>
  <c r="J76" i="4"/>
  <c r="H76" i="4"/>
  <c r="F76" i="4"/>
  <c r="K75" i="4"/>
  <c r="J75" i="4"/>
  <c r="H75" i="4"/>
  <c r="F75" i="4"/>
  <c r="K74" i="4"/>
  <c r="J74" i="4"/>
  <c r="H74" i="4"/>
  <c r="F74" i="4"/>
  <c r="L74" i="4" s="1"/>
  <c r="K71" i="4"/>
  <c r="J71" i="4"/>
  <c r="H71" i="4"/>
  <c r="F71" i="4"/>
  <c r="L70" i="4"/>
  <c r="K70" i="4"/>
  <c r="J70" i="4"/>
  <c r="H70" i="4"/>
  <c r="F70" i="4"/>
  <c r="K69" i="4"/>
  <c r="J69" i="4"/>
  <c r="H69" i="4"/>
  <c r="F69" i="4"/>
  <c r="L69" i="4" s="1"/>
  <c r="K68" i="4"/>
  <c r="J68" i="4"/>
  <c r="H68" i="4"/>
  <c r="F68" i="4"/>
  <c r="L67" i="4"/>
  <c r="K67" i="4"/>
  <c r="J67" i="4"/>
  <c r="H67" i="4"/>
  <c r="F67" i="4"/>
  <c r="K65" i="4"/>
  <c r="J65" i="4"/>
  <c r="H65" i="4"/>
  <c r="F65" i="4"/>
  <c r="L65" i="4" s="1"/>
  <c r="K64" i="4"/>
  <c r="J64" i="4"/>
  <c r="H64" i="4"/>
  <c r="F64" i="4"/>
  <c r="K63" i="4"/>
  <c r="J63" i="4"/>
  <c r="H63" i="4"/>
  <c r="F63" i="4"/>
  <c r="L63" i="4" s="1"/>
  <c r="K62" i="4"/>
  <c r="J62" i="4"/>
  <c r="H62" i="4"/>
  <c r="F62" i="4"/>
  <c r="K61" i="4"/>
  <c r="J61" i="4"/>
  <c r="H61" i="4"/>
  <c r="F61" i="4"/>
  <c r="K60" i="4"/>
  <c r="J60" i="4"/>
  <c r="H60" i="4"/>
  <c r="F60" i="4"/>
  <c r="K59" i="4"/>
  <c r="J59" i="4"/>
  <c r="H59" i="4"/>
  <c r="F59" i="4"/>
  <c r="K57" i="4"/>
  <c r="J57" i="4"/>
  <c r="H57" i="4"/>
  <c r="F57" i="4"/>
  <c r="K56" i="4"/>
  <c r="J56" i="4"/>
  <c r="H56" i="4"/>
  <c r="L56" i="4" s="1"/>
  <c r="F56" i="4"/>
  <c r="L55" i="4"/>
  <c r="K55" i="4"/>
  <c r="J55" i="4"/>
  <c r="H55" i="4"/>
  <c r="F55" i="4"/>
  <c r="K54" i="4"/>
  <c r="J54" i="4"/>
  <c r="L54" i="4" s="1"/>
  <c r="H54" i="4"/>
  <c r="F54" i="4"/>
  <c r="K53" i="4"/>
  <c r="J53" i="4"/>
  <c r="H53" i="4"/>
  <c r="F53" i="4"/>
  <c r="L53" i="4" s="1"/>
  <c r="K52" i="4"/>
  <c r="J52" i="4"/>
  <c r="H52" i="4"/>
  <c r="F52" i="4"/>
  <c r="K51" i="4"/>
  <c r="J51" i="4"/>
  <c r="H51" i="4"/>
  <c r="F51" i="4"/>
  <c r="L51" i="4" s="1"/>
  <c r="K49" i="4"/>
  <c r="J49" i="4"/>
  <c r="H49" i="4"/>
  <c r="F49" i="4"/>
  <c r="L49" i="4" s="1"/>
  <c r="K48" i="4"/>
  <c r="J48" i="4"/>
  <c r="H48" i="4"/>
  <c r="F48" i="4"/>
  <c r="K47" i="4"/>
  <c r="J47" i="4"/>
  <c r="H47" i="4"/>
  <c r="F47" i="4"/>
  <c r="L47" i="4" s="1"/>
  <c r="K46" i="4"/>
  <c r="J46" i="4"/>
  <c r="H46" i="4"/>
  <c r="F46" i="4"/>
  <c r="L46" i="4" s="1"/>
  <c r="K45" i="4"/>
  <c r="J45" i="4"/>
  <c r="H45" i="4"/>
  <c r="F45" i="4"/>
  <c r="K44" i="4"/>
  <c r="J44" i="4"/>
  <c r="H44" i="4"/>
  <c r="F44" i="4"/>
  <c r="L44" i="4" s="1"/>
  <c r="K43" i="4"/>
  <c r="J43" i="4"/>
  <c r="H43" i="4"/>
  <c r="F43" i="4"/>
  <c r="L43" i="4" s="1"/>
  <c r="L42" i="4"/>
  <c r="K42" i="4"/>
  <c r="J42" i="4"/>
  <c r="H42" i="4"/>
  <c r="F42" i="4"/>
  <c r="K41" i="4"/>
  <c r="J41" i="4"/>
  <c r="L41" i="4" s="1"/>
  <c r="H41" i="4"/>
  <c r="F41" i="4"/>
  <c r="L40" i="4"/>
  <c r="K40" i="4"/>
  <c r="J40" i="4"/>
  <c r="H40" i="4"/>
  <c r="F40" i="4"/>
  <c r="K39" i="4"/>
  <c r="J39" i="4"/>
  <c r="H39" i="4"/>
  <c r="F39" i="4"/>
  <c r="J17" i="4"/>
  <c r="L17" i="4" s="1"/>
  <c r="L12" i="4"/>
  <c r="J12" i="4"/>
  <c r="J14" i="4" s="1"/>
  <c r="L14" i="4" s="1"/>
  <c r="L7" i="4"/>
  <c r="F28" i="4" s="1"/>
  <c r="J28" i="4" s="1"/>
  <c r="J7" i="4"/>
  <c r="H7" i="4"/>
  <c r="F7" i="4"/>
  <c r="F22" i="4" s="1"/>
  <c r="K743" i="3"/>
  <c r="J743" i="3"/>
  <c r="H743" i="3"/>
  <c r="F743" i="3"/>
  <c r="K741" i="3"/>
  <c r="J741" i="3"/>
  <c r="H741" i="3"/>
  <c r="L741" i="3" s="1"/>
  <c r="F741" i="3"/>
  <c r="K740" i="3"/>
  <c r="J740" i="3"/>
  <c r="H740" i="3"/>
  <c r="F740" i="3"/>
  <c r="K739" i="3"/>
  <c r="J739" i="3"/>
  <c r="H739" i="3"/>
  <c r="F739" i="3"/>
  <c r="L739" i="3" s="1"/>
  <c r="K738" i="3"/>
  <c r="J738" i="3"/>
  <c r="H738" i="3"/>
  <c r="F738" i="3"/>
  <c r="K737" i="3"/>
  <c r="J737" i="3"/>
  <c r="H737" i="3"/>
  <c r="F737" i="3"/>
  <c r="K735" i="3"/>
  <c r="J735" i="3"/>
  <c r="H735" i="3"/>
  <c r="F735" i="3"/>
  <c r="L735" i="3" s="1"/>
  <c r="K733" i="3"/>
  <c r="J733" i="3"/>
  <c r="H733" i="3"/>
  <c r="F733" i="3"/>
  <c r="K731" i="3"/>
  <c r="J731" i="3"/>
  <c r="H731" i="3"/>
  <c r="F731" i="3"/>
  <c r="K727" i="3"/>
  <c r="J727" i="3"/>
  <c r="H727" i="3"/>
  <c r="F727" i="3"/>
  <c r="L727" i="3" s="1"/>
  <c r="K726" i="3"/>
  <c r="J726" i="3"/>
  <c r="H726" i="3"/>
  <c r="F726" i="3"/>
  <c r="K725" i="3"/>
  <c r="J725" i="3"/>
  <c r="H725" i="3"/>
  <c r="F725" i="3"/>
  <c r="K724" i="3"/>
  <c r="J724" i="3"/>
  <c r="H724" i="3"/>
  <c r="F724" i="3"/>
  <c r="L724" i="3" s="1"/>
  <c r="K723" i="3"/>
  <c r="J723" i="3"/>
  <c r="H723" i="3"/>
  <c r="F723" i="3"/>
  <c r="L723" i="3" s="1"/>
  <c r="K722" i="3"/>
  <c r="J722" i="3"/>
  <c r="H722" i="3"/>
  <c r="F722" i="3"/>
  <c r="K721" i="3"/>
  <c r="J721" i="3"/>
  <c r="H721" i="3"/>
  <c r="L721" i="3" s="1"/>
  <c r="F721" i="3"/>
  <c r="K720" i="3"/>
  <c r="J720" i="3"/>
  <c r="H720" i="3"/>
  <c r="F720" i="3"/>
  <c r="K719" i="3"/>
  <c r="J719" i="3"/>
  <c r="H719" i="3"/>
  <c r="F719" i="3"/>
  <c r="K718" i="3"/>
  <c r="J718" i="3"/>
  <c r="H718" i="3"/>
  <c r="F718" i="3"/>
  <c r="K717" i="3"/>
  <c r="J717" i="3"/>
  <c r="H717" i="3"/>
  <c r="F717" i="3"/>
  <c r="K716" i="3"/>
  <c r="J716" i="3"/>
  <c r="H716" i="3"/>
  <c r="F716" i="3"/>
  <c r="L716" i="3" s="1"/>
  <c r="K715" i="3"/>
  <c r="J715" i="3"/>
  <c r="H715" i="3"/>
  <c r="F715" i="3"/>
  <c r="K714" i="3"/>
  <c r="J714" i="3"/>
  <c r="H714" i="3"/>
  <c r="F714" i="3"/>
  <c r="K713" i="3"/>
  <c r="J713" i="3"/>
  <c r="H713" i="3"/>
  <c r="F713" i="3"/>
  <c r="L713" i="3" s="1"/>
  <c r="K712" i="3"/>
  <c r="J712" i="3"/>
  <c r="L712" i="3" s="1"/>
  <c r="H712" i="3"/>
  <c r="F712" i="3"/>
  <c r="K711" i="3"/>
  <c r="J711" i="3"/>
  <c r="H711" i="3"/>
  <c r="F711" i="3"/>
  <c r="K710" i="3"/>
  <c r="J710" i="3"/>
  <c r="H710" i="3"/>
  <c r="F710" i="3"/>
  <c r="K709" i="3"/>
  <c r="J709" i="3"/>
  <c r="H709" i="3"/>
  <c r="F709" i="3"/>
  <c r="L709" i="3" s="1"/>
  <c r="K708" i="3"/>
  <c r="J708" i="3"/>
  <c r="H708" i="3"/>
  <c r="F708" i="3"/>
  <c r="K706" i="3"/>
  <c r="J706" i="3"/>
  <c r="H706" i="3"/>
  <c r="F706" i="3"/>
  <c r="K704" i="3"/>
  <c r="J704" i="3"/>
  <c r="H704" i="3"/>
  <c r="F704" i="3"/>
  <c r="K702" i="3"/>
  <c r="J702" i="3"/>
  <c r="H702" i="3"/>
  <c r="F702" i="3"/>
  <c r="K701" i="3"/>
  <c r="J701" i="3"/>
  <c r="H701" i="3"/>
  <c r="F701" i="3"/>
  <c r="K700" i="3"/>
  <c r="J700" i="3"/>
  <c r="H700" i="3"/>
  <c r="F700" i="3"/>
  <c r="K699" i="3"/>
  <c r="J699" i="3"/>
  <c r="H699" i="3"/>
  <c r="F699" i="3"/>
  <c r="K697" i="3"/>
  <c r="J697" i="3"/>
  <c r="H697" i="3"/>
  <c r="F697" i="3"/>
  <c r="K695" i="3"/>
  <c r="J695" i="3"/>
  <c r="H695" i="3"/>
  <c r="F695" i="3"/>
  <c r="K693" i="3"/>
  <c r="J693" i="3"/>
  <c r="H693" i="3"/>
  <c r="F693" i="3"/>
  <c r="K692" i="3"/>
  <c r="J692" i="3"/>
  <c r="L692" i="3" s="1"/>
  <c r="H692" i="3"/>
  <c r="F692" i="3"/>
  <c r="K691" i="3"/>
  <c r="J691" i="3"/>
  <c r="H691" i="3"/>
  <c r="F691" i="3"/>
  <c r="L691" i="3" s="1"/>
  <c r="K690" i="3"/>
  <c r="J690" i="3"/>
  <c r="H690" i="3"/>
  <c r="F690" i="3"/>
  <c r="K689" i="3"/>
  <c r="J689" i="3"/>
  <c r="H689" i="3"/>
  <c r="F689" i="3"/>
  <c r="K687" i="3"/>
  <c r="J687" i="3"/>
  <c r="H687" i="3"/>
  <c r="F687" i="3"/>
  <c r="K686" i="3"/>
  <c r="J686" i="3"/>
  <c r="H686" i="3"/>
  <c r="F686" i="3"/>
  <c r="K685" i="3"/>
  <c r="J685" i="3"/>
  <c r="H685" i="3"/>
  <c r="F685" i="3"/>
  <c r="K684" i="3"/>
  <c r="J684" i="3"/>
  <c r="H684" i="3"/>
  <c r="F684" i="3"/>
  <c r="K683" i="3"/>
  <c r="J683" i="3"/>
  <c r="H683" i="3"/>
  <c r="F683" i="3"/>
  <c r="K676" i="3"/>
  <c r="J676" i="3"/>
  <c r="H676" i="3"/>
  <c r="F676" i="3"/>
  <c r="K675" i="3"/>
  <c r="J675" i="3"/>
  <c r="H675" i="3"/>
  <c r="F675" i="3"/>
  <c r="L675" i="3" s="1"/>
  <c r="K674" i="3"/>
  <c r="J674" i="3"/>
  <c r="H674" i="3"/>
  <c r="L674" i="3" s="1"/>
  <c r="F674" i="3"/>
  <c r="K673" i="3"/>
  <c r="J673" i="3"/>
  <c r="H673" i="3"/>
  <c r="F673" i="3"/>
  <c r="K672" i="3"/>
  <c r="J672" i="3"/>
  <c r="H672" i="3"/>
  <c r="F672" i="3"/>
  <c r="L672" i="3" s="1"/>
  <c r="K671" i="3"/>
  <c r="J671" i="3"/>
  <c r="H671" i="3"/>
  <c r="F671" i="3"/>
  <c r="K670" i="3"/>
  <c r="J670" i="3"/>
  <c r="H670" i="3"/>
  <c r="F670" i="3"/>
  <c r="K668" i="3"/>
  <c r="J668" i="3"/>
  <c r="H668" i="3"/>
  <c r="F668" i="3"/>
  <c r="L668" i="3" s="1"/>
  <c r="K667" i="3"/>
  <c r="J667" i="3"/>
  <c r="H667" i="3"/>
  <c r="F667" i="3"/>
  <c r="K666" i="3"/>
  <c r="J666" i="3"/>
  <c r="H666" i="3"/>
  <c r="F666" i="3"/>
  <c r="K665" i="3"/>
  <c r="J665" i="3"/>
  <c r="H665" i="3"/>
  <c r="F665" i="3"/>
  <c r="L665" i="3" s="1"/>
  <c r="K664" i="3"/>
  <c r="J664" i="3"/>
  <c r="H664" i="3"/>
  <c r="F664" i="3"/>
  <c r="K663" i="3"/>
  <c r="J663" i="3"/>
  <c r="H663" i="3"/>
  <c r="F663" i="3"/>
  <c r="K662" i="3"/>
  <c r="J662" i="3"/>
  <c r="H662" i="3"/>
  <c r="F662" i="3"/>
  <c r="L662" i="3" s="1"/>
  <c r="K661" i="3"/>
  <c r="J661" i="3"/>
  <c r="H661" i="3"/>
  <c r="F661" i="3"/>
  <c r="K660" i="3"/>
  <c r="J660" i="3"/>
  <c r="H660" i="3"/>
  <c r="F660" i="3"/>
  <c r="K659" i="3"/>
  <c r="J659" i="3"/>
  <c r="H659" i="3"/>
  <c r="F659" i="3"/>
  <c r="L659" i="3" s="1"/>
  <c r="K658" i="3"/>
  <c r="J658" i="3"/>
  <c r="H658" i="3"/>
  <c r="F658" i="3"/>
  <c r="K657" i="3"/>
  <c r="J657" i="3"/>
  <c r="L657" i="3" s="1"/>
  <c r="H657" i="3"/>
  <c r="F657" i="3"/>
  <c r="K656" i="3"/>
  <c r="J656" i="3"/>
  <c r="H656" i="3"/>
  <c r="F656" i="3"/>
  <c r="K655" i="3"/>
  <c r="J655" i="3"/>
  <c r="H655" i="3"/>
  <c r="F655" i="3"/>
  <c r="K654" i="3"/>
  <c r="J654" i="3"/>
  <c r="H654" i="3"/>
  <c r="F654" i="3"/>
  <c r="K652" i="3"/>
  <c r="J652" i="3"/>
  <c r="H652" i="3"/>
  <c r="F652" i="3"/>
  <c r="K651" i="3"/>
  <c r="J651" i="3"/>
  <c r="H651" i="3"/>
  <c r="F651" i="3"/>
  <c r="K646" i="3"/>
  <c r="J646" i="3"/>
  <c r="H646" i="3"/>
  <c r="F646" i="3"/>
  <c r="K645" i="3"/>
  <c r="J645" i="3"/>
  <c r="H645" i="3"/>
  <c r="F645" i="3"/>
  <c r="K643" i="3"/>
  <c r="J643" i="3"/>
  <c r="H643" i="3"/>
  <c r="F643" i="3"/>
  <c r="K642" i="3"/>
  <c r="J642" i="3"/>
  <c r="H642" i="3"/>
  <c r="F642" i="3"/>
  <c r="K640" i="3"/>
  <c r="J640" i="3"/>
  <c r="H640" i="3"/>
  <c r="F640" i="3"/>
  <c r="L640" i="3" s="1"/>
  <c r="K639" i="3"/>
  <c r="J639" i="3"/>
  <c r="H639" i="3"/>
  <c r="F639" i="3"/>
  <c r="K638" i="3"/>
  <c r="J638" i="3"/>
  <c r="H638" i="3"/>
  <c r="F638" i="3"/>
  <c r="K636" i="3"/>
  <c r="J636" i="3"/>
  <c r="H636" i="3"/>
  <c r="F636" i="3"/>
  <c r="K633" i="3"/>
  <c r="J633" i="3"/>
  <c r="H633" i="3"/>
  <c r="F633" i="3"/>
  <c r="K632" i="3"/>
  <c r="J632" i="3"/>
  <c r="H632" i="3"/>
  <c r="F632" i="3"/>
  <c r="L632" i="3" s="1"/>
  <c r="K631" i="3"/>
  <c r="J631" i="3"/>
  <c r="H631" i="3"/>
  <c r="F631" i="3"/>
  <c r="K629" i="3"/>
  <c r="J629" i="3"/>
  <c r="H629" i="3"/>
  <c r="F629" i="3"/>
  <c r="K627" i="3"/>
  <c r="J627" i="3"/>
  <c r="H627" i="3"/>
  <c r="F627" i="3"/>
  <c r="L627" i="3" s="1"/>
  <c r="K625" i="3"/>
  <c r="J625" i="3"/>
  <c r="H625" i="3"/>
  <c r="F625" i="3"/>
  <c r="L625" i="3" s="1"/>
  <c r="K624" i="3"/>
  <c r="J624" i="3"/>
  <c r="H624" i="3"/>
  <c r="F624" i="3"/>
  <c r="K623" i="3"/>
  <c r="J623" i="3"/>
  <c r="H623" i="3"/>
  <c r="F623" i="3"/>
  <c r="K622" i="3"/>
  <c r="J622" i="3"/>
  <c r="H622" i="3"/>
  <c r="F622" i="3"/>
  <c r="L622" i="3" s="1"/>
  <c r="K621" i="3"/>
  <c r="J621" i="3"/>
  <c r="H621" i="3"/>
  <c r="F621" i="3"/>
  <c r="K620" i="3"/>
  <c r="J620" i="3"/>
  <c r="H620" i="3"/>
  <c r="F620" i="3"/>
  <c r="K619" i="3"/>
  <c r="J619" i="3"/>
  <c r="H619" i="3"/>
  <c r="F619" i="3"/>
  <c r="K616" i="3"/>
  <c r="J616" i="3"/>
  <c r="H616" i="3"/>
  <c r="F616" i="3"/>
  <c r="K614" i="3"/>
  <c r="J614" i="3"/>
  <c r="H614" i="3"/>
  <c r="F614" i="3"/>
  <c r="K613" i="3"/>
  <c r="J613" i="3"/>
  <c r="H613" i="3"/>
  <c r="F613" i="3"/>
  <c r="K611" i="3"/>
  <c r="J611" i="3"/>
  <c r="H611" i="3"/>
  <c r="F611" i="3"/>
  <c r="K610" i="3"/>
  <c r="J610" i="3"/>
  <c r="H610" i="3"/>
  <c r="F610" i="3"/>
  <c r="K609" i="3"/>
  <c r="J609" i="3"/>
  <c r="H609" i="3"/>
  <c r="F609" i="3"/>
  <c r="K607" i="3"/>
  <c r="J607" i="3"/>
  <c r="H607" i="3"/>
  <c r="F607" i="3"/>
  <c r="K606" i="3"/>
  <c r="J606" i="3"/>
  <c r="L606" i="3" s="1"/>
  <c r="H606" i="3"/>
  <c r="F606" i="3"/>
  <c r="K605" i="3"/>
  <c r="J605" i="3"/>
  <c r="H605" i="3"/>
  <c r="F605" i="3"/>
  <c r="K604" i="3"/>
  <c r="J604" i="3"/>
  <c r="H604" i="3"/>
  <c r="F604" i="3"/>
  <c r="K602" i="3"/>
  <c r="J602" i="3"/>
  <c r="H602" i="3"/>
  <c r="F602" i="3"/>
  <c r="K600" i="3"/>
  <c r="J600" i="3"/>
  <c r="H600" i="3"/>
  <c r="F600" i="3"/>
  <c r="K598" i="3"/>
  <c r="J598" i="3"/>
  <c r="H598" i="3"/>
  <c r="F598" i="3"/>
  <c r="L598" i="3" s="1"/>
  <c r="K597" i="3"/>
  <c r="J597" i="3"/>
  <c r="H597" i="3"/>
  <c r="F597" i="3"/>
  <c r="K595" i="3"/>
  <c r="J595" i="3"/>
  <c r="H595" i="3"/>
  <c r="F595" i="3"/>
  <c r="K594" i="3"/>
  <c r="J594" i="3"/>
  <c r="H594" i="3"/>
  <c r="F594" i="3"/>
  <c r="L594" i="3" s="1"/>
  <c r="K590" i="3"/>
  <c r="J590" i="3"/>
  <c r="H590" i="3"/>
  <c r="F590" i="3"/>
  <c r="K589" i="3"/>
  <c r="J589" i="3"/>
  <c r="H589" i="3"/>
  <c r="F589" i="3"/>
  <c r="K588" i="3"/>
  <c r="J588" i="3"/>
  <c r="H588" i="3"/>
  <c r="F588" i="3"/>
  <c r="K587" i="3"/>
  <c r="J587" i="3"/>
  <c r="H587" i="3"/>
  <c r="F587" i="3"/>
  <c r="K586" i="3"/>
  <c r="J586" i="3"/>
  <c r="H586" i="3"/>
  <c r="F586" i="3"/>
  <c r="K585" i="3"/>
  <c r="J585" i="3"/>
  <c r="H585" i="3"/>
  <c r="F585" i="3"/>
  <c r="K584" i="3"/>
  <c r="J584" i="3"/>
  <c r="H584" i="3"/>
  <c r="F584" i="3"/>
  <c r="K583" i="3"/>
  <c r="J583" i="3"/>
  <c r="H583" i="3"/>
  <c r="F583" i="3"/>
  <c r="K581" i="3"/>
  <c r="J581" i="3"/>
  <c r="H581" i="3"/>
  <c r="F581" i="3"/>
  <c r="K580" i="3"/>
  <c r="J580" i="3"/>
  <c r="H580" i="3"/>
  <c r="F580" i="3"/>
  <c r="K578" i="3"/>
  <c r="J578" i="3"/>
  <c r="H578" i="3"/>
  <c r="F578" i="3"/>
  <c r="K576" i="3"/>
  <c r="J576" i="3"/>
  <c r="H576" i="3"/>
  <c r="F576" i="3"/>
  <c r="K575" i="3"/>
  <c r="J575" i="3"/>
  <c r="H575" i="3"/>
  <c r="F575" i="3"/>
  <c r="K573" i="3"/>
  <c r="J573" i="3"/>
  <c r="H573" i="3"/>
  <c r="F573" i="3"/>
  <c r="K572" i="3"/>
  <c r="J572" i="3"/>
  <c r="H572" i="3"/>
  <c r="F572" i="3"/>
  <c r="K571" i="3"/>
  <c r="J571" i="3"/>
  <c r="H571" i="3"/>
  <c r="F571" i="3"/>
  <c r="K570" i="3"/>
  <c r="J570" i="3"/>
  <c r="H570" i="3"/>
  <c r="F570" i="3"/>
  <c r="K569" i="3"/>
  <c r="J569" i="3"/>
  <c r="H569" i="3"/>
  <c r="F569" i="3"/>
  <c r="K566" i="3"/>
  <c r="J566" i="3"/>
  <c r="H566" i="3"/>
  <c r="F566" i="3"/>
  <c r="K565" i="3"/>
  <c r="J565" i="3"/>
  <c r="H565" i="3"/>
  <c r="F565" i="3"/>
  <c r="K564" i="3"/>
  <c r="J564" i="3"/>
  <c r="H564" i="3"/>
  <c r="F564" i="3"/>
  <c r="K563" i="3"/>
  <c r="J563" i="3"/>
  <c r="H563" i="3"/>
  <c r="F563" i="3"/>
  <c r="K562" i="3"/>
  <c r="J562" i="3"/>
  <c r="H562" i="3"/>
  <c r="F562" i="3"/>
  <c r="K561" i="3"/>
  <c r="J561" i="3"/>
  <c r="H561" i="3"/>
  <c r="F561" i="3"/>
  <c r="K560" i="3"/>
  <c r="J560" i="3"/>
  <c r="H560" i="3"/>
  <c r="F560" i="3"/>
  <c r="K558" i="3"/>
  <c r="J558" i="3"/>
  <c r="H558" i="3"/>
  <c r="F558" i="3"/>
  <c r="K557" i="3"/>
  <c r="J557" i="3"/>
  <c r="H557" i="3"/>
  <c r="F557" i="3"/>
  <c r="K555" i="3"/>
  <c r="J555" i="3"/>
  <c r="H555" i="3"/>
  <c r="F555" i="3"/>
  <c r="K554" i="3"/>
  <c r="J554" i="3"/>
  <c r="H554" i="3"/>
  <c r="F554" i="3"/>
  <c r="K553" i="3"/>
  <c r="J553" i="3"/>
  <c r="H553" i="3"/>
  <c r="F553" i="3"/>
  <c r="K552" i="3"/>
  <c r="J552" i="3"/>
  <c r="H552" i="3"/>
  <c r="F552" i="3"/>
  <c r="K551" i="3"/>
  <c r="J551" i="3"/>
  <c r="H551" i="3"/>
  <c r="F551" i="3"/>
  <c r="K550" i="3"/>
  <c r="J550" i="3"/>
  <c r="H550" i="3"/>
  <c r="F550" i="3"/>
  <c r="K549" i="3"/>
  <c r="J549" i="3"/>
  <c r="H549" i="3"/>
  <c r="F549" i="3"/>
  <c r="K548" i="3"/>
  <c r="J548" i="3"/>
  <c r="H548" i="3"/>
  <c r="F548" i="3"/>
  <c r="K547" i="3"/>
  <c r="J547" i="3"/>
  <c r="H547" i="3"/>
  <c r="F547" i="3"/>
  <c r="K546" i="3"/>
  <c r="J546" i="3"/>
  <c r="H546" i="3"/>
  <c r="F546" i="3"/>
  <c r="K545" i="3"/>
  <c r="J545" i="3"/>
  <c r="H545" i="3"/>
  <c r="F545" i="3"/>
  <c r="K544" i="3"/>
  <c r="J544" i="3"/>
  <c r="H544" i="3"/>
  <c r="F544" i="3"/>
  <c r="L544" i="3" s="1"/>
  <c r="K543" i="3"/>
  <c r="J543" i="3"/>
  <c r="H543" i="3"/>
  <c r="F543" i="3"/>
  <c r="K542" i="3"/>
  <c r="J542" i="3"/>
  <c r="H542" i="3"/>
  <c r="F542" i="3"/>
  <c r="K541" i="3"/>
  <c r="J541" i="3"/>
  <c r="H541" i="3"/>
  <c r="F541" i="3"/>
  <c r="K540" i="3"/>
  <c r="J540" i="3"/>
  <c r="H540" i="3"/>
  <c r="F540" i="3"/>
  <c r="K537" i="3"/>
  <c r="J537" i="3"/>
  <c r="H537" i="3"/>
  <c r="F537" i="3"/>
  <c r="K536" i="3"/>
  <c r="J536" i="3"/>
  <c r="H536" i="3"/>
  <c r="F536" i="3"/>
  <c r="L536" i="3" s="1"/>
  <c r="K535" i="3"/>
  <c r="J535" i="3"/>
  <c r="H535" i="3"/>
  <c r="F535" i="3"/>
  <c r="K534" i="3"/>
  <c r="J534" i="3"/>
  <c r="H534" i="3"/>
  <c r="F534" i="3"/>
  <c r="K533" i="3"/>
  <c r="J533" i="3"/>
  <c r="H533" i="3"/>
  <c r="F533" i="3"/>
  <c r="L533" i="3" s="1"/>
  <c r="K532" i="3"/>
  <c r="J532" i="3"/>
  <c r="H532" i="3"/>
  <c r="F532" i="3"/>
  <c r="K531" i="3"/>
  <c r="J531" i="3"/>
  <c r="H531" i="3"/>
  <c r="F531" i="3"/>
  <c r="K530" i="3"/>
  <c r="J530" i="3"/>
  <c r="H530" i="3"/>
  <c r="F530" i="3"/>
  <c r="K529" i="3"/>
  <c r="J529" i="3"/>
  <c r="H529" i="3"/>
  <c r="F529" i="3"/>
  <c r="L529" i="3" s="1"/>
  <c r="K528" i="3"/>
  <c r="J528" i="3"/>
  <c r="H528" i="3"/>
  <c r="F528" i="3"/>
  <c r="K527" i="3"/>
  <c r="J527" i="3"/>
  <c r="H527" i="3"/>
  <c r="F527" i="3"/>
  <c r="K526" i="3"/>
  <c r="J526" i="3"/>
  <c r="H526" i="3"/>
  <c r="F526" i="3"/>
  <c r="K525" i="3"/>
  <c r="J525" i="3"/>
  <c r="H525" i="3"/>
  <c r="F525" i="3"/>
  <c r="K524" i="3"/>
  <c r="J524" i="3"/>
  <c r="H524" i="3"/>
  <c r="F524" i="3"/>
  <c r="K523" i="3"/>
  <c r="J523" i="3"/>
  <c r="H523" i="3"/>
  <c r="F523" i="3"/>
  <c r="K522" i="3"/>
  <c r="J522" i="3"/>
  <c r="H522" i="3"/>
  <c r="F522" i="3"/>
  <c r="K521" i="3"/>
  <c r="J521" i="3"/>
  <c r="H521" i="3"/>
  <c r="F521" i="3"/>
  <c r="K520" i="3"/>
  <c r="J520" i="3"/>
  <c r="H520" i="3"/>
  <c r="F520" i="3"/>
  <c r="K519" i="3"/>
  <c r="J519" i="3"/>
  <c r="H519" i="3"/>
  <c r="L519" i="3" s="1"/>
  <c r="F519" i="3"/>
  <c r="K518" i="3"/>
  <c r="J518" i="3"/>
  <c r="H518" i="3"/>
  <c r="F518" i="3"/>
  <c r="K517" i="3"/>
  <c r="J517" i="3"/>
  <c r="H517" i="3"/>
  <c r="F517" i="3"/>
  <c r="K515" i="3"/>
  <c r="J515" i="3"/>
  <c r="H515" i="3"/>
  <c r="F515" i="3"/>
  <c r="K514" i="3"/>
  <c r="J514" i="3"/>
  <c r="H514" i="3"/>
  <c r="F514" i="3"/>
  <c r="K513" i="3"/>
  <c r="J513" i="3"/>
  <c r="H513" i="3"/>
  <c r="F513" i="3"/>
  <c r="K512" i="3"/>
  <c r="J512" i="3"/>
  <c r="H512" i="3"/>
  <c r="F512" i="3"/>
  <c r="K510" i="3"/>
  <c r="J510" i="3"/>
  <c r="H510" i="3"/>
  <c r="F510" i="3"/>
  <c r="K509" i="3"/>
  <c r="J509" i="3"/>
  <c r="H509" i="3"/>
  <c r="F509" i="3"/>
  <c r="L509" i="3" s="1"/>
  <c r="K508" i="3"/>
  <c r="J508" i="3"/>
  <c r="H508" i="3"/>
  <c r="F508" i="3"/>
  <c r="K507" i="3"/>
  <c r="J507" i="3"/>
  <c r="H507" i="3"/>
  <c r="F507" i="3"/>
  <c r="K506" i="3"/>
  <c r="J506" i="3"/>
  <c r="H506" i="3"/>
  <c r="F506" i="3"/>
  <c r="L506" i="3" s="1"/>
  <c r="K505" i="3"/>
  <c r="J505" i="3"/>
  <c r="H505" i="3"/>
  <c r="F505" i="3"/>
  <c r="K504" i="3"/>
  <c r="J504" i="3"/>
  <c r="H504" i="3"/>
  <c r="F504" i="3"/>
  <c r="L504" i="3" s="1"/>
  <c r="K503" i="3"/>
  <c r="J503" i="3"/>
  <c r="H503" i="3"/>
  <c r="F503" i="3"/>
  <c r="K502" i="3"/>
  <c r="J502" i="3"/>
  <c r="H502" i="3"/>
  <c r="F502" i="3"/>
  <c r="K500" i="3"/>
  <c r="J500" i="3"/>
  <c r="H500" i="3"/>
  <c r="F500" i="3"/>
  <c r="K499" i="3"/>
  <c r="J499" i="3"/>
  <c r="H499" i="3"/>
  <c r="F499" i="3"/>
  <c r="K498" i="3"/>
  <c r="J498" i="3"/>
  <c r="H498" i="3"/>
  <c r="F498" i="3"/>
  <c r="L498" i="3" s="1"/>
  <c r="K497" i="3"/>
  <c r="J497" i="3"/>
  <c r="H497" i="3"/>
  <c r="F497" i="3"/>
  <c r="K496" i="3"/>
  <c r="J496" i="3"/>
  <c r="H496" i="3"/>
  <c r="F496" i="3"/>
  <c r="K495" i="3"/>
  <c r="J495" i="3"/>
  <c r="H495" i="3"/>
  <c r="F495" i="3"/>
  <c r="K494" i="3"/>
  <c r="J494" i="3"/>
  <c r="H494" i="3"/>
  <c r="F494" i="3"/>
  <c r="K493" i="3"/>
  <c r="J493" i="3"/>
  <c r="H493" i="3"/>
  <c r="F493" i="3"/>
  <c r="K492" i="3"/>
  <c r="J492" i="3"/>
  <c r="H492" i="3"/>
  <c r="F492" i="3"/>
  <c r="K489" i="3"/>
  <c r="J489" i="3"/>
  <c r="L489" i="3" s="1"/>
  <c r="H489" i="3"/>
  <c r="F489" i="3"/>
  <c r="K487" i="3"/>
  <c r="J487" i="3"/>
  <c r="H487" i="3"/>
  <c r="F487" i="3"/>
  <c r="K486" i="3"/>
  <c r="J486" i="3"/>
  <c r="H486" i="3"/>
  <c r="F486" i="3"/>
  <c r="K485" i="3"/>
  <c r="J485" i="3"/>
  <c r="H485" i="3"/>
  <c r="F485" i="3"/>
  <c r="K484" i="3"/>
  <c r="J484" i="3"/>
  <c r="H484" i="3"/>
  <c r="F484" i="3"/>
  <c r="K481" i="3"/>
  <c r="J481" i="3"/>
  <c r="H481" i="3"/>
  <c r="F481" i="3"/>
  <c r="K480" i="3"/>
  <c r="J480" i="3"/>
  <c r="H480" i="3"/>
  <c r="F480" i="3"/>
  <c r="K479" i="3"/>
  <c r="J479" i="3"/>
  <c r="H479" i="3"/>
  <c r="F479" i="3"/>
  <c r="K478" i="3"/>
  <c r="J478" i="3"/>
  <c r="H478" i="3"/>
  <c r="F478" i="3"/>
  <c r="L478" i="3" s="1"/>
  <c r="K477" i="3"/>
  <c r="J477" i="3"/>
  <c r="H477" i="3"/>
  <c r="F477" i="3"/>
  <c r="K476" i="3"/>
  <c r="J476" i="3"/>
  <c r="H476" i="3"/>
  <c r="F476" i="3"/>
  <c r="L476" i="3" s="1"/>
  <c r="K475" i="3"/>
  <c r="J475" i="3"/>
  <c r="H475" i="3"/>
  <c r="F475" i="3"/>
  <c r="K473" i="3"/>
  <c r="J473" i="3"/>
  <c r="H473" i="3"/>
  <c r="F473" i="3"/>
  <c r="K472" i="3"/>
  <c r="J472" i="3"/>
  <c r="H472" i="3"/>
  <c r="F472" i="3"/>
  <c r="K471" i="3"/>
  <c r="J471" i="3"/>
  <c r="H471" i="3"/>
  <c r="F471" i="3"/>
  <c r="K470" i="3"/>
  <c r="J470" i="3"/>
  <c r="H470" i="3"/>
  <c r="F470" i="3"/>
  <c r="K469" i="3"/>
  <c r="J469" i="3"/>
  <c r="L469" i="3" s="1"/>
  <c r="H469" i="3"/>
  <c r="F469" i="3"/>
  <c r="K467" i="3"/>
  <c r="J467" i="3"/>
  <c r="H467" i="3"/>
  <c r="F467" i="3"/>
  <c r="K465" i="3"/>
  <c r="J465" i="3"/>
  <c r="H465" i="3"/>
  <c r="F465" i="3"/>
  <c r="K464" i="3"/>
  <c r="J464" i="3"/>
  <c r="H464" i="3"/>
  <c r="F464" i="3"/>
  <c r="K463" i="3"/>
  <c r="J463" i="3"/>
  <c r="H463" i="3"/>
  <c r="F463" i="3"/>
  <c r="K460" i="3"/>
  <c r="J460" i="3"/>
  <c r="H460" i="3"/>
  <c r="F460" i="3"/>
  <c r="K459" i="3"/>
  <c r="J459" i="3"/>
  <c r="H459" i="3"/>
  <c r="F459" i="3"/>
  <c r="K456" i="3"/>
  <c r="J456" i="3"/>
  <c r="H456" i="3"/>
  <c r="L456" i="3" s="1"/>
  <c r="F456" i="3"/>
  <c r="K455" i="3"/>
  <c r="J455" i="3"/>
  <c r="H455" i="3"/>
  <c r="F455" i="3"/>
  <c r="L455" i="3" s="1"/>
  <c r="K454" i="3"/>
  <c r="J454" i="3"/>
  <c r="H454" i="3"/>
  <c r="F454" i="3"/>
  <c r="K453" i="3"/>
  <c r="J453" i="3"/>
  <c r="H453" i="3"/>
  <c r="F453" i="3"/>
  <c r="K452" i="3"/>
  <c r="J452" i="3"/>
  <c r="H452" i="3"/>
  <c r="F452" i="3"/>
  <c r="K451" i="3"/>
  <c r="J451" i="3"/>
  <c r="H451" i="3"/>
  <c r="F451" i="3"/>
  <c r="K450" i="3"/>
  <c r="J450" i="3"/>
  <c r="H450" i="3"/>
  <c r="F450" i="3"/>
  <c r="L450" i="3" s="1"/>
  <c r="K448" i="3"/>
  <c r="J448" i="3"/>
  <c r="H448" i="3"/>
  <c r="F448" i="3"/>
  <c r="L448" i="3" s="1"/>
  <c r="K446" i="3"/>
  <c r="J446" i="3"/>
  <c r="H446" i="3"/>
  <c r="F446" i="3"/>
  <c r="K444" i="3"/>
  <c r="J444" i="3"/>
  <c r="H444" i="3"/>
  <c r="F444" i="3"/>
  <c r="K440" i="3"/>
  <c r="J440" i="3"/>
  <c r="H440" i="3"/>
  <c r="F440" i="3"/>
  <c r="K438" i="3"/>
  <c r="J438" i="3"/>
  <c r="H438" i="3"/>
  <c r="L438" i="3" s="1"/>
  <c r="F438" i="3"/>
  <c r="K437" i="3"/>
  <c r="J437" i="3"/>
  <c r="H437" i="3"/>
  <c r="F437" i="3"/>
  <c r="K436" i="3"/>
  <c r="J436" i="3"/>
  <c r="H436" i="3"/>
  <c r="F436" i="3"/>
  <c r="K434" i="3"/>
  <c r="J434" i="3"/>
  <c r="H434" i="3"/>
  <c r="F434" i="3"/>
  <c r="K433" i="3"/>
  <c r="J433" i="3"/>
  <c r="H433" i="3"/>
  <c r="F433" i="3"/>
  <c r="L433" i="3" s="1"/>
  <c r="K432" i="3"/>
  <c r="J432" i="3"/>
  <c r="H432" i="3"/>
  <c r="F432" i="3"/>
  <c r="K431" i="3"/>
  <c r="J431" i="3"/>
  <c r="H431" i="3"/>
  <c r="F431" i="3"/>
  <c r="K430" i="3"/>
  <c r="J430" i="3"/>
  <c r="H430" i="3"/>
  <c r="F430" i="3"/>
  <c r="K429" i="3"/>
  <c r="J429" i="3"/>
  <c r="H429" i="3"/>
  <c r="F429" i="3"/>
  <c r="K428" i="3"/>
  <c r="J428" i="3"/>
  <c r="H428" i="3"/>
  <c r="F428" i="3"/>
  <c r="K427" i="3"/>
  <c r="J427" i="3"/>
  <c r="H427" i="3"/>
  <c r="F427" i="3"/>
  <c r="K426" i="3"/>
  <c r="J426" i="3"/>
  <c r="H426" i="3"/>
  <c r="F426" i="3"/>
  <c r="K425" i="3"/>
  <c r="J425" i="3"/>
  <c r="H425" i="3"/>
  <c r="F425" i="3"/>
  <c r="K423" i="3"/>
  <c r="J423" i="3"/>
  <c r="H423" i="3"/>
  <c r="F423" i="3"/>
  <c r="L423" i="3" s="1"/>
  <c r="K422" i="3"/>
  <c r="J422" i="3"/>
  <c r="H422" i="3"/>
  <c r="F422" i="3"/>
  <c r="K421" i="3"/>
  <c r="J421" i="3"/>
  <c r="H421" i="3"/>
  <c r="F421" i="3"/>
  <c r="K420" i="3"/>
  <c r="J420" i="3"/>
  <c r="H420" i="3"/>
  <c r="F420" i="3"/>
  <c r="K418" i="3"/>
  <c r="J418" i="3"/>
  <c r="H418" i="3"/>
  <c r="F418" i="3"/>
  <c r="K417" i="3"/>
  <c r="J417" i="3"/>
  <c r="H417" i="3"/>
  <c r="F417" i="3"/>
  <c r="K416" i="3"/>
  <c r="J416" i="3"/>
  <c r="H416" i="3"/>
  <c r="F416" i="3"/>
  <c r="L416" i="3" s="1"/>
  <c r="K415" i="3"/>
  <c r="J415" i="3"/>
  <c r="H415" i="3"/>
  <c r="F415" i="3"/>
  <c r="K414" i="3"/>
  <c r="J414" i="3"/>
  <c r="H414" i="3"/>
  <c r="F414" i="3"/>
  <c r="K412" i="3"/>
  <c r="J412" i="3"/>
  <c r="H412" i="3"/>
  <c r="F412" i="3"/>
  <c r="L412" i="3" s="1"/>
  <c r="K411" i="3"/>
  <c r="J411" i="3"/>
  <c r="H411" i="3"/>
  <c r="F411" i="3"/>
  <c r="K409" i="3"/>
  <c r="J409" i="3"/>
  <c r="H409" i="3"/>
  <c r="F409" i="3"/>
  <c r="K408" i="3"/>
  <c r="J408" i="3"/>
  <c r="H408" i="3"/>
  <c r="F408" i="3"/>
  <c r="K407" i="3"/>
  <c r="J407" i="3"/>
  <c r="H407" i="3"/>
  <c r="F407" i="3"/>
  <c r="K406" i="3"/>
  <c r="J406" i="3"/>
  <c r="H406" i="3"/>
  <c r="F406" i="3"/>
  <c r="L406" i="3" s="1"/>
  <c r="K404" i="3"/>
  <c r="J404" i="3"/>
  <c r="H404" i="3"/>
  <c r="F404" i="3"/>
  <c r="K403" i="3"/>
  <c r="J403" i="3"/>
  <c r="H403" i="3"/>
  <c r="F403" i="3"/>
  <c r="K402" i="3"/>
  <c r="J402" i="3"/>
  <c r="L402" i="3" s="1"/>
  <c r="H402" i="3"/>
  <c r="F402" i="3"/>
  <c r="K399" i="3"/>
  <c r="J399" i="3"/>
  <c r="H399" i="3"/>
  <c r="F399" i="3"/>
  <c r="K398" i="3"/>
  <c r="J398" i="3"/>
  <c r="H398" i="3"/>
  <c r="F398" i="3"/>
  <c r="L398" i="3" s="1"/>
  <c r="K396" i="3"/>
  <c r="J396" i="3"/>
  <c r="H396" i="3"/>
  <c r="F396" i="3"/>
  <c r="L396" i="3" s="1"/>
  <c r="K395" i="3"/>
  <c r="J395" i="3"/>
  <c r="H395" i="3"/>
  <c r="F395" i="3"/>
  <c r="K393" i="3"/>
  <c r="J393" i="3"/>
  <c r="H393" i="3"/>
  <c r="F393" i="3"/>
  <c r="K392" i="3"/>
  <c r="J392" i="3"/>
  <c r="H392" i="3"/>
  <c r="F392" i="3"/>
  <c r="K391" i="3"/>
  <c r="J391" i="3"/>
  <c r="H391" i="3"/>
  <c r="F391" i="3"/>
  <c r="K388" i="3"/>
  <c r="J388" i="3"/>
  <c r="L388" i="3" s="1"/>
  <c r="H388" i="3"/>
  <c r="F388" i="3"/>
  <c r="K387" i="3"/>
  <c r="J387" i="3"/>
  <c r="H387" i="3"/>
  <c r="F387" i="3"/>
  <c r="L387" i="3" s="1"/>
  <c r="K385" i="3"/>
  <c r="J385" i="3"/>
  <c r="H385" i="3"/>
  <c r="F385" i="3"/>
  <c r="K384" i="3"/>
  <c r="J384" i="3"/>
  <c r="H384" i="3"/>
  <c r="F384" i="3"/>
  <c r="K381" i="3"/>
  <c r="J381" i="3"/>
  <c r="H381" i="3"/>
  <c r="F381" i="3"/>
  <c r="K379" i="3"/>
  <c r="J379" i="3"/>
  <c r="H379" i="3"/>
  <c r="F379" i="3"/>
  <c r="K377" i="3"/>
  <c r="J377" i="3"/>
  <c r="H377" i="3"/>
  <c r="F377" i="3"/>
  <c r="K375" i="3"/>
  <c r="J375" i="3"/>
  <c r="H375" i="3"/>
  <c r="F375" i="3"/>
  <c r="K374" i="3"/>
  <c r="J374" i="3"/>
  <c r="H374" i="3"/>
  <c r="F374" i="3"/>
  <c r="K373" i="3"/>
  <c r="J373" i="3"/>
  <c r="H373" i="3"/>
  <c r="F373" i="3"/>
  <c r="K370" i="3"/>
  <c r="J370" i="3"/>
  <c r="H370" i="3"/>
  <c r="F370" i="3"/>
  <c r="L370" i="3" s="1"/>
  <c r="K368" i="3"/>
  <c r="J368" i="3"/>
  <c r="H368" i="3"/>
  <c r="F368" i="3"/>
  <c r="K367" i="3"/>
  <c r="J367" i="3"/>
  <c r="H367" i="3"/>
  <c r="F367" i="3"/>
  <c r="K366" i="3"/>
  <c r="J366" i="3"/>
  <c r="H366" i="3"/>
  <c r="L366" i="3" s="1"/>
  <c r="F366" i="3"/>
  <c r="K364" i="3"/>
  <c r="J364" i="3"/>
  <c r="H364" i="3"/>
  <c r="F364" i="3"/>
  <c r="K363" i="3"/>
  <c r="J363" i="3"/>
  <c r="H363" i="3"/>
  <c r="F363" i="3"/>
  <c r="K361" i="3"/>
  <c r="J361" i="3"/>
  <c r="H361" i="3"/>
  <c r="F361" i="3"/>
  <c r="K359" i="3"/>
  <c r="J359" i="3"/>
  <c r="H359" i="3"/>
  <c r="F359" i="3"/>
  <c r="L359" i="3" s="1"/>
  <c r="K358" i="3"/>
  <c r="J358" i="3"/>
  <c r="H358" i="3"/>
  <c r="F358" i="3"/>
  <c r="L358" i="3" s="1"/>
  <c r="K356" i="3"/>
  <c r="J356" i="3"/>
  <c r="H356" i="3"/>
  <c r="F356" i="3"/>
  <c r="L356" i="3" s="1"/>
  <c r="K355" i="3"/>
  <c r="J355" i="3"/>
  <c r="H355" i="3"/>
  <c r="F355" i="3"/>
  <c r="K352" i="3"/>
  <c r="J352" i="3"/>
  <c r="H352" i="3"/>
  <c r="F352" i="3"/>
  <c r="L352" i="3" s="1"/>
  <c r="K351" i="3"/>
  <c r="J351" i="3"/>
  <c r="H351" i="3"/>
  <c r="F351" i="3"/>
  <c r="L351" i="3" s="1"/>
  <c r="K350" i="3"/>
  <c r="J350" i="3"/>
  <c r="H350" i="3"/>
  <c r="F350" i="3"/>
  <c r="K348" i="3"/>
  <c r="J348" i="3"/>
  <c r="H348" i="3"/>
  <c r="F348" i="3"/>
  <c r="L348" i="3" s="1"/>
  <c r="K347" i="3"/>
  <c r="J347" i="3"/>
  <c r="H347" i="3"/>
  <c r="F347" i="3"/>
  <c r="K345" i="3"/>
  <c r="J345" i="3"/>
  <c r="H345" i="3"/>
  <c r="F345" i="3"/>
  <c r="K344" i="3"/>
  <c r="J344" i="3"/>
  <c r="H344" i="3"/>
  <c r="F344" i="3"/>
  <c r="K343" i="3"/>
  <c r="J343" i="3"/>
  <c r="H343" i="3"/>
  <c r="F343" i="3"/>
  <c r="K342" i="3"/>
  <c r="J342" i="3"/>
  <c r="H342" i="3"/>
  <c r="F342" i="3"/>
  <c r="L342" i="3" s="1"/>
  <c r="K340" i="3"/>
  <c r="J340" i="3"/>
  <c r="H340" i="3"/>
  <c r="F340" i="3"/>
  <c r="L340" i="3" s="1"/>
  <c r="K339" i="3"/>
  <c r="J339" i="3"/>
  <c r="H339" i="3"/>
  <c r="F339" i="3"/>
  <c r="K337" i="3"/>
  <c r="J337" i="3"/>
  <c r="H337" i="3"/>
  <c r="F337" i="3"/>
  <c r="L337" i="3" s="1"/>
  <c r="K336" i="3"/>
  <c r="J336" i="3"/>
  <c r="H336" i="3"/>
  <c r="F336" i="3"/>
  <c r="L336" i="3" s="1"/>
  <c r="K334" i="3"/>
  <c r="J334" i="3"/>
  <c r="H334" i="3"/>
  <c r="F334" i="3"/>
  <c r="K333" i="3"/>
  <c r="J333" i="3"/>
  <c r="H333" i="3"/>
  <c r="F333" i="3"/>
  <c r="K331" i="3"/>
  <c r="J331" i="3"/>
  <c r="H331" i="3"/>
  <c r="F331" i="3"/>
  <c r="K330" i="3"/>
  <c r="J330" i="3"/>
  <c r="H330" i="3"/>
  <c r="F330" i="3"/>
  <c r="L330" i="3" s="1"/>
  <c r="K329" i="3"/>
  <c r="J329" i="3"/>
  <c r="H329" i="3"/>
  <c r="F329" i="3"/>
  <c r="K328" i="3"/>
  <c r="J328" i="3"/>
  <c r="H328" i="3"/>
  <c r="F328" i="3"/>
  <c r="K326" i="3"/>
  <c r="J326" i="3"/>
  <c r="H326" i="3"/>
  <c r="F326" i="3"/>
  <c r="K325" i="3"/>
  <c r="J325" i="3"/>
  <c r="H325" i="3"/>
  <c r="F325" i="3"/>
  <c r="K322" i="3"/>
  <c r="J322" i="3"/>
  <c r="H322" i="3"/>
  <c r="F322" i="3"/>
  <c r="K320" i="3"/>
  <c r="J320" i="3"/>
  <c r="H320" i="3"/>
  <c r="F320" i="3"/>
  <c r="K319" i="3"/>
  <c r="J319" i="3"/>
  <c r="H319" i="3"/>
  <c r="F319" i="3"/>
  <c r="K317" i="3"/>
  <c r="J317" i="3"/>
  <c r="H317" i="3"/>
  <c r="F317" i="3"/>
  <c r="K316" i="3"/>
  <c r="J316" i="3"/>
  <c r="H316" i="3"/>
  <c r="F316" i="3"/>
  <c r="K311" i="3"/>
  <c r="J311" i="3"/>
  <c r="H311" i="3"/>
  <c r="L311" i="3" s="1"/>
  <c r="F311" i="3"/>
  <c r="K309" i="3"/>
  <c r="J309" i="3"/>
  <c r="L309" i="3" s="1"/>
  <c r="H309" i="3"/>
  <c r="F309" i="3"/>
  <c r="K308" i="3"/>
  <c r="J308" i="3"/>
  <c r="H308" i="3"/>
  <c r="F308" i="3"/>
  <c r="K307" i="3"/>
  <c r="J307" i="3"/>
  <c r="H307" i="3"/>
  <c r="F307" i="3"/>
  <c r="K305" i="3"/>
  <c r="J305" i="3"/>
  <c r="H305" i="3"/>
  <c r="F305" i="3"/>
  <c r="K304" i="3"/>
  <c r="J304" i="3"/>
  <c r="H304" i="3"/>
  <c r="F304" i="3"/>
  <c r="K302" i="3"/>
  <c r="J302" i="3"/>
  <c r="H302" i="3"/>
  <c r="F302" i="3"/>
  <c r="K301" i="3"/>
  <c r="J301" i="3"/>
  <c r="H301" i="3"/>
  <c r="F301" i="3"/>
  <c r="K300" i="3"/>
  <c r="J300" i="3"/>
  <c r="H300" i="3"/>
  <c r="F300" i="3"/>
  <c r="K299" i="3"/>
  <c r="J299" i="3"/>
  <c r="H299" i="3"/>
  <c r="F299" i="3"/>
  <c r="K297" i="3"/>
  <c r="J297" i="3"/>
  <c r="H297" i="3"/>
  <c r="F297" i="3"/>
  <c r="K295" i="3"/>
  <c r="J295" i="3"/>
  <c r="H295" i="3"/>
  <c r="F295" i="3"/>
  <c r="K294" i="3"/>
  <c r="J294" i="3"/>
  <c r="H294" i="3"/>
  <c r="F294" i="3"/>
  <c r="K291" i="3"/>
  <c r="J291" i="3"/>
  <c r="H291" i="3"/>
  <c r="F291" i="3"/>
  <c r="L291" i="3" s="1"/>
  <c r="K290" i="3"/>
  <c r="J290" i="3"/>
  <c r="H290" i="3"/>
  <c r="F290" i="3"/>
  <c r="K289" i="3"/>
  <c r="J289" i="3"/>
  <c r="H289" i="3"/>
  <c r="F289" i="3"/>
  <c r="K287" i="3"/>
  <c r="J287" i="3"/>
  <c r="H287" i="3"/>
  <c r="F287" i="3"/>
  <c r="K286" i="3"/>
  <c r="J286" i="3"/>
  <c r="H286" i="3"/>
  <c r="F286" i="3"/>
  <c r="K285" i="3"/>
  <c r="J285" i="3"/>
  <c r="H285" i="3"/>
  <c r="F285" i="3"/>
  <c r="L285" i="3" s="1"/>
  <c r="K283" i="3"/>
  <c r="J283" i="3"/>
  <c r="H283" i="3"/>
  <c r="F283" i="3"/>
  <c r="L283" i="3" s="1"/>
  <c r="K282" i="3"/>
  <c r="J282" i="3"/>
  <c r="H282" i="3"/>
  <c r="F282" i="3"/>
  <c r="K281" i="3"/>
  <c r="J281" i="3"/>
  <c r="H281" i="3"/>
  <c r="F281" i="3"/>
  <c r="K280" i="3"/>
  <c r="J280" i="3"/>
  <c r="H280" i="3"/>
  <c r="F280" i="3"/>
  <c r="K279" i="3"/>
  <c r="J279" i="3"/>
  <c r="H279" i="3"/>
  <c r="F279" i="3"/>
  <c r="K278" i="3"/>
  <c r="J278" i="3"/>
  <c r="H278" i="3"/>
  <c r="F278" i="3"/>
  <c r="K277" i="3"/>
  <c r="J277" i="3"/>
  <c r="H277" i="3"/>
  <c r="F277" i="3"/>
  <c r="K276" i="3"/>
  <c r="J276" i="3"/>
  <c r="H276" i="3"/>
  <c r="F276" i="3"/>
  <c r="K275" i="3"/>
  <c r="J275" i="3"/>
  <c r="H275" i="3"/>
  <c r="F275" i="3"/>
  <c r="K274" i="3"/>
  <c r="J274" i="3"/>
  <c r="H274" i="3"/>
  <c r="F274" i="3"/>
  <c r="K272" i="3"/>
  <c r="J272" i="3"/>
  <c r="H272" i="3"/>
  <c r="F272" i="3"/>
  <c r="K271" i="3"/>
  <c r="J271" i="3"/>
  <c r="H271" i="3"/>
  <c r="F271" i="3"/>
  <c r="K269" i="3"/>
  <c r="J269" i="3"/>
  <c r="H269" i="3"/>
  <c r="F269" i="3"/>
  <c r="K268" i="3"/>
  <c r="J268" i="3"/>
  <c r="H268" i="3"/>
  <c r="F268" i="3"/>
  <c r="K266" i="3"/>
  <c r="J266" i="3"/>
  <c r="H266" i="3"/>
  <c r="F266" i="3"/>
  <c r="K263" i="3"/>
  <c r="J263" i="3"/>
  <c r="H263" i="3"/>
  <c r="F263" i="3"/>
  <c r="K261" i="3"/>
  <c r="J261" i="3"/>
  <c r="H261" i="3"/>
  <c r="F261" i="3"/>
  <c r="L261" i="3" s="1"/>
  <c r="K260" i="3"/>
  <c r="J260" i="3"/>
  <c r="H260" i="3"/>
  <c r="F260" i="3"/>
  <c r="K258" i="3"/>
  <c r="J258" i="3"/>
  <c r="H258" i="3"/>
  <c r="F258" i="3"/>
  <c r="K257" i="3"/>
  <c r="J257" i="3"/>
  <c r="H257" i="3"/>
  <c r="F257" i="3"/>
  <c r="L257" i="3" s="1"/>
  <c r="K254" i="3"/>
  <c r="J254" i="3"/>
  <c r="H254" i="3"/>
  <c r="F254" i="3"/>
  <c r="K252" i="3"/>
  <c r="J252" i="3"/>
  <c r="H252" i="3"/>
  <c r="F252" i="3"/>
  <c r="K251" i="3"/>
  <c r="J251" i="3"/>
  <c r="H251" i="3"/>
  <c r="F251" i="3"/>
  <c r="K249" i="3"/>
  <c r="J249" i="3"/>
  <c r="H249" i="3"/>
  <c r="F249" i="3"/>
  <c r="K248" i="3"/>
  <c r="J248" i="3"/>
  <c r="H248" i="3"/>
  <c r="F248" i="3"/>
  <c r="K243" i="3"/>
  <c r="J243" i="3"/>
  <c r="H243" i="3"/>
  <c r="F243" i="3"/>
  <c r="K241" i="3"/>
  <c r="J241" i="3"/>
  <c r="H241" i="3"/>
  <c r="F241" i="3"/>
  <c r="K240" i="3"/>
  <c r="J240" i="3"/>
  <c r="H240" i="3"/>
  <c r="F240" i="3"/>
  <c r="L240" i="3" s="1"/>
  <c r="K239" i="3"/>
  <c r="J239" i="3"/>
  <c r="H239" i="3"/>
  <c r="F239" i="3"/>
  <c r="K238" i="3"/>
  <c r="J238" i="3"/>
  <c r="H238" i="3"/>
  <c r="L238" i="3" s="1"/>
  <c r="F238" i="3"/>
  <c r="K237" i="3"/>
  <c r="J237" i="3"/>
  <c r="H237" i="3"/>
  <c r="F237" i="3"/>
  <c r="K236" i="3"/>
  <c r="J236" i="3"/>
  <c r="H236" i="3"/>
  <c r="F236" i="3"/>
  <c r="K235" i="3"/>
  <c r="J235" i="3"/>
  <c r="H235" i="3"/>
  <c r="F235" i="3"/>
  <c r="K234" i="3"/>
  <c r="J234" i="3"/>
  <c r="H234" i="3"/>
  <c r="L234" i="3" s="1"/>
  <c r="F234" i="3"/>
  <c r="K233" i="3"/>
  <c r="J233" i="3"/>
  <c r="H233" i="3"/>
  <c r="F233" i="3"/>
  <c r="K232" i="3"/>
  <c r="J232" i="3"/>
  <c r="H232" i="3"/>
  <c r="F232" i="3"/>
  <c r="K231" i="3"/>
  <c r="J231" i="3"/>
  <c r="H231" i="3"/>
  <c r="F231" i="3"/>
  <c r="K230" i="3"/>
  <c r="J230" i="3"/>
  <c r="H230" i="3"/>
  <c r="F230" i="3"/>
  <c r="K229" i="3"/>
  <c r="J229" i="3"/>
  <c r="H229" i="3"/>
  <c r="F229" i="3"/>
  <c r="K228" i="3"/>
  <c r="J228" i="3"/>
  <c r="L228" i="3" s="1"/>
  <c r="H228" i="3"/>
  <c r="F228" i="3"/>
  <c r="K226" i="3"/>
  <c r="J226" i="3"/>
  <c r="H226" i="3"/>
  <c r="F226" i="3"/>
  <c r="K225" i="3"/>
  <c r="J225" i="3"/>
  <c r="H225" i="3"/>
  <c r="F225" i="3"/>
  <c r="K223" i="3"/>
  <c r="J223" i="3"/>
  <c r="H223" i="3"/>
  <c r="F223" i="3"/>
  <c r="K222" i="3"/>
  <c r="J222" i="3"/>
  <c r="H222" i="3"/>
  <c r="F222" i="3"/>
  <c r="K221" i="3"/>
  <c r="J221" i="3"/>
  <c r="H221" i="3"/>
  <c r="F221" i="3"/>
  <c r="K220" i="3"/>
  <c r="J220" i="3"/>
  <c r="H220" i="3"/>
  <c r="F220" i="3"/>
  <c r="K219" i="3"/>
  <c r="J219" i="3"/>
  <c r="H219" i="3"/>
  <c r="F219" i="3"/>
  <c r="K218" i="3"/>
  <c r="J218" i="3"/>
  <c r="H218" i="3"/>
  <c r="F218" i="3"/>
  <c r="K216" i="3"/>
  <c r="J216" i="3"/>
  <c r="H216" i="3"/>
  <c r="F216" i="3"/>
  <c r="K215" i="3"/>
  <c r="J215" i="3"/>
  <c r="H215" i="3"/>
  <c r="F215" i="3"/>
  <c r="K214" i="3"/>
  <c r="J214" i="3"/>
  <c r="H214" i="3"/>
  <c r="F214" i="3"/>
  <c r="K212" i="3"/>
  <c r="J212" i="3"/>
  <c r="H212" i="3"/>
  <c r="F212" i="3"/>
  <c r="K211" i="3"/>
  <c r="J211" i="3"/>
  <c r="H211" i="3"/>
  <c r="F211" i="3"/>
  <c r="K210" i="3"/>
  <c r="J210" i="3"/>
  <c r="H210" i="3"/>
  <c r="F210" i="3"/>
  <c r="K207" i="3"/>
  <c r="J207" i="3"/>
  <c r="H207" i="3"/>
  <c r="F207" i="3"/>
  <c r="K206" i="3"/>
  <c r="J206" i="3"/>
  <c r="H206" i="3"/>
  <c r="F206" i="3"/>
  <c r="K205" i="3"/>
  <c r="J205" i="3"/>
  <c r="H205" i="3"/>
  <c r="F205" i="3"/>
  <c r="K204" i="3"/>
  <c r="J204" i="3"/>
  <c r="H204" i="3"/>
  <c r="F204" i="3"/>
  <c r="K203" i="3"/>
  <c r="J203" i="3"/>
  <c r="H203" i="3"/>
  <c r="F203" i="3"/>
  <c r="K202" i="3"/>
  <c r="J202" i="3"/>
  <c r="H202" i="3"/>
  <c r="F202" i="3"/>
  <c r="K201" i="3"/>
  <c r="J201" i="3"/>
  <c r="H201" i="3"/>
  <c r="F201" i="3"/>
  <c r="K200" i="3"/>
  <c r="J200" i="3"/>
  <c r="H200" i="3"/>
  <c r="F200" i="3"/>
  <c r="K199" i="3"/>
  <c r="J199" i="3"/>
  <c r="H199" i="3"/>
  <c r="F199" i="3"/>
  <c r="K198" i="3"/>
  <c r="J198" i="3"/>
  <c r="H198" i="3"/>
  <c r="F198" i="3"/>
  <c r="L197" i="3"/>
  <c r="K197" i="3"/>
  <c r="J197" i="3"/>
  <c r="H197" i="3"/>
  <c r="F197" i="3"/>
  <c r="K196" i="3"/>
  <c r="J196" i="3"/>
  <c r="H196" i="3"/>
  <c r="F196" i="3"/>
  <c r="K195" i="3"/>
  <c r="J195" i="3"/>
  <c r="H195" i="3"/>
  <c r="F195" i="3"/>
  <c r="K194" i="3"/>
  <c r="J194" i="3"/>
  <c r="H194" i="3"/>
  <c r="F194" i="3"/>
  <c r="K193" i="3"/>
  <c r="J193" i="3"/>
  <c r="H193" i="3"/>
  <c r="F193" i="3"/>
  <c r="L193" i="3" s="1"/>
  <c r="K192" i="3"/>
  <c r="J192" i="3"/>
  <c r="H192" i="3"/>
  <c r="F192" i="3"/>
  <c r="L192" i="3" s="1"/>
  <c r="K189" i="3"/>
  <c r="J189" i="3"/>
  <c r="H189" i="3"/>
  <c r="F189" i="3"/>
  <c r="K187" i="3"/>
  <c r="J187" i="3"/>
  <c r="H187" i="3"/>
  <c r="F187" i="3"/>
  <c r="K186" i="3"/>
  <c r="J186" i="3"/>
  <c r="H186" i="3"/>
  <c r="F186" i="3"/>
  <c r="L186" i="3" s="1"/>
  <c r="K184" i="3"/>
  <c r="J184" i="3"/>
  <c r="H184" i="3"/>
  <c r="F184" i="3"/>
  <c r="K183" i="3"/>
  <c r="J183" i="3"/>
  <c r="H183" i="3"/>
  <c r="F183" i="3"/>
  <c r="K181" i="3"/>
  <c r="J181" i="3"/>
  <c r="H181" i="3"/>
  <c r="F181" i="3"/>
  <c r="L181" i="3" s="1"/>
  <c r="K179" i="3"/>
  <c r="J179" i="3"/>
  <c r="H179" i="3"/>
  <c r="F179" i="3"/>
  <c r="L179" i="3" s="1"/>
  <c r="K178" i="3"/>
  <c r="J178" i="3"/>
  <c r="H178" i="3"/>
  <c r="F178" i="3"/>
  <c r="K176" i="3"/>
  <c r="J176" i="3"/>
  <c r="H176" i="3"/>
  <c r="F176" i="3"/>
  <c r="K175" i="3"/>
  <c r="J175" i="3"/>
  <c r="H175" i="3"/>
  <c r="F175" i="3"/>
  <c r="L175" i="3" s="1"/>
  <c r="K173" i="3"/>
  <c r="J173" i="3"/>
  <c r="H173" i="3"/>
  <c r="F173" i="3"/>
  <c r="K172" i="3"/>
  <c r="J172" i="3"/>
  <c r="H172" i="3"/>
  <c r="F172" i="3"/>
  <c r="L172" i="3" s="1"/>
  <c r="K171" i="3"/>
  <c r="J171" i="3"/>
  <c r="H171" i="3"/>
  <c r="F171" i="3"/>
  <c r="K170" i="3"/>
  <c r="J170" i="3"/>
  <c r="H170" i="3"/>
  <c r="F170" i="3"/>
  <c r="K167" i="3"/>
  <c r="J167" i="3"/>
  <c r="H167" i="3"/>
  <c r="F167" i="3"/>
  <c r="K164" i="3"/>
  <c r="J164" i="3"/>
  <c r="H164" i="3"/>
  <c r="F164" i="3"/>
  <c r="K163" i="3"/>
  <c r="J163" i="3"/>
  <c r="H163" i="3"/>
  <c r="F163" i="3"/>
  <c r="K161" i="3"/>
  <c r="J161" i="3"/>
  <c r="H161" i="3"/>
  <c r="F161" i="3"/>
  <c r="L161" i="3" s="1"/>
  <c r="K160" i="3"/>
  <c r="J160" i="3"/>
  <c r="H160" i="3"/>
  <c r="F160" i="3"/>
  <c r="K159" i="3"/>
  <c r="J159" i="3"/>
  <c r="H159" i="3"/>
  <c r="L159" i="3" s="1"/>
  <c r="F159" i="3"/>
  <c r="K158" i="3"/>
  <c r="J158" i="3"/>
  <c r="H158" i="3"/>
  <c r="F158" i="3"/>
  <c r="K157" i="3"/>
  <c r="J157" i="3"/>
  <c r="H157" i="3"/>
  <c r="F157" i="3"/>
  <c r="K156" i="3"/>
  <c r="J156" i="3"/>
  <c r="H156" i="3"/>
  <c r="F156" i="3"/>
  <c r="K154" i="3"/>
  <c r="J154" i="3"/>
  <c r="H154" i="3"/>
  <c r="F154" i="3"/>
  <c r="K153" i="3"/>
  <c r="J153" i="3"/>
  <c r="H153" i="3"/>
  <c r="F153" i="3"/>
  <c r="K152" i="3"/>
  <c r="J152" i="3"/>
  <c r="L152" i="3" s="1"/>
  <c r="H152" i="3"/>
  <c r="F152" i="3"/>
  <c r="K149" i="3"/>
  <c r="J149" i="3"/>
  <c r="H149" i="3"/>
  <c r="F149" i="3"/>
  <c r="K148" i="3"/>
  <c r="J148" i="3"/>
  <c r="H148" i="3"/>
  <c r="F148" i="3"/>
  <c r="K147" i="3"/>
  <c r="J147" i="3"/>
  <c r="H147" i="3"/>
  <c r="F147" i="3"/>
  <c r="K145" i="3"/>
  <c r="J145" i="3"/>
  <c r="H145" i="3"/>
  <c r="F145" i="3"/>
  <c r="K144" i="3"/>
  <c r="J144" i="3"/>
  <c r="H144" i="3"/>
  <c r="F144" i="3"/>
  <c r="K143" i="3"/>
  <c r="J143" i="3"/>
  <c r="H143" i="3"/>
  <c r="F143" i="3"/>
  <c r="K142" i="3"/>
  <c r="J142" i="3"/>
  <c r="H142" i="3"/>
  <c r="F142" i="3"/>
  <c r="K141" i="3"/>
  <c r="J141" i="3"/>
  <c r="H141" i="3"/>
  <c r="F141" i="3"/>
  <c r="K140" i="3"/>
  <c r="J140" i="3"/>
  <c r="H140" i="3"/>
  <c r="F140" i="3"/>
  <c r="K139" i="3"/>
  <c r="J139" i="3"/>
  <c r="H139" i="3"/>
  <c r="F139" i="3"/>
  <c r="K137" i="3"/>
  <c r="J137" i="3"/>
  <c r="H137" i="3"/>
  <c r="F137" i="3"/>
  <c r="K136" i="3"/>
  <c r="J136" i="3"/>
  <c r="L136" i="3" s="1"/>
  <c r="H136" i="3"/>
  <c r="F136" i="3"/>
  <c r="K135" i="3"/>
  <c r="J135" i="3"/>
  <c r="H135" i="3"/>
  <c r="F135" i="3"/>
  <c r="K134" i="3"/>
  <c r="J134" i="3"/>
  <c r="H134" i="3"/>
  <c r="F134" i="3"/>
  <c r="K132" i="3"/>
  <c r="J132" i="3"/>
  <c r="H132" i="3"/>
  <c r="F132" i="3"/>
  <c r="K131" i="3"/>
  <c r="J131" i="3"/>
  <c r="H131" i="3"/>
  <c r="F131" i="3"/>
  <c r="K128" i="3"/>
  <c r="J128" i="3"/>
  <c r="H128" i="3"/>
  <c r="F128" i="3"/>
  <c r="L128" i="3" s="1"/>
  <c r="K127" i="3"/>
  <c r="J127" i="3"/>
  <c r="H127" i="3"/>
  <c r="F127" i="3"/>
  <c r="K126" i="3"/>
  <c r="J126" i="3"/>
  <c r="H126" i="3"/>
  <c r="F126" i="3"/>
  <c r="K125" i="3"/>
  <c r="J125" i="3"/>
  <c r="H125" i="3"/>
  <c r="F125" i="3"/>
  <c r="L125" i="3" s="1"/>
  <c r="K124" i="3"/>
  <c r="J124" i="3"/>
  <c r="H124" i="3"/>
  <c r="F124" i="3"/>
  <c r="K123" i="3"/>
  <c r="J123" i="3"/>
  <c r="H123" i="3"/>
  <c r="F123" i="3"/>
  <c r="K122" i="3"/>
  <c r="J122" i="3"/>
  <c r="H122" i="3"/>
  <c r="F122" i="3"/>
  <c r="K119" i="3"/>
  <c r="J119" i="3"/>
  <c r="H119" i="3"/>
  <c r="F119" i="3"/>
  <c r="K117" i="3"/>
  <c r="J117" i="3"/>
  <c r="H117" i="3"/>
  <c r="F117" i="3"/>
  <c r="K116" i="3"/>
  <c r="J116" i="3"/>
  <c r="H116" i="3"/>
  <c r="F116" i="3"/>
  <c r="K115" i="3"/>
  <c r="J115" i="3"/>
  <c r="H115" i="3"/>
  <c r="F115" i="3"/>
  <c r="K112" i="3"/>
  <c r="J112" i="3"/>
  <c r="H112" i="3"/>
  <c r="F112" i="3"/>
  <c r="K111" i="3"/>
  <c r="J111" i="3"/>
  <c r="H111" i="3"/>
  <c r="F111" i="3"/>
  <c r="L111" i="3" s="1"/>
  <c r="K106" i="3"/>
  <c r="J106" i="3"/>
  <c r="H106" i="3"/>
  <c r="F106" i="3"/>
  <c r="K104" i="3"/>
  <c r="J104" i="3"/>
  <c r="H104" i="3"/>
  <c r="F104" i="3"/>
  <c r="K103" i="3"/>
  <c r="J103" i="3"/>
  <c r="H103" i="3"/>
  <c r="F103" i="3"/>
  <c r="L103" i="3" s="1"/>
  <c r="K100" i="3"/>
  <c r="J100" i="3"/>
  <c r="H100" i="3"/>
  <c r="F100" i="3"/>
  <c r="L99" i="3"/>
  <c r="K99" i="3"/>
  <c r="J99" i="3"/>
  <c r="H99" i="3"/>
  <c r="F99" i="3"/>
  <c r="K98" i="3"/>
  <c r="J98" i="3"/>
  <c r="H98" i="3"/>
  <c r="F98" i="3"/>
  <c r="L98" i="3" s="1"/>
  <c r="K96" i="3"/>
  <c r="J96" i="3"/>
  <c r="H96" i="3"/>
  <c r="F96" i="3"/>
  <c r="K95" i="3"/>
  <c r="J95" i="3"/>
  <c r="H95" i="3"/>
  <c r="F95" i="3"/>
  <c r="L95" i="3" s="1"/>
  <c r="K94" i="3"/>
  <c r="J94" i="3"/>
  <c r="H94" i="3"/>
  <c r="F94" i="3"/>
  <c r="L94" i="3" s="1"/>
  <c r="K93" i="3"/>
  <c r="J93" i="3"/>
  <c r="H93" i="3"/>
  <c r="F93" i="3"/>
  <c r="L93" i="3" s="1"/>
  <c r="L90" i="3"/>
  <c r="K90" i="3"/>
  <c r="J90" i="3"/>
  <c r="H90" i="3"/>
  <c r="F90" i="3"/>
  <c r="K89" i="3"/>
  <c r="J89" i="3"/>
  <c r="H89" i="3"/>
  <c r="F89" i="3"/>
  <c r="K87" i="3"/>
  <c r="J87" i="3"/>
  <c r="H87" i="3"/>
  <c r="L87" i="3" s="1"/>
  <c r="F87" i="3"/>
  <c r="K85" i="3"/>
  <c r="J85" i="3"/>
  <c r="H85" i="3"/>
  <c r="F85" i="3"/>
  <c r="K84" i="3"/>
  <c r="J84" i="3"/>
  <c r="H84" i="3"/>
  <c r="F84" i="3"/>
  <c r="K83" i="3"/>
  <c r="J83" i="3"/>
  <c r="H83" i="3"/>
  <c r="F83" i="3"/>
  <c r="K82" i="3"/>
  <c r="J82" i="3"/>
  <c r="H82" i="3"/>
  <c r="F82" i="3"/>
  <c r="L82" i="3" s="1"/>
  <c r="K81" i="3"/>
  <c r="J81" i="3"/>
  <c r="H81" i="3"/>
  <c r="F81" i="3"/>
  <c r="K79" i="3"/>
  <c r="J79" i="3"/>
  <c r="L79" i="3" s="1"/>
  <c r="H79" i="3"/>
  <c r="F79" i="3"/>
  <c r="K77" i="3"/>
  <c r="J77" i="3"/>
  <c r="H77" i="3"/>
  <c r="F77" i="3"/>
  <c r="K75" i="3"/>
  <c r="J75" i="3"/>
  <c r="H75" i="3"/>
  <c r="F75" i="3"/>
  <c r="K74" i="3"/>
  <c r="J74" i="3"/>
  <c r="H74" i="3"/>
  <c r="F74" i="3"/>
  <c r="K72" i="3"/>
  <c r="J72" i="3"/>
  <c r="H72" i="3"/>
  <c r="F72" i="3"/>
  <c r="K69" i="3"/>
  <c r="J69" i="3"/>
  <c r="H69" i="3"/>
  <c r="F69" i="3"/>
  <c r="K67" i="3"/>
  <c r="J67" i="3"/>
  <c r="H67" i="3"/>
  <c r="F67" i="3"/>
  <c r="K65" i="3"/>
  <c r="J65" i="3"/>
  <c r="H65" i="3"/>
  <c r="F65" i="3"/>
  <c r="K63" i="3"/>
  <c r="J63" i="3"/>
  <c r="H63" i="3"/>
  <c r="F63" i="3"/>
  <c r="K62" i="3"/>
  <c r="J62" i="3"/>
  <c r="H62" i="3"/>
  <c r="F62" i="3"/>
  <c r="K59" i="3"/>
  <c r="J59" i="3"/>
  <c r="H59" i="3"/>
  <c r="F59" i="3"/>
  <c r="K57" i="3"/>
  <c r="J57" i="3"/>
  <c r="H57" i="3"/>
  <c r="F57" i="3"/>
  <c r="K55" i="3"/>
  <c r="J55" i="3"/>
  <c r="L55" i="3" s="1"/>
  <c r="H55" i="3"/>
  <c r="F55" i="3"/>
  <c r="K52" i="3"/>
  <c r="J52" i="3"/>
  <c r="H52" i="3"/>
  <c r="F52" i="3"/>
  <c r="K50" i="3"/>
  <c r="J50" i="3"/>
  <c r="H50" i="3"/>
  <c r="F50" i="3"/>
  <c r="K48" i="3"/>
  <c r="J48" i="3"/>
  <c r="H48" i="3"/>
  <c r="F48" i="3"/>
  <c r="K47" i="3"/>
  <c r="J47" i="3"/>
  <c r="H47" i="3"/>
  <c r="F47" i="3"/>
  <c r="K44" i="3"/>
  <c r="J44" i="3"/>
  <c r="L44" i="3" s="1"/>
  <c r="H44" i="3"/>
  <c r="F44" i="3"/>
  <c r="K43" i="3"/>
  <c r="J43" i="3"/>
  <c r="H43" i="3"/>
  <c r="F43" i="3"/>
  <c r="K41" i="3"/>
  <c r="J41" i="3"/>
  <c r="H41" i="3"/>
  <c r="F41" i="3"/>
  <c r="K40" i="3"/>
  <c r="J40" i="3"/>
  <c r="H40" i="3"/>
  <c r="F40" i="3"/>
  <c r="K39" i="3"/>
  <c r="J39" i="3"/>
  <c r="H39" i="3"/>
  <c r="F39" i="3"/>
  <c r="K37" i="3"/>
  <c r="J37" i="3"/>
  <c r="H37" i="3"/>
  <c r="F37" i="3"/>
  <c r="L37" i="3" s="1"/>
  <c r="K36" i="3"/>
  <c r="J36" i="3"/>
  <c r="H36" i="3"/>
  <c r="F36" i="3"/>
  <c r="K35" i="3"/>
  <c r="J35" i="3"/>
  <c r="H35" i="3"/>
  <c r="F35" i="3"/>
  <c r="K32" i="3"/>
  <c r="J32" i="3"/>
  <c r="H32" i="3"/>
  <c r="F32" i="3"/>
  <c r="L32" i="3" s="1"/>
  <c r="K31" i="3"/>
  <c r="J31" i="3"/>
  <c r="H31" i="3"/>
  <c r="F31" i="3"/>
  <c r="J17" i="3"/>
  <c r="L17" i="3" s="1"/>
  <c r="J9" i="3"/>
  <c r="L7" i="3"/>
  <c r="J7" i="3"/>
  <c r="H7" i="3"/>
  <c r="F7" i="3"/>
  <c r="F22" i="3" s="1"/>
  <c r="H15" i="2"/>
  <c r="I15" i="2" s="1"/>
  <c r="H14" i="2"/>
  <c r="I14" i="2" s="1"/>
  <c r="F13" i="2"/>
  <c r="H13" i="2" s="1"/>
  <c r="E13" i="2"/>
  <c r="D13" i="2"/>
  <c r="C13" i="2"/>
  <c r="F7" i="2"/>
  <c r="H7" i="2" s="1"/>
  <c r="I7" i="2" s="1"/>
  <c r="J7" i="2" s="1"/>
  <c r="E7" i="2"/>
  <c r="D7" i="2"/>
  <c r="C7" i="2"/>
  <c r="F11" i="2"/>
  <c r="H11" i="2" s="1"/>
  <c r="E11" i="2"/>
  <c r="D11" i="2"/>
  <c r="C11" i="2"/>
  <c r="F9" i="2"/>
  <c r="H9" i="2" s="1"/>
  <c r="E9" i="2"/>
  <c r="D9" i="2"/>
  <c r="C9" i="2"/>
  <c r="L45" i="4" l="1"/>
  <c r="L48" i="4"/>
  <c r="L52" i="4"/>
  <c r="L64" i="4"/>
  <c r="L93" i="4"/>
  <c r="L106" i="4"/>
  <c r="L59" i="4"/>
  <c r="L62" i="4"/>
  <c r="L71" i="4"/>
  <c r="L76" i="4"/>
  <c r="L87" i="4"/>
  <c r="L100" i="4"/>
  <c r="L103" i="4"/>
  <c r="L114" i="4"/>
  <c r="L117" i="4"/>
  <c r="L133" i="4"/>
  <c r="J18" i="4"/>
  <c r="L18" i="4" s="1"/>
  <c r="L85" i="4"/>
  <c r="L88" i="4"/>
  <c r="L39" i="4"/>
  <c r="L95" i="4"/>
  <c r="L57" i="4"/>
  <c r="L61" i="4"/>
  <c r="L86" i="4"/>
  <c r="L90" i="4"/>
  <c r="L99" i="4"/>
  <c r="L102" i="4"/>
  <c r="L131" i="4"/>
  <c r="L135" i="4"/>
  <c r="L434" i="3"/>
  <c r="L454" i="3"/>
  <c r="L505" i="3"/>
  <c r="L512" i="3"/>
  <c r="L528" i="3"/>
  <c r="L683" i="3"/>
  <c r="L686" i="3"/>
  <c r="L690" i="3"/>
  <c r="L693" i="3"/>
  <c r="L740" i="3"/>
  <c r="L117" i="3"/>
  <c r="L206" i="3"/>
  <c r="L275" i="3"/>
  <c r="L534" i="3"/>
  <c r="L537" i="3"/>
  <c r="L554" i="3"/>
  <c r="L562" i="3"/>
  <c r="L565" i="3"/>
  <c r="L570" i="3"/>
  <c r="L573" i="3"/>
  <c r="L586" i="3"/>
  <c r="L589" i="3"/>
  <c r="L600" i="3"/>
  <c r="L605" i="3"/>
  <c r="L711" i="3"/>
  <c r="L39" i="3"/>
  <c r="L112" i="3"/>
  <c r="L123" i="3"/>
  <c r="L211" i="3"/>
  <c r="L226" i="3"/>
  <c r="L131" i="3"/>
  <c r="L139" i="3"/>
  <c r="L145" i="3"/>
  <c r="L149" i="3"/>
  <c r="L154" i="3"/>
  <c r="L230" i="3"/>
  <c r="L278" i="3"/>
  <c r="L542" i="3"/>
  <c r="L545" i="3"/>
  <c r="L609" i="3"/>
  <c r="L67" i="3"/>
  <c r="L142" i="3"/>
  <c r="L239" i="3"/>
  <c r="L299" i="3"/>
  <c r="L302" i="3"/>
  <c r="L307" i="3"/>
  <c r="L329" i="3"/>
  <c r="L407" i="3"/>
  <c r="L411" i="3"/>
  <c r="L415" i="3"/>
  <c r="L487" i="3"/>
  <c r="L493" i="3"/>
  <c r="L499" i="3"/>
  <c r="L503" i="3"/>
  <c r="L40" i="3"/>
  <c r="L100" i="3"/>
  <c r="L124" i="3"/>
  <c r="L198" i="3"/>
  <c r="L204" i="3"/>
  <c r="L212" i="3"/>
  <c r="L216" i="3"/>
  <c r="L220" i="3"/>
  <c r="L276" i="3"/>
  <c r="L385" i="3"/>
  <c r="L395" i="3"/>
  <c r="L517" i="3"/>
  <c r="L520" i="3"/>
  <c r="L540" i="3"/>
  <c r="L543" i="3"/>
  <c r="L555" i="3"/>
  <c r="L563" i="3"/>
  <c r="L645" i="3"/>
  <c r="L695" i="3"/>
  <c r="L63" i="3"/>
  <c r="L69" i="3"/>
  <c r="L75" i="3"/>
  <c r="L81" i="3"/>
  <c r="L207" i="3"/>
  <c r="L290" i="3"/>
  <c r="L399" i="3"/>
  <c r="L477" i="3"/>
  <c r="L480" i="3"/>
  <c r="L497" i="3"/>
  <c r="L89" i="3"/>
  <c r="L143" i="3"/>
  <c r="L163" i="3"/>
  <c r="L248" i="3"/>
  <c r="L308" i="3"/>
  <c r="L743" i="3"/>
  <c r="L316" i="3"/>
  <c r="L663" i="3"/>
  <c r="L666" i="3"/>
  <c r="L178" i="3"/>
  <c r="L347" i="3"/>
  <c r="L467" i="3"/>
  <c r="L475" i="3"/>
  <c r="L604" i="3"/>
  <c r="L72" i="3"/>
  <c r="L141" i="3"/>
  <c r="L225" i="3"/>
  <c r="L481" i="3"/>
  <c r="L486" i="3"/>
  <c r="L518" i="3"/>
  <c r="L47" i="3"/>
  <c r="L59" i="3"/>
  <c r="L77" i="3"/>
  <c r="L144" i="3"/>
  <c r="L160" i="3"/>
  <c r="L210" i="3"/>
  <c r="L229" i="3"/>
  <c r="L65" i="3"/>
  <c r="L164" i="3"/>
  <c r="L171" i="3"/>
  <c r="L202" i="3"/>
  <c r="L218" i="3"/>
  <c r="L425" i="3"/>
  <c r="L428" i="3"/>
  <c r="L431" i="3"/>
  <c r="L557" i="3"/>
  <c r="L572" i="3"/>
  <c r="L629" i="3"/>
  <c r="L633" i="3"/>
  <c r="L639" i="3"/>
  <c r="L725" i="3"/>
  <c r="L731" i="3"/>
  <c r="L453" i="3"/>
  <c r="L167" i="3"/>
  <c r="L194" i="3"/>
  <c r="L231" i="3"/>
  <c r="L339" i="3"/>
  <c r="L355" i="3"/>
  <c r="L393" i="3"/>
  <c r="L409" i="3"/>
  <c r="L414" i="3"/>
  <c r="L484" i="3"/>
  <c r="L507" i="3"/>
  <c r="L510" i="3"/>
  <c r="L561" i="3"/>
  <c r="L564" i="3"/>
  <c r="L569" i="3"/>
  <c r="L590" i="3"/>
  <c r="L602" i="3"/>
  <c r="L636" i="3"/>
  <c r="L664" i="3"/>
  <c r="L667" i="3"/>
  <c r="L671" i="3"/>
  <c r="L726" i="3"/>
  <c r="L733" i="3"/>
  <c r="L738" i="3"/>
  <c r="L279" i="3"/>
  <c r="L36" i="3"/>
  <c r="L74" i="3"/>
  <c r="L147" i="3"/>
  <c r="L214" i="3"/>
  <c r="L251" i="3"/>
  <c r="L268" i="3"/>
  <c r="L272" i="3"/>
  <c r="L334" i="3"/>
  <c r="L350" i="3"/>
  <c r="L364" i="3"/>
  <c r="L417" i="3"/>
  <c r="L444" i="3"/>
  <c r="L460" i="3"/>
  <c r="L465" i="3"/>
  <c r="L514" i="3"/>
  <c r="L532" i="3"/>
  <c r="L535" i="3"/>
  <c r="L587" i="3"/>
  <c r="L597" i="3"/>
  <c r="L661" i="3"/>
  <c r="L689" i="3"/>
  <c r="L715" i="3"/>
  <c r="L718" i="3"/>
  <c r="L50" i="3"/>
  <c r="L83" i="3"/>
  <c r="L104" i="3"/>
  <c r="L134" i="3"/>
  <c r="L137" i="3"/>
  <c r="L156" i="3"/>
  <c r="L176" i="3"/>
  <c r="L200" i="3"/>
  <c r="L203" i="3"/>
  <c r="L221" i="3"/>
  <c r="L237" i="3"/>
  <c r="L289" i="3"/>
  <c r="L317" i="3"/>
  <c r="L322" i="3"/>
  <c r="L368" i="3"/>
  <c r="L374" i="3"/>
  <c r="L379" i="3"/>
  <c r="L403" i="3"/>
  <c r="L421" i="3"/>
  <c r="L437" i="3"/>
  <c r="L496" i="3"/>
  <c r="L502" i="3"/>
  <c r="L521" i="3"/>
  <c r="L524" i="3"/>
  <c r="L548" i="3"/>
  <c r="L551" i="3"/>
  <c r="L576" i="3"/>
  <c r="L581" i="3"/>
  <c r="L585" i="3"/>
  <c r="L610" i="3"/>
  <c r="L614" i="3"/>
  <c r="L620" i="3"/>
  <c r="L656" i="3"/>
  <c r="L697" i="3"/>
  <c r="L701" i="3"/>
  <c r="L294" i="3"/>
  <c r="J11" i="3"/>
  <c r="L11" i="3" s="1"/>
  <c r="L41" i="3"/>
  <c r="L126" i="3"/>
  <c r="L148" i="3"/>
  <c r="L173" i="3"/>
  <c r="L195" i="3"/>
  <c r="L215" i="3"/>
  <c r="L219" i="3"/>
  <c r="L235" i="3"/>
  <c r="L263" i="3"/>
  <c r="L269" i="3"/>
  <c r="L361" i="3"/>
  <c r="L391" i="3"/>
  <c r="L418" i="3"/>
  <c r="L446" i="3"/>
  <c r="L463" i="3"/>
  <c r="L515" i="3"/>
  <c r="L558" i="3"/>
  <c r="L588" i="3"/>
  <c r="L623" i="3"/>
  <c r="L710" i="3"/>
  <c r="L282" i="3"/>
  <c r="L343" i="3"/>
  <c r="L706" i="3"/>
  <c r="L84" i="3"/>
  <c r="L106" i="3"/>
  <c r="L157" i="3"/>
  <c r="L222" i="3"/>
  <c r="L232" i="3"/>
  <c r="L319" i="3"/>
  <c r="L344" i="3"/>
  <c r="L375" i="3"/>
  <c r="L381" i="3"/>
  <c r="L471" i="3"/>
  <c r="L494" i="3"/>
  <c r="L522" i="3"/>
  <c r="L525" i="3"/>
  <c r="L530" i="3"/>
  <c r="L552" i="3"/>
  <c r="L578" i="3"/>
  <c r="L583" i="3"/>
  <c r="L611" i="3"/>
  <c r="L616" i="3"/>
  <c r="L621" i="3"/>
  <c r="L638" i="3"/>
  <c r="L646" i="3"/>
  <c r="L654" i="3"/>
  <c r="L699" i="3"/>
  <c r="L702" i="3"/>
  <c r="L708" i="3"/>
  <c r="L473" i="3"/>
  <c r="L52" i="3"/>
  <c r="L96" i="3"/>
  <c r="L135" i="3"/>
  <c r="L170" i="3"/>
  <c r="L201" i="3"/>
  <c r="L258" i="3"/>
  <c r="L325" i="3"/>
  <c r="L331" i="3"/>
  <c r="L115" i="3"/>
  <c r="L153" i="3"/>
  <c r="L183" i="3"/>
  <c r="L241" i="3"/>
  <c r="L254" i="3"/>
  <c r="L280" i="3"/>
  <c r="L286" i="3"/>
  <c r="L295" i="3"/>
  <c r="L300" i="3"/>
  <c r="L404" i="3"/>
  <c r="L422" i="3"/>
  <c r="L426" i="3"/>
  <c r="L429" i="3"/>
  <c r="L541" i="3"/>
  <c r="L546" i="3"/>
  <c r="L549" i="3"/>
  <c r="L607" i="3"/>
  <c r="L642" i="3"/>
  <c r="L684" i="3"/>
  <c r="L687" i="3"/>
  <c r="L719" i="3"/>
  <c r="L722" i="3"/>
  <c r="J13" i="3"/>
  <c r="L13" i="3" s="1"/>
  <c r="L119" i="3"/>
  <c r="L127" i="3"/>
  <c r="L187" i="3"/>
  <c r="L196" i="3"/>
  <c r="L233" i="3"/>
  <c r="L236" i="3"/>
  <c r="L249" i="3"/>
  <c r="L260" i="3"/>
  <c r="L266" i="3"/>
  <c r="L271" i="3"/>
  <c r="L277" i="3"/>
  <c r="L287" i="3"/>
  <c r="L333" i="3"/>
  <c r="L392" i="3"/>
  <c r="L408" i="3"/>
  <c r="L420" i="3"/>
  <c r="L440" i="3"/>
  <c r="L451" i="3"/>
  <c r="L459" i="3"/>
  <c r="L464" i="3"/>
  <c r="L500" i="3"/>
  <c r="L513" i="3"/>
  <c r="L531" i="3"/>
  <c r="L624" i="3"/>
  <c r="L660" i="3"/>
  <c r="L714" i="3"/>
  <c r="L717" i="3"/>
  <c r="L720" i="3"/>
  <c r="L57" i="3"/>
  <c r="L304" i="3"/>
  <c r="L320" i="3"/>
  <c r="L326" i="3"/>
  <c r="L373" i="3"/>
  <c r="L377" i="3"/>
  <c r="L495" i="3"/>
  <c r="L526" i="3"/>
  <c r="L547" i="3"/>
  <c r="L550" i="3"/>
  <c r="L553" i="3"/>
  <c r="L566" i="3"/>
  <c r="L580" i="3"/>
  <c r="L584" i="3"/>
  <c r="L613" i="3"/>
  <c r="L619" i="3"/>
  <c r="L651" i="3"/>
  <c r="L655" i="3"/>
  <c r="L658" i="3"/>
  <c r="L670" i="3"/>
  <c r="L700" i="3"/>
  <c r="L704" i="3"/>
  <c r="L737" i="3"/>
  <c r="L35" i="3"/>
  <c r="L43" i="3"/>
  <c r="L48" i="3"/>
  <c r="L132" i="3"/>
  <c r="L199" i="3"/>
  <c r="L31" i="3"/>
  <c r="L62" i="3"/>
  <c r="L85" i="3"/>
  <c r="L116" i="3"/>
  <c r="L122" i="3"/>
  <c r="L140" i="3"/>
  <c r="L158" i="3"/>
  <c r="L184" i="3"/>
  <c r="L189" i="3"/>
  <c r="L205" i="3"/>
  <c r="L223" i="3"/>
  <c r="L243" i="3"/>
  <c r="L281" i="3"/>
  <c r="L297" i="3"/>
  <c r="L301" i="3"/>
  <c r="L345" i="3"/>
  <c r="L367" i="3"/>
  <c r="L427" i="3"/>
  <c r="L430" i="3"/>
  <c r="L436" i="3"/>
  <c r="L452" i="3"/>
  <c r="L472" i="3"/>
  <c r="L492" i="3"/>
  <c r="L571" i="3"/>
  <c r="L575" i="3"/>
  <c r="L643" i="3"/>
  <c r="L673" i="3"/>
  <c r="L676" i="3"/>
  <c r="L685" i="3"/>
  <c r="I13" i="2"/>
  <c r="J13" i="2" s="1"/>
  <c r="I9" i="2"/>
  <c r="J9" i="2" s="1"/>
  <c r="I11" i="2"/>
  <c r="J11" i="2" s="1"/>
  <c r="H22" i="3"/>
  <c r="J14" i="2"/>
  <c r="J12" i="3"/>
  <c r="J18" i="3"/>
  <c r="L18" i="3" s="1"/>
  <c r="L57" i="5"/>
  <c r="J15" i="2"/>
  <c r="L81" i="5"/>
  <c r="L274" i="3"/>
  <c r="L328" i="3"/>
  <c r="L384" i="3"/>
  <c r="L432" i="3"/>
  <c r="L485" i="3"/>
  <c r="L527" i="3"/>
  <c r="L560" i="3"/>
  <c r="L595" i="3"/>
  <c r="L60" i="4"/>
  <c r="L101" i="4"/>
  <c r="L9" i="3"/>
  <c r="J15" i="3"/>
  <c r="L15" i="3" s="1"/>
  <c r="J10" i="3"/>
  <c r="J16" i="3"/>
  <c r="L16" i="3" s="1"/>
  <c r="L252" i="3"/>
  <c r="L305" i="3"/>
  <c r="L363" i="3"/>
  <c r="L470" i="3"/>
  <c r="L631" i="3"/>
  <c r="L75" i="4"/>
  <c r="L116" i="4"/>
  <c r="L479" i="3"/>
  <c r="L508" i="3"/>
  <c r="L523" i="3"/>
  <c r="F24" i="5"/>
  <c r="J17" i="5"/>
  <c r="L17" i="5" s="1"/>
  <c r="L652" i="3"/>
  <c r="L68" i="4"/>
  <c r="L109" i="4"/>
  <c r="L12" i="6"/>
  <c r="J14" i="6"/>
  <c r="L14" i="6" s="1"/>
  <c r="H22" i="4"/>
  <c r="J19" i="5"/>
  <c r="L19" i="5" s="1"/>
  <c r="J13" i="6"/>
  <c r="L13" i="6" s="1"/>
  <c r="J14" i="5"/>
  <c r="J13" i="4"/>
  <c r="L13" i="4" s="1"/>
  <c r="J10" i="6"/>
  <c r="L10" i="6" s="1"/>
  <c r="J16" i="6"/>
  <c r="L16" i="6" s="1"/>
  <c r="H22" i="6"/>
  <c r="J11" i="5"/>
  <c r="J12" i="5" s="1"/>
  <c r="L12" i="5" s="1"/>
  <c r="J11" i="6"/>
  <c r="L11" i="6" s="1"/>
  <c r="J17" i="6"/>
  <c r="L17" i="6" s="1"/>
  <c r="J9" i="4"/>
  <c r="J15" i="4"/>
  <c r="L15" i="4" s="1"/>
  <c r="L9" i="4" l="1"/>
  <c r="J11" i="4"/>
  <c r="L11" i="4" s="1"/>
  <c r="J16" i="5"/>
  <c r="L16" i="5" s="1"/>
  <c r="L14" i="5"/>
  <c r="L12" i="3"/>
  <c r="J14" i="3"/>
  <c r="L14" i="3" s="1"/>
  <c r="J19" i="6"/>
  <c r="J19" i="3"/>
  <c r="L10" i="3"/>
  <c r="J13" i="5"/>
  <c r="L13" i="5" s="1"/>
  <c r="J18" i="5"/>
  <c r="L18" i="5" s="1"/>
  <c r="J10" i="4"/>
  <c r="L10" i="4" s="1"/>
  <c r="J16" i="4"/>
  <c r="L16" i="4" s="1"/>
  <c r="L11" i="5"/>
  <c r="J21" i="5"/>
  <c r="L21" i="5" s="1"/>
  <c r="L19" i="6" l="1"/>
  <c r="J20" i="6"/>
  <c r="J19" i="4"/>
  <c r="J22" i="5"/>
  <c r="L22" i="5" s="1"/>
  <c r="L23" i="5" s="1"/>
  <c r="L19" i="3"/>
  <c r="J20" i="3"/>
  <c r="L20" i="3" s="1"/>
  <c r="L21" i="3" l="1"/>
  <c r="L22" i="3"/>
  <c r="F31" i="5"/>
  <c r="J31" i="5" s="1"/>
  <c r="L24" i="5"/>
  <c r="L19" i="4"/>
  <c r="J20" i="4"/>
  <c r="L20" i="4" s="1"/>
  <c r="L20" i="6"/>
  <c r="J21" i="6"/>
  <c r="J22" i="6" s="1"/>
  <c r="J21" i="3"/>
  <c r="J22" i="3" s="1"/>
  <c r="L21" i="6"/>
  <c r="J23" i="5"/>
  <c r="J24" i="5" s="1"/>
  <c r="F29" i="6" l="1"/>
  <c r="J29" i="6" s="1"/>
  <c r="L22" i="6"/>
  <c r="J21" i="4"/>
  <c r="J22" i="4" s="1"/>
  <c r="L21" i="4"/>
  <c r="F32" i="5"/>
  <c r="J32" i="5" s="1"/>
  <c r="J25" i="5"/>
  <c r="L25" i="5" s="1"/>
  <c r="F33" i="5" s="1"/>
  <c r="J33" i="5" s="1"/>
  <c r="J23" i="3"/>
  <c r="L23" i="3" s="1"/>
  <c r="L24" i="3" l="1"/>
  <c r="L26" i="5"/>
  <c r="F34" i="5" s="1"/>
  <c r="J34" i="5" s="1"/>
  <c r="F29" i="4"/>
  <c r="J29" i="4" s="1"/>
  <c r="L22" i="4"/>
  <c r="J23" i="6"/>
  <c r="L23" i="6" s="1"/>
  <c r="F31" i="6" s="1"/>
  <c r="J31" i="6" s="1"/>
  <c r="F30" i="6"/>
  <c r="J30" i="6" s="1"/>
  <c r="L24" i="6"/>
  <c r="F32" i="6" s="1"/>
  <c r="J32" i="6" s="1"/>
  <c r="F30" i="4" l="1"/>
  <c r="J30" i="4" s="1"/>
  <c r="J23" i="4"/>
  <c r="L23" i="4" s="1"/>
  <c r="F31" i="4" s="1"/>
  <c r="J31" i="4" s="1"/>
  <c r="L24" i="4" l="1"/>
  <c r="F32" i="4" s="1"/>
  <c r="J32" i="4" s="1"/>
</calcChain>
</file>

<file path=xl/sharedStrings.xml><?xml version="1.0" encoding="utf-8"?>
<sst xmlns="http://schemas.openxmlformats.org/spreadsheetml/2006/main" count="3782" uniqueCount="1338">
  <si>
    <t>화성 청원지구 산업유통형 지구단위계획</t>
  </si>
  <si>
    <t>─ 도급 통합견적서 기준 실행 분리 ─</t>
  </si>
  <si>
    <t>구분</t>
  </si>
  <si>
    <t>대상 공정</t>
  </si>
  <si>
    <t>직접공사비</t>
  </si>
  <si>
    <t>간접공사비</t>
  </si>
  <si>
    <t>도급액(VAT포함)</t>
  </si>
  <si>
    <t>토목</t>
  </si>
  <si>
    <t>01. 토목(1~9공종)</t>
  </si>
  <si>
    <t>조경</t>
  </si>
  <si>
    <t>01. 조경(10.조경공)</t>
  </si>
  <si>
    <t>회전진입</t>
  </si>
  <si>
    <t>04.진입도로+07.폐기물+05.회전교차로</t>
  </si>
  <si>
    <t>지구단위</t>
  </si>
  <si>
    <t>06. 개발행위</t>
  </si>
  <si>
    <t>합 계</t>
  </si>
  <si>
    <t>공급가액 합계 : 11,348,319,479 원</t>
  </si>
  <si>
    <t>부  가  세    : 1,134,831,948 원</t>
  </si>
  <si>
    <t>도  급  액    : 12,483,151,427 원</t>
  </si>
  <si>
    <t>작성일 : 2026. 7. 9.</t>
  </si>
  <si>
    <t>※ 07. 건설폐기물은 진입도로(04) 공정에 포함</t>
  </si>
  <si>
    <t>화성 청원지구 — 대공정별 집계표 (실행)</t>
  </si>
  <si>
    <t>대공정</t>
  </si>
  <si>
    <t>재료비</t>
  </si>
  <si>
    <t>노무비</t>
  </si>
  <si>
    <t>경비</t>
  </si>
  <si>
    <t>합계(직+간)</t>
  </si>
  <si>
    <t>부가세</t>
  </si>
  <si>
    <t>도급액(합계+VAT)</t>
  </si>
  <si>
    <t>[토목 소계]</t>
  </si>
  <si>
    <t>[조경 소계]</t>
  </si>
  <si>
    <t>04. 진입도로</t>
  </si>
  <si>
    <t>07. 건설폐기물처리</t>
  </si>
  <si>
    <t>05. 회전교차로</t>
  </si>
  <si>
    <t>[회전진입 소계]</t>
  </si>
  <si>
    <t>06. 개발행위(지구단위)</t>
  </si>
  <si>
    <t>[지구단위 소계]</t>
  </si>
  <si>
    <t>총   계 (조경 포함)</t>
  </si>
  <si>
    <t>총   계 (조경 제외)</t>
  </si>
  <si>
    <t>항목</t>
  </si>
  <si>
    <t>부가가치세</t>
  </si>
  <si>
    <t>공사비 계</t>
  </si>
  <si>
    <t>화성 청원지구 산업유통형 지구단위계획 — 토목 실행내역서</t>
  </si>
  <si>
    <t>대상 공정 : 01. 토목(1~9공종)</t>
  </si>
  <si>
    <t>공종/품명</t>
  </si>
  <si>
    <t>규격</t>
  </si>
  <si>
    <t>수량</t>
  </si>
  <si>
    <t>단위</t>
  </si>
  <si>
    <t>합계</t>
  </si>
  <si>
    <t>비고</t>
  </si>
  <si>
    <t>단가</t>
  </si>
  <si>
    <t>금액</t>
  </si>
  <si>
    <t>1식</t>
  </si>
  <si>
    <t>식</t>
  </si>
  <si>
    <t>Ⅰ. 직접공사비 계</t>
  </si>
  <si>
    <t>Ⅱ. 간접공사비</t>
  </si>
  <si>
    <t>산식</t>
  </si>
  <si>
    <t>　간접노무비</t>
  </si>
  <si>
    <t>직접노무비 × 19.7%</t>
  </si>
  <si>
    <t>　산재보험료</t>
  </si>
  <si>
    <t>노무비계 × 3.56%</t>
  </si>
  <si>
    <t>　고용보험료</t>
  </si>
  <si>
    <t>노무비계 × 1.15%</t>
  </si>
  <si>
    <t>　국민건강보험료</t>
  </si>
  <si>
    <t>직접노무비 × 3.595%</t>
  </si>
  <si>
    <t>　국민연금보험료</t>
  </si>
  <si>
    <t>직접노무비 × 4.75%</t>
  </si>
  <si>
    <t>　노인장기요양보험료</t>
  </si>
  <si>
    <t>건강보험료 × 13.14%</t>
  </si>
  <si>
    <t>　산업안전보건관리비</t>
  </si>
  <si>
    <t>(재료비+직접노무비) × 2.60%</t>
  </si>
  <si>
    <t>　기타경비(공과잡비)</t>
  </si>
  <si>
    <t>(재료비+노무비계) × 6.2%</t>
  </si>
  <si>
    <t>　건설기계대여대금지급보증</t>
  </si>
  <si>
    <t>직접공사비 × 0.40%</t>
  </si>
  <si>
    <t>　환경보전비</t>
  </si>
  <si>
    <t>직접공사비 × 0.60%</t>
  </si>
  <si>
    <t>　일반관리비</t>
  </si>
  <si>
    <t>순공사원가 × 5%</t>
  </si>
  <si>
    <t>　이윤</t>
  </si>
  <si>
    <t>(노무비계+경비계+일반관리비) × 7%</t>
  </si>
  <si>
    <t>Ⅱ. 간접공사비 계</t>
  </si>
  <si>
    <t>합 계 (직접+간접)</t>
  </si>
  <si>
    <t>합계 × 10%</t>
  </si>
  <si>
    <t>공사비 계 (도급액)</t>
  </si>
  <si>
    <t>【 검산 】 파이썬 산출값과 엑셀 수식 대사</t>
  </si>
  <si>
    <t>파이썬 검산값</t>
  </si>
  <si>
    <t>엑셀 수식결과</t>
  </si>
  <si>
    <t>차이</t>
  </si>
  <si>
    <t>직접공사비 계</t>
  </si>
  <si>
    <t>간접공사비 계</t>
  </si>
  <si>
    <t>합계(직접+간접)</t>
  </si>
  <si>
    <t>【 상세 내역 】</t>
  </si>
  <si>
    <t>1. 토     공</t>
  </si>
  <si>
    <t>가. 벌목 및  벌개제근</t>
  </si>
  <si>
    <t>1). 벌목 및 벌개제근</t>
  </si>
  <si>
    <t>가). 벌목</t>
  </si>
  <si>
    <t>㎡</t>
  </si>
  <si>
    <t>나). 벌개제근</t>
  </si>
  <si>
    <t>나. 임목폐기물</t>
  </si>
  <si>
    <t>1). 임목파쇄</t>
  </si>
  <si>
    <t>가). 임목 운반</t>
  </si>
  <si>
    <t>운반거리 L=83m(현장---&gt;임목파쇄장)</t>
  </si>
  <si>
    <t>㎥</t>
  </si>
  <si>
    <t>나). 임목파쇄</t>
  </si>
  <si>
    <t>가지, 잡목류, 354.35kW</t>
  </si>
  <si>
    <t>다). 임목파쇄</t>
  </si>
  <si>
    <t>뿌리류, 354.35kW</t>
  </si>
  <si>
    <t>2). 임목폐기물 적치장</t>
  </si>
  <si>
    <t>가). PE천막지</t>
  </si>
  <si>
    <t>나). 터파기(토사)</t>
  </si>
  <si>
    <t>TYPE-1, 백호1.0, 기계100%</t>
  </si>
  <si>
    <t>다). 되메우기(토사)</t>
  </si>
  <si>
    <t>백호0.7, 기계100%</t>
  </si>
  <si>
    <t>다. 법면보호공</t>
  </si>
  <si>
    <t>1). 법면보호공</t>
  </si>
  <si>
    <t>잔디붙임(줄떼)</t>
  </si>
  <si>
    <t>2). 법면보호공</t>
  </si>
  <si>
    <t>잔디붙임(평떼)</t>
  </si>
  <si>
    <t>라. 흙깎기</t>
  </si>
  <si>
    <t>1). 토사</t>
  </si>
  <si>
    <t>가).흙깍기(기계,토사)</t>
  </si>
  <si>
    <t>중규모, 보통토사, 불도져 19ton</t>
  </si>
  <si>
    <t>나). 흙깍기(토사)</t>
  </si>
  <si>
    <t>굴삭기1.0㎥</t>
  </si>
  <si>
    <t>2). 풍화암</t>
  </si>
  <si>
    <t>가). 흙깍기(리핑암)</t>
  </si>
  <si>
    <t>불도저 32ton + 리퍼</t>
  </si>
  <si>
    <t>3). 연암</t>
  </si>
  <si>
    <t>가). 땅깍기(암석절취)</t>
  </si>
  <si>
    <t>중규모진동제어발파, 연암</t>
  </si>
  <si>
    <t>나). 땅깍기(암석절취)</t>
  </si>
  <si>
    <t>일반발파, 연암</t>
  </si>
  <si>
    <t>4). 보통암</t>
  </si>
  <si>
    <t>일반발파, 보통암</t>
  </si>
  <si>
    <t>5). 발파암 소할</t>
  </si>
  <si>
    <t>가). 발파암 소할</t>
  </si>
  <si>
    <t>30CM이상</t>
  </si>
  <si>
    <t>마. 터파기</t>
  </si>
  <si>
    <t>1). 터파기(토사)</t>
  </si>
  <si>
    <t>TYPE-1, 굴착기1.0, 기계100%</t>
  </si>
  <si>
    <t>바. 흙쌓기</t>
  </si>
  <si>
    <t>1). 비다짐</t>
  </si>
  <si>
    <t>가). 흙쌓기(토사)</t>
  </si>
  <si>
    <t>비다짐, 불도저 32톤</t>
  </si>
  <si>
    <t>나). 흙쌓기(풍화암)</t>
  </si>
  <si>
    <t>2). 노상</t>
  </si>
  <si>
    <t>가). 흙쌓기</t>
  </si>
  <si>
    <t>노상, 두께20cm, 다짐도95%이상</t>
  </si>
  <si>
    <t>3). 노체</t>
  </si>
  <si>
    <t>노체, 두께30cm, 다짐도90%이상</t>
  </si>
  <si>
    <t>4). 되메우기</t>
  </si>
  <si>
    <t>사. 흙운반</t>
  </si>
  <si>
    <t>1). 무대(1, 2차)</t>
  </si>
  <si>
    <t>가). 토사</t>
  </si>
  <si>
    <t>2). 도쟈운반</t>
  </si>
  <si>
    <t>가). 흙운반(토사)</t>
  </si>
  <si>
    <t>불도저 32톤, L=15.2m</t>
  </si>
  <si>
    <t>나). 흙운반(풍화암)</t>
  </si>
  <si>
    <t>불도저 32톤, L=19.7m</t>
  </si>
  <si>
    <t>3). 덤프운반(지구내)</t>
  </si>
  <si>
    <t>가). 흙 운반(토사)(지구내)</t>
  </si>
  <si>
    <t>굴삭기1.0㎥+덤프24톤, L=0.145Km</t>
  </si>
  <si>
    <t>4). 덤프운반</t>
  </si>
  <si>
    <t>가). 흙 운반(토사)(구조물유용)</t>
  </si>
  <si>
    <t>굴삭기1.0㎥+덤프24톤, L=0.061Km</t>
  </si>
  <si>
    <t>5). 덤프운반(외부반출)</t>
  </si>
  <si>
    <t>가). 흙 운반(토사)(진입도로)</t>
  </si>
  <si>
    <t>굴삭기1.0㎥+덤프24톤, L=0.234Km</t>
  </si>
  <si>
    <t>나). 흙 운반(토사)(야적장)</t>
  </si>
  <si>
    <t>굴삭기1.0㎥+덤프24톤, L=0.238Km</t>
  </si>
  <si>
    <t>다). 흙운반(풍화암)(야적장)</t>
  </si>
  <si>
    <t>로우더1.72㎥+덤프24톤, L=0.212Km</t>
  </si>
  <si>
    <t>라). 흙운반(연암)(야적장)</t>
  </si>
  <si>
    <t>굴삭기1.0㎥+덤프24톤, L=0.216Km</t>
  </si>
  <si>
    <t>마). 흙운반(보통암)(야적장)</t>
  </si>
  <si>
    <t>굴삭기1.0㎥+덤프24톤, L=0.226Km</t>
  </si>
  <si>
    <t>6). 덤프운반(구조물잔토)</t>
  </si>
  <si>
    <t>가). 흙 운반(토사)(지하저류조)</t>
  </si>
  <si>
    <t>굴삭기1.0㎥+덤프24톤, L=0.093Km</t>
  </si>
  <si>
    <t>아. 규준틀</t>
  </si>
  <si>
    <t>1). 목재규준틀</t>
  </si>
  <si>
    <t>비탈규준틀</t>
  </si>
  <si>
    <t>개</t>
  </si>
  <si>
    <t>2). 목재규준틀</t>
  </si>
  <si>
    <t>수평규준틀</t>
  </si>
  <si>
    <t>자. 수목이식</t>
  </si>
  <si>
    <t>1). 수목관리</t>
  </si>
  <si>
    <t>가). 교목 병해방제</t>
  </si>
  <si>
    <t>회</t>
  </si>
  <si>
    <t>나). 교목 충해방제</t>
  </si>
  <si>
    <t>다). 교목관수</t>
  </si>
  <si>
    <t>15회, 인력</t>
  </si>
  <si>
    <t>주</t>
  </si>
  <si>
    <t>라). 예초</t>
  </si>
  <si>
    <t>6회, 배부식기계사용</t>
  </si>
  <si>
    <t>100㎡</t>
  </si>
  <si>
    <t>2). 수목이식(현장---&gt;가이식장)</t>
  </si>
  <si>
    <t>가). 나무(이식)(상수리나무)</t>
  </si>
  <si>
    <t>B=27~31cm</t>
  </si>
  <si>
    <t>나). 나무(이식)(소나무)</t>
  </si>
  <si>
    <t>B=29cm</t>
  </si>
  <si>
    <t>다). 가로지지대</t>
  </si>
  <si>
    <t>B=20cm</t>
  </si>
  <si>
    <t>개소</t>
  </si>
  <si>
    <t>차. 지장물철거</t>
  </si>
  <si>
    <t>1). 콘크리트깨기</t>
  </si>
  <si>
    <t>가). 구조물헐기(철근)</t>
  </si>
  <si>
    <t>대형30CM미만</t>
  </si>
  <si>
    <t>나). 구조물헐기(무근)</t>
  </si>
  <si>
    <t>2). 폐기물상차</t>
  </si>
  <si>
    <t>가). 폐기물상차</t>
  </si>
  <si>
    <t>굴삭기 0.7㎥</t>
  </si>
  <si>
    <t>2. 우 수 공</t>
  </si>
  <si>
    <t>가. 토     공</t>
  </si>
  <si>
    <t>1). 터파기</t>
  </si>
  <si>
    <t>(1). 터파기(토사)</t>
  </si>
  <si>
    <t>(2). 터파기(토사)</t>
  </si>
  <si>
    <t>기계70%+인력30%, 보통토사</t>
  </si>
  <si>
    <t>(3). 터파기(토사)</t>
  </si>
  <si>
    <t>인력100%</t>
  </si>
  <si>
    <t>2). 되메우기</t>
  </si>
  <si>
    <t>가). 되메우기및다짐(토사)</t>
  </si>
  <si>
    <t>나). 되메우기및다짐(토사)</t>
  </si>
  <si>
    <t>기계90%,인력10%,래머 80KG</t>
  </si>
  <si>
    <t>다). 되메우기및다짐(토사)</t>
  </si>
  <si>
    <t>백호0.7+플레이트콤펙터1.5ton</t>
  </si>
  <si>
    <t>3). 잔토처리</t>
  </si>
  <si>
    <t>가). 잔토처리(토사)</t>
  </si>
  <si>
    <t>기계</t>
  </si>
  <si>
    <t>나. 관 로 공</t>
  </si>
  <si>
    <t>1). 원심력철근콘크리트관 접합 및 부설</t>
  </si>
  <si>
    <t>가). 원심력철근콘크리트관 접합및부설(소켓식)</t>
  </si>
  <si>
    <t>Ø 250mm, 시공조건 B</t>
  </si>
  <si>
    <t>m</t>
  </si>
  <si>
    <t>나). 원심력철근콘크리트관 접합및부설(소켓식)</t>
  </si>
  <si>
    <t>Ø 450mm, 시공조건 B</t>
  </si>
  <si>
    <t>다). 원심력철근콘크리트관 접합및부설(소켓식)</t>
  </si>
  <si>
    <t>Ø 600mm, 시공조건 B</t>
  </si>
  <si>
    <t>라). 원심력철근콘크리트관 접합및부설(소켓식)</t>
  </si>
  <si>
    <t>Ø 800mm, 시공조건 B</t>
  </si>
  <si>
    <t>마). 원심력철근콘크리트관 접합및부설(소켓식)</t>
  </si>
  <si>
    <t>Ø 900mm, 시공조건 B</t>
  </si>
  <si>
    <t>바). 원심력철근콘크리트관 접합및부설(소켓식)</t>
  </si>
  <si>
    <t>Ø 1000mm, 시공조건 B</t>
  </si>
  <si>
    <t>사). 원심력철근콘크리트관 접합및부설(소켓식)</t>
  </si>
  <si>
    <t>Ø 1200mm, 시공조건 B</t>
  </si>
  <si>
    <t>2). 관기초공</t>
  </si>
  <si>
    <t>가). 콘크리트기초(90°)</t>
  </si>
  <si>
    <t>(1) 콘크리트타설</t>
  </si>
  <si>
    <t>장비사용, 무근구조물</t>
  </si>
  <si>
    <t>(2) 거푸집</t>
  </si>
  <si>
    <t>합판6회(간단)</t>
  </si>
  <si>
    <t>3). 원심력철근콘크리트관 천공 및 접합</t>
  </si>
  <si>
    <t>가). 하수관 천공 및 접합</t>
  </si>
  <si>
    <t>D450X250</t>
  </si>
  <si>
    <t>나). 하수관 천공 및 접합</t>
  </si>
  <si>
    <t>D600X250</t>
  </si>
  <si>
    <t>다). 하수관 천공 및 접합</t>
  </si>
  <si>
    <t>D800X250</t>
  </si>
  <si>
    <t>라). 하수관 천공 및 접합</t>
  </si>
  <si>
    <t>D1000X250</t>
  </si>
  <si>
    <t>4). 원심력철근콘크리트관 절단</t>
  </si>
  <si>
    <t>가). 원심력철근콘크리트관 절단</t>
  </si>
  <si>
    <t>Ø 250 MM</t>
  </si>
  <si>
    <t>나). 원심력철근콘크리트관 절단</t>
  </si>
  <si>
    <t>Ø 450 MM</t>
  </si>
  <si>
    <t>다). 원심력철근콘크리트관 절단</t>
  </si>
  <si>
    <t>Ø 600 MM</t>
  </si>
  <si>
    <t>라). 원심력철근콘크리트관 절단</t>
  </si>
  <si>
    <t>Ø 800 MM</t>
  </si>
  <si>
    <t>마). 원심력철근콘크리트관 절단</t>
  </si>
  <si>
    <t>Ø 900 MM</t>
  </si>
  <si>
    <t>바). 원심력철근콘크리트관 절단</t>
  </si>
  <si>
    <t>Ø 1000 MM</t>
  </si>
  <si>
    <t>사). 원심력철근콘크리트관 절단</t>
  </si>
  <si>
    <t>Ø 1200 MM</t>
  </si>
  <si>
    <t>5). 관거내부조사 및 경고용테이프</t>
  </si>
  <si>
    <t>가). 하수관내CCTV조사</t>
  </si>
  <si>
    <t>신설(1일:520m)</t>
  </si>
  <si>
    <t>나). 관로경고용테이프</t>
  </si>
  <si>
    <t>200mmx1m</t>
  </si>
  <si>
    <t>다). 하수관 준설</t>
  </si>
  <si>
    <t>흡입식</t>
  </si>
  <si>
    <t>다. 우수맨홀</t>
  </si>
  <si>
    <t>1). 원형맨홀</t>
  </si>
  <si>
    <t>가). 우수 원형1호 맨홀</t>
  </si>
  <si>
    <t>D900, H=2.54m, 차도</t>
  </si>
  <si>
    <t>나). 우수 원형1호 맨홀</t>
  </si>
  <si>
    <t>D900, H=4.59m, 보도</t>
  </si>
  <si>
    <t>다). 우수 원형2호 맨홀</t>
  </si>
  <si>
    <t>D1200, H=2.77m, 차도</t>
  </si>
  <si>
    <t>2). 각형맨홀</t>
  </si>
  <si>
    <t>가). 우수 각형2호 맨홀</t>
  </si>
  <si>
    <t>1200X1200, H=3.20m, 차도</t>
  </si>
  <si>
    <t>나). 우수 각형2호 맨홀</t>
  </si>
  <si>
    <t>1200X1200, H=4.03m, 보도</t>
  </si>
  <si>
    <t>다). 우수 각형3호 맨홀</t>
  </si>
  <si>
    <t>1400X1200, H=4.22m, 차도</t>
  </si>
  <si>
    <t>라). 우수 각형3호 맨홀</t>
  </si>
  <si>
    <t>1400X1200, H=4.67m, 보도</t>
  </si>
  <si>
    <t>마). 우수 각형4호 맨홀</t>
  </si>
  <si>
    <t>1500X1500, H=4.56m, 차도</t>
  </si>
  <si>
    <t>바). 암거 맨홀</t>
  </si>
  <si>
    <t>900X900, H=3.67, 차도</t>
  </si>
  <si>
    <t>3). 맨홀접합부</t>
  </si>
  <si>
    <t>가). 무수축몰탈</t>
  </si>
  <si>
    <t>1:1, 자재비별산</t>
  </si>
  <si>
    <t>나). 수팽창지수재</t>
  </si>
  <si>
    <t>20x10mm</t>
  </si>
  <si>
    <t>라. 빗물받이</t>
  </si>
  <si>
    <t>1). 1호 우수받이</t>
  </si>
  <si>
    <t>가). 1호 우수받이</t>
  </si>
  <si>
    <t>0.3×0.4×0.9m, 스틸그레이팅포함</t>
  </si>
  <si>
    <t>마. PC암거</t>
  </si>
  <si>
    <t>1). PC암거 설치</t>
  </si>
  <si>
    <t>가). PC BOX</t>
  </si>
  <si>
    <t>1@2.0X1.5, 토피 H=1.0m이하</t>
  </si>
  <si>
    <t>나). PC BOX</t>
  </si>
  <si>
    <t>1@2.0X1.5, 토피 H=4.0m미만</t>
  </si>
  <si>
    <t>다). PC BOX</t>
  </si>
  <si>
    <t>1@2.0X1.8, 토피 H=1.0m이하</t>
  </si>
  <si>
    <t>라). PC BOX</t>
  </si>
  <si>
    <t>1@2.0X1.8, 토피 H=4.0m미만</t>
  </si>
  <si>
    <t>2). 기초부</t>
  </si>
  <si>
    <t>가). 콘크리트타설</t>
  </si>
  <si>
    <t>나). 거푸집</t>
  </si>
  <si>
    <t>3). 낙차부</t>
  </si>
  <si>
    <t>바. 집수정</t>
  </si>
  <si>
    <t>1). 집수정</t>
  </si>
  <si>
    <t>0.9x0.9, H=2.38m, 스틸그레이팅</t>
  </si>
  <si>
    <t>사. U형측구</t>
  </si>
  <si>
    <t>1). U형측구</t>
  </si>
  <si>
    <t>300×300, 스틸그레이팅</t>
  </si>
  <si>
    <t>2). 생태측구(U형측구)</t>
  </si>
  <si>
    <t>300×300</t>
  </si>
  <si>
    <t>아. 산마루측구</t>
  </si>
  <si>
    <t>1). 산마루측구</t>
  </si>
  <si>
    <t>500×500, H=450</t>
  </si>
  <si>
    <t>2). 생태측구(산마루측구)</t>
  </si>
  <si>
    <t>500×500</t>
  </si>
  <si>
    <t>자. 비점오염처리시설</t>
  </si>
  <si>
    <t>가). 비점오염저감시설(A유역)</t>
  </si>
  <si>
    <t>WQF=158.2 (m3/hr/Unit), 여과형</t>
  </si>
  <si>
    <t>1). 초기우수처리시설</t>
  </si>
  <si>
    <t>2). 웨어 및 부대공</t>
  </si>
  <si>
    <t>가). 레디믹스콘크리트타설</t>
  </si>
  <si>
    <t>장비사용, 철근구조물</t>
  </si>
  <si>
    <t>나). 레디믹스콘크리트타설</t>
  </si>
  <si>
    <t>다). 거푸집</t>
  </si>
  <si>
    <t>라). 모래부설</t>
  </si>
  <si>
    <t>기초, 인력</t>
  </si>
  <si>
    <t>마). 잡석부설</t>
  </si>
  <si>
    <t>잡석지정, 재료비 제외, 150mm이하</t>
  </si>
  <si>
    <t>바). 구조물헐기(철근)</t>
  </si>
  <si>
    <t>사). 몰탈</t>
  </si>
  <si>
    <t>1:2, 재료비제외</t>
  </si>
  <si>
    <t>아). 앵커볼트 설치</t>
  </si>
  <si>
    <t>케미컬앵커, Ø20mm, 300mm</t>
  </si>
  <si>
    <t>자). 고강성 PVC 이중벽관 접합 및 부설</t>
  </si>
  <si>
    <t>D300mm</t>
  </si>
  <si>
    <t>차). 고강성 PVC 이중벽관 절단</t>
  </si>
  <si>
    <t>카). 스테인리스관 접합및부설</t>
  </si>
  <si>
    <t>D=50mm</t>
  </si>
  <si>
    <t>타). 스테인리스관 나사 접합</t>
  </si>
  <si>
    <t>파). 스테인레스강관</t>
  </si>
  <si>
    <t>D50</t>
  </si>
  <si>
    <t>하). 스테인레스 90도 엘보</t>
  </si>
  <si>
    <t>ea</t>
  </si>
  <si>
    <t>갸). 고강성PVC이중벽관</t>
  </si>
  <si>
    <t>D300mm, 직관</t>
  </si>
  <si>
    <t>본</t>
  </si>
  <si>
    <t>냐). 고강성PVC이중벽관 이음관</t>
  </si>
  <si>
    <t>D300mm, 소켓, 고무링</t>
  </si>
  <si>
    <t>set</t>
  </si>
  <si>
    <t>차. 주요자재 구입 및 운반</t>
  </si>
  <si>
    <t>1). 시멘트</t>
  </si>
  <si>
    <t>가). 보통시멘트</t>
  </si>
  <si>
    <t>40kg/대 (포장품)</t>
  </si>
  <si>
    <t>대</t>
  </si>
  <si>
    <t>나). 무수축시멘트</t>
  </si>
  <si>
    <t>25kg/대 (포장품)</t>
  </si>
  <si>
    <t>다). 시멘트운반</t>
  </si>
  <si>
    <t>L=30km이내</t>
  </si>
  <si>
    <t>2). 골재</t>
  </si>
  <si>
    <t>가). 모래</t>
  </si>
  <si>
    <t>강모래, 현장도착도</t>
  </si>
  <si>
    <t>나). 쇄석자갈</t>
  </si>
  <si>
    <t>Φ25mm, 현장도착도</t>
  </si>
  <si>
    <t>다). 잡석</t>
  </si>
  <si>
    <t>Φ150mm이하, 현장도착도</t>
  </si>
  <si>
    <t>3). 철근</t>
  </si>
  <si>
    <t>가). 이형철근</t>
  </si>
  <si>
    <t>D13M/M   0.995KG/M  SD30A</t>
  </si>
  <si>
    <t>Ton</t>
  </si>
  <si>
    <t>나). 이형철근(고장력철근)</t>
  </si>
  <si>
    <t>HD13M/M   0.995KG/M  SD35,40</t>
  </si>
  <si>
    <t>다). 이형철근(고장력철근)</t>
  </si>
  <si>
    <t>HD16M/M   1.560KG/M  SD35,40</t>
  </si>
  <si>
    <t>라). 이형철근(고장력철근)</t>
  </si>
  <si>
    <t>HD19M/M   2.250KG/M  SD35,40</t>
  </si>
  <si>
    <t>마). 철근운반비</t>
  </si>
  <si>
    <t>L=10km이내</t>
  </si>
  <si>
    <t>바). 고철(고재)</t>
  </si>
  <si>
    <t>중량A</t>
  </si>
  <si>
    <t>4). 레미콘</t>
  </si>
  <si>
    <t>가). 레미콘</t>
  </si>
  <si>
    <t>25-21- 8(Mpa)</t>
  </si>
  <si>
    <t>나). 레미콘</t>
  </si>
  <si>
    <t>25-18-8(Mpa)</t>
  </si>
  <si>
    <t>5). 원심력철근콘크리트관</t>
  </si>
  <si>
    <t>가). 원심력철근콘크리트관(보통2종)</t>
  </si>
  <si>
    <t>250㎜ (소켓식,B형)</t>
  </si>
  <si>
    <t>ｍ</t>
  </si>
  <si>
    <t>나). 원심력철근콘크리트관(보통2종)</t>
  </si>
  <si>
    <t>450㎜ (소켓식,B형)</t>
  </si>
  <si>
    <t>다). 원심력철근콘크리트관(보통2종)</t>
  </si>
  <si>
    <t>600㎜ (소켓식,B형)</t>
  </si>
  <si>
    <t>라). 원심력철근콘크리트관(보통2종)</t>
  </si>
  <si>
    <t>800㎜ (소켓식,B형)</t>
  </si>
  <si>
    <t>마). 원심력철근콘크리트관(보통2종)</t>
  </si>
  <si>
    <t>900㎜ (소켓식,B형)</t>
  </si>
  <si>
    <t>바). 원심력철근콘크리트관(보통2종)</t>
  </si>
  <si>
    <t>1000㎜ (소켓식,B형)</t>
  </si>
  <si>
    <t>사). 원심력철근콘크리트관(보통2종)</t>
  </si>
  <si>
    <t>1200㎜ (소켓식,B형)</t>
  </si>
  <si>
    <t>아). 흄관하차비</t>
  </si>
  <si>
    <t>Ø 250 MM - 차상도</t>
  </si>
  <si>
    <t>자). 흄관하차비</t>
  </si>
  <si>
    <t>Ø 450 MM - 차상도</t>
  </si>
  <si>
    <t>차). 흄관하차비</t>
  </si>
  <si>
    <t>Ø 600 MM - 차상도</t>
  </si>
  <si>
    <t>카). 흄관하차비</t>
  </si>
  <si>
    <t>Ø 800 MM - 차상도</t>
  </si>
  <si>
    <t>타). 흄관하차비</t>
  </si>
  <si>
    <t>Ø 900 MM - 차상도</t>
  </si>
  <si>
    <t>파). 흄관하차비</t>
  </si>
  <si>
    <t>Ø 1000 MM - 차상도</t>
  </si>
  <si>
    <t>하). 흄관하차비</t>
  </si>
  <si>
    <t>Ø 1200 MM - 차상도</t>
  </si>
  <si>
    <t>6). 맨홀뚜껑</t>
  </si>
  <si>
    <t>가). 맨홀뚜껑(주철제)</t>
  </si>
  <si>
    <t>Φ648KS, 하수도용(잠금식)</t>
  </si>
  <si>
    <t>조</t>
  </si>
  <si>
    <t>3. 오 수 공</t>
  </si>
  <si>
    <t>가. 토공사</t>
  </si>
  <si>
    <t>기계90%+인력10%, 보통토사</t>
  </si>
  <si>
    <t>가). 되메우기 및 다짐(토사)</t>
  </si>
  <si>
    <t>기계100%</t>
  </si>
  <si>
    <t>나. 관로공</t>
  </si>
  <si>
    <t>1). 고강성 PVC 이중벽관 부설 및 접합</t>
  </si>
  <si>
    <t>가). 고강성 PVC 이중벽관 접합 및 부설</t>
  </si>
  <si>
    <t>D150mm, 시공조건B</t>
  </si>
  <si>
    <t>나). 고강성 PVC 이중벽관 접합 및 부설</t>
  </si>
  <si>
    <t>D300mm, 시공조건B</t>
  </si>
  <si>
    <t>2). 고강성 PVC 이중벽관 절단</t>
  </si>
  <si>
    <t>가). 고강성 PVC 이중벽관 절단</t>
  </si>
  <si>
    <t>D150mm</t>
  </si>
  <si>
    <t>나). 고강성 PVC 이중벽관 절단</t>
  </si>
  <si>
    <t>3). 관기초</t>
  </si>
  <si>
    <t>가). 모래부설</t>
  </si>
  <si>
    <t>관기초, 인력</t>
  </si>
  <si>
    <t>다. 오수맨홀</t>
  </si>
  <si>
    <t>1). 원형 1호맨홀</t>
  </si>
  <si>
    <t>가). 원형1호 맨홀</t>
  </si>
  <si>
    <t>H=2.63m, 차도</t>
  </si>
  <si>
    <t>2). 맨홀접속부 지수단관</t>
  </si>
  <si>
    <t>가). 고강성 PVC이중벽 지수단관</t>
  </si>
  <si>
    <t>나). 고강성 PVC이중벽 지수단관</t>
  </si>
  <si>
    <t>3). 맨홀접속부 몰탈마감</t>
  </si>
  <si>
    <t>가). 맨홀이음부 몰탈</t>
  </si>
  <si>
    <t>D150, 몰탈 1:2</t>
  </si>
  <si>
    <t>나). 맨홀이음부 몰탈</t>
  </si>
  <si>
    <t>D300, 몰탈 1:2</t>
  </si>
  <si>
    <t>4). 부관맨홀</t>
  </si>
  <si>
    <t>합판4회(보통)</t>
  </si>
  <si>
    <t>다). 고강성 PVC 이중벽관 접합 및 부설</t>
  </si>
  <si>
    <t>D200mm, 시공조건B</t>
  </si>
  <si>
    <t>라). 고강성 PVC 이중벽관 접합 및 부설</t>
  </si>
  <si>
    <t>마). 고강성 PVC 이중벽관 절단</t>
  </si>
  <si>
    <t>D200mm</t>
  </si>
  <si>
    <t>바). 고강성 PVC 이중벽관 절단</t>
  </si>
  <si>
    <t>사). 고강성 PVC 이중벽관 이형관 접합</t>
  </si>
  <si>
    <t>아). 고강성 PVC 이중벽관 이형관 접합</t>
  </si>
  <si>
    <t>자). 고강성PVC이중벽관 이경티</t>
  </si>
  <si>
    <t>D300xD200</t>
  </si>
  <si>
    <t>차). 고강성PVC이중벽관 90 엘보</t>
  </si>
  <si>
    <t>D200</t>
  </si>
  <si>
    <t>마. 부대공</t>
  </si>
  <si>
    <t>1). 하수관내CCTV조사</t>
  </si>
  <si>
    <t>2). 관로경고용테이프설치</t>
  </si>
  <si>
    <t>3). 하수관 공기압시험</t>
  </si>
  <si>
    <t>4). 표식</t>
  </si>
  <si>
    <t>가). 분기관 표식설치</t>
  </si>
  <si>
    <t>ELP D80,L=1.5M</t>
  </si>
  <si>
    <t>나). 분기관표시못 설치</t>
  </si>
  <si>
    <t>D80X110</t>
  </si>
  <si>
    <t>다). 마개</t>
  </si>
  <si>
    <t>150㎜, 파상형경질PE전선관용</t>
  </si>
  <si>
    <t>바. 주요자재 구입 및 운반</t>
  </si>
  <si>
    <t>나). 시멘트운반</t>
  </si>
  <si>
    <t>나). 이형철근</t>
  </si>
  <si>
    <t>D16M/M   1.560KG/M  SD30A</t>
  </si>
  <si>
    <t>다). 철근운반비</t>
  </si>
  <si>
    <t>라). 고철(고재)</t>
  </si>
  <si>
    <t>5). 고강성 PVC 이중벽관</t>
  </si>
  <si>
    <t>가). 고강성PVC이중벽관</t>
  </si>
  <si>
    <t>D150mm, 직관</t>
  </si>
  <si>
    <t>나). 고강성PVC이중벽관</t>
  </si>
  <si>
    <t>D200mm, 직관</t>
  </si>
  <si>
    <t>다). 고강성PVC이중벽관</t>
  </si>
  <si>
    <t>4. 상 수 공</t>
  </si>
  <si>
    <t>나). 되메우기 및 다짐(토사)</t>
  </si>
  <si>
    <t>나. 관로</t>
  </si>
  <si>
    <t>1). 주철관 접합 및 부설</t>
  </si>
  <si>
    <t>가). 주철관 부설 및 접합(KP접합)</t>
  </si>
  <si>
    <t>D100mm, 시공조건 B</t>
  </si>
  <si>
    <t>나). 주철관 부설 및 접합(KP접합)</t>
  </si>
  <si>
    <t>D150mm, 시공조건 B</t>
  </si>
  <si>
    <t>2). 주철관 이형관 접합</t>
  </si>
  <si>
    <t>가). 주철 이형관 접합(KP접합)</t>
  </si>
  <si>
    <t>D100mm</t>
  </si>
  <si>
    <t>나). 주철 이형관 접합(KP접합)</t>
  </si>
  <si>
    <t>다). 주철 이형관 접합(이탈방지압륜)</t>
  </si>
  <si>
    <t>라). 주철 이형관 접합(이탈방지압륜)</t>
  </si>
  <si>
    <t>3). 플랜지 접합</t>
  </si>
  <si>
    <t>가). 플랜지 접합</t>
  </si>
  <si>
    <t>나). 플랜지 접합</t>
  </si>
  <si>
    <t>4). 주철관 절단</t>
  </si>
  <si>
    <t>가). 주철관 절단</t>
  </si>
  <si>
    <t>나). 주철관 절단</t>
  </si>
  <si>
    <t>5). STS관 부설 및 접합</t>
  </si>
  <si>
    <t>가). 스테인리스관 접합및부설</t>
  </si>
  <si>
    <t>D=25mm</t>
  </si>
  <si>
    <t>나). 스테인리스관 접합및부설</t>
  </si>
  <si>
    <t>6). STS관 이형관 접합</t>
  </si>
  <si>
    <t>가). 스테인리스관 나사 접합</t>
  </si>
  <si>
    <t>나). 스테인리스관 나사 접합</t>
  </si>
  <si>
    <t>다). 스테인리스관 슬립인조인트 접합</t>
  </si>
  <si>
    <t>라). 스테인리스관 슬립인조인트 접합</t>
  </si>
  <si>
    <t>7). STS관 절단</t>
  </si>
  <si>
    <t>가). 스테인리스관 절단</t>
  </si>
  <si>
    <t>나). 스테인리스관 절단</t>
  </si>
  <si>
    <t>8). 분기관접합</t>
  </si>
  <si>
    <t>가). 새들붙이분수전(단수천공)</t>
  </si>
  <si>
    <t>D100mmX25mm</t>
  </si>
  <si>
    <t>나). 새들붙이분수전(단수천공)</t>
  </si>
  <si>
    <t>D150mmX25mm</t>
  </si>
  <si>
    <t>다). 새들붙이분수전(단수천공)</t>
  </si>
  <si>
    <t>D150mmX50mm</t>
  </si>
  <si>
    <t>다. 밸브 부설 및 접합</t>
  </si>
  <si>
    <t>1). 청동밸브</t>
  </si>
  <si>
    <t>가). 게이트밸브 설치</t>
  </si>
  <si>
    <t>D=25mm, 청동</t>
  </si>
  <si>
    <t>나). 게이트밸브 설치</t>
  </si>
  <si>
    <t>D=50mm, 청동</t>
  </si>
  <si>
    <t>2). 제수밸브</t>
  </si>
  <si>
    <t>가). 제수변 접합 및 부설</t>
  </si>
  <si>
    <t>100㎜</t>
  </si>
  <si>
    <t>나). 제수변 접합 및 부설</t>
  </si>
  <si>
    <t>150㎜</t>
  </si>
  <si>
    <t>3). 공기밸브</t>
  </si>
  <si>
    <t>가). 공기밸브 접합 및 부설</t>
  </si>
  <si>
    <t>4). 소화전</t>
  </si>
  <si>
    <t>가). 지상식소화전</t>
  </si>
  <si>
    <t>쌍구, D100mm</t>
  </si>
  <si>
    <t>나). 소화전보호틀</t>
  </si>
  <si>
    <t>600x600x750xø76A, Steel</t>
  </si>
  <si>
    <t>다). 주정차금지(문구)</t>
  </si>
  <si>
    <t>(1). 차선도색(융착식,수동식),신설구간</t>
  </si>
  <si>
    <t>문자,기호, 백색</t>
  </si>
  <si>
    <t>(2). 차선도색(융착식,수동식),신설구간</t>
  </si>
  <si>
    <t>문자,기호, 적색</t>
  </si>
  <si>
    <t>라). 소화용수표지판</t>
  </si>
  <si>
    <t>원형</t>
  </si>
  <si>
    <t>5). 유량계</t>
  </si>
  <si>
    <t>가). 초음파유량계설치</t>
  </si>
  <si>
    <t>D150mm, TM/TC포함</t>
  </si>
  <si>
    <t>라. 변실</t>
  </si>
  <si>
    <t>1). 제수변실</t>
  </si>
  <si>
    <t>가). 제수변실</t>
  </si>
  <si>
    <t>2.50×2.00</t>
  </si>
  <si>
    <t>나). 원형제수변실(D100mm)</t>
  </si>
  <si>
    <t>D800, 흄관</t>
  </si>
  <si>
    <t>다). 원형제수변실(D150mm)</t>
  </si>
  <si>
    <t>2). 공기변실</t>
  </si>
  <si>
    <t>가). 공기변실</t>
  </si>
  <si>
    <t>1.20×1.20</t>
  </si>
  <si>
    <t>3). 이토변실</t>
  </si>
  <si>
    <t>가). 이토변실</t>
  </si>
  <si>
    <t>4). 유량계실</t>
  </si>
  <si>
    <t>가). 유량계실</t>
  </si>
  <si>
    <t>3.00×1.80</t>
  </si>
  <si>
    <t>5). 기타</t>
  </si>
  <si>
    <t>가). 지수전 보호통</t>
  </si>
  <si>
    <t>(1). 지수전 보호통</t>
  </si>
  <si>
    <t>D25mm</t>
  </si>
  <si>
    <t>(2). 지수전 보호통</t>
  </si>
  <si>
    <t>D50mm</t>
  </si>
  <si>
    <t>나). 제수변 보호통</t>
  </si>
  <si>
    <t>(1). 제수변보호통설치</t>
  </si>
  <si>
    <t>(2). 제수변보호통설치</t>
  </si>
  <si>
    <t>1). 표식</t>
  </si>
  <si>
    <t>다). 관로경고용테이프</t>
  </si>
  <si>
    <t>2). 통수시험</t>
  </si>
  <si>
    <t>가). 통수시험</t>
  </si>
  <si>
    <t>나). 물사용량</t>
  </si>
  <si>
    <t>일반용</t>
  </si>
  <si>
    <t>3). 수압시험</t>
  </si>
  <si>
    <t>가). 수압시험비</t>
  </si>
  <si>
    <t>나). 수압시험비</t>
  </si>
  <si>
    <t>1). 레미콘</t>
  </si>
  <si>
    <t>25-21-12(Mpa)</t>
  </si>
  <si>
    <t>다). 레미콘</t>
  </si>
  <si>
    <t>2). 철근</t>
  </si>
  <si>
    <t>3). 시멘트</t>
  </si>
  <si>
    <t>4). 골재</t>
  </si>
  <si>
    <t>다). 쇄석자갈</t>
  </si>
  <si>
    <t>Φ40mm, 현장도착도</t>
  </si>
  <si>
    <t>라). 잡석</t>
  </si>
  <si>
    <t>Φ50mm, 현장도착도</t>
  </si>
  <si>
    <t>마). 잡석</t>
  </si>
  <si>
    <t>5). 주철관</t>
  </si>
  <si>
    <t>가). 수도용닥타일주철관(직관)</t>
  </si>
  <si>
    <t>100㎜  x 5ｍ (KP시멘트,2종)</t>
  </si>
  <si>
    <t>나). 수도용닥타일주철관(직관)</t>
  </si>
  <si>
    <t>150㎜  x 6ｍ (KP시멘트,2종)</t>
  </si>
  <si>
    <t>다). 수도용닥타일이형관</t>
  </si>
  <si>
    <t>시멘트라이닝</t>
  </si>
  <si>
    <t>kg</t>
  </si>
  <si>
    <t>라). 주철관운반비</t>
  </si>
  <si>
    <t>공장---&gt;현장, L=160KM</t>
  </si>
  <si>
    <t>ton</t>
  </si>
  <si>
    <t>6). 스테인리스강관</t>
  </si>
  <si>
    <t>가). 스테인레스강관</t>
  </si>
  <si>
    <t>D25</t>
  </si>
  <si>
    <t>나). 스테인레스강관</t>
  </si>
  <si>
    <t>다). 분수전연결용주름마디강관(STS)</t>
  </si>
  <si>
    <t>D25 × 1.0</t>
  </si>
  <si>
    <t>라). 분수전연결용주름마디강관(STS)</t>
  </si>
  <si>
    <t>D50 × 1.0</t>
  </si>
  <si>
    <t>마). 밸브소켓(슬립인조인트)</t>
  </si>
  <si>
    <t>바). 밸브소켓(슬립인조인트)</t>
  </si>
  <si>
    <t>사). 연결유니온</t>
  </si>
  <si>
    <t>아). 연결유니온</t>
  </si>
  <si>
    <t>자). 프러그(슬립인조인트)</t>
  </si>
  <si>
    <t>차). 프러그(슬립인조인트)</t>
  </si>
  <si>
    <t>7). 제수밸브</t>
  </si>
  <si>
    <t>가). 소프트실제수밸브</t>
  </si>
  <si>
    <t>나). 소프트실제수밸브</t>
  </si>
  <si>
    <t>다). 급속공기밸브(수도용)</t>
  </si>
  <si>
    <t>100A</t>
  </si>
  <si>
    <t>8). 맨홀뚜껑</t>
  </si>
  <si>
    <t>Φ648x250, KS, 상수도용</t>
  </si>
  <si>
    <t>5. 포 장 공</t>
  </si>
  <si>
    <t>가). 구조물터파기(토사)</t>
  </si>
  <si>
    <t>기계90%+인력10%,래머 80KG</t>
  </si>
  <si>
    <t>나. 아스콘포장</t>
  </si>
  <si>
    <t>1). 아스팔트 표층 기계포설(대형장비)</t>
  </si>
  <si>
    <t>3.0m≤B, T=5cm</t>
  </si>
  <si>
    <t>2). 아스팔트 중간층 기계포설(대형장비)</t>
  </si>
  <si>
    <t>3). 아스팔트 기층 기계포설(대형장비)</t>
  </si>
  <si>
    <t>3.0m≤B, T=15cm, 2회</t>
  </si>
  <si>
    <t>4). 텍코팅(기계식)</t>
  </si>
  <si>
    <t>RSC-4:45ℓ/a, 2회</t>
  </si>
  <si>
    <t>5). 텍코팅(기계식)</t>
  </si>
  <si>
    <t>RSC-4:45ℓ/a</t>
  </si>
  <si>
    <t>6). 프라임코팅(기계식)</t>
  </si>
  <si>
    <t>RSC-3:150ℓ/a</t>
  </si>
  <si>
    <t>7). 보조기층(기계시공)</t>
  </si>
  <si>
    <t>본선포장, T=20cm</t>
  </si>
  <si>
    <t>다. 보도포장</t>
  </si>
  <si>
    <t>1). 보도포장(투수)</t>
  </si>
  <si>
    <t>가). 보도용블럭포장(소형)</t>
  </si>
  <si>
    <t>A-TYPE, T=8㎝이하</t>
  </si>
  <si>
    <t>나). 보조기층(인력식)</t>
  </si>
  <si>
    <t>소규모장비</t>
  </si>
  <si>
    <t>라. 장애자용블럭포장</t>
  </si>
  <si>
    <t>1). 보도포장(장애인용블럭)</t>
  </si>
  <si>
    <t>가). 보도용블럭포장(유도블록)</t>
  </si>
  <si>
    <t>A-TYPE, T=6㎝이하</t>
  </si>
  <si>
    <t>나). 보도용블럭포장(점자블록)</t>
  </si>
  <si>
    <t>다). 보조기층(인력식)</t>
  </si>
  <si>
    <t>T=10cm, 소규모장비</t>
  </si>
  <si>
    <t>마. 미끄럼방지포장</t>
  </si>
  <si>
    <t>1). 미끄럼방지공</t>
  </si>
  <si>
    <t>전면식</t>
  </si>
  <si>
    <t>바. 과속방지턱</t>
  </si>
  <si>
    <t>3.0m≤B, T=10cm</t>
  </si>
  <si>
    <t>2). 텍코팅(기계식)</t>
  </si>
  <si>
    <t>3). 차선도색(융착식,수동식),신설구간</t>
  </si>
  <si>
    <t>백색-실선</t>
  </si>
  <si>
    <t>4). 차선도색(융착식,수동식),신설구간</t>
  </si>
  <si>
    <t>황색-실선</t>
  </si>
  <si>
    <t>5). 차선도색(차로밑그림),신설구간</t>
  </si>
  <si>
    <t>실선</t>
  </si>
  <si>
    <t>사. 고원식횡단보도</t>
  </si>
  <si>
    <t>3). 미끄럼방지공</t>
  </si>
  <si>
    <t>횡단보도,주차장</t>
  </si>
  <si>
    <t>5). 차선도색(융착식,수동식),신설구간</t>
  </si>
  <si>
    <t>문자,기호</t>
  </si>
  <si>
    <t>6). 차선도색(차로밑그림),신설구간</t>
  </si>
  <si>
    <t>7). 차선도색(차로밑그림),신설구간</t>
  </si>
  <si>
    <t>아. 경계석설치</t>
  </si>
  <si>
    <t>1). 보차도경계석(화강석)</t>
  </si>
  <si>
    <t>가). 보차도경계석 설치</t>
  </si>
  <si>
    <t>180×200×1000, A-TYPE(직선구간)</t>
  </si>
  <si>
    <t>나). 보차도경계석 설치</t>
  </si>
  <si>
    <t>180×200×1000, A-TYPE(곡선구간)</t>
  </si>
  <si>
    <t>다). 보차도경계석 설치(경사)</t>
  </si>
  <si>
    <t>180×200~100×1000, A-TYPE(곡선구간)</t>
  </si>
  <si>
    <t>라). 보차도경계석 설치(낮춤)</t>
  </si>
  <si>
    <t>180×100×1000, A-TYPE(곡선구간)</t>
  </si>
  <si>
    <t>2). 도로경계석(화강석)</t>
  </si>
  <si>
    <t>가). 도로경계석 설치</t>
  </si>
  <si>
    <t>120×120×1000, A-TYPE(직선구간)</t>
  </si>
  <si>
    <t>자. 교통시설공</t>
  </si>
  <si>
    <t>1). 교통안전표지판</t>
  </si>
  <si>
    <t>가). 교통안전표지판(삼각)(과속방지턱)</t>
  </si>
  <si>
    <t>1변 900 MM</t>
  </si>
  <si>
    <t>나). 교통안전표지판(오각)(횡단보도)</t>
  </si>
  <si>
    <t>600×200×600mm, 횡단보도</t>
  </si>
  <si>
    <t>다). 교통안전표지판(오각+삼각)(횡단보도+과속방지턱)</t>
  </si>
  <si>
    <t>1변 900mm+1변 900mm,600×200×600mm</t>
  </si>
  <si>
    <t>라). 교통안전표지판(사각)(주차장)</t>
  </si>
  <si>
    <t>600mmx600mm</t>
  </si>
  <si>
    <t>마). 교통안전표지판(삼각)(오르막경사)</t>
  </si>
  <si>
    <t>바). 교통안전표지판(삼각)(내리막경사)</t>
  </si>
  <si>
    <t>사). 교통안전표지판(삼각+삼각)(우로굽은도로+과속방지턱)</t>
  </si>
  <si>
    <t>1변 900 MM+1변 900 MM</t>
  </si>
  <si>
    <t>아). 교통안전표지판(오각+삼각)(횡단보도+좌로굽은도로)</t>
  </si>
  <si>
    <t>자). 갈매기표지판</t>
  </si>
  <si>
    <t>AL 450×600</t>
  </si>
  <si>
    <t>2). 노면표시</t>
  </si>
  <si>
    <t>가). 차선도색(페인트,기계식),신설구간</t>
  </si>
  <si>
    <t>나). 차선도색(페인트,기계식),신설구간</t>
  </si>
  <si>
    <t>다). 차선도색(페인트,기계식),신설구간</t>
  </si>
  <si>
    <t>백색-파선</t>
  </si>
  <si>
    <t>라). 차선도색(융착식,수동식),신설구간</t>
  </si>
  <si>
    <t>마). 차선도색(융착식,수동식),신설구간</t>
  </si>
  <si>
    <t>바). 차선도색(차로밑그림),신설구간</t>
  </si>
  <si>
    <t>사). 차선도색(차로밑그림),신설구간</t>
  </si>
  <si>
    <t>파선</t>
  </si>
  <si>
    <t>아). 차선도색(차로밑그림),신설구간</t>
  </si>
  <si>
    <t>자). 차선도색(차로밑그림),신설구간</t>
  </si>
  <si>
    <t>3). 부대공</t>
  </si>
  <si>
    <t>가). 도로표지병설치</t>
  </si>
  <si>
    <t>양면</t>
  </si>
  <si>
    <t>나). 도로반사경(1면)</t>
  </si>
  <si>
    <t>Ø 800 mm, STS</t>
  </si>
  <si>
    <t>다). 탄성볼라드</t>
  </si>
  <si>
    <t>Ø130×1,050mm</t>
  </si>
  <si>
    <t>라). 시멘트운반</t>
  </si>
  <si>
    <t>차. 주요자재 구입</t>
  </si>
  <si>
    <t>2). 레미콘</t>
  </si>
  <si>
    <t>25-18- 8(Mpa)</t>
  </si>
  <si>
    <t>3). 보통시멘트</t>
  </si>
  <si>
    <t>4). 모래</t>
  </si>
  <si>
    <t>5). 혼합골재(보조기층용)</t>
  </si>
  <si>
    <t>6). 혼합골재(보조기층용)</t>
  </si>
  <si>
    <t>Φ80mm이하, 현장도착도</t>
  </si>
  <si>
    <t>7). 혼합골재(보조기층용)(순환골재)</t>
  </si>
  <si>
    <t>8). 아스팔트(유제)</t>
  </si>
  <si>
    <t>RS(C)-3 (200ℓ)</t>
  </si>
  <si>
    <t>D/M</t>
  </si>
  <si>
    <t>9). 아스팔트(유제)</t>
  </si>
  <si>
    <t>RS(C)-4 (200ℓ)</t>
  </si>
  <si>
    <t>10). 아스팔트콘크리트</t>
  </si>
  <si>
    <t>#78  표층용</t>
  </si>
  <si>
    <t>11). 아스팔트콘크리트</t>
  </si>
  <si>
    <t>#67  중간층용</t>
  </si>
  <si>
    <t>12). 아스팔트콘크리트</t>
  </si>
  <si>
    <t>#467 기층용</t>
  </si>
  <si>
    <t>13). 아스팔트콘크리트(재생)</t>
  </si>
  <si>
    <t>#467 기층용(안정처리제)</t>
  </si>
  <si>
    <t>14). 보차도경계석(화강석)</t>
  </si>
  <si>
    <t>180x200x1000㎜ (직선)</t>
  </si>
  <si>
    <t>15). 보차도경계석(화강석)</t>
  </si>
  <si>
    <t>180x200x1000㎜ (곡선)</t>
  </si>
  <si>
    <t>16). 횡단보도경계석(화강석)(경사)</t>
  </si>
  <si>
    <t>180x200∼100x1000㎜ (곡선경사)</t>
  </si>
  <si>
    <t>17). 횡단보도경계석(화강석)(낮춤)</t>
  </si>
  <si>
    <t>180x100x1000㎜ (곡선)</t>
  </si>
  <si>
    <t>18). 도로경계석(화강석)</t>
  </si>
  <si>
    <t>120x120x1000㎜ (직선), 국산</t>
  </si>
  <si>
    <t>19). 보도블록(인조화강)</t>
  </si>
  <si>
    <t>200x200x60, 투수</t>
  </si>
  <si>
    <t>20). 장애인용보도 선형블록</t>
  </si>
  <si>
    <t>300x300x60, 고강도, 논슬립</t>
  </si>
  <si>
    <t>21). 장애인용보도 점형블록</t>
  </si>
  <si>
    <t>6. 구조물공</t>
  </si>
  <si>
    <t>가. RC옹벽</t>
  </si>
  <si>
    <t>1). 콘크리트타설</t>
  </si>
  <si>
    <t>2). 콘크리트타설</t>
  </si>
  <si>
    <t>3). 철근가공조립(현장)</t>
  </si>
  <si>
    <t>TYPE-1-1</t>
  </si>
  <si>
    <t>4). 문양거푸집</t>
  </si>
  <si>
    <t>판넬</t>
  </si>
  <si>
    <t>5). 거푸집</t>
  </si>
  <si>
    <t>6). 거푸집</t>
  </si>
  <si>
    <t>7). 강관비계</t>
  </si>
  <si>
    <t>10m이하-3개월사용</t>
  </si>
  <si>
    <t>8). 스페이셔설치</t>
  </si>
  <si>
    <t>수직</t>
  </si>
  <si>
    <t>9). 스페이셔설치</t>
  </si>
  <si>
    <t>수평</t>
  </si>
  <si>
    <t>10). PVC관 부설 및 접합</t>
  </si>
  <si>
    <t>Ø 100 MM - VG2 일반관</t>
  </si>
  <si>
    <t>11). 드레인보드 설치</t>
  </si>
  <si>
    <t>옹벽 배수용</t>
  </si>
  <si>
    <t>12). 부직포설치</t>
  </si>
  <si>
    <t>13). 신축이음(Joint filler)</t>
  </si>
  <si>
    <t>t=20mm</t>
  </si>
  <si>
    <t>14). DOWEL BAR(옹벽용)</t>
  </si>
  <si>
    <t>Ø32×800(기성품)</t>
  </si>
  <si>
    <t>15). 실링마감(실런트)</t>
  </si>
  <si>
    <t>20×25</t>
  </si>
  <si>
    <t>16). 기초지정</t>
  </si>
  <si>
    <t>잡석지정, 재료비 제외</t>
  </si>
  <si>
    <t>17). 부대공</t>
  </si>
  <si>
    <t>가). 철근운반비</t>
  </si>
  <si>
    <t>나). 고철(고재)</t>
  </si>
  <si>
    <t>18). 주요자재</t>
  </si>
  <si>
    <t>25-24-12(Mpa)</t>
  </si>
  <si>
    <t>25-21-8(Mpa)</t>
  </si>
  <si>
    <t>HD13M/M 0.995KG/M  SD40</t>
  </si>
  <si>
    <t>TON</t>
  </si>
  <si>
    <t>마). 이형철근(고장력철근)</t>
  </si>
  <si>
    <t>HD16M/M 1.560KG/M  SD40</t>
  </si>
  <si>
    <t>바). 이형철근(고장력철근)</t>
  </si>
  <si>
    <t>HD19M/M 2.250KG/M  SD40</t>
  </si>
  <si>
    <t>사). 이형철근(고장력철근)</t>
  </si>
  <si>
    <t>HD22M/M 3.040KG/M  SD40</t>
  </si>
  <si>
    <t>나. 보강토옹벽</t>
  </si>
  <si>
    <t>1). 토공 및 기초</t>
  </si>
  <si>
    <t>가). 터파기(토사)</t>
  </si>
  <si>
    <t>다). 잔토처리(토사)</t>
  </si>
  <si>
    <t>라). 거푸집</t>
  </si>
  <si>
    <t>마). 콘크리트타설</t>
  </si>
  <si>
    <t>2). 보강토 옹벽설치</t>
  </si>
  <si>
    <t>가). 보강토옹벽(마감형블럭)</t>
  </si>
  <si>
    <t>450x410x125</t>
  </si>
  <si>
    <t>나). 보강토옹벽(표준형블럭)</t>
  </si>
  <si>
    <t>550x420x250</t>
  </si>
  <si>
    <t>3). 뒷채움</t>
  </si>
  <si>
    <t>가). 보강토옹벽 뒤채움및다짐</t>
  </si>
  <si>
    <t>4). 자재운반</t>
  </si>
  <si>
    <t>가). 보강토옹벽(마감형) 운반비</t>
  </si>
  <si>
    <t>공장---&gt;현장, L=290KM</t>
  </si>
  <si>
    <t>나). 보강토옹벽(표준형) 운반비</t>
  </si>
  <si>
    <t>5). 주요자재</t>
  </si>
  <si>
    <t>다). PE 유공관(배수유공관)</t>
  </si>
  <si>
    <t>라). 부직포</t>
  </si>
  <si>
    <t>500g/cm2, 사면보호용</t>
  </si>
  <si>
    <t>마). 보강토옹벽 - 마감블럭</t>
  </si>
  <si>
    <t>바). 보강토옹벽 - 기본블럭</t>
  </si>
  <si>
    <t>사). 보강토옹벽 그리드</t>
  </si>
  <si>
    <t>지오그리드 6T</t>
  </si>
  <si>
    <t>아). 보강토옹벽 그리드</t>
  </si>
  <si>
    <t>지오그리드 8T</t>
  </si>
  <si>
    <t>7. 부 대 공</t>
  </si>
  <si>
    <t>가. 토공</t>
  </si>
  <si>
    <t>가). 되메우기및다짐</t>
  </si>
  <si>
    <t>나). 되메우기(토사)</t>
  </si>
  <si>
    <t>나. 가설방음판넬</t>
  </si>
  <si>
    <t>1). 가설방음판넬</t>
  </si>
  <si>
    <t>H=3.0+1.0m, 34개월</t>
  </si>
  <si>
    <t>다. 임시침사지</t>
  </si>
  <si>
    <t>1). 비닐깔기(PE필름)</t>
  </si>
  <si>
    <t>t=0.1mm</t>
  </si>
  <si>
    <t>2). 톤마대 쌓기 및 헐기</t>
  </si>
  <si>
    <t>0.7㎥/개</t>
  </si>
  <si>
    <t>3). 흄관 접합및부설(소켓식)</t>
  </si>
  <si>
    <t>Ø 700 MM</t>
  </si>
  <si>
    <t>4). 퇴적토준설</t>
  </si>
  <si>
    <t>백호0.7㎥, 수중</t>
  </si>
  <si>
    <t>라. 가배수로</t>
  </si>
  <si>
    <t>2). PP마대 쌓기 및 헐기</t>
  </si>
  <si>
    <t>45×75cm(인력)</t>
  </si>
  <si>
    <t>3). 퇴적토준설</t>
  </si>
  <si>
    <t>마. 세륜세차시설</t>
  </si>
  <si>
    <t>1). 세륜세차시설 설치및해체</t>
  </si>
  <si>
    <t>자동세륜기, 34개월</t>
  </si>
  <si>
    <t>2). 세륜세차시설 운영</t>
  </si>
  <si>
    <t>바. 폐유저장소</t>
  </si>
  <si>
    <t>1). 폐유류저장소</t>
  </si>
  <si>
    <t>2.4MX2.4M</t>
  </si>
  <si>
    <t>사. 현장사무실</t>
  </si>
  <si>
    <t>1). 가설건물</t>
  </si>
  <si>
    <t>가). 감리감독자 사무실</t>
  </si>
  <si>
    <t>조립식, 34개월</t>
  </si>
  <si>
    <t>나). 공사도급자 사무실</t>
  </si>
  <si>
    <t>다). 창고</t>
  </si>
  <si>
    <t>라). 시험실</t>
  </si>
  <si>
    <t>마). 도급자 숙소</t>
  </si>
  <si>
    <t>바). 복지시설</t>
  </si>
  <si>
    <t>사). 오수정화조</t>
  </si>
  <si>
    <t>8PPM, 50인용</t>
  </si>
  <si>
    <t>아. 공사현장살수</t>
  </si>
  <si>
    <t>1). 살수(물탱크 16000ℓ)</t>
  </si>
  <si>
    <t>32개월</t>
  </si>
  <si>
    <t>a</t>
  </si>
  <si>
    <t>자). 소음측정기</t>
  </si>
  <si>
    <t>1). 전광판 소음측정기</t>
  </si>
  <si>
    <t>800x1200, 현장설치도</t>
  </si>
  <si>
    <t>차. 시공상세도</t>
  </si>
  <si>
    <t>1). 시공상세도</t>
  </si>
  <si>
    <t>단순</t>
  </si>
  <si>
    <t>매</t>
  </si>
  <si>
    <t>2). 시공상세도</t>
  </si>
  <si>
    <t>보통</t>
  </si>
  <si>
    <t>3). 시공상세도</t>
  </si>
  <si>
    <t>복잡</t>
  </si>
  <si>
    <t>카. 주요자재 및 운반비</t>
  </si>
  <si>
    <t>1). 골재</t>
  </si>
  <si>
    <t>가). 혼합골재</t>
  </si>
  <si>
    <t>나). 철근운반비</t>
  </si>
  <si>
    <t>L=10Km</t>
  </si>
  <si>
    <t>다). 고철(고재)</t>
  </si>
  <si>
    <t>3). 레미콘</t>
  </si>
  <si>
    <t>25-21-15(Mpa)</t>
  </si>
  <si>
    <t>4). 흄관</t>
  </si>
  <si>
    <t>700㎜ (소켓식,B형)</t>
  </si>
  <si>
    <t>나). 흄관하차비</t>
  </si>
  <si>
    <t>Ø 700 MM - 차상도</t>
  </si>
  <si>
    <t>5). 운반비</t>
  </si>
  <si>
    <t>8. 하수처리장</t>
  </si>
  <si>
    <t>가. 토목공사</t>
  </si>
  <si>
    <t>1). 토공</t>
  </si>
  <si>
    <t>나). 뒤채움 및 다짐</t>
  </si>
  <si>
    <t>대형장비</t>
  </si>
  <si>
    <t>2). 구조물공</t>
  </si>
  <si>
    <t>가). 콘크리트타설(펌프차,철근)</t>
  </si>
  <si>
    <t>S:15cm, TYPE-2</t>
  </si>
  <si>
    <t>나). 콘크리트타설</t>
  </si>
  <si>
    <t>합판3회(복잡)</t>
  </si>
  <si>
    <t>마). 유로폼 조립.해체</t>
  </si>
  <si>
    <t>벽체</t>
  </si>
  <si>
    <t>바). 철근가공조립(현장)</t>
  </si>
  <si>
    <t>TYPE-2-1</t>
  </si>
  <si>
    <t>사). 시스템비계</t>
  </si>
  <si>
    <t>아). 시스템동바리</t>
  </si>
  <si>
    <t>공/㎥</t>
  </si>
  <si>
    <t>자). 스페이셔설치</t>
  </si>
  <si>
    <t>차). 스페이셔설치</t>
  </si>
  <si>
    <t>카). 콘크리트치핑</t>
  </si>
  <si>
    <t>타). 지수판 설치(PVC 용접)</t>
  </si>
  <si>
    <t>200×5t</t>
  </si>
  <si>
    <t>파). 외부방수(폴리우레아도막방수)</t>
  </si>
  <si>
    <t>t=2.0mm, 현장설치도</t>
  </si>
  <si>
    <t>m2</t>
  </si>
  <si>
    <t>하). 내부방수(세라믹코팅제)</t>
  </si>
  <si>
    <t>현장설치도</t>
  </si>
  <si>
    <t>갸). 바닥방수(에폭시)</t>
  </si>
  <si>
    <t>3). 주요자재 및 운반</t>
  </si>
  <si>
    <t>25-27-15(Mpa)</t>
  </si>
  <si>
    <t>바). 철근운반비</t>
  </si>
  <si>
    <t>L=10Km 이내</t>
  </si>
  <si>
    <t>사). 고철(고재)</t>
  </si>
  <si>
    <t>나. 건축공사</t>
  </si>
  <si>
    <t>다. 기계설비공사</t>
  </si>
  <si>
    <t>라. 전기 및 계측 공사</t>
  </si>
  <si>
    <t>마. 처리장 시운전비</t>
  </si>
  <si>
    <t>바. 부대공사</t>
  </si>
  <si>
    <t>나). 구조물터파기(토사)</t>
  </si>
  <si>
    <t>다). 터파기(토사)</t>
  </si>
  <si>
    <t>라). 되메우기 및 다짐(토사)</t>
  </si>
  <si>
    <t>마). 잔토처리(토사)</t>
  </si>
  <si>
    <t>2). 아스콘포장</t>
  </si>
  <si>
    <t>가). 아스팔트 표층 기계포설(대형장비)</t>
  </si>
  <si>
    <t>나). 아스팔트 기층 기계포설(대형장비)</t>
  </si>
  <si>
    <t>3.0m≤B, T=13cm</t>
  </si>
  <si>
    <t>다). 텍코팅(기계식)</t>
  </si>
  <si>
    <t>라). 프라임코팅(기계식)</t>
  </si>
  <si>
    <t>마). 보조기층(기계시공)</t>
  </si>
  <si>
    <t>본선포장, T=22cm</t>
  </si>
  <si>
    <t>3). 보차도경계석(화강석)</t>
  </si>
  <si>
    <t>4). 노면표시</t>
  </si>
  <si>
    <t>5). 우수공</t>
  </si>
  <si>
    <t>다). 1호 우수받이</t>
  </si>
  <si>
    <t>라). 집수정</t>
  </si>
  <si>
    <t>0.6x0.6, H=1.70, 스틸그레이팅</t>
  </si>
  <si>
    <t>6). 메쉬휀스</t>
  </si>
  <si>
    <t>가). 메쉬I휀스</t>
  </si>
  <si>
    <t>W2.0×H1.5m, 기초형, 현장설치도</t>
  </si>
  <si>
    <t>7). 메쉬휀스 출입문</t>
  </si>
  <si>
    <t>가). 메쉬I휀스 출입문</t>
  </si>
  <si>
    <t>W2.0×H1.8m(쌍문), 기초형, 현장설치도</t>
  </si>
  <si>
    <t>8). 주요자재 및 운반</t>
  </si>
  <si>
    <t>나). 혼합골재(보조기층용)(순환골재)</t>
  </si>
  <si>
    <t>다). 아스팔트(유제)</t>
  </si>
  <si>
    <t>라). 아스팔트(유제)</t>
  </si>
  <si>
    <t>마). 아스팔트콘크리트</t>
  </si>
  <si>
    <t>바). 아스팔트콘크리트</t>
  </si>
  <si>
    <t>사). 보차도경계석(화강석)</t>
  </si>
  <si>
    <t>아). 보통시멘트</t>
  </si>
  <si>
    <t>자). 시멘트운반</t>
  </si>
  <si>
    <t>차). 원심력철근콘크리트관(보통2종)</t>
  </si>
  <si>
    <t>1). 오수처리시설 건축공사</t>
  </si>
  <si>
    <t>1). 하수처리시설 기자재설치비</t>
  </si>
  <si>
    <t>2). 하수처리시설 기자재비</t>
  </si>
  <si>
    <t>3). 하수처리시설 배관설치비</t>
  </si>
  <si>
    <t>배관지지대포함</t>
  </si>
  <si>
    <t>4). 하수처리시설 배관자재비</t>
  </si>
  <si>
    <t>5). 하수처리시설 사급자재비</t>
  </si>
  <si>
    <t>1). 전기 및 계측 공사</t>
  </si>
  <si>
    <t>2). 계측제어설비 및 영상감시설비</t>
  </si>
  <si>
    <t>1). 하수처리시설 시운전비</t>
  </si>
  <si>
    <t>4개월</t>
  </si>
  <si>
    <t>9. 지하저류조</t>
  </si>
  <si>
    <t>나. 블록공사</t>
  </si>
  <si>
    <t>1). 석분깔기</t>
  </si>
  <si>
    <t>T100</t>
  </si>
  <si>
    <t>2). 조립식 블록형 빗물저류시설</t>
  </si>
  <si>
    <t>m3</t>
  </si>
  <si>
    <t>3). 매트부설</t>
  </si>
  <si>
    <t>1차 200g/m2</t>
  </si>
  <si>
    <t>4). 유지관리용 PC 점검구 설치</t>
  </si>
  <si>
    <t>1000x1000x1000</t>
  </si>
  <si>
    <t>5). PC 슬래브 설치</t>
  </si>
  <si>
    <t>1000x1500xT200</t>
  </si>
  <si>
    <t>다. 하차비</t>
  </si>
  <si>
    <t>1). 빗물저류블록 하차비</t>
  </si>
  <si>
    <t>1000x1000x1160</t>
  </si>
  <si>
    <t>화성 청원지구 산업유통형 지구단위계획 — 조경 실행내역서</t>
  </si>
  <si>
    <t>대상 공정 : 01. 조경(10.조경공)</t>
  </si>
  <si>
    <t>10. 조 경 공</t>
  </si>
  <si>
    <t>가. 소공원 1</t>
  </si>
  <si>
    <t>1). 식재</t>
  </si>
  <si>
    <t>가). 소나무</t>
  </si>
  <si>
    <t>H4.0xW2.0xR15</t>
  </si>
  <si>
    <t>나). 스트로브잣</t>
  </si>
  <si>
    <t>H3.5xW1.8</t>
  </si>
  <si>
    <t>다). 느티나무</t>
  </si>
  <si>
    <t>H4.0xR15</t>
  </si>
  <si>
    <t>라). 배롱나무</t>
  </si>
  <si>
    <t>H3.0xR10</t>
  </si>
  <si>
    <t>마). 왕벚나무</t>
  </si>
  <si>
    <t>H3.5xB8</t>
  </si>
  <si>
    <t>바). 청단풍</t>
  </si>
  <si>
    <t>H3.0xR8</t>
  </si>
  <si>
    <t>사). 이팝나무</t>
  </si>
  <si>
    <t>아). 복자기</t>
  </si>
  <si>
    <t>H3.5xR8</t>
  </si>
  <si>
    <t>자). 영산홍</t>
  </si>
  <si>
    <t>H0.3xW0.3</t>
  </si>
  <si>
    <t>차). 산철쭉</t>
  </si>
  <si>
    <t>카). 잔디(평떼)</t>
  </si>
  <si>
    <t>0.3x0.3x0.03</t>
  </si>
  <si>
    <t>2). 시설물</t>
  </si>
  <si>
    <t>가). 생활체육시설A</t>
  </si>
  <si>
    <t>1850*840*H1760</t>
  </si>
  <si>
    <t>EA</t>
  </si>
  <si>
    <t>나). 생활체육시설B</t>
  </si>
  <si>
    <t>2836*600*H1760</t>
  </si>
  <si>
    <t>다). 생활체육시설C</t>
  </si>
  <si>
    <t>2200*750*H1760</t>
  </si>
  <si>
    <t>라). 생활체육시설D</t>
  </si>
  <si>
    <t>2470*750*H1760</t>
  </si>
  <si>
    <t>마). 파고라A</t>
  </si>
  <si>
    <t>5000*3200*H2700</t>
  </si>
  <si>
    <t>바). 등의자</t>
  </si>
  <si>
    <t>1600*533*H766</t>
  </si>
  <si>
    <t>사). 플랜터형의자</t>
  </si>
  <si>
    <t>2200*2200*H700</t>
  </si>
  <si>
    <t>3). 포장</t>
  </si>
  <si>
    <t>가). 투수블럭포장 A</t>
  </si>
  <si>
    <t>T60</t>
  </si>
  <si>
    <t>나). 투수블럭포장 B</t>
  </si>
  <si>
    <t>T80</t>
  </si>
  <si>
    <t>다). 흙콘크리트포장</t>
  </si>
  <si>
    <t>T150</t>
  </si>
  <si>
    <t>라). 흙콘크리트거푸집</t>
  </si>
  <si>
    <t>H150</t>
  </si>
  <si>
    <t>마). 야자매트</t>
  </si>
  <si>
    <t>T35</t>
  </si>
  <si>
    <t>바). 녹지경계석(직선)</t>
  </si>
  <si>
    <t>150x150x1000</t>
  </si>
  <si>
    <t>사). 포장경계석(직선)</t>
  </si>
  <si>
    <t>100x100x1000</t>
  </si>
  <si>
    <t>4). 우수</t>
  </si>
  <si>
    <t>가). 집수정</t>
  </si>
  <si>
    <t>600*600*H900</t>
  </si>
  <si>
    <t>나). 맹암거(간선)</t>
  </si>
  <si>
    <t>D300</t>
  </si>
  <si>
    <t>M</t>
  </si>
  <si>
    <t>다). 맹암거(지선)</t>
  </si>
  <si>
    <t>D150</t>
  </si>
  <si>
    <t>라). 우수관</t>
  </si>
  <si>
    <t>마). 산마루측구</t>
  </si>
  <si>
    <t>W300</t>
  </si>
  <si>
    <t>나. 소공원 2</t>
  </si>
  <si>
    <t>아). 꽃사과</t>
  </si>
  <si>
    <t>자). 복자기</t>
  </si>
  <si>
    <t>차). 모감주나무</t>
  </si>
  <si>
    <t>카). 영산홍</t>
  </si>
  <si>
    <t>타). 산철쭉</t>
  </si>
  <si>
    <t>파). 조팝나무</t>
  </si>
  <si>
    <t>하). 쥐똥나무</t>
  </si>
  <si>
    <t>H1.2xW0.3</t>
  </si>
  <si>
    <t>갸). 잔디(평떼)</t>
  </si>
  <si>
    <t>가). 생활체육시설E</t>
  </si>
  <si>
    <t>1860*1730*H1760</t>
  </si>
  <si>
    <t>나). 생활체육시설F</t>
  </si>
  <si>
    <t>2870*860*H1760</t>
  </si>
  <si>
    <t>다). 생활체육시설G</t>
  </si>
  <si>
    <t>1850*560*H1760</t>
  </si>
  <si>
    <t>라). 파고라B</t>
  </si>
  <si>
    <t>4000*4000*H3200</t>
  </si>
  <si>
    <t>마). 평의자</t>
  </si>
  <si>
    <t>1600*440*H430</t>
  </si>
  <si>
    <t>아). 안전휀스</t>
  </si>
  <si>
    <t>경간</t>
  </si>
  <si>
    <t>마). 녹지경계석(직선)</t>
  </si>
  <si>
    <t>바). 포장경계석(직선)</t>
  </si>
  <si>
    <t>다. 경관녹지 1</t>
  </si>
  <si>
    <t>가). 상수리나무(이식)</t>
  </si>
  <si>
    <t>R31</t>
  </si>
  <si>
    <t>나). 소나무(이식)</t>
  </si>
  <si>
    <t>R29</t>
  </si>
  <si>
    <t>다). 스트로브잣</t>
  </si>
  <si>
    <t>라). 복자기</t>
  </si>
  <si>
    <t>마). 청단풍</t>
  </si>
  <si>
    <t>바). 산철쭉</t>
  </si>
  <si>
    <t>사). 법면보호공</t>
  </si>
  <si>
    <t>라. 경관녹지 2</t>
  </si>
  <si>
    <t>R27</t>
  </si>
  <si>
    <t>나). 상수리나무(이식)</t>
  </si>
  <si>
    <t>다). 소나무(이식)</t>
  </si>
  <si>
    <t>R25</t>
  </si>
  <si>
    <t>라). 스트로브잣</t>
  </si>
  <si>
    <t>마). 복자기</t>
  </si>
  <si>
    <t>사). 산철쭉</t>
  </si>
  <si>
    <t>아). 법면보호공</t>
  </si>
  <si>
    <t>마. 가로수</t>
  </si>
  <si>
    <t>가). 목백합(튜립)</t>
  </si>
  <si>
    <t>H5.0xR15</t>
  </si>
  <si>
    <t>가). 수목보호판</t>
  </si>
  <si>
    <t>800*800</t>
  </si>
  <si>
    <t>1). 안전관리계획작성 및 검토비</t>
  </si>
  <si>
    <t>P.S</t>
  </si>
  <si>
    <t>2). 안전점검비</t>
  </si>
  <si>
    <t>1). 품질시험</t>
  </si>
  <si>
    <t>sum</t>
  </si>
  <si>
    <t>2). 품질관리활동비</t>
  </si>
  <si>
    <t>가). 품질관리자인건비</t>
  </si>
  <si>
    <t>중급품질관리대상</t>
  </si>
  <si>
    <t>개월</t>
  </si>
  <si>
    <t>1. GIS DB 구축  (부속 · 대공종율 적용)</t>
  </si>
  <si>
    <t>2. 구조검토비  (부속 · 대공종율 적용)</t>
  </si>
  <si>
    <t>가. GIS DB 구축</t>
  </si>
  <si>
    <t>화성 청원지구 산업유통형 지구단위계획 — 진입도로·건설폐기물·회전교차로 실행내역서</t>
  </si>
  <si>
    <t>대상 공정 : 04. 진입도로 + 07. 건설폐기물처리 + 05. 회전교차로</t>
  </si>
  <si>
    <t>가 노상준비공</t>
  </si>
  <si>
    <t>1). 노상준비공</t>
  </si>
  <si>
    <t>깍기부</t>
  </si>
  <si>
    <t>나. 법면보호공</t>
  </si>
  <si>
    <t>다. 흙깎기</t>
  </si>
  <si>
    <t>라. 터파기</t>
  </si>
  <si>
    <t>마. 흙쌓기</t>
  </si>
  <si>
    <t>1). 노상</t>
  </si>
  <si>
    <t>2). 노체</t>
  </si>
  <si>
    <t>3). 되메우기</t>
  </si>
  <si>
    <t>바 층따기</t>
  </si>
  <si>
    <t>1). 층따기</t>
  </si>
  <si>
    <t>불도저 32톤, L=39.8m</t>
  </si>
  <si>
    <t>굴삭기1.0㎥+덤프24톤, L=0.090Km</t>
  </si>
  <si>
    <t>자. 지장물철거</t>
  </si>
  <si>
    <t>다). 포장절단/아스팔트</t>
  </si>
  <si>
    <t>라). 아스팔트포장깨기</t>
  </si>
  <si>
    <t>T=30cm 미만</t>
  </si>
  <si>
    <t>마). 콘크리트포장깨기</t>
  </si>
  <si>
    <t>가). 관로경고용테이프</t>
  </si>
  <si>
    <t>가). 우수 원형2호 맨홀</t>
  </si>
  <si>
    <t>D1200, H=1.7m, 차도</t>
  </si>
  <si>
    <t>2). 맨홀접합부</t>
  </si>
  <si>
    <t>2). 접속부</t>
  </si>
  <si>
    <t>나). 잡석</t>
  </si>
  <si>
    <t>4). 원심력철근콘크리트관</t>
  </si>
  <si>
    <t>다). 흄관하차비</t>
  </si>
  <si>
    <t>라). 흄관하차비</t>
  </si>
  <si>
    <t>5). 맨홀뚜껑</t>
  </si>
  <si>
    <t>3. 상 수 공</t>
  </si>
  <si>
    <t>나). 주철 이형관 접합(이탈방지압륜)</t>
  </si>
  <si>
    <t>1). 제수밸브</t>
  </si>
  <si>
    <t>다). 제수변 보호통</t>
  </si>
  <si>
    <t>2). 주철관</t>
  </si>
  <si>
    <t>3). 제수밸브</t>
  </si>
  <si>
    <t>4). 맨홀뚜껑</t>
  </si>
  <si>
    <t>4. 포 장 공</t>
  </si>
  <si>
    <t>가. 아스콘포장</t>
  </si>
  <si>
    <t>사. 경계석설치</t>
  </si>
  <si>
    <t>나). 보차도경계석 설치(경사)</t>
  </si>
  <si>
    <t>다). 보차도경계석 설치(낮춤)</t>
  </si>
  <si>
    <t>아. 아스팔트절삭 및 덧교통시설공</t>
  </si>
  <si>
    <t>1). 아스팔트절삭및덧씌우기</t>
  </si>
  <si>
    <t>다). 교통안전표지판(원형)</t>
  </si>
  <si>
    <t>속도제한</t>
  </si>
  <si>
    <t>황색-파선</t>
  </si>
  <si>
    <t>다). 차선도색(융착식,수동식),신설구간</t>
  </si>
  <si>
    <t>마). 차선도색(차로밑그림),신설구간</t>
  </si>
  <si>
    <t>4). 가드레일</t>
  </si>
  <si>
    <t>가). 철제가드레일</t>
  </si>
  <si>
    <t>W3000*H910</t>
  </si>
  <si>
    <t>6). 아스팔트(유제)</t>
  </si>
  <si>
    <t>7). 아스팔트(유제)</t>
  </si>
  <si>
    <t>8). 아스팔트콘크리트</t>
  </si>
  <si>
    <t>9). 아스팔트콘크리트</t>
  </si>
  <si>
    <t>11). 보차도경계석(화강석)</t>
  </si>
  <si>
    <t>12). 횡단보도경계석(화강석)(경사)</t>
  </si>
  <si>
    <t>13). 횡단보도경계석(화강석)(낮춤)</t>
  </si>
  <si>
    <t>14). 도로경계석(화강석)</t>
  </si>
  <si>
    <t>15). 보도블록(인조화강)</t>
  </si>
  <si>
    <t>16). 장애인용보도 선형블록</t>
  </si>
  <si>
    <t>17). 장애인용보도 점형블록</t>
  </si>
  <si>
    <t>5. 구조물공</t>
  </si>
  <si>
    <t>가. RC옹벽(L형옹벽)</t>
  </si>
  <si>
    <t>6. 부 대 공</t>
  </si>
  <si>
    <t>나. 중기운반</t>
  </si>
  <si>
    <t>1. 건설폐기물처리</t>
  </si>
  <si>
    <t>1). 폐기물운반</t>
  </si>
  <si>
    <t>24톤, 30Km 이내</t>
  </si>
  <si>
    <t>1). 폐콘크리트 처리비</t>
  </si>
  <si>
    <t>불도저 32톤, L=44.9m</t>
  </si>
  <si>
    <t>굴삭기1.0㎥+덤프24톤, L=0.076Km</t>
  </si>
  <si>
    <t>라). 포장절단/콘크리트</t>
  </si>
  <si>
    <t>마). 아스팔트포장깨기</t>
  </si>
  <si>
    <t>바). 콘크리트포장깨기</t>
  </si>
  <si>
    <t>사). 가드레일철거</t>
  </si>
  <si>
    <t>설치품의 30%</t>
  </si>
  <si>
    <t>마. 벤치플륨관</t>
  </si>
  <si>
    <t>1). 벤치플륨관</t>
  </si>
  <si>
    <t>1000x1000</t>
  </si>
  <si>
    <t>바. 배수암거</t>
  </si>
  <si>
    <t>4). 거푸집</t>
  </si>
  <si>
    <t>6). 스페이셔설치</t>
  </si>
  <si>
    <t>7). 스페이셔설치</t>
  </si>
  <si>
    <t>8). 신축이음(Joint filler)</t>
  </si>
  <si>
    <t>9). DOWEL BAR(옹벽용)</t>
  </si>
  <si>
    <t>6). 이형철근</t>
  </si>
  <si>
    <t>HD25M/M 3.980KG/M  SD40</t>
  </si>
  <si>
    <t>3. 포 장 공</t>
  </si>
  <si>
    <t>바. 경계석설치</t>
  </si>
  <si>
    <t>사. 아스팔트절삭 및 덧교통시설공</t>
  </si>
  <si>
    <t>아. 교통시설공</t>
  </si>
  <si>
    <t>가). 교통안전표지판(삼각)</t>
  </si>
  <si>
    <t>라). 차선도색(페인트,기계식),신설구간</t>
  </si>
  <si>
    <t>바). 차선도색(융착식,수동식),신설구간</t>
  </si>
  <si>
    <t>차). 차선도색(차로밑그림),신설구간</t>
  </si>
  <si>
    <t>나). 탄성볼라드</t>
  </si>
  <si>
    <t>5). 디자인형울타리</t>
  </si>
  <si>
    <t>가). 디자인형울타리</t>
  </si>
  <si>
    <t>W2000xH1000</t>
  </si>
  <si>
    <t>자. 주요자재 구입</t>
  </si>
  <si>
    <t>4. 구조물공</t>
  </si>
  <si>
    <t>5. 부 대 공</t>
  </si>
  <si>
    <t>화성 청원지구 산업유통형 지구단위계획 — 개발행위(지구단위) 실행내역서</t>
  </si>
  <si>
    <t>대상 공정 : 06. 개발행위(지구단위)</t>
  </si>
  <si>
    <t>가. 흙깎기</t>
  </si>
  <si>
    <t>나. 흙쌓기</t>
  </si>
  <si>
    <t>다. 흙운반</t>
  </si>
  <si>
    <t>1). 덤프운반(외부반출)</t>
  </si>
  <si>
    <t>가). 흙 운반(토사)(야적장)</t>
  </si>
  <si>
    <t>나). 흙운반(풍화암)(야적장)</t>
  </si>
  <si>
    <t>다). 흙운반(연암)(야적장)</t>
  </si>
  <si>
    <t>라). 흙운반(보통암)(야적장)</t>
  </si>
  <si>
    <t>2. A1</t>
  </si>
  <si>
    <t>1). 우수 원형1호 맨홀</t>
  </si>
  <si>
    <t>D900</t>
  </si>
  <si>
    <t>2). 집수정</t>
  </si>
  <si>
    <t>0.6x0.6,스틸그레이팅</t>
  </si>
  <si>
    <t>3). 오수받이</t>
  </si>
  <si>
    <t>4). 고강성 PVC 이중벽관 접합 및 부설</t>
  </si>
  <si>
    <t>5). 고강성 PVC 이중벽관 접합 및 부설</t>
  </si>
  <si>
    <t>D450mm, 시공조건B</t>
  </si>
  <si>
    <t>6). 고강성PVC이중벽관</t>
  </si>
  <si>
    <t>7). 고강성PVC이중벽관</t>
  </si>
  <si>
    <t>D450mm, 직관</t>
  </si>
  <si>
    <t>8). 원심력철근콘크리트관 접합및부설(소켓식)</t>
  </si>
  <si>
    <t>9). 사각수로관</t>
  </si>
  <si>
    <t>Ø 300mm</t>
  </si>
  <si>
    <t>10). CEP옹벽</t>
  </si>
  <si>
    <t>1.5m~5.0m</t>
  </si>
  <si>
    <t>M2</t>
  </si>
  <si>
    <t>11). 메쉬휀스</t>
  </si>
  <si>
    <t>H=1.5m</t>
  </si>
  <si>
    <t>12). 콘크리트포장</t>
  </si>
  <si>
    <t>T=20Cm</t>
  </si>
  <si>
    <t>13). 관목</t>
  </si>
  <si>
    <t>14). 법면보호공</t>
  </si>
  <si>
    <t>3. A2</t>
  </si>
  <si>
    <t>11). CEP옹벽</t>
  </si>
  <si>
    <t>5.0m</t>
  </si>
  <si>
    <t>12). 보강토옹벽</t>
  </si>
  <si>
    <t>H=2.2~3.0m</t>
  </si>
  <si>
    <t>13). 보강토옹벽</t>
  </si>
  <si>
    <t>H=3.0~5.0m</t>
  </si>
  <si>
    <t>14). 메쉬휀스</t>
  </si>
  <si>
    <t>4. A3</t>
  </si>
  <si>
    <t>10). 보강토옹벽</t>
  </si>
  <si>
    <t>H=2.2~3.4m</t>
  </si>
  <si>
    <t>11). 보강토옹벽</t>
  </si>
  <si>
    <t>H=1.0~2.5m</t>
  </si>
  <si>
    <t>H=3.42~5.0m</t>
  </si>
  <si>
    <t>13). 메쉬휀스</t>
  </si>
  <si>
    <t>14). 철제가드레일</t>
  </si>
  <si>
    <t>15). 콘크리트포장</t>
  </si>
  <si>
    <t>5. A4</t>
  </si>
  <si>
    <t>H=3.5~5.0m</t>
  </si>
  <si>
    <t>12). 철제가드레일</t>
  </si>
  <si>
    <t>13). 콘크리트포장</t>
  </si>
  <si>
    <t>14). 관목</t>
  </si>
  <si>
    <t>15). 법면보호공</t>
  </si>
  <si>
    <t>6. A5</t>
  </si>
  <si>
    <t>H=2.84~4.65m</t>
  </si>
  <si>
    <t>H=0.4~2.84m</t>
  </si>
  <si>
    <t>7. B1</t>
  </si>
  <si>
    <t>10). 메쉬휀스</t>
  </si>
  <si>
    <t>11). 철제가드레일</t>
  </si>
  <si>
    <t>8. B2</t>
  </si>
  <si>
    <t>9. 지원시설</t>
  </si>
  <si>
    <t>2). 오수받이</t>
  </si>
  <si>
    <t>3). 고강성 PVC 이중벽관 접합 및 부설</t>
  </si>
  <si>
    <t>8). 고강성PVC이중벽관</t>
  </si>
  <si>
    <t>10). 철제가드레일</t>
  </si>
  <si>
    <t>11). 콘크리트포장</t>
  </si>
  <si>
    <t>12). 관목</t>
  </si>
  <si>
    <t>10. 주차장</t>
  </si>
  <si>
    <t>2). 고강성 PVC 이중벽관 접합 및 부설</t>
  </si>
  <si>
    <t>4). 고강성PVC이중벽관</t>
  </si>
  <si>
    <t>5). 고강성PVC이중벽관</t>
  </si>
  <si>
    <t>6). 사각수로관</t>
  </si>
  <si>
    <t>7). 메쉬휀스</t>
  </si>
  <si>
    <t>8). 철제가드레일</t>
  </si>
  <si>
    <t>9). 콘크리트포장</t>
  </si>
  <si>
    <t>10). 법면보호공</t>
  </si>
  <si>
    <t>3개 그룹</t>
    <phoneticPr fontId="15" type="noConversion"/>
  </si>
  <si>
    <t>실 행 내 역 서 (3분할)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</si>
</sst>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###"/>
  </numFmts>
  <fonts count="20" x14ac:knownFonts="1">
    <font>
      <sz val="11"/>
      <color theme="1"/>
      <name val="맑은 고딕"/>
      <family val="2"/>
      <scheme val="minor"/>
    </font>
    <font>
      <b/>
      <sz val="14"/>
      <color rgb="FF1F3864"/>
      <name val="맑은 고딕"/>
      <family val="3"/>
      <charset val="129"/>
    </font>
    <font>
      <sz val="9"/>
      <color rgb="FF59595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1F3864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0"/>
      <color rgb="FF595959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20"/>
      <color rgb="FF1F3864"/>
      <name val="맑은 고딕"/>
      <family val="3"/>
      <charset val="129"/>
    </font>
    <font>
      <sz val="20"/>
      <color theme="1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</fills>
  <borders count="2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hair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1"/>
      </left>
      <right style="hair">
        <color theme="1"/>
      </right>
      <top/>
      <bottom style="thin">
        <color theme="1"/>
      </bottom>
      <diagonal/>
    </border>
    <border>
      <left style="hair">
        <color theme="1"/>
      </left>
      <right style="hair">
        <color theme="1"/>
      </right>
      <top/>
      <bottom style="thin">
        <color theme="1"/>
      </bottom>
      <diagonal/>
    </border>
    <border>
      <left style="hair">
        <color theme="1"/>
      </left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41" fontId="14" fillId="0" borderId="0" applyFont="0" applyFill="0" applyBorder="0" applyAlignment="0" applyProtection="0">
      <alignment vertical="center"/>
    </xf>
  </cellStyleXfs>
  <cellXfs count="13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3" fontId="9" fillId="0" borderId="1" xfId="0" applyNumberFormat="1" applyFont="1" applyBorder="1" applyAlignment="1">
      <alignment horizontal="right" vertical="center"/>
    </xf>
    <xf numFmtId="176" fontId="9" fillId="0" borderId="1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0" fontId="5" fillId="0" borderId="8" xfId="0" applyFont="1" applyBorder="1" applyAlignment="1">
      <alignment horizontal="left" vertical="center"/>
    </xf>
    <xf numFmtId="3" fontId="5" fillId="0" borderId="9" xfId="0" applyNumberFormat="1" applyFont="1" applyBorder="1" applyAlignment="1">
      <alignment horizontal="right" vertical="center"/>
    </xf>
    <xf numFmtId="0" fontId="0" fillId="0" borderId="9" xfId="0" applyBorder="1"/>
    <xf numFmtId="0" fontId="0" fillId="0" borderId="10" xfId="0" applyBorder="1"/>
    <xf numFmtId="3" fontId="6" fillId="4" borderId="9" xfId="0" applyNumberFormat="1" applyFont="1" applyFill="1" applyBorder="1" applyAlignment="1">
      <alignment horizontal="right" vertical="center"/>
    </xf>
    <xf numFmtId="3" fontId="6" fillId="4" borderId="10" xfId="0" applyNumberFormat="1" applyFont="1" applyFill="1" applyBorder="1" applyAlignment="1">
      <alignment horizontal="right" vertical="center"/>
    </xf>
    <xf numFmtId="3" fontId="5" fillId="0" borderId="6" xfId="0" applyNumberFormat="1" applyFont="1" applyBorder="1" applyAlignment="1">
      <alignment horizontal="right" vertical="center"/>
    </xf>
    <xf numFmtId="0" fontId="0" fillId="0" borderId="6" xfId="0" applyBorder="1"/>
    <xf numFmtId="0" fontId="0" fillId="0" borderId="7" xfId="0" applyBorder="1"/>
    <xf numFmtId="3" fontId="6" fillId="3" borderId="18" xfId="0" applyNumberFormat="1" applyFont="1" applyFill="1" applyBorder="1" applyAlignment="1">
      <alignment horizontal="right" vertical="center"/>
    </xf>
    <xf numFmtId="3" fontId="6" fillId="3" borderId="19" xfId="0" applyNumberFormat="1" applyFont="1" applyFill="1" applyBorder="1" applyAlignment="1">
      <alignment horizontal="right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indent="1"/>
    </xf>
    <xf numFmtId="0" fontId="6" fillId="0" borderId="9" xfId="0" applyFont="1" applyBorder="1" applyAlignment="1">
      <alignment horizontal="left" vertical="center" indent="1"/>
    </xf>
    <xf numFmtId="3" fontId="6" fillId="5" borderId="12" xfId="0" applyNumberFormat="1" applyFont="1" applyFill="1" applyBorder="1" applyAlignment="1">
      <alignment horizontal="right" vertical="center"/>
    </xf>
    <xf numFmtId="3" fontId="6" fillId="5" borderId="13" xfId="0" applyNumberFormat="1" applyFont="1" applyFill="1" applyBorder="1" applyAlignment="1">
      <alignment horizontal="right" vertical="center"/>
    </xf>
    <xf numFmtId="41" fontId="5" fillId="0" borderId="1" xfId="1" applyFont="1" applyBorder="1" applyAlignment="1">
      <alignment horizontal="right" vertical="center"/>
    </xf>
    <xf numFmtId="41" fontId="6" fillId="0" borderId="1" xfId="1" applyFont="1" applyBorder="1" applyAlignment="1">
      <alignment horizontal="right" vertical="center"/>
    </xf>
    <xf numFmtId="41" fontId="6" fillId="5" borderId="1" xfId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left" vertical="center" indent="1"/>
    </xf>
    <xf numFmtId="0" fontId="12" fillId="5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10" fillId="5" borderId="1" xfId="0" applyFont="1" applyFill="1" applyBorder="1" applyAlignment="1">
      <alignment horizontal="left" vertical="center" indent="1"/>
    </xf>
    <xf numFmtId="0" fontId="0" fillId="0" borderId="0" xfId="0" applyAlignment="1">
      <alignment vertical="center"/>
    </xf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3" fontId="9" fillId="0" borderId="9" xfId="0" applyNumberFormat="1" applyFont="1" applyBorder="1" applyAlignment="1">
      <alignment vertical="center" wrapText="1"/>
    </xf>
    <xf numFmtId="3" fontId="9" fillId="0" borderId="9" xfId="0" applyNumberFormat="1" applyFont="1" applyBorder="1" applyAlignment="1">
      <alignment horizontal="right" vertical="center"/>
    </xf>
    <xf numFmtId="176" fontId="9" fillId="0" borderId="9" xfId="0" applyNumberFormat="1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176" fontId="9" fillId="0" borderId="12" xfId="0" applyNumberFormat="1" applyFont="1" applyBorder="1" applyAlignment="1">
      <alignment vertical="center" wrapText="1"/>
    </xf>
    <xf numFmtId="3" fontId="9" fillId="0" borderId="12" xfId="0" applyNumberFormat="1" applyFont="1" applyBorder="1" applyAlignment="1">
      <alignment vertical="center" wrapText="1"/>
    </xf>
    <xf numFmtId="3" fontId="9" fillId="0" borderId="12" xfId="0" applyNumberFormat="1" applyFont="1" applyBorder="1" applyAlignment="1">
      <alignment horizontal="right" vertical="center"/>
    </xf>
    <xf numFmtId="0" fontId="9" fillId="0" borderId="13" xfId="0" applyFont="1" applyBorder="1" applyAlignment="1">
      <alignment vertical="center" wrapText="1"/>
    </xf>
    <xf numFmtId="0" fontId="3" fillId="2" borderId="2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6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3" fontId="5" fillId="0" borderId="12" xfId="0" applyNumberFormat="1" applyFont="1" applyBorder="1" applyAlignment="1">
      <alignment horizontal="right" vertical="center"/>
    </xf>
    <xf numFmtId="0" fontId="4" fillId="6" borderId="14" xfId="0" applyFont="1" applyFill="1" applyBorder="1" applyAlignment="1">
      <alignment horizontal="left" vertical="center"/>
    </xf>
    <xf numFmtId="0" fontId="5" fillId="6" borderId="15" xfId="0" applyFont="1" applyFill="1" applyBorder="1" applyAlignment="1">
      <alignment horizontal="center" vertical="center"/>
    </xf>
    <xf numFmtId="3" fontId="5" fillId="6" borderId="15" xfId="0" applyNumberFormat="1" applyFont="1" applyFill="1" applyBorder="1" applyAlignment="1">
      <alignment horizontal="right" vertical="center"/>
    </xf>
    <xf numFmtId="3" fontId="6" fillId="6" borderId="15" xfId="0" applyNumberFormat="1" applyFont="1" applyFill="1" applyBorder="1" applyAlignment="1">
      <alignment horizontal="right" vertical="center"/>
    </xf>
    <xf numFmtId="0" fontId="0" fillId="6" borderId="16" xfId="0" applyFill="1" applyBorder="1"/>
    <xf numFmtId="0" fontId="4" fillId="6" borderId="5" xfId="0" applyFont="1" applyFill="1" applyBorder="1" applyAlignment="1">
      <alignment horizontal="left" vertical="center"/>
    </xf>
    <xf numFmtId="0" fontId="0" fillId="6" borderId="6" xfId="0" applyFill="1" applyBorder="1"/>
    <xf numFmtId="0" fontId="0" fillId="6" borderId="7" xfId="0" applyFill="1" applyBorder="1"/>
    <xf numFmtId="0" fontId="3" fillId="7" borderId="5" xfId="0" applyFont="1" applyFill="1" applyBorder="1" applyAlignment="1">
      <alignment horizontal="left" vertical="center"/>
    </xf>
    <xf numFmtId="0" fontId="0" fillId="7" borderId="6" xfId="0" applyFill="1" applyBorder="1"/>
    <xf numFmtId="3" fontId="3" fillId="7" borderId="6" xfId="0" applyNumberFormat="1" applyFont="1" applyFill="1" applyBorder="1" applyAlignment="1">
      <alignment horizontal="right" vertical="center"/>
    </xf>
    <xf numFmtId="0" fontId="0" fillId="7" borderId="7" xfId="0" applyFill="1" applyBorder="1"/>
    <xf numFmtId="0" fontId="3" fillId="7" borderId="8" xfId="0" applyFont="1" applyFill="1" applyBorder="1" applyAlignment="1">
      <alignment horizontal="left" vertical="center"/>
    </xf>
    <xf numFmtId="0" fontId="0" fillId="7" borderId="9" xfId="0" applyFill="1" applyBorder="1"/>
    <xf numFmtId="3" fontId="3" fillId="7" borderId="9" xfId="0" applyNumberFormat="1" applyFont="1" applyFill="1" applyBorder="1" applyAlignment="1">
      <alignment horizontal="right" vertical="center"/>
    </xf>
    <xf numFmtId="0" fontId="0" fillId="7" borderId="10" xfId="0" applyFill="1" applyBorder="1"/>
    <xf numFmtId="0" fontId="3" fillId="7" borderId="24" xfId="0" applyFont="1" applyFill="1" applyBorder="1" applyAlignment="1">
      <alignment horizontal="left" vertical="center"/>
    </xf>
    <xf numFmtId="0" fontId="0" fillId="7" borderId="25" xfId="0" applyFill="1" applyBorder="1"/>
    <xf numFmtId="3" fontId="3" fillId="7" borderId="25" xfId="0" applyNumberFormat="1" applyFont="1" applyFill="1" applyBorder="1" applyAlignment="1">
      <alignment horizontal="right" vertical="center"/>
    </xf>
    <xf numFmtId="0" fontId="0" fillId="7" borderId="26" xfId="0" applyFill="1" applyBorder="1"/>
    <xf numFmtId="0" fontId="6" fillId="8" borderId="8" xfId="0" applyFont="1" applyFill="1" applyBorder="1" applyAlignment="1">
      <alignment horizontal="left" vertical="center"/>
    </xf>
    <xf numFmtId="0" fontId="0" fillId="8" borderId="9" xfId="0" applyFill="1" applyBorder="1"/>
    <xf numFmtId="3" fontId="6" fillId="8" borderId="9" xfId="0" applyNumberFormat="1" applyFont="1" applyFill="1" applyBorder="1" applyAlignment="1">
      <alignment horizontal="right" vertical="center"/>
    </xf>
    <xf numFmtId="0" fontId="0" fillId="8" borderId="10" xfId="0" applyFill="1" applyBorder="1"/>
    <xf numFmtId="0" fontId="4" fillId="8" borderId="9" xfId="0" applyFont="1" applyFill="1" applyBorder="1" applyAlignment="1">
      <alignment horizontal="left" vertical="center"/>
    </xf>
    <xf numFmtId="0" fontId="0" fillId="7" borderId="6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9" fillId="0" borderId="9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6" fillId="4" borderId="8" xfId="0" applyFont="1" applyFill="1" applyBorder="1" applyAlignment="1">
      <alignment horizontal="left" vertical="center" indent="1"/>
    </xf>
    <xf numFmtId="0" fontId="6" fillId="4" borderId="9" xfId="0" applyFont="1" applyFill="1" applyBorder="1" applyAlignment="1">
      <alignment horizontal="left" vertical="center" indent="1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0" fillId="5" borderId="11" xfId="0" applyFont="1" applyFill="1" applyBorder="1" applyAlignment="1">
      <alignment horizontal="left" vertical="center" indent="1"/>
    </xf>
    <xf numFmtId="0" fontId="10" fillId="5" borderId="12" xfId="0" applyFont="1" applyFill="1" applyBorder="1" applyAlignment="1">
      <alignment horizontal="left" vertical="center" indent="1"/>
    </xf>
    <xf numFmtId="0" fontId="4" fillId="3" borderId="20" xfId="0" applyFont="1" applyFill="1" applyBorder="1" applyAlignment="1">
      <alignment horizontal="left" vertical="center" indent="1"/>
    </xf>
    <xf numFmtId="0" fontId="4" fillId="3" borderId="21" xfId="0" applyFont="1" applyFill="1" applyBorder="1" applyAlignment="1">
      <alignment horizontal="left" vertical="center" indent="1"/>
    </xf>
    <xf numFmtId="0" fontId="16" fillId="0" borderId="2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4" xfId="0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3" xfId="0" applyBorder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FFF2CC"/>
      <color rgb="FF1F3864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4"/>
  <sheetViews>
    <sheetView showGridLines="0" workbookViewId="0">
      <selection activeCell="O10" sqref="O10"/>
    </sheetView>
  </sheetViews>
  <sheetFormatPr defaultRowHeight="30" customHeight="1" x14ac:dyDescent="0.3"/>
  <cols>
    <col min="1" max="1" width="4" style="50" customWidth="1"/>
    <col min="2" max="2" width="12.625" style="50" customWidth="1"/>
    <col min="3" max="3" width="40.625" style="50" customWidth="1"/>
    <col min="4" max="6" width="18.625" style="50" customWidth="1"/>
    <col min="7" max="7" width="4" style="50" customWidth="1"/>
    <col min="8" max="16384" width="9" style="50"/>
  </cols>
  <sheetData>
    <row r="1" spans="2:6" ht="30" customHeight="1" x14ac:dyDescent="0.3">
      <c r="B1" s="108" t="s">
        <v>0</v>
      </c>
      <c r="C1" s="109"/>
      <c r="D1" s="109"/>
      <c r="E1" s="109"/>
      <c r="F1" s="109"/>
    </row>
    <row r="2" spans="2:6" ht="30" customHeight="1" x14ac:dyDescent="0.3">
      <c r="B2" s="112" t="s">
        <v>1337</v>
      </c>
      <c r="C2" s="113"/>
      <c r="D2" s="113"/>
      <c r="E2" s="113"/>
      <c r="F2" s="113"/>
    </row>
    <row r="3" spans="2:6" ht="30" customHeight="1" x14ac:dyDescent="0.3">
      <c r="B3" s="105" t="s">
        <v>1</v>
      </c>
      <c r="C3" s="106"/>
      <c r="D3" s="106"/>
      <c r="E3" s="106"/>
      <c r="F3" s="106"/>
    </row>
    <row r="4" spans="2:6" ht="30" customHeight="1" x14ac:dyDescent="0.3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2:6" ht="30" customHeight="1" x14ac:dyDescent="0.3">
      <c r="B5" s="48" t="s">
        <v>11</v>
      </c>
      <c r="C5" s="46" t="s">
        <v>12</v>
      </c>
      <c r="D5" s="43">
        <v>1794475779</v>
      </c>
      <c r="E5" s="43">
        <v>483701146</v>
      </c>
      <c r="F5" s="44">
        <v>2505994618</v>
      </c>
    </row>
    <row r="6" spans="2:6" ht="30" customHeight="1" x14ac:dyDescent="0.3">
      <c r="B6" s="48" t="s">
        <v>7</v>
      </c>
      <c r="C6" s="46" t="s">
        <v>8</v>
      </c>
      <c r="D6" s="43">
        <v>4037192417</v>
      </c>
      <c r="E6" s="43">
        <v>1008963933</v>
      </c>
      <c r="F6" s="44">
        <v>5550771985</v>
      </c>
    </row>
    <row r="7" spans="2:6" ht="30" customHeight="1" x14ac:dyDescent="0.3">
      <c r="B7" s="48" t="s">
        <v>9</v>
      </c>
      <c r="C7" s="46" t="s">
        <v>10</v>
      </c>
      <c r="D7" s="43">
        <v>825728849</v>
      </c>
      <c r="E7" s="43">
        <v>141791919</v>
      </c>
      <c r="F7" s="44">
        <v>1064272845</v>
      </c>
    </row>
    <row r="8" spans="2:6" ht="30" customHeight="1" x14ac:dyDescent="0.3">
      <c r="B8" s="48" t="s">
        <v>13</v>
      </c>
      <c r="C8" s="46" t="s">
        <v>14</v>
      </c>
      <c r="D8" s="43">
        <v>2522148203</v>
      </c>
      <c r="E8" s="43">
        <v>534317233</v>
      </c>
      <c r="F8" s="44">
        <v>3362111980</v>
      </c>
    </row>
    <row r="9" spans="2:6" ht="30" customHeight="1" x14ac:dyDescent="0.3">
      <c r="B9" s="49" t="s">
        <v>15</v>
      </c>
      <c r="C9" s="47" t="s">
        <v>1336</v>
      </c>
      <c r="D9" s="45">
        <v>9179545248</v>
      </c>
      <c r="E9" s="45">
        <v>2168774231</v>
      </c>
      <c r="F9" s="45">
        <v>12483151427</v>
      </c>
    </row>
    <row r="10" spans="2:6" ht="30" customHeight="1" x14ac:dyDescent="0.3">
      <c r="B10" s="110" t="s">
        <v>16</v>
      </c>
      <c r="C10" s="106"/>
      <c r="D10" s="106"/>
      <c r="E10" s="106"/>
      <c r="F10" s="106"/>
    </row>
    <row r="11" spans="2:6" ht="30" customHeight="1" x14ac:dyDescent="0.3">
      <c r="B11" s="110" t="s">
        <v>17</v>
      </c>
      <c r="C11" s="106"/>
      <c r="D11" s="106"/>
      <c r="E11" s="106"/>
      <c r="F11" s="106"/>
    </row>
    <row r="12" spans="2:6" ht="30" customHeight="1" x14ac:dyDescent="0.3">
      <c r="B12" s="110" t="s">
        <v>18</v>
      </c>
      <c r="C12" s="106"/>
      <c r="D12" s="106"/>
      <c r="E12" s="106"/>
      <c r="F12" s="106"/>
    </row>
    <row r="13" spans="2:6" ht="30" customHeight="1" x14ac:dyDescent="0.3">
      <c r="B13" s="111" t="s">
        <v>19</v>
      </c>
      <c r="C13" s="106"/>
      <c r="D13" s="106"/>
      <c r="E13" s="106"/>
      <c r="F13" s="106"/>
    </row>
    <row r="14" spans="2:6" ht="30" customHeight="1" x14ac:dyDescent="0.3">
      <c r="B14" s="107" t="s">
        <v>20</v>
      </c>
      <c r="C14" s="106"/>
      <c r="D14" s="106"/>
      <c r="E14" s="106"/>
      <c r="F14" s="106"/>
    </row>
  </sheetData>
  <mergeCells count="8">
    <mergeCell ref="B3:F3"/>
    <mergeCell ref="B14:F14"/>
    <mergeCell ref="B1:F1"/>
    <mergeCell ref="B11:F11"/>
    <mergeCell ref="B10:F10"/>
    <mergeCell ref="B13:F13"/>
    <mergeCell ref="B2:F2"/>
    <mergeCell ref="B12:F12"/>
  </mergeCells>
  <phoneticPr fontId="15" type="noConversion"/>
  <pageMargins left="0.75" right="0.75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tabSelected="1" workbookViewId="0">
      <selection activeCell="O10" sqref="O10"/>
    </sheetView>
  </sheetViews>
  <sheetFormatPr defaultRowHeight="33.950000000000003" customHeight="1" x14ac:dyDescent="0.3"/>
  <cols>
    <col min="1" max="1" width="8" style="37" bestFit="1" customWidth="1"/>
    <col min="2" max="2" width="21.75" style="37" bestFit="1" customWidth="1"/>
    <col min="3" max="7" width="12.875" bestFit="1" customWidth="1"/>
    <col min="8" max="8" width="14" bestFit="1" customWidth="1"/>
    <col min="9" max="9" width="12.875" bestFit="1" customWidth="1"/>
    <col min="10" max="10" width="15.875" bestFit="1" customWidth="1"/>
  </cols>
  <sheetData>
    <row r="1" spans="1:10" ht="33.950000000000003" customHeight="1" x14ac:dyDescent="0.3">
      <c r="A1" s="108" t="s">
        <v>21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ht="33.950000000000003" customHeight="1" x14ac:dyDescent="0.3">
      <c r="A2" s="122"/>
      <c r="B2" s="122"/>
      <c r="C2" s="122"/>
      <c r="D2" s="122"/>
      <c r="E2" s="122"/>
      <c r="F2" s="122"/>
      <c r="G2" s="122"/>
      <c r="H2" s="122"/>
      <c r="I2" s="122"/>
      <c r="J2" s="122"/>
    </row>
    <row r="3" spans="1:10" ht="33.950000000000003" customHeight="1" x14ac:dyDescent="0.3">
      <c r="A3" s="34" t="s">
        <v>2</v>
      </c>
      <c r="B3" s="35" t="s">
        <v>22</v>
      </c>
      <c r="C3" s="35" t="s">
        <v>23</v>
      </c>
      <c r="D3" s="35" t="s">
        <v>24</v>
      </c>
      <c r="E3" s="35" t="s">
        <v>25</v>
      </c>
      <c r="F3" s="35" t="s">
        <v>4</v>
      </c>
      <c r="G3" s="35" t="s">
        <v>5</v>
      </c>
      <c r="H3" s="35" t="s">
        <v>26</v>
      </c>
      <c r="I3" s="35" t="s">
        <v>27</v>
      </c>
      <c r="J3" s="36" t="s">
        <v>28</v>
      </c>
    </row>
    <row r="4" spans="1:10" ht="33.950000000000003" customHeight="1" x14ac:dyDescent="0.3">
      <c r="A4" s="116" t="s">
        <v>11</v>
      </c>
      <c r="B4" s="39" t="s">
        <v>31</v>
      </c>
      <c r="C4" s="29">
        <v>431599487</v>
      </c>
      <c r="D4" s="29">
        <v>183064787</v>
      </c>
      <c r="E4" s="29">
        <v>162607901</v>
      </c>
      <c r="F4" s="29">
        <v>777272175</v>
      </c>
      <c r="G4" s="30"/>
      <c r="H4" s="30"/>
      <c r="I4" s="30"/>
      <c r="J4" s="31"/>
    </row>
    <row r="5" spans="1:10" ht="33.950000000000003" customHeight="1" x14ac:dyDescent="0.3">
      <c r="A5" s="117"/>
      <c r="B5" s="40" t="s">
        <v>32</v>
      </c>
      <c r="C5" s="24">
        <v>0</v>
      </c>
      <c r="D5" s="24">
        <v>0</v>
      </c>
      <c r="E5" s="24">
        <v>19830000</v>
      </c>
      <c r="F5" s="24">
        <v>19830000</v>
      </c>
      <c r="G5" s="25"/>
      <c r="H5" s="25"/>
      <c r="I5" s="25"/>
      <c r="J5" s="26"/>
    </row>
    <row r="6" spans="1:10" ht="33.950000000000003" customHeight="1" x14ac:dyDescent="0.3">
      <c r="A6" s="117"/>
      <c r="B6" s="40" t="s">
        <v>33</v>
      </c>
      <c r="C6" s="24">
        <v>581064018</v>
      </c>
      <c r="D6" s="24">
        <v>245462914</v>
      </c>
      <c r="E6" s="24">
        <v>170846672</v>
      </c>
      <c r="F6" s="24">
        <v>997373604</v>
      </c>
      <c r="G6" s="25"/>
      <c r="H6" s="25"/>
      <c r="I6" s="25"/>
      <c r="J6" s="26"/>
    </row>
    <row r="7" spans="1:10" ht="33.950000000000003" customHeight="1" x14ac:dyDescent="0.3">
      <c r="A7" s="114" t="s">
        <v>34</v>
      </c>
      <c r="B7" s="115"/>
      <c r="C7" s="27">
        <f>SUM(C4:C6)</f>
        <v>1012663505</v>
      </c>
      <c r="D7" s="27">
        <f>SUM(D4:D6)</f>
        <v>428527701</v>
      </c>
      <c r="E7" s="27">
        <f>SUM(E4:E6)</f>
        <v>353284573</v>
      </c>
      <c r="F7" s="27">
        <f>SUM(F4:F6)</f>
        <v>1794475779</v>
      </c>
      <c r="G7" s="27">
        <v>483701146</v>
      </c>
      <c r="H7" s="27">
        <f>F7+G7</f>
        <v>2278176925</v>
      </c>
      <c r="I7" s="27">
        <f>ROUND(H7*0.1,0)</f>
        <v>227817693</v>
      </c>
      <c r="J7" s="28">
        <f>H7+I7</f>
        <v>2505994618</v>
      </c>
    </row>
    <row r="8" spans="1:10" ht="33.950000000000003" customHeight="1" x14ac:dyDescent="0.3">
      <c r="A8" s="38" t="s">
        <v>7</v>
      </c>
      <c r="B8" s="40" t="s">
        <v>8</v>
      </c>
      <c r="C8" s="24">
        <v>1735178128</v>
      </c>
      <c r="D8" s="24">
        <v>835988399</v>
      </c>
      <c r="E8" s="24">
        <v>1466025890</v>
      </c>
      <c r="F8" s="24">
        <v>4037192417</v>
      </c>
      <c r="G8" s="25"/>
      <c r="H8" s="25"/>
      <c r="I8" s="25"/>
      <c r="J8" s="26"/>
    </row>
    <row r="9" spans="1:10" ht="33.950000000000003" customHeight="1" x14ac:dyDescent="0.3">
      <c r="A9" s="114" t="s">
        <v>29</v>
      </c>
      <c r="B9" s="115"/>
      <c r="C9" s="27">
        <f>SUM(C8:C8)</f>
        <v>1735178128</v>
      </c>
      <c r="D9" s="27">
        <f>SUM(D8:D8)</f>
        <v>835988399</v>
      </c>
      <c r="E9" s="27">
        <f>SUM(E8:E8)</f>
        <v>1466025890</v>
      </c>
      <c r="F9" s="27">
        <f>SUM(F8:F8)</f>
        <v>4037192417</v>
      </c>
      <c r="G9" s="27">
        <v>1008963933</v>
      </c>
      <c r="H9" s="27">
        <f>F9+G9</f>
        <v>5046156350</v>
      </c>
      <c r="I9" s="27">
        <f>ROUND(H9*0.1,0)</f>
        <v>504615635</v>
      </c>
      <c r="J9" s="28">
        <f>H9+I9</f>
        <v>5550771985</v>
      </c>
    </row>
    <row r="10" spans="1:10" ht="33.950000000000003" customHeight="1" x14ac:dyDescent="0.3">
      <c r="A10" s="38" t="s">
        <v>9</v>
      </c>
      <c r="B10" s="40" t="s">
        <v>10</v>
      </c>
      <c r="C10" s="24">
        <v>77500490</v>
      </c>
      <c r="D10" s="24">
        <v>57019245</v>
      </c>
      <c r="E10" s="24">
        <v>691209114</v>
      </c>
      <c r="F10" s="24">
        <v>825728849</v>
      </c>
      <c r="G10" s="25"/>
      <c r="H10" s="25"/>
      <c r="I10" s="25"/>
      <c r="J10" s="26"/>
    </row>
    <row r="11" spans="1:10" ht="33.950000000000003" customHeight="1" x14ac:dyDescent="0.3">
      <c r="A11" s="114" t="s">
        <v>30</v>
      </c>
      <c r="B11" s="115"/>
      <c r="C11" s="27">
        <f>SUM(C10:C10)</f>
        <v>77500490</v>
      </c>
      <c r="D11" s="27">
        <f>SUM(D10:D10)</f>
        <v>57019245</v>
      </c>
      <c r="E11" s="27">
        <f>SUM(E10:E10)</f>
        <v>691209114</v>
      </c>
      <c r="F11" s="27">
        <f>SUM(F10:F10)</f>
        <v>825728849</v>
      </c>
      <c r="G11" s="27">
        <v>141791919</v>
      </c>
      <c r="H11" s="27">
        <f>F11+G11</f>
        <v>967520768</v>
      </c>
      <c r="I11" s="27">
        <f>ROUND(H11*0.1,0)</f>
        <v>96752077</v>
      </c>
      <c r="J11" s="28">
        <f>H11+I11</f>
        <v>1064272845</v>
      </c>
    </row>
    <row r="12" spans="1:10" ht="33.950000000000003" customHeight="1" x14ac:dyDescent="0.3">
      <c r="A12" s="38" t="s">
        <v>13</v>
      </c>
      <c r="B12" s="40" t="s">
        <v>35</v>
      </c>
      <c r="C12" s="24">
        <v>431545080</v>
      </c>
      <c r="D12" s="24">
        <v>366771499</v>
      </c>
      <c r="E12" s="24">
        <v>1723831624</v>
      </c>
      <c r="F12" s="24">
        <v>2522148203</v>
      </c>
      <c r="G12" s="25"/>
      <c r="H12" s="25"/>
      <c r="I12" s="25"/>
      <c r="J12" s="26"/>
    </row>
    <row r="13" spans="1:10" ht="33.950000000000003" customHeight="1" x14ac:dyDescent="0.3">
      <c r="A13" s="114" t="s">
        <v>36</v>
      </c>
      <c r="B13" s="115"/>
      <c r="C13" s="27">
        <f>SUM(C12:C12)</f>
        <v>431545080</v>
      </c>
      <c r="D13" s="27">
        <f>SUM(D12:D12)</f>
        <v>366771499</v>
      </c>
      <c r="E13" s="27">
        <f>SUM(E12:E12)</f>
        <v>1723831624</v>
      </c>
      <c r="F13" s="27">
        <f>SUM(F12:F12)</f>
        <v>2522148203</v>
      </c>
      <c r="G13" s="27">
        <v>534317233</v>
      </c>
      <c r="H13" s="27">
        <f>F13+G13</f>
        <v>3056465436</v>
      </c>
      <c r="I13" s="27">
        <f>ROUND(H13*0.1,0)</f>
        <v>305646544</v>
      </c>
      <c r="J13" s="28">
        <f>H13+I13</f>
        <v>3362111980</v>
      </c>
    </row>
    <row r="14" spans="1:10" ht="33.950000000000003" customHeight="1" x14ac:dyDescent="0.3">
      <c r="A14" s="118" t="s">
        <v>37</v>
      </c>
      <c r="B14" s="119"/>
      <c r="C14" s="41">
        <v>3256887203</v>
      </c>
      <c r="D14" s="41">
        <v>1688306844</v>
      </c>
      <c r="E14" s="41">
        <v>4234351201</v>
      </c>
      <c r="F14" s="41">
        <v>9179545248</v>
      </c>
      <c r="G14" s="41">
        <v>2168774231</v>
      </c>
      <c r="H14" s="41">
        <f>F14+G14</f>
        <v>11348319479</v>
      </c>
      <c r="I14" s="41">
        <f>ROUND(H14*0.1,0)</f>
        <v>1134831948</v>
      </c>
      <c r="J14" s="42">
        <f>H14+I14</f>
        <v>12483151427</v>
      </c>
    </row>
    <row r="15" spans="1:10" ht="33.950000000000003" customHeight="1" x14ac:dyDescent="0.3">
      <c r="A15" s="120" t="s">
        <v>38</v>
      </c>
      <c r="B15" s="121"/>
      <c r="C15" s="32">
        <v>3179386713</v>
      </c>
      <c r="D15" s="32">
        <v>1631287599</v>
      </c>
      <c r="E15" s="32">
        <v>3543142087</v>
      </c>
      <c r="F15" s="32">
        <v>8353816399</v>
      </c>
      <c r="G15" s="32">
        <v>2026982312</v>
      </c>
      <c r="H15" s="32">
        <f>F15+G15</f>
        <v>10380798711</v>
      </c>
      <c r="I15" s="32">
        <f>ROUND(H15*0.1,0)</f>
        <v>1038079871</v>
      </c>
      <c r="J15" s="33">
        <f>H15+I15</f>
        <v>11418878582</v>
      </c>
    </row>
  </sheetData>
  <mergeCells count="8">
    <mergeCell ref="A1:J2"/>
    <mergeCell ref="A7:B7"/>
    <mergeCell ref="A4:A6"/>
    <mergeCell ref="A13:B13"/>
    <mergeCell ref="A14:B14"/>
    <mergeCell ref="A15:B15"/>
    <mergeCell ref="A9:B9"/>
    <mergeCell ref="A11:B11"/>
  </mergeCells>
  <phoneticPr fontId="15" type="noConversion"/>
  <pageMargins left="0.59055118110236227" right="0.39370078740157483" top="0.59055118110236227" bottom="0.39370078740157483" header="0.51181102362204722" footer="0.51181102362204722"/>
  <pageSetup paperSize="9" scale="90" orientation="landscape" r:id="rId1"/>
  <ignoredErrors>
    <ignoredError sqref="I9:I11 I12:I15 I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43"/>
  <sheetViews>
    <sheetView zoomScaleNormal="100" workbookViewId="0">
      <pane ySplit="5" topLeftCell="A55" activePane="bottomLeft" state="frozen"/>
      <selection pane="bottomLeft" activeCell="T76" sqref="T76"/>
    </sheetView>
  </sheetViews>
  <sheetFormatPr defaultRowHeight="16.5" x14ac:dyDescent="0.3"/>
  <cols>
    <col min="1" max="1" width="37.625" bestFit="1" customWidth="1"/>
    <col min="2" max="2" width="30.625" bestFit="1" customWidth="1"/>
    <col min="3" max="3" width="7.5" bestFit="1" customWidth="1"/>
    <col min="4" max="4" width="5.625" style="22" bestFit="1" customWidth="1"/>
    <col min="5" max="5" width="11.5" bestFit="1" customWidth="1"/>
    <col min="6" max="6" width="12.875" bestFit="1" customWidth="1"/>
    <col min="7" max="7" width="10.125" bestFit="1" customWidth="1"/>
    <col min="8" max="8" width="11.375" bestFit="1" customWidth="1"/>
    <col min="9" max="9" width="11.5" bestFit="1" customWidth="1"/>
    <col min="10" max="10" width="12.875" bestFit="1" customWidth="1"/>
    <col min="11" max="11" width="11.5" bestFit="1" customWidth="1"/>
    <col min="12" max="12" width="12.875" bestFit="1" customWidth="1"/>
    <col min="13" max="13" width="4.75" bestFit="1" customWidth="1"/>
  </cols>
  <sheetData>
    <row r="1" spans="1:13" x14ac:dyDescent="0.3">
      <c r="A1" s="129" t="s">
        <v>42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</row>
    <row r="2" spans="1:13" x14ac:dyDescent="0.3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</row>
    <row r="3" spans="1:13" x14ac:dyDescent="0.3">
      <c r="A3" s="127" t="s">
        <v>43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</row>
    <row r="4" spans="1:13" x14ac:dyDescent="0.3">
      <c r="A4" s="123" t="s">
        <v>44</v>
      </c>
      <c r="B4" s="123" t="s">
        <v>45</v>
      </c>
      <c r="C4" s="123" t="s">
        <v>46</v>
      </c>
      <c r="D4" s="123" t="s">
        <v>47</v>
      </c>
      <c r="E4" s="123" t="s">
        <v>23</v>
      </c>
      <c r="F4" s="126"/>
      <c r="G4" s="123" t="s">
        <v>24</v>
      </c>
      <c r="H4" s="126"/>
      <c r="I4" s="123" t="s">
        <v>25</v>
      </c>
      <c r="J4" s="126"/>
      <c r="K4" s="123" t="s">
        <v>48</v>
      </c>
      <c r="L4" s="126"/>
      <c r="M4" s="123" t="s">
        <v>49</v>
      </c>
    </row>
    <row r="5" spans="1:13" x14ac:dyDescent="0.3">
      <c r="A5" s="124"/>
      <c r="B5" s="124"/>
      <c r="C5" s="124"/>
      <c r="D5" s="125"/>
      <c r="E5" s="63" t="s">
        <v>50</v>
      </c>
      <c r="F5" s="63" t="s">
        <v>51</v>
      </c>
      <c r="G5" s="63" t="s">
        <v>50</v>
      </c>
      <c r="H5" s="63" t="s">
        <v>51</v>
      </c>
      <c r="I5" s="63" t="s">
        <v>50</v>
      </c>
      <c r="J5" s="63" t="s">
        <v>51</v>
      </c>
      <c r="K5" s="63" t="s">
        <v>50</v>
      </c>
      <c r="L5" s="63" t="s">
        <v>51</v>
      </c>
      <c r="M5" s="124"/>
    </row>
    <row r="6" spans="1:13" x14ac:dyDescent="0.3">
      <c r="A6" s="71" t="s">
        <v>8</v>
      </c>
      <c r="B6" s="72" t="s">
        <v>52</v>
      </c>
      <c r="C6" s="72">
        <v>1</v>
      </c>
      <c r="D6" s="72" t="s">
        <v>53</v>
      </c>
      <c r="E6" s="73">
        <v>1735178128</v>
      </c>
      <c r="F6" s="73">
        <v>1735178128</v>
      </c>
      <c r="G6" s="73">
        <v>835988399</v>
      </c>
      <c r="H6" s="73">
        <v>835988399</v>
      </c>
      <c r="I6" s="73">
        <v>1466025890</v>
      </c>
      <c r="J6" s="73">
        <v>1466025890</v>
      </c>
      <c r="K6" s="73">
        <v>4037192417</v>
      </c>
      <c r="L6" s="74">
        <v>4037192417</v>
      </c>
      <c r="M6" s="75"/>
    </row>
    <row r="7" spans="1:13" x14ac:dyDescent="0.3">
      <c r="A7" s="79" t="s">
        <v>54</v>
      </c>
      <c r="B7" s="80"/>
      <c r="C7" s="80"/>
      <c r="D7" s="96"/>
      <c r="E7" s="80"/>
      <c r="F7" s="81">
        <f>F6</f>
        <v>1735178128</v>
      </c>
      <c r="G7" s="80"/>
      <c r="H7" s="81">
        <f>H6</f>
        <v>835988399</v>
      </c>
      <c r="I7" s="80"/>
      <c r="J7" s="81">
        <f>J6</f>
        <v>1466025890</v>
      </c>
      <c r="K7" s="80"/>
      <c r="L7" s="81">
        <f>L6</f>
        <v>4037192417</v>
      </c>
      <c r="M7" s="82"/>
    </row>
    <row r="8" spans="1:13" x14ac:dyDescent="0.3">
      <c r="A8" s="64" t="s">
        <v>55</v>
      </c>
      <c r="B8" s="95" t="s">
        <v>56</v>
      </c>
      <c r="C8" s="92"/>
      <c r="D8" s="97"/>
      <c r="E8" s="92"/>
      <c r="F8" s="92"/>
      <c r="G8" s="92"/>
      <c r="H8" s="92"/>
      <c r="I8" s="92"/>
      <c r="J8" s="92"/>
      <c r="K8" s="92"/>
      <c r="L8" s="92"/>
      <c r="M8" s="94"/>
    </row>
    <row r="9" spans="1:13" x14ac:dyDescent="0.3">
      <c r="A9" s="23" t="s">
        <v>57</v>
      </c>
      <c r="B9" s="65" t="s">
        <v>58</v>
      </c>
      <c r="C9" s="25"/>
      <c r="D9" s="98"/>
      <c r="E9" s="25"/>
      <c r="F9" s="25"/>
      <c r="G9" s="25"/>
      <c r="H9" s="25"/>
      <c r="I9" s="25"/>
      <c r="J9" s="24">
        <f>ROUND(H7*0.197,0)</f>
        <v>164689715</v>
      </c>
      <c r="K9" s="25"/>
      <c r="L9" s="24">
        <f t="shared" ref="L9:L20" si="0">J9</f>
        <v>164689715</v>
      </c>
      <c r="M9" s="26"/>
    </row>
    <row r="10" spans="1:13" x14ac:dyDescent="0.3">
      <c r="A10" s="23" t="s">
        <v>59</v>
      </c>
      <c r="B10" s="65" t="s">
        <v>60</v>
      </c>
      <c r="C10" s="25"/>
      <c r="D10" s="98"/>
      <c r="E10" s="25"/>
      <c r="F10" s="25"/>
      <c r="G10" s="25"/>
      <c r="H10" s="25"/>
      <c r="I10" s="25"/>
      <c r="J10" s="24">
        <f>ROUND((H7+J9)*0.0356,0)</f>
        <v>35624141</v>
      </c>
      <c r="K10" s="25"/>
      <c r="L10" s="24">
        <f t="shared" si="0"/>
        <v>35624141</v>
      </c>
      <c r="M10" s="26"/>
    </row>
    <row r="11" spans="1:13" x14ac:dyDescent="0.3">
      <c r="A11" s="23" t="s">
        <v>61</v>
      </c>
      <c r="B11" s="65" t="s">
        <v>62</v>
      </c>
      <c r="C11" s="25"/>
      <c r="D11" s="98"/>
      <c r="E11" s="25"/>
      <c r="F11" s="25"/>
      <c r="G11" s="25"/>
      <c r="H11" s="25"/>
      <c r="I11" s="25"/>
      <c r="J11" s="24">
        <f>ROUND((H7+J9)*0.0115,0)</f>
        <v>11507798</v>
      </c>
      <c r="K11" s="25"/>
      <c r="L11" s="24">
        <f t="shared" si="0"/>
        <v>11507798</v>
      </c>
      <c r="M11" s="26"/>
    </row>
    <row r="12" spans="1:13" x14ac:dyDescent="0.3">
      <c r="A12" s="23" t="s">
        <v>63</v>
      </c>
      <c r="B12" s="65" t="s">
        <v>64</v>
      </c>
      <c r="C12" s="25"/>
      <c r="D12" s="98"/>
      <c r="E12" s="25"/>
      <c r="F12" s="25"/>
      <c r="G12" s="25"/>
      <c r="H12" s="25"/>
      <c r="I12" s="25"/>
      <c r="J12" s="24">
        <f>ROUND(H7*0.03595,0)</f>
        <v>30053783</v>
      </c>
      <c r="K12" s="25"/>
      <c r="L12" s="24">
        <f t="shared" si="0"/>
        <v>30053783</v>
      </c>
      <c r="M12" s="26"/>
    </row>
    <row r="13" spans="1:13" x14ac:dyDescent="0.3">
      <c r="A13" s="23" t="s">
        <v>65</v>
      </c>
      <c r="B13" s="65" t="s">
        <v>66</v>
      </c>
      <c r="C13" s="25"/>
      <c r="D13" s="98"/>
      <c r="E13" s="25"/>
      <c r="F13" s="25"/>
      <c r="G13" s="25"/>
      <c r="H13" s="25"/>
      <c r="I13" s="25"/>
      <c r="J13" s="24">
        <f>ROUND(H7*0.0475,0)</f>
        <v>39709449</v>
      </c>
      <c r="K13" s="25"/>
      <c r="L13" s="24">
        <f t="shared" si="0"/>
        <v>39709449</v>
      </c>
      <c r="M13" s="26"/>
    </row>
    <row r="14" spans="1:13" x14ac:dyDescent="0.3">
      <c r="A14" s="23" t="s">
        <v>67</v>
      </c>
      <c r="B14" s="65" t="s">
        <v>68</v>
      </c>
      <c r="C14" s="25"/>
      <c r="D14" s="98"/>
      <c r="E14" s="25"/>
      <c r="F14" s="25"/>
      <c r="G14" s="25"/>
      <c r="H14" s="25"/>
      <c r="I14" s="25"/>
      <c r="J14" s="24">
        <f>ROUND(J12*0.1314,0)</f>
        <v>3949067</v>
      </c>
      <c r="K14" s="25"/>
      <c r="L14" s="24">
        <f t="shared" si="0"/>
        <v>3949067</v>
      </c>
      <c r="M14" s="26"/>
    </row>
    <row r="15" spans="1:13" x14ac:dyDescent="0.3">
      <c r="A15" s="23" t="s">
        <v>69</v>
      </c>
      <c r="B15" s="65" t="s">
        <v>70</v>
      </c>
      <c r="C15" s="25"/>
      <c r="D15" s="98"/>
      <c r="E15" s="25"/>
      <c r="F15" s="25"/>
      <c r="G15" s="25"/>
      <c r="H15" s="25"/>
      <c r="I15" s="25"/>
      <c r="J15" s="24">
        <f>ROUND((F7+H7)*0.026,0)</f>
        <v>66850330</v>
      </c>
      <c r="K15" s="25"/>
      <c r="L15" s="24">
        <f t="shared" si="0"/>
        <v>66850330</v>
      </c>
      <c r="M15" s="26"/>
    </row>
    <row r="16" spans="1:13" x14ac:dyDescent="0.3">
      <c r="A16" s="23" t="s">
        <v>71</v>
      </c>
      <c r="B16" s="65" t="s">
        <v>72</v>
      </c>
      <c r="C16" s="25"/>
      <c r="D16" s="98"/>
      <c r="E16" s="25"/>
      <c r="F16" s="25"/>
      <c r="G16" s="25"/>
      <c r="H16" s="25"/>
      <c r="I16" s="25"/>
      <c r="J16" s="24">
        <f>ROUND((F7+(H7+J9))*0.062,0)</f>
        <v>169623087</v>
      </c>
      <c r="K16" s="25"/>
      <c r="L16" s="24">
        <f t="shared" si="0"/>
        <v>169623087</v>
      </c>
      <c r="M16" s="26"/>
    </row>
    <row r="17" spans="1:13" x14ac:dyDescent="0.3">
      <c r="A17" s="23" t="s">
        <v>73</v>
      </c>
      <c r="B17" s="65" t="s">
        <v>74</v>
      </c>
      <c r="C17" s="25"/>
      <c r="D17" s="98"/>
      <c r="E17" s="25"/>
      <c r="F17" s="25"/>
      <c r="G17" s="25"/>
      <c r="H17" s="25"/>
      <c r="I17" s="25"/>
      <c r="J17" s="24">
        <f>ROUND(L7*0.004,0)</f>
        <v>16148770</v>
      </c>
      <c r="K17" s="25"/>
      <c r="L17" s="24">
        <f t="shared" si="0"/>
        <v>16148770</v>
      </c>
      <c r="M17" s="26"/>
    </row>
    <row r="18" spans="1:13" x14ac:dyDescent="0.3">
      <c r="A18" s="23" t="s">
        <v>75</v>
      </c>
      <c r="B18" s="65" t="s">
        <v>76</v>
      </c>
      <c r="C18" s="25"/>
      <c r="D18" s="98"/>
      <c r="E18" s="25"/>
      <c r="F18" s="25"/>
      <c r="G18" s="25"/>
      <c r="H18" s="25"/>
      <c r="I18" s="25"/>
      <c r="J18" s="24">
        <f>ROUND(L7*0.006,0)</f>
        <v>24223155</v>
      </c>
      <c r="K18" s="25"/>
      <c r="L18" s="24">
        <f t="shared" si="0"/>
        <v>24223155</v>
      </c>
      <c r="M18" s="26"/>
    </row>
    <row r="19" spans="1:13" x14ac:dyDescent="0.3">
      <c r="A19" s="23" t="s">
        <v>77</v>
      </c>
      <c r="B19" s="65" t="s">
        <v>78</v>
      </c>
      <c r="C19" s="25"/>
      <c r="D19" s="98"/>
      <c r="E19" s="25"/>
      <c r="F19" s="25"/>
      <c r="G19" s="25"/>
      <c r="H19" s="25"/>
      <c r="I19" s="25"/>
      <c r="J19" s="24">
        <f>ROUND((L7+SUM(J9:J18))*0.05,0)</f>
        <v>229978586</v>
      </c>
      <c r="K19" s="25"/>
      <c r="L19" s="24">
        <f t="shared" si="0"/>
        <v>229978586</v>
      </c>
      <c r="M19" s="26"/>
    </row>
    <row r="20" spans="1:13" x14ac:dyDescent="0.3">
      <c r="A20" s="23" t="s">
        <v>79</v>
      </c>
      <c r="B20" s="65" t="s">
        <v>80</v>
      </c>
      <c r="C20" s="25"/>
      <c r="D20" s="98"/>
      <c r="E20" s="25"/>
      <c r="F20" s="25"/>
      <c r="G20" s="25"/>
      <c r="H20" s="25"/>
      <c r="I20" s="25"/>
      <c r="J20" s="24">
        <f>ROUND(((H7+J9)+(J7+SUM(J9:J18)-J9)+J19)*0.07,0)</f>
        <v>216606052</v>
      </c>
      <c r="K20" s="25"/>
      <c r="L20" s="24">
        <f t="shared" si="0"/>
        <v>216606052</v>
      </c>
      <c r="M20" s="26"/>
    </row>
    <row r="21" spans="1:13" x14ac:dyDescent="0.3">
      <c r="A21" s="83" t="s">
        <v>81</v>
      </c>
      <c r="B21" s="84"/>
      <c r="C21" s="84"/>
      <c r="D21" s="99"/>
      <c r="E21" s="84"/>
      <c r="F21" s="84"/>
      <c r="G21" s="84"/>
      <c r="H21" s="84"/>
      <c r="I21" s="84"/>
      <c r="J21" s="85">
        <f>SUM(J9:J20)</f>
        <v>1008963933</v>
      </c>
      <c r="K21" s="84"/>
      <c r="L21" s="85">
        <f>SUM(L9:L20)</f>
        <v>1008963933</v>
      </c>
      <c r="M21" s="86"/>
    </row>
    <row r="22" spans="1:13" x14ac:dyDescent="0.3">
      <c r="A22" s="91" t="s">
        <v>82</v>
      </c>
      <c r="B22" s="92"/>
      <c r="C22" s="92"/>
      <c r="D22" s="97"/>
      <c r="E22" s="92"/>
      <c r="F22" s="93">
        <f>F7</f>
        <v>1735178128</v>
      </c>
      <c r="G22" s="92"/>
      <c r="H22" s="93">
        <f>H7</f>
        <v>835988399</v>
      </c>
      <c r="I22" s="92"/>
      <c r="J22" s="93">
        <f>J7+J21</f>
        <v>2474989823</v>
      </c>
      <c r="K22" s="92"/>
      <c r="L22" s="93">
        <f>L7+L21</f>
        <v>5046156350</v>
      </c>
      <c r="M22" s="94"/>
    </row>
    <row r="23" spans="1:13" x14ac:dyDescent="0.3">
      <c r="A23" s="68" t="s">
        <v>40</v>
      </c>
      <c r="B23" s="69" t="s">
        <v>83</v>
      </c>
      <c r="C23" s="66"/>
      <c r="D23" s="100"/>
      <c r="E23" s="66"/>
      <c r="F23" s="66"/>
      <c r="G23" s="66"/>
      <c r="H23" s="66"/>
      <c r="I23" s="66"/>
      <c r="J23" s="70">
        <f>ROUND(L22*0.1,0)</f>
        <v>504615635</v>
      </c>
      <c r="K23" s="66"/>
      <c r="L23" s="70">
        <f>J23</f>
        <v>504615635</v>
      </c>
      <c r="M23" s="67"/>
    </row>
    <row r="24" spans="1:13" x14ac:dyDescent="0.3">
      <c r="A24" s="87" t="s">
        <v>84</v>
      </c>
      <c r="B24" s="88"/>
      <c r="C24" s="88"/>
      <c r="D24" s="101"/>
      <c r="E24" s="88"/>
      <c r="F24" s="88"/>
      <c r="G24" s="88"/>
      <c r="H24" s="88"/>
      <c r="I24" s="88"/>
      <c r="J24" s="88"/>
      <c r="K24" s="88"/>
      <c r="L24" s="89">
        <f>L22+L23</f>
        <v>5550771985</v>
      </c>
      <c r="M24" s="90"/>
    </row>
    <row r="26" spans="1:13" ht="17.25" x14ac:dyDescent="0.3">
      <c r="A26" s="17" t="s">
        <v>92</v>
      </c>
    </row>
    <row r="27" spans="1:13" x14ac:dyDescent="0.3">
      <c r="A27" s="76" t="s">
        <v>8</v>
      </c>
      <c r="B27" s="77"/>
      <c r="C27" s="77"/>
      <c r="D27" s="102"/>
      <c r="E27" s="77"/>
      <c r="F27" s="77"/>
      <c r="G27" s="77"/>
      <c r="H27" s="77"/>
      <c r="I27" s="77"/>
      <c r="J27" s="77"/>
      <c r="K27" s="77"/>
      <c r="L27" s="77"/>
      <c r="M27" s="78"/>
    </row>
    <row r="28" spans="1:13" x14ac:dyDescent="0.3">
      <c r="A28" s="51" t="s">
        <v>93</v>
      </c>
      <c r="B28" s="52"/>
      <c r="C28" s="52"/>
      <c r="D28" s="103"/>
      <c r="E28" s="52"/>
      <c r="F28" s="52"/>
      <c r="G28" s="52"/>
      <c r="H28" s="52"/>
      <c r="I28" s="52"/>
      <c r="J28" s="52"/>
      <c r="K28" s="52"/>
      <c r="L28" s="52"/>
      <c r="M28" s="53"/>
    </row>
    <row r="29" spans="1:13" x14ac:dyDescent="0.3">
      <c r="A29" s="51" t="s">
        <v>94</v>
      </c>
      <c r="B29" s="52"/>
      <c r="C29" s="52"/>
      <c r="D29" s="103"/>
      <c r="E29" s="52"/>
      <c r="F29" s="52"/>
      <c r="G29" s="52"/>
      <c r="H29" s="52"/>
      <c r="I29" s="52"/>
      <c r="J29" s="52"/>
      <c r="K29" s="52"/>
      <c r="L29" s="52"/>
      <c r="M29" s="53"/>
    </row>
    <row r="30" spans="1:13" x14ac:dyDescent="0.3">
      <c r="A30" s="51" t="s">
        <v>95</v>
      </c>
      <c r="B30" s="52"/>
      <c r="C30" s="52"/>
      <c r="D30" s="103"/>
      <c r="E30" s="52"/>
      <c r="F30" s="52"/>
      <c r="G30" s="52"/>
      <c r="H30" s="52"/>
      <c r="I30" s="52"/>
      <c r="J30" s="52"/>
      <c r="K30" s="52"/>
      <c r="L30" s="52"/>
      <c r="M30" s="53"/>
    </row>
    <row r="31" spans="1:13" x14ac:dyDescent="0.3">
      <c r="A31" s="51" t="s">
        <v>96</v>
      </c>
      <c r="B31" s="52"/>
      <c r="C31" s="54">
        <v>22891</v>
      </c>
      <c r="D31" s="103" t="s">
        <v>97</v>
      </c>
      <c r="E31" s="54">
        <v>277</v>
      </c>
      <c r="F31" s="55">
        <f>E31*C31</f>
        <v>6340807</v>
      </c>
      <c r="G31" s="54">
        <v>90</v>
      </c>
      <c r="H31" s="55">
        <f>G31*C31</f>
        <v>2060190</v>
      </c>
      <c r="I31" s="54">
        <v>29</v>
      </c>
      <c r="J31" s="55">
        <f>I31*C31</f>
        <v>663839</v>
      </c>
      <c r="K31" s="55">
        <f>E31+G31+I31</f>
        <v>396</v>
      </c>
      <c r="L31" s="55">
        <f>F31+H31+J31</f>
        <v>9064836</v>
      </c>
      <c r="M31" s="53"/>
    </row>
    <row r="32" spans="1:13" x14ac:dyDescent="0.3">
      <c r="A32" s="51" t="s">
        <v>98</v>
      </c>
      <c r="B32" s="52"/>
      <c r="C32" s="54">
        <v>22891</v>
      </c>
      <c r="D32" s="103" t="s">
        <v>97</v>
      </c>
      <c r="E32" s="54">
        <v>277</v>
      </c>
      <c r="F32" s="55">
        <f>E32*C32</f>
        <v>6340807</v>
      </c>
      <c r="G32" s="54">
        <v>54</v>
      </c>
      <c r="H32" s="55">
        <f>G32*C32</f>
        <v>1236114</v>
      </c>
      <c r="I32" s="54">
        <v>29</v>
      </c>
      <c r="J32" s="55">
        <f>I32*C32</f>
        <v>663839</v>
      </c>
      <c r="K32" s="55">
        <f>E32+G32+I32</f>
        <v>360</v>
      </c>
      <c r="L32" s="55">
        <f>F32+H32+J32</f>
        <v>8240760</v>
      </c>
      <c r="M32" s="53"/>
    </row>
    <row r="33" spans="1:13" x14ac:dyDescent="0.3">
      <c r="A33" s="51" t="s">
        <v>99</v>
      </c>
      <c r="B33" s="52"/>
      <c r="C33" s="52"/>
      <c r="D33" s="103"/>
      <c r="E33" s="52"/>
      <c r="F33" s="52"/>
      <c r="G33" s="52"/>
      <c r="H33" s="52"/>
      <c r="I33" s="52"/>
      <c r="J33" s="52"/>
      <c r="K33" s="52"/>
      <c r="L33" s="52"/>
      <c r="M33" s="53"/>
    </row>
    <row r="34" spans="1:13" x14ac:dyDescent="0.3">
      <c r="A34" s="51" t="s">
        <v>100</v>
      </c>
      <c r="B34" s="52"/>
      <c r="C34" s="52"/>
      <c r="D34" s="103"/>
      <c r="E34" s="52"/>
      <c r="F34" s="52"/>
      <c r="G34" s="52"/>
      <c r="H34" s="52"/>
      <c r="I34" s="52"/>
      <c r="J34" s="52"/>
      <c r="K34" s="52"/>
      <c r="L34" s="52"/>
      <c r="M34" s="53"/>
    </row>
    <row r="35" spans="1:13" x14ac:dyDescent="0.3">
      <c r="A35" s="51" t="s">
        <v>101</v>
      </c>
      <c r="B35" s="52" t="s">
        <v>102</v>
      </c>
      <c r="C35" s="54">
        <v>1917</v>
      </c>
      <c r="D35" s="103" t="s">
        <v>103</v>
      </c>
      <c r="E35" s="54">
        <v>1128</v>
      </c>
      <c r="F35" s="55">
        <f>E35*C35</f>
        <v>2162376</v>
      </c>
      <c r="G35" s="54">
        <v>0</v>
      </c>
      <c r="H35" s="55">
        <f>G35*C35</f>
        <v>0</v>
      </c>
      <c r="I35" s="54">
        <v>0</v>
      </c>
      <c r="J35" s="55">
        <f>I35*C35</f>
        <v>0</v>
      </c>
      <c r="K35" s="55">
        <f t="shared" ref="K35:L37" si="1">E35+G35+I35</f>
        <v>1128</v>
      </c>
      <c r="L35" s="55">
        <f t="shared" si="1"/>
        <v>2162376</v>
      </c>
      <c r="M35" s="53"/>
    </row>
    <row r="36" spans="1:13" x14ac:dyDescent="0.3">
      <c r="A36" s="51" t="s">
        <v>104</v>
      </c>
      <c r="B36" s="52" t="s">
        <v>105</v>
      </c>
      <c r="C36" s="54">
        <v>1906</v>
      </c>
      <c r="D36" s="103" t="s">
        <v>103</v>
      </c>
      <c r="E36" s="54">
        <v>4700</v>
      </c>
      <c r="F36" s="55">
        <f>E36*C36</f>
        <v>8958200</v>
      </c>
      <c r="G36" s="54">
        <v>0</v>
      </c>
      <c r="H36" s="55">
        <f>G36*C36</f>
        <v>0</v>
      </c>
      <c r="I36" s="54">
        <v>0</v>
      </c>
      <c r="J36" s="55">
        <f>I36*C36</f>
        <v>0</v>
      </c>
      <c r="K36" s="55">
        <f t="shared" si="1"/>
        <v>4700</v>
      </c>
      <c r="L36" s="55">
        <f t="shared" si="1"/>
        <v>8958200</v>
      </c>
      <c r="M36" s="53"/>
    </row>
    <row r="37" spans="1:13" x14ac:dyDescent="0.3">
      <c r="A37" s="51" t="s">
        <v>106</v>
      </c>
      <c r="B37" s="52" t="s">
        <v>107</v>
      </c>
      <c r="C37" s="54">
        <v>11</v>
      </c>
      <c r="D37" s="103" t="s">
        <v>103</v>
      </c>
      <c r="E37" s="54">
        <v>358084</v>
      </c>
      <c r="F37" s="55">
        <f>E37*C37</f>
        <v>3938924</v>
      </c>
      <c r="G37" s="54">
        <v>0</v>
      </c>
      <c r="H37" s="55">
        <f>G37*C37</f>
        <v>0</v>
      </c>
      <c r="I37" s="54">
        <v>0</v>
      </c>
      <c r="J37" s="55">
        <f>I37*C37</f>
        <v>0</v>
      </c>
      <c r="K37" s="55">
        <f t="shared" si="1"/>
        <v>358084</v>
      </c>
      <c r="L37" s="55">
        <f t="shared" si="1"/>
        <v>3938924</v>
      </c>
      <c r="M37" s="53"/>
    </row>
    <row r="38" spans="1:13" x14ac:dyDescent="0.3">
      <c r="A38" s="51" t="s">
        <v>108</v>
      </c>
      <c r="B38" s="52"/>
      <c r="C38" s="52"/>
      <c r="D38" s="103"/>
      <c r="E38" s="52"/>
      <c r="F38" s="52"/>
      <c r="G38" s="52"/>
      <c r="H38" s="52"/>
      <c r="I38" s="52"/>
      <c r="J38" s="52"/>
      <c r="K38" s="52"/>
      <c r="L38" s="52"/>
      <c r="M38" s="53"/>
    </row>
    <row r="39" spans="1:13" x14ac:dyDescent="0.3">
      <c r="A39" s="51" t="s">
        <v>109</v>
      </c>
      <c r="B39" s="52"/>
      <c r="C39" s="54">
        <v>1082</v>
      </c>
      <c r="D39" s="103" t="s">
        <v>97</v>
      </c>
      <c r="E39" s="54">
        <v>501</v>
      </c>
      <c r="F39" s="55">
        <f>E39*C39</f>
        <v>542082</v>
      </c>
      <c r="G39" s="54">
        <v>437</v>
      </c>
      <c r="H39" s="55">
        <f>G39*C39</f>
        <v>472834</v>
      </c>
      <c r="I39" s="54">
        <v>0</v>
      </c>
      <c r="J39" s="55">
        <f>I39*C39</f>
        <v>0</v>
      </c>
      <c r="K39" s="55">
        <f t="shared" ref="K39:L41" si="2">E39+G39+I39</f>
        <v>938</v>
      </c>
      <c r="L39" s="55">
        <f t="shared" si="2"/>
        <v>1014916</v>
      </c>
      <c r="M39" s="53"/>
    </row>
    <row r="40" spans="1:13" x14ac:dyDescent="0.3">
      <c r="A40" s="51" t="s">
        <v>110</v>
      </c>
      <c r="B40" s="52" t="s">
        <v>111</v>
      </c>
      <c r="C40" s="54">
        <v>67</v>
      </c>
      <c r="D40" s="103" t="s">
        <v>103</v>
      </c>
      <c r="E40" s="54">
        <v>0</v>
      </c>
      <c r="F40" s="55">
        <f>E40*C40</f>
        <v>0</v>
      </c>
      <c r="G40" s="54">
        <v>293</v>
      </c>
      <c r="H40" s="55">
        <f>G40*C40</f>
        <v>19631</v>
      </c>
      <c r="I40" s="54">
        <v>1646</v>
      </c>
      <c r="J40" s="55">
        <f>I40*C40</f>
        <v>110282</v>
      </c>
      <c r="K40" s="55">
        <f t="shared" si="2"/>
        <v>1939</v>
      </c>
      <c r="L40" s="55">
        <f t="shared" si="2"/>
        <v>129913</v>
      </c>
      <c r="M40" s="53"/>
    </row>
    <row r="41" spans="1:13" x14ac:dyDescent="0.3">
      <c r="A41" s="51" t="s">
        <v>112</v>
      </c>
      <c r="B41" s="52" t="s">
        <v>113</v>
      </c>
      <c r="C41" s="54">
        <v>67</v>
      </c>
      <c r="D41" s="103" t="s">
        <v>103</v>
      </c>
      <c r="E41" s="54">
        <v>0</v>
      </c>
      <c r="F41" s="55">
        <f>E41*C41</f>
        <v>0</v>
      </c>
      <c r="G41" s="54">
        <v>589</v>
      </c>
      <c r="H41" s="55">
        <f>G41*C41</f>
        <v>39463</v>
      </c>
      <c r="I41" s="54">
        <v>2336</v>
      </c>
      <c r="J41" s="55">
        <f>I41*C41</f>
        <v>156512</v>
      </c>
      <c r="K41" s="55">
        <f t="shared" si="2"/>
        <v>2925</v>
      </c>
      <c r="L41" s="55">
        <f t="shared" si="2"/>
        <v>195975</v>
      </c>
      <c r="M41" s="53"/>
    </row>
    <row r="42" spans="1:13" x14ac:dyDescent="0.3">
      <c r="A42" s="51" t="s">
        <v>114</v>
      </c>
      <c r="B42" s="52"/>
      <c r="C42" s="52"/>
      <c r="D42" s="103"/>
      <c r="E42" s="52"/>
      <c r="F42" s="52"/>
      <c r="G42" s="52"/>
      <c r="H42" s="52"/>
      <c r="I42" s="52"/>
      <c r="J42" s="52"/>
      <c r="K42" s="52"/>
      <c r="L42" s="52"/>
      <c r="M42" s="53"/>
    </row>
    <row r="43" spans="1:13" x14ac:dyDescent="0.3">
      <c r="A43" s="51" t="s">
        <v>115</v>
      </c>
      <c r="B43" s="52" t="s">
        <v>116</v>
      </c>
      <c r="C43" s="54">
        <v>1246</v>
      </c>
      <c r="D43" s="103" t="s">
        <v>97</v>
      </c>
      <c r="E43" s="54">
        <v>5550</v>
      </c>
      <c r="F43" s="55">
        <f>E43*C43</f>
        <v>6915300</v>
      </c>
      <c r="G43" s="54">
        <v>1164</v>
      </c>
      <c r="H43" s="55">
        <f>G43*C43</f>
        <v>1450344</v>
      </c>
      <c r="I43" s="54">
        <v>0</v>
      </c>
      <c r="J43" s="55">
        <f>I43*C43</f>
        <v>0</v>
      </c>
      <c r="K43" s="55">
        <f>E43+G43+I43</f>
        <v>6714</v>
      </c>
      <c r="L43" s="55">
        <f>F43+H43+J43</f>
        <v>8365644</v>
      </c>
      <c r="M43" s="53"/>
    </row>
    <row r="44" spans="1:13" x14ac:dyDescent="0.3">
      <c r="A44" s="51" t="s">
        <v>117</v>
      </c>
      <c r="B44" s="52" t="s">
        <v>118</v>
      </c>
      <c r="C44" s="54">
        <v>1172</v>
      </c>
      <c r="D44" s="103" t="s">
        <v>97</v>
      </c>
      <c r="E44" s="54">
        <v>11101</v>
      </c>
      <c r="F44" s="55">
        <f>E44*C44</f>
        <v>13010372</v>
      </c>
      <c r="G44" s="54">
        <v>2328</v>
      </c>
      <c r="H44" s="55">
        <f>G44*C44</f>
        <v>2728416</v>
      </c>
      <c r="I44" s="54">
        <v>0</v>
      </c>
      <c r="J44" s="55">
        <f>I44*C44</f>
        <v>0</v>
      </c>
      <c r="K44" s="55">
        <f>E44+G44+I44</f>
        <v>13429</v>
      </c>
      <c r="L44" s="55">
        <f>F44+H44+J44</f>
        <v>15738788</v>
      </c>
      <c r="M44" s="53"/>
    </row>
    <row r="45" spans="1:13" x14ac:dyDescent="0.3">
      <c r="A45" s="51" t="s">
        <v>119</v>
      </c>
      <c r="B45" s="52"/>
      <c r="C45" s="52"/>
      <c r="D45" s="103"/>
      <c r="E45" s="52"/>
      <c r="F45" s="52"/>
      <c r="G45" s="52"/>
      <c r="H45" s="52"/>
      <c r="I45" s="52"/>
      <c r="J45" s="52"/>
      <c r="K45" s="52"/>
      <c r="L45" s="52"/>
      <c r="M45" s="53"/>
    </row>
    <row r="46" spans="1:13" x14ac:dyDescent="0.3">
      <c r="A46" s="51" t="s">
        <v>120</v>
      </c>
      <c r="B46" s="52"/>
      <c r="C46" s="52"/>
      <c r="D46" s="103"/>
      <c r="E46" s="52"/>
      <c r="F46" s="52"/>
      <c r="G46" s="52"/>
      <c r="H46" s="52"/>
      <c r="I46" s="52"/>
      <c r="J46" s="52"/>
      <c r="K46" s="52"/>
      <c r="L46" s="52"/>
      <c r="M46" s="53"/>
    </row>
    <row r="47" spans="1:13" x14ac:dyDescent="0.3">
      <c r="A47" s="51" t="s">
        <v>121</v>
      </c>
      <c r="B47" s="52" t="s">
        <v>122</v>
      </c>
      <c r="C47" s="54">
        <v>10527</v>
      </c>
      <c r="D47" s="103" t="s">
        <v>103</v>
      </c>
      <c r="E47" s="54">
        <v>0</v>
      </c>
      <c r="F47" s="55">
        <f>E47*C47</f>
        <v>0</v>
      </c>
      <c r="G47" s="54">
        <v>0</v>
      </c>
      <c r="H47" s="55">
        <f>G47*C47</f>
        <v>0</v>
      </c>
      <c r="I47" s="54">
        <v>1098</v>
      </c>
      <c r="J47" s="55">
        <f>I47*C47</f>
        <v>11558646</v>
      </c>
      <c r="K47" s="55">
        <f>E47+G47+I47</f>
        <v>1098</v>
      </c>
      <c r="L47" s="55">
        <f>F47+H47+J47</f>
        <v>11558646</v>
      </c>
      <c r="M47" s="53"/>
    </row>
    <row r="48" spans="1:13" x14ac:dyDescent="0.3">
      <c r="A48" s="51" t="s">
        <v>123</v>
      </c>
      <c r="B48" s="52" t="s">
        <v>124</v>
      </c>
      <c r="C48" s="54">
        <v>72445</v>
      </c>
      <c r="D48" s="103" t="s">
        <v>103</v>
      </c>
      <c r="E48" s="54">
        <v>0</v>
      </c>
      <c r="F48" s="55">
        <f>E48*C48</f>
        <v>0</v>
      </c>
      <c r="G48" s="54">
        <v>224</v>
      </c>
      <c r="H48" s="55">
        <f>G48*C48</f>
        <v>16227680</v>
      </c>
      <c r="I48" s="54">
        <v>1217</v>
      </c>
      <c r="J48" s="55">
        <f>I48*C48</f>
        <v>88165565</v>
      </c>
      <c r="K48" s="55">
        <f>E48+G48+I48</f>
        <v>1441</v>
      </c>
      <c r="L48" s="55">
        <f>F48+H48+J48</f>
        <v>104393245</v>
      </c>
      <c r="M48" s="53"/>
    </row>
    <row r="49" spans="1:13" x14ac:dyDescent="0.3">
      <c r="A49" s="51" t="s">
        <v>125</v>
      </c>
      <c r="B49" s="52"/>
      <c r="C49" s="52"/>
      <c r="D49" s="103"/>
      <c r="E49" s="52"/>
      <c r="F49" s="52"/>
      <c r="G49" s="52"/>
      <c r="H49" s="52"/>
      <c r="I49" s="52"/>
      <c r="J49" s="52"/>
      <c r="K49" s="52"/>
      <c r="L49" s="52"/>
      <c r="M49" s="53"/>
    </row>
    <row r="50" spans="1:13" x14ac:dyDescent="0.3">
      <c r="A50" s="51" t="s">
        <v>126</v>
      </c>
      <c r="B50" s="52" t="s">
        <v>127</v>
      </c>
      <c r="C50" s="54">
        <v>5167</v>
      </c>
      <c r="D50" s="103" t="s">
        <v>103</v>
      </c>
      <c r="E50" s="54">
        <v>0</v>
      </c>
      <c r="F50" s="55">
        <f>E50*C50</f>
        <v>0</v>
      </c>
      <c r="G50" s="54">
        <v>229</v>
      </c>
      <c r="H50" s="55">
        <f>G50*C50</f>
        <v>1183243</v>
      </c>
      <c r="I50" s="54">
        <v>1556</v>
      </c>
      <c r="J50" s="55">
        <f>I50*C50</f>
        <v>8039852</v>
      </c>
      <c r="K50" s="55">
        <f>E50+G50+I50</f>
        <v>1785</v>
      </c>
      <c r="L50" s="55">
        <f>F50+H50+J50</f>
        <v>9223095</v>
      </c>
      <c r="M50" s="53"/>
    </row>
    <row r="51" spans="1:13" x14ac:dyDescent="0.3">
      <c r="A51" s="51" t="s">
        <v>128</v>
      </c>
      <c r="B51" s="52"/>
      <c r="C51" s="52"/>
      <c r="D51" s="103"/>
      <c r="E51" s="52"/>
      <c r="F51" s="52"/>
      <c r="G51" s="52"/>
      <c r="H51" s="52"/>
      <c r="I51" s="52"/>
      <c r="J51" s="52"/>
      <c r="K51" s="52"/>
      <c r="L51" s="52"/>
      <c r="M51" s="53"/>
    </row>
    <row r="52" spans="1:13" x14ac:dyDescent="0.3">
      <c r="A52" s="51" t="s">
        <v>129</v>
      </c>
      <c r="B52" s="52" t="s">
        <v>130</v>
      </c>
      <c r="C52" s="54">
        <v>921</v>
      </c>
      <c r="D52" s="103" t="s">
        <v>103</v>
      </c>
      <c r="E52" s="54">
        <v>0</v>
      </c>
      <c r="F52" s="55">
        <f>E52*C52</f>
        <v>0</v>
      </c>
      <c r="G52" s="54">
        <v>340</v>
      </c>
      <c r="H52" s="55">
        <f>G52*C52</f>
        <v>313140</v>
      </c>
      <c r="I52" s="54">
        <v>9898</v>
      </c>
      <c r="J52" s="55">
        <f>I52*C52</f>
        <v>9116058</v>
      </c>
      <c r="K52" s="55">
        <f>E52+G52+I52</f>
        <v>10238</v>
      </c>
      <c r="L52" s="55">
        <f>F52+H52+J52</f>
        <v>9429198</v>
      </c>
      <c r="M52" s="53"/>
    </row>
    <row r="53" spans="1:13" x14ac:dyDescent="0.3">
      <c r="A53" s="51" t="s">
        <v>131</v>
      </c>
      <c r="B53" s="52" t="s">
        <v>132</v>
      </c>
      <c r="C53" s="54">
        <v>0</v>
      </c>
      <c r="D53" s="103" t="s">
        <v>103</v>
      </c>
      <c r="E53" s="52"/>
      <c r="F53" s="54">
        <v>0</v>
      </c>
      <c r="G53" s="52"/>
      <c r="H53" s="54">
        <v>0</v>
      </c>
      <c r="I53" s="52"/>
      <c r="J53" s="54">
        <v>0</v>
      </c>
      <c r="K53" s="52"/>
      <c r="L53" s="54">
        <v>0</v>
      </c>
      <c r="M53" s="53"/>
    </row>
    <row r="54" spans="1:13" x14ac:dyDescent="0.3">
      <c r="A54" s="51" t="s">
        <v>133</v>
      </c>
      <c r="B54" s="52"/>
      <c r="C54" s="52"/>
      <c r="D54" s="103"/>
      <c r="E54" s="52"/>
      <c r="F54" s="52"/>
      <c r="G54" s="52"/>
      <c r="H54" s="52"/>
      <c r="I54" s="52"/>
      <c r="J54" s="52"/>
      <c r="K54" s="52"/>
      <c r="L54" s="52"/>
      <c r="M54" s="53"/>
    </row>
    <row r="55" spans="1:13" x14ac:dyDescent="0.3">
      <c r="A55" s="51" t="s">
        <v>129</v>
      </c>
      <c r="B55" s="52" t="s">
        <v>134</v>
      </c>
      <c r="C55" s="54">
        <v>27</v>
      </c>
      <c r="D55" s="103" t="s">
        <v>103</v>
      </c>
      <c r="E55" s="54">
        <v>0</v>
      </c>
      <c r="F55" s="55">
        <f>E55*C55</f>
        <v>0</v>
      </c>
      <c r="G55" s="54">
        <v>340</v>
      </c>
      <c r="H55" s="55">
        <f>G55*C55</f>
        <v>9180</v>
      </c>
      <c r="I55" s="54">
        <v>5990</v>
      </c>
      <c r="J55" s="55">
        <f>I55*C55</f>
        <v>161730</v>
      </c>
      <c r="K55" s="55">
        <f>E55+G55+I55</f>
        <v>6330</v>
      </c>
      <c r="L55" s="55">
        <f>F55+H55+J55</f>
        <v>170910</v>
      </c>
      <c r="M55" s="53"/>
    </row>
    <row r="56" spans="1:13" x14ac:dyDescent="0.3">
      <c r="A56" s="51" t="s">
        <v>135</v>
      </c>
      <c r="B56" s="52"/>
      <c r="C56" s="52"/>
      <c r="D56" s="103"/>
      <c r="E56" s="52"/>
      <c r="F56" s="52"/>
      <c r="G56" s="52"/>
      <c r="H56" s="52"/>
      <c r="I56" s="52"/>
      <c r="J56" s="52"/>
      <c r="K56" s="52"/>
      <c r="L56" s="52"/>
      <c r="M56" s="53"/>
    </row>
    <row r="57" spans="1:13" x14ac:dyDescent="0.3">
      <c r="A57" s="51" t="s">
        <v>136</v>
      </c>
      <c r="B57" s="52" t="s">
        <v>137</v>
      </c>
      <c r="C57" s="54">
        <v>142</v>
      </c>
      <c r="D57" s="103" t="s">
        <v>103</v>
      </c>
      <c r="E57" s="54">
        <v>0</v>
      </c>
      <c r="F57" s="55">
        <f>E57*C57</f>
        <v>0</v>
      </c>
      <c r="G57" s="54">
        <v>1164</v>
      </c>
      <c r="H57" s="55">
        <f>G57*C57</f>
        <v>165288</v>
      </c>
      <c r="I57" s="54">
        <v>2639</v>
      </c>
      <c r="J57" s="55">
        <f>I57*C57</f>
        <v>374738</v>
      </c>
      <c r="K57" s="55">
        <f>E57+G57+I57</f>
        <v>3803</v>
      </c>
      <c r="L57" s="55">
        <f>F57+H57+J57</f>
        <v>540026</v>
      </c>
      <c r="M57" s="53"/>
    </row>
    <row r="58" spans="1:13" x14ac:dyDescent="0.3">
      <c r="A58" s="51" t="s">
        <v>138</v>
      </c>
      <c r="B58" s="52"/>
      <c r="C58" s="52"/>
      <c r="D58" s="103"/>
      <c r="E58" s="52"/>
      <c r="F58" s="52"/>
      <c r="G58" s="52"/>
      <c r="H58" s="52"/>
      <c r="I58" s="52"/>
      <c r="J58" s="52"/>
      <c r="K58" s="52"/>
      <c r="L58" s="52"/>
      <c r="M58" s="53"/>
    </row>
    <row r="59" spans="1:13" x14ac:dyDescent="0.3">
      <c r="A59" s="51" t="s">
        <v>139</v>
      </c>
      <c r="B59" s="52" t="s">
        <v>140</v>
      </c>
      <c r="C59" s="54">
        <v>1325</v>
      </c>
      <c r="D59" s="103" t="s">
        <v>103</v>
      </c>
      <c r="E59" s="54">
        <v>0</v>
      </c>
      <c r="F59" s="55">
        <f>E59*C59</f>
        <v>0</v>
      </c>
      <c r="G59" s="54">
        <v>238</v>
      </c>
      <c r="H59" s="55">
        <f>G59*C59</f>
        <v>315350</v>
      </c>
      <c r="I59" s="54">
        <v>1332</v>
      </c>
      <c r="J59" s="55">
        <f>I59*C59</f>
        <v>1764900</v>
      </c>
      <c r="K59" s="55">
        <f>E59+G59+I59</f>
        <v>1570</v>
      </c>
      <c r="L59" s="55">
        <f>F59+H59+J59</f>
        <v>2080250</v>
      </c>
      <c r="M59" s="53"/>
    </row>
    <row r="60" spans="1:13" x14ac:dyDescent="0.3">
      <c r="A60" s="51" t="s">
        <v>141</v>
      </c>
      <c r="B60" s="52"/>
      <c r="C60" s="52"/>
      <c r="D60" s="103"/>
      <c r="E60" s="52"/>
      <c r="F60" s="52"/>
      <c r="G60" s="52"/>
      <c r="H60" s="52"/>
      <c r="I60" s="52"/>
      <c r="J60" s="52"/>
      <c r="K60" s="52"/>
      <c r="L60" s="52"/>
      <c r="M60" s="53"/>
    </row>
    <row r="61" spans="1:13" x14ac:dyDescent="0.3">
      <c r="A61" s="51" t="s">
        <v>142</v>
      </c>
      <c r="B61" s="52"/>
      <c r="C61" s="52"/>
      <c r="D61" s="103"/>
      <c r="E61" s="52"/>
      <c r="F61" s="52"/>
      <c r="G61" s="52"/>
      <c r="H61" s="52"/>
      <c r="I61" s="52"/>
      <c r="J61" s="52"/>
      <c r="K61" s="52"/>
      <c r="L61" s="52"/>
      <c r="M61" s="53"/>
    </row>
    <row r="62" spans="1:13" x14ac:dyDescent="0.3">
      <c r="A62" s="51" t="s">
        <v>143</v>
      </c>
      <c r="B62" s="52" t="s">
        <v>144</v>
      </c>
      <c r="C62" s="54">
        <v>6499</v>
      </c>
      <c r="D62" s="103" t="s">
        <v>103</v>
      </c>
      <c r="E62" s="54">
        <v>0</v>
      </c>
      <c r="F62" s="55">
        <f>E62*C62</f>
        <v>0</v>
      </c>
      <c r="G62" s="54">
        <v>125</v>
      </c>
      <c r="H62" s="55">
        <f>G62*C62</f>
        <v>812375</v>
      </c>
      <c r="I62" s="54">
        <v>743</v>
      </c>
      <c r="J62" s="55">
        <f>I62*C62</f>
        <v>4828757</v>
      </c>
      <c r="K62" s="55">
        <f>E62+G62+I62</f>
        <v>868</v>
      </c>
      <c r="L62" s="55">
        <f>F62+H62+J62</f>
        <v>5641132</v>
      </c>
      <c r="M62" s="53"/>
    </row>
    <row r="63" spans="1:13" x14ac:dyDescent="0.3">
      <c r="A63" s="51" t="s">
        <v>145</v>
      </c>
      <c r="B63" s="52" t="s">
        <v>144</v>
      </c>
      <c r="C63" s="54">
        <v>26</v>
      </c>
      <c r="D63" s="103" t="s">
        <v>103</v>
      </c>
      <c r="E63" s="54">
        <v>0</v>
      </c>
      <c r="F63" s="55">
        <f>E63*C63</f>
        <v>0</v>
      </c>
      <c r="G63" s="54">
        <v>125</v>
      </c>
      <c r="H63" s="55">
        <f>G63*C63</f>
        <v>3250</v>
      </c>
      <c r="I63" s="54">
        <v>743</v>
      </c>
      <c r="J63" s="55">
        <f>I63*C63</f>
        <v>19318</v>
      </c>
      <c r="K63" s="55">
        <f>E63+G63+I63</f>
        <v>868</v>
      </c>
      <c r="L63" s="55">
        <f>F63+H63+J63</f>
        <v>22568</v>
      </c>
      <c r="M63" s="53"/>
    </row>
    <row r="64" spans="1:13" x14ac:dyDescent="0.3">
      <c r="A64" s="51" t="s">
        <v>146</v>
      </c>
      <c r="B64" s="52"/>
      <c r="C64" s="52"/>
      <c r="D64" s="103"/>
      <c r="E64" s="52"/>
      <c r="F64" s="52"/>
      <c r="G64" s="52"/>
      <c r="H64" s="52"/>
      <c r="I64" s="52"/>
      <c r="J64" s="52"/>
      <c r="K64" s="52"/>
      <c r="L64" s="52"/>
      <c r="M64" s="53"/>
    </row>
    <row r="65" spans="1:13" x14ac:dyDescent="0.3">
      <c r="A65" s="51" t="s">
        <v>147</v>
      </c>
      <c r="B65" s="52" t="s">
        <v>148</v>
      </c>
      <c r="C65" s="54">
        <v>1916</v>
      </c>
      <c r="D65" s="103" t="s">
        <v>103</v>
      </c>
      <c r="E65" s="54">
        <v>0</v>
      </c>
      <c r="F65" s="55">
        <f>E65*C65</f>
        <v>0</v>
      </c>
      <c r="G65" s="54">
        <v>430</v>
      </c>
      <c r="H65" s="55">
        <f>G65*C65</f>
        <v>823880</v>
      </c>
      <c r="I65" s="54">
        <v>2453</v>
      </c>
      <c r="J65" s="55">
        <f>I65*C65</f>
        <v>4699948</v>
      </c>
      <c r="K65" s="55">
        <f>E65+G65+I65</f>
        <v>2883</v>
      </c>
      <c r="L65" s="55">
        <f>F65+H65+J65</f>
        <v>5523828</v>
      </c>
      <c r="M65" s="53"/>
    </row>
    <row r="66" spans="1:13" x14ac:dyDescent="0.3">
      <c r="A66" s="51" t="s">
        <v>149</v>
      </c>
      <c r="B66" s="52"/>
      <c r="C66" s="52"/>
      <c r="D66" s="103"/>
      <c r="E66" s="52"/>
      <c r="F66" s="52"/>
      <c r="G66" s="52"/>
      <c r="H66" s="52"/>
      <c r="I66" s="52"/>
      <c r="J66" s="52"/>
      <c r="K66" s="52"/>
      <c r="L66" s="52"/>
      <c r="M66" s="53"/>
    </row>
    <row r="67" spans="1:13" x14ac:dyDescent="0.3">
      <c r="A67" s="51" t="s">
        <v>147</v>
      </c>
      <c r="B67" s="52" t="s">
        <v>150</v>
      </c>
      <c r="C67" s="54">
        <v>16923</v>
      </c>
      <c r="D67" s="103" t="s">
        <v>103</v>
      </c>
      <c r="E67" s="54">
        <v>0</v>
      </c>
      <c r="F67" s="55">
        <f>E67*C67</f>
        <v>0</v>
      </c>
      <c r="G67" s="54">
        <v>430</v>
      </c>
      <c r="H67" s="55">
        <f>G67*C67</f>
        <v>7276890</v>
      </c>
      <c r="I67" s="54">
        <v>1661</v>
      </c>
      <c r="J67" s="55">
        <f>I67*C67</f>
        <v>28109103</v>
      </c>
      <c r="K67" s="55">
        <f>E67+G67+I67</f>
        <v>2091</v>
      </c>
      <c r="L67" s="55">
        <f>F67+H67+J67</f>
        <v>35385993</v>
      </c>
      <c r="M67" s="53"/>
    </row>
    <row r="68" spans="1:13" x14ac:dyDescent="0.3">
      <c r="A68" s="51" t="s">
        <v>151</v>
      </c>
      <c r="B68" s="52"/>
      <c r="C68" s="52"/>
      <c r="D68" s="103"/>
      <c r="E68" s="52"/>
      <c r="F68" s="52"/>
      <c r="G68" s="52"/>
      <c r="H68" s="52"/>
      <c r="I68" s="52"/>
      <c r="J68" s="52"/>
      <c r="K68" s="52"/>
      <c r="L68" s="52"/>
      <c r="M68" s="53"/>
    </row>
    <row r="69" spans="1:13" x14ac:dyDescent="0.3">
      <c r="A69" s="51" t="s">
        <v>147</v>
      </c>
      <c r="B69" s="52" t="s">
        <v>150</v>
      </c>
      <c r="C69" s="54">
        <v>1174</v>
      </c>
      <c r="D69" s="103" t="s">
        <v>103</v>
      </c>
      <c r="E69" s="54">
        <v>0</v>
      </c>
      <c r="F69" s="55">
        <f>E69*C69</f>
        <v>0</v>
      </c>
      <c r="G69" s="54">
        <v>430</v>
      </c>
      <c r="H69" s="55">
        <f>G69*C69</f>
        <v>504820</v>
      </c>
      <c r="I69" s="54">
        <v>1661</v>
      </c>
      <c r="J69" s="55">
        <f>I69*C69</f>
        <v>1950014</v>
      </c>
      <c r="K69" s="55">
        <f>E69+G69+I69</f>
        <v>2091</v>
      </c>
      <c r="L69" s="55">
        <f>F69+H69+J69</f>
        <v>2454834</v>
      </c>
      <c r="M69" s="53"/>
    </row>
    <row r="70" spans="1:13" x14ac:dyDescent="0.3">
      <c r="A70" s="51" t="s">
        <v>152</v>
      </c>
      <c r="B70" s="52"/>
      <c r="C70" s="52"/>
      <c r="D70" s="103"/>
      <c r="E70" s="52"/>
      <c r="F70" s="52"/>
      <c r="G70" s="52"/>
      <c r="H70" s="52"/>
      <c r="I70" s="52"/>
      <c r="J70" s="52"/>
      <c r="K70" s="52"/>
      <c r="L70" s="52"/>
      <c r="M70" s="53"/>
    </row>
    <row r="71" spans="1:13" x14ac:dyDescent="0.3">
      <c r="A71" s="51" t="s">
        <v>153</v>
      </c>
      <c r="B71" s="52"/>
      <c r="C71" s="52"/>
      <c r="D71" s="103"/>
      <c r="E71" s="52"/>
      <c r="F71" s="52"/>
      <c r="G71" s="52"/>
      <c r="H71" s="52"/>
      <c r="I71" s="52"/>
      <c r="J71" s="52"/>
      <c r="K71" s="52"/>
      <c r="L71" s="52"/>
      <c r="M71" s="53"/>
    </row>
    <row r="72" spans="1:13" x14ac:dyDescent="0.3">
      <c r="A72" s="51" t="s">
        <v>154</v>
      </c>
      <c r="B72" s="52"/>
      <c r="C72" s="54">
        <v>5363</v>
      </c>
      <c r="D72" s="103" t="s">
        <v>103</v>
      </c>
      <c r="E72" s="54">
        <v>0</v>
      </c>
      <c r="F72" s="55">
        <f>E72*C72</f>
        <v>0</v>
      </c>
      <c r="G72" s="54">
        <v>81</v>
      </c>
      <c r="H72" s="55">
        <f>G72*C72</f>
        <v>434403</v>
      </c>
      <c r="I72" s="54">
        <v>459</v>
      </c>
      <c r="J72" s="55">
        <f>I72*C72</f>
        <v>2461617</v>
      </c>
      <c r="K72" s="55">
        <f>E72+G72+I72</f>
        <v>540</v>
      </c>
      <c r="L72" s="55">
        <f>F72+H72+J72</f>
        <v>2896020</v>
      </c>
      <c r="M72" s="53"/>
    </row>
    <row r="73" spans="1:13" x14ac:dyDescent="0.3">
      <c r="A73" s="51" t="s">
        <v>155</v>
      </c>
      <c r="B73" s="52"/>
      <c r="C73" s="52"/>
      <c r="D73" s="103"/>
      <c r="E73" s="52"/>
      <c r="F73" s="52"/>
      <c r="G73" s="52"/>
      <c r="H73" s="52"/>
      <c r="I73" s="52"/>
      <c r="J73" s="52"/>
      <c r="K73" s="52"/>
      <c r="L73" s="52"/>
      <c r="M73" s="53"/>
    </row>
    <row r="74" spans="1:13" x14ac:dyDescent="0.3">
      <c r="A74" s="51" t="s">
        <v>156</v>
      </c>
      <c r="B74" s="52" t="s">
        <v>157</v>
      </c>
      <c r="C74" s="54">
        <v>10527</v>
      </c>
      <c r="D74" s="103" t="s">
        <v>103</v>
      </c>
      <c r="E74" s="54">
        <v>0</v>
      </c>
      <c r="F74" s="55">
        <f>E74*C74</f>
        <v>0</v>
      </c>
      <c r="G74" s="54">
        <v>72</v>
      </c>
      <c r="H74" s="55">
        <f>G74*C74</f>
        <v>757944</v>
      </c>
      <c r="I74" s="54">
        <v>879</v>
      </c>
      <c r="J74" s="55">
        <f>I74*C74</f>
        <v>9253233</v>
      </c>
      <c r="K74" s="55">
        <f>E74+G74+I74</f>
        <v>951</v>
      </c>
      <c r="L74" s="55">
        <f>F74+H74+J74</f>
        <v>10011177</v>
      </c>
      <c r="M74" s="53"/>
    </row>
    <row r="75" spans="1:13" x14ac:dyDescent="0.3">
      <c r="A75" s="51" t="s">
        <v>158</v>
      </c>
      <c r="B75" s="52" t="s">
        <v>159</v>
      </c>
      <c r="C75" s="54">
        <v>26</v>
      </c>
      <c r="D75" s="103" t="s">
        <v>103</v>
      </c>
      <c r="E75" s="54">
        <v>0</v>
      </c>
      <c r="F75" s="55">
        <f>E75*C75</f>
        <v>0</v>
      </c>
      <c r="G75" s="54">
        <v>72</v>
      </c>
      <c r="H75" s="55">
        <f>G75*C75</f>
        <v>1872</v>
      </c>
      <c r="I75" s="54">
        <v>879</v>
      </c>
      <c r="J75" s="55">
        <f>I75*C75</f>
        <v>22854</v>
      </c>
      <c r="K75" s="55">
        <f>E75+G75+I75</f>
        <v>951</v>
      </c>
      <c r="L75" s="55">
        <f>F75+H75+J75</f>
        <v>24726</v>
      </c>
      <c r="M75" s="53"/>
    </row>
    <row r="76" spans="1:13" x14ac:dyDescent="0.3">
      <c r="A76" s="51" t="s">
        <v>160</v>
      </c>
      <c r="B76" s="52"/>
      <c r="C76" s="52"/>
      <c r="D76" s="103"/>
      <c r="E76" s="52"/>
      <c r="F76" s="52"/>
      <c r="G76" s="52"/>
      <c r="H76" s="52"/>
      <c r="I76" s="52"/>
      <c r="J76" s="52"/>
      <c r="K76" s="52"/>
      <c r="L76" s="52"/>
      <c r="M76" s="53"/>
    </row>
    <row r="77" spans="1:13" x14ac:dyDescent="0.3">
      <c r="A77" s="51" t="s">
        <v>161</v>
      </c>
      <c r="B77" s="52" t="s">
        <v>162</v>
      </c>
      <c r="C77" s="54">
        <v>11327</v>
      </c>
      <c r="D77" s="103" t="s">
        <v>103</v>
      </c>
      <c r="E77" s="54">
        <v>0</v>
      </c>
      <c r="F77" s="55">
        <f>E77*C77</f>
        <v>0</v>
      </c>
      <c r="G77" s="54">
        <v>242</v>
      </c>
      <c r="H77" s="55">
        <f>G77*C77</f>
        <v>2741134</v>
      </c>
      <c r="I77" s="54">
        <v>2717</v>
      </c>
      <c r="J77" s="55">
        <f>I77*C77</f>
        <v>30775459</v>
      </c>
      <c r="K77" s="55">
        <f>E77+G77+I77</f>
        <v>2959</v>
      </c>
      <c r="L77" s="55">
        <f>F77+H77+J77</f>
        <v>33516593</v>
      </c>
      <c r="M77" s="53"/>
    </row>
    <row r="78" spans="1:13" x14ac:dyDescent="0.3">
      <c r="A78" s="51" t="s">
        <v>163</v>
      </c>
      <c r="B78" s="52"/>
      <c r="C78" s="52"/>
      <c r="D78" s="103"/>
      <c r="E78" s="52"/>
      <c r="F78" s="52"/>
      <c r="G78" s="52"/>
      <c r="H78" s="52"/>
      <c r="I78" s="52"/>
      <c r="J78" s="52"/>
      <c r="K78" s="52"/>
      <c r="L78" s="52"/>
      <c r="M78" s="53"/>
    </row>
    <row r="79" spans="1:13" x14ac:dyDescent="0.3">
      <c r="A79" s="51" t="s">
        <v>164</v>
      </c>
      <c r="B79" s="52" t="s">
        <v>165</v>
      </c>
      <c r="C79" s="54">
        <v>1134</v>
      </c>
      <c r="D79" s="103" t="s">
        <v>103</v>
      </c>
      <c r="E79" s="54">
        <v>0</v>
      </c>
      <c r="F79" s="55">
        <f>E79*C79</f>
        <v>0</v>
      </c>
      <c r="G79" s="54">
        <v>417</v>
      </c>
      <c r="H79" s="55">
        <f>G79*C79</f>
        <v>472878</v>
      </c>
      <c r="I79" s="54">
        <v>3014</v>
      </c>
      <c r="J79" s="55">
        <f>I79*C79</f>
        <v>3417876</v>
      </c>
      <c r="K79" s="55">
        <f>E79+G79+I79</f>
        <v>3431</v>
      </c>
      <c r="L79" s="55">
        <f>F79+H79+J79</f>
        <v>3890754</v>
      </c>
      <c r="M79" s="53"/>
    </row>
    <row r="80" spans="1:13" x14ac:dyDescent="0.3">
      <c r="A80" s="51" t="s">
        <v>166</v>
      </c>
      <c r="B80" s="52"/>
      <c r="C80" s="52"/>
      <c r="D80" s="103"/>
      <c r="E80" s="52"/>
      <c r="F80" s="52"/>
      <c r="G80" s="52"/>
      <c r="H80" s="52"/>
      <c r="I80" s="52"/>
      <c r="J80" s="52"/>
      <c r="K80" s="52"/>
      <c r="L80" s="52"/>
      <c r="M80" s="53"/>
    </row>
    <row r="81" spans="1:13" x14ac:dyDescent="0.3">
      <c r="A81" s="51" t="s">
        <v>167</v>
      </c>
      <c r="B81" s="52" t="s">
        <v>168</v>
      </c>
      <c r="C81" s="54">
        <v>25804</v>
      </c>
      <c r="D81" s="103" t="s">
        <v>103</v>
      </c>
      <c r="E81" s="54">
        <v>0</v>
      </c>
      <c r="F81" s="55">
        <f>E81*C81</f>
        <v>0</v>
      </c>
      <c r="G81" s="54">
        <v>378</v>
      </c>
      <c r="H81" s="55">
        <f>G81*C81</f>
        <v>9753912</v>
      </c>
      <c r="I81" s="54">
        <v>2738</v>
      </c>
      <c r="J81" s="55">
        <f>I81*C81</f>
        <v>70651352</v>
      </c>
      <c r="K81" s="55">
        <f t="shared" ref="K81:L85" si="3">E81+G81+I81</f>
        <v>3116</v>
      </c>
      <c r="L81" s="55">
        <f t="shared" si="3"/>
        <v>80405264</v>
      </c>
      <c r="M81" s="53"/>
    </row>
    <row r="82" spans="1:13" x14ac:dyDescent="0.3">
      <c r="A82" s="51" t="s">
        <v>169</v>
      </c>
      <c r="B82" s="52" t="s">
        <v>170</v>
      </c>
      <c r="C82" s="54">
        <v>29499</v>
      </c>
      <c r="D82" s="103" t="s">
        <v>103</v>
      </c>
      <c r="E82" s="54">
        <v>0</v>
      </c>
      <c r="F82" s="55">
        <f>E82*C82</f>
        <v>0</v>
      </c>
      <c r="G82" s="54">
        <v>374</v>
      </c>
      <c r="H82" s="55">
        <f>G82*C82</f>
        <v>11032626</v>
      </c>
      <c r="I82" s="54">
        <v>2704</v>
      </c>
      <c r="J82" s="55">
        <f>I82*C82</f>
        <v>79765296</v>
      </c>
      <c r="K82" s="55">
        <f t="shared" si="3"/>
        <v>3078</v>
      </c>
      <c r="L82" s="55">
        <f t="shared" si="3"/>
        <v>90797922</v>
      </c>
      <c r="M82" s="53"/>
    </row>
    <row r="83" spans="1:13" x14ac:dyDescent="0.3">
      <c r="A83" s="51" t="s">
        <v>171</v>
      </c>
      <c r="B83" s="52" t="s">
        <v>172</v>
      </c>
      <c r="C83" s="54">
        <v>5142</v>
      </c>
      <c r="D83" s="103" t="s">
        <v>103</v>
      </c>
      <c r="E83" s="54">
        <v>0</v>
      </c>
      <c r="F83" s="55">
        <f>E83*C83</f>
        <v>0</v>
      </c>
      <c r="G83" s="54">
        <v>376</v>
      </c>
      <c r="H83" s="55">
        <f>G83*C83</f>
        <v>1933392</v>
      </c>
      <c r="I83" s="54">
        <v>2687</v>
      </c>
      <c r="J83" s="55">
        <f>I83*C83</f>
        <v>13816554</v>
      </c>
      <c r="K83" s="55">
        <f t="shared" si="3"/>
        <v>3063</v>
      </c>
      <c r="L83" s="55">
        <f t="shared" si="3"/>
        <v>15749946</v>
      </c>
      <c r="M83" s="53"/>
    </row>
    <row r="84" spans="1:13" x14ac:dyDescent="0.3">
      <c r="A84" s="51" t="s">
        <v>173</v>
      </c>
      <c r="B84" s="52" t="s">
        <v>174</v>
      </c>
      <c r="C84" s="54">
        <v>921</v>
      </c>
      <c r="D84" s="103" t="s">
        <v>103</v>
      </c>
      <c r="E84" s="54">
        <v>0</v>
      </c>
      <c r="F84" s="55">
        <f>E84*C84</f>
        <v>0</v>
      </c>
      <c r="G84" s="54">
        <v>519</v>
      </c>
      <c r="H84" s="55">
        <f>G84*C84</f>
        <v>477999</v>
      </c>
      <c r="I84" s="54">
        <v>3752</v>
      </c>
      <c r="J84" s="55">
        <f>I84*C84</f>
        <v>3455592</v>
      </c>
      <c r="K84" s="55">
        <f t="shared" si="3"/>
        <v>4271</v>
      </c>
      <c r="L84" s="55">
        <f t="shared" si="3"/>
        <v>3933591</v>
      </c>
      <c r="M84" s="53"/>
    </row>
    <row r="85" spans="1:13" x14ac:dyDescent="0.3">
      <c r="A85" s="51" t="s">
        <v>175</v>
      </c>
      <c r="B85" s="52" t="s">
        <v>176</v>
      </c>
      <c r="C85" s="54">
        <v>27</v>
      </c>
      <c r="D85" s="103" t="s">
        <v>103</v>
      </c>
      <c r="E85" s="54">
        <v>0</v>
      </c>
      <c r="F85" s="55">
        <f>E85*C85</f>
        <v>0</v>
      </c>
      <c r="G85" s="54">
        <v>519</v>
      </c>
      <c r="H85" s="55">
        <f>G85*C85</f>
        <v>14013</v>
      </c>
      <c r="I85" s="54">
        <v>3752</v>
      </c>
      <c r="J85" s="55">
        <f>I85*C85</f>
        <v>101304</v>
      </c>
      <c r="K85" s="55">
        <f t="shared" si="3"/>
        <v>4271</v>
      </c>
      <c r="L85" s="55">
        <f t="shared" si="3"/>
        <v>115317</v>
      </c>
      <c r="M85" s="53"/>
    </row>
    <row r="86" spans="1:13" x14ac:dyDescent="0.3">
      <c r="A86" s="51" t="s">
        <v>177</v>
      </c>
      <c r="B86" s="52"/>
      <c r="C86" s="52"/>
      <c r="D86" s="103"/>
      <c r="E86" s="52"/>
      <c r="F86" s="52"/>
      <c r="G86" s="52"/>
      <c r="H86" s="52"/>
      <c r="I86" s="52"/>
      <c r="J86" s="52"/>
      <c r="K86" s="52"/>
      <c r="L86" s="52"/>
      <c r="M86" s="53"/>
    </row>
    <row r="87" spans="1:13" x14ac:dyDescent="0.3">
      <c r="A87" s="51" t="s">
        <v>178</v>
      </c>
      <c r="B87" s="52" t="s">
        <v>179</v>
      </c>
      <c r="C87" s="54">
        <v>4653</v>
      </c>
      <c r="D87" s="103" t="s">
        <v>103</v>
      </c>
      <c r="E87" s="54">
        <v>0</v>
      </c>
      <c r="F87" s="55">
        <f>E87*C87</f>
        <v>0</v>
      </c>
      <c r="G87" s="54">
        <v>372</v>
      </c>
      <c r="H87" s="55">
        <f>G87*C87</f>
        <v>1730916</v>
      </c>
      <c r="I87" s="54">
        <v>2694</v>
      </c>
      <c r="J87" s="55">
        <f>I87*C87</f>
        <v>12535182</v>
      </c>
      <c r="K87" s="55">
        <f>E87+G87+I87</f>
        <v>3066</v>
      </c>
      <c r="L87" s="55">
        <f>F87+H87+J87</f>
        <v>14266098</v>
      </c>
      <c r="M87" s="53"/>
    </row>
    <row r="88" spans="1:13" x14ac:dyDescent="0.3">
      <c r="A88" s="51" t="s">
        <v>180</v>
      </c>
      <c r="B88" s="52"/>
      <c r="C88" s="52"/>
      <c r="D88" s="103"/>
      <c r="E88" s="52"/>
      <c r="F88" s="52"/>
      <c r="G88" s="52"/>
      <c r="H88" s="52"/>
      <c r="I88" s="52"/>
      <c r="J88" s="52"/>
      <c r="K88" s="52"/>
      <c r="L88" s="52"/>
      <c r="M88" s="53"/>
    </row>
    <row r="89" spans="1:13" x14ac:dyDescent="0.3">
      <c r="A89" s="51" t="s">
        <v>181</v>
      </c>
      <c r="B89" s="52" t="s">
        <v>182</v>
      </c>
      <c r="C89" s="54">
        <v>10</v>
      </c>
      <c r="D89" s="103" t="s">
        <v>183</v>
      </c>
      <c r="E89" s="54">
        <v>8952</v>
      </c>
      <c r="F89" s="55">
        <f>E89*C89</f>
        <v>89520</v>
      </c>
      <c r="G89" s="54">
        <v>63023</v>
      </c>
      <c r="H89" s="55">
        <f>G89*C89</f>
        <v>630230</v>
      </c>
      <c r="I89" s="54">
        <v>0</v>
      </c>
      <c r="J89" s="55">
        <f>I89*C89</f>
        <v>0</v>
      </c>
      <c r="K89" s="55">
        <f>E89+G89+I89</f>
        <v>71975</v>
      </c>
      <c r="L89" s="55">
        <f>F89+H89+J89</f>
        <v>719750</v>
      </c>
      <c r="M89" s="53"/>
    </row>
    <row r="90" spans="1:13" x14ac:dyDescent="0.3">
      <c r="A90" s="51" t="s">
        <v>184</v>
      </c>
      <c r="B90" s="52" t="s">
        <v>185</v>
      </c>
      <c r="C90" s="54">
        <v>26</v>
      </c>
      <c r="D90" s="103" t="s">
        <v>183</v>
      </c>
      <c r="E90" s="54">
        <v>28647</v>
      </c>
      <c r="F90" s="55">
        <f>E90*C90</f>
        <v>744822</v>
      </c>
      <c r="G90" s="54">
        <v>83702</v>
      </c>
      <c r="H90" s="55">
        <f>G90*C90</f>
        <v>2176252</v>
      </c>
      <c r="I90" s="54">
        <v>0</v>
      </c>
      <c r="J90" s="55">
        <f>I90*C90</f>
        <v>0</v>
      </c>
      <c r="K90" s="55">
        <f>E90+G90+I90</f>
        <v>112349</v>
      </c>
      <c r="L90" s="55">
        <f>F90+H90+J90</f>
        <v>2921074</v>
      </c>
      <c r="M90" s="53"/>
    </row>
    <row r="91" spans="1:13" x14ac:dyDescent="0.3">
      <c r="A91" s="51" t="s">
        <v>186</v>
      </c>
      <c r="B91" s="52"/>
      <c r="C91" s="52"/>
      <c r="D91" s="103"/>
      <c r="E91" s="52"/>
      <c r="F91" s="52"/>
      <c r="G91" s="52"/>
      <c r="H91" s="52"/>
      <c r="I91" s="52"/>
      <c r="J91" s="52"/>
      <c r="K91" s="52"/>
      <c r="L91" s="52"/>
      <c r="M91" s="53"/>
    </row>
    <row r="92" spans="1:13" x14ac:dyDescent="0.3">
      <c r="A92" s="51" t="s">
        <v>187</v>
      </c>
      <c r="B92" s="52"/>
      <c r="C92" s="52"/>
      <c r="D92" s="103"/>
      <c r="E92" s="52"/>
      <c r="F92" s="52"/>
      <c r="G92" s="52"/>
      <c r="H92" s="52"/>
      <c r="I92" s="52"/>
      <c r="J92" s="52"/>
      <c r="K92" s="52"/>
      <c r="L92" s="52"/>
      <c r="M92" s="53"/>
    </row>
    <row r="93" spans="1:13" x14ac:dyDescent="0.3">
      <c r="A93" s="51" t="s">
        <v>188</v>
      </c>
      <c r="B93" s="52"/>
      <c r="C93" s="54">
        <v>18</v>
      </c>
      <c r="D93" s="103" t="s">
        <v>189</v>
      </c>
      <c r="E93" s="54">
        <v>50132</v>
      </c>
      <c r="F93" s="55">
        <f>E93*C93</f>
        <v>902376</v>
      </c>
      <c r="G93" s="54">
        <v>152186</v>
      </c>
      <c r="H93" s="55">
        <f>G93*C93</f>
        <v>2739348</v>
      </c>
      <c r="I93" s="54">
        <v>0</v>
      </c>
      <c r="J93" s="55">
        <f>I93*C93</f>
        <v>0</v>
      </c>
      <c r="K93" s="55">
        <f t="shared" ref="K93:L96" si="4">E93+G93+I93</f>
        <v>202318</v>
      </c>
      <c r="L93" s="55">
        <f t="shared" si="4"/>
        <v>3641724</v>
      </c>
      <c r="M93" s="53"/>
    </row>
    <row r="94" spans="1:13" x14ac:dyDescent="0.3">
      <c r="A94" s="51" t="s">
        <v>190</v>
      </c>
      <c r="B94" s="52"/>
      <c r="C94" s="54">
        <v>9</v>
      </c>
      <c r="D94" s="103" t="s">
        <v>189</v>
      </c>
      <c r="E94" s="54">
        <v>50132</v>
      </c>
      <c r="F94" s="55">
        <f>E94*C94</f>
        <v>451188</v>
      </c>
      <c r="G94" s="54">
        <v>107425</v>
      </c>
      <c r="H94" s="55">
        <f>G94*C94</f>
        <v>966825</v>
      </c>
      <c r="I94" s="54">
        <v>0</v>
      </c>
      <c r="J94" s="55">
        <f>I94*C94</f>
        <v>0</v>
      </c>
      <c r="K94" s="55">
        <f t="shared" si="4"/>
        <v>157557</v>
      </c>
      <c r="L94" s="55">
        <f t="shared" si="4"/>
        <v>1418013</v>
      </c>
      <c r="M94" s="53"/>
    </row>
    <row r="95" spans="1:13" x14ac:dyDescent="0.3">
      <c r="A95" s="51" t="s">
        <v>191</v>
      </c>
      <c r="B95" s="52" t="s">
        <v>192</v>
      </c>
      <c r="C95" s="54">
        <v>386</v>
      </c>
      <c r="D95" s="103" t="s">
        <v>193</v>
      </c>
      <c r="E95" s="54">
        <v>7162</v>
      </c>
      <c r="F95" s="55">
        <f>E95*C95</f>
        <v>2764532</v>
      </c>
      <c r="G95" s="54">
        <v>7162</v>
      </c>
      <c r="H95" s="55">
        <f>G95*C95</f>
        <v>2764532</v>
      </c>
      <c r="I95" s="54">
        <v>0</v>
      </c>
      <c r="J95" s="55">
        <f>I95*C95</f>
        <v>0</v>
      </c>
      <c r="K95" s="55">
        <f t="shared" si="4"/>
        <v>14324</v>
      </c>
      <c r="L95" s="55">
        <f t="shared" si="4"/>
        <v>5529064</v>
      </c>
      <c r="M95" s="53"/>
    </row>
    <row r="96" spans="1:13" x14ac:dyDescent="0.3">
      <c r="A96" s="51" t="s">
        <v>194</v>
      </c>
      <c r="B96" s="52" t="s">
        <v>195</v>
      </c>
      <c r="C96" s="54">
        <v>64</v>
      </c>
      <c r="D96" s="103" t="s">
        <v>196</v>
      </c>
      <c r="E96" s="54">
        <v>0</v>
      </c>
      <c r="F96" s="55">
        <f>E96*C96</f>
        <v>0</v>
      </c>
      <c r="G96" s="54">
        <v>14323</v>
      </c>
      <c r="H96" s="55">
        <f>G96*C96</f>
        <v>916672</v>
      </c>
      <c r="I96" s="54">
        <v>0</v>
      </c>
      <c r="J96" s="55">
        <f>I96*C96</f>
        <v>0</v>
      </c>
      <c r="K96" s="55">
        <f t="shared" si="4"/>
        <v>14323</v>
      </c>
      <c r="L96" s="55">
        <f t="shared" si="4"/>
        <v>916672</v>
      </c>
      <c r="M96" s="53"/>
    </row>
    <row r="97" spans="1:13" x14ac:dyDescent="0.3">
      <c r="A97" s="51" t="s">
        <v>197</v>
      </c>
      <c r="B97" s="52"/>
      <c r="C97" s="52"/>
      <c r="D97" s="103"/>
      <c r="E97" s="52"/>
      <c r="F97" s="52"/>
      <c r="G97" s="52"/>
      <c r="H97" s="52"/>
      <c r="I97" s="52"/>
      <c r="J97" s="52"/>
      <c r="K97" s="52"/>
      <c r="L97" s="52"/>
      <c r="M97" s="53"/>
    </row>
    <row r="98" spans="1:13" x14ac:dyDescent="0.3">
      <c r="A98" s="51" t="s">
        <v>198</v>
      </c>
      <c r="B98" s="52" t="s">
        <v>199</v>
      </c>
      <c r="C98" s="54">
        <v>381</v>
      </c>
      <c r="D98" s="103" t="s">
        <v>193</v>
      </c>
      <c r="E98" s="54">
        <v>127299</v>
      </c>
      <c r="F98" s="55">
        <f>E98*C98</f>
        <v>48500919</v>
      </c>
      <c r="G98" s="54">
        <v>118168</v>
      </c>
      <c r="H98" s="55">
        <f>G98*C98</f>
        <v>45022008</v>
      </c>
      <c r="I98" s="54">
        <v>20520</v>
      </c>
      <c r="J98" s="55">
        <f>I98*C98</f>
        <v>7818120</v>
      </c>
      <c r="K98" s="55">
        <f t="shared" ref="K98:L100" si="5">E98+G98+I98</f>
        <v>265987</v>
      </c>
      <c r="L98" s="55">
        <f t="shared" si="5"/>
        <v>101341047</v>
      </c>
      <c r="M98" s="53"/>
    </row>
    <row r="99" spans="1:13" x14ac:dyDescent="0.3">
      <c r="A99" s="51" t="s">
        <v>200</v>
      </c>
      <c r="B99" s="52" t="s">
        <v>201</v>
      </c>
      <c r="C99" s="54">
        <v>5</v>
      </c>
      <c r="D99" s="103" t="s">
        <v>193</v>
      </c>
      <c r="E99" s="54">
        <v>214850</v>
      </c>
      <c r="F99" s="55">
        <f>E99*C99</f>
        <v>1074250</v>
      </c>
      <c r="G99" s="54">
        <v>223802</v>
      </c>
      <c r="H99" s="55">
        <f>G99*C99</f>
        <v>1119010</v>
      </c>
      <c r="I99" s="54">
        <v>58629</v>
      </c>
      <c r="J99" s="55">
        <f>I99*C99</f>
        <v>293145</v>
      </c>
      <c r="K99" s="55">
        <f t="shared" si="5"/>
        <v>497281</v>
      </c>
      <c r="L99" s="55">
        <f t="shared" si="5"/>
        <v>2486405</v>
      </c>
      <c r="M99" s="53"/>
    </row>
    <row r="100" spans="1:13" x14ac:dyDescent="0.3">
      <c r="A100" s="51" t="s">
        <v>202</v>
      </c>
      <c r="B100" s="52" t="s">
        <v>203</v>
      </c>
      <c r="C100" s="54">
        <v>386</v>
      </c>
      <c r="D100" s="103" t="s">
        <v>204</v>
      </c>
      <c r="E100" s="54">
        <v>7162</v>
      </c>
      <c r="F100" s="55">
        <f>E100*C100</f>
        <v>2764532</v>
      </c>
      <c r="G100" s="54">
        <v>18557</v>
      </c>
      <c r="H100" s="55">
        <f>G100*C100</f>
        <v>7163002</v>
      </c>
      <c r="I100" s="54">
        <v>0</v>
      </c>
      <c r="J100" s="55">
        <f>I100*C100</f>
        <v>0</v>
      </c>
      <c r="K100" s="55">
        <f t="shared" si="5"/>
        <v>25719</v>
      </c>
      <c r="L100" s="55">
        <f t="shared" si="5"/>
        <v>9927534</v>
      </c>
      <c r="M100" s="53"/>
    </row>
    <row r="101" spans="1:13" x14ac:dyDescent="0.3">
      <c r="A101" s="51" t="s">
        <v>205</v>
      </c>
      <c r="B101" s="52"/>
      <c r="C101" s="52"/>
      <c r="D101" s="103"/>
      <c r="E101" s="52"/>
      <c r="F101" s="52"/>
      <c r="G101" s="52"/>
      <c r="H101" s="52"/>
      <c r="I101" s="52"/>
      <c r="J101" s="52"/>
      <c r="K101" s="52"/>
      <c r="L101" s="52"/>
      <c r="M101" s="53"/>
    </row>
    <row r="102" spans="1:13" x14ac:dyDescent="0.3">
      <c r="A102" s="51" t="s">
        <v>206</v>
      </c>
      <c r="B102" s="52"/>
      <c r="C102" s="52"/>
      <c r="D102" s="103"/>
      <c r="E102" s="52"/>
      <c r="F102" s="52"/>
      <c r="G102" s="52"/>
      <c r="H102" s="52"/>
      <c r="I102" s="52"/>
      <c r="J102" s="52"/>
      <c r="K102" s="52"/>
      <c r="L102" s="52"/>
      <c r="M102" s="53"/>
    </row>
    <row r="103" spans="1:13" x14ac:dyDescent="0.3">
      <c r="A103" s="51" t="s">
        <v>207</v>
      </c>
      <c r="B103" s="52" t="s">
        <v>208</v>
      </c>
      <c r="C103" s="54">
        <v>149</v>
      </c>
      <c r="D103" s="103" t="s">
        <v>103</v>
      </c>
      <c r="E103" s="54">
        <v>0</v>
      </c>
      <c r="F103" s="55">
        <f>E103*C103</f>
        <v>0</v>
      </c>
      <c r="G103" s="54">
        <v>7967</v>
      </c>
      <c r="H103" s="55">
        <f>G103*C103</f>
        <v>1187083</v>
      </c>
      <c r="I103" s="54">
        <v>28435</v>
      </c>
      <c r="J103" s="55">
        <f>I103*C103</f>
        <v>4236815</v>
      </c>
      <c r="K103" s="55">
        <f>E103+G103+I103</f>
        <v>36402</v>
      </c>
      <c r="L103" s="55">
        <f>F103+H103+J103</f>
        <v>5423898</v>
      </c>
      <c r="M103" s="53"/>
    </row>
    <row r="104" spans="1:13" x14ac:dyDescent="0.3">
      <c r="A104" s="51" t="s">
        <v>209</v>
      </c>
      <c r="B104" s="52" t="s">
        <v>208</v>
      </c>
      <c r="C104" s="54">
        <v>132</v>
      </c>
      <c r="D104" s="103" t="s">
        <v>103</v>
      </c>
      <c r="E104" s="54">
        <v>0</v>
      </c>
      <c r="F104" s="55">
        <f>E104*C104</f>
        <v>0</v>
      </c>
      <c r="G104" s="54">
        <v>4207</v>
      </c>
      <c r="H104" s="55">
        <f>G104*C104</f>
        <v>555324</v>
      </c>
      <c r="I104" s="54">
        <v>22768</v>
      </c>
      <c r="J104" s="55">
        <f>I104*C104</f>
        <v>3005376</v>
      </c>
      <c r="K104" s="55">
        <f>E104+G104+I104</f>
        <v>26975</v>
      </c>
      <c r="L104" s="55">
        <f>F104+H104+J104</f>
        <v>3560700</v>
      </c>
      <c r="M104" s="53"/>
    </row>
    <row r="105" spans="1:13" x14ac:dyDescent="0.3">
      <c r="A105" s="51" t="s">
        <v>210</v>
      </c>
      <c r="B105" s="52"/>
      <c r="C105" s="52"/>
      <c r="D105" s="103"/>
      <c r="E105" s="52"/>
      <c r="F105" s="52"/>
      <c r="G105" s="52"/>
      <c r="H105" s="52"/>
      <c r="I105" s="52"/>
      <c r="J105" s="52"/>
      <c r="K105" s="52"/>
      <c r="L105" s="52"/>
      <c r="M105" s="53"/>
    </row>
    <row r="106" spans="1:13" x14ac:dyDescent="0.3">
      <c r="A106" s="51" t="s">
        <v>211</v>
      </c>
      <c r="B106" s="52" t="s">
        <v>212</v>
      </c>
      <c r="C106" s="54">
        <v>281</v>
      </c>
      <c r="D106" s="103" t="s">
        <v>103</v>
      </c>
      <c r="E106" s="54">
        <v>0</v>
      </c>
      <c r="F106" s="55">
        <f>E106*C106</f>
        <v>0</v>
      </c>
      <c r="G106" s="54">
        <v>895</v>
      </c>
      <c r="H106" s="55">
        <f>G106*C106</f>
        <v>251495</v>
      </c>
      <c r="I106" s="54">
        <v>1954</v>
      </c>
      <c r="J106" s="55">
        <f>I106*C106</f>
        <v>549074</v>
      </c>
      <c r="K106" s="55">
        <f>E106+G106+I106</f>
        <v>2849</v>
      </c>
      <c r="L106" s="55">
        <f>F106+H106+J106</f>
        <v>800569</v>
      </c>
      <c r="M106" s="53"/>
    </row>
    <row r="107" spans="1:13" x14ac:dyDescent="0.3">
      <c r="A107" s="51" t="s">
        <v>213</v>
      </c>
      <c r="B107" s="52"/>
      <c r="C107" s="52"/>
      <c r="D107" s="103"/>
      <c r="E107" s="52"/>
      <c r="F107" s="52"/>
      <c r="G107" s="52"/>
      <c r="H107" s="52"/>
      <c r="I107" s="52"/>
      <c r="J107" s="52"/>
      <c r="K107" s="52"/>
      <c r="L107" s="52"/>
      <c r="M107" s="53"/>
    </row>
    <row r="108" spans="1:13" x14ac:dyDescent="0.3">
      <c r="A108" s="51" t="s">
        <v>214</v>
      </c>
      <c r="B108" s="52"/>
      <c r="C108" s="52"/>
      <c r="D108" s="103"/>
      <c r="E108" s="52"/>
      <c r="F108" s="52"/>
      <c r="G108" s="52"/>
      <c r="H108" s="52"/>
      <c r="I108" s="52"/>
      <c r="J108" s="52"/>
      <c r="K108" s="52"/>
      <c r="L108" s="52"/>
      <c r="M108" s="53"/>
    </row>
    <row r="109" spans="1:13" x14ac:dyDescent="0.3">
      <c r="A109" s="51" t="s">
        <v>215</v>
      </c>
      <c r="B109" s="52"/>
      <c r="C109" s="52"/>
      <c r="D109" s="103"/>
      <c r="E109" s="52"/>
      <c r="F109" s="52"/>
      <c r="G109" s="52"/>
      <c r="H109" s="52"/>
      <c r="I109" s="52"/>
      <c r="J109" s="52"/>
      <c r="K109" s="52"/>
      <c r="L109" s="52"/>
      <c r="M109" s="53"/>
    </row>
    <row r="110" spans="1:13" x14ac:dyDescent="0.3">
      <c r="A110" s="51" t="s">
        <v>154</v>
      </c>
      <c r="B110" s="52"/>
      <c r="C110" s="52"/>
      <c r="D110" s="103"/>
      <c r="E110" s="52"/>
      <c r="F110" s="52"/>
      <c r="G110" s="52"/>
      <c r="H110" s="52"/>
      <c r="I110" s="52"/>
      <c r="J110" s="52"/>
      <c r="K110" s="52"/>
      <c r="L110" s="52"/>
      <c r="M110" s="53"/>
    </row>
    <row r="111" spans="1:13" x14ac:dyDescent="0.3">
      <c r="A111" s="51" t="s">
        <v>216</v>
      </c>
      <c r="B111" s="52" t="s">
        <v>111</v>
      </c>
      <c r="C111" s="54">
        <v>13157</v>
      </c>
      <c r="D111" s="103" t="s">
        <v>103</v>
      </c>
      <c r="E111" s="54">
        <v>0</v>
      </c>
      <c r="F111" s="55">
        <f>E111*C111</f>
        <v>0</v>
      </c>
      <c r="G111" s="54">
        <v>0</v>
      </c>
      <c r="H111" s="55">
        <f>G111*C111</f>
        <v>0</v>
      </c>
      <c r="I111" s="54">
        <v>1540</v>
      </c>
      <c r="J111" s="55">
        <f>I111*C111</f>
        <v>20261780</v>
      </c>
      <c r="K111" s="55">
        <f>E111+G111+I111</f>
        <v>1540</v>
      </c>
      <c r="L111" s="55">
        <f>F111+H111+J111</f>
        <v>20261780</v>
      </c>
      <c r="M111" s="53"/>
    </row>
    <row r="112" spans="1:13" x14ac:dyDescent="0.3">
      <c r="A112" s="51" t="s">
        <v>217</v>
      </c>
      <c r="B112" s="52" t="s">
        <v>218</v>
      </c>
      <c r="C112" s="54">
        <v>1448</v>
      </c>
      <c r="D112" s="103" t="s">
        <v>103</v>
      </c>
      <c r="E112" s="54">
        <v>0</v>
      </c>
      <c r="F112" s="55">
        <f>E112*C112</f>
        <v>0</v>
      </c>
      <c r="G112" s="54">
        <v>2733</v>
      </c>
      <c r="H112" s="55">
        <f>G112*C112</f>
        <v>3957384</v>
      </c>
      <c r="I112" s="54">
        <v>3849</v>
      </c>
      <c r="J112" s="55">
        <f>I112*C112</f>
        <v>5573352</v>
      </c>
      <c r="K112" s="55">
        <f>E112+G112+I112</f>
        <v>6582</v>
      </c>
      <c r="L112" s="55">
        <f>F112+H112+J112</f>
        <v>9530736</v>
      </c>
      <c r="M112" s="53"/>
    </row>
    <row r="113" spans="1:13" x14ac:dyDescent="0.3">
      <c r="A113" s="51" t="s">
        <v>219</v>
      </c>
      <c r="B113" s="52" t="s">
        <v>220</v>
      </c>
      <c r="C113" s="54">
        <v>0</v>
      </c>
      <c r="D113" s="103" t="s">
        <v>103</v>
      </c>
      <c r="E113" s="52"/>
      <c r="F113" s="54">
        <v>0</v>
      </c>
      <c r="G113" s="52"/>
      <c r="H113" s="54">
        <v>0</v>
      </c>
      <c r="I113" s="52"/>
      <c r="J113" s="54">
        <v>0</v>
      </c>
      <c r="K113" s="52"/>
      <c r="L113" s="54">
        <v>0</v>
      </c>
      <c r="M113" s="53"/>
    </row>
    <row r="114" spans="1:13" x14ac:dyDescent="0.3">
      <c r="A114" s="51" t="s">
        <v>221</v>
      </c>
      <c r="B114" s="52"/>
      <c r="C114" s="52"/>
      <c r="D114" s="103"/>
      <c r="E114" s="52"/>
      <c r="F114" s="52"/>
      <c r="G114" s="52"/>
      <c r="H114" s="52"/>
      <c r="I114" s="52"/>
      <c r="J114" s="52"/>
      <c r="K114" s="52"/>
      <c r="L114" s="52"/>
      <c r="M114" s="53"/>
    </row>
    <row r="115" spans="1:13" x14ac:dyDescent="0.3">
      <c r="A115" s="51" t="s">
        <v>222</v>
      </c>
      <c r="B115" s="52" t="s">
        <v>220</v>
      </c>
      <c r="C115" s="54">
        <v>202</v>
      </c>
      <c r="D115" s="103" t="s">
        <v>103</v>
      </c>
      <c r="E115" s="54">
        <v>0</v>
      </c>
      <c r="F115" s="55">
        <f>E115*C115</f>
        <v>0</v>
      </c>
      <c r="G115" s="54">
        <v>24965</v>
      </c>
      <c r="H115" s="55">
        <f>G115*C115</f>
        <v>5042930</v>
      </c>
      <c r="I115" s="54">
        <v>13664</v>
      </c>
      <c r="J115" s="55">
        <f>I115*C115</f>
        <v>2760128</v>
      </c>
      <c r="K115" s="55">
        <f t="shared" ref="K115:L117" si="6">E115+G115+I115</f>
        <v>38629</v>
      </c>
      <c r="L115" s="55">
        <f t="shared" si="6"/>
        <v>7803058</v>
      </c>
      <c r="M115" s="53"/>
    </row>
    <row r="116" spans="1:13" x14ac:dyDescent="0.3">
      <c r="A116" s="51" t="s">
        <v>223</v>
      </c>
      <c r="B116" s="52" t="s">
        <v>224</v>
      </c>
      <c r="C116" s="54">
        <v>6892</v>
      </c>
      <c r="D116" s="103" t="s">
        <v>103</v>
      </c>
      <c r="E116" s="54">
        <v>0</v>
      </c>
      <c r="F116" s="55">
        <f>E116*C116</f>
        <v>0</v>
      </c>
      <c r="G116" s="54">
        <v>2204</v>
      </c>
      <c r="H116" s="55">
        <f>G116*C116</f>
        <v>15189968</v>
      </c>
      <c r="I116" s="54">
        <v>4330</v>
      </c>
      <c r="J116" s="55">
        <f>I116*C116</f>
        <v>29842360</v>
      </c>
      <c r="K116" s="55">
        <f t="shared" si="6"/>
        <v>6534</v>
      </c>
      <c r="L116" s="55">
        <f t="shared" si="6"/>
        <v>45032328</v>
      </c>
      <c r="M116" s="53"/>
    </row>
    <row r="117" spans="1:13" x14ac:dyDescent="0.3">
      <c r="A117" s="51" t="s">
        <v>225</v>
      </c>
      <c r="B117" s="52" t="s">
        <v>226</v>
      </c>
      <c r="C117" s="54">
        <v>6048</v>
      </c>
      <c r="D117" s="103" t="s">
        <v>103</v>
      </c>
      <c r="E117" s="54">
        <v>0</v>
      </c>
      <c r="F117" s="55">
        <f>E117*C117</f>
        <v>0</v>
      </c>
      <c r="G117" s="54">
        <v>2204</v>
      </c>
      <c r="H117" s="55">
        <f>G117*C117</f>
        <v>13329792</v>
      </c>
      <c r="I117" s="54">
        <v>4330</v>
      </c>
      <c r="J117" s="55">
        <f>I117*C117</f>
        <v>26187840</v>
      </c>
      <c r="K117" s="55">
        <f t="shared" si="6"/>
        <v>6534</v>
      </c>
      <c r="L117" s="55">
        <f t="shared" si="6"/>
        <v>39517632</v>
      </c>
      <c r="M117" s="53"/>
    </row>
    <row r="118" spans="1:13" x14ac:dyDescent="0.3">
      <c r="A118" s="51" t="s">
        <v>227</v>
      </c>
      <c r="B118" s="52"/>
      <c r="C118" s="52"/>
      <c r="D118" s="103"/>
      <c r="E118" s="52"/>
      <c r="F118" s="52"/>
      <c r="G118" s="52"/>
      <c r="H118" s="52"/>
      <c r="I118" s="52"/>
      <c r="J118" s="52"/>
      <c r="K118" s="52"/>
      <c r="L118" s="52"/>
      <c r="M118" s="53"/>
    </row>
    <row r="119" spans="1:13" x14ac:dyDescent="0.3">
      <c r="A119" s="51" t="s">
        <v>228</v>
      </c>
      <c r="B119" s="52" t="s">
        <v>229</v>
      </c>
      <c r="C119" s="54">
        <v>1462</v>
      </c>
      <c r="D119" s="103" t="s">
        <v>103</v>
      </c>
      <c r="E119" s="54">
        <v>0</v>
      </c>
      <c r="F119" s="55">
        <f>E119*C119</f>
        <v>0</v>
      </c>
      <c r="G119" s="54">
        <v>0</v>
      </c>
      <c r="H119" s="55">
        <f>G119*C119</f>
        <v>0</v>
      </c>
      <c r="I119" s="54">
        <v>9622</v>
      </c>
      <c r="J119" s="55">
        <f>I119*C119</f>
        <v>14067364</v>
      </c>
      <c r="K119" s="55">
        <f>E119+G119+I119</f>
        <v>9622</v>
      </c>
      <c r="L119" s="55">
        <f>F119+H119+J119</f>
        <v>14067364</v>
      </c>
      <c r="M119" s="53"/>
    </row>
    <row r="120" spans="1:13" x14ac:dyDescent="0.3">
      <c r="A120" s="51" t="s">
        <v>230</v>
      </c>
      <c r="B120" s="52"/>
      <c r="C120" s="52"/>
      <c r="D120" s="103"/>
      <c r="E120" s="52"/>
      <c r="F120" s="52"/>
      <c r="G120" s="52"/>
      <c r="H120" s="52"/>
      <c r="I120" s="52"/>
      <c r="J120" s="52"/>
      <c r="K120" s="52"/>
      <c r="L120" s="52"/>
      <c r="M120" s="53"/>
    </row>
    <row r="121" spans="1:13" x14ac:dyDescent="0.3">
      <c r="A121" s="51" t="s">
        <v>231</v>
      </c>
      <c r="B121" s="52"/>
      <c r="C121" s="52"/>
      <c r="D121" s="103"/>
      <c r="E121" s="52"/>
      <c r="F121" s="52"/>
      <c r="G121" s="52"/>
      <c r="H121" s="52"/>
      <c r="I121" s="52"/>
      <c r="J121" s="52"/>
      <c r="K121" s="52"/>
      <c r="L121" s="52"/>
      <c r="M121" s="53"/>
    </row>
    <row r="122" spans="1:13" x14ac:dyDescent="0.3">
      <c r="A122" s="51" t="s">
        <v>232</v>
      </c>
      <c r="B122" s="52" t="s">
        <v>233</v>
      </c>
      <c r="C122" s="54">
        <v>276</v>
      </c>
      <c r="D122" s="103" t="s">
        <v>234</v>
      </c>
      <c r="E122" s="54">
        <v>0</v>
      </c>
      <c r="F122" s="55">
        <f t="shared" ref="F122:F128" si="7">E122*C122</f>
        <v>0</v>
      </c>
      <c r="G122" s="54">
        <v>27504</v>
      </c>
      <c r="H122" s="55">
        <f t="shared" ref="H122:H128" si="8">G122*C122</f>
        <v>7591104</v>
      </c>
      <c r="I122" s="54">
        <v>33196</v>
      </c>
      <c r="J122" s="55">
        <f t="shared" ref="J122:J128" si="9">I122*C122</f>
        <v>9162096</v>
      </c>
      <c r="K122" s="55">
        <f t="shared" ref="K122:L128" si="10">E122+G122+I122</f>
        <v>60700</v>
      </c>
      <c r="L122" s="55">
        <f t="shared" si="10"/>
        <v>16753200</v>
      </c>
      <c r="M122" s="53"/>
    </row>
    <row r="123" spans="1:13" x14ac:dyDescent="0.3">
      <c r="A123" s="51" t="s">
        <v>235</v>
      </c>
      <c r="B123" s="52" t="s">
        <v>236</v>
      </c>
      <c r="C123" s="54">
        <v>552</v>
      </c>
      <c r="D123" s="103" t="s">
        <v>234</v>
      </c>
      <c r="E123" s="54">
        <v>0</v>
      </c>
      <c r="F123" s="55">
        <f t="shared" si="7"/>
        <v>0</v>
      </c>
      <c r="G123" s="54">
        <v>29725</v>
      </c>
      <c r="H123" s="55">
        <f t="shared" si="8"/>
        <v>16408200</v>
      </c>
      <c r="I123" s="54">
        <v>34274</v>
      </c>
      <c r="J123" s="55">
        <f t="shared" si="9"/>
        <v>18919248</v>
      </c>
      <c r="K123" s="55">
        <f t="shared" si="10"/>
        <v>63999</v>
      </c>
      <c r="L123" s="55">
        <f t="shared" si="10"/>
        <v>35327448</v>
      </c>
      <c r="M123" s="53"/>
    </row>
    <row r="124" spans="1:13" x14ac:dyDescent="0.3">
      <c r="A124" s="51" t="s">
        <v>237</v>
      </c>
      <c r="B124" s="52" t="s">
        <v>238</v>
      </c>
      <c r="C124" s="54">
        <v>96</v>
      </c>
      <c r="D124" s="103" t="s">
        <v>234</v>
      </c>
      <c r="E124" s="54">
        <v>0</v>
      </c>
      <c r="F124" s="55">
        <f t="shared" si="7"/>
        <v>0</v>
      </c>
      <c r="G124" s="54">
        <v>32969</v>
      </c>
      <c r="H124" s="55">
        <f t="shared" si="8"/>
        <v>3165024</v>
      </c>
      <c r="I124" s="54">
        <v>36526</v>
      </c>
      <c r="J124" s="55">
        <f t="shared" si="9"/>
        <v>3506496</v>
      </c>
      <c r="K124" s="55">
        <f t="shared" si="10"/>
        <v>69495</v>
      </c>
      <c r="L124" s="55">
        <f t="shared" si="10"/>
        <v>6671520</v>
      </c>
      <c r="M124" s="53"/>
    </row>
    <row r="125" spans="1:13" x14ac:dyDescent="0.3">
      <c r="A125" s="51" t="s">
        <v>239</v>
      </c>
      <c r="B125" s="52" t="s">
        <v>240</v>
      </c>
      <c r="C125" s="54">
        <v>263</v>
      </c>
      <c r="D125" s="103" t="s">
        <v>234</v>
      </c>
      <c r="E125" s="54">
        <v>0</v>
      </c>
      <c r="F125" s="55">
        <f t="shared" si="7"/>
        <v>0</v>
      </c>
      <c r="G125" s="54">
        <v>34821</v>
      </c>
      <c r="H125" s="55">
        <f t="shared" si="8"/>
        <v>9157923</v>
      </c>
      <c r="I125" s="54">
        <v>37767</v>
      </c>
      <c r="J125" s="55">
        <f t="shared" si="9"/>
        <v>9932721</v>
      </c>
      <c r="K125" s="55">
        <f t="shared" si="10"/>
        <v>72588</v>
      </c>
      <c r="L125" s="55">
        <f t="shared" si="10"/>
        <v>19090644</v>
      </c>
      <c r="M125" s="53"/>
    </row>
    <row r="126" spans="1:13" x14ac:dyDescent="0.3">
      <c r="A126" s="51" t="s">
        <v>241</v>
      </c>
      <c r="B126" s="52" t="s">
        <v>242</v>
      </c>
      <c r="C126" s="54">
        <v>17</v>
      </c>
      <c r="D126" s="103" t="s">
        <v>234</v>
      </c>
      <c r="E126" s="54">
        <v>0</v>
      </c>
      <c r="F126" s="55">
        <f t="shared" si="7"/>
        <v>0</v>
      </c>
      <c r="G126" s="54">
        <v>36143</v>
      </c>
      <c r="H126" s="55">
        <f t="shared" si="8"/>
        <v>614431</v>
      </c>
      <c r="I126" s="54">
        <v>39644</v>
      </c>
      <c r="J126" s="55">
        <f t="shared" si="9"/>
        <v>673948</v>
      </c>
      <c r="K126" s="55">
        <f t="shared" si="10"/>
        <v>75787</v>
      </c>
      <c r="L126" s="55">
        <f t="shared" si="10"/>
        <v>1288379</v>
      </c>
      <c r="M126" s="53"/>
    </row>
    <row r="127" spans="1:13" x14ac:dyDescent="0.3">
      <c r="A127" s="51" t="s">
        <v>243</v>
      </c>
      <c r="B127" s="52" t="s">
        <v>244</v>
      </c>
      <c r="C127" s="54">
        <v>83</v>
      </c>
      <c r="D127" s="103" t="s">
        <v>234</v>
      </c>
      <c r="E127" s="54">
        <v>0</v>
      </c>
      <c r="F127" s="55">
        <f t="shared" si="7"/>
        <v>0</v>
      </c>
      <c r="G127" s="54">
        <v>42754</v>
      </c>
      <c r="H127" s="55">
        <f t="shared" si="8"/>
        <v>3548582</v>
      </c>
      <c r="I127" s="54">
        <v>42964</v>
      </c>
      <c r="J127" s="55">
        <f t="shared" si="9"/>
        <v>3566012</v>
      </c>
      <c r="K127" s="55">
        <f t="shared" si="10"/>
        <v>85718</v>
      </c>
      <c r="L127" s="55">
        <f t="shared" si="10"/>
        <v>7114594</v>
      </c>
      <c r="M127" s="53"/>
    </row>
    <row r="128" spans="1:13" x14ac:dyDescent="0.3">
      <c r="A128" s="51" t="s">
        <v>245</v>
      </c>
      <c r="B128" s="52" t="s">
        <v>246</v>
      </c>
      <c r="C128" s="54">
        <v>16</v>
      </c>
      <c r="D128" s="103" t="s">
        <v>234</v>
      </c>
      <c r="E128" s="54">
        <v>0</v>
      </c>
      <c r="F128" s="55">
        <f t="shared" si="7"/>
        <v>0</v>
      </c>
      <c r="G128" s="54">
        <v>44694</v>
      </c>
      <c r="H128" s="55">
        <f t="shared" si="8"/>
        <v>715104</v>
      </c>
      <c r="I128" s="54">
        <v>46687</v>
      </c>
      <c r="J128" s="55">
        <f t="shared" si="9"/>
        <v>746992</v>
      </c>
      <c r="K128" s="55">
        <f t="shared" si="10"/>
        <v>91381</v>
      </c>
      <c r="L128" s="55">
        <f t="shared" si="10"/>
        <v>1462096</v>
      </c>
      <c r="M128" s="53"/>
    </row>
    <row r="129" spans="1:13" x14ac:dyDescent="0.3">
      <c r="A129" s="51" t="s">
        <v>247</v>
      </c>
      <c r="B129" s="52"/>
      <c r="C129" s="52"/>
      <c r="D129" s="103"/>
      <c r="E129" s="52"/>
      <c r="F129" s="52"/>
      <c r="G129" s="52"/>
      <c r="H129" s="52"/>
      <c r="I129" s="52"/>
      <c r="J129" s="52"/>
      <c r="K129" s="52"/>
      <c r="L129" s="52"/>
      <c r="M129" s="53"/>
    </row>
    <row r="130" spans="1:13" x14ac:dyDescent="0.3">
      <c r="A130" s="51" t="s">
        <v>248</v>
      </c>
      <c r="B130" s="52"/>
      <c r="C130" s="52"/>
      <c r="D130" s="103"/>
      <c r="E130" s="52"/>
      <c r="F130" s="52"/>
      <c r="G130" s="52"/>
      <c r="H130" s="52"/>
      <c r="I130" s="52"/>
      <c r="J130" s="52"/>
      <c r="K130" s="52"/>
      <c r="L130" s="52"/>
      <c r="M130" s="53"/>
    </row>
    <row r="131" spans="1:13" x14ac:dyDescent="0.3">
      <c r="A131" s="51" t="s">
        <v>249</v>
      </c>
      <c r="B131" s="52" t="s">
        <v>250</v>
      </c>
      <c r="C131" s="54">
        <v>272</v>
      </c>
      <c r="D131" s="103" t="s">
        <v>103</v>
      </c>
      <c r="E131" s="54">
        <v>0</v>
      </c>
      <c r="F131" s="55">
        <f>E131*C131</f>
        <v>0</v>
      </c>
      <c r="G131" s="54">
        <v>9697</v>
      </c>
      <c r="H131" s="55">
        <f>G131*C131</f>
        <v>2637584</v>
      </c>
      <c r="I131" s="54">
        <v>17320</v>
      </c>
      <c r="J131" s="55">
        <f>I131*C131</f>
        <v>4711040</v>
      </c>
      <c r="K131" s="55">
        <f>E131+G131+I131</f>
        <v>27017</v>
      </c>
      <c r="L131" s="55">
        <f>F131+H131+J131</f>
        <v>7348624</v>
      </c>
      <c r="M131" s="53"/>
    </row>
    <row r="132" spans="1:13" x14ac:dyDescent="0.3">
      <c r="A132" s="51" t="s">
        <v>251</v>
      </c>
      <c r="B132" s="52" t="s">
        <v>252</v>
      </c>
      <c r="C132" s="54">
        <v>725</v>
      </c>
      <c r="D132" s="103" t="s">
        <v>97</v>
      </c>
      <c r="E132" s="54">
        <v>6612</v>
      </c>
      <c r="F132" s="55">
        <f>E132*C132</f>
        <v>4793700</v>
      </c>
      <c r="G132" s="54">
        <v>17631</v>
      </c>
      <c r="H132" s="55">
        <f>G132*C132</f>
        <v>12782475</v>
      </c>
      <c r="I132" s="54">
        <v>3368</v>
      </c>
      <c r="J132" s="55">
        <f>I132*C132</f>
        <v>2441800</v>
      </c>
      <c r="K132" s="55">
        <f>E132+G132+I132</f>
        <v>27611</v>
      </c>
      <c r="L132" s="55">
        <f>F132+H132+J132</f>
        <v>20017975</v>
      </c>
      <c r="M132" s="53"/>
    </row>
    <row r="133" spans="1:13" x14ac:dyDescent="0.3">
      <c r="A133" s="51" t="s">
        <v>253</v>
      </c>
      <c r="B133" s="52"/>
      <c r="C133" s="52"/>
      <c r="D133" s="103"/>
      <c r="E133" s="52"/>
      <c r="F133" s="52"/>
      <c r="G133" s="52"/>
      <c r="H133" s="52"/>
      <c r="I133" s="52"/>
      <c r="J133" s="52"/>
      <c r="K133" s="52"/>
      <c r="L133" s="52"/>
      <c r="M133" s="53"/>
    </row>
    <row r="134" spans="1:13" x14ac:dyDescent="0.3">
      <c r="A134" s="51" t="s">
        <v>254</v>
      </c>
      <c r="B134" s="52" t="s">
        <v>255</v>
      </c>
      <c r="C134" s="54">
        <v>25</v>
      </c>
      <c r="D134" s="103" t="s">
        <v>204</v>
      </c>
      <c r="E134" s="54">
        <v>0</v>
      </c>
      <c r="F134" s="55">
        <f>E134*C134</f>
        <v>0</v>
      </c>
      <c r="G134" s="54">
        <v>52892</v>
      </c>
      <c r="H134" s="55">
        <f>G134*C134</f>
        <v>1322300</v>
      </c>
      <c r="I134" s="54">
        <v>17320</v>
      </c>
      <c r="J134" s="55">
        <f>I134*C134</f>
        <v>433000</v>
      </c>
      <c r="K134" s="55">
        <f t="shared" ref="K134:L137" si="11">E134+G134+I134</f>
        <v>70212</v>
      </c>
      <c r="L134" s="55">
        <f t="shared" si="11"/>
        <v>1755300</v>
      </c>
      <c r="M134" s="53"/>
    </row>
    <row r="135" spans="1:13" x14ac:dyDescent="0.3">
      <c r="A135" s="51" t="s">
        <v>256</v>
      </c>
      <c r="B135" s="52" t="s">
        <v>257</v>
      </c>
      <c r="C135" s="54">
        <v>9</v>
      </c>
      <c r="D135" s="103" t="s">
        <v>204</v>
      </c>
      <c r="E135" s="54">
        <v>0</v>
      </c>
      <c r="F135" s="55">
        <f>E135*C135</f>
        <v>0</v>
      </c>
      <c r="G135" s="54">
        <v>52892</v>
      </c>
      <c r="H135" s="55">
        <f>G135*C135</f>
        <v>476028</v>
      </c>
      <c r="I135" s="54">
        <v>17320</v>
      </c>
      <c r="J135" s="55">
        <f>I135*C135</f>
        <v>155880</v>
      </c>
      <c r="K135" s="55">
        <f t="shared" si="11"/>
        <v>70212</v>
      </c>
      <c r="L135" s="55">
        <f t="shared" si="11"/>
        <v>631908</v>
      </c>
      <c r="M135" s="53"/>
    </row>
    <row r="136" spans="1:13" x14ac:dyDescent="0.3">
      <c r="A136" s="51" t="s">
        <v>258</v>
      </c>
      <c r="B136" s="52" t="s">
        <v>259</v>
      </c>
      <c r="C136" s="54">
        <v>18</v>
      </c>
      <c r="D136" s="103" t="s">
        <v>204</v>
      </c>
      <c r="E136" s="54">
        <v>0</v>
      </c>
      <c r="F136" s="55">
        <f>E136*C136</f>
        <v>0</v>
      </c>
      <c r="G136" s="54">
        <v>52892</v>
      </c>
      <c r="H136" s="55">
        <f>G136*C136</f>
        <v>952056</v>
      </c>
      <c r="I136" s="54">
        <v>17320</v>
      </c>
      <c r="J136" s="55">
        <f>I136*C136</f>
        <v>311760</v>
      </c>
      <c r="K136" s="55">
        <f t="shared" si="11"/>
        <v>70212</v>
      </c>
      <c r="L136" s="55">
        <f t="shared" si="11"/>
        <v>1263816</v>
      </c>
      <c r="M136" s="53"/>
    </row>
    <row r="137" spans="1:13" x14ac:dyDescent="0.3">
      <c r="A137" s="51" t="s">
        <v>260</v>
      </c>
      <c r="B137" s="52" t="s">
        <v>261</v>
      </c>
      <c r="C137" s="54">
        <v>2</v>
      </c>
      <c r="D137" s="103" t="s">
        <v>204</v>
      </c>
      <c r="E137" s="54">
        <v>0</v>
      </c>
      <c r="F137" s="55">
        <f>E137*C137</f>
        <v>0</v>
      </c>
      <c r="G137" s="54">
        <v>52892</v>
      </c>
      <c r="H137" s="55">
        <f>G137*C137</f>
        <v>105784</v>
      </c>
      <c r="I137" s="54">
        <v>17320</v>
      </c>
      <c r="J137" s="55">
        <f>I137*C137</f>
        <v>34640</v>
      </c>
      <c r="K137" s="55">
        <f t="shared" si="11"/>
        <v>70212</v>
      </c>
      <c r="L137" s="55">
        <f t="shared" si="11"/>
        <v>140424</v>
      </c>
      <c r="M137" s="53"/>
    </row>
    <row r="138" spans="1:13" x14ac:dyDescent="0.3">
      <c r="A138" s="51" t="s">
        <v>262</v>
      </c>
      <c r="B138" s="52"/>
      <c r="C138" s="52"/>
      <c r="D138" s="103"/>
      <c r="E138" s="52"/>
      <c r="F138" s="52"/>
      <c r="G138" s="52"/>
      <c r="H138" s="52"/>
      <c r="I138" s="52"/>
      <c r="J138" s="52"/>
      <c r="K138" s="52"/>
      <c r="L138" s="52"/>
      <c r="M138" s="53"/>
    </row>
    <row r="139" spans="1:13" x14ac:dyDescent="0.3">
      <c r="A139" s="51" t="s">
        <v>263</v>
      </c>
      <c r="B139" s="52" t="s">
        <v>264</v>
      </c>
      <c r="C139" s="54">
        <v>86</v>
      </c>
      <c r="D139" s="103" t="s">
        <v>204</v>
      </c>
      <c r="E139" s="54">
        <v>0</v>
      </c>
      <c r="F139" s="55">
        <f t="shared" ref="F139:F145" si="12">E139*C139</f>
        <v>0</v>
      </c>
      <c r="G139" s="54">
        <v>56375</v>
      </c>
      <c r="H139" s="55">
        <f t="shared" ref="H139:H145" si="13">G139*C139</f>
        <v>4848250</v>
      </c>
      <c r="I139" s="54">
        <v>18475</v>
      </c>
      <c r="J139" s="55">
        <f t="shared" ref="J139:J145" si="14">I139*C139</f>
        <v>1588850</v>
      </c>
      <c r="K139" s="55">
        <f t="shared" ref="K139:L145" si="15">E139+G139+I139</f>
        <v>74850</v>
      </c>
      <c r="L139" s="55">
        <f t="shared" si="15"/>
        <v>6437100</v>
      </c>
      <c r="M139" s="53"/>
    </row>
    <row r="140" spans="1:13" x14ac:dyDescent="0.3">
      <c r="A140" s="51" t="s">
        <v>265</v>
      </c>
      <c r="B140" s="52" t="s">
        <v>266</v>
      </c>
      <c r="C140" s="54">
        <v>32</v>
      </c>
      <c r="D140" s="103" t="s">
        <v>204</v>
      </c>
      <c r="E140" s="54">
        <v>0</v>
      </c>
      <c r="F140" s="55">
        <f t="shared" si="12"/>
        <v>0</v>
      </c>
      <c r="G140" s="54">
        <v>56375</v>
      </c>
      <c r="H140" s="55">
        <f t="shared" si="13"/>
        <v>1804000</v>
      </c>
      <c r="I140" s="54">
        <v>18475</v>
      </c>
      <c r="J140" s="55">
        <f t="shared" si="14"/>
        <v>591200</v>
      </c>
      <c r="K140" s="55">
        <f t="shared" si="15"/>
        <v>74850</v>
      </c>
      <c r="L140" s="55">
        <f t="shared" si="15"/>
        <v>2395200</v>
      </c>
      <c r="M140" s="53"/>
    </row>
    <row r="141" spans="1:13" x14ac:dyDescent="0.3">
      <c r="A141" s="51" t="s">
        <v>267</v>
      </c>
      <c r="B141" s="52" t="s">
        <v>268</v>
      </c>
      <c r="C141" s="54">
        <v>4</v>
      </c>
      <c r="D141" s="103" t="s">
        <v>204</v>
      </c>
      <c r="E141" s="54">
        <v>0</v>
      </c>
      <c r="F141" s="55">
        <f t="shared" si="12"/>
        <v>0</v>
      </c>
      <c r="G141" s="54">
        <v>56375</v>
      </c>
      <c r="H141" s="55">
        <f t="shared" si="13"/>
        <v>225500</v>
      </c>
      <c r="I141" s="54">
        <v>18475</v>
      </c>
      <c r="J141" s="55">
        <f t="shared" si="14"/>
        <v>73900</v>
      </c>
      <c r="K141" s="55">
        <f t="shared" si="15"/>
        <v>74850</v>
      </c>
      <c r="L141" s="55">
        <f t="shared" si="15"/>
        <v>299400</v>
      </c>
      <c r="M141" s="53"/>
    </row>
    <row r="142" spans="1:13" x14ac:dyDescent="0.3">
      <c r="A142" s="51" t="s">
        <v>269</v>
      </c>
      <c r="B142" s="52" t="s">
        <v>270</v>
      </c>
      <c r="C142" s="54">
        <v>11</v>
      </c>
      <c r="D142" s="103" t="s">
        <v>204</v>
      </c>
      <c r="E142" s="54">
        <v>0</v>
      </c>
      <c r="F142" s="55">
        <f t="shared" si="12"/>
        <v>0</v>
      </c>
      <c r="G142" s="54">
        <v>56375</v>
      </c>
      <c r="H142" s="55">
        <f t="shared" si="13"/>
        <v>620125</v>
      </c>
      <c r="I142" s="54">
        <v>18475</v>
      </c>
      <c r="J142" s="55">
        <f t="shared" si="14"/>
        <v>203225</v>
      </c>
      <c r="K142" s="55">
        <f t="shared" si="15"/>
        <v>74850</v>
      </c>
      <c r="L142" s="55">
        <f t="shared" si="15"/>
        <v>823350</v>
      </c>
      <c r="M142" s="53"/>
    </row>
    <row r="143" spans="1:13" x14ac:dyDescent="0.3">
      <c r="A143" s="51" t="s">
        <v>271</v>
      </c>
      <c r="B143" s="52" t="s">
        <v>272</v>
      </c>
      <c r="C143" s="54">
        <v>1</v>
      </c>
      <c r="D143" s="103" t="s">
        <v>204</v>
      </c>
      <c r="E143" s="54">
        <v>0</v>
      </c>
      <c r="F143" s="55">
        <f t="shared" si="12"/>
        <v>0</v>
      </c>
      <c r="G143" s="54">
        <v>56375</v>
      </c>
      <c r="H143" s="55">
        <f t="shared" si="13"/>
        <v>56375</v>
      </c>
      <c r="I143" s="54">
        <v>18475</v>
      </c>
      <c r="J143" s="55">
        <f t="shared" si="14"/>
        <v>18475</v>
      </c>
      <c r="K143" s="55">
        <f t="shared" si="15"/>
        <v>74850</v>
      </c>
      <c r="L143" s="55">
        <f t="shared" si="15"/>
        <v>74850</v>
      </c>
      <c r="M143" s="53"/>
    </row>
    <row r="144" spans="1:13" x14ac:dyDescent="0.3">
      <c r="A144" s="51" t="s">
        <v>273</v>
      </c>
      <c r="B144" s="52" t="s">
        <v>274</v>
      </c>
      <c r="C144" s="54">
        <v>3</v>
      </c>
      <c r="D144" s="103" t="s">
        <v>204</v>
      </c>
      <c r="E144" s="54">
        <v>0</v>
      </c>
      <c r="F144" s="55">
        <f t="shared" si="12"/>
        <v>0</v>
      </c>
      <c r="G144" s="54">
        <v>56375</v>
      </c>
      <c r="H144" s="55">
        <f t="shared" si="13"/>
        <v>169125</v>
      </c>
      <c r="I144" s="54">
        <v>18475</v>
      </c>
      <c r="J144" s="55">
        <f t="shared" si="14"/>
        <v>55425</v>
      </c>
      <c r="K144" s="55">
        <f t="shared" si="15"/>
        <v>74850</v>
      </c>
      <c r="L144" s="55">
        <f t="shared" si="15"/>
        <v>224550</v>
      </c>
      <c r="M144" s="53"/>
    </row>
    <row r="145" spans="1:13" x14ac:dyDescent="0.3">
      <c r="A145" s="51" t="s">
        <v>275</v>
      </c>
      <c r="B145" s="52" t="s">
        <v>276</v>
      </c>
      <c r="C145" s="54">
        <v>3</v>
      </c>
      <c r="D145" s="103" t="s">
        <v>204</v>
      </c>
      <c r="E145" s="54">
        <v>0</v>
      </c>
      <c r="F145" s="55">
        <f t="shared" si="12"/>
        <v>0</v>
      </c>
      <c r="G145" s="54">
        <v>56375</v>
      </c>
      <c r="H145" s="55">
        <f t="shared" si="13"/>
        <v>169125</v>
      </c>
      <c r="I145" s="54">
        <v>18475</v>
      </c>
      <c r="J145" s="55">
        <f t="shared" si="14"/>
        <v>55425</v>
      </c>
      <c r="K145" s="55">
        <f t="shared" si="15"/>
        <v>74850</v>
      </c>
      <c r="L145" s="55">
        <f t="shared" si="15"/>
        <v>224550</v>
      </c>
      <c r="M145" s="53"/>
    </row>
    <row r="146" spans="1:13" x14ac:dyDescent="0.3">
      <c r="A146" s="51" t="s">
        <v>277</v>
      </c>
      <c r="B146" s="52"/>
      <c r="C146" s="52"/>
      <c r="D146" s="103"/>
      <c r="E146" s="52"/>
      <c r="F146" s="52"/>
      <c r="G146" s="52"/>
      <c r="H146" s="52"/>
      <c r="I146" s="52"/>
      <c r="J146" s="52"/>
      <c r="K146" s="52"/>
      <c r="L146" s="52"/>
      <c r="M146" s="53"/>
    </row>
    <row r="147" spans="1:13" x14ac:dyDescent="0.3">
      <c r="A147" s="51" t="s">
        <v>278</v>
      </c>
      <c r="B147" s="52" t="s">
        <v>279</v>
      </c>
      <c r="C147" s="54">
        <v>928</v>
      </c>
      <c r="D147" s="103" t="s">
        <v>234</v>
      </c>
      <c r="E147" s="54">
        <v>0</v>
      </c>
      <c r="F147" s="55">
        <f>E147*C147</f>
        <v>0</v>
      </c>
      <c r="G147" s="54">
        <v>0</v>
      </c>
      <c r="H147" s="55">
        <f>G147*C147</f>
        <v>0</v>
      </c>
      <c r="I147" s="54">
        <v>3368</v>
      </c>
      <c r="J147" s="55">
        <f>I147*C147</f>
        <v>3125504</v>
      </c>
      <c r="K147" s="55">
        <f t="shared" ref="K147:L149" si="16">E147+G147+I147</f>
        <v>3368</v>
      </c>
      <c r="L147" s="55">
        <f t="shared" si="16"/>
        <v>3125504</v>
      </c>
      <c r="M147" s="53"/>
    </row>
    <row r="148" spans="1:13" x14ac:dyDescent="0.3">
      <c r="A148" s="51" t="s">
        <v>280</v>
      </c>
      <c r="B148" s="52" t="s">
        <v>281</v>
      </c>
      <c r="C148" s="54">
        <v>1539</v>
      </c>
      <c r="D148" s="103" t="s">
        <v>234</v>
      </c>
      <c r="E148" s="54">
        <v>441</v>
      </c>
      <c r="F148" s="55">
        <f>E148*C148</f>
        <v>678699</v>
      </c>
      <c r="G148" s="54">
        <v>441</v>
      </c>
      <c r="H148" s="55">
        <f>G148*C148</f>
        <v>678699</v>
      </c>
      <c r="I148" s="54">
        <v>0</v>
      </c>
      <c r="J148" s="55">
        <f>I148*C148</f>
        <v>0</v>
      </c>
      <c r="K148" s="55">
        <f t="shared" si="16"/>
        <v>882</v>
      </c>
      <c r="L148" s="55">
        <f t="shared" si="16"/>
        <v>1357398</v>
      </c>
      <c r="M148" s="53"/>
    </row>
    <row r="149" spans="1:13" x14ac:dyDescent="0.3">
      <c r="A149" s="51" t="s">
        <v>282</v>
      </c>
      <c r="B149" s="52" t="s">
        <v>283</v>
      </c>
      <c r="C149" s="54">
        <v>26</v>
      </c>
      <c r="D149" s="103" t="s">
        <v>103</v>
      </c>
      <c r="E149" s="54">
        <v>0</v>
      </c>
      <c r="F149" s="55">
        <f>E149*C149</f>
        <v>0</v>
      </c>
      <c r="G149" s="54">
        <v>0</v>
      </c>
      <c r="H149" s="55">
        <f>G149*C149</f>
        <v>0</v>
      </c>
      <c r="I149" s="54">
        <v>66614</v>
      </c>
      <c r="J149" s="55">
        <f>I149*C149</f>
        <v>1731964</v>
      </c>
      <c r="K149" s="55">
        <f t="shared" si="16"/>
        <v>66614</v>
      </c>
      <c r="L149" s="55">
        <f t="shared" si="16"/>
        <v>1731964</v>
      </c>
      <c r="M149" s="53"/>
    </row>
    <row r="150" spans="1:13" x14ac:dyDescent="0.3">
      <c r="A150" s="51" t="s">
        <v>284</v>
      </c>
      <c r="B150" s="52"/>
      <c r="C150" s="52"/>
      <c r="D150" s="103"/>
      <c r="E150" s="52"/>
      <c r="F150" s="52"/>
      <c r="G150" s="52"/>
      <c r="H150" s="52"/>
      <c r="I150" s="52"/>
      <c r="J150" s="52"/>
      <c r="K150" s="52"/>
      <c r="L150" s="52"/>
      <c r="M150" s="53"/>
    </row>
    <row r="151" spans="1:13" x14ac:dyDescent="0.3">
      <c r="A151" s="51" t="s">
        <v>285</v>
      </c>
      <c r="B151" s="52"/>
      <c r="C151" s="52"/>
      <c r="D151" s="103"/>
      <c r="E151" s="52"/>
      <c r="F151" s="52"/>
      <c r="G151" s="52"/>
      <c r="H151" s="52"/>
      <c r="I151" s="52"/>
      <c r="J151" s="52"/>
      <c r="K151" s="52"/>
      <c r="L151" s="52"/>
      <c r="M151" s="53"/>
    </row>
    <row r="152" spans="1:13" x14ac:dyDescent="0.3">
      <c r="A152" s="51" t="s">
        <v>286</v>
      </c>
      <c r="B152" s="52" t="s">
        <v>287</v>
      </c>
      <c r="C152" s="54">
        <v>8</v>
      </c>
      <c r="D152" s="103" t="s">
        <v>204</v>
      </c>
      <c r="E152" s="54">
        <v>652337</v>
      </c>
      <c r="F152" s="55">
        <f>E152*C152</f>
        <v>5218696</v>
      </c>
      <c r="G152" s="54">
        <v>182919</v>
      </c>
      <c r="H152" s="55">
        <f>G152*C152</f>
        <v>1463352</v>
      </c>
      <c r="I152" s="54">
        <v>228528</v>
      </c>
      <c r="J152" s="55">
        <f>I152*C152</f>
        <v>1828224</v>
      </c>
      <c r="K152" s="55">
        <f t="shared" ref="K152:L154" si="17">E152+G152+I152</f>
        <v>1063784</v>
      </c>
      <c r="L152" s="55">
        <f t="shared" si="17"/>
        <v>8510272</v>
      </c>
      <c r="M152" s="53"/>
    </row>
    <row r="153" spans="1:13" x14ac:dyDescent="0.3">
      <c r="A153" s="51" t="s">
        <v>288</v>
      </c>
      <c r="B153" s="52" t="s">
        <v>289</v>
      </c>
      <c r="C153" s="54">
        <v>1</v>
      </c>
      <c r="D153" s="103" t="s">
        <v>204</v>
      </c>
      <c r="E153" s="54">
        <v>1075474</v>
      </c>
      <c r="F153" s="55">
        <f>E153*C153</f>
        <v>1075474</v>
      </c>
      <c r="G153" s="54">
        <v>182919</v>
      </c>
      <c r="H153" s="55">
        <f>G153*C153</f>
        <v>182919</v>
      </c>
      <c r="I153" s="54">
        <v>228527</v>
      </c>
      <c r="J153" s="55">
        <f>I153*C153</f>
        <v>228527</v>
      </c>
      <c r="K153" s="55">
        <f t="shared" si="17"/>
        <v>1486920</v>
      </c>
      <c r="L153" s="55">
        <f t="shared" si="17"/>
        <v>1486920</v>
      </c>
      <c r="M153" s="53"/>
    </row>
    <row r="154" spans="1:13" x14ac:dyDescent="0.3">
      <c r="A154" s="51" t="s">
        <v>290</v>
      </c>
      <c r="B154" s="52" t="s">
        <v>291</v>
      </c>
      <c r="C154" s="54">
        <v>10</v>
      </c>
      <c r="D154" s="103" t="s">
        <v>204</v>
      </c>
      <c r="E154" s="54">
        <v>1031397</v>
      </c>
      <c r="F154" s="55">
        <f>E154*C154</f>
        <v>10313970</v>
      </c>
      <c r="G154" s="54">
        <v>182919</v>
      </c>
      <c r="H154" s="55">
        <f>G154*C154</f>
        <v>1829190</v>
      </c>
      <c r="I154" s="54">
        <v>228527</v>
      </c>
      <c r="J154" s="55">
        <f>I154*C154</f>
        <v>2285270</v>
      </c>
      <c r="K154" s="55">
        <f t="shared" si="17"/>
        <v>1442843</v>
      </c>
      <c r="L154" s="55">
        <f t="shared" si="17"/>
        <v>14428430</v>
      </c>
      <c r="M154" s="53"/>
    </row>
    <row r="155" spans="1:13" x14ac:dyDescent="0.3">
      <c r="A155" s="51" t="s">
        <v>292</v>
      </c>
      <c r="B155" s="52"/>
      <c r="C155" s="52"/>
      <c r="D155" s="103"/>
      <c r="E155" s="52"/>
      <c r="F155" s="52"/>
      <c r="G155" s="52"/>
      <c r="H155" s="52"/>
      <c r="I155" s="52"/>
      <c r="J155" s="52"/>
      <c r="K155" s="52"/>
      <c r="L155" s="52"/>
      <c r="M155" s="53"/>
    </row>
    <row r="156" spans="1:13" x14ac:dyDescent="0.3">
      <c r="A156" s="51" t="s">
        <v>293</v>
      </c>
      <c r="B156" s="52" t="s">
        <v>294</v>
      </c>
      <c r="C156" s="54">
        <v>12</v>
      </c>
      <c r="D156" s="103" t="s">
        <v>204</v>
      </c>
      <c r="E156" s="54">
        <v>1851226</v>
      </c>
      <c r="F156" s="55">
        <f t="shared" ref="F156:F161" si="18">E156*C156</f>
        <v>22214712</v>
      </c>
      <c r="G156" s="54">
        <v>182919</v>
      </c>
      <c r="H156" s="55">
        <f t="shared" ref="H156:H161" si="19">G156*C156</f>
        <v>2195028</v>
      </c>
      <c r="I156" s="54">
        <v>228527</v>
      </c>
      <c r="J156" s="55">
        <f t="shared" ref="J156:J161" si="20">I156*C156</f>
        <v>2742324</v>
      </c>
      <c r="K156" s="55">
        <f t="shared" ref="K156:L161" si="21">E156+G156+I156</f>
        <v>2262672</v>
      </c>
      <c r="L156" s="55">
        <f t="shared" si="21"/>
        <v>27152064</v>
      </c>
      <c r="M156" s="53"/>
    </row>
    <row r="157" spans="1:13" x14ac:dyDescent="0.3">
      <c r="A157" s="51" t="s">
        <v>295</v>
      </c>
      <c r="B157" s="52" t="s">
        <v>296</v>
      </c>
      <c r="C157" s="54">
        <v>1</v>
      </c>
      <c r="D157" s="103" t="s">
        <v>204</v>
      </c>
      <c r="E157" s="54">
        <v>2291994</v>
      </c>
      <c r="F157" s="55">
        <f t="shared" si="18"/>
        <v>2291994</v>
      </c>
      <c r="G157" s="54">
        <v>182919</v>
      </c>
      <c r="H157" s="55">
        <f t="shared" si="19"/>
        <v>182919</v>
      </c>
      <c r="I157" s="54">
        <v>228527</v>
      </c>
      <c r="J157" s="55">
        <f t="shared" si="20"/>
        <v>228527</v>
      </c>
      <c r="K157" s="55">
        <f t="shared" si="21"/>
        <v>2703440</v>
      </c>
      <c r="L157" s="55">
        <f t="shared" si="21"/>
        <v>2703440</v>
      </c>
      <c r="M157" s="53"/>
    </row>
    <row r="158" spans="1:13" x14ac:dyDescent="0.3">
      <c r="A158" s="51" t="s">
        <v>297</v>
      </c>
      <c r="B158" s="52" t="s">
        <v>298</v>
      </c>
      <c r="C158" s="54">
        <v>2</v>
      </c>
      <c r="D158" s="103" t="s">
        <v>204</v>
      </c>
      <c r="E158" s="54">
        <v>3103007</v>
      </c>
      <c r="F158" s="55">
        <f t="shared" si="18"/>
        <v>6206014</v>
      </c>
      <c r="G158" s="54">
        <v>182919</v>
      </c>
      <c r="H158" s="55">
        <f t="shared" si="19"/>
        <v>365838</v>
      </c>
      <c r="I158" s="54">
        <v>228528</v>
      </c>
      <c r="J158" s="55">
        <f t="shared" si="20"/>
        <v>457056</v>
      </c>
      <c r="K158" s="55">
        <f t="shared" si="21"/>
        <v>3514454</v>
      </c>
      <c r="L158" s="55">
        <f t="shared" si="21"/>
        <v>7028908</v>
      </c>
      <c r="M158" s="53"/>
    </row>
    <row r="159" spans="1:13" x14ac:dyDescent="0.3">
      <c r="A159" s="51" t="s">
        <v>299</v>
      </c>
      <c r="B159" s="52" t="s">
        <v>300</v>
      </c>
      <c r="C159" s="54">
        <v>1</v>
      </c>
      <c r="D159" s="103" t="s">
        <v>204</v>
      </c>
      <c r="E159" s="54">
        <v>3349838</v>
      </c>
      <c r="F159" s="55">
        <f t="shared" si="18"/>
        <v>3349838</v>
      </c>
      <c r="G159" s="54">
        <v>182919</v>
      </c>
      <c r="H159" s="55">
        <f t="shared" si="19"/>
        <v>182919</v>
      </c>
      <c r="I159" s="54">
        <v>228526</v>
      </c>
      <c r="J159" s="55">
        <f t="shared" si="20"/>
        <v>228526</v>
      </c>
      <c r="K159" s="55">
        <f t="shared" si="21"/>
        <v>3761283</v>
      </c>
      <c r="L159" s="55">
        <f t="shared" si="21"/>
        <v>3761283</v>
      </c>
      <c r="M159" s="53"/>
    </row>
    <row r="160" spans="1:13" x14ac:dyDescent="0.3">
      <c r="A160" s="51" t="s">
        <v>301</v>
      </c>
      <c r="B160" s="52" t="s">
        <v>302</v>
      </c>
      <c r="C160" s="54">
        <v>1</v>
      </c>
      <c r="D160" s="103" t="s">
        <v>204</v>
      </c>
      <c r="E160" s="54">
        <v>3279314</v>
      </c>
      <c r="F160" s="55">
        <f t="shared" si="18"/>
        <v>3279314</v>
      </c>
      <c r="G160" s="54">
        <v>182919</v>
      </c>
      <c r="H160" s="55">
        <f t="shared" si="19"/>
        <v>182919</v>
      </c>
      <c r="I160" s="54">
        <v>228527</v>
      </c>
      <c r="J160" s="55">
        <f t="shared" si="20"/>
        <v>228527</v>
      </c>
      <c r="K160" s="55">
        <f t="shared" si="21"/>
        <v>3690760</v>
      </c>
      <c r="L160" s="55">
        <f t="shared" si="21"/>
        <v>3690760</v>
      </c>
      <c r="M160" s="53"/>
    </row>
    <row r="161" spans="1:13" x14ac:dyDescent="0.3">
      <c r="A161" s="51" t="s">
        <v>303</v>
      </c>
      <c r="B161" s="52" t="s">
        <v>304</v>
      </c>
      <c r="C161" s="54">
        <v>1</v>
      </c>
      <c r="D161" s="103" t="s">
        <v>204</v>
      </c>
      <c r="E161" s="54">
        <v>1577950</v>
      </c>
      <c r="F161" s="55">
        <f t="shared" si="18"/>
        <v>1577950</v>
      </c>
      <c r="G161" s="54">
        <v>182919</v>
      </c>
      <c r="H161" s="55">
        <f t="shared" si="19"/>
        <v>182919</v>
      </c>
      <c r="I161" s="54">
        <v>228527</v>
      </c>
      <c r="J161" s="55">
        <f t="shared" si="20"/>
        <v>228527</v>
      </c>
      <c r="K161" s="55">
        <f t="shared" si="21"/>
        <v>1989396</v>
      </c>
      <c r="L161" s="55">
        <f t="shared" si="21"/>
        <v>1989396</v>
      </c>
      <c r="M161" s="53"/>
    </row>
    <row r="162" spans="1:13" x14ac:dyDescent="0.3">
      <c r="A162" s="51" t="s">
        <v>305</v>
      </c>
      <c r="B162" s="52"/>
      <c r="C162" s="52"/>
      <c r="D162" s="103"/>
      <c r="E162" s="52"/>
      <c r="F162" s="52"/>
      <c r="G162" s="52"/>
      <c r="H162" s="52"/>
      <c r="I162" s="52"/>
      <c r="J162" s="52"/>
      <c r="K162" s="52"/>
      <c r="L162" s="52"/>
      <c r="M162" s="53"/>
    </row>
    <row r="163" spans="1:13" x14ac:dyDescent="0.3">
      <c r="A163" s="51" t="s">
        <v>306</v>
      </c>
      <c r="B163" s="52" t="s">
        <v>307</v>
      </c>
      <c r="C163" s="56">
        <v>1.5629999999999999</v>
      </c>
      <c r="D163" s="103" t="s">
        <v>103</v>
      </c>
      <c r="E163" s="54">
        <v>0</v>
      </c>
      <c r="F163" s="55">
        <f>E163*C163</f>
        <v>0</v>
      </c>
      <c r="G163" s="54">
        <v>137784</v>
      </c>
      <c r="H163" s="55">
        <f>G163*C163</f>
        <v>215356.39199999999</v>
      </c>
      <c r="I163" s="54">
        <v>0</v>
      </c>
      <c r="J163" s="55">
        <f>I163*C163</f>
        <v>0</v>
      </c>
      <c r="K163" s="55">
        <f>E163+G163+I163</f>
        <v>137784</v>
      </c>
      <c r="L163" s="55">
        <f>F163+H163+J163</f>
        <v>215356.39199999999</v>
      </c>
      <c r="M163" s="53"/>
    </row>
    <row r="164" spans="1:13" x14ac:dyDescent="0.3">
      <c r="A164" s="51" t="s">
        <v>308</v>
      </c>
      <c r="B164" s="52" t="s">
        <v>309</v>
      </c>
      <c r="C164" s="54">
        <v>206</v>
      </c>
      <c r="D164" s="103" t="s">
        <v>234</v>
      </c>
      <c r="E164" s="54">
        <v>2645</v>
      </c>
      <c r="F164" s="55">
        <f>E164*C164</f>
        <v>544870</v>
      </c>
      <c r="G164" s="54">
        <v>5730</v>
      </c>
      <c r="H164" s="55">
        <f>G164*C164</f>
        <v>1180380</v>
      </c>
      <c r="I164" s="54">
        <v>0</v>
      </c>
      <c r="J164" s="55">
        <f>I164*C164</f>
        <v>0</v>
      </c>
      <c r="K164" s="55">
        <f>E164+G164+I164</f>
        <v>8375</v>
      </c>
      <c r="L164" s="55">
        <f>F164+H164+J164</f>
        <v>1725250</v>
      </c>
      <c r="M164" s="53"/>
    </row>
    <row r="165" spans="1:13" x14ac:dyDescent="0.3">
      <c r="A165" s="51" t="s">
        <v>310</v>
      </c>
      <c r="B165" s="52"/>
      <c r="C165" s="52"/>
      <c r="D165" s="103"/>
      <c r="E165" s="52"/>
      <c r="F165" s="52"/>
      <c r="G165" s="52"/>
      <c r="H165" s="52"/>
      <c r="I165" s="52"/>
      <c r="J165" s="52"/>
      <c r="K165" s="52"/>
      <c r="L165" s="52"/>
      <c r="M165" s="53"/>
    </row>
    <row r="166" spans="1:13" x14ac:dyDescent="0.3">
      <c r="A166" s="51" t="s">
        <v>311</v>
      </c>
      <c r="B166" s="52"/>
      <c r="C166" s="52"/>
      <c r="D166" s="103"/>
      <c r="E166" s="52"/>
      <c r="F166" s="52"/>
      <c r="G166" s="52"/>
      <c r="H166" s="52"/>
      <c r="I166" s="52"/>
      <c r="J166" s="52"/>
      <c r="K166" s="52"/>
      <c r="L166" s="52"/>
      <c r="M166" s="53"/>
    </row>
    <row r="167" spans="1:13" x14ac:dyDescent="0.3">
      <c r="A167" s="51" t="s">
        <v>312</v>
      </c>
      <c r="B167" s="52" t="s">
        <v>313</v>
      </c>
      <c r="C167" s="54">
        <v>86</v>
      </c>
      <c r="D167" s="103" t="s">
        <v>204</v>
      </c>
      <c r="E167" s="54">
        <v>64352</v>
      </c>
      <c r="F167" s="55">
        <f>E167*C167</f>
        <v>5534272</v>
      </c>
      <c r="G167" s="54">
        <v>47603</v>
      </c>
      <c r="H167" s="55">
        <f>G167*C167</f>
        <v>4093858</v>
      </c>
      <c r="I167" s="54">
        <v>64431</v>
      </c>
      <c r="J167" s="55">
        <f>I167*C167</f>
        <v>5541066</v>
      </c>
      <c r="K167" s="55">
        <f>E167+G167+I167</f>
        <v>176386</v>
      </c>
      <c r="L167" s="55">
        <f>F167+H167+J167</f>
        <v>15169196</v>
      </c>
      <c r="M167" s="53"/>
    </row>
    <row r="168" spans="1:13" x14ac:dyDescent="0.3">
      <c r="A168" s="51" t="s">
        <v>314</v>
      </c>
      <c r="B168" s="52"/>
      <c r="C168" s="52"/>
      <c r="D168" s="103"/>
      <c r="E168" s="52"/>
      <c r="F168" s="52"/>
      <c r="G168" s="52"/>
      <c r="H168" s="52"/>
      <c r="I168" s="52"/>
      <c r="J168" s="52"/>
      <c r="K168" s="52"/>
      <c r="L168" s="52"/>
      <c r="M168" s="53"/>
    </row>
    <row r="169" spans="1:13" x14ac:dyDescent="0.3">
      <c r="A169" s="51" t="s">
        <v>315</v>
      </c>
      <c r="B169" s="52"/>
      <c r="C169" s="52"/>
      <c r="D169" s="103"/>
      <c r="E169" s="52"/>
      <c r="F169" s="52"/>
      <c r="G169" s="52"/>
      <c r="H169" s="52"/>
      <c r="I169" s="52"/>
      <c r="J169" s="52"/>
      <c r="K169" s="52"/>
      <c r="L169" s="52"/>
      <c r="M169" s="53"/>
    </row>
    <row r="170" spans="1:13" x14ac:dyDescent="0.3">
      <c r="A170" s="51" t="s">
        <v>316</v>
      </c>
      <c r="B170" s="52" t="s">
        <v>317</v>
      </c>
      <c r="C170" s="54">
        <v>4</v>
      </c>
      <c r="D170" s="103" t="s">
        <v>234</v>
      </c>
      <c r="E170" s="54">
        <v>773989</v>
      </c>
      <c r="F170" s="55">
        <f>E170*C170</f>
        <v>3095956</v>
      </c>
      <c r="G170" s="54">
        <v>158677</v>
      </c>
      <c r="H170" s="55">
        <f>G170*C170</f>
        <v>634708</v>
      </c>
      <c r="I170" s="54">
        <v>52922</v>
      </c>
      <c r="J170" s="55">
        <f>I170*C170</f>
        <v>211688</v>
      </c>
      <c r="K170" s="55">
        <f t="shared" ref="K170:L173" si="22">E170+G170+I170</f>
        <v>985588</v>
      </c>
      <c r="L170" s="55">
        <f t="shared" si="22"/>
        <v>3942352</v>
      </c>
      <c r="M170" s="53"/>
    </row>
    <row r="171" spans="1:13" x14ac:dyDescent="0.3">
      <c r="A171" s="51" t="s">
        <v>318</v>
      </c>
      <c r="B171" s="52" t="s">
        <v>319</v>
      </c>
      <c r="C171" s="54">
        <v>36</v>
      </c>
      <c r="D171" s="103" t="s">
        <v>234</v>
      </c>
      <c r="E171" s="54">
        <v>685835</v>
      </c>
      <c r="F171" s="55">
        <f>E171*C171</f>
        <v>24690060</v>
      </c>
      <c r="G171" s="54">
        <v>158677</v>
      </c>
      <c r="H171" s="55">
        <f>G171*C171</f>
        <v>5712372</v>
      </c>
      <c r="I171" s="54">
        <v>52922</v>
      </c>
      <c r="J171" s="55">
        <f>I171*C171</f>
        <v>1905192</v>
      </c>
      <c r="K171" s="55">
        <f t="shared" si="22"/>
        <v>897434</v>
      </c>
      <c r="L171" s="55">
        <f t="shared" si="22"/>
        <v>32307624</v>
      </c>
      <c r="M171" s="53"/>
    </row>
    <row r="172" spans="1:13" x14ac:dyDescent="0.3">
      <c r="A172" s="51" t="s">
        <v>320</v>
      </c>
      <c r="B172" s="52" t="s">
        <v>321</v>
      </c>
      <c r="C172" s="54">
        <v>2</v>
      </c>
      <c r="D172" s="103" t="s">
        <v>234</v>
      </c>
      <c r="E172" s="54">
        <v>833052</v>
      </c>
      <c r="F172" s="55">
        <f>E172*C172</f>
        <v>1666104</v>
      </c>
      <c r="G172" s="54">
        <v>158677</v>
      </c>
      <c r="H172" s="55">
        <f>G172*C172</f>
        <v>317354</v>
      </c>
      <c r="I172" s="54">
        <v>52922</v>
      </c>
      <c r="J172" s="55">
        <f>I172*C172</f>
        <v>105844</v>
      </c>
      <c r="K172" s="55">
        <f t="shared" si="22"/>
        <v>1044651</v>
      </c>
      <c r="L172" s="55">
        <f t="shared" si="22"/>
        <v>2089302</v>
      </c>
      <c r="M172" s="53"/>
    </row>
    <row r="173" spans="1:13" x14ac:dyDescent="0.3">
      <c r="A173" s="51" t="s">
        <v>322</v>
      </c>
      <c r="B173" s="52" t="s">
        <v>323</v>
      </c>
      <c r="C173" s="54">
        <v>2</v>
      </c>
      <c r="D173" s="103" t="s">
        <v>234</v>
      </c>
      <c r="E173" s="54">
        <v>696414</v>
      </c>
      <c r="F173" s="55">
        <f>E173*C173</f>
        <v>1392828</v>
      </c>
      <c r="G173" s="54">
        <v>158677</v>
      </c>
      <c r="H173" s="55">
        <f>G173*C173</f>
        <v>317354</v>
      </c>
      <c r="I173" s="54">
        <v>52922</v>
      </c>
      <c r="J173" s="55">
        <f>I173*C173</f>
        <v>105844</v>
      </c>
      <c r="K173" s="55">
        <f t="shared" si="22"/>
        <v>908013</v>
      </c>
      <c r="L173" s="55">
        <f t="shared" si="22"/>
        <v>1816026</v>
      </c>
      <c r="M173" s="53"/>
    </row>
    <row r="174" spans="1:13" x14ac:dyDescent="0.3">
      <c r="A174" s="51" t="s">
        <v>324</v>
      </c>
      <c r="B174" s="52"/>
      <c r="C174" s="52"/>
      <c r="D174" s="103"/>
      <c r="E174" s="52"/>
      <c r="F174" s="52"/>
      <c r="G174" s="52"/>
      <c r="H174" s="52"/>
      <c r="I174" s="52"/>
      <c r="J174" s="52"/>
      <c r="K174" s="52"/>
      <c r="L174" s="52"/>
      <c r="M174" s="53"/>
    </row>
    <row r="175" spans="1:13" x14ac:dyDescent="0.3">
      <c r="A175" s="51" t="s">
        <v>325</v>
      </c>
      <c r="B175" s="52" t="s">
        <v>250</v>
      </c>
      <c r="C175" s="54">
        <v>11</v>
      </c>
      <c r="D175" s="103" t="s">
        <v>103</v>
      </c>
      <c r="E175" s="54">
        <v>0</v>
      </c>
      <c r="F175" s="55">
        <f>E175*C175</f>
        <v>0</v>
      </c>
      <c r="G175" s="54">
        <v>9697</v>
      </c>
      <c r="H175" s="55">
        <f>G175*C175</f>
        <v>106667</v>
      </c>
      <c r="I175" s="54">
        <v>17320</v>
      </c>
      <c r="J175" s="55">
        <f>I175*C175</f>
        <v>190520</v>
      </c>
      <c r="K175" s="55">
        <f>E175+G175+I175</f>
        <v>27017</v>
      </c>
      <c r="L175" s="55">
        <f>F175+H175+J175</f>
        <v>297187</v>
      </c>
      <c r="M175" s="53"/>
    </row>
    <row r="176" spans="1:13" x14ac:dyDescent="0.3">
      <c r="A176" s="51" t="s">
        <v>326</v>
      </c>
      <c r="B176" s="52" t="s">
        <v>252</v>
      </c>
      <c r="C176" s="54">
        <v>9</v>
      </c>
      <c r="D176" s="103" t="s">
        <v>97</v>
      </c>
      <c r="E176" s="54">
        <v>6612</v>
      </c>
      <c r="F176" s="55">
        <f>E176*C176</f>
        <v>59508</v>
      </c>
      <c r="G176" s="54">
        <v>17631</v>
      </c>
      <c r="H176" s="55">
        <f>G176*C176</f>
        <v>158679</v>
      </c>
      <c r="I176" s="54">
        <v>3368</v>
      </c>
      <c r="J176" s="55">
        <f>I176*C176</f>
        <v>30312</v>
      </c>
      <c r="K176" s="55">
        <f>E176+G176+I176</f>
        <v>27611</v>
      </c>
      <c r="L176" s="55">
        <f>F176+H176+J176</f>
        <v>248499</v>
      </c>
      <c r="M176" s="53"/>
    </row>
    <row r="177" spans="1:13" x14ac:dyDescent="0.3">
      <c r="A177" s="51" t="s">
        <v>327</v>
      </c>
      <c r="B177" s="52"/>
      <c r="C177" s="52"/>
      <c r="D177" s="103"/>
      <c r="E177" s="52"/>
      <c r="F177" s="52"/>
      <c r="G177" s="52"/>
      <c r="H177" s="52"/>
      <c r="I177" s="52"/>
      <c r="J177" s="52"/>
      <c r="K177" s="52"/>
      <c r="L177" s="52"/>
      <c r="M177" s="53"/>
    </row>
    <row r="178" spans="1:13" x14ac:dyDescent="0.3">
      <c r="A178" s="51" t="s">
        <v>325</v>
      </c>
      <c r="B178" s="52" t="s">
        <v>250</v>
      </c>
      <c r="C178" s="54">
        <v>1</v>
      </c>
      <c r="D178" s="103" t="s">
        <v>103</v>
      </c>
      <c r="E178" s="54">
        <v>0</v>
      </c>
      <c r="F178" s="55">
        <f>E178*C178</f>
        <v>0</v>
      </c>
      <c r="G178" s="54">
        <v>9697</v>
      </c>
      <c r="H178" s="55">
        <f>G178*C178</f>
        <v>9697</v>
      </c>
      <c r="I178" s="54">
        <v>17320</v>
      </c>
      <c r="J178" s="55">
        <f>I178*C178</f>
        <v>17320</v>
      </c>
      <c r="K178" s="55">
        <f>E178+G178+I178</f>
        <v>27017</v>
      </c>
      <c r="L178" s="55">
        <f>F178+H178+J178</f>
        <v>27017</v>
      </c>
      <c r="M178" s="53"/>
    </row>
    <row r="179" spans="1:13" x14ac:dyDescent="0.3">
      <c r="A179" s="51" t="s">
        <v>326</v>
      </c>
      <c r="B179" s="52" t="s">
        <v>252</v>
      </c>
      <c r="C179" s="54">
        <v>4</v>
      </c>
      <c r="D179" s="103" t="s">
        <v>97</v>
      </c>
      <c r="E179" s="54">
        <v>6612</v>
      </c>
      <c r="F179" s="55">
        <f>E179*C179</f>
        <v>26448</v>
      </c>
      <c r="G179" s="54">
        <v>17631</v>
      </c>
      <c r="H179" s="55">
        <f>G179*C179</f>
        <v>70524</v>
      </c>
      <c r="I179" s="54">
        <v>3368</v>
      </c>
      <c r="J179" s="55">
        <f>I179*C179</f>
        <v>13472</v>
      </c>
      <c r="K179" s="55">
        <f>E179+G179+I179</f>
        <v>27611</v>
      </c>
      <c r="L179" s="55">
        <f>F179+H179+J179</f>
        <v>110444</v>
      </c>
      <c r="M179" s="53"/>
    </row>
    <row r="180" spans="1:13" x14ac:dyDescent="0.3">
      <c r="A180" s="51" t="s">
        <v>328</v>
      </c>
      <c r="B180" s="52"/>
      <c r="C180" s="52"/>
      <c r="D180" s="103"/>
      <c r="E180" s="52"/>
      <c r="F180" s="52"/>
      <c r="G180" s="52"/>
      <c r="H180" s="52"/>
      <c r="I180" s="52"/>
      <c r="J180" s="52"/>
      <c r="K180" s="52"/>
      <c r="L180" s="52"/>
      <c r="M180" s="53"/>
    </row>
    <row r="181" spans="1:13" x14ac:dyDescent="0.3">
      <c r="A181" s="51" t="s">
        <v>329</v>
      </c>
      <c r="B181" s="52" t="s">
        <v>330</v>
      </c>
      <c r="C181" s="54">
        <v>16</v>
      </c>
      <c r="D181" s="103" t="s">
        <v>204</v>
      </c>
      <c r="E181" s="54">
        <v>211569</v>
      </c>
      <c r="F181" s="55">
        <f>E181*C181</f>
        <v>3385104</v>
      </c>
      <c r="G181" s="54">
        <v>91460</v>
      </c>
      <c r="H181" s="55">
        <f>G181*C181</f>
        <v>1463360</v>
      </c>
      <c r="I181" s="54">
        <v>114265</v>
      </c>
      <c r="J181" s="55">
        <f>I181*C181</f>
        <v>1828240</v>
      </c>
      <c r="K181" s="55">
        <f>E181+G181+I181</f>
        <v>417294</v>
      </c>
      <c r="L181" s="55">
        <f>F181+H181+J181</f>
        <v>6676704</v>
      </c>
      <c r="M181" s="53"/>
    </row>
    <row r="182" spans="1:13" x14ac:dyDescent="0.3">
      <c r="A182" s="51" t="s">
        <v>331</v>
      </c>
      <c r="B182" s="52"/>
      <c r="C182" s="52"/>
      <c r="D182" s="103"/>
      <c r="E182" s="52"/>
      <c r="F182" s="52"/>
      <c r="G182" s="52"/>
      <c r="H182" s="52"/>
      <c r="I182" s="52"/>
      <c r="J182" s="52"/>
      <c r="K182" s="52"/>
      <c r="L182" s="52"/>
      <c r="M182" s="53"/>
    </row>
    <row r="183" spans="1:13" x14ac:dyDescent="0.3">
      <c r="A183" s="51" t="s">
        <v>332</v>
      </c>
      <c r="B183" s="52" t="s">
        <v>333</v>
      </c>
      <c r="C183" s="54">
        <v>116</v>
      </c>
      <c r="D183" s="103" t="s">
        <v>234</v>
      </c>
      <c r="E183" s="54">
        <v>35261</v>
      </c>
      <c r="F183" s="55">
        <f>E183*C183</f>
        <v>4090276</v>
      </c>
      <c r="G183" s="54">
        <v>15771</v>
      </c>
      <c r="H183" s="55">
        <f>G183*C183</f>
        <v>1829436</v>
      </c>
      <c r="I183" s="54">
        <v>19725</v>
      </c>
      <c r="J183" s="55">
        <f>I183*C183</f>
        <v>2288100</v>
      </c>
      <c r="K183" s="55">
        <f>E183+G183+I183</f>
        <v>70757</v>
      </c>
      <c r="L183" s="55">
        <f>F183+H183+J183</f>
        <v>8207812</v>
      </c>
      <c r="M183" s="53"/>
    </row>
    <row r="184" spans="1:13" x14ac:dyDescent="0.3">
      <c r="A184" s="51" t="s">
        <v>334</v>
      </c>
      <c r="B184" s="52" t="s">
        <v>335</v>
      </c>
      <c r="C184" s="54">
        <v>5</v>
      </c>
      <c r="D184" s="103" t="s">
        <v>204</v>
      </c>
      <c r="E184" s="54">
        <v>158676</v>
      </c>
      <c r="F184" s="55">
        <f>E184*C184</f>
        <v>793380</v>
      </c>
      <c r="G184" s="54">
        <v>15771</v>
      </c>
      <c r="H184" s="55">
        <f>G184*C184</f>
        <v>78855</v>
      </c>
      <c r="I184" s="54">
        <v>19725</v>
      </c>
      <c r="J184" s="55">
        <f>I184*C184</f>
        <v>98625</v>
      </c>
      <c r="K184" s="55">
        <f>E184+G184+I184</f>
        <v>194172</v>
      </c>
      <c r="L184" s="55">
        <f>F184+H184+J184</f>
        <v>970860</v>
      </c>
      <c r="M184" s="53"/>
    </row>
    <row r="185" spans="1:13" x14ac:dyDescent="0.3">
      <c r="A185" s="51" t="s">
        <v>336</v>
      </c>
      <c r="B185" s="52"/>
      <c r="C185" s="52"/>
      <c r="D185" s="103"/>
      <c r="E185" s="52"/>
      <c r="F185" s="52"/>
      <c r="G185" s="52"/>
      <c r="H185" s="52"/>
      <c r="I185" s="52"/>
      <c r="J185" s="52"/>
      <c r="K185" s="52"/>
      <c r="L185" s="52"/>
      <c r="M185" s="53"/>
    </row>
    <row r="186" spans="1:13" x14ac:dyDescent="0.3">
      <c r="A186" s="51" t="s">
        <v>337</v>
      </c>
      <c r="B186" s="52" t="s">
        <v>338</v>
      </c>
      <c r="C186" s="54">
        <v>202</v>
      </c>
      <c r="D186" s="103" t="s">
        <v>234</v>
      </c>
      <c r="E186" s="54">
        <v>343799</v>
      </c>
      <c r="F186" s="55">
        <f>E186*C186</f>
        <v>69447398</v>
      </c>
      <c r="G186" s="54">
        <v>25388</v>
      </c>
      <c r="H186" s="55">
        <f>G186*C186</f>
        <v>5128376</v>
      </c>
      <c r="I186" s="54">
        <v>31686</v>
      </c>
      <c r="J186" s="55">
        <f>I186*C186</f>
        <v>6400572</v>
      </c>
      <c r="K186" s="55">
        <f>E186+G186+I186</f>
        <v>400873</v>
      </c>
      <c r="L186" s="55">
        <f>F186+H186+J186</f>
        <v>80976346</v>
      </c>
      <c r="M186" s="53"/>
    </row>
    <row r="187" spans="1:13" x14ac:dyDescent="0.3">
      <c r="A187" s="51" t="s">
        <v>339</v>
      </c>
      <c r="B187" s="52" t="s">
        <v>340</v>
      </c>
      <c r="C187" s="54">
        <v>11</v>
      </c>
      <c r="D187" s="103" t="s">
        <v>204</v>
      </c>
      <c r="E187" s="54">
        <v>211569</v>
      </c>
      <c r="F187" s="55">
        <f>E187*C187</f>
        <v>2327259</v>
      </c>
      <c r="G187" s="54">
        <v>25388</v>
      </c>
      <c r="H187" s="55">
        <f>G187*C187</f>
        <v>279268</v>
      </c>
      <c r="I187" s="54">
        <v>31686</v>
      </c>
      <c r="J187" s="55">
        <f>I187*C187</f>
        <v>348546</v>
      </c>
      <c r="K187" s="55">
        <f>E187+G187+I187</f>
        <v>268643</v>
      </c>
      <c r="L187" s="55">
        <f>F187+H187+J187</f>
        <v>2955073</v>
      </c>
      <c r="M187" s="53"/>
    </row>
    <row r="188" spans="1:13" x14ac:dyDescent="0.3">
      <c r="A188" s="51" t="s">
        <v>341</v>
      </c>
      <c r="B188" s="52"/>
      <c r="C188" s="52"/>
      <c r="D188" s="103"/>
      <c r="E188" s="52"/>
      <c r="F188" s="52"/>
      <c r="G188" s="52"/>
      <c r="H188" s="52"/>
      <c r="I188" s="52"/>
      <c r="J188" s="52"/>
      <c r="K188" s="52"/>
      <c r="L188" s="52"/>
      <c r="M188" s="53"/>
    </row>
    <row r="189" spans="1:13" x14ac:dyDescent="0.3">
      <c r="A189" s="51" t="s">
        <v>342</v>
      </c>
      <c r="B189" s="52" t="s">
        <v>343</v>
      </c>
      <c r="C189" s="54">
        <v>1</v>
      </c>
      <c r="D189" s="103" t="s">
        <v>53</v>
      </c>
      <c r="E189" s="54">
        <v>61707527</v>
      </c>
      <c r="F189" s="55">
        <f>E189*C189</f>
        <v>61707527</v>
      </c>
      <c r="G189" s="54">
        <v>0</v>
      </c>
      <c r="H189" s="55">
        <f>G189*C189</f>
        <v>0</v>
      </c>
      <c r="I189" s="54">
        <v>0</v>
      </c>
      <c r="J189" s="55">
        <f>I189*C189</f>
        <v>0</v>
      </c>
      <c r="K189" s="55">
        <f>E189+G189+I189</f>
        <v>61707527</v>
      </c>
      <c r="L189" s="55">
        <f>F189+H189+J189</f>
        <v>61707527</v>
      </c>
      <c r="M189" s="53"/>
    </row>
    <row r="190" spans="1:13" x14ac:dyDescent="0.3">
      <c r="A190" s="51" t="s">
        <v>344</v>
      </c>
      <c r="B190" s="52"/>
      <c r="C190" s="52"/>
      <c r="D190" s="103"/>
      <c r="E190" s="52"/>
      <c r="F190" s="52"/>
      <c r="G190" s="52"/>
      <c r="H190" s="52"/>
      <c r="I190" s="52"/>
      <c r="J190" s="52"/>
      <c r="K190" s="52"/>
      <c r="L190" s="52"/>
      <c r="M190" s="53"/>
    </row>
    <row r="191" spans="1:13" x14ac:dyDescent="0.3">
      <c r="A191" s="51" t="s">
        <v>345</v>
      </c>
      <c r="B191" s="52"/>
      <c r="C191" s="52"/>
      <c r="D191" s="103"/>
      <c r="E191" s="52"/>
      <c r="F191" s="52"/>
      <c r="G191" s="52"/>
      <c r="H191" s="52"/>
      <c r="I191" s="52"/>
      <c r="J191" s="52"/>
      <c r="K191" s="52"/>
      <c r="L191" s="52"/>
      <c r="M191" s="53"/>
    </row>
    <row r="192" spans="1:13" x14ac:dyDescent="0.3">
      <c r="A192" s="51" t="s">
        <v>346</v>
      </c>
      <c r="B192" s="52" t="s">
        <v>347</v>
      </c>
      <c r="C192" s="56">
        <v>0.11</v>
      </c>
      <c r="D192" s="103" t="s">
        <v>103</v>
      </c>
      <c r="E192" s="54">
        <v>0</v>
      </c>
      <c r="F192" s="55">
        <f t="shared" ref="F192:F207" si="23">E192*C192</f>
        <v>0</v>
      </c>
      <c r="G192" s="54">
        <v>8809</v>
      </c>
      <c r="H192" s="55">
        <f t="shared" ref="H192:H207" si="24">G192*C192</f>
        <v>968.99</v>
      </c>
      <c r="I192" s="54">
        <v>17318</v>
      </c>
      <c r="J192" s="55">
        <f t="shared" ref="J192:J207" si="25">I192*C192</f>
        <v>1904.98</v>
      </c>
      <c r="K192" s="55">
        <f t="shared" ref="K192:K207" si="26">E192+G192+I192</f>
        <v>26127</v>
      </c>
      <c r="L192" s="55">
        <f t="shared" ref="L192:L207" si="27">F192+H192+J192</f>
        <v>2873.9700000000003</v>
      </c>
      <c r="M192" s="53"/>
    </row>
    <row r="193" spans="1:13" x14ac:dyDescent="0.3">
      <c r="A193" s="51" t="s">
        <v>348</v>
      </c>
      <c r="B193" s="52" t="s">
        <v>250</v>
      </c>
      <c r="C193" s="54">
        <v>5</v>
      </c>
      <c r="D193" s="103" t="s">
        <v>103</v>
      </c>
      <c r="E193" s="54">
        <v>0</v>
      </c>
      <c r="F193" s="55">
        <f t="shared" si="23"/>
        <v>0</v>
      </c>
      <c r="G193" s="54">
        <v>8815</v>
      </c>
      <c r="H193" s="55">
        <f t="shared" si="24"/>
        <v>44075</v>
      </c>
      <c r="I193" s="54">
        <v>17320</v>
      </c>
      <c r="J193" s="55">
        <f t="shared" si="25"/>
        <v>86600</v>
      </c>
      <c r="K193" s="55">
        <f t="shared" si="26"/>
        <v>26135</v>
      </c>
      <c r="L193" s="55">
        <f t="shared" si="27"/>
        <v>130675</v>
      </c>
      <c r="M193" s="53"/>
    </row>
    <row r="194" spans="1:13" x14ac:dyDescent="0.3">
      <c r="A194" s="51" t="s">
        <v>349</v>
      </c>
      <c r="B194" s="52" t="s">
        <v>252</v>
      </c>
      <c r="C194" s="54">
        <v>3</v>
      </c>
      <c r="D194" s="103" t="s">
        <v>97</v>
      </c>
      <c r="E194" s="54">
        <v>6611</v>
      </c>
      <c r="F194" s="55">
        <f t="shared" si="23"/>
        <v>19833</v>
      </c>
      <c r="G194" s="54">
        <v>25124</v>
      </c>
      <c r="H194" s="55">
        <f t="shared" si="24"/>
        <v>75372</v>
      </c>
      <c r="I194" s="54">
        <v>1925</v>
      </c>
      <c r="J194" s="55">
        <f t="shared" si="25"/>
        <v>5775</v>
      </c>
      <c r="K194" s="55">
        <f t="shared" si="26"/>
        <v>33660</v>
      </c>
      <c r="L194" s="55">
        <f t="shared" si="27"/>
        <v>100980</v>
      </c>
      <c r="M194" s="53"/>
    </row>
    <row r="195" spans="1:13" x14ac:dyDescent="0.3">
      <c r="A195" s="51" t="s">
        <v>350</v>
      </c>
      <c r="B195" s="52" t="s">
        <v>351</v>
      </c>
      <c r="C195" s="54">
        <v>12</v>
      </c>
      <c r="D195" s="103" t="s">
        <v>103</v>
      </c>
      <c r="E195" s="54">
        <v>0</v>
      </c>
      <c r="F195" s="55">
        <f t="shared" si="23"/>
        <v>0</v>
      </c>
      <c r="G195" s="54">
        <v>22038</v>
      </c>
      <c r="H195" s="55">
        <f t="shared" si="24"/>
        <v>264456</v>
      </c>
      <c r="I195" s="54">
        <v>9622</v>
      </c>
      <c r="J195" s="55">
        <f t="shared" si="25"/>
        <v>115464</v>
      </c>
      <c r="K195" s="55">
        <f t="shared" si="26"/>
        <v>31660</v>
      </c>
      <c r="L195" s="55">
        <f t="shared" si="27"/>
        <v>379920</v>
      </c>
      <c r="M195" s="53"/>
    </row>
    <row r="196" spans="1:13" x14ac:dyDescent="0.3">
      <c r="A196" s="51" t="s">
        <v>352</v>
      </c>
      <c r="B196" s="52" t="s">
        <v>353</v>
      </c>
      <c r="C196" s="54">
        <v>16</v>
      </c>
      <c r="D196" s="103" t="s">
        <v>103</v>
      </c>
      <c r="E196" s="54">
        <v>0</v>
      </c>
      <c r="F196" s="55">
        <f t="shared" si="23"/>
        <v>0</v>
      </c>
      <c r="G196" s="54">
        <v>26446</v>
      </c>
      <c r="H196" s="55">
        <f t="shared" si="24"/>
        <v>423136</v>
      </c>
      <c r="I196" s="54">
        <v>9622</v>
      </c>
      <c r="J196" s="55">
        <f t="shared" si="25"/>
        <v>153952</v>
      </c>
      <c r="K196" s="55">
        <f t="shared" si="26"/>
        <v>36068</v>
      </c>
      <c r="L196" s="55">
        <f t="shared" si="27"/>
        <v>577088</v>
      </c>
      <c r="M196" s="53"/>
    </row>
    <row r="197" spans="1:13" x14ac:dyDescent="0.3">
      <c r="A197" s="51" t="s">
        <v>354</v>
      </c>
      <c r="B197" s="52" t="s">
        <v>208</v>
      </c>
      <c r="C197" s="56">
        <v>0.31</v>
      </c>
      <c r="D197" s="103" t="s">
        <v>103</v>
      </c>
      <c r="E197" s="54">
        <v>0</v>
      </c>
      <c r="F197" s="55">
        <f t="shared" si="23"/>
        <v>0</v>
      </c>
      <c r="G197" s="54">
        <v>7845</v>
      </c>
      <c r="H197" s="55">
        <f t="shared" si="24"/>
        <v>2431.9499999999998</v>
      </c>
      <c r="I197" s="54">
        <v>28003</v>
      </c>
      <c r="J197" s="55">
        <f t="shared" si="25"/>
        <v>8680.93</v>
      </c>
      <c r="K197" s="55">
        <f t="shared" si="26"/>
        <v>35848</v>
      </c>
      <c r="L197" s="55">
        <f t="shared" si="27"/>
        <v>11112.880000000001</v>
      </c>
      <c r="M197" s="53"/>
    </row>
    <row r="198" spans="1:13" x14ac:dyDescent="0.3">
      <c r="A198" s="51" t="s">
        <v>355</v>
      </c>
      <c r="B198" s="52" t="s">
        <v>356</v>
      </c>
      <c r="C198" s="56">
        <v>0.186</v>
      </c>
      <c r="D198" s="103" t="s">
        <v>103</v>
      </c>
      <c r="E198" s="54">
        <v>0</v>
      </c>
      <c r="F198" s="55">
        <f t="shared" si="23"/>
        <v>0</v>
      </c>
      <c r="G198" s="54">
        <v>21742</v>
      </c>
      <c r="H198" s="55">
        <f t="shared" si="24"/>
        <v>4044.0120000000002</v>
      </c>
      <c r="I198" s="54">
        <v>710</v>
      </c>
      <c r="J198" s="55">
        <f t="shared" si="25"/>
        <v>132.06</v>
      </c>
      <c r="K198" s="55">
        <f t="shared" si="26"/>
        <v>22452</v>
      </c>
      <c r="L198" s="55">
        <f t="shared" si="27"/>
        <v>4176.0720000000001</v>
      </c>
      <c r="M198" s="53"/>
    </row>
    <row r="199" spans="1:13" x14ac:dyDescent="0.3">
      <c r="A199" s="51" t="s">
        <v>357</v>
      </c>
      <c r="B199" s="52" t="s">
        <v>358</v>
      </c>
      <c r="C199" s="54">
        <v>5</v>
      </c>
      <c r="D199" s="103" t="s">
        <v>183</v>
      </c>
      <c r="E199" s="54">
        <v>13223</v>
      </c>
      <c r="F199" s="55">
        <f t="shared" si="23"/>
        <v>66115</v>
      </c>
      <c r="G199" s="54">
        <v>13223</v>
      </c>
      <c r="H199" s="55">
        <f t="shared" si="24"/>
        <v>66115</v>
      </c>
      <c r="I199" s="54">
        <v>0</v>
      </c>
      <c r="J199" s="55">
        <f t="shared" si="25"/>
        <v>0</v>
      </c>
      <c r="K199" s="55">
        <f t="shared" si="26"/>
        <v>26446</v>
      </c>
      <c r="L199" s="55">
        <f t="shared" si="27"/>
        <v>132230</v>
      </c>
      <c r="M199" s="53"/>
    </row>
    <row r="200" spans="1:13" x14ac:dyDescent="0.3">
      <c r="A200" s="51" t="s">
        <v>359</v>
      </c>
      <c r="B200" s="52" t="s">
        <v>360</v>
      </c>
      <c r="C200" s="54">
        <v>7</v>
      </c>
      <c r="D200" s="103" t="s">
        <v>234</v>
      </c>
      <c r="E200" s="54">
        <v>0</v>
      </c>
      <c r="F200" s="55">
        <f t="shared" si="23"/>
        <v>0</v>
      </c>
      <c r="G200" s="54">
        <v>22038</v>
      </c>
      <c r="H200" s="55">
        <f t="shared" si="24"/>
        <v>154266</v>
      </c>
      <c r="I200" s="54">
        <v>0</v>
      </c>
      <c r="J200" s="55">
        <f t="shared" si="25"/>
        <v>0</v>
      </c>
      <c r="K200" s="55">
        <f t="shared" si="26"/>
        <v>22038</v>
      </c>
      <c r="L200" s="55">
        <f t="shared" si="27"/>
        <v>154266</v>
      </c>
      <c r="M200" s="53"/>
    </row>
    <row r="201" spans="1:13" x14ac:dyDescent="0.3">
      <c r="A201" s="51" t="s">
        <v>361</v>
      </c>
      <c r="B201" s="52" t="s">
        <v>360</v>
      </c>
      <c r="C201" s="54">
        <v>1</v>
      </c>
      <c r="D201" s="103" t="s">
        <v>204</v>
      </c>
      <c r="E201" s="54">
        <v>0</v>
      </c>
      <c r="F201" s="55">
        <f t="shared" si="23"/>
        <v>0</v>
      </c>
      <c r="G201" s="54">
        <v>8815</v>
      </c>
      <c r="H201" s="55">
        <f t="shared" si="24"/>
        <v>8815</v>
      </c>
      <c r="I201" s="54">
        <v>0</v>
      </c>
      <c r="J201" s="55">
        <f t="shared" si="25"/>
        <v>0</v>
      </c>
      <c r="K201" s="55">
        <f t="shared" si="26"/>
        <v>8815</v>
      </c>
      <c r="L201" s="55">
        <f t="shared" si="27"/>
        <v>8815</v>
      </c>
      <c r="M201" s="53"/>
    </row>
    <row r="202" spans="1:13" x14ac:dyDescent="0.3">
      <c r="A202" s="51" t="s">
        <v>362</v>
      </c>
      <c r="B202" s="52" t="s">
        <v>363</v>
      </c>
      <c r="C202" s="54">
        <v>12</v>
      </c>
      <c r="D202" s="103" t="s">
        <v>234</v>
      </c>
      <c r="E202" s="54">
        <v>0</v>
      </c>
      <c r="F202" s="55">
        <f t="shared" si="23"/>
        <v>0</v>
      </c>
      <c r="G202" s="54">
        <v>30854</v>
      </c>
      <c r="H202" s="55">
        <f t="shared" si="24"/>
        <v>370248</v>
      </c>
      <c r="I202" s="54">
        <v>0</v>
      </c>
      <c r="J202" s="55">
        <f t="shared" si="25"/>
        <v>0</v>
      </c>
      <c r="K202" s="55">
        <f t="shared" si="26"/>
        <v>30854</v>
      </c>
      <c r="L202" s="55">
        <f t="shared" si="27"/>
        <v>370248</v>
      </c>
      <c r="M202" s="53"/>
    </row>
    <row r="203" spans="1:13" x14ac:dyDescent="0.3">
      <c r="A203" s="51" t="s">
        <v>364</v>
      </c>
      <c r="B203" s="52" t="s">
        <v>363</v>
      </c>
      <c r="C203" s="54">
        <v>4</v>
      </c>
      <c r="D203" s="103" t="s">
        <v>204</v>
      </c>
      <c r="E203" s="54">
        <v>0</v>
      </c>
      <c r="F203" s="55">
        <f t="shared" si="23"/>
        <v>0</v>
      </c>
      <c r="G203" s="54">
        <v>22039</v>
      </c>
      <c r="H203" s="55">
        <f t="shared" si="24"/>
        <v>88156</v>
      </c>
      <c r="I203" s="54">
        <v>0</v>
      </c>
      <c r="J203" s="55">
        <f t="shared" si="25"/>
        <v>0</v>
      </c>
      <c r="K203" s="55">
        <f t="shared" si="26"/>
        <v>22039</v>
      </c>
      <c r="L203" s="55">
        <f t="shared" si="27"/>
        <v>88156</v>
      </c>
      <c r="M203" s="53"/>
    </row>
    <row r="204" spans="1:13" x14ac:dyDescent="0.3">
      <c r="A204" s="51" t="s">
        <v>365</v>
      </c>
      <c r="B204" s="52" t="s">
        <v>366</v>
      </c>
      <c r="C204" s="54">
        <v>7</v>
      </c>
      <c r="D204" s="103" t="s">
        <v>234</v>
      </c>
      <c r="E204" s="54">
        <v>39669</v>
      </c>
      <c r="F204" s="55">
        <f t="shared" si="23"/>
        <v>277683</v>
      </c>
      <c r="G204" s="54">
        <v>0</v>
      </c>
      <c r="H204" s="55">
        <f t="shared" si="24"/>
        <v>0</v>
      </c>
      <c r="I204" s="54">
        <v>0</v>
      </c>
      <c r="J204" s="55">
        <f t="shared" si="25"/>
        <v>0</v>
      </c>
      <c r="K204" s="55">
        <f t="shared" si="26"/>
        <v>39669</v>
      </c>
      <c r="L204" s="55">
        <f t="shared" si="27"/>
        <v>277683</v>
      </c>
      <c r="M204" s="53"/>
    </row>
    <row r="205" spans="1:13" x14ac:dyDescent="0.3">
      <c r="A205" s="51" t="s">
        <v>367</v>
      </c>
      <c r="B205" s="52" t="s">
        <v>366</v>
      </c>
      <c r="C205" s="54">
        <v>2</v>
      </c>
      <c r="D205" s="103" t="s">
        <v>368</v>
      </c>
      <c r="E205" s="54">
        <v>57300</v>
      </c>
      <c r="F205" s="55">
        <f t="shared" si="23"/>
        <v>114600</v>
      </c>
      <c r="G205" s="54">
        <v>0</v>
      </c>
      <c r="H205" s="55">
        <f t="shared" si="24"/>
        <v>0</v>
      </c>
      <c r="I205" s="54">
        <v>0</v>
      </c>
      <c r="J205" s="55">
        <f t="shared" si="25"/>
        <v>0</v>
      </c>
      <c r="K205" s="55">
        <f t="shared" si="26"/>
        <v>57300</v>
      </c>
      <c r="L205" s="55">
        <f t="shared" si="27"/>
        <v>114600</v>
      </c>
      <c r="M205" s="53"/>
    </row>
    <row r="206" spans="1:13" x14ac:dyDescent="0.3">
      <c r="A206" s="51" t="s">
        <v>369</v>
      </c>
      <c r="B206" s="52" t="s">
        <v>370</v>
      </c>
      <c r="C206" s="54">
        <v>2</v>
      </c>
      <c r="D206" s="103" t="s">
        <v>371</v>
      </c>
      <c r="E206" s="54">
        <v>61708</v>
      </c>
      <c r="F206" s="55">
        <f t="shared" si="23"/>
        <v>123416</v>
      </c>
      <c r="G206" s="54">
        <v>0</v>
      </c>
      <c r="H206" s="55">
        <f t="shared" si="24"/>
        <v>0</v>
      </c>
      <c r="I206" s="54">
        <v>0</v>
      </c>
      <c r="J206" s="55">
        <f t="shared" si="25"/>
        <v>0</v>
      </c>
      <c r="K206" s="55">
        <f t="shared" si="26"/>
        <v>61708</v>
      </c>
      <c r="L206" s="55">
        <f t="shared" si="27"/>
        <v>123416</v>
      </c>
      <c r="M206" s="53"/>
    </row>
    <row r="207" spans="1:13" x14ac:dyDescent="0.3">
      <c r="A207" s="51" t="s">
        <v>372</v>
      </c>
      <c r="B207" s="52" t="s">
        <v>373</v>
      </c>
      <c r="C207" s="54">
        <v>1</v>
      </c>
      <c r="D207" s="103" t="s">
        <v>374</v>
      </c>
      <c r="E207" s="54">
        <v>43195</v>
      </c>
      <c r="F207" s="55">
        <f t="shared" si="23"/>
        <v>43195</v>
      </c>
      <c r="G207" s="54">
        <v>0</v>
      </c>
      <c r="H207" s="55">
        <f t="shared" si="24"/>
        <v>0</v>
      </c>
      <c r="I207" s="54">
        <v>0</v>
      </c>
      <c r="J207" s="55">
        <f t="shared" si="25"/>
        <v>0</v>
      </c>
      <c r="K207" s="55">
        <f t="shared" si="26"/>
        <v>43195</v>
      </c>
      <c r="L207" s="55">
        <f t="shared" si="27"/>
        <v>43195</v>
      </c>
      <c r="M207" s="53"/>
    </row>
    <row r="208" spans="1:13" x14ac:dyDescent="0.3">
      <c r="A208" s="51" t="s">
        <v>375</v>
      </c>
      <c r="B208" s="52"/>
      <c r="C208" s="52"/>
      <c r="D208" s="103"/>
      <c r="E208" s="52"/>
      <c r="F208" s="52"/>
      <c r="G208" s="52"/>
      <c r="H208" s="52"/>
      <c r="I208" s="52"/>
      <c r="J208" s="52"/>
      <c r="K208" s="52"/>
      <c r="L208" s="52"/>
      <c r="M208" s="53"/>
    </row>
    <row r="209" spans="1:13" x14ac:dyDescent="0.3">
      <c r="A209" s="51" t="s">
        <v>376</v>
      </c>
      <c r="B209" s="52"/>
      <c r="C209" s="52"/>
      <c r="D209" s="103"/>
      <c r="E209" s="52"/>
      <c r="F209" s="52"/>
      <c r="G209" s="52"/>
      <c r="H209" s="52"/>
      <c r="I209" s="52"/>
      <c r="J209" s="52"/>
      <c r="K209" s="52"/>
      <c r="L209" s="52"/>
      <c r="M209" s="53"/>
    </row>
    <row r="210" spans="1:13" x14ac:dyDescent="0.3">
      <c r="A210" s="51" t="s">
        <v>377</v>
      </c>
      <c r="B210" s="52" t="s">
        <v>378</v>
      </c>
      <c r="C210" s="54">
        <v>48</v>
      </c>
      <c r="D210" s="103" t="s">
        <v>379</v>
      </c>
      <c r="E210" s="54">
        <v>5201</v>
      </c>
      <c r="F210" s="55">
        <f>E210*C210</f>
        <v>249648</v>
      </c>
      <c r="G210" s="54">
        <v>0</v>
      </c>
      <c r="H210" s="55">
        <f>G210*C210</f>
        <v>0</v>
      </c>
      <c r="I210" s="54">
        <v>0</v>
      </c>
      <c r="J210" s="55">
        <f>I210*C210</f>
        <v>0</v>
      </c>
      <c r="K210" s="55">
        <f t="shared" ref="K210:L212" si="28">E210+G210+I210</f>
        <v>5201</v>
      </c>
      <c r="L210" s="55">
        <f t="shared" si="28"/>
        <v>249648</v>
      </c>
      <c r="M210" s="53"/>
    </row>
    <row r="211" spans="1:13" x14ac:dyDescent="0.3">
      <c r="A211" s="51" t="s">
        <v>380</v>
      </c>
      <c r="B211" s="52" t="s">
        <v>381</v>
      </c>
      <c r="C211" s="54">
        <v>69</v>
      </c>
      <c r="D211" s="103" t="s">
        <v>379</v>
      </c>
      <c r="E211" s="54">
        <v>4848</v>
      </c>
      <c r="F211" s="55">
        <f>E211*C211</f>
        <v>334512</v>
      </c>
      <c r="G211" s="54">
        <v>0</v>
      </c>
      <c r="H211" s="55">
        <f>G211*C211</f>
        <v>0</v>
      </c>
      <c r="I211" s="54">
        <v>0</v>
      </c>
      <c r="J211" s="55">
        <f>I211*C211</f>
        <v>0</v>
      </c>
      <c r="K211" s="55">
        <f t="shared" si="28"/>
        <v>4848</v>
      </c>
      <c r="L211" s="55">
        <f t="shared" si="28"/>
        <v>334512</v>
      </c>
      <c r="M211" s="53"/>
    </row>
    <row r="212" spans="1:13" x14ac:dyDescent="0.3">
      <c r="A212" s="51" t="s">
        <v>382</v>
      </c>
      <c r="B212" s="52" t="s">
        <v>383</v>
      </c>
      <c r="C212" s="54">
        <v>117</v>
      </c>
      <c r="D212" s="103" t="s">
        <v>379</v>
      </c>
      <c r="E212" s="54">
        <v>0</v>
      </c>
      <c r="F212" s="55">
        <f>E212*C212</f>
        <v>0</v>
      </c>
      <c r="G212" s="54">
        <v>0</v>
      </c>
      <c r="H212" s="55">
        <f>G212*C212</f>
        <v>0</v>
      </c>
      <c r="I212" s="54">
        <v>962</v>
      </c>
      <c r="J212" s="55">
        <f>I212*C212</f>
        <v>112554</v>
      </c>
      <c r="K212" s="55">
        <f t="shared" si="28"/>
        <v>962</v>
      </c>
      <c r="L212" s="55">
        <f t="shared" si="28"/>
        <v>112554</v>
      </c>
      <c r="M212" s="53"/>
    </row>
    <row r="213" spans="1:13" x14ac:dyDescent="0.3">
      <c r="A213" s="51" t="s">
        <v>384</v>
      </c>
      <c r="B213" s="52"/>
      <c r="C213" s="52"/>
      <c r="D213" s="103"/>
      <c r="E213" s="52"/>
      <c r="F213" s="52"/>
      <c r="G213" s="52"/>
      <c r="H213" s="52"/>
      <c r="I213" s="52"/>
      <c r="J213" s="52"/>
      <c r="K213" s="52"/>
      <c r="L213" s="52"/>
      <c r="M213" s="53"/>
    </row>
    <row r="214" spans="1:13" x14ac:dyDescent="0.3">
      <c r="A214" s="51" t="s">
        <v>385</v>
      </c>
      <c r="B214" s="52" t="s">
        <v>386</v>
      </c>
      <c r="C214" s="54">
        <v>20</v>
      </c>
      <c r="D214" s="103" t="s">
        <v>103</v>
      </c>
      <c r="E214" s="54">
        <v>22920</v>
      </c>
      <c r="F214" s="55">
        <f>E214*C214</f>
        <v>458400</v>
      </c>
      <c r="G214" s="54">
        <v>0</v>
      </c>
      <c r="H214" s="55">
        <f>G214*C214</f>
        <v>0</v>
      </c>
      <c r="I214" s="54">
        <v>0</v>
      </c>
      <c r="J214" s="55">
        <f>I214*C214</f>
        <v>0</v>
      </c>
      <c r="K214" s="55">
        <f t="shared" ref="K214:L216" si="29">E214+G214+I214</f>
        <v>22920</v>
      </c>
      <c r="L214" s="55">
        <f t="shared" si="29"/>
        <v>458400</v>
      </c>
      <c r="M214" s="53"/>
    </row>
    <row r="215" spans="1:13" x14ac:dyDescent="0.3">
      <c r="A215" s="51" t="s">
        <v>387</v>
      </c>
      <c r="B215" s="52" t="s">
        <v>388</v>
      </c>
      <c r="C215" s="54">
        <v>2</v>
      </c>
      <c r="D215" s="103" t="s">
        <v>103</v>
      </c>
      <c r="E215" s="54">
        <v>22920</v>
      </c>
      <c r="F215" s="55">
        <f>E215*C215</f>
        <v>45840</v>
      </c>
      <c r="G215" s="54">
        <v>0</v>
      </c>
      <c r="H215" s="55">
        <f>G215*C215</f>
        <v>0</v>
      </c>
      <c r="I215" s="54">
        <v>0</v>
      </c>
      <c r="J215" s="55">
        <f>I215*C215</f>
        <v>0</v>
      </c>
      <c r="K215" s="55">
        <f t="shared" si="29"/>
        <v>22920</v>
      </c>
      <c r="L215" s="55">
        <f t="shared" si="29"/>
        <v>45840</v>
      </c>
      <c r="M215" s="53"/>
    </row>
    <row r="216" spans="1:13" x14ac:dyDescent="0.3">
      <c r="A216" s="51" t="s">
        <v>389</v>
      </c>
      <c r="B216" s="52" t="s">
        <v>390</v>
      </c>
      <c r="C216" s="54">
        <v>20</v>
      </c>
      <c r="D216" s="103" t="s">
        <v>103</v>
      </c>
      <c r="E216" s="54">
        <v>15868</v>
      </c>
      <c r="F216" s="55">
        <f>E216*C216</f>
        <v>317360</v>
      </c>
      <c r="G216" s="54">
        <v>0</v>
      </c>
      <c r="H216" s="55">
        <f>G216*C216</f>
        <v>0</v>
      </c>
      <c r="I216" s="54">
        <v>0</v>
      </c>
      <c r="J216" s="55">
        <f>I216*C216</f>
        <v>0</v>
      </c>
      <c r="K216" s="55">
        <f t="shared" si="29"/>
        <v>15868</v>
      </c>
      <c r="L216" s="55">
        <f t="shared" si="29"/>
        <v>317360</v>
      </c>
      <c r="M216" s="53"/>
    </row>
    <row r="217" spans="1:13" x14ac:dyDescent="0.3">
      <c r="A217" s="51" t="s">
        <v>391</v>
      </c>
      <c r="B217" s="52"/>
      <c r="C217" s="52"/>
      <c r="D217" s="103"/>
      <c r="E217" s="52"/>
      <c r="F217" s="52"/>
      <c r="G217" s="52"/>
      <c r="H217" s="52"/>
      <c r="I217" s="52"/>
      <c r="J217" s="52"/>
      <c r="K217" s="52"/>
      <c r="L217" s="52"/>
      <c r="M217" s="53"/>
    </row>
    <row r="218" spans="1:13" x14ac:dyDescent="0.3">
      <c r="A218" s="51" t="s">
        <v>392</v>
      </c>
      <c r="B218" s="52" t="s">
        <v>393</v>
      </c>
      <c r="C218" s="56">
        <v>1.56</v>
      </c>
      <c r="D218" s="103" t="s">
        <v>394</v>
      </c>
      <c r="E218" s="54">
        <v>811381</v>
      </c>
      <c r="F218" s="55">
        <f t="shared" ref="F218:F223" si="30">E218*C218</f>
        <v>1265754.3600000001</v>
      </c>
      <c r="G218" s="54">
        <v>0</v>
      </c>
      <c r="H218" s="55">
        <f t="shared" ref="H218:H223" si="31">G218*C218</f>
        <v>0</v>
      </c>
      <c r="I218" s="54">
        <v>0</v>
      </c>
      <c r="J218" s="55">
        <f t="shared" ref="J218:J223" si="32">I218*C218</f>
        <v>0</v>
      </c>
      <c r="K218" s="55">
        <f t="shared" ref="K218:L223" si="33">E218+G218+I218</f>
        <v>811381</v>
      </c>
      <c r="L218" s="55">
        <f t="shared" si="33"/>
        <v>1265754.3600000001</v>
      </c>
      <c r="M218" s="53"/>
    </row>
    <row r="219" spans="1:13" x14ac:dyDescent="0.3">
      <c r="A219" s="51" t="s">
        <v>395</v>
      </c>
      <c r="B219" s="52" t="s">
        <v>396</v>
      </c>
      <c r="C219" s="56">
        <v>8.9239999999999995</v>
      </c>
      <c r="D219" s="103" t="s">
        <v>394</v>
      </c>
      <c r="E219" s="54">
        <v>784613</v>
      </c>
      <c r="F219" s="55">
        <f t="shared" si="30"/>
        <v>7001886.4119999995</v>
      </c>
      <c r="G219" s="54">
        <v>0</v>
      </c>
      <c r="H219" s="55">
        <f t="shared" si="31"/>
        <v>0</v>
      </c>
      <c r="I219" s="54">
        <v>0</v>
      </c>
      <c r="J219" s="55">
        <f t="shared" si="32"/>
        <v>0</v>
      </c>
      <c r="K219" s="55">
        <f t="shared" si="33"/>
        <v>784613</v>
      </c>
      <c r="L219" s="55">
        <f t="shared" si="33"/>
        <v>7001886.4119999995</v>
      </c>
      <c r="M219" s="53"/>
    </row>
    <row r="220" spans="1:13" x14ac:dyDescent="0.3">
      <c r="A220" s="51" t="s">
        <v>397</v>
      </c>
      <c r="B220" s="52" t="s">
        <v>398</v>
      </c>
      <c r="C220" s="56">
        <v>3.1429999999999998</v>
      </c>
      <c r="D220" s="103" t="s">
        <v>394</v>
      </c>
      <c r="E220" s="54">
        <v>784624</v>
      </c>
      <c r="F220" s="55">
        <f t="shared" si="30"/>
        <v>2466073.2319999998</v>
      </c>
      <c r="G220" s="54">
        <v>0</v>
      </c>
      <c r="H220" s="55">
        <f t="shared" si="31"/>
        <v>0</v>
      </c>
      <c r="I220" s="54">
        <v>0</v>
      </c>
      <c r="J220" s="55">
        <f t="shared" si="32"/>
        <v>0</v>
      </c>
      <c r="K220" s="55">
        <f t="shared" si="33"/>
        <v>784624</v>
      </c>
      <c r="L220" s="55">
        <f t="shared" si="33"/>
        <v>2466073.2319999998</v>
      </c>
      <c r="M220" s="53"/>
    </row>
    <row r="221" spans="1:13" x14ac:dyDescent="0.3">
      <c r="A221" s="51" t="s">
        <v>399</v>
      </c>
      <c r="B221" s="52" t="s">
        <v>400</v>
      </c>
      <c r="C221" s="56">
        <v>0.28799999999999998</v>
      </c>
      <c r="D221" s="103" t="s">
        <v>394</v>
      </c>
      <c r="E221" s="54">
        <v>784462</v>
      </c>
      <c r="F221" s="55">
        <f t="shared" si="30"/>
        <v>225925.05599999998</v>
      </c>
      <c r="G221" s="54">
        <v>0</v>
      </c>
      <c r="H221" s="55">
        <f t="shared" si="31"/>
        <v>0</v>
      </c>
      <c r="I221" s="54">
        <v>0</v>
      </c>
      <c r="J221" s="55">
        <f t="shared" si="32"/>
        <v>0</v>
      </c>
      <c r="K221" s="55">
        <f t="shared" si="33"/>
        <v>784462</v>
      </c>
      <c r="L221" s="55">
        <f t="shared" si="33"/>
        <v>225925.05599999998</v>
      </c>
      <c r="M221" s="53"/>
    </row>
    <row r="222" spans="1:13" x14ac:dyDescent="0.3">
      <c r="A222" s="51" t="s">
        <v>401</v>
      </c>
      <c r="B222" s="52" t="s">
        <v>402</v>
      </c>
      <c r="C222" s="56">
        <v>13.916</v>
      </c>
      <c r="D222" s="103" t="s">
        <v>394</v>
      </c>
      <c r="E222" s="54">
        <v>0</v>
      </c>
      <c r="F222" s="55">
        <f t="shared" si="30"/>
        <v>0</v>
      </c>
      <c r="G222" s="54">
        <v>0</v>
      </c>
      <c r="H222" s="55">
        <f t="shared" si="31"/>
        <v>0</v>
      </c>
      <c r="I222" s="54">
        <v>19245</v>
      </c>
      <c r="J222" s="55">
        <f t="shared" si="32"/>
        <v>267813.42</v>
      </c>
      <c r="K222" s="55">
        <f t="shared" si="33"/>
        <v>19245</v>
      </c>
      <c r="L222" s="55">
        <f t="shared" si="33"/>
        <v>267813.42</v>
      </c>
      <c r="M222" s="53"/>
    </row>
    <row r="223" spans="1:13" x14ac:dyDescent="0.3">
      <c r="A223" s="51" t="s">
        <v>403</v>
      </c>
      <c r="B223" s="52" t="s">
        <v>404</v>
      </c>
      <c r="C223" s="56">
        <v>0.28399999999999997</v>
      </c>
      <c r="D223" s="103" t="s">
        <v>394</v>
      </c>
      <c r="E223" s="54">
        <v>-349123</v>
      </c>
      <c r="F223" s="55">
        <f t="shared" si="30"/>
        <v>-99150.931999999986</v>
      </c>
      <c r="G223" s="54">
        <v>0</v>
      </c>
      <c r="H223" s="55">
        <f t="shared" si="31"/>
        <v>0</v>
      </c>
      <c r="I223" s="54">
        <v>0</v>
      </c>
      <c r="J223" s="55">
        <f t="shared" si="32"/>
        <v>0</v>
      </c>
      <c r="K223" s="55">
        <f t="shared" si="33"/>
        <v>-349123</v>
      </c>
      <c r="L223" s="55">
        <f t="shared" si="33"/>
        <v>-99150.931999999986</v>
      </c>
      <c r="M223" s="53"/>
    </row>
    <row r="224" spans="1:13" x14ac:dyDescent="0.3">
      <c r="A224" s="51" t="s">
        <v>405</v>
      </c>
      <c r="B224" s="52"/>
      <c r="C224" s="52"/>
      <c r="D224" s="103"/>
      <c r="E224" s="52"/>
      <c r="F224" s="52"/>
      <c r="G224" s="52"/>
      <c r="H224" s="52"/>
      <c r="I224" s="52"/>
      <c r="J224" s="52"/>
      <c r="K224" s="52"/>
      <c r="L224" s="52"/>
      <c r="M224" s="53"/>
    </row>
    <row r="225" spans="1:13" x14ac:dyDescent="0.3">
      <c r="A225" s="51" t="s">
        <v>406</v>
      </c>
      <c r="B225" s="52" t="s">
        <v>407</v>
      </c>
      <c r="C225" s="54">
        <v>362</v>
      </c>
      <c r="D225" s="103" t="s">
        <v>103</v>
      </c>
      <c r="E225" s="54">
        <v>77575</v>
      </c>
      <c r="F225" s="55">
        <f>E225*C225</f>
        <v>28082150</v>
      </c>
      <c r="G225" s="54">
        <v>0</v>
      </c>
      <c r="H225" s="55">
        <f>G225*C225</f>
        <v>0</v>
      </c>
      <c r="I225" s="54">
        <v>0</v>
      </c>
      <c r="J225" s="55">
        <f>I225*C225</f>
        <v>0</v>
      </c>
      <c r="K225" s="55">
        <f>E225+G225+I225</f>
        <v>77575</v>
      </c>
      <c r="L225" s="55">
        <f>F225+H225+J225</f>
        <v>28082150</v>
      </c>
      <c r="M225" s="53"/>
    </row>
    <row r="226" spans="1:13" x14ac:dyDescent="0.3">
      <c r="A226" s="51" t="s">
        <v>408</v>
      </c>
      <c r="B226" s="52" t="s">
        <v>409</v>
      </c>
      <c r="C226" s="54">
        <v>306</v>
      </c>
      <c r="D226" s="103" t="s">
        <v>103</v>
      </c>
      <c r="E226" s="54">
        <v>75988</v>
      </c>
      <c r="F226" s="55">
        <f>E226*C226</f>
        <v>23252328</v>
      </c>
      <c r="G226" s="54">
        <v>0</v>
      </c>
      <c r="H226" s="55">
        <f>G226*C226</f>
        <v>0</v>
      </c>
      <c r="I226" s="54">
        <v>0</v>
      </c>
      <c r="J226" s="55">
        <f>I226*C226</f>
        <v>0</v>
      </c>
      <c r="K226" s="55">
        <f>E226+G226+I226</f>
        <v>75988</v>
      </c>
      <c r="L226" s="55">
        <f>F226+H226+J226</f>
        <v>23252328</v>
      </c>
      <c r="M226" s="53"/>
    </row>
    <row r="227" spans="1:13" x14ac:dyDescent="0.3">
      <c r="A227" s="51" t="s">
        <v>410</v>
      </c>
      <c r="B227" s="52"/>
      <c r="C227" s="52"/>
      <c r="D227" s="103"/>
      <c r="E227" s="52"/>
      <c r="F227" s="52"/>
      <c r="G227" s="52"/>
      <c r="H227" s="52"/>
      <c r="I227" s="52"/>
      <c r="J227" s="52"/>
      <c r="K227" s="52"/>
      <c r="L227" s="52"/>
      <c r="M227" s="53"/>
    </row>
    <row r="228" spans="1:13" x14ac:dyDescent="0.3">
      <c r="A228" s="51" t="s">
        <v>411</v>
      </c>
      <c r="B228" s="52" t="s">
        <v>412</v>
      </c>
      <c r="C228" s="54">
        <v>284</v>
      </c>
      <c r="D228" s="103" t="s">
        <v>413</v>
      </c>
      <c r="E228" s="54">
        <v>16346</v>
      </c>
      <c r="F228" s="55">
        <f t="shared" ref="F228:F241" si="34">E228*C228</f>
        <v>4642264</v>
      </c>
      <c r="G228" s="54">
        <v>0</v>
      </c>
      <c r="H228" s="55">
        <f t="shared" ref="H228:H241" si="35">G228*C228</f>
        <v>0</v>
      </c>
      <c r="I228" s="54">
        <v>0</v>
      </c>
      <c r="J228" s="55">
        <f t="shared" ref="J228:J241" si="36">I228*C228</f>
        <v>0</v>
      </c>
      <c r="K228" s="55">
        <f t="shared" ref="K228:K241" si="37">E228+G228+I228</f>
        <v>16346</v>
      </c>
      <c r="L228" s="55">
        <f t="shared" ref="L228:L241" si="38">F228+H228+J228</f>
        <v>4642264</v>
      </c>
      <c r="M228" s="53"/>
    </row>
    <row r="229" spans="1:13" x14ac:dyDescent="0.3">
      <c r="A229" s="51" t="s">
        <v>414</v>
      </c>
      <c r="B229" s="52" t="s">
        <v>415</v>
      </c>
      <c r="C229" s="54">
        <v>569</v>
      </c>
      <c r="D229" s="103" t="s">
        <v>413</v>
      </c>
      <c r="E229" s="54">
        <v>23387</v>
      </c>
      <c r="F229" s="55">
        <f t="shared" si="34"/>
        <v>13307203</v>
      </c>
      <c r="G229" s="54">
        <v>0</v>
      </c>
      <c r="H229" s="55">
        <f t="shared" si="35"/>
        <v>0</v>
      </c>
      <c r="I229" s="54">
        <v>0</v>
      </c>
      <c r="J229" s="55">
        <f t="shared" si="36"/>
        <v>0</v>
      </c>
      <c r="K229" s="55">
        <f t="shared" si="37"/>
        <v>23387</v>
      </c>
      <c r="L229" s="55">
        <f t="shared" si="38"/>
        <v>13307203</v>
      </c>
      <c r="M229" s="53"/>
    </row>
    <row r="230" spans="1:13" x14ac:dyDescent="0.3">
      <c r="A230" s="51" t="s">
        <v>416</v>
      </c>
      <c r="B230" s="52" t="s">
        <v>417</v>
      </c>
      <c r="C230" s="54">
        <v>99</v>
      </c>
      <c r="D230" s="103" t="s">
        <v>413</v>
      </c>
      <c r="E230" s="54">
        <v>41697</v>
      </c>
      <c r="F230" s="55">
        <f t="shared" si="34"/>
        <v>4128003</v>
      </c>
      <c r="G230" s="54">
        <v>0</v>
      </c>
      <c r="H230" s="55">
        <f t="shared" si="35"/>
        <v>0</v>
      </c>
      <c r="I230" s="54">
        <v>0</v>
      </c>
      <c r="J230" s="55">
        <f t="shared" si="36"/>
        <v>0</v>
      </c>
      <c r="K230" s="55">
        <f t="shared" si="37"/>
        <v>41697</v>
      </c>
      <c r="L230" s="55">
        <f t="shared" si="38"/>
        <v>4128003</v>
      </c>
      <c r="M230" s="53"/>
    </row>
    <row r="231" spans="1:13" x14ac:dyDescent="0.3">
      <c r="A231" s="51" t="s">
        <v>418</v>
      </c>
      <c r="B231" s="52" t="s">
        <v>419</v>
      </c>
      <c r="C231" s="54">
        <v>270</v>
      </c>
      <c r="D231" s="103" t="s">
        <v>413</v>
      </c>
      <c r="E231" s="54">
        <v>66909</v>
      </c>
      <c r="F231" s="55">
        <f t="shared" si="34"/>
        <v>18065430</v>
      </c>
      <c r="G231" s="54">
        <v>0</v>
      </c>
      <c r="H231" s="55">
        <f t="shared" si="35"/>
        <v>0</v>
      </c>
      <c r="I231" s="54">
        <v>0</v>
      </c>
      <c r="J231" s="55">
        <f t="shared" si="36"/>
        <v>0</v>
      </c>
      <c r="K231" s="55">
        <f t="shared" si="37"/>
        <v>66909</v>
      </c>
      <c r="L231" s="55">
        <f t="shared" si="38"/>
        <v>18065430</v>
      </c>
      <c r="M231" s="53"/>
    </row>
    <row r="232" spans="1:13" x14ac:dyDescent="0.3">
      <c r="A232" s="51" t="s">
        <v>420</v>
      </c>
      <c r="B232" s="52" t="s">
        <v>421</v>
      </c>
      <c r="C232" s="54">
        <v>17</v>
      </c>
      <c r="D232" s="103" t="s">
        <v>413</v>
      </c>
      <c r="E232" s="54">
        <v>86532</v>
      </c>
      <c r="F232" s="55">
        <f t="shared" si="34"/>
        <v>1471044</v>
      </c>
      <c r="G232" s="54">
        <v>0</v>
      </c>
      <c r="H232" s="55">
        <f t="shared" si="35"/>
        <v>0</v>
      </c>
      <c r="I232" s="54">
        <v>0</v>
      </c>
      <c r="J232" s="55">
        <f t="shared" si="36"/>
        <v>0</v>
      </c>
      <c r="K232" s="55">
        <f t="shared" si="37"/>
        <v>86532</v>
      </c>
      <c r="L232" s="55">
        <f t="shared" si="38"/>
        <v>1471044</v>
      </c>
      <c r="M232" s="53"/>
    </row>
    <row r="233" spans="1:13" x14ac:dyDescent="0.3">
      <c r="A233" s="51" t="s">
        <v>422</v>
      </c>
      <c r="B233" s="52" t="s">
        <v>423</v>
      </c>
      <c r="C233" s="54">
        <v>85</v>
      </c>
      <c r="D233" s="103" t="s">
        <v>413</v>
      </c>
      <c r="E233" s="54">
        <v>107900</v>
      </c>
      <c r="F233" s="55">
        <f t="shared" si="34"/>
        <v>9171500</v>
      </c>
      <c r="G233" s="54">
        <v>0</v>
      </c>
      <c r="H233" s="55">
        <f t="shared" si="35"/>
        <v>0</v>
      </c>
      <c r="I233" s="54">
        <v>0</v>
      </c>
      <c r="J233" s="55">
        <f t="shared" si="36"/>
        <v>0</v>
      </c>
      <c r="K233" s="55">
        <f t="shared" si="37"/>
        <v>107900</v>
      </c>
      <c r="L233" s="55">
        <f t="shared" si="38"/>
        <v>9171500</v>
      </c>
      <c r="M233" s="53"/>
    </row>
    <row r="234" spans="1:13" x14ac:dyDescent="0.3">
      <c r="A234" s="51" t="s">
        <v>424</v>
      </c>
      <c r="B234" s="52" t="s">
        <v>425</v>
      </c>
      <c r="C234" s="54">
        <v>16</v>
      </c>
      <c r="D234" s="103" t="s">
        <v>413</v>
      </c>
      <c r="E234" s="54">
        <v>151448</v>
      </c>
      <c r="F234" s="55">
        <f t="shared" si="34"/>
        <v>2423168</v>
      </c>
      <c r="G234" s="54">
        <v>0</v>
      </c>
      <c r="H234" s="55">
        <f t="shared" si="35"/>
        <v>0</v>
      </c>
      <c r="I234" s="54">
        <v>0</v>
      </c>
      <c r="J234" s="55">
        <f t="shared" si="36"/>
        <v>0</v>
      </c>
      <c r="K234" s="55">
        <f t="shared" si="37"/>
        <v>151448</v>
      </c>
      <c r="L234" s="55">
        <f t="shared" si="38"/>
        <v>2423168</v>
      </c>
      <c r="M234" s="53"/>
    </row>
    <row r="235" spans="1:13" x14ac:dyDescent="0.3">
      <c r="A235" s="51" t="s">
        <v>426</v>
      </c>
      <c r="B235" s="52" t="s">
        <v>427</v>
      </c>
      <c r="C235" s="54">
        <v>114</v>
      </c>
      <c r="D235" s="103" t="s">
        <v>371</v>
      </c>
      <c r="E235" s="54">
        <v>0</v>
      </c>
      <c r="F235" s="55">
        <f t="shared" si="34"/>
        <v>0</v>
      </c>
      <c r="G235" s="54">
        <v>0</v>
      </c>
      <c r="H235" s="55">
        <f t="shared" si="35"/>
        <v>0</v>
      </c>
      <c r="I235" s="54">
        <v>1694</v>
      </c>
      <c r="J235" s="55">
        <f t="shared" si="36"/>
        <v>193116</v>
      </c>
      <c r="K235" s="55">
        <f t="shared" si="37"/>
        <v>1694</v>
      </c>
      <c r="L235" s="55">
        <f t="shared" si="38"/>
        <v>193116</v>
      </c>
      <c r="M235" s="53"/>
    </row>
    <row r="236" spans="1:13" x14ac:dyDescent="0.3">
      <c r="A236" s="51" t="s">
        <v>428</v>
      </c>
      <c r="B236" s="52" t="s">
        <v>429</v>
      </c>
      <c r="C236" s="54">
        <v>228</v>
      </c>
      <c r="D236" s="103" t="s">
        <v>371</v>
      </c>
      <c r="E236" s="54">
        <v>0</v>
      </c>
      <c r="F236" s="55">
        <f t="shared" si="34"/>
        <v>0</v>
      </c>
      <c r="G236" s="54">
        <v>0</v>
      </c>
      <c r="H236" s="55">
        <f t="shared" si="35"/>
        <v>0</v>
      </c>
      <c r="I236" s="54">
        <v>2540</v>
      </c>
      <c r="J236" s="55">
        <f t="shared" si="36"/>
        <v>579120</v>
      </c>
      <c r="K236" s="55">
        <f t="shared" si="37"/>
        <v>2540</v>
      </c>
      <c r="L236" s="55">
        <f t="shared" si="38"/>
        <v>579120</v>
      </c>
      <c r="M236" s="53"/>
    </row>
    <row r="237" spans="1:13" x14ac:dyDescent="0.3">
      <c r="A237" s="51" t="s">
        <v>430</v>
      </c>
      <c r="B237" s="52" t="s">
        <v>431</v>
      </c>
      <c r="C237" s="54">
        <v>40</v>
      </c>
      <c r="D237" s="103" t="s">
        <v>371</v>
      </c>
      <c r="E237" s="54">
        <v>0</v>
      </c>
      <c r="F237" s="55">
        <f t="shared" si="34"/>
        <v>0</v>
      </c>
      <c r="G237" s="54">
        <v>0</v>
      </c>
      <c r="H237" s="55">
        <f t="shared" si="35"/>
        <v>0</v>
      </c>
      <c r="I237" s="54">
        <v>4811</v>
      </c>
      <c r="J237" s="55">
        <f t="shared" si="36"/>
        <v>192440</v>
      </c>
      <c r="K237" s="55">
        <f t="shared" si="37"/>
        <v>4811</v>
      </c>
      <c r="L237" s="55">
        <f t="shared" si="38"/>
        <v>192440</v>
      </c>
      <c r="M237" s="53"/>
    </row>
    <row r="238" spans="1:13" x14ac:dyDescent="0.3">
      <c r="A238" s="51" t="s">
        <v>432</v>
      </c>
      <c r="B238" s="52" t="s">
        <v>433</v>
      </c>
      <c r="C238" s="54">
        <v>109</v>
      </c>
      <c r="D238" s="103" t="s">
        <v>371</v>
      </c>
      <c r="E238" s="54">
        <v>0</v>
      </c>
      <c r="F238" s="55">
        <f t="shared" si="34"/>
        <v>0</v>
      </c>
      <c r="G238" s="54">
        <v>0</v>
      </c>
      <c r="H238" s="55">
        <f t="shared" si="35"/>
        <v>0</v>
      </c>
      <c r="I238" s="54">
        <v>6419</v>
      </c>
      <c r="J238" s="55">
        <f t="shared" si="36"/>
        <v>699671</v>
      </c>
      <c r="K238" s="55">
        <f t="shared" si="37"/>
        <v>6419</v>
      </c>
      <c r="L238" s="55">
        <f t="shared" si="38"/>
        <v>699671</v>
      </c>
      <c r="M238" s="53"/>
    </row>
    <row r="239" spans="1:13" x14ac:dyDescent="0.3">
      <c r="A239" s="51" t="s">
        <v>434</v>
      </c>
      <c r="B239" s="52" t="s">
        <v>435</v>
      </c>
      <c r="C239" s="54">
        <v>7</v>
      </c>
      <c r="D239" s="103" t="s">
        <v>371</v>
      </c>
      <c r="E239" s="54">
        <v>0</v>
      </c>
      <c r="F239" s="55">
        <f t="shared" si="34"/>
        <v>0</v>
      </c>
      <c r="G239" s="54">
        <v>0</v>
      </c>
      <c r="H239" s="55">
        <f t="shared" si="35"/>
        <v>0</v>
      </c>
      <c r="I239" s="54">
        <v>7409</v>
      </c>
      <c r="J239" s="55">
        <f t="shared" si="36"/>
        <v>51863</v>
      </c>
      <c r="K239" s="55">
        <f t="shared" si="37"/>
        <v>7409</v>
      </c>
      <c r="L239" s="55">
        <f t="shared" si="38"/>
        <v>51863</v>
      </c>
      <c r="M239" s="53"/>
    </row>
    <row r="240" spans="1:13" x14ac:dyDescent="0.3">
      <c r="A240" s="51" t="s">
        <v>436</v>
      </c>
      <c r="B240" s="52" t="s">
        <v>437</v>
      </c>
      <c r="C240" s="54">
        <v>35</v>
      </c>
      <c r="D240" s="103" t="s">
        <v>371</v>
      </c>
      <c r="E240" s="54">
        <v>0</v>
      </c>
      <c r="F240" s="55">
        <f t="shared" si="34"/>
        <v>0</v>
      </c>
      <c r="G240" s="54">
        <v>0</v>
      </c>
      <c r="H240" s="55">
        <f t="shared" si="35"/>
        <v>0</v>
      </c>
      <c r="I240" s="54">
        <v>9622</v>
      </c>
      <c r="J240" s="55">
        <f t="shared" si="36"/>
        <v>336770</v>
      </c>
      <c r="K240" s="55">
        <f t="shared" si="37"/>
        <v>9622</v>
      </c>
      <c r="L240" s="55">
        <f t="shared" si="38"/>
        <v>336770</v>
      </c>
      <c r="M240" s="53"/>
    </row>
    <row r="241" spans="1:13" x14ac:dyDescent="0.3">
      <c r="A241" s="51" t="s">
        <v>438</v>
      </c>
      <c r="B241" s="52" t="s">
        <v>439</v>
      </c>
      <c r="C241" s="54">
        <v>7</v>
      </c>
      <c r="D241" s="103" t="s">
        <v>371</v>
      </c>
      <c r="E241" s="54">
        <v>0</v>
      </c>
      <c r="F241" s="55">
        <f t="shared" si="34"/>
        <v>0</v>
      </c>
      <c r="G241" s="54">
        <v>0</v>
      </c>
      <c r="H241" s="55">
        <f t="shared" si="35"/>
        <v>0</v>
      </c>
      <c r="I241" s="54">
        <v>13760</v>
      </c>
      <c r="J241" s="55">
        <f t="shared" si="36"/>
        <v>96320</v>
      </c>
      <c r="K241" s="55">
        <f t="shared" si="37"/>
        <v>13760</v>
      </c>
      <c r="L241" s="55">
        <f t="shared" si="38"/>
        <v>96320</v>
      </c>
      <c r="M241" s="53"/>
    </row>
    <row r="242" spans="1:13" x14ac:dyDescent="0.3">
      <c r="A242" s="51" t="s">
        <v>440</v>
      </c>
      <c r="B242" s="52"/>
      <c r="C242" s="52"/>
      <c r="D242" s="103"/>
      <c r="E242" s="52"/>
      <c r="F242" s="52"/>
      <c r="G242" s="52"/>
      <c r="H242" s="52"/>
      <c r="I242" s="52"/>
      <c r="J242" s="52"/>
      <c r="K242" s="52"/>
      <c r="L242" s="52"/>
      <c r="M242" s="53"/>
    </row>
    <row r="243" spans="1:13" x14ac:dyDescent="0.3">
      <c r="A243" s="51" t="s">
        <v>441</v>
      </c>
      <c r="B243" s="52" t="s">
        <v>442</v>
      </c>
      <c r="C243" s="54">
        <v>37</v>
      </c>
      <c r="D243" s="103" t="s">
        <v>443</v>
      </c>
      <c r="E243" s="54">
        <v>282092</v>
      </c>
      <c r="F243" s="55">
        <f>E243*C243</f>
        <v>10437404</v>
      </c>
      <c r="G243" s="54">
        <v>0</v>
      </c>
      <c r="H243" s="55">
        <f>G243*C243</f>
        <v>0</v>
      </c>
      <c r="I243" s="54">
        <v>0</v>
      </c>
      <c r="J243" s="55">
        <f>I243*C243</f>
        <v>0</v>
      </c>
      <c r="K243" s="55">
        <f>E243+G243+I243</f>
        <v>282092</v>
      </c>
      <c r="L243" s="55">
        <f>F243+H243+J243</f>
        <v>10437404</v>
      </c>
      <c r="M243" s="53"/>
    </row>
    <row r="244" spans="1:13" x14ac:dyDescent="0.3">
      <c r="A244" s="51" t="s">
        <v>444</v>
      </c>
      <c r="B244" s="52"/>
      <c r="C244" s="52"/>
      <c r="D244" s="103"/>
      <c r="E244" s="52"/>
      <c r="F244" s="52"/>
      <c r="G244" s="52"/>
      <c r="H244" s="52"/>
      <c r="I244" s="52"/>
      <c r="J244" s="52"/>
      <c r="K244" s="52"/>
      <c r="L244" s="52"/>
      <c r="M244" s="53"/>
    </row>
    <row r="245" spans="1:13" x14ac:dyDescent="0.3">
      <c r="A245" s="51" t="s">
        <v>445</v>
      </c>
      <c r="B245" s="52"/>
      <c r="C245" s="52"/>
      <c r="D245" s="103"/>
      <c r="E245" s="52"/>
      <c r="F245" s="52"/>
      <c r="G245" s="52"/>
      <c r="H245" s="52"/>
      <c r="I245" s="52"/>
      <c r="J245" s="52"/>
      <c r="K245" s="52"/>
      <c r="L245" s="52"/>
      <c r="M245" s="53"/>
    </row>
    <row r="246" spans="1:13" x14ac:dyDescent="0.3">
      <c r="A246" s="51" t="s">
        <v>215</v>
      </c>
      <c r="B246" s="52"/>
      <c r="C246" s="52"/>
      <c r="D246" s="103"/>
      <c r="E246" s="52"/>
      <c r="F246" s="52"/>
      <c r="G246" s="52"/>
      <c r="H246" s="52"/>
      <c r="I246" s="52"/>
      <c r="J246" s="52"/>
      <c r="K246" s="52"/>
      <c r="L246" s="52"/>
      <c r="M246" s="53"/>
    </row>
    <row r="247" spans="1:13" x14ac:dyDescent="0.3">
      <c r="A247" s="51" t="s">
        <v>154</v>
      </c>
      <c r="B247" s="52"/>
      <c r="C247" s="52"/>
      <c r="D247" s="103"/>
      <c r="E247" s="52"/>
      <c r="F247" s="52"/>
      <c r="G247" s="52"/>
      <c r="H247" s="52"/>
      <c r="I247" s="52"/>
      <c r="J247" s="52"/>
      <c r="K247" s="52"/>
      <c r="L247" s="52"/>
      <c r="M247" s="53"/>
    </row>
    <row r="248" spans="1:13" x14ac:dyDescent="0.3">
      <c r="A248" s="51" t="s">
        <v>216</v>
      </c>
      <c r="B248" s="52" t="s">
        <v>111</v>
      </c>
      <c r="C248" s="54">
        <v>3339</v>
      </c>
      <c r="D248" s="103" t="s">
        <v>103</v>
      </c>
      <c r="E248" s="54">
        <v>0</v>
      </c>
      <c r="F248" s="55">
        <f>E248*C248</f>
        <v>0</v>
      </c>
      <c r="G248" s="54">
        <v>0</v>
      </c>
      <c r="H248" s="55">
        <f>G248*C248</f>
        <v>0</v>
      </c>
      <c r="I248" s="54">
        <v>1638</v>
      </c>
      <c r="J248" s="55">
        <f>I248*C248</f>
        <v>5469282</v>
      </c>
      <c r="K248" s="55">
        <f>E248+G248+I248</f>
        <v>1638</v>
      </c>
      <c r="L248" s="55">
        <f>F248+H248+J248</f>
        <v>5469282</v>
      </c>
      <c r="M248" s="53"/>
    </row>
    <row r="249" spans="1:13" x14ac:dyDescent="0.3">
      <c r="A249" s="51" t="s">
        <v>217</v>
      </c>
      <c r="B249" s="52" t="s">
        <v>446</v>
      </c>
      <c r="C249" s="54">
        <v>108</v>
      </c>
      <c r="D249" s="103" t="s">
        <v>103</v>
      </c>
      <c r="E249" s="54">
        <v>0</v>
      </c>
      <c r="F249" s="55">
        <f>E249*C249</f>
        <v>0</v>
      </c>
      <c r="G249" s="54">
        <v>2740</v>
      </c>
      <c r="H249" s="55">
        <f>G249*C249</f>
        <v>295920</v>
      </c>
      <c r="I249" s="54">
        <v>4094</v>
      </c>
      <c r="J249" s="55">
        <f>I249*C249</f>
        <v>442152</v>
      </c>
      <c r="K249" s="55">
        <f>E249+G249+I249</f>
        <v>6834</v>
      </c>
      <c r="L249" s="55">
        <f>F249+H249+J249</f>
        <v>738072</v>
      </c>
      <c r="M249" s="53"/>
    </row>
    <row r="250" spans="1:13" x14ac:dyDescent="0.3">
      <c r="A250" s="51" t="s">
        <v>221</v>
      </c>
      <c r="B250" s="52"/>
      <c r="C250" s="52"/>
      <c r="D250" s="103"/>
      <c r="E250" s="52"/>
      <c r="F250" s="52"/>
      <c r="G250" s="52"/>
      <c r="H250" s="52"/>
      <c r="I250" s="52"/>
      <c r="J250" s="52"/>
      <c r="K250" s="52"/>
      <c r="L250" s="52"/>
      <c r="M250" s="53"/>
    </row>
    <row r="251" spans="1:13" x14ac:dyDescent="0.3">
      <c r="A251" s="51" t="s">
        <v>447</v>
      </c>
      <c r="B251" s="52" t="s">
        <v>226</v>
      </c>
      <c r="C251" s="54">
        <v>3111</v>
      </c>
      <c r="D251" s="103" t="s">
        <v>103</v>
      </c>
      <c r="E251" s="54">
        <v>0</v>
      </c>
      <c r="F251" s="55">
        <f>E251*C251</f>
        <v>0</v>
      </c>
      <c r="G251" s="54">
        <v>2210</v>
      </c>
      <c r="H251" s="55">
        <f>G251*C251</f>
        <v>6875310</v>
      </c>
      <c r="I251" s="54">
        <v>4606</v>
      </c>
      <c r="J251" s="55">
        <f>I251*C251</f>
        <v>14329266</v>
      </c>
      <c r="K251" s="55">
        <f>E251+G251+I251</f>
        <v>6816</v>
      </c>
      <c r="L251" s="55">
        <f>F251+H251+J251</f>
        <v>21204576</v>
      </c>
      <c r="M251" s="53"/>
    </row>
    <row r="252" spans="1:13" x14ac:dyDescent="0.3">
      <c r="A252" s="51" t="s">
        <v>223</v>
      </c>
      <c r="B252" s="52" t="s">
        <v>224</v>
      </c>
      <c r="C252" s="54">
        <v>127</v>
      </c>
      <c r="D252" s="103" t="s">
        <v>103</v>
      </c>
      <c r="E252" s="54">
        <v>0</v>
      </c>
      <c r="F252" s="55">
        <f>E252*C252</f>
        <v>0</v>
      </c>
      <c r="G252" s="54">
        <v>2210</v>
      </c>
      <c r="H252" s="55">
        <f>G252*C252</f>
        <v>280670</v>
      </c>
      <c r="I252" s="54">
        <v>4606</v>
      </c>
      <c r="J252" s="55">
        <f>I252*C252</f>
        <v>584962</v>
      </c>
      <c r="K252" s="55">
        <f>E252+G252+I252</f>
        <v>6816</v>
      </c>
      <c r="L252" s="55">
        <f>F252+H252+J252</f>
        <v>865632</v>
      </c>
      <c r="M252" s="53"/>
    </row>
    <row r="253" spans="1:13" x14ac:dyDescent="0.3">
      <c r="A253" s="51" t="s">
        <v>227</v>
      </c>
      <c r="B253" s="52"/>
      <c r="C253" s="52"/>
      <c r="D253" s="103"/>
      <c r="E253" s="52"/>
      <c r="F253" s="52"/>
      <c r="G253" s="52"/>
      <c r="H253" s="52"/>
      <c r="I253" s="52"/>
      <c r="J253" s="52"/>
      <c r="K253" s="52"/>
      <c r="L253" s="52"/>
      <c r="M253" s="53"/>
    </row>
    <row r="254" spans="1:13" x14ac:dyDescent="0.3">
      <c r="A254" s="51" t="s">
        <v>228</v>
      </c>
      <c r="B254" s="52" t="s">
        <v>448</v>
      </c>
      <c r="C254" s="54">
        <v>209</v>
      </c>
      <c r="D254" s="103" t="s">
        <v>103</v>
      </c>
      <c r="E254" s="54">
        <v>0</v>
      </c>
      <c r="F254" s="55">
        <f>E254*C254</f>
        <v>0</v>
      </c>
      <c r="G254" s="54">
        <v>0</v>
      </c>
      <c r="H254" s="55">
        <f>G254*C254</f>
        <v>0</v>
      </c>
      <c r="I254" s="54">
        <v>10234</v>
      </c>
      <c r="J254" s="55">
        <f>I254*C254</f>
        <v>2138906</v>
      </c>
      <c r="K254" s="55">
        <f>E254+G254+I254</f>
        <v>10234</v>
      </c>
      <c r="L254" s="55">
        <f>F254+H254+J254</f>
        <v>2138906</v>
      </c>
      <c r="M254" s="53"/>
    </row>
    <row r="255" spans="1:13" x14ac:dyDescent="0.3">
      <c r="A255" s="51" t="s">
        <v>449</v>
      </c>
      <c r="B255" s="52"/>
      <c r="C255" s="52"/>
      <c r="D255" s="103"/>
      <c r="E255" s="52"/>
      <c r="F255" s="52"/>
      <c r="G255" s="52"/>
      <c r="H255" s="52"/>
      <c r="I255" s="52"/>
      <c r="J255" s="52"/>
      <c r="K255" s="52"/>
      <c r="L255" s="52"/>
      <c r="M255" s="53"/>
    </row>
    <row r="256" spans="1:13" x14ac:dyDescent="0.3">
      <c r="A256" s="51" t="s">
        <v>450</v>
      </c>
      <c r="B256" s="52"/>
      <c r="C256" s="52"/>
      <c r="D256" s="103"/>
      <c r="E256" s="52"/>
      <c r="F256" s="52"/>
      <c r="G256" s="52"/>
      <c r="H256" s="52"/>
      <c r="I256" s="52"/>
      <c r="J256" s="52"/>
      <c r="K256" s="52"/>
      <c r="L256" s="52"/>
      <c r="M256" s="53"/>
    </row>
    <row r="257" spans="1:13" x14ac:dyDescent="0.3">
      <c r="A257" s="51" t="s">
        <v>451</v>
      </c>
      <c r="B257" s="52" t="s">
        <v>452</v>
      </c>
      <c r="C257" s="54">
        <v>88</v>
      </c>
      <c r="D257" s="103" t="s">
        <v>234</v>
      </c>
      <c r="E257" s="54">
        <v>0</v>
      </c>
      <c r="F257" s="55">
        <f>E257*C257</f>
        <v>0</v>
      </c>
      <c r="G257" s="54">
        <v>17680</v>
      </c>
      <c r="H257" s="55">
        <f>G257*C257</f>
        <v>1555840</v>
      </c>
      <c r="I257" s="54">
        <v>1975</v>
      </c>
      <c r="J257" s="55">
        <f>I257*C257</f>
        <v>173800</v>
      </c>
      <c r="K257" s="55">
        <f>E257+G257+I257</f>
        <v>19655</v>
      </c>
      <c r="L257" s="55">
        <f>F257+H257+J257</f>
        <v>1729640</v>
      </c>
      <c r="M257" s="53"/>
    </row>
    <row r="258" spans="1:13" x14ac:dyDescent="0.3">
      <c r="A258" s="51" t="s">
        <v>453</v>
      </c>
      <c r="B258" s="52" t="s">
        <v>454</v>
      </c>
      <c r="C258" s="54">
        <v>430</v>
      </c>
      <c r="D258" s="103" t="s">
        <v>234</v>
      </c>
      <c r="E258" s="54">
        <v>0</v>
      </c>
      <c r="F258" s="55">
        <f>E258*C258</f>
        <v>0</v>
      </c>
      <c r="G258" s="54">
        <v>22100</v>
      </c>
      <c r="H258" s="55">
        <f>G258*C258</f>
        <v>9503000</v>
      </c>
      <c r="I258" s="54">
        <v>1975</v>
      </c>
      <c r="J258" s="55">
        <f>I258*C258</f>
        <v>849250</v>
      </c>
      <c r="K258" s="55">
        <f>E258+G258+I258</f>
        <v>24075</v>
      </c>
      <c r="L258" s="55">
        <f>F258+H258+J258</f>
        <v>10352250</v>
      </c>
      <c r="M258" s="53"/>
    </row>
    <row r="259" spans="1:13" x14ac:dyDescent="0.3">
      <c r="A259" s="51" t="s">
        <v>455</v>
      </c>
      <c r="B259" s="52"/>
      <c r="C259" s="52"/>
      <c r="D259" s="103"/>
      <c r="E259" s="52"/>
      <c r="F259" s="52"/>
      <c r="G259" s="52"/>
      <c r="H259" s="52"/>
      <c r="I259" s="52"/>
      <c r="J259" s="52"/>
      <c r="K259" s="52"/>
      <c r="L259" s="52"/>
      <c r="M259" s="53"/>
    </row>
    <row r="260" spans="1:13" x14ac:dyDescent="0.3">
      <c r="A260" s="51" t="s">
        <v>456</v>
      </c>
      <c r="B260" s="52" t="s">
        <v>457</v>
      </c>
      <c r="C260" s="54">
        <v>8</v>
      </c>
      <c r="D260" s="103" t="s">
        <v>204</v>
      </c>
      <c r="E260" s="54">
        <v>0</v>
      </c>
      <c r="F260" s="55">
        <f>E260*C260</f>
        <v>0</v>
      </c>
      <c r="G260" s="54">
        <v>8840</v>
      </c>
      <c r="H260" s="55">
        <f>G260*C260</f>
        <v>70720</v>
      </c>
      <c r="I260" s="54">
        <v>0</v>
      </c>
      <c r="J260" s="55">
        <f>I260*C260</f>
        <v>0</v>
      </c>
      <c r="K260" s="55">
        <f>E260+G260+I260</f>
        <v>8840</v>
      </c>
      <c r="L260" s="55">
        <f>F260+H260+J260</f>
        <v>70720</v>
      </c>
      <c r="M260" s="53"/>
    </row>
    <row r="261" spans="1:13" x14ac:dyDescent="0.3">
      <c r="A261" s="51" t="s">
        <v>458</v>
      </c>
      <c r="B261" s="52" t="s">
        <v>360</v>
      </c>
      <c r="C261" s="54">
        <v>11</v>
      </c>
      <c r="D261" s="103" t="s">
        <v>204</v>
      </c>
      <c r="E261" s="54">
        <v>0</v>
      </c>
      <c r="F261" s="55">
        <f>E261*C261</f>
        <v>0</v>
      </c>
      <c r="G261" s="54">
        <v>13260</v>
      </c>
      <c r="H261" s="55">
        <f>G261*C261</f>
        <v>145860</v>
      </c>
      <c r="I261" s="54">
        <v>0</v>
      </c>
      <c r="J261" s="55">
        <f>I261*C261</f>
        <v>0</v>
      </c>
      <c r="K261" s="55">
        <f>E261+G261+I261</f>
        <v>13260</v>
      </c>
      <c r="L261" s="55">
        <f>F261+H261+J261</f>
        <v>145860</v>
      </c>
      <c r="M261" s="53"/>
    </row>
    <row r="262" spans="1:13" x14ac:dyDescent="0.3">
      <c r="A262" s="51" t="s">
        <v>459</v>
      </c>
      <c r="B262" s="52"/>
      <c r="C262" s="52"/>
      <c r="D262" s="103"/>
      <c r="E262" s="52"/>
      <c r="F262" s="52"/>
      <c r="G262" s="52"/>
      <c r="H262" s="52"/>
      <c r="I262" s="52"/>
      <c r="J262" s="52"/>
      <c r="K262" s="52"/>
      <c r="L262" s="52"/>
      <c r="M262" s="53"/>
    </row>
    <row r="263" spans="1:13" x14ac:dyDescent="0.3">
      <c r="A263" s="51" t="s">
        <v>460</v>
      </c>
      <c r="B263" s="52" t="s">
        <v>461</v>
      </c>
      <c r="C263" s="54">
        <v>179</v>
      </c>
      <c r="D263" s="103" t="s">
        <v>103</v>
      </c>
      <c r="E263" s="54">
        <v>0</v>
      </c>
      <c r="F263" s="55">
        <f>E263*C263</f>
        <v>0</v>
      </c>
      <c r="G263" s="54">
        <v>22100</v>
      </c>
      <c r="H263" s="55">
        <f>G263*C263</f>
        <v>3955900</v>
      </c>
      <c r="I263" s="54">
        <v>0</v>
      </c>
      <c r="J263" s="55">
        <f>I263*C263</f>
        <v>0</v>
      </c>
      <c r="K263" s="55">
        <f>E263+G263+I263</f>
        <v>22100</v>
      </c>
      <c r="L263" s="55">
        <f>F263+H263+J263</f>
        <v>3955900</v>
      </c>
      <c r="M263" s="53"/>
    </row>
    <row r="264" spans="1:13" x14ac:dyDescent="0.3">
      <c r="A264" s="51" t="s">
        <v>462</v>
      </c>
      <c r="B264" s="52"/>
      <c r="C264" s="52"/>
      <c r="D264" s="103"/>
      <c r="E264" s="52"/>
      <c r="F264" s="52"/>
      <c r="G264" s="52"/>
      <c r="H264" s="52"/>
      <c r="I264" s="52"/>
      <c r="J264" s="52"/>
      <c r="K264" s="52"/>
      <c r="L264" s="52"/>
      <c r="M264" s="53"/>
    </row>
    <row r="265" spans="1:13" x14ac:dyDescent="0.3">
      <c r="A265" s="51" t="s">
        <v>463</v>
      </c>
      <c r="B265" s="52"/>
      <c r="C265" s="52"/>
      <c r="D265" s="103"/>
      <c r="E265" s="52"/>
      <c r="F265" s="52"/>
      <c r="G265" s="52"/>
      <c r="H265" s="52"/>
      <c r="I265" s="52"/>
      <c r="J265" s="52"/>
      <c r="K265" s="52"/>
      <c r="L265" s="52"/>
      <c r="M265" s="53"/>
    </row>
    <row r="266" spans="1:13" x14ac:dyDescent="0.3">
      <c r="A266" s="51" t="s">
        <v>464</v>
      </c>
      <c r="B266" s="52" t="s">
        <v>465</v>
      </c>
      <c r="C266" s="54">
        <v>15</v>
      </c>
      <c r="D266" s="103" t="s">
        <v>204</v>
      </c>
      <c r="E266" s="54">
        <v>750131</v>
      </c>
      <c r="F266" s="55">
        <f>E266*C266</f>
        <v>11251965</v>
      </c>
      <c r="G266" s="54">
        <v>183431</v>
      </c>
      <c r="H266" s="55">
        <f>G266*C266</f>
        <v>2751465</v>
      </c>
      <c r="I266" s="54">
        <v>243078</v>
      </c>
      <c r="J266" s="55">
        <f>I266*C266</f>
        <v>3646170</v>
      </c>
      <c r="K266" s="55">
        <f>E266+G266+I266</f>
        <v>1176640</v>
      </c>
      <c r="L266" s="55">
        <f>F266+H266+J266</f>
        <v>17649600</v>
      </c>
      <c r="M266" s="53"/>
    </row>
    <row r="267" spans="1:13" x14ac:dyDescent="0.3">
      <c r="A267" s="51" t="s">
        <v>466</v>
      </c>
      <c r="B267" s="52"/>
      <c r="C267" s="52"/>
      <c r="D267" s="103"/>
      <c r="E267" s="52"/>
      <c r="F267" s="52"/>
      <c r="G267" s="52"/>
      <c r="H267" s="52"/>
      <c r="I267" s="52"/>
      <c r="J267" s="52"/>
      <c r="K267" s="52"/>
      <c r="L267" s="52"/>
      <c r="M267" s="53"/>
    </row>
    <row r="268" spans="1:13" x14ac:dyDescent="0.3">
      <c r="A268" s="51" t="s">
        <v>467</v>
      </c>
      <c r="B268" s="52" t="s">
        <v>457</v>
      </c>
      <c r="C268" s="54">
        <v>8</v>
      </c>
      <c r="D268" s="103" t="s">
        <v>368</v>
      </c>
      <c r="E268" s="54">
        <v>0</v>
      </c>
      <c r="F268" s="55">
        <f>E268*C268</f>
        <v>0</v>
      </c>
      <c r="G268" s="54">
        <v>20332</v>
      </c>
      <c r="H268" s="55">
        <f>G268*C268</f>
        <v>162656</v>
      </c>
      <c r="I268" s="54">
        <v>0</v>
      </c>
      <c r="J268" s="55">
        <f>I268*C268</f>
        <v>0</v>
      </c>
      <c r="K268" s="55">
        <f>E268+G268+I268</f>
        <v>20332</v>
      </c>
      <c r="L268" s="55">
        <f>F268+H268+J268</f>
        <v>162656</v>
      </c>
      <c r="M268" s="53"/>
    </row>
    <row r="269" spans="1:13" x14ac:dyDescent="0.3">
      <c r="A269" s="51" t="s">
        <v>468</v>
      </c>
      <c r="B269" s="52" t="s">
        <v>360</v>
      </c>
      <c r="C269" s="54">
        <v>28</v>
      </c>
      <c r="D269" s="103" t="s">
        <v>368</v>
      </c>
      <c r="E269" s="54">
        <v>0</v>
      </c>
      <c r="F269" s="55">
        <f>E269*C269</f>
        <v>0</v>
      </c>
      <c r="G269" s="54">
        <v>28288</v>
      </c>
      <c r="H269" s="55">
        <f>G269*C269</f>
        <v>792064</v>
      </c>
      <c r="I269" s="54">
        <v>0</v>
      </c>
      <c r="J269" s="55">
        <f>I269*C269</f>
        <v>0</v>
      </c>
      <c r="K269" s="55">
        <f>E269+G269+I269</f>
        <v>28288</v>
      </c>
      <c r="L269" s="55">
        <f>F269+H269+J269</f>
        <v>792064</v>
      </c>
      <c r="M269" s="53"/>
    </row>
    <row r="270" spans="1:13" x14ac:dyDescent="0.3">
      <c r="A270" s="51" t="s">
        <v>469</v>
      </c>
      <c r="B270" s="52"/>
      <c r="C270" s="52"/>
      <c r="D270" s="103"/>
      <c r="E270" s="52"/>
      <c r="F270" s="52"/>
      <c r="G270" s="52"/>
      <c r="H270" s="52"/>
      <c r="I270" s="52"/>
      <c r="J270" s="52"/>
      <c r="K270" s="52"/>
      <c r="L270" s="52"/>
      <c r="M270" s="53"/>
    </row>
    <row r="271" spans="1:13" x14ac:dyDescent="0.3">
      <c r="A271" s="51" t="s">
        <v>470</v>
      </c>
      <c r="B271" s="52" t="s">
        <v>471</v>
      </c>
      <c r="C271" s="54">
        <v>8</v>
      </c>
      <c r="D271" s="103" t="s">
        <v>204</v>
      </c>
      <c r="E271" s="54">
        <v>0</v>
      </c>
      <c r="F271" s="55">
        <f>E271*C271</f>
        <v>0</v>
      </c>
      <c r="G271" s="54">
        <v>27626</v>
      </c>
      <c r="H271" s="55">
        <f>G271*C271</f>
        <v>221008</v>
      </c>
      <c r="I271" s="54">
        <v>0</v>
      </c>
      <c r="J271" s="55">
        <f>I271*C271</f>
        <v>0</v>
      </c>
      <c r="K271" s="55">
        <f>E271+G271+I271</f>
        <v>27626</v>
      </c>
      <c r="L271" s="55">
        <f>F271+H271+J271</f>
        <v>221008</v>
      </c>
      <c r="M271" s="53"/>
    </row>
    <row r="272" spans="1:13" x14ac:dyDescent="0.3">
      <c r="A272" s="51" t="s">
        <v>472</v>
      </c>
      <c r="B272" s="52" t="s">
        <v>473</v>
      </c>
      <c r="C272" s="54">
        <v>28</v>
      </c>
      <c r="D272" s="103" t="s">
        <v>204</v>
      </c>
      <c r="E272" s="54">
        <v>0</v>
      </c>
      <c r="F272" s="55">
        <f>E272*C272</f>
        <v>0</v>
      </c>
      <c r="G272" s="54">
        <v>27626</v>
      </c>
      <c r="H272" s="55">
        <f>G272*C272</f>
        <v>773528</v>
      </c>
      <c r="I272" s="54">
        <v>0</v>
      </c>
      <c r="J272" s="55">
        <f>I272*C272</f>
        <v>0</v>
      </c>
      <c r="K272" s="55">
        <f>E272+G272+I272</f>
        <v>27626</v>
      </c>
      <c r="L272" s="55">
        <f>F272+H272+J272</f>
        <v>773528</v>
      </c>
      <c r="M272" s="53"/>
    </row>
    <row r="273" spans="1:13" x14ac:dyDescent="0.3">
      <c r="A273" s="51" t="s">
        <v>474</v>
      </c>
      <c r="B273" s="52"/>
      <c r="C273" s="52"/>
      <c r="D273" s="103"/>
      <c r="E273" s="52"/>
      <c r="F273" s="52"/>
      <c r="G273" s="52"/>
      <c r="H273" s="52"/>
      <c r="I273" s="52"/>
      <c r="J273" s="52"/>
      <c r="K273" s="52"/>
      <c r="L273" s="52"/>
      <c r="M273" s="53"/>
    </row>
    <row r="274" spans="1:13" x14ac:dyDescent="0.3">
      <c r="A274" s="51" t="s">
        <v>325</v>
      </c>
      <c r="B274" s="52" t="s">
        <v>250</v>
      </c>
      <c r="C274" s="54">
        <v>11</v>
      </c>
      <c r="D274" s="103" t="s">
        <v>103</v>
      </c>
      <c r="E274" s="54">
        <v>0</v>
      </c>
      <c r="F274" s="55">
        <f t="shared" ref="F274:F283" si="39">E274*C274</f>
        <v>0</v>
      </c>
      <c r="G274" s="54">
        <v>9724</v>
      </c>
      <c r="H274" s="55">
        <f t="shared" ref="H274:H283" si="40">G274*C274</f>
        <v>106964</v>
      </c>
      <c r="I274" s="54">
        <v>18423</v>
      </c>
      <c r="J274" s="55">
        <f t="shared" ref="J274:J283" si="41">I274*C274</f>
        <v>202653</v>
      </c>
      <c r="K274" s="55">
        <f t="shared" ref="K274:K283" si="42">E274+G274+I274</f>
        <v>28147</v>
      </c>
      <c r="L274" s="55">
        <f t="shared" ref="L274:L283" si="43">F274+H274+J274</f>
        <v>309617</v>
      </c>
      <c r="M274" s="53"/>
    </row>
    <row r="275" spans="1:13" x14ac:dyDescent="0.3">
      <c r="A275" s="51" t="s">
        <v>326</v>
      </c>
      <c r="B275" s="52" t="s">
        <v>475</v>
      </c>
      <c r="C275" s="54">
        <v>29</v>
      </c>
      <c r="D275" s="103" t="s">
        <v>97</v>
      </c>
      <c r="E275" s="54">
        <v>0</v>
      </c>
      <c r="F275" s="55">
        <f t="shared" si="39"/>
        <v>0</v>
      </c>
      <c r="G275" s="54">
        <v>17680</v>
      </c>
      <c r="H275" s="55">
        <f t="shared" si="40"/>
        <v>512720</v>
      </c>
      <c r="I275" s="54">
        <v>3583</v>
      </c>
      <c r="J275" s="55">
        <f t="shared" si="41"/>
        <v>103907</v>
      </c>
      <c r="K275" s="55">
        <f t="shared" si="42"/>
        <v>21263</v>
      </c>
      <c r="L275" s="55">
        <f t="shared" si="43"/>
        <v>616627</v>
      </c>
      <c r="M275" s="53"/>
    </row>
    <row r="276" spans="1:13" x14ac:dyDescent="0.3">
      <c r="A276" s="51" t="s">
        <v>476</v>
      </c>
      <c r="B276" s="52" t="s">
        <v>477</v>
      </c>
      <c r="C276" s="56">
        <v>7.3</v>
      </c>
      <c r="D276" s="103" t="s">
        <v>234</v>
      </c>
      <c r="E276" s="54">
        <v>0</v>
      </c>
      <c r="F276" s="55">
        <f t="shared" si="39"/>
        <v>0</v>
      </c>
      <c r="G276" s="54">
        <v>18438</v>
      </c>
      <c r="H276" s="55">
        <f t="shared" si="40"/>
        <v>134597.4</v>
      </c>
      <c r="I276" s="54">
        <v>0</v>
      </c>
      <c r="J276" s="55">
        <f t="shared" si="41"/>
        <v>0</v>
      </c>
      <c r="K276" s="55">
        <f t="shared" si="42"/>
        <v>18438</v>
      </c>
      <c r="L276" s="55">
        <f t="shared" si="43"/>
        <v>134597.4</v>
      </c>
      <c r="M276" s="53"/>
    </row>
    <row r="277" spans="1:13" x14ac:dyDescent="0.3">
      <c r="A277" s="51" t="s">
        <v>478</v>
      </c>
      <c r="B277" s="52" t="s">
        <v>454</v>
      </c>
      <c r="C277" s="56">
        <v>2.1</v>
      </c>
      <c r="D277" s="103" t="s">
        <v>234</v>
      </c>
      <c r="E277" s="54">
        <v>0</v>
      </c>
      <c r="F277" s="55">
        <f t="shared" si="39"/>
        <v>0</v>
      </c>
      <c r="G277" s="54">
        <v>23205</v>
      </c>
      <c r="H277" s="55">
        <f t="shared" si="40"/>
        <v>48730.5</v>
      </c>
      <c r="I277" s="54">
        <v>0</v>
      </c>
      <c r="J277" s="55">
        <f t="shared" si="41"/>
        <v>0</v>
      </c>
      <c r="K277" s="55">
        <f t="shared" si="42"/>
        <v>23205</v>
      </c>
      <c r="L277" s="55">
        <f t="shared" si="43"/>
        <v>48730.5</v>
      </c>
      <c r="M277" s="53"/>
    </row>
    <row r="278" spans="1:13" x14ac:dyDescent="0.3">
      <c r="A278" s="51" t="s">
        <v>479</v>
      </c>
      <c r="B278" s="52" t="s">
        <v>480</v>
      </c>
      <c r="C278" s="54">
        <v>14</v>
      </c>
      <c r="D278" s="103" t="s">
        <v>204</v>
      </c>
      <c r="E278" s="54">
        <v>0</v>
      </c>
      <c r="F278" s="55">
        <f t="shared" si="39"/>
        <v>0</v>
      </c>
      <c r="G278" s="54">
        <v>8840</v>
      </c>
      <c r="H278" s="55">
        <f t="shared" si="40"/>
        <v>123760</v>
      </c>
      <c r="I278" s="54">
        <v>0</v>
      </c>
      <c r="J278" s="55">
        <f t="shared" si="41"/>
        <v>0</v>
      </c>
      <c r="K278" s="55">
        <f t="shared" si="42"/>
        <v>8840</v>
      </c>
      <c r="L278" s="55">
        <f t="shared" si="43"/>
        <v>123760</v>
      </c>
      <c r="M278" s="53"/>
    </row>
    <row r="279" spans="1:13" x14ac:dyDescent="0.3">
      <c r="A279" s="51" t="s">
        <v>481</v>
      </c>
      <c r="B279" s="52" t="s">
        <v>360</v>
      </c>
      <c r="C279" s="54">
        <v>7</v>
      </c>
      <c r="D279" s="103" t="s">
        <v>204</v>
      </c>
      <c r="E279" s="54">
        <v>0</v>
      </c>
      <c r="F279" s="55">
        <f t="shared" si="39"/>
        <v>0</v>
      </c>
      <c r="G279" s="54">
        <v>8840</v>
      </c>
      <c r="H279" s="55">
        <f t="shared" si="40"/>
        <v>61880</v>
      </c>
      <c r="I279" s="54">
        <v>0</v>
      </c>
      <c r="J279" s="55">
        <f t="shared" si="41"/>
        <v>0</v>
      </c>
      <c r="K279" s="55">
        <f t="shared" si="42"/>
        <v>8840</v>
      </c>
      <c r="L279" s="55">
        <f t="shared" si="43"/>
        <v>61880</v>
      </c>
      <c r="M279" s="53"/>
    </row>
    <row r="280" spans="1:13" x14ac:dyDescent="0.3">
      <c r="A280" s="51" t="s">
        <v>482</v>
      </c>
      <c r="B280" s="52" t="s">
        <v>480</v>
      </c>
      <c r="C280" s="54">
        <v>21</v>
      </c>
      <c r="D280" s="103" t="s">
        <v>204</v>
      </c>
      <c r="E280" s="54">
        <v>0</v>
      </c>
      <c r="F280" s="55">
        <f t="shared" si="39"/>
        <v>0</v>
      </c>
      <c r="G280" s="54">
        <v>13260</v>
      </c>
      <c r="H280" s="55">
        <f t="shared" si="40"/>
        <v>278460</v>
      </c>
      <c r="I280" s="54">
        <v>0</v>
      </c>
      <c r="J280" s="55">
        <f t="shared" si="41"/>
        <v>0</v>
      </c>
      <c r="K280" s="55">
        <f t="shared" si="42"/>
        <v>13260</v>
      </c>
      <c r="L280" s="55">
        <f t="shared" si="43"/>
        <v>278460</v>
      </c>
      <c r="M280" s="53"/>
    </row>
    <row r="281" spans="1:13" x14ac:dyDescent="0.3">
      <c r="A281" s="51" t="s">
        <v>483</v>
      </c>
      <c r="B281" s="52" t="s">
        <v>360</v>
      </c>
      <c r="C281" s="54">
        <v>14</v>
      </c>
      <c r="D281" s="103" t="s">
        <v>204</v>
      </c>
      <c r="E281" s="54">
        <v>0</v>
      </c>
      <c r="F281" s="55">
        <f t="shared" si="39"/>
        <v>0</v>
      </c>
      <c r="G281" s="54">
        <v>17680</v>
      </c>
      <c r="H281" s="55">
        <f t="shared" si="40"/>
        <v>247520</v>
      </c>
      <c r="I281" s="54">
        <v>0</v>
      </c>
      <c r="J281" s="55">
        <f t="shared" si="41"/>
        <v>0</v>
      </c>
      <c r="K281" s="55">
        <f t="shared" si="42"/>
        <v>17680</v>
      </c>
      <c r="L281" s="55">
        <f t="shared" si="43"/>
        <v>247520</v>
      </c>
      <c r="M281" s="53"/>
    </row>
    <row r="282" spans="1:13" x14ac:dyDescent="0.3">
      <c r="A282" s="51" t="s">
        <v>484</v>
      </c>
      <c r="B282" s="52" t="s">
        <v>485</v>
      </c>
      <c r="C282" s="54">
        <v>7</v>
      </c>
      <c r="D282" s="103" t="s">
        <v>368</v>
      </c>
      <c r="E282" s="54">
        <v>0</v>
      </c>
      <c r="F282" s="55">
        <f t="shared" si="39"/>
        <v>0</v>
      </c>
      <c r="G282" s="54">
        <v>13260</v>
      </c>
      <c r="H282" s="55">
        <f t="shared" si="40"/>
        <v>92820</v>
      </c>
      <c r="I282" s="54">
        <v>0</v>
      </c>
      <c r="J282" s="55">
        <f t="shared" si="41"/>
        <v>0</v>
      </c>
      <c r="K282" s="55">
        <f t="shared" si="42"/>
        <v>13260</v>
      </c>
      <c r="L282" s="55">
        <f t="shared" si="43"/>
        <v>92820</v>
      </c>
      <c r="M282" s="53"/>
    </row>
    <row r="283" spans="1:13" x14ac:dyDescent="0.3">
      <c r="A283" s="51" t="s">
        <v>486</v>
      </c>
      <c r="B283" s="52" t="s">
        <v>487</v>
      </c>
      <c r="C283" s="54">
        <v>7</v>
      </c>
      <c r="D283" s="103" t="s">
        <v>368</v>
      </c>
      <c r="E283" s="54">
        <v>0</v>
      </c>
      <c r="F283" s="55">
        <f t="shared" si="39"/>
        <v>0</v>
      </c>
      <c r="G283" s="54">
        <v>8840</v>
      </c>
      <c r="H283" s="55">
        <f t="shared" si="40"/>
        <v>61880</v>
      </c>
      <c r="I283" s="54">
        <v>0</v>
      </c>
      <c r="J283" s="55">
        <f t="shared" si="41"/>
        <v>0</v>
      </c>
      <c r="K283" s="55">
        <f t="shared" si="42"/>
        <v>8840</v>
      </c>
      <c r="L283" s="55">
        <f t="shared" si="43"/>
        <v>61880</v>
      </c>
      <c r="M283" s="53"/>
    </row>
    <row r="284" spans="1:13" x14ac:dyDescent="0.3">
      <c r="A284" s="51" t="s">
        <v>488</v>
      </c>
      <c r="B284" s="52"/>
      <c r="C284" s="52"/>
      <c r="D284" s="103"/>
      <c r="E284" s="52"/>
      <c r="F284" s="52"/>
      <c r="G284" s="52"/>
      <c r="H284" s="52"/>
      <c r="I284" s="52"/>
      <c r="J284" s="52"/>
      <c r="K284" s="52"/>
      <c r="L284" s="52"/>
      <c r="M284" s="53"/>
    </row>
    <row r="285" spans="1:13" x14ac:dyDescent="0.3">
      <c r="A285" s="51" t="s">
        <v>489</v>
      </c>
      <c r="B285" s="52" t="s">
        <v>279</v>
      </c>
      <c r="C285" s="54">
        <v>430</v>
      </c>
      <c r="D285" s="103" t="s">
        <v>234</v>
      </c>
      <c r="E285" s="54">
        <v>0</v>
      </c>
      <c r="F285" s="55">
        <f>E285*C285</f>
        <v>0</v>
      </c>
      <c r="G285" s="54">
        <v>0</v>
      </c>
      <c r="H285" s="55">
        <f>G285*C285</f>
        <v>0</v>
      </c>
      <c r="I285" s="54">
        <v>3583</v>
      </c>
      <c r="J285" s="55">
        <f>I285*C285</f>
        <v>1540690</v>
      </c>
      <c r="K285" s="55">
        <f t="shared" ref="K285:L287" si="44">E285+G285+I285</f>
        <v>3583</v>
      </c>
      <c r="L285" s="55">
        <f t="shared" si="44"/>
        <v>1540690</v>
      </c>
      <c r="M285" s="53"/>
    </row>
    <row r="286" spans="1:13" x14ac:dyDescent="0.3">
      <c r="A286" s="51" t="s">
        <v>490</v>
      </c>
      <c r="B286" s="52" t="s">
        <v>281</v>
      </c>
      <c r="C286" s="54">
        <v>644</v>
      </c>
      <c r="D286" s="103" t="s">
        <v>234</v>
      </c>
      <c r="E286" s="54">
        <v>469</v>
      </c>
      <c r="F286" s="55">
        <f>E286*C286</f>
        <v>302036</v>
      </c>
      <c r="G286" s="54">
        <v>442</v>
      </c>
      <c r="H286" s="55">
        <f>G286*C286</f>
        <v>284648</v>
      </c>
      <c r="I286" s="54">
        <v>0</v>
      </c>
      <c r="J286" s="55">
        <f>I286*C286</f>
        <v>0</v>
      </c>
      <c r="K286" s="55">
        <f t="shared" si="44"/>
        <v>911</v>
      </c>
      <c r="L286" s="55">
        <f t="shared" si="44"/>
        <v>586684</v>
      </c>
      <c r="M286" s="53"/>
    </row>
    <row r="287" spans="1:13" x14ac:dyDescent="0.3">
      <c r="A287" s="51" t="s">
        <v>491</v>
      </c>
      <c r="B287" s="52" t="s">
        <v>360</v>
      </c>
      <c r="C287" s="54">
        <v>9</v>
      </c>
      <c r="D287" s="103" t="s">
        <v>189</v>
      </c>
      <c r="E287" s="54">
        <v>0</v>
      </c>
      <c r="F287" s="55">
        <f>E287*C287</f>
        <v>0</v>
      </c>
      <c r="G287" s="54">
        <v>0</v>
      </c>
      <c r="H287" s="55">
        <f>G287*C287</f>
        <v>0</v>
      </c>
      <c r="I287" s="54">
        <v>358220</v>
      </c>
      <c r="J287" s="55">
        <f>I287*C287</f>
        <v>3223980</v>
      </c>
      <c r="K287" s="55">
        <f t="shared" si="44"/>
        <v>358220</v>
      </c>
      <c r="L287" s="55">
        <f t="shared" si="44"/>
        <v>3223980</v>
      </c>
      <c r="M287" s="53"/>
    </row>
    <row r="288" spans="1:13" x14ac:dyDescent="0.3">
      <c r="A288" s="51" t="s">
        <v>492</v>
      </c>
      <c r="B288" s="52"/>
      <c r="C288" s="52"/>
      <c r="D288" s="103"/>
      <c r="E288" s="52"/>
      <c r="F288" s="52"/>
      <c r="G288" s="52"/>
      <c r="H288" s="52"/>
      <c r="I288" s="52"/>
      <c r="J288" s="52"/>
      <c r="K288" s="52"/>
      <c r="L288" s="52"/>
      <c r="M288" s="53"/>
    </row>
    <row r="289" spans="1:13" x14ac:dyDescent="0.3">
      <c r="A289" s="51" t="s">
        <v>493</v>
      </c>
      <c r="B289" s="52" t="s">
        <v>494</v>
      </c>
      <c r="C289" s="54">
        <v>8</v>
      </c>
      <c r="D289" s="103" t="s">
        <v>204</v>
      </c>
      <c r="E289" s="54">
        <v>14065</v>
      </c>
      <c r="F289" s="55">
        <f>E289*C289</f>
        <v>112520</v>
      </c>
      <c r="G289" s="54">
        <v>22100</v>
      </c>
      <c r="H289" s="55">
        <f>G289*C289</f>
        <v>176800</v>
      </c>
      <c r="I289" s="54">
        <v>0</v>
      </c>
      <c r="J289" s="55">
        <f>I289*C289</f>
        <v>0</v>
      </c>
      <c r="K289" s="55">
        <f t="shared" ref="K289:L291" si="45">E289+G289+I289</f>
        <v>36165</v>
      </c>
      <c r="L289" s="55">
        <f t="shared" si="45"/>
        <v>289320</v>
      </c>
      <c r="M289" s="53"/>
    </row>
    <row r="290" spans="1:13" x14ac:dyDescent="0.3">
      <c r="A290" s="51" t="s">
        <v>495</v>
      </c>
      <c r="B290" s="52" t="s">
        <v>496</v>
      </c>
      <c r="C290" s="54">
        <v>8</v>
      </c>
      <c r="D290" s="103" t="s">
        <v>204</v>
      </c>
      <c r="E290" s="54">
        <v>18753</v>
      </c>
      <c r="F290" s="55">
        <f>E290*C290</f>
        <v>150024</v>
      </c>
      <c r="G290" s="54">
        <v>22100</v>
      </c>
      <c r="H290" s="55">
        <f>G290*C290</f>
        <v>176800</v>
      </c>
      <c r="I290" s="54">
        <v>0</v>
      </c>
      <c r="J290" s="55">
        <f>I290*C290</f>
        <v>0</v>
      </c>
      <c r="K290" s="55">
        <f t="shared" si="45"/>
        <v>40853</v>
      </c>
      <c r="L290" s="55">
        <f t="shared" si="45"/>
        <v>326824</v>
      </c>
      <c r="M290" s="53"/>
    </row>
    <row r="291" spans="1:13" x14ac:dyDescent="0.3">
      <c r="A291" s="51" t="s">
        <v>497</v>
      </c>
      <c r="B291" s="52" t="s">
        <v>498</v>
      </c>
      <c r="C291" s="54">
        <v>8</v>
      </c>
      <c r="D291" s="103" t="s">
        <v>368</v>
      </c>
      <c r="E291" s="54">
        <v>9377</v>
      </c>
      <c r="F291" s="55">
        <f>E291*C291</f>
        <v>75016</v>
      </c>
      <c r="G291" s="54">
        <v>22100</v>
      </c>
      <c r="H291" s="55">
        <f>G291*C291</f>
        <v>176800</v>
      </c>
      <c r="I291" s="54">
        <v>0</v>
      </c>
      <c r="J291" s="55">
        <f>I291*C291</f>
        <v>0</v>
      </c>
      <c r="K291" s="55">
        <f t="shared" si="45"/>
        <v>31477</v>
      </c>
      <c r="L291" s="55">
        <f t="shared" si="45"/>
        <v>251816</v>
      </c>
      <c r="M291" s="53"/>
    </row>
    <row r="292" spans="1:13" x14ac:dyDescent="0.3">
      <c r="A292" s="51" t="s">
        <v>499</v>
      </c>
      <c r="B292" s="52"/>
      <c r="C292" s="52"/>
      <c r="D292" s="103"/>
      <c r="E292" s="52"/>
      <c r="F292" s="52"/>
      <c r="G292" s="52"/>
      <c r="H292" s="52"/>
      <c r="I292" s="52"/>
      <c r="J292" s="52"/>
      <c r="K292" s="52"/>
      <c r="L292" s="52"/>
      <c r="M292" s="53"/>
    </row>
    <row r="293" spans="1:13" x14ac:dyDescent="0.3">
      <c r="A293" s="51" t="s">
        <v>376</v>
      </c>
      <c r="B293" s="52"/>
      <c r="C293" s="52"/>
      <c r="D293" s="103"/>
      <c r="E293" s="52"/>
      <c r="F293" s="52"/>
      <c r="G293" s="52"/>
      <c r="H293" s="52"/>
      <c r="I293" s="52"/>
      <c r="J293" s="52"/>
      <c r="K293" s="52"/>
      <c r="L293" s="52"/>
      <c r="M293" s="53"/>
    </row>
    <row r="294" spans="1:13" x14ac:dyDescent="0.3">
      <c r="A294" s="51" t="s">
        <v>377</v>
      </c>
      <c r="B294" s="52" t="s">
        <v>378</v>
      </c>
      <c r="C294" s="54">
        <v>11</v>
      </c>
      <c r="D294" s="103" t="s">
        <v>379</v>
      </c>
      <c r="E294" s="54">
        <v>5532</v>
      </c>
      <c r="F294" s="55">
        <f>E294*C294</f>
        <v>60852</v>
      </c>
      <c r="G294" s="54">
        <v>0</v>
      </c>
      <c r="H294" s="55">
        <f>G294*C294</f>
        <v>0</v>
      </c>
      <c r="I294" s="54">
        <v>0</v>
      </c>
      <c r="J294" s="55">
        <f>I294*C294</f>
        <v>0</v>
      </c>
      <c r="K294" s="55">
        <f>E294+G294+I294</f>
        <v>5532</v>
      </c>
      <c r="L294" s="55">
        <f>F294+H294+J294</f>
        <v>60852</v>
      </c>
      <c r="M294" s="53"/>
    </row>
    <row r="295" spans="1:13" x14ac:dyDescent="0.3">
      <c r="A295" s="51" t="s">
        <v>500</v>
      </c>
      <c r="B295" s="52" t="s">
        <v>383</v>
      </c>
      <c r="C295" s="54">
        <v>11</v>
      </c>
      <c r="D295" s="103" t="s">
        <v>379</v>
      </c>
      <c r="E295" s="54">
        <v>0</v>
      </c>
      <c r="F295" s="55">
        <f>E295*C295</f>
        <v>0</v>
      </c>
      <c r="G295" s="54">
        <v>0</v>
      </c>
      <c r="H295" s="55">
        <f>G295*C295</f>
        <v>0</v>
      </c>
      <c r="I295" s="54">
        <v>1023</v>
      </c>
      <c r="J295" s="55">
        <f>I295*C295</f>
        <v>11253</v>
      </c>
      <c r="K295" s="55">
        <f>E295+G295+I295</f>
        <v>1023</v>
      </c>
      <c r="L295" s="55">
        <f>F295+H295+J295</f>
        <v>11253</v>
      </c>
      <c r="M295" s="53"/>
    </row>
    <row r="296" spans="1:13" x14ac:dyDescent="0.3">
      <c r="A296" s="51" t="s">
        <v>384</v>
      </c>
      <c r="B296" s="52"/>
      <c r="C296" s="52"/>
      <c r="D296" s="103"/>
      <c r="E296" s="52"/>
      <c r="F296" s="52"/>
      <c r="G296" s="52"/>
      <c r="H296" s="52"/>
      <c r="I296" s="52"/>
      <c r="J296" s="52"/>
      <c r="K296" s="52"/>
      <c r="L296" s="52"/>
      <c r="M296" s="53"/>
    </row>
    <row r="297" spans="1:13" x14ac:dyDescent="0.3">
      <c r="A297" s="51" t="s">
        <v>385</v>
      </c>
      <c r="B297" s="52" t="s">
        <v>386</v>
      </c>
      <c r="C297" s="54">
        <v>187</v>
      </c>
      <c r="D297" s="103" t="s">
        <v>103</v>
      </c>
      <c r="E297" s="54">
        <v>24379</v>
      </c>
      <c r="F297" s="55">
        <f>E297*C297</f>
        <v>4558873</v>
      </c>
      <c r="G297" s="54">
        <v>0</v>
      </c>
      <c r="H297" s="55">
        <f>G297*C297</f>
        <v>0</v>
      </c>
      <c r="I297" s="54">
        <v>0</v>
      </c>
      <c r="J297" s="55">
        <f>I297*C297</f>
        <v>0</v>
      </c>
      <c r="K297" s="55">
        <f>E297+G297+I297</f>
        <v>24379</v>
      </c>
      <c r="L297" s="55">
        <f>F297+H297+J297</f>
        <v>4558873</v>
      </c>
      <c r="M297" s="53"/>
    </row>
    <row r="298" spans="1:13" x14ac:dyDescent="0.3">
      <c r="A298" s="51" t="s">
        <v>391</v>
      </c>
      <c r="B298" s="52"/>
      <c r="C298" s="52"/>
      <c r="D298" s="103"/>
      <c r="E298" s="52"/>
      <c r="F298" s="52"/>
      <c r="G298" s="52"/>
      <c r="H298" s="52"/>
      <c r="I298" s="52"/>
      <c r="J298" s="52"/>
      <c r="K298" s="52"/>
      <c r="L298" s="52"/>
      <c r="M298" s="53"/>
    </row>
    <row r="299" spans="1:13" x14ac:dyDescent="0.3">
      <c r="A299" s="51" t="s">
        <v>392</v>
      </c>
      <c r="B299" s="52" t="s">
        <v>393</v>
      </c>
      <c r="C299" s="56">
        <v>0.51</v>
      </c>
      <c r="D299" s="103" t="s">
        <v>394</v>
      </c>
      <c r="E299" s="54">
        <v>863043</v>
      </c>
      <c r="F299" s="55">
        <f>E299*C299</f>
        <v>440151.93</v>
      </c>
      <c r="G299" s="54">
        <v>0</v>
      </c>
      <c r="H299" s="55">
        <f>G299*C299</f>
        <v>0</v>
      </c>
      <c r="I299" s="54">
        <v>0</v>
      </c>
      <c r="J299" s="55">
        <f>I299*C299</f>
        <v>0</v>
      </c>
      <c r="K299" s="55">
        <f t="shared" ref="K299:L302" si="46">E299+G299+I299</f>
        <v>863043</v>
      </c>
      <c r="L299" s="55">
        <f t="shared" si="46"/>
        <v>440151.93</v>
      </c>
      <c r="M299" s="53"/>
    </row>
    <row r="300" spans="1:13" x14ac:dyDescent="0.3">
      <c r="A300" s="51" t="s">
        <v>501</v>
      </c>
      <c r="B300" s="52" t="s">
        <v>502</v>
      </c>
      <c r="C300" s="56">
        <v>0.58699999999999997</v>
      </c>
      <c r="D300" s="103" t="s">
        <v>394</v>
      </c>
      <c r="E300" s="54">
        <v>862530</v>
      </c>
      <c r="F300" s="55">
        <f>E300*C300</f>
        <v>506305.11</v>
      </c>
      <c r="G300" s="54">
        <v>0</v>
      </c>
      <c r="H300" s="55">
        <f>G300*C300</f>
        <v>0</v>
      </c>
      <c r="I300" s="54">
        <v>0</v>
      </c>
      <c r="J300" s="55">
        <f>I300*C300</f>
        <v>0</v>
      </c>
      <c r="K300" s="55">
        <f t="shared" si="46"/>
        <v>862530</v>
      </c>
      <c r="L300" s="55">
        <f t="shared" si="46"/>
        <v>506305.11</v>
      </c>
      <c r="M300" s="53"/>
    </row>
    <row r="301" spans="1:13" x14ac:dyDescent="0.3">
      <c r="A301" s="51" t="s">
        <v>503</v>
      </c>
      <c r="B301" s="52" t="s">
        <v>402</v>
      </c>
      <c r="C301" s="56">
        <v>1.097</v>
      </c>
      <c r="D301" s="103" t="s">
        <v>394</v>
      </c>
      <c r="E301" s="54">
        <v>0</v>
      </c>
      <c r="F301" s="55">
        <f>E301*C301</f>
        <v>0</v>
      </c>
      <c r="G301" s="54">
        <v>0</v>
      </c>
      <c r="H301" s="55">
        <f>G301*C301</f>
        <v>0</v>
      </c>
      <c r="I301" s="54">
        <v>20469</v>
      </c>
      <c r="J301" s="55">
        <f>I301*C301</f>
        <v>22454.492999999999</v>
      </c>
      <c r="K301" s="55">
        <f t="shared" si="46"/>
        <v>20469</v>
      </c>
      <c r="L301" s="55">
        <f t="shared" si="46"/>
        <v>22454.492999999999</v>
      </c>
      <c r="M301" s="53"/>
    </row>
    <row r="302" spans="1:13" x14ac:dyDescent="0.3">
      <c r="A302" s="51" t="s">
        <v>504</v>
      </c>
      <c r="B302" s="52" t="s">
        <v>404</v>
      </c>
      <c r="C302" s="56">
        <v>3.2000000000000001E-2</v>
      </c>
      <c r="D302" s="103" t="s">
        <v>394</v>
      </c>
      <c r="E302" s="54">
        <v>-371344</v>
      </c>
      <c r="F302" s="55">
        <f>E302*C302</f>
        <v>-11883.008</v>
      </c>
      <c r="G302" s="54">
        <v>0</v>
      </c>
      <c r="H302" s="55">
        <f>G302*C302</f>
        <v>0</v>
      </c>
      <c r="I302" s="54">
        <v>0</v>
      </c>
      <c r="J302" s="55">
        <f>I302*C302</f>
        <v>0</v>
      </c>
      <c r="K302" s="55">
        <f t="shared" si="46"/>
        <v>-371344</v>
      </c>
      <c r="L302" s="55">
        <f t="shared" si="46"/>
        <v>-11883.008</v>
      </c>
      <c r="M302" s="53"/>
    </row>
    <row r="303" spans="1:13" x14ac:dyDescent="0.3">
      <c r="A303" s="51" t="s">
        <v>405</v>
      </c>
      <c r="B303" s="52"/>
      <c r="C303" s="52"/>
      <c r="D303" s="103"/>
      <c r="E303" s="52"/>
      <c r="F303" s="52"/>
      <c r="G303" s="52"/>
      <c r="H303" s="52"/>
      <c r="I303" s="52"/>
      <c r="J303" s="52"/>
      <c r="K303" s="52"/>
      <c r="L303" s="52"/>
      <c r="M303" s="53"/>
    </row>
    <row r="304" spans="1:13" x14ac:dyDescent="0.3">
      <c r="A304" s="51" t="s">
        <v>406</v>
      </c>
      <c r="B304" s="52" t="s">
        <v>407</v>
      </c>
      <c r="C304" s="54">
        <v>32</v>
      </c>
      <c r="D304" s="103" t="s">
        <v>103</v>
      </c>
      <c r="E304" s="54">
        <v>82514</v>
      </c>
      <c r="F304" s="55">
        <f>E304*C304</f>
        <v>2640448</v>
      </c>
      <c r="G304" s="54">
        <v>0</v>
      </c>
      <c r="H304" s="55">
        <f>G304*C304</f>
        <v>0</v>
      </c>
      <c r="I304" s="54">
        <v>0</v>
      </c>
      <c r="J304" s="55">
        <f>I304*C304</f>
        <v>0</v>
      </c>
      <c r="K304" s="55">
        <f>E304+G304+I304</f>
        <v>82514</v>
      </c>
      <c r="L304" s="55">
        <f>F304+H304+J304</f>
        <v>2640448</v>
      </c>
      <c r="M304" s="53"/>
    </row>
    <row r="305" spans="1:13" x14ac:dyDescent="0.3">
      <c r="A305" s="51" t="s">
        <v>408</v>
      </c>
      <c r="B305" s="52" t="s">
        <v>409</v>
      </c>
      <c r="C305" s="54">
        <v>15</v>
      </c>
      <c r="D305" s="103" t="s">
        <v>103</v>
      </c>
      <c r="E305" s="54">
        <v>80827</v>
      </c>
      <c r="F305" s="55">
        <f>E305*C305</f>
        <v>1212405</v>
      </c>
      <c r="G305" s="54">
        <v>0</v>
      </c>
      <c r="H305" s="55">
        <f>G305*C305</f>
        <v>0</v>
      </c>
      <c r="I305" s="54">
        <v>0</v>
      </c>
      <c r="J305" s="55">
        <f>I305*C305</f>
        <v>0</v>
      </c>
      <c r="K305" s="55">
        <f>E305+G305+I305</f>
        <v>80827</v>
      </c>
      <c r="L305" s="55">
        <f>F305+H305+J305</f>
        <v>1212405</v>
      </c>
      <c r="M305" s="53"/>
    </row>
    <row r="306" spans="1:13" x14ac:dyDescent="0.3">
      <c r="A306" s="51" t="s">
        <v>505</v>
      </c>
      <c r="B306" s="52"/>
      <c r="C306" s="52"/>
      <c r="D306" s="103"/>
      <c r="E306" s="52"/>
      <c r="F306" s="52"/>
      <c r="G306" s="52"/>
      <c r="H306" s="52"/>
      <c r="I306" s="52"/>
      <c r="J306" s="52"/>
      <c r="K306" s="52"/>
      <c r="L306" s="52"/>
      <c r="M306" s="53"/>
    </row>
    <row r="307" spans="1:13" x14ac:dyDescent="0.3">
      <c r="A307" s="51" t="s">
        <v>506</v>
      </c>
      <c r="B307" s="52" t="s">
        <v>507</v>
      </c>
      <c r="C307" s="54">
        <v>15</v>
      </c>
      <c r="D307" s="103" t="s">
        <v>371</v>
      </c>
      <c r="E307" s="54">
        <v>60948</v>
      </c>
      <c r="F307" s="55">
        <f>E307*C307</f>
        <v>914220</v>
      </c>
      <c r="G307" s="54">
        <v>0</v>
      </c>
      <c r="H307" s="55">
        <f>G307*C307</f>
        <v>0</v>
      </c>
      <c r="I307" s="54">
        <v>0</v>
      </c>
      <c r="J307" s="55">
        <f>I307*C307</f>
        <v>0</v>
      </c>
      <c r="K307" s="55">
        <f t="shared" ref="K307:L309" si="47">E307+G307+I307</f>
        <v>60948</v>
      </c>
      <c r="L307" s="55">
        <f t="shared" si="47"/>
        <v>914220</v>
      </c>
      <c r="M307" s="53"/>
    </row>
    <row r="308" spans="1:13" x14ac:dyDescent="0.3">
      <c r="A308" s="51" t="s">
        <v>508</v>
      </c>
      <c r="B308" s="52" t="s">
        <v>509</v>
      </c>
      <c r="C308" s="54">
        <v>2</v>
      </c>
      <c r="D308" s="103" t="s">
        <v>371</v>
      </c>
      <c r="E308" s="54">
        <v>101268</v>
      </c>
      <c r="F308" s="55">
        <f>E308*C308</f>
        <v>202536</v>
      </c>
      <c r="G308" s="54">
        <v>0</v>
      </c>
      <c r="H308" s="55">
        <f>G308*C308</f>
        <v>0</v>
      </c>
      <c r="I308" s="54">
        <v>0</v>
      </c>
      <c r="J308" s="55">
        <f>I308*C308</f>
        <v>0</v>
      </c>
      <c r="K308" s="55">
        <f t="shared" si="47"/>
        <v>101268</v>
      </c>
      <c r="L308" s="55">
        <f t="shared" si="47"/>
        <v>202536</v>
      </c>
      <c r="M308" s="53"/>
    </row>
    <row r="309" spans="1:13" x14ac:dyDescent="0.3">
      <c r="A309" s="51" t="s">
        <v>510</v>
      </c>
      <c r="B309" s="52" t="s">
        <v>370</v>
      </c>
      <c r="C309" s="54">
        <v>75</v>
      </c>
      <c r="D309" s="103" t="s">
        <v>371</v>
      </c>
      <c r="E309" s="54">
        <v>196909</v>
      </c>
      <c r="F309" s="55">
        <f>E309*C309</f>
        <v>14768175</v>
      </c>
      <c r="G309" s="54">
        <v>0</v>
      </c>
      <c r="H309" s="55">
        <f>G309*C309</f>
        <v>0</v>
      </c>
      <c r="I309" s="54">
        <v>0</v>
      </c>
      <c r="J309" s="55">
        <f>I309*C309</f>
        <v>0</v>
      </c>
      <c r="K309" s="55">
        <f t="shared" si="47"/>
        <v>196909</v>
      </c>
      <c r="L309" s="55">
        <f t="shared" si="47"/>
        <v>14768175</v>
      </c>
      <c r="M309" s="53"/>
    </row>
    <row r="310" spans="1:13" x14ac:dyDescent="0.3">
      <c r="A310" s="51" t="s">
        <v>440</v>
      </c>
      <c r="B310" s="52"/>
      <c r="C310" s="52"/>
      <c r="D310" s="103"/>
      <c r="E310" s="52"/>
      <c r="F310" s="52"/>
      <c r="G310" s="52"/>
      <c r="H310" s="52"/>
      <c r="I310" s="52"/>
      <c r="J310" s="52"/>
      <c r="K310" s="52"/>
      <c r="L310" s="52"/>
      <c r="M310" s="53"/>
    </row>
    <row r="311" spans="1:13" x14ac:dyDescent="0.3">
      <c r="A311" s="51" t="s">
        <v>441</v>
      </c>
      <c r="B311" s="52" t="s">
        <v>442</v>
      </c>
      <c r="C311" s="54">
        <v>15</v>
      </c>
      <c r="D311" s="103" t="s">
        <v>443</v>
      </c>
      <c r="E311" s="54">
        <v>300052</v>
      </c>
      <c r="F311" s="55">
        <f>E311*C311</f>
        <v>4500780</v>
      </c>
      <c r="G311" s="54">
        <v>0</v>
      </c>
      <c r="H311" s="55">
        <f>G311*C311</f>
        <v>0</v>
      </c>
      <c r="I311" s="54">
        <v>0</v>
      </c>
      <c r="J311" s="55">
        <f>I311*C311</f>
        <v>0</v>
      </c>
      <c r="K311" s="55">
        <f>E311+G311+I311</f>
        <v>300052</v>
      </c>
      <c r="L311" s="55">
        <f>F311+H311+J311</f>
        <v>4500780</v>
      </c>
      <c r="M311" s="53"/>
    </row>
    <row r="312" spans="1:13" x14ac:dyDescent="0.3">
      <c r="A312" s="51" t="s">
        <v>511</v>
      </c>
      <c r="B312" s="52"/>
      <c r="C312" s="52"/>
      <c r="D312" s="103"/>
      <c r="E312" s="52"/>
      <c r="F312" s="52"/>
      <c r="G312" s="52"/>
      <c r="H312" s="52"/>
      <c r="I312" s="52"/>
      <c r="J312" s="52"/>
      <c r="K312" s="52"/>
      <c r="L312" s="52"/>
      <c r="M312" s="53"/>
    </row>
    <row r="313" spans="1:13" x14ac:dyDescent="0.3">
      <c r="A313" s="51" t="s">
        <v>445</v>
      </c>
      <c r="B313" s="52"/>
      <c r="C313" s="52"/>
      <c r="D313" s="103"/>
      <c r="E313" s="52"/>
      <c r="F313" s="52"/>
      <c r="G313" s="52"/>
      <c r="H313" s="52"/>
      <c r="I313" s="52"/>
      <c r="J313" s="52"/>
      <c r="K313" s="52"/>
      <c r="L313" s="52"/>
      <c r="M313" s="53"/>
    </row>
    <row r="314" spans="1:13" x14ac:dyDescent="0.3">
      <c r="A314" s="51" t="s">
        <v>215</v>
      </c>
      <c r="B314" s="52"/>
      <c r="C314" s="52"/>
      <c r="D314" s="103"/>
      <c r="E314" s="52"/>
      <c r="F314" s="52"/>
      <c r="G314" s="52"/>
      <c r="H314" s="52"/>
      <c r="I314" s="52"/>
      <c r="J314" s="52"/>
      <c r="K314" s="52"/>
      <c r="L314" s="52"/>
      <c r="M314" s="53"/>
    </row>
    <row r="315" spans="1:13" x14ac:dyDescent="0.3">
      <c r="A315" s="51" t="s">
        <v>154</v>
      </c>
      <c r="B315" s="52"/>
      <c r="C315" s="52"/>
      <c r="D315" s="103"/>
      <c r="E315" s="52"/>
      <c r="F315" s="52"/>
      <c r="G315" s="52"/>
      <c r="H315" s="52"/>
      <c r="I315" s="52"/>
      <c r="J315" s="52"/>
      <c r="K315" s="52"/>
      <c r="L315" s="52"/>
      <c r="M315" s="53"/>
    </row>
    <row r="316" spans="1:13" x14ac:dyDescent="0.3">
      <c r="A316" s="51" t="s">
        <v>216</v>
      </c>
      <c r="B316" s="52" t="s">
        <v>218</v>
      </c>
      <c r="C316" s="54">
        <v>113</v>
      </c>
      <c r="D316" s="103" t="s">
        <v>103</v>
      </c>
      <c r="E316" s="54">
        <v>870</v>
      </c>
      <c r="F316" s="55">
        <f>E316*C316</f>
        <v>98310</v>
      </c>
      <c r="G316" s="54">
        <v>5220</v>
      </c>
      <c r="H316" s="55">
        <f>G316*C316</f>
        <v>589860</v>
      </c>
      <c r="I316" s="54">
        <v>949</v>
      </c>
      <c r="J316" s="55">
        <f>I316*C316</f>
        <v>107237</v>
      </c>
      <c r="K316" s="55">
        <f>E316+G316+I316</f>
        <v>7039</v>
      </c>
      <c r="L316" s="55">
        <f>F316+H316+J316</f>
        <v>795407</v>
      </c>
      <c r="M316" s="53"/>
    </row>
    <row r="317" spans="1:13" x14ac:dyDescent="0.3">
      <c r="A317" s="51" t="s">
        <v>217</v>
      </c>
      <c r="B317" s="52" t="s">
        <v>111</v>
      </c>
      <c r="C317" s="54">
        <v>1901</v>
      </c>
      <c r="D317" s="103" t="s">
        <v>103</v>
      </c>
      <c r="E317" s="54">
        <v>870</v>
      </c>
      <c r="F317" s="55">
        <f>E317*C317</f>
        <v>1653870</v>
      </c>
      <c r="G317" s="54">
        <v>2610</v>
      </c>
      <c r="H317" s="55">
        <f>G317*C317</f>
        <v>4961610</v>
      </c>
      <c r="I317" s="54">
        <v>1899</v>
      </c>
      <c r="J317" s="55">
        <f>I317*C317</f>
        <v>3609999</v>
      </c>
      <c r="K317" s="55">
        <f>E317+G317+I317</f>
        <v>5379</v>
      </c>
      <c r="L317" s="55">
        <f>F317+H317+J317</f>
        <v>10225479</v>
      </c>
      <c r="M317" s="53"/>
    </row>
    <row r="318" spans="1:13" x14ac:dyDescent="0.3">
      <c r="A318" s="51" t="s">
        <v>221</v>
      </c>
      <c r="B318" s="52"/>
      <c r="C318" s="52"/>
      <c r="D318" s="103"/>
      <c r="E318" s="52"/>
      <c r="F318" s="52"/>
      <c r="G318" s="52"/>
      <c r="H318" s="52"/>
      <c r="I318" s="52"/>
      <c r="J318" s="52"/>
      <c r="K318" s="52"/>
      <c r="L318" s="52"/>
      <c r="M318" s="53"/>
    </row>
    <row r="319" spans="1:13" x14ac:dyDescent="0.3">
      <c r="A319" s="51" t="s">
        <v>447</v>
      </c>
      <c r="B319" s="52" t="s">
        <v>224</v>
      </c>
      <c r="C319" s="54">
        <v>106</v>
      </c>
      <c r="D319" s="103" t="s">
        <v>103</v>
      </c>
      <c r="E319" s="54">
        <v>870</v>
      </c>
      <c r="F319" s="55">
        <f>E319*C319</f>
        <v>92220</v>
      </c>
      <c r="G319" s="54">
        <v>2610</v>
      </c>
      <c r="H319" s="55">
        <f>G319*C319</f>
        <v>276660</v>
      </c>
      <c r="I319" s="54">
        <v>2849</v>
      </c>
      <c r="J319" s="55">
        <f>I319*C319</f>
        <v>301994</v>
      </c>
      <c r="K319" s="55">
        <f>E319+G319+I319</f>
        <v>6329</v>
      </c>
      <c r="L319" s="55">
        <f>F319+H319+J319</f>
        <v>670874</v>
      </c>
      <c r="M319" s="53"/>
    </row>
    <row r="320" spans="1:13" x14ac:dyDescent="0.3">
      <c r="A320" s="51" t="s">
        <v>512</v>
      </c>
      <c r="B320" s="52" t="s">
        <v>226</v>
      </c>
      <c r="C320" s="54">
        <v>1828</v>
      </c>
      <c r="D320" s="103" t="s">
        <v>103</v>
      </c>
      <c r="E320" s="54">
        <v>870</v>
      </c>
      <c r="F320" s="55">
        <f>E320*C320</f>
        <v>1590360</v>
      </c>
      <c r="G320" s="54">
        <v>4350</v>
      </c>
      <c r="H320" s="55">
        <f>G320*C320</f>
        <v>7951800</v>
      </c>
      <c r="I320" s="54">
        <v>949</v>
      </c>
      <c r="J320" s="55">
        <f>I320*C320</f>
        <v>1734772</v>
      </c>
      <c r="K320" s="55">
        <f>E320+G320+I320</f>
        <v>6169</v>
      </c>
      <c r="L320" s="55">
        <f>F320+H320+J320</f>
        <v>11276932</v>
      </c>
      <c r="M320" s="53"/>
    </row>
    <row r="321" spans="1:13" x14ac:dyDescent="0.3">
      <c r="A321" s="51" t="s">
        <v>227</v>
      </c>
      <c r="B321" s="52"/>
      <c r="C321" s="52"/>
      <c r="D321" s="103"/>
      <c r="E321" s="52"/>
      <c r="F321" s="52"/>
      <c r="G321" s="52"/>
      <c r="H321" s="52"/>
      <c r="I321" s="52"/>
      <c r="J321" s="52"/>
      <c r="K321" s="52"/>
      <c r="L321" s="52"/>
      <c r="M321" s="53"/>
    </row>
    <row r="322" spans="1:13" x14ac:dyDescent="0.3">
      <c r="A322" s="51" t="s">
        <v>228</v>
      </c>
      <c r="B322" s="52" t="s">
        <v>448</v>
      </c>
      <c r="C322" s="54">
        <v>80</v>
      </c>
      <c r="D322" s="103" t="s">
        <v>103</v>
      </c>
      <c r="E322" s="54">
        <v>0</v>
      </c>
      <c r="F322" s="55">
        <f>E322*C322</f>
        <v>0</v>
      </c>
      <c r="G322" s="54">
        <v>0</v>
      </c>
      <c r="H322" s="55">
        <f>G322*C322</f>
        <v>0</v>
      </c>
      <c r="I322" s="54">
        <v>9496</v>
      </c>
      <c r="J322" s="55">
        <f>I322*C322</f>
        <v>759680</v>
      </c>
      <c r="K322" s="55">
        <f>E322+G322+I322</f>
        <v>9496</v>
      </c>
      <c r="L322" s="55">
        <f>F322+H322+J322</f>
        <v>759680</v>
      </c>
      <c r="M322" s="53"/>
    </row>
    <row r="323" spans="1:13" x14ac:dyDescent="0.3">
      <c r="A323" s="51" t="s">
        <v>513</v>
      </c>
      <c r="B323" s="52"/>
      <c r="C323" s="52"/>
      <c r="D323" s="103"/>
      <c r="E323" s="52"/>
      <c r="F323" s="52"/>
      <c r="G323" s="52"/>
      <c r="H323" s="52"/>
      <c r="I323" s="52"/>
      <c r="J323" s="52"/>
      <c r="K323" s="52"/>
      <c r="L323" s="52"/>
      <c r="M323" s="53"/>
    </row>
    <row r="324" spans="1:13" x14ac:dyDescent="0.3">
      <c r="A324" s="51" t="s">
        <v>514</v>
      </c>
      <c r="B324" s="52"/>
      <c r="C324" s="52"/>
      <c r="D324" s="103"/>
      <c r="E324" s="52"/>
      <c r="F324" s="52"/>
      <c r="G324" s="52"/>
      <c r="H324" s="52"/>
      <c r="I324" s="52"/>
      <c r="J324" s="52"/>
      <c r="K324" s="52"/>
      <c r="L324" s="52"/>
      <c r="M324" s="53"/>
    </row>
    <row r="325" spans="1:13" x14ac:dyDescent="0.3">
      <c r="A325" s="51" t="s">
        <v>515</v>
      </c>
      <c r="B325" s="52" t="s">
        <v>516</v>
      </c>
      <c r="C325" s="54">
        <v>135</v>
      </c>
      <c r="D325" s="103" t="s">
        <v>234</v>
      </c>
      <c r="E325" s="54">
        <v>2610</v>
      </c>
      <c r="F325" s="55">
        <f>E325*C325</f>
        <v>352350</v>
      </c>
      <c r="G325" s="54">
        <v>13921</v>
      </c>
      <c r="H325" s="55">
        <f>G325*C325</f>
        <v>1879335</v>
      </c>
      <c r="I325" s="54">
        <v>949</v>
      </c>
      <c r="J325" s="55">
        <f>I325*C325</f>
        <v>128115</v>
      </c>
      <c r="K325" s="55">
        <f>E325+G325+I325</f>
        <v>17480</v>
      </c>
      <c r="L325" s="55">
        <f>F325+H325+J325</f>
        <v>2359800</v>
      </c>
      <c r="M325" s="53"/>
    </row>
    <row r="326" spans="1:13" x14ac:dyDescent="0.3">
      <c r="A326" s="51" t="s">
        <v>517</v>
      </c>
      <c r="B326" s="52" t="s">
        <v>518</v>
      </c>
      <c r="C326" s="54">
        <v>784</v>
      </c>
      <c r="D326" s="103" t="s">
        <v>234</v>
      </c>
      <c r="E326" s="54">
        <v>3654</v>
      </c>
      <c r="F326" s="55">
        <f>E326*C326</f>
        <v>2864736</v>
      </c>
      <c r="G326" s="54">
        <v>14791</v>
      </c>
      <c r="H326" s="55">
        <f>G326*C326</f>
        <v>11596144</v>
      </c>
      <c r="I326" s="54">
        <v>0</v>
      </c>
      <c r="J326" s="55">
        <f>I326*C326</f>
        <v>0</v>
      </c>
      <c r="K326" s="55">
        <f>E326+G326+I326</f>
        <v>18445</v>
      </c>
      <c r="L326" s="55">
        <f>F326+H326+J326</f>
        <v>14460880</v>
      </c>
      <c r="M326" s="53"/>
    </row>
    <row r="327" spans="1:13" x14ac:dyDescent="0.3">
      <c r="A327" s="51" t="s">
        <v>519</v>
      </c>
      <c r="B327" s="52"/>
      <c r="C327" s="52"/>
      <c r="D327" s="103"/>
      <c r="E327" s="52"/>
      <c r="F327" s="52"/>
      <c r="G327" s="52"/>
      <c r="H327" s="52"/>
      <c r="I327" s="52"/>
      <c r="J327" s="52"/>
      <c r="K327" s="52"/>
      <c r="L327" s="52"/>
      <c r="M327" s="53"/>
    </row>
    <row r="328" spans="1:13" x14ac:dyDescent="0.3">
      <c r="A328" s="51" t="s">
        <v>520</v>
      </c>
      <c r="B328" s="52" t="s">
        <v>521</v>
      </c>
      <c r="C328" s="54">
        <v>17</v>
      </c>
      <c r="D328" s="103" t="s">
        <v>204</v>
      </c>
      <c r="E328" s="54">
        <v>15400</v>
      </c>
      <c r="F328" s="55">
        <f>E328*C328</f>
        <v>261800</v>
      </c>
      <c r="G328" s="54">
        <v>43502</v>
      </c>
      <c r="H328" s="55">
        <f>G328*C328</f>
        <v>739534</v>
      </c>
      <c r="I328" s="54">
        <v>0</v>
      </c>
      <c r="J328" s="55">
        <f>I328*C328</f>
        <v>0</v>
      </c>
      <c r="K328" s="55">
        <f t="shared" ref="K328:L331" si="48">E328+G328+I328</f>
        <v>58902</v>
      </c>
      <c r="L328" s="55">
        <f t="shared" si="48"/>
        <v>1001334</v>
      </c>
      <c r="M328" s="53"/>
    </row>
    <row r="329" spans="1:13" x14ac:dyDescent="0.3">
      <c r="A329" s="51" t="s">
        <v>522</v>
      </c>
      <c r="B329" s="52" t="s">
        <v>457</v>
      </c>
      <c r="C329" s="54">
        <v>59</v>
      </c>
      <c r="D329" s="103" t="s">
        <v>204</v>
      </c>
      <c r="E329" s="54">
        <v>21490</v>
      </c>
      <c r="F329" s="55">
        <f>E329*C329</f>
        <v>1267910</v>
      </c>
      <c r="G329" s="54">
        <v>52202</v>
      </c>
      <c r="H329" s="55">
        <f>G329*C329</f>
        <v>3079918</v>
      </c>
      <c r="I329" s="54">
        <v>0</v>
      </c>
      <c r="J329" s="55">
        <f>I329*C329</f>
        <v>0</v>
      </c>
      <c r="K329" s="55">
        <f t="shared" si="48"/>
        <v>73692</v>
      </c>
      <c r="L329" s="55">
        <f t="shared" si="48"/>
        <v>4347828</v>
      </c>
      <c r="M329" s="53"/>
    </row>
    <row r="330" spans="1:13" x14ac:dyDescent="0.3">
      <c r="A330" s="51" t="s">
        <v>523</v>
      </c>
      <c r="B330" s="52" t="s">
        <v>521</v>
      </c>
      <c r="C330" s="54">
        <v>33</v>
      </c>
      <c r="D330" s="103" t="s">
        <v>204</v>
      </c>
      <c r="E330" s="54">
        <v>23056</v>
      </c>
      <c r="F330" s="55">
        <f>E330*C330</f>
        <v>760848</v>
      </c>
      <c r="G330" s="54">
        <v>43502</v>
      </c>
      <c r="H330" s="55">
        <f>G330*C330</f>
        <v>1435566</v>
      </c>
      <c r="I330" s="54">
        <v>0</v>
      </c>
      <c r="J330" s="55">
        <f>I330*C330</f>
        <v>0</v>
      </c>
      <c r="K330" s="55">
        <f t="shared" si="48"/>
        <v>66558</v>
      </c>
      <c r="L330" s="55">
        <f t="shared" si="48"/>
        <v>2196414</v>
      </c>
      <c r="M330" s="53"/>
    </row>
    <row r="331" spans="1:13" x14ac:dyDescent="0.3">
      <c r="A331" s="51" t="s">
        <v>524</v>
      </c>
      <c r="B331" s="52" t="s">
        <v>457</v>
      </c>
      <c r="C331" s="54">
        <v>76</v>
      </c>
      <c r="D331" s="103" t="s">
        <v>204</v>
      </c>
      <c r="E331" s="54">
        <v>30625</v>
      </c>
      <c r="F331" s="55">
        <f>E331*C331</f>
        <v>2327500</v>
      </c>
      <c r="G331" s="54">
        <v>52202</v>
      </c>
      <c r="H331" s="55">
        <f>G331*C331</f>
        <v>3967352</v>
      </c>
      <c r="I331" s="54">
        <v>0</v>
      </c>
      <c r="J331" s="55">
        <f>I331*C331</f>
        <v>0</v>
      </c>
      <c r="K331" s="55">
        <f t="shared" si="48"/>
        <v>82827</v>
      </c>
      <c r="L331" s="55">
        <f t="shared" si="48"/>
        <v>6294852</v>
      </c>
      <c r="M331" s="53"/>
    </row>
    <row r="332" spans="1:13" x14ac:dyDescent="0.3">
      <c r="A332" s="51" t="s">
        <v>525</v>
      </c>
      <c r="B332" s="52"/>
      <c r="C332" s="52"/>
      <c r="D332" s="103"/>
      <c r="E332" s="52"/>
      <c r="F332" s="52"/>
      <c r="G332" s="52"/>
      <c r="H332" s="52"/>
      <c r="I332" s="52"/>
      <c r="J332" s="52"/>
      <c r="K332" s="52"/>
      <c r="L332" s="52"/>
      <c r="M332" s="53"/>
    </row>
    <row r="333" spans="1:13" x14ac:dyDescent="0.3">
      <c r="A333" s="51" t="s">
        <v>526</v>
      </c>
      <c r="B333" s="52" t="s">
        <v>521</v>
      </c>
      <c r="C333" s="54">
        <v>12</v>
      </c>
      <c r="D333" s="103" t="s">
        <v>204</v>
      </c>
      <c r="E333" s="54">
        <v>6177</v>
      </c>
      <c r="F333" s="55">
        <f>E333*C333</f>
        <v>74124</v>
      </c>
      <c r="G333" s="54">
        <v>17401</v>
      </c>
      <c r="H333" s="55">
        <f>G333*C333</f>
        <v>208812</v>
      </c>
      <c r="I333" s="54">
        <v>0</v>
      </c>
      <c r="J333" s="55">
        <f>I333*C333</f>
        <v>0</v>
      </c>
      <c r="K333" s="55">
        <f>E333+G333+I333</f>
        <v>23578</v>
      </c>
      <c r="L333" s="55">
        <f>F333+H333+J333</f>
        <v>282936</v>
      </c>
      <c r="M333" s="53"/>
    </row>
    <row r="334" spans="1:13" x14ac:dyDescent="0.3">
      <c r="A334" s="51" t="s">
        <v>527</v>
      </c>
      <c r="B334" s="52" t="s">
        <v>457</v>
      </c>
      <c r="C334" s="54">
        <v>33</v>
      </c>
      <c r="D334" s="103" t="s">
        <v>204</v>
      </c>
      <c r="E334" s="54">
        <v>10179</v>
      </c>
      <c r="F334" s="55">
        <f>E334*C334</f>
        <v>335907</v>
      </c>
      <c r="G334" s="54">
        <v>26101</v>
      </c>
      <c r="H334" s="55">
        <f>G334*C334</f>
        <v>861333</v>
      </c>
      <c r="I334" s="54">
        <v>0</v>
      </c>
      <c r="J334" s="55">
        <f>I334*C334</f>
        <v>0</v>
      </c>
      <c r="K334" s="55">
        <f>E334+G334+I334</f>
        <v>36280</v>
      </c>
      <c r="L334" s="55">
        <f>F334+H334+J334</f>
        <v>1197240</v>
      </c>
      <c r="M334" s="53"/>
    </row>
    <row r="335" spans="1:13" x14ac:dyDescent="0.3">
      <c r="A335" s="51" t="s">
        <v>528</v>
      </c>
      <c r="B335" s="52"/>
      <c r="C335" s="52"/>
      <c r="D335" s="103"/>
      <c r="E335" s="52"/>
      <c r="F335" s="52"/>
      <c r="G335" s="52"/>
      <c r="H335" s="52"/>
      <c r="I335" s="52"/>
      <c r="J335" s="52"/>
      <c r="K335" s="52"/>
      <c r="L335" s="52"/>
      <c r="M335" s="53"/>
    </row>
    <row r="336" spans="1:13" x14ac:dyDescent="0.3">
      <c r="A336" s="51" t="s">
        <v>529</v>
      </c>
      <c r="B336" s="52" t="s">
        <v>521</v>
      </c>
      <c r="C336" s="54">
        <v>57</v>
      </c>
      <c r="D336" s="103" t="s">
        <v>204</v>
      </c>
      <c r="E336" s="54">
        <v>0</v>
      </c>
      <c r="F336" s="55">
        <f>E336*C336</f>
        <v>0</v>
      </c>
      <c r="G336" s="54">
        <v>17401</v>
      </c>
      <c r="H336" s="55">
        <f>G336*C336</f>
        <v>991857</v>
      </c>
      <c r="I336" s="54">
        <v>0</v>
      </c>
      <c r="J336" s="55">
        <f>I336*C336</f>
        <v>0</v>
      </c>
      <c r="K336" s="55">
        <f>E336+G336+I336</f>
        <v>17401</v>
      </c>
      <c r="L336" s="55">
        <f>F336+H336+J336</f>
        <v>991857</v>
      </c>
      <c r="M336" s="53"/>
    </row>
    <row r="337" spans="1:13" x14ac:dyDescent="0.3">
      <c r="A337" s="51" t="s">
        <v>530</v>
      </c>
      <c r="B337" s="52" t="s">
        <v>457</v>
      </c>
      <c r="C337" s="54">
        <v>18</v>
      </c>
      <c r="D337" s="103" t="s">
        <v>204</v>
      </c>
      <c r="E337" s="54">
        <v>0</v>
      </c>
      <c r="F337" s="55">
        <f>E337*C337</f>
        <v>0</v>
      </c>
      <c r="G337" s="54">
        <v>26101</v>
      </c>
      <c r="H337" s="55">
        <f>G337*C337</f>
        <v>469818</v>
      </c>
      <c r="I337" s="54">
        <v>0</v>
      </c>
      <c r="J337" s="55">
        <f>I337*C337</f>
        <v>0</v>
      </c>
      <c r="K337" s="55">
        <f>E337+G337+I337</f>
        <v>26101</v>
      </c>
      <c r="L337" s="55">
        <f>F337+H337+J337</f>
        <v>469818</v>
      </c>
      <c r="M337" s="53"/>
    </row>
    <row r="338" spans="1:13" x14ac:dyDescent="0.3">
      <c r="A338" s="51" t="s">
        <v>531</v>
      </c>
      <c r="B338" s="52"/>
      <c r="C338" s="52"/>
      <c r="D338" s="103"/>
      <c r="E338" s="52"/>
      <c r="F338" s="52"/>
      <c r="G338" s="52"/>
      <c r="H338" s="52"/>
      <c r="I338" s="52"/>
      <c r="J338" s="52"/>
      <c r="K338" s="52"/>
      <c r="L338" s="52"/>
      <c r="M338" s="53"/>
    </row>
    <row r="339" spans="1:13" x14ac:dyDescent="0.3">
      <c r="A339" s="51" t="s">
        <v>532</v>
      </c>
      <c r="B339" s="52" t="s">
        <v>533</v>
      </c>
      <c r="C339" s="54">
        <v>32</v>
      </c>
      <c r="D339" s="103" t="s">
        <v>234</v>
      </c>
      <c r="E339" s="54">
        <v>0</v>
      </c>
      <c r="F339" s="55">
        <f>E339*C339</f>
        <v>0</v>
      </c>
      <c r="G339" s="54">
        <v>2610</v>
      </c>
      <c r="H339" s="55">
        <f>G339*C339</f>
        <v>83520</v>
      </c>
      <c r="I339" s="54">
        <v>0</v>
      </c>
      <c r="J339" s="55">
        <f>I339*C339</f>
        <v>0</v>
      </c>
      <c r="K339" s="55">
        <f>E339+G339+I339</f>
        <v>2610</v>
      </c>
      <c r="L339" s="55">
        <f>F339+H339+J339</f>
        <v>83520</v>
      </c>
      <c r="M339" s="53"/>
    </row>
    <row r="340" spans="1:13" x14ac:dyDescent="0.3">
      <c r="A340" s="51" t="s">
        <v>534</v>
      </c>
      <c r="B340" s="52" t="s">
        <v>363</v>
      </c>
      <c r="C340" s="54">
        <v>49</v>
      </c>
      <c r="D340" s="103" t="s">
        <v>234</v>
      </c>
      <c r="E340" s="54">
        <v>0</v>
      </c>
      <c r="F340" s="55">
        <f>E340*C340</f>
        <v>0</v>
      </c>
      <c r="G340" s="54">
        <v>3480</v>
      </c>
      <c r="H340" s="55">
        <f>G340*C340</f>
        <v>170520</v>
      </c>
      <c r="I340" s="54">
        <v>0</v>
      </c>
      <c r="J340" s="55">
        <f>I340*C340</f>
        <v>0</v>
      </c>
      <c r="K340" s="55">
        <f>E340+G340+I340</f>
        <v>3480</v>
      </c>
      <c r="L340" s="55">
        <f>F340+H340+J340</f>
        <v>170520</v>
      </c>
      <c r="M340" s="53"/>
    </row>
    <row r="341" spans="1:13" x14ac:dyDescent="0.3">
      <c r="A341" s="51" t="s">
        <v>535</v>
      </c>
      <c r="B341" s="52"/>
      <c r="C341" s="52"/>
      <c r="D341" s="103"/>
      <c r="E341" s="52"/>
      <c r="F341" s="52"/>
      <c r="G341" s="52"/>
      <c r="H341" s="52"/>
      <c r="I341" s="52"/>
      <c r="J341" s="52"/>
      <c r="K341" s="52"/>
      <c r="L341" s="52"/>
      <c r="M341" s="53"/>
    </row>
    <row r="342" spans="1:13" x14ac:dyDescent="0.3">
      <c r="A342" s="51" t="s">
        <v>536</v>
      </c>
      <c r="B342" s="52" t="s">
        <v>533</v>
      </c>
      <c r="C342" s="54">
        <v>6</v>
      </c>
      <c r="D342" s="103" t="s">
        <v>204</v>
      </c>
      <c r="E342" s="54">
        <v>0</v>
      </c>
      <c r="F342" s="55">
        <f>E342*C342</f>
        <v>0</v>
      </c>
      <c r="G342" s="54">
        <v>13051</v>
      </c>
      <c r="H342" s="55">
        <f>G342*C342</f>
        <v>78306</v>
      </c>
      <c r="I342" s="54">
        <v>0</v>
      </c>
      <c r="J342" s="55">
        <f>I342*C342</f>
        <v>0</v>
      </c>
      <c r="K342" s="55">
        <f t="shared" ref="K342:L345" si="49">E342+G342+I342</f>
        <v>13051</v>
      </c>
      <c r="L342" s="55">
        <f t="shared" si="49"/>
        <v>78306</v>
      </c>
      <c r="M342" s="53"/>
    </row>
    <row r="343" spans="1:13" x14ac:dyDescent="0.3">
      <c r="A343" s="51" t="s">
        <v>537</v>
      </c>
      <c r="B343" s="52" t="s">
        <v>363</v>
      </c>
      <c r="C343" s="54">
        <v>16</v>
      </c>
      <c r="D343" s="103" t="s">
        <v>204</v>
      </c>
      <c r="E343" s="54">
        <v>0</v>
      </c>
      <c r="F343" s="55">
        <f>E343*C343</f>
        <v>0</v>
      </c>
      <c r="G343" s="54">
        <v>17401</v>
      </c>
      <c r="H343" s="55">
        <f>G343*C343</f>
        <v>278416</v>
      </c>
      <c r="I343" s="54">
        <v>0</v>
      </c>
      <c r="J343" s="55">
        <f>I343*C343</f>
        <v>0</v>
      </c>
      <c r="K343" s="55">
        <f t="shared" si="49"/>
        <v>17401</v>
      </c>
      <c r="L343" s="55">
        <f t="shared" si="49"/>
        <v>278416</v>
      </c>
      <c r="M343" s="53"/>
    </row>
    <row r="344" spans="1:13" x14ac:dyDescent="0.3">
      <c r="A344" s="51" t="s">
        <v>538</v>
      </c>
      <c r="B344" s="52" t="s">
        <v>533</v>
      </c>
      <c r="C344" s="54">
        <v>12</v>
      </c>
      <c r="D344" s="103" t="s">
        <v>204</v>
      </c>
      <c r="E344" s="54">
        <v>0</v>
      </c>
      <c r="F344" s="55">
        <f>E344*C344</f>
        <v>0</v>
      </c>
      <c r="G344" s="54">
        <v>17401</v>
      </c>
      <c r="H344" s="55">
        <f>G344*C344</f>
        <v>208812</v>
      </c>
      <c r="I344" s="54">
        <v>0</v>
      </c>
      <c r="J344" s="55">
        <f>I344*C344</f>
        <v>0</v>
      </c>
      <c r="K344" s="55">
        <f t="shared" si="49"/>
        <v>17401</v>
      </c>
      <c r="L344" s="55">
        <f t="shared" si="49"/>
        <v>208812</v>
      </c>
      <c r="M344" s="53"/>
    </row>
    <row r="345" spans="1:13" x14ac:dyDescent="0.3">
      <c r="A345" s="51" t="s">
        <v>539</v>
      </c>
      <c r="B345" s="52" t="s">
        <v>363</v>
      </c>
      <c r="C345" s="54">
        <v>32</v>
      </c>
      <c r="D345" s="103" t="s">
        <v>204</v>
      </c>
      <c r="E345" s="54">
        <v>0</v>
      </c>
      <c r="F345" s="55">
        <f>E345*C345</f>
        <v>0</v>
      </c>
      <c r="G345" s="54">
        <v>26101</v>
      </c>
      <c r="H345" s="55">
        <f>G345*C345</f>
        <v>835232</v>
      </c>
      <c r="I345" s="54">
        <v>0</v>
      </c>
      <c r="J345" s="55">
        <f>I345*C345</f>
        <v>0</v>
      </c>
      <c r="K345" s="55">
        <f t="shared" si="49"/>
        <v>26101</v>
      </c>
      <c r="L345" s="55">
        <f t="shared" si="49"/>
        <v>835232</v>
      </c>
      <c r="M345" s="53"/>
    </row>
    <row r="346" spans="1:13" x14ac:dyDescent="0.3">
      <c r="A346" s="51" t="s">
        <v>540</v>
      </c>
      <c r="B346" s="52"/>
      <c r="C346" s="52"/>
      <c r="D346" s="103"/>
      <c r="E346" s="52"/>
      <c r="F346" s="52"/>
      <c r="G346" s="52"/>
      <c r="H346" s="52"/>
      <c r="I346" s="52"/>
      <c r="J346" s="52"/>
      <c r="K346" s="52"/>
      <c r="L346" s="52"/>
      <c r="M346" s="53"/>
    </row>
    <row r="347" spans="1:13" x14ac:dyDescent="0.3">
      <c r="A347" s="51" t="s">
        <v>541</v>
      </c>
      <c r="B347" s="52" t="s">
        <v>533</v>
      </c>
      <c r="C347" s="54">
        <v>3</v>
      </c>
      <c r="D347" s="103" t="s">
        <v>204</v>
      </c>
      <c r="E347" s="54">
        <v>0</v>
      </c>
      <c r="F347" s="55">
        <f>E347*C347</f>
        <v>0</v>
      </c>
      <c r="G347" s="54">
        <v>6090</v>
      </c>
      <c r="H347" s="55">
        <f>G347*C347</f>
        <v>18270</v>
      </c>
      <c r="I347" s="54">
        <v>0</v>
      </c>
      <c r="J347" s="55">
        <f>I347*C347</f>
        <v>0</v>
      </c>
      <c r="K347" s="55">
        <f>E347+G347+I347</f>
        <v>6090</v>
      </c>
      <c r="L347" s="55">
        <f>F347+H347+J347</f>
        <v>18270</v>
      </c>
      <c r="M347" s="53"/>
    </row>
    <row r="348" spans="1:13" x14ac:dyDescent="0.3">
      <c r="A348" s="51" t="s">
        <v>542</v>
      </c>
      <c r="B348" s="52" t="s">
        <v>363</v>
      </c>
      <c r="C348" s="54">
        <v>8</v>
      </c>
      <c r="D348" s="103" t="s">
        <v>204</v>
      </c>
      <c r="E348" s="54">
        <v>0</v>
      </c>
      <c r="F348" s="55">
        <f>E348*C348</f>
        <v>0</v>
      </c>
      <c r="G348" s="54">
        <v>8700</v>
      </c>
      <c r="H348" s="55">
        <f>G348*C348</f>
        <v>69600</v>
      </c>
      <c r="I348" s="54">
        <v>0</v>
      </c>
      <c r="J348" s="55">
        <f>I348*C348</f>
        <v>0</v>
      </c>
      <c r="K348" s="55">
        <f>E348+G348+I348</f>
        <v>8700</v>
      </c>
      <c r="L348" s="55">
        <f>F348+H348+J348</f>
        <v>69600</v>
      </c>
      <c r="M348" s="53"/>
    </row>
    <row r="349" spans="1:13" x14ac:dyDescent="0.3">
      <c r="A349" s="51" t="s">
        <v>543</v>
      </c>
      <c r="B349" s="52"/>
      <c r="C349" s="52"/>
      <c r="D349" s="103"/>
      <c r="E349" s="52"/>
      <c r="F349" s="52"/>
      <c r="G349" s="52"/>
      <c r="H349" s="52"/>
      <c r="I349" s="52"/>
      <c r="J349" s="52"/>
      <c r="K349" s="52"/>
      <c r="L349" s="52"/>
      <c r="M349" s="53"/>
    </row>
    <row r="350" spans="1:13" x14ac:dyDescent="0.3">
      <c r="A350" s="51" t="s">
        <v>544</v>
      </c>
      <c r="B350" s="52" t="s">
        <v>545</v>
      </c>
      <c r="C350" s="54">
        <v>2</v>
      </c>
      <c r="D350" s="103" t="s">
        <v>204</v>
      </c>
      <c r="E350" s="54">
        <v>43502</v>
      </c>
      <c r="F350" s="55">
        <f>E350*C350</f>
        <v>87004</v>
      </c>
      <c r="G350" s="54">
        <v>43502</v>
      </c>
      <c r="H350" s="55">
        <f>G350*C350</f>
        <v>87004</v>
      </c>
      <c r="I350" s="54">
        <v>-1</v>
      </c>
      <c r="J350" s="55">
        <f>I350*C350</f>
        <v>-2</v>
      </c>
      <c r="K350" s="55">
        <f t="shared" ref="K350:L352" si="50">E350+G350+I350</f>
        <v>87003</v>
      </c>
      <c r="L350" s="55">
        <f t="shared" si="50"/>
        <v>174006</v>
      </c>
      <c r="M350" s="53"/>
    </row>
    <row r="351" spans="1:13" x14ac:dyDescent="0.3">
      <c r="A351" s="51" t="s">
        <v>546</v>
      </c>
      <c r="B351" s="52" t="s">
        <v>547</v>
      </c>
      <c r="C351" s="54">
        <v>1</v>
      </c>
      <c r="D351" s="103" t="s">
        <v>204</v>
      </c>
      <c r="E351" s="54">
        <v>47852</v>
      </c>
      <c r="F351" s="55">
        <f>E351*C351</f>
        <v>47852</v>
      </c>
      <c r="G351" s="54">
        <v>43501</v>
      </c>
      <c r="H351" s="55">
        <f>G351*C351</f>
        <v>43501</v>
      </c>
      <c r="I351" s="54">
        <v>0</v>
      </c>
      <c r="J351" s="55">
        <f>I351*C351</f>
        <v>0</v>
      </c>
      <c r="K351" s="55">
        <f t="shared" si="50"/>
        <v>91353</v>
      </c>
      <c r="L351" s="55">
        <f t="shared" si="50"/>
        <v>91353</v>
      </c>
      <c r="M351" s="53"/>
    </row>
    <row r="352" spans="1:13" x14ac:dyDescent="0.3">
      <c r="A352" s="51" t="s">
        <v>548</v>
      </c>
      <c r="B352" s="52" t="s">
        <v>549</v>
      </c>
      <c r="C352" s="54">
        <v>8</v>
      </c>
      <c r="D352" s="103" t="s">
        <v>204</v>
      </c>
      <c r="E352" s="54">
        <v>117455</v>
      </c>
      <c r="F352" s="55">
        <f>E352*C352</f>
        <v>939640</v>
      </c>
      <c r="G352" s="54">
        <v>43502</v>
      </c>
      <c r="H352" s="55">
        <f>G352*C352</f>
        <v>348016</v>
      </c>
      <c r="I352" s="54">
        <v>0</v>
      </c>
      <c r="J352" s="55">
        <f>I352*C352</f>
        <v>0</v>
      </c>
      <c r="K352" s="55">
        <f t="shared" si="50"/>
        <v>160957</v>
      </c>
      <c r="L352" s="55">
        <f t="shared" si="50"/>
        <v>1287656</v>
      </c>
      <c r="M352" s="53"/>
    </row>
    <row r="353" spans="1:13" x14ac:dyDescent="0.3">
      <c r="A353" s="51" t="s">
        <v>550</v>
      </c>
      <c r="B353" s="52"/>
      <c r="C353" s="52"/>
      <c r="D353" s="103"/>
      <c r="E353" s="52"/>
      <c r="F353" s="52"/>
      <c r="G353" s="52"/>
      <c r="H353" s="52"/>
      <c r="I353" s="52"/>
      <c r="J353" s="52"/>
      <c r="K353" s="52"/>
      <c r="L353" s="52"/>
      <c r="M353" s="53"/>
    </row>
    <row r="354" spans="1:13" x14ac:dyDescent="0.3">
      <c r="A354" s="51" t="s">
        <v>551</v>
      </c>
      <c r="B354" s="52"/>
      <c r="C354" s="52"/>
      <c r="D354" s="103"/>
      <c r="E354" s="52"/>
      <c r="F354" s="52"/>
      <c r="G354" s="52"/>
      <c r="H354" s="52"/>
      <c r="I354" s="52"/>
      <c r="J354" s="52"/>
      <c r="K354" s="52"/>
      <c r="L354" s="52"/>
      <c r="M354" s="53"/>
    </row>
    <row r="355" spans="1:13" x14ac:dyDescent="0.3">
      <c r="A355" s="51" t="s">
        <v>552</v>
      </c>
      <c r="B355" s="52" t="s">
        <v>553</v>
      </c>
      <c r="C355" s="54">
        <v>3</v>
      </c>
      <c r="D355" s="103" t="s">
        <v>204</v>
      </c>
      <c r="E355" s="54">
        <v>39151</v>
      </c>
      <c r="F355" s="55">
        <f>E355*C355</f>
        <v>117453</v>
      </c>
      <c r="G355" s="54">
        <v>21751</v>
      </c>
      <c r="H355" s="55">
        <f>G355*C355</f>
        <v>65253</v>
      </c>
      <c r="I355" s="54">
        <v>0</v>
      </c>
      <c r="J355" s="55">
        <f>I355*C355</f>
        <v>0</v>
      </c>
      <c r="K355" s="55">
        <f>E355+G355+I355</f>
        <v>60902</v>
      </c>
      <c r="L355" s="55">
        <f>F355+H355+J355</f>
        <v>182706</v>
      </c>
      <c r="M355" s="53"/>
    </row>
    <row r="356" spans="1:13" x14ac:dyDescent="0.3">
      <c r="A356" s="51" t="s">
        <v>554</v>
      </c>
      <c r="B356" s="52" t="s">
        <v>555</v>
      </c>
      <c r="C356" s="54">
        <v>8</v>
      </c>
      <c r="D356" s="103" t="s">
        <v>204</v>
      </c>
      <c r="E356" s="54">
        <v>104404</v>
      </c>
      <c r="F356" s="55">
        <f>E356*C356</f>
        <v>835232</v>
      </c>
      <c r="G356" s="54">
        <v>43502</v>
      </c>
      <c r="H356" s="55">
        <f>G356*C356</f>
        <v>348016</v>
      </c>
      <c r="I356" s="54">
        <v>0</v>
      </c>
      <c r="J356" s="55">
        <f>I356*C356</f>
        <v>0</v>
      </c>
      <c r="K356" s="55">
        <f>E356+G356+I356</f>
        <v>147906</v>
      </c>
      <c r="L356" s="55">
        <f>F356+H356+J356</f>
        <v>1183248</v>
      </c>
      <c r="M356" s="53"/>
    </row>
    <row r="357" spans="1:13" x14ac:dyDescent="0.3">
      <c r="A357" s="51" t="s">
        <v>556</v>
      </c>
      <c r="B357" s="52"/>
      <c r="C357" s="52"/>
      <c r="D357" s="103"/>
      <c r="E357" s="52"/>
      <c r="F357" s="52"/>
      <c r="G357" s="52"/>
      <c r="H357" s="52"/>
      <c r="I357" s="52"/>
      <c r="J357" s="52"/>
      <c r="K357" s="52"/>
      <c r="L357" s="52"/>
      <c r="M357" s="53"/>
    </row>
    <row r="358" spans="1:13" x14ac:dyDescent="0.3">
      <c r="A358" s="51" t="s">
        <v>557</v>
      </c>
      <c r="B358" s="52" t="s">
        <v>558</v>
      </c>
      <c r="C358" s="54">
        <v>11</v>
      </c>
      <c r="D358" s="103" t="s">
        <v>204</v>
      </c>
      <c r="E358" s="54">
        <v>8700</v>
      </c>
      <c r="F358" s="55">
        <f>E358*C358</f>
        <v>95700</v>
      </c>
      <c r="G358" s="54">
        <v>52202</v>
      </c>
      <c r="H358" s="55">
        <f>G358*C358</f>
        <v>574222</v>
      </c>
      <c r="I358" s="54">
        <v>9496</v>
      </c>
      <c r="J358" s="55">
        <f>I358*C358</f>
        <v>104456</v>
      </c>
      <c r="K358" s="55">
        <f>E358+G358+I358</f>
        <v>70398</v>
      </c>
      <c r="L358" s="55">
        <f>F358+H358+J358</f>
        <v>774378</v>
      </c>
      <c r="M358" s="53"/>
    </row>
    <row r="359" spans="1:13" x14ac:dyDescent="0.3">
      <c r="A359" s="51" t="s">
        <v>559</v>
      </c>
      <c r="B359" s="52" t="s">
        <v>560</v>
      </c>
      <c r="C359" s="54">
        <v>8</v>
      </c>
      <c r="D359" s="103" t="s">
        <v>204</v>
      </c>
      <c r="E359" s="54">
        <v>8700</v>
      </c>
      <c r="F359" s="55">
        <f>E359*C359</f>
        <v>69600</v>
      </c>
      <c r="G359" s="54">
        <v>69603</v>
      </c>
      <c r="H359" s="55">
        <f>G359*C359</f>
        <v>556824</v>
      </c>
      <c r="I359" s="54">
        <v>18994</v>
      </c>
      <c r="J359" s="55">
        <f>I359*C359</f>
        <v>151952</v>
      </c>
      <c r="K359" s="55">
        <f>E359+G359+I359</f>
        <v>97297</v>
      </c>
      <c r="L359" s="55">
        <f>F359+H359+J359</f>
        <v>778376</v>
      </c>
      <c r="M359" s="53"/>
    </row>
    <row r="360" spans="1:13" x14ac:dyDescent="0.3">
      <c r="A360" s="51" t="s">
        <v>561</v>
      </c>
      <c r="B360" s="52"/>
      <c r="C360" s="52"/>
      <c r="D360" s="103"/>
      <c r="E360" s="52"/>
      <c r="F360" s="52"/>
      <c r="G360" s="52"/>
      <c r="H360" s="52"/>
      <c r="I360" s="52"/>
      <c r="J360" s="52"/>
      <c r="K360" s="52"/>
      <c r="L360" s="52"/>
      <c r="M360" s="53"/>
    </row>
    <row r="361" spans="1:13" x14ac:dyDescent="0.3">
      <c r="A361" s="51" t="s">
        <v>562</v>
      </c>
      <c r="B361" s="52" t="s">
        <v>558</v>
      </c>
      <c r="C361" s="54">
        <v>1</v>
      </c>
      <c r="D361" s="103" t="s">
        <v>204</v>
      </c>
      <c r="E361" s="54">
        <v>8700</v>
      </c>
      <c r="F361" s="55">
        <f>E361*C361</f>
        <v>8700</v>
      </c>
      <c r="G361" s="54">
        <v>43501</v>
      </c>
      <c r="H361" s="55">
        <f>G361*C361</f>
        <v>43501</v>
      </c>
      <c r="I361" s="54">
        <v>1</v>
      </c>
      <c r="J361" s="55">
        <f>I361*C361</f>
        <v>1</v>
      </c>
      <c r="K361" s="55">
        <f>E361+G361+I361</f>
        <v>52202</v>
      </c>
      <c r="L361" s="55">
        <f>F361+H361+J361</f>
        <v>52202</v>
      </c>
      <c r="M361" s="53"/>
    </row>
    <row r="362" spans="1:13" x14ac:dyDescent="0.3">
      <c r="A362" s="51" t="s">
        <v>563</v>
      </c>
      <c r="B362" s="52"/>
      <c r="C362" s="52"/>
      <c r="D362" s="103"/>
      <c r="E362" s="52"/>
      <c r="F362" s="52"/>
      <c r="G362" s="52"/>
      <c r="H362" s="52"/>
      <c r="I362" s="52"/>
      <c r="J362" s="52"/>
      <c r="K362" s="52"/>
      <c r="L362" s="52"/>
      <c r="M362" s="53"/>
    </row>
    <row r="363" spans="1:13" x14ac:dyDescent="0.3">
      <c r="A363" s="51" t="s">
        <v>564</v>
      </c>
      <c r="B363" s="52" t="s">
        <v>565</v>
      </c>
      <c r="C363" s="54">
        <v>7</v>
      </c>
      <c r="D363" s="103" t="s">
        <v>204</v>
      </c>
      <c r="E363" s="54">
        <v>426316</v>
      </c>
      <c r="F363" s="55">
        <f>E363*C363</f>
        <v>2984212</v>
      </c>
      <c r="G363" s="54">
        <v>435017</v>
      </c>
      <c r="H363" s="55">
        <f>G363*C363</f>
        <v>3045119</v>
      </c>
      <c r="I363" s="54">
        <v>284900</v>
      </c>
      <c r="J363" s="55">
        <f>I363*C363</f>
        <v>1994300</v>
      </c>
      <c r="K363" s="55">
        <f>E363+G363+I363</f>
        <v>1146233</v>
      </c>
      <c r="L363" s="55">
        <f>F363+H363+J363</f>
        <v>8023631</v>
      </c>
      <c r="M363" s="53"/>
    </row>
    <row r="364" spans="1:13" x14ac:dyDescent="0.3">
      <c r="A364" s="51" t="s">
        <v>566</v>
      </c>
      <c r="B364" s="52" t="s">
        <v>567</v>
      </c>
      <c r="C364" s="54">
        <v>7</v>
      </c>
      <c r="D364" s="103" t="s">
        <v>204</v>
      </c>
      <c r="E364" s="54">
        <v>156606</v>
      </c>
      <c r="F364" s="55">
        <f>E364*C364</f>
        <v>1096242</v>
      </c>
      <c r="G364" s="54">
        <v>174007</v>
      </c>
      <c r="H364" s="55">
        <f>G364*C364</f>
        <v>1218049</v>
      </c>
      <c r="I364" s="54">
        <v>47483</v>
      </c>
      <c r="J364" s="55">
        <f>I364*C364</f>
        <v>332381</v>
      </c>
      <c r="K364" s="55">
        <f>E364+G364+I364</f>
        <v>378096</v>
      </c>
      <c r="L364" s="55">
        <f>F364+H364+J364</f>
        <v>2646672</v>
      </c>
      <c r="M364" s="53"/>
    </row>
    <row r="365" spans="1:13" x14ac:dyDescent="0.3">
      <c r="A365" s="51" t="s">
        <v>568</v>
      </c>
      <c r="B365" s="52"/>
      <c r="C365" s="52"/>
      <c r="D365" s="103"/>
      <c r="E365" s="52"/>
      <c r="F365" s="52"/>
      <c r="G365" s="52"/>
      <c r="H365" s="52"/>
      <c r="I365" s="52"/>
      <c r="J365" s="52"/>
      <c r="K365" s="52"/>
      <c r="L365" s="52"/>
      <c r="M365" s="53"/>
    </row>
    <row r="366" spans="1:13" x14ac:dyDescent="0.3">
      <c r="A366" s="51" t="s">
        <v>569</v>
      </c>
      <c r="B366" s="52" t="s">
        <v>570</v>
      </c>
      <c r="C366" s="54">
        <v>1</v>
      </c>
      <c r="D366" s="103" t="s">
        <v>97</v>
      </c>
      <c r="E366" s="54">
        <v>4351</v>
      </c>
      <c r="F366" s="55">
        <f>E366*C366</f>
        <v>4351</v>
      </c>
      <c r="G366" s="54">
        <v>8700</v>
      </c>
      <c r="H366" s="55">
        <f>G366*C366</f>
        <v>8700</v>
      </c>
      <c r="I366" s="54">
        <v>1899</v>
      </c>
      <c r="J366" s="55">
        <f>I366*C366</f>
        <v>1899</v>
      </c>
      <c r="K366" s="55">
        <f t="shared" ref="K366:L368" si="51">E366+G366+I366</f>
        <v>14950</v>
      </c>
      <c r="L366" s="55">
        <f t="shared" si="51"/>
        <v>14950</v>
      </c>
      <c r="M366" s="53"/>
    </row>
    <row r="367" spans="1:13" x14ac:dyDescent="0.3">
      <c r="A367" s="51" t="s">
        <v>571</v>
      </c>
      <c r="B367" s="52" t="s">
        <v>572</v>
      </c>
      <c r="C367" s="54">
        <v>23</v>
      </c>
      <c r="D367" s="103" t="s">
        <v>97</v>
      </c>
      <c r="E367" s="54">
        <v>4350</v>
      </c>
      <c r="F367" s="55">
        <f>E367*C367</f>
        <v>100050</v>
      </c>
      <c r="G367" s="54">
        <v>8700</v>
      </c>
      <c r="H367" s="55">
        <f>G367*C367</f>
        <v>200100</v>
      </c>
      <c r="I367" s="54">
        <v>1899</v>
      </c>
      <c r="J367" s="55">
        <f>I367*C367</f>
        <v>43677</v>
      </c>
      <c r="K367" s="55">
        <f t="shared" si="51"/>
        <v>14949</v>
      </c>
      <c r="L367" s="55">
        <f t="shared" si="51"/>
        <v>343827</v>
      </c>
      <c r="M367" s="53"/>
    </row>
    <row r="368" spans="1:13" x14ac:dyDescent="0.3">
      <c r="A368" s="51" t="s">
        <v>573</v>
      </c>
      <c r="B368" s="52" t="s">
        <v>574</v>
      </c>
      <c r="C368" s="54">
        <v>7</v>
      </c>
      <c r="D368" s="103" t="s">
        <v>204</v>
      </c>
      <c r="E368" s="54">
        <v>87003</v>
      </c>
      <c r="F368" s="55">
        <f>E368*C368</f>
        <v>609021</v>
      </c>
      <c r="G368" s="54">
        <v>87003</v>
      </c>
      <c r="H368" s="55">
        <f>G368*C368</f>
        <v>609021</v>
      </c>
      <c r="I368" s="54">
        <v>47483</v>
      </c>
      <c r="J368" s="55">
        <f>I368*C368</f>
        <v>332381</v>
      </c>
      <c r="K368" s="55">
        <f t="shared" si="51"/>
        <v>221489</v>
      </c>
      <c r="L368" s="55">
        <f t="shared" si="51"/>
        <v>1550423</v>
      </c>
      <c r="M368" s="53"/>
    </row>
    <row r="369" spans="1:13" x14ac:dyDescent="0.3">
      <c r="A369" s="51" t="s">
        <v>575</v>
      </c>
      <c r="B369" s="52"/>
      <c r="C369" s="52"/>
      <c r="D369" s="103"/>
      <c r="E369" s="52"/>
      <c r="F369" s="52"/>
      <c r="G369" s="52"/>
      <c r="H369" s="52"/>
      <c r="I369" s="52"/>
      <c r="J369" s="52"/>
      <c r="K369" s="52"/>
      <c r="L369" s="52"/>
      <c r="M369" s="53"/>
    </row>
    <row r="370" spans="1:13" x14ac:dyDescent="0.3">
      <c r="A370" s="51" t="s">
        <v>576</v>
      </c>
      <c r="B370" s="52" t="s">
        <v>577</v>
      </c>
      <c r="C370" s="54">
        <v>1</v>
      </c>
      <c r="D370" s="103" t="s">
        <v>204</v>
      </c>
      <c r="E370" s="54">
        <v>10858020</v>
      </c>
      <c r="F370" s="55">
        <f>E370*C370</f>
        <v>10858020</v>
      </c>
      <c r="G370" s="54">
        <v>87004</v>
      </c>
      <c r="H370" s="55">
        <f>G370*C370</f>
        <v>87004</v>
      </c>
      <c r="I370" s="54">
        <v>474832</v>
      </c>
      <c r="J370" s="55">
        <f>I370*C370</f>
        <v>474832</v>
      </c>
      <c r="K370" s="55">
        <f>E370+G370+I370</f>
        <v>11419856</v>
      </c>
      <c r="L370" s="55">
        <f>F370+H370+J370</f>
        <v>11419856</v>
      </c>
      <c r="M370" s="53"/>
    </row>
    <row r="371" spans="1:13" x14ac:dyDescent="0.3">
      <c r="A371" s="51" t="s">
        <v>578</v>
      </c>
      <c r="B371" s="52"/>
      <c r="C371" s="52"/>
      <c r="D371" s="103"/>
      <c r="E371" s="52"/>
      <c r="F371" s="52"/>
      <c r="G371" s="52"/>
      <c r="H371" s="52"/>
      <c r="I371" s="52"/>
      <c r="J371" s="52"/>
      <c r="K371" s="52"/>
      <c r="L371" s="52"/>
      <c r="M371" s="53"/>
    </row>
    <row r="372" spans="1:13" x14ac:dyDescent="0.3">
      <c r="A372" s="51" t="s">
        <v>579</v>
      </c>
      <c r="B372" s="52"/>
      <c r="C372" s="52"/>
      <c r="D372" s="103"/>
      <c r="E372" s="52"/>
      <c r="F372" s="52"/>
      <c r="G372" s="52"/>
      <c r="H372" s="52"/>
      <c r="I372" s="52"/>
      <c r="J372" s="52"/>
      <c r="K372" s="52"/>
      <c r="L372" s="52"/>
      <c r="M372" s="53"/>
    </row>
    <row r="373" spans="1:13" x14ac:dyDescent="0.3">
      <c r="A373" s="51" t="s">
        <v>580</v>
      </c>
      <c r="B373" s="52" t="s">
        <v>581</v>
      </c>
      <c r="C373" s="54">
        <v>1</v>
      </c>
      <c r="D373" s="103" t="s">
        <v>204</v>
      </c>
      <c r="E373" s="54">
        <v>870034</v>
      </c>
      <c r="F373" s="55">
        <f>E373*C373</f>
        <v>870034</v>
      </c>
      <c r="G373" s="54">
        <v>3480135</v>
      </c>
      <c r="H373" s="55">
        <f>G373*C373</f>
        <v>3480135</v>
      </c>
      <c r="I373" s="54">
        <v>949665</v>
      </c>
      <c r="J373" s="55">
        <f>I373*C373</f>
        <v>949665</v>
      </c>
      <c r="K373" s="55">
        <f t="shared" ref="K373:L375" si="52">E373+G373+I373</f>
        <v>5299834</v>
      </c>
      <c r="L373" s="55">
        <f t="shared" si="52"/>
        <v>5299834</v>
      </c>
      <c r="M373" s="53"/>
    </row>
    <row r="374" spans="1:13" x14ac:dyDescent="0.3">
      <c r="A374" s="51" t="s">
        <v>582</v>
      </c>
      <c r="B374" s="52" t="s">
        <v>583</v>
      </c>
      <c r="C374" s="54">
        <v>1</v>
      </c>
      <c r="D374" s="103" t="s">
        <v>204</v>
      </c>
      <c r="E374" s="54">
        <v>261010</v>
      </c>
      <c r="F374" s="55">
        <f>E374*C374</f>
        <v>261010</v>
      </c>
      <c r="G374" s="54">
        <v>87004</v>
      </c>
      <c r="H374" s="55">
        <f>G374*C374</f>
        <v>87004</v>
      </c>
      <c r="I374" s="54">
        <v>94966</v>
      </c>
      <c r="J374" s="55">
        <f>I374*C374</f>
        <v>94966</v>
      </c>
      <c r="K374" s="55">
        <f t="shared" si="52"/>
        <v>442980</v>
      </c>
      <c r="L374" s="55">
        <f t="shared" si="52"/>
        <v>442980</v>
      </c>
      <c r="M374" s="53"/>
    </row>
    <row r="375" spans="1:13" x14ac:dyDescent="0.3">
      <c r="A375" s="51" t="s">
        <v>584</v>
      </c>
      <c r="B375" s="52" t="s">
        <v>583</v>
      </c>
      <c r="C375" s="54">
        <v>3</v>
      </c>
      <c r="D375" s="103" t="s">
        <v>204</v>
      </c>
      <c r="E375" s="54">
        <v>261010</v>
      </c>
      <c r="F375" s="55">
        <f>E375*C375</f>
        <v>783030</v>
      </c>
      <c r="G375" s="54">
        <v>87003</v>
      </c>
      <c r="H375" s="55">
        <f>G375*C375</f>
        <v>261009</v>
      </c>
      <c r="I375" s="54">
        <v>94966</v>
      </c>
      <c r="J375" s="55">
        <f>I375*C375</f>
        <v>284898</v>
      </c>
      <c r="K375" s="55">
        <f t="shared" si="52"/>
        <v>442979</v>
      </c>
      <c r="L375" s="55">
        <f t="shared" si="52"/>
        <v>1328937</v>
      </c>
      <c r="M375" s="53"/>
    </row>
    <row r="376" spans="1:13" x14ac:dyDescent="0.3">
      <c r="A376" s="51" t="s">
        <v>585</v>
      </c>
      <c r="B376" s="52"/>
      <c r="C376" s="52"/>
      <c r="D376" s="103"/>
      <c r="E376" s="52"/>
      <c r="F376" s="52"/>
      <c r="G376" s="52"/>
      <c r="H376" s="52"/>
      <c r="I376" s="52"/>
      <c r="J376" s="52"/>
      <c r="K376" s="52"/>
      <c r="L376" s="52"/>
      <c r="M376" s="53"/>
    </row>
    <row r="377" spans="1:13" x14ac:dyDescent="0.3">
      <c r="A377" s="51" t="s">
        <v>586</v>
      </c>
      <c r="B377" s="52" t="s">
        <v>587</v>
      </c>
      <c r="C377" s="54">
        <v>1</v>
      </c>
      <c r="D377" s="103" t="s">
        <v>204</v>
      </c>
      <c r="E377" s="54">
        <v>435017</v>
      </c>
      <c r="F377" s="55">
        <f>E377*C377</f>
        <v>435017</v>
      </c>
      <c r="G377" s="54">
        <v>1740067</v>
      </c>
      <c r="H377" s="55">
        <f>G377*C377</f>
        <v>1740067</v>
      </c>
      <c r="I377" s="54">
        <v>474833</v>
      </c>
      <c r="J377" s="55">
        <f>I377*C377</f>
        <v>474833</v>
      </c>
      <c r="K377" s="55">
        <f>E377+G377+I377</f>
        <v>2649917</v>
      </c>
      <c r="L377" s="55">
        <f>F377+H377+J377</f>
        <v>2649917</v>
      </c>
      <c r="M377" s="53"/>
    </row>
    <row r="378" spans="1:13" x14ac:dyDescent="0.3">
      <c r="A378" s="51" t="s">
        <v>588</v>
      </c>
      <c r="B378" s="52"/>
      <c r="C378" s="52"/>
      <c r="D378" s="103"/>
      <c r="E378" s="52"/>
      <c r="F378" s="52"/>
      <c r="G378" s="52"/>
      <c r="H378" s="52"/>
      <c r="I378" s="52"/>
      <c r="J378" s="52"/>
      <c r="K378" s="52"/>
      <c r="L378" s="52"/>
      <c r="M378" s="53"/>
    </row>
    <row r="379" spans="1:13" x14ac:dyDescent="0.3">
      <c r="A379" s="51" t="s">
        <v>589</v>
      </c>
      <c r="B379" s="52" t="s">
        <v>587</v>
      </c>
      <c r="C379" s="54">
        <v>2</v>
      </c>
      <c r="D379" s="103" t="s">
        <v>204</v>
      </c>
      <c r="E379" s="54">
        <v>435017</v>
      </c>
      <c r="F379" s="55">
        <f>E379*C379</f>
        <v>870034</v>
      </c>
      <c r="G379" s="54">
        <v>1740068</v>
      </c>
      <c r="H379" s="55">
        <f>G379*C379</f>
        <v>3480136</v>
      </c>
      <c r="I379" s="54">
        <v>474832</v>
      </c>
      <c r="J379" s="55">
        <f>I379*C379</f>
        <v>949664</v>
      </c>
      <c r="K379" s="55">
        <f>E379+G379+I379</f>
        <v>2649917</v>
      </c>
      <c r="L379" s="55">
        <f>F379+H379+J379</f>
        <v>5299834</v>
      </c>
      <c r="M379" s="53"/>
    </row>
    <row r="380" spans="1:13" x14ac:dyDescent="0.3">
      <c r="A380" s="51" t="s">
        <v>590</v>
      </c>
      <c r="B380" s="52"/>
      <c r="C380" s="52"/>
      <c r="D380" s="103"/>
      <c r="E380" s="52"/>
      <c r="F380" s="52"/>
      <c r="G380" s="52"/>
      <c r="H380" s="52"/>
      <c r="I380" s="52"/>
      <c r="J380" s="52"/>
      <c r="K380" s="52"/>
      <c r="L380" s="52"/>
      <c r="M380" s="53"/>
    </row>
    <row r="381" spans="1:13" x14ac:dyDescent="0.3">
      <c r="A381" s="51" t="s">
        <v>591</v>
      </c>
      <c r="B381" s="52" t="s">
        <v>592</v>
      </c>
      <c r="C381" s="54">
        <v>1</v>
      </c>
      <c r="D381" s="103" t="s">
        <v>204</v>
      </c>
      <c r="E381" s="54">
        <v>870034</v>
      </c>
      <c r="F381" s="55">
        <f>E381*C381</f>
        <v>870034</v>
      </c>
      <c r="G381" s="54">
        <v>3480135</v>
      </c>
      <c r="H381" s="55">
        <f>G381*C381</f>
        <v>3480135</v>
      </c>
      <c r="I381" s="54">
        <v>949665</v>
      </c>
      <c r="J381" s="55">
        <f>I381*C381</f>
        <v>949665</v>
      </c>
      <c r="K381" s="55">
        <f>E381+G381+I381</f>
        <v>5299834</v>
      </c>
      <c r="L381" s="55">
        <f>F381+H381+J381</f>
        <v>5299834</v>
      </c>
      <c r="M381" s="53"/>
    </row>
    <row r="382" spans="1:13" x14ac:dyDescent="0.3">
      <c r="A382" s="51" t="s">
        <v>593</v>
      </c>
      <c r="B382" s="52"/>
      <c r="C382" s="52"/>
      <c r="D382" s="103"/>
      <c r="E382" s="52"/>
      <c r="F382" s="52"/>
      <c r="G382" s="52"/>
      <c r="H382" s="52"/>
      <c r="I382" s="52"/>
      <c r="J382" s="52"/>
      <c r="K382" s="52"/>
      <c r="L382" s="52"/>
      <c r="M382" s="53"/>
    </row>
    <row r="383" spans="1:13" x14ac:dyDescent="0.3">
      <c r="A383" s="51" t="s">
        <v>594</v>
      </c>
      <c r="B383" s="52"/>
      <c r="C383" s="52"/>
      <c r="D383" s="103"/>
      <c r="E383" s="52"/>
      <c r="F383" s="52"/>
      <c r="G383" s="52"/>
      <c r="H383" s="52"/>
      <c r="I383" s="52"/>
      <c r="J383" s="52"/>
      <c r="K383" s="52"/>
      <c r="L383" s="52"/>
      <c r="M383" s="53"/>
    </row>
    <row r="384" spans="1:13" x14ac:dyDescent="0.3">
      <c r="A384" s="51" t="s">
        <v>595</v>
      </c>
      <c r="B384" s="52" t="s">
        <v>596</v>
      </c>
      <c r="C384" s="54">
        <v>3</v>
      </c>
      <c r="D384" s="103" t="s">
        <v>204</v>
      </c>
      <c r="E384" s="54">
        <v>14791</v>
      </c>
      <c r="F384" s="55">
        <f>E384*C384</f>
        <v>44373</v>
      </c>
      <c r="G384" s="54">
        <v>43502</v>
      </c>
      <c r="H384" s="55">
        <f>G384*C384</f>
        <v>130506</v>
      </c>
      <c r="I384" s="54">
        <v>949</v>
      </c>
      <c r="J384" s="55">
        <f>I384*C384</f>
        <v>2847</v>
      </c>
      <c r="K384" s="55">
        <f>E384+G384+I384</f>
        <v>59242</v>
      </c>
      <c r="L384" s="55">
        <f>F384+H384+J384</f>
        <v>177726</v>
      </c>
      <c r="M384" s="53"/>
    </row>
    <row r="385" spans="1:13" x14ac:dyDescent="0.3">
      <c r="A385" s="51" t="s">
        <v>597</v>
      </c>
      <c r="B385" s="52" t="s">
        <v>598</v>
      </c>
      <c r="C385" s="54">
        <v>8</v>
      </c>
      <c r="D385" s="103" t="s">
        <v>204</v>
      </c>
      <c r="E385" s="54">
        <v>14791</v>
      </c>
      <c r="F385" s="55">
        <f>E385*C385</f>
        <v>118328</v>
      </c>
      <c r="G385" s="54">
        <v>43502</v>
      </c>
      <c r="H385" s="55">
        <f>G385*C385</f>
        <v>348016</v>
      </c>
      <c r="I385" s="54">
        <v>1899</v>
      </c>
      <c r="J385" s="55">
        <f>I385*C385</f>
        <v>15192</v>
      </c>
      <c r="K385" s="55">
        <f>E385+G385+I385</f>
        <v>60192</v>
      </c>
      <c r="L385" s="55">
        <f>F385+H385+J385</f>
        <v>481536</v>
      </c>
      <c r="M385" s="53"/>
    </row>
    <row r="386" spans="1:13" x14ac:dyDescent="0.3">
      <c r="A386" s="51" t="s">
        <v>599</v>
      </c>
      <c r="B386" s="52"/>
      <c r="C386" s="52"/>
      <c r="D386" s="103"/>
      <c r="E386" s="52"/>
      <c r="F386" s="52"/>
      <c r="G386" s="52"/>
      <c r="H386" s="52"/>
      <c r="I386" s="52"/>
      <c r="J386" s="52"/>
      <c r="K386" s="52"/>
      <c r="L386" s="52"/>
      <c r="M386" s="53"/>
    </row>
    <row r="387" spans="1:13" x14ac:dyDescent="0.3">
      <c r="A387" s="51" t="s">
        <v>600</v>
      </c>
      <c r="B387" s="52" t="s">
        <v>521</v>
      </c>
      <c r="C387" s="54">
        <v>7</v>
      </c>
      <c r="D387" s="103" t="s">
        <v>204</v>
      </c>
      <c r="E387" s="54">
        <v>14791</v>
      </c>
      <c r="F387" s="55">
        <f>E387*C387</f>
        <v>103537</v>
      </c>
      <c r="G387" s="54">
        <v>43502</v>
      </c>
      <c r="H387" s="55">
        <f>G387*C387</f>
        <v>304514</v>
      </c>
      <c r="I387" s="54">
        <v>9496</v>
      </c>
      <c r="J387" s="55">
        <f>I387*C387</f>
        <v>66472</v>
      </c>
      <c r="K387" s="55">
        <f>E387+G387+I387</f>
        <v>67789</v>
      </c>
      <c r="L387" s="55">
        <f>F387+H387+J387</f>
        <v>474523</v>
      </c>
      <c r="M387" s="53"/>
    </row>
    <row r="388" spans="1:13" x14ac:dyDescent="0.3">
      <c r="A388" s="51" t="s">
        <v>601</v>
      </c>
      <c r="B388" s="52" t="s">
        <v>457</v>
      </c>
      <c r="C388" s="54">
        <v>2</v>
      </c>
      <c r="D388" s="103" t="s">
        <v>204</v>
      </c>
      <c r="E388" s="54">
        <v>14791</v>
      </c>
      <c r="F388" s="55">
        <f>E388*C388</f>
        <v>29582</v>
      </c>
      <c r="G388" s="54">
        <v>43502</v>
      </c>
      <c r="H388" s="55">
        <f>G388*C388</f>
        <v>87004</v>
      </c>
      <c r="I388" s="54">
        <v>18993</v>
      </c>
      <c r="J388" s="55">
        <f>I388*C388</f>
        <v>37986</v>
      </c>
      <c r="K388" s="55">
        <f>E388+G388+I388</f>
        <v>77286</v>
      </c>
      <c r="L388" s="55">
        <f>F388+H388+J388</f>
        <v>154572</v>
      </c>
      <c r="M388" s="53"/>
    </row>
    <row r="389" spans="1:13" x14ac:dyDescent="0.3">
      <c r="A389" s="51" t="s">
        <v>488</v>
      </c>
      <c r="B389" s="52"/>
      <c r="C389" s="52"/>
      <c r="D389" s="103"/>
      <c r="E389" s="52"/>
      <c r="F389" s="52"/>
      <c r="G389" s="52"/>
      <c r="H389" s="52"/>
      <c r="I389" s="52"/>
      <c r="J389" s="52"/>
      <c r="K389" s="52"/>
      <c r="L389" s="52"/>
      <c r="M389" s="53"/>
    </row>
    <row r="390" spans="1:13" x14ac:dyDescent="0.3">
      <c r="A390" s="51" t="s">
        <v>602</v>
      </c>
      <c r="B390" s="52"/>
      <c r="C390" s="52"/>
      <c r="D390" s="103"/>
      <c r="E390" s="52"/>
      <c r="F390" s="52"/>
      <c r="G390" s="52"/>
      <c r="H390" s="52"/>
      <c r="I390" s="52"/>
      <c r="J390" s="52"/>
      <c r="K390" s="52"/>
      <c r="L390" s="52"/>
      <c r="M390" s="53"/>
    </row>
    <row r="391" spans="1:13" x14ac:dyDescent="0.3">
      <c r="A391" s="51" t="s">
        <v>493</v>
      </c>
      <c r="B391" s="52" t="s">
        <v>494</v>
      </c>
      <c r="C391" s="54">
        <v>11</v>
      </c>
      <c r="D391" s="103" t="s">
        <v>204</v>
      </c>
      <c r="E391" s="54">
        <v>4350</v>
      </c>
      <c r="F391" s="55">
        <f>E391*C391</f>
        <v>47850</v>
      </c>
      <c r="G391" s="54">
        <v>21751</v>
      </c>
      <c r="H391" s="55">
        <f>G391*C391</f>
        <v>239261</v>
      </c>
      <c r="I391" s="54">
        <v>4748</v>
      </c>
      <c r="J391" s="55">
        <f>I391*C391</f>
        <v>52228</v>
      </c>
      <c r="K391" s="55">
        <f t="shared" ref="K391:L393" si="53">E391+G391+I391</f>
        <v>30849</v>
      </c>
      <c r="L391" s="55">
        <f t="shared" si="53"/>
        <v>339339</v>
      </c>
      <c r="M391" s="53"/>
    </row>
    <row r="392" spans="1:13" x14ac:dyDescent="0.3">
      <c r="A392" s="51" t="s">
        <v>495</v>
      </c>
      <c r="B392" s="52" t="s">
        <v>496</v>
      </c>
      <c r="C392" s="54">
        <v>57</v>
      </c>
      <c r="D392" s="103" t="s">
        <v>204</v>
      </c>
      <c r="E392" s="54">
        <v>6960</v>
      </c>
      <c r="F392" s="55">
        <f>E392*C392</f>
        <v>396720</v>
      </c>
      <c r="G392" s="54">
        <v>87003</v>
      </c>
      <c r="H392" s="55">
        <f>G392*C392</f>
        <v>4959171</v>
      </c>
      <c r="I392" s="54">
        <v>0</v>
      </c>
      <c r="J392" s="55">
        <f>I392*C392</f>
        <v>0</v>
      </c>
      <c r="K392" s="55">
        <f t="shared" si="53"/>
        <v>93963</v>
      </c>
      <c r="L392" s="55">
        <f t="shared" si="53"/>
        <v>5355891</v>
      </c>
      <c r="M392" s="53"/>
    </row>
    <row r="393" spans="1:13" x14ac:dyDescent="0.3">
      <c r="A393" s="51" t="s">
        <v>603</v>
      </c>
      <c r="B393" s="52" t="s">
        <v>281</v>
      </c>
      <c r="C393" s="54">
        <v>1379</v>
      </c>
      <c r="D393" s="103" t="s">
        <v>234</v>
      </c>
      <c r="E393" s="54">
        <v>435</v>
      </c>
      <c r="F393" s="55">
        <f>E393*C393</f>
        <v>599865</v>
      </c>
      <c r="G393" s="54">
        <v>435</v>
      </c>
      <c r="H393" s="55">
        <f>G393*C393</f>
        <v>599865</v>
      </c>
      <c r="I393" s="54">
        <v>0</v>
      </c>
      <c r="J393" s="55">
        <f>I393*C393</f>
        <v>0</v>
      </c>
      <c r="K393" s="55">
        <f t="shared" si="53"/>
        <v>870</v>
      </c>
      <c r="L393" s="55">
        <f t="shared" si="53"/>
        <v>1199730</v>
      </c>
      <c r="M393" s="53"/>
    </row>
    <row r="394" spans="1:13" x14ac:dyDescent="0.3">
      <c r="A394" s="51" t="s">
        <v>604</v>
      </c>
      <c r="B394" s="52"/>
      <c r="C394" s="52"/>
      <c r="D394" s="103"/>
      <c r="E394" s="52"/>
      <c r="F394" s="52"/>
      <c r="G394" s="52"/>
      <c r="H394" s="52"/>
      <c r="I394" s="52"/>
      <c r="J394" s="52"/>
      <c r="K394" s="52"/>
      <c r="L394" s="52"/>
      <c r="M394" s="53"/>
    </row>
    <row r="395" spans="1:13" x14ac:dyDescent="0.3">
      <c r="A395" s="51" t="s">
        <v>605</v>
      </c>
      <c r="B395" s="52"/>
      <c r="C395" s="54">
        <v>919</v>
      </c>
      <c r="D395" s="103" t="s">
        <v>234</v>
      </c>
      <c r="E395" s="54">
        <v>870</v>
      </c>
      <c r="F395" s="55">
        <f>E395*C395</f>
        <v>799530</v>
      </c>
      <c r="G395" s="54">
        <v>1305</v>
      </c>
      <c r="H395" s="55">
        <f>G395*C395</f>
        <v>1199295</v>
      </c>
      <c r="I395" s="54">
        <v>949</v>
      </c>
      <c r="J395" s="55">
        <f>I395*C395</f>
        <v>872131</v>
      </c>
      <c r="K395" s="55">
        <f>E395+G395+I395</f>
        <v>3124</v>
      </c>
      <c r="L395" s="55">
        <f>F395+H395+J395</f>
        <v>2870956</v>
      </c>
      <c r="M395" s="53"/>
    </row>
    <row r="396" spans="1:13" x14ac:dyDescent="0.3">
      <c r="A396" s="51" t="s">
        <v>606</v>
      </c>
      <c r="B396" s="52" t="s">
        <v>607</v>
      </c>
      <c r="C396" s="54">
        <v>150</v>
      </c>
      <c r="D396" s="103" t="s">
        <v>103</v>
      </c>
      <c r="E396" s="54">
        <v>1740</v>
      </c>
      <c r="F396" s="55">
        <f>E396*C396</f>
        <v>261000</v>
      </c>
      <c r="G396" s="54">
        <v>0</v>
      </c>
      <c r="H396" s="55">
        <f>G396*C396</f>
        <v>0</v>
      </c>
      <c r="I396" s="54">
        <v>0</v>
      </c>
      <c r="J396" s="55">
        <f>I396*C396</f>
        <v>0</v>
      </c>
      <c r="K396" s="55">
        <f>E396+G396+I396</f>
        <v>1740</v>
      </c>
      <c r="L396" s="55">
        <f>F396+H396+J396</f>
        <v>261000</v>
      </c>
      <c r="M396" s="53"/>
    </row>
    <row r="397" spans="1:13" x14ac:dyDescent="0.3">
      <c r="A397" s="51" t="s">
        <v>608</v>
      </c>
      <c r="B397" s="52"/>
      <c r="C397" s="52"/>
      <c r="D397" s="103"/>
      <c r="E397" s="52"/>
      <c r="F397" s="52"/>
      <c r="G397" s="52"/>
      <c r="H397" s="52"/>
      <c r="I397" s="52"/>
      <c r="J397" s="52"/>
      <c r="K397" s="52"/>
      <c r="L397" s="52"/>
      <c r="M397" s="53"/>
    </row>
    <row r="398" spans="1:13" x14ac:dyDescent="0.3">
      <c r="A398" s="51" t="s">
        <v>609</v>
      </c>
      <c r="B398" s="52" t="s">
        <v>521</v>
      </c>
      <c r="C398" s="54">
        <v>1</v>
      </c>
      <c r="D398" s="103" t="s">
        <v>189</v>
      </c>
      <c r="E398" s="54">
        <v>0</v>
      </c>
      <c r="F398" s="55">
        <f>E398*C398</f>
        <v>0</v>
      </c>
      <c r="G398" s="54">
        <v>43501</v>
      </c>
      <c r="H398" s="55">
        <f>G398*C398</f>
        <v>43501</v>
      </c>
      <c r="I398" s="54">
        <v>237417</v>
      </c>
      <c r="J398" s="55">
        <f>I398*C398</f>
        <v>237417</v>
      </c>
      <c r="K398" s="55">
        <f>E398+G398+I398</f>
        <v>280918</v>
      </c>
      <c r="L398" s="55">
        <f>F398+H398+J398</f>
        <v>280918</v>
      </c>
      <c r="M398" s="53"/>
    </row>
    <row r="399" spans="1:13" x14ac:dyDescent="0.3">
      <c r="A399" s="51" t="s">
        <v>610</v>
      </c>
      <c r="B399" s="52" t="s">
        <v>457</v>
      </c>
      <c r="C399" s="54">
        <v>4</v>
      </c>
      <c r="D399" s="103" t="s">
        <v>189</v>
      </c>
      <c r="E399" s="54">
        <v>0</v>
      </c>
      <c r="F399" s="55">
        <f>E399*C399</f>
        <v>0</v>
      </c>
      <c r="G399" s="54">
        <v>43502</v>
      </c>
      <c r="H399" s="55">
        <f>G399*C399</f>
        <v>174008</v>
      </c>
      <c r="I399" s="54">
        <v>284900</v>
      </c>
      <c r="J399" s="55">
        <f>I399*C399</f>
        <v>1139600</v>
      </c>
      <c r="K399" s="55">
        <f>E399+G399+I399</f>
        <v>328402</v>
      </c>
      <c r="L399" s="55">
        <f>F399+H399+J399</f>
        <v>1313608</v>
      </c>
      <c r="M399" s="53"/>
    </row>
    <row r="400" spans="1:13" x14ac:dyDescent="0.3">
      <c r="A400" s="51" t="s">
        <v>499</v>
      </c>
      <c r="B400" s="52"/>
      <c r="C400" s="52"/>
      <c r="D400" s="103"/>
      <c r="E400" s="52"/>
      <c r="F400" s="52"/>
      <c r="G400" s="52"/>
      <c r="H400" s="52"/>
      <c r="I400" s="52"/>
      <c r="J400" s="52"/>
      <c r="K400" s="52"/>
      <c r="L400" s="52"/>
      <c r="M400" s="53"/>
    </row>
    <row r="401" spans="1:13" x14ac:dyDescent="0.3">
      <c r="A401" s="51" t="s">
        <v>611</v>
      </c>
      <c r="B401" s="52"/>
      <c r="C401" s="52"/>
      <c r="D401" s="103"/>
      <c r="E401" s="52"/>
      <c r="F401" s="52"/>
      <c r="G401" s="52"/>
      <c r="H401" s="52"/>
      <c r="I401" s="52"/>
      <c r="J401" s="52"/>
      <c r="K401" s="52"/>
      <c r="L401" s="52"/>
      <c r="M401" s="53"/>
    </row>
    <row r="402" spans="1:13" x14ac:dyDescent="0.3">
      <c r="A402" s="51" t="s">
        <v>406</v>
      </c>
      <c r="B402" s="52" t="s">
        <v>612</v>
      </c>
      <c r="C402" s="54">
        <v>2</v>
      </c>
      <c r="D402" s="103" t="s">
        <v>103</v>
      </c>
      <c r="E402" s="54">
        <v>78477</v>
      </c>
      <c r="F402" s="55">
        <f>E402*C402</f>
        <v>156954</v>
      </c>
      <c r="G402" s="54">
        <v>0</v>
      </c>
      <c r="H402" s="55">
        <f>G402*C402</f>
        <v>0</v>
      </c>
      <c r="I402" s="54">
        <v>0</v>
      </c>
      <c r="J402" s="55">
        <f>I402*C402</f>
        <v>0</v>
      </c>
      <c r="K402" s="55">
        <f t="shared" ref="K402:L404" si="54">E402+G402+I402</f>
        <v>78477</v>
      </c>
      <c r="L402" s="55">
        <f t="shared" si="54"/>
        <v>156954</v>
      </c>
      <c r="M402" s="53"/>
    </row>
    <row r="403" spans="1:13" x14ac:dyDescent="0.3">
      <c r="A403" s="51" t="s">
        <v>408</v>
      </c>
      <c r="B403" s="52" t="s">
        <v>407</v>
      </c>
      <c r="C403" s="54">
        <v>35</v>
      </c>
      <c r="D403" s="103" t="s">
        <v>103</v>
      </c>
      <c r="E403" s="54">
        <v>76563</v>
      </c>
      <c r="F403" s="55">
        <f>E403*C403</f>
        <v>2679705</v>
      </c>
      <c r="G403" s="54">
        <v>0</v>
      </c>
      <c r="H403" s="55">
        <f>G403*C403</f>
        <v>0</v>
      </c>
      <c r="I403" s="54">
        <v>0</v>
      </c>
      <c r="J403" s="55">
        <f>I403*C403</f>
        <v>0</v>
      </c>
      <c r="K403" s="55">
        <f t="shared" si="54"/>
        <v>76563</v>
      </c>
      <c r="L403" s="55">
        <f t="shared" si="54"/>
        <v>2679705</v>
      </c>
      <c r="M403" s="53"/>
    </row>
    <row r="404" spans="1:13" x14ac:dyDescent="0.3">
      <c r="A404" s="51" t="s">
        <v>613</v>
      </c>
      <c r="B404" s="52" t="s">
        <v>409</v>
      </c>
      <c r="C404" s="54">
        <v>6</v>
      </c>
      <c r="D404" s="103" t="s">
        <v>103</v>
      </c>
      <c r="E404" s="54">
        <v>74997</v>
      </c>
      <c r="F404" s="55">
        <f>E404*C404</f>
        <v>449982</v>
      </c>
      <c r="G404" s="54">
        <v>0</v>
      </c>
      <c r="H404" s="55">
        <f>G404*C404</f>
        <v>0</v>
      </c>
      <c r="I404" s="54">
        <v>0</v>
      </c>
      <c r="J404" s="55">
        <f>I404*C404</f>
        <v>0</v>
      </c>
      <c r="K404" s="55">
        <f t="shared" si="54"/>
        <v>74997</v>
      </c>
      <c r="L404" s="55">
        <f t="shared" si="54"/>
        <v>449982</v>
      </c>
      <c r="M404" s="53"/>
    </row>
    <row r="405" spans="1:13" x14ac:dyDescent="0.3">
      <c r="A405" s="51" t="s">
        <v>614</v>
      </c>
      <c r="B405" s="52"/>
      <c r="C405" s="52"/>
      <c r="D405" s="103"/>
      <c r="E405" s="52"/>
      <c r="F405" s="52"/>
      <c r="G405" s="52"/>
      <c r="H405" s="52"/>
      <c r="I405" s="52"/>
      <c r="J405" s="52"/>
      <c r="K405" s="52"/>
      <c r="L405" s="52"/>
      <c r="M405" s="53"/>
    </row>
    <row r="406" spans="1:13" x14ac:dyDescent="0.3">
      <c r="A406" s="51" t="s">
        <v>392</v>
      </c>
      <c r="B406" s="52" t="s">
        <v>393</v>
      </c>
      <c r="C406" s="56">
        <v>1.64</v>
      </c>
      <c r="D406" s="103" t="s">
        <v>394</v>
      </c>
      <c r="E406" s="54">
        <v>800795</v>
      </c>
      <c r="F406" s="55">
        <f>E406*C406</f>
        <v>1313303.7999999998</v>
      </c>
      <c r="G406" s="54">
        <v>0</v>
      </c>
      <c r="H406" s="55">
        <f>G406*C406</f>
        <v>0</v>
      </c>
      <c r="I406" s="54">
        <v>0</v>
      </c>
      <c r="J406" s="55">
        <f>I406*C406</f>
        <v>0</v>
      </c>
      <c r="K406" s="55">
        <f t="shared" ref="K406:L409" si="55">E406+G406+I406</f>
        <v>800795</v>
      </c>
      <c r="L406" s="55">
        <f t="shared" si="55"/>
        <v>1313303.7999999998</v>
      </c>
      <c r="M406" s="53"/>
    </row>
    <row r="407" spans="1:13" x14ac:dyDescent="0.3">
      <c r="A407" s="51" t="s">
        <v>501</v>
      </c>
      <c r="B407" s="52" t="s">
        <v>502</v>
      </c>
      <c r="C407" s="56">
        <v>2.5299999999999998</v>
      </c>
      <c r="D407" s="103" t="s">
        <v>394</v>
      </c>
      <c r="E407" s="54">
        <v>800320</v>
      </c>
      <c r="F407" s="55">
        <f>E407*C407</f>
        <v>2024809.5999999999</v>
      </c>
      <c r="G407" s="54">
        <v>0</v>
      </c>
      <c r="H407" s="55">
        <f>G407*C407</f>
        <v>0</v>
      </c>
      <c r="I407" s="54">
        <v>0</v>
      </c>
      <c r="J407" s="55">
        <f>I407*C407</f>
        <v>0</v>
      </c>
      <c r="K407" s="55">
        <f t="shared" si="55"/>
        <v>800320</v>
      </c>
      <c r="L407" s="55">
        <f t="shared" si="55"/>
        <v>2024809.5999999999</v>
      </c>
      <c r="M407" s="53"/>
    </row>
    <row r="408" spans="1:13" x14ac:dyDescent="0.3">
      <c r="A408" s="51" t="s">
        <v>503</v>
      </c>
      <c r="B408" s="52" t="s">
        <v>402</v>
      </c>
      <c r="C408" s="56">
        <v>4.16</v>
      </c>
      <c r="D408" s="103" t="s">
        <v>394</v>
      </c>
      <c r="E408" s="54">
        <v>0</v>
      </c>
      <c r="F408" s="55">
        <f>E408*C408</f>
        <v>0</v>
      </c>
      <c r="G408" s="54">
        <v>0</v>
      </c>
      <c r="H408" s="55">
        <f>G408*C408</f>
        <v>0</v>
      </c>
      <c r="I408" s="54">
        <v>18993</v>
      </c>
      <c r="J408" s="55">
        <f>I408*C408</f>
        <v>79010.880000000005</v>
      </c>
      <c r="K408" s="55">
        <f t="shared" si="55"/>
        <v>18993</v>
      </c>
      <c r="L408" s="55">
        <f t="shared" si="55"/>
        <v>79010.880000000005</v>
      </c>
      <c r="M408" s="53"/>
    </row>
    <row r="409" spans="1:13" x14ac:dyDescent="0.3">
      <c r="A409" s="51" t="s">
        <v>504</v>
      </c>
      <c r="B409" s="52" t="s">
        <v>404</v>
      </c>
      <c r="C409" s="56">
        <v>0.08</v>
      </c>
      <c r="D409" s="103" t="s">
        <v>394</v>
      </c>
      <c r="E409" s="54">
        <v>-344563</v>
      </c>
      <c r="F409" s="55">
        <f>E409*C409</f>
        <v>-27565.040000000001</v>
      </c>
      <c r="G409" s="54">
        <v>0</v>
      </c>
      <c r="H409" s="55">
        <f>G409*C409</f>
        <v>0</v>
      </c>
      <c r="I409" s="54">
        <v>0</v>
      </c>
      <c r="J409" s="55">
        <f>I409*C409</f>
        <v>0</v>
      </c>
      <c r="K409" s="55">
        <f t="shared" si="55"/>
        <v>-344563</v>
      </c>
      <c r="L409" s="55">
        <f t="shared" si="55"/>
        <v>-27565.040000000001</v>
      </c>
      <c r="M409" s="53"/>
    </row>
    <row r="410" spans="1:13" x14ac:dyDescent="0.3">
      <c r="A410" s="51" t="s">
        <v>615</v>
      </c>
      <c r="B410" s="52"/>
      <c r="C410" s="52"/>
      <c r="D410" s="103"/>
      <c r="E410" s="52"/>
      <c r="F410" s="52"/>
      <c r="G410" s="52"/>
      <c r="H410" s="52"/>
      <c r="I410" s="52"/>
      <c r="J410" s="52"/>
      <c r="K410" s="52"/>
      <c r="L410" s="52"/>
      <c r="M410" s="53"/>
    </row>
    <row r="411" spans="1:13" x14ac:dyDescent="0.3">
      <c r="A411" s="51" t="s">
        <v>377</v>
      </c>
      <c r="B411" s="52" t="s">
        <v>378</v>
      </c>
      <c r="C411" s="54">
        <v>73</v>
      </c>
      <c r="D411" s="103" t="s">
        <v>379</v>
      </c>
      <c r="E411" s="54">
        <v>5133</v>
      </c>
      <c r="F411" s="55">
        <f>E411*C411</f>
        <v>374709</v>
      </c>
      <c r="G411" s="54">
        <v>0</v>
      </c>
      <c r="H411" s="55">
        <f>G411*C411</f>
        <v>0</v>
      </c>
      <c r="I411" s="54">
        <v>0</v>
      </c>
      <c r="J411" s="55">
        <f>I411*C411</f>
        <v>0</v>
      </c>
      <c r="K411" s="55">
        <f>E411+G411+I411</f>
        <v>5133</v>
      </c>
      <c r="L411" s="55">
        <f>F411+H411+J411</f>
        <v>374709</v>
      </c>
      <c r="M411" s="53"/>
    </row>
    <row r="412" spans="1:13" x14ac:dyDescent="0.3">
      <c r="A412" s="51" t="s">
        <v>500</v>
      </c>
      <c r="B412" s="52" t="s">
        <v>383</v>
      </c>
      <c r="C412" s="54">
        <v>73</v>
      </c>
      <c r="D412" s="103" t="s">
        <v>379</v>
      </c>
      <c r="E412" s="54">
        <v>0</v>
      </c>
      <c r="F412" s="55">
        <f>E412*C412</f>
        <v>0</v>
      </c>
      <c r="G412" s="54">
        <v>0</v>
      </c>
      <c r="H412" s="55">
        <f>G412*C412</f>
        <v>0</v>
      </c>
      <c r="I412" s="54">
        <v>949</v>
      </c>
      <c r="J412" s="55">
        <f>I412*C412</f>
        <v>69277</v>
      </c>
      <c r="K412" s="55">
        <f>E412+G412+I412</f>
        <v>949</v>
      </c>
      <c r="L412" s="55">
        <f>F412+H412+J412</f>
        <v>69277</v>
      </c>
      <c r="M412" s="53"/>
    </row>
    <row r="413" spans="1:13" x14ac:dyDescent="0.3">
      <c r="A413" s="51" t="s">
        <v>616</v>
      </c>
      <c r="B413" s="52"/>
      <c r="C413" s="52"/>
      <c r="D413" s="103"/>
      <c r="E413" s="52"/>
      <c r="F413" s="52"/>
      <c r="G413" s="52"/>
      <c r="H413" s="52"/>
      <c r="I413" s="52"/>
      <c r="J413" s="52"/>
      <c r="K413" s="52"/>
      <c r="L413" s="52"/>
      <c r="M413" s="53"/>
    </row>
    <row r="414" spans="1:13" x14ac:dyDescent="0.3">
      <c r="A414" s="51" t="s">
        <v>385</v>
      </c>
      <c r="B414" s="52" t="s">
        <v>386</v>
      </c>
      <c r="C414" s="54">
        <v>4</v>
      </c>
      <c r="D414" s="103" t="s">
        <v>103</v>
      </c>
      <c r="E414" s="54">
        <v>22621</v>
      </c>
      <c r="F414" s="55">
        <f>E414*C414</f>
        <v>90484</v>
      </c>
      <c r="G414" s="54">
        <v>0</v>
      </c>
      <c r="H414" s="55">
        <f>G414*C414</f>
        <v>0</v>
      </c>
      <c r="I414" s="54">
        <v>0</v>
      </c>
      <c r="J414" s="55">
        <f>I414*C414</f>
        <v>0</v>
      </c>
      <c r="K414" s="55">
        <f t="shared" ref="K414:L418" si="56">E414+G414+I414</f>
        <v>22621</v>
      </c>
      <c r="L414" s="55">
        <f t="shared" si="56"/>
        <v>90484</v>
      </c>
      <c r="M414" s="53"/>
    </row>
    <row r="415" spans="1:13" x14ac:dyDescent="0.3">
      <c r="A415" s="51" t="s">
        <v>387</v>
      </c>
      <c r="B415" s="52" t="s">
        <v>388</v>
      </c>
      <c r="C415" s="54">
        <v>5</v>
      </c>
      <c r="D415" s="103" t="s">
        <v>103</v>
      </c>
      <c r="E415" s="54">
        <v>22621</v>
      </c>
      <c r="F415" s="55">
        <f>E415*C415</f>
        <v>113105</v>
      </c>
      <c r="G415" s="54">
        <v>0</v>
      </c>
      <c r="H415" s="55">
        <f>G415*C415</f>
        <v>0</v>
      </c>
      <c r="I415" s="54">
        <v>0</v>
      </c>
      <c r="J415" s="55">
        <f>I415*C415</f>
        <v>0</v>
      </c>
      <c r="K415" s="55">
        <f t="shared" si="56"/>
        <v>22621</v>
      </c>
      <c r="L415" s="55">
        <f t="shared" si="56"/>
        <v>113105</v>
      </c>
      <c r="M415" s="53"/>
    </row>
    <row r="416" spans="1:13" x14ac:dyDescent="0.3">
      <c r="A416" s="51" t="s">
        <v>617</v>
      </c>
      <c r="B416" s="52" t="s">
        <v>618</v>
      </c>
      <c r="C416" s="54">
        <v>1</v>
      </c>
      <c r="D416" s="103" t="s">
        <v>103</v>
      </c>
      <c r="E416" s="54">
        <v>22621</v>
      </c>
      <c r="F416" s="55">
        <f>E416*C416</f>
        <v>22621</v>
      </c>
      <c r="G416" s="54">
        <v>0</v>
      </c>
      <c r="H416" s="55">
        <f>G416*C416</f>
        <v>0</v>
      </c>
      <c r="I416" s="54">
        <v>0</v>
      </c>
      <c r="J416" s="55">
        <f>I416*C416</f>
        <v>0</v>
      </c>
      <c r="K416" s="55">
        <f t="shared" si="56"/>
        <v>22621</v>
      </c>
      <c r="L416" s="55">
        <f t="shared" si="56"/>
        <v>22621</v>
      </c>
      <c r="M416" s="53"/>
    </row>
    <row r="417" spans="1:13" x14ac:dyDescent="0.3">
      <c r="A417" s="51" t="s">
        <v>619</v>
      </c>
      <c r="B417" s="52" t="s">
        <v>620</v>
      </c>
      <c r="C417" s="54">
        <v>5</v>
      </c>
      <c r="D417" s="103" t="s">
        <v>103</v>
      </c>
      <c r="E417" s="54">
        <v>15661</v>
      </c>
      <c r="F417" s="55">
        <f>E417*C417</f>
        <v>78305</v>
      </c>
      <c r="G417" s="54">
        <v>0</v>
      </c>
      <c r="H417" s="55">
        <f>G417*C417</f>
        <v>0</v>
      </c>
      <c r="I417" s="54">
        <v>0</v>
      </c>
      <c r="J417" s="55">
        <f>I417*C417</f>
        <v>0</v>
      </c>
      <c r="K417" s="55">
        <f t="shared" si="56"/>
        <v>15661</v>
      </c>
      <c r="L417" s="55">
        <f t="shared" si="56"/>
        <v>78305</v>
      </c>
      <c r="M417" s="53"/>
    </row>
    <row r="418" spans="1:13" x14ac:dyDescent="0.3">
      <c r="A418" s="51" t="s">
        <v>621</v>
      </c>
      <c r="B418" s="52" t="s">
        <v>390</v>
      </c>
      <c r="C418" s="54">
        <v>1</v>
      </c>
      <c r="D418" s="103" t="s">
        <v>103</v>
      </c>
      <c r="E418" s="54">
        <v>15661</v>
      </c>
      <c r="F418" s="55">
        <f>E418*C418</f>
        <v>15661</v>
      </c>
      <c r="G418" s="54">
        <v>0</v>
      </c>
      <c r="H418" s="55">
        <f>G418*C418</f>
        <v>0</v>
      </c>
      <c r="I418" s="54">
        <v>0</v>
      </c>
      <c r="J418" s="55">
        <f>I418*C418</f>
        <v>0</v>
      </c>
      <c r="K418" s="55">
        <f t="shared" si="56"/>
        <v>15661</v>
      </c>
      <c r="L418" s="55">
        <f t="shared" si="56"/>
        <v>15661</v>
      </c>
      <c r="M418" s="53"/>
    </row>
    <row r="419" spans="1:13" x14ac:dyDescent="0.3">
      <c r="A419" s="51" t="s">
        <v>622</v>
      </c>
      <c r="B419" s="52"/>
      <c r="C419" s="52"/>
      <c r="D419" s="103"/>
      <c r="E419" s="52"/>
      <c r="F419" s="52"/>
      <c r="G419" s="52"/>
      <c r="H419" s="52"/>
      <c r="I419" s="52"/>
      <c r="J419" s="52"/>
      <c r="K419" s="52"/>
      <c r="L419" s="52"/>
      <c r="M419" s="53"/>
    </row>
    <row r="420" spans="1:13" x14ac:dyDescent="0.3">
      <c r="A420" s="51" t="s">
        <v>623</v>
      </c>
      <c r="B420" s="52" t="s">
        <v>624</v>
      </c>
      <c r="C420" s="54">
        <v>24</v>
      </c>
      <c r="D420" s="103" t="s">
        <v>371</v>
      </c>
      <c r="E420" s="54">
        <v>206198</v>
      </c>
      <c r="F420" s="55">
        <f>E420*C420</f>
        <v>4948752</v>
      </c>
      <c r="G420" s="54">
        <v>0</v>
      </c>
      <c r="H420" s="55">
        <f>G420*C420</f>
        <v>0</v>
      </c>
      <c r="I420" s="54">
        <v>0</v>
      </c>
      <c r="J420" s="55">
        <f>I420*C420</f>
        <v>0</v>
      </c>
      <c r="K420" s="55">
        <f t="shared" ref="K420:L423" si="57">E420+G420+I420</f>
        <v>206198</v>
      </c>
      <c r="L420" s="55">
        <f t="shared" si="57"/>
        <v>4948752</v>
      </c>
      <c r="M420" s="53"/>
    </row>
    <row r="421" spans="1:13" x14ac:dyDescent="0.3">
      <c r="A421" s="51" t="s">
        <v>625</v>
      </c>
      <c r="B421" s="52" t="s">
        <v>626</v>
      </c>
      <c r="C421" s="54">
        <v>135</v>
      </c>
      <c r="D421" s="103" t="s">
        <v>371</v>
      </c>
      <c r="E421" s="54">
        <v>318432</v>
      </c>
      <c r="F421" s="55">
        <f>E421*C421</f>
        <v>42988320</v>
      </c>
      <c r="G421" s="54">
        <v>0</v>
      </c>
      <c r="H421" s="55">
        <f>G421*C421</f>
        <v>0</v>
      </c>
      <c r="I421" s="54">
        <v>0</v>
      </c>
      <c r="J421" s="55">
        <f>I421*C421</f>
        <v>0</v>
      </c>
      <c r="K421" s="55">
        <f t="shared" si="57"/>
        <v>318432</v>
      </c>
      <c r="L421" s="55">
        <f t="shared" si="57"/>
        <v>42988320</v>
      </c>
      <c r="M421" s="53"/>
    </row>
    <row r="422" spans="1:13" x14ac:dyDescent="0.3">
      <c r="A422" s="51" t="s">
        <v>627</v>
      </c>
      <c r="B422" s="52" t="s">
        <v>628</v>
      </c>
      <c r="C422" s="54">
        <v>1977</v>
      </c>
      <c r="D422" s="103" t="s">
        <v>629</v>
      </c>
      <c r="E422" s="54">
        <v>3045</v>
      </c>
      <c r="F422" s="55">
        <f>E422*C422</f>
        <v>6019965</v>
      </c>
      <c r="G422" s="54">
        <v>0</v>
      </c>
      <c r="H422" s="55">
        <f>G422*C422</f>
        <v>0</v>
      </c>
      <c r="I422" s="54">
        <v>0</v>
      </c>
      <c r="J422" s="55">
        <f>I422*C422</f>
        <v>0</v>
      </c>
      <c r="K422" s="55">
        <f t="shared" si="57"/>
        <v>3045</v>
      </c>
      <c r="L422" s="55">
        <f t="shared" si="57"/>
        <v>6019965</v>
      </c>
      <c r="M422" s="53"/>
    </row>
    <row r="423" spans="1:13" x14ac:dyDescent="0.3">
      <c r="A423" s="51" t="s">
        <v>630</v>
      </c>
      <c r="B423" s="52" t="s">
        <v>631</v>
      </c>
      <c r="C423" s="54">
        <v>46</v>
      </c>
      <c r="D423" s="103" t="s">
        <v>632</v>
      </c>
      <c r="E423" s="54">
        <v>0</v>
      </c>
      <c r="F423" s="55">
        <f>E423*C423</f>
        <v>0</v>
      </c>
      <c r="G423" s="54">
        <v>0</v>
      </c>
      <c r="H423" s="55">
        <f>G423*C423</f>
        <v>0</v>
      </c>
      <c r="I423" s="54">
        <v>18993</v>
      </c>
      <c r="J423" s="55">
        <f>I423*C423</f>
        <v>873678</v>
      </c>
      <c r="K423" s="55">
        <f t="shared" si="57"/>
        <v>18993</v>
      </c>
      <c r="L423" s="55">
        <f t="shared" si="57"/>
        <v>873678</v>
      </c>
      <c r="M423" s="53"/>
    </row>
    <row r="424" spans="1:13" x14ac:dyDescent="0.3">
      <c r="A424" s="51" t="s">
        <v>633</v>
      </c>
      <c r="B424" s="52"/>
      <c r="C424" s="52"/>
      <c r="D424" s="103"/>
      <c r="E424" s="52"/>
      <c r="F424" s="52"/>
      <c r="G424" s="52"/>
      <c r="H424" s="52"/>
      <c r="I424" s="52"/>
      <c r="J424" s="52"/>
      <c r="K424" s="52"/>
      <c r="L424" s="52"/>
      <c r="M424" s="53"/>
    </row>
    <row r="425" spans="1:13" x14ac:dyDescent="0.3">
      <c r="A425" s="51" t="s">
        <v>634</v>
      </c>
      <c r="B425" s="52" t="s">
        <v>635</v>
      </c>
      <c r="C425" s="54">
        <v>39</v>
      </c>
      <c r="D425" s="103" t="s">
        <v>234</v>
      </c>
      <c r="E425" s="54">
        <v>3480</v>
      </c>
      <c r="F425" s="55">
        <f t="shared" ref="F425:F434" si="58">E425*C425</f>
        <v>135720</v>
      </c>
      <c r="G425" s="54">
        <v>0</v>
      </c>
      <c r="H425" s="55">
        <f t="shared" ref="H425:H434" si="59">G425*C425</f>
        <v>0</v>
      </c>
      <c r="I425" s="54">
        <v>0</v>
      </c>
      <c r="J425" s="55">
        <f t="shared" ref="J425:J434" si="60">I425*C425</f>
        <v>0</v>
      </c>
      <c r="K425" s="55">
        <f t="shared" ref="K425:K434" si="61">E425+G425+I425</f>
        <v>3480</v>
      </c>
      <c r="L425" s="55">
        <f t="shared" ref="L425:L434" si="62">F425+H425+J425</f>
        <v>135720</v>
      </c>
      <c r="M425" s="53"/>
    </row>
    <row r="426" spans="1:13" x14ac:dyDescent="0.3">
      <c r="A426" s="51" t="s">
        <v>636</v>
      </c>
      <c r="B426" s="52" t="s">
        <v>366</v>
      </c>
      <c r="C426" s="54">
        <v>51</v>
      </c>
      <c r="D426" s="103" t="s">
        <v>234</v>
      </c>
      <c r="E426" s="54">
        <v>6090</v>
      </c>
      <c r="F426" s="55">
        <f t="shared" si="58"/>
        <v>310590</v>
      </c>
      <c r="G426" s="54">
        <v>0</v>
      </c>
      <c r="H426" s="55">
        <f t="shared" si="59"/>
        <v>0</v>
      </c>
      <c r="I426" s="54">
        <v>0</v>
      </c>
      <c r="J426" s="55">
        <f t="shared" si="60"/>
        <v>0</v>
      </c>
      <c r="K426" s="55">
        <f t="shared" si="61"/>
        <v>6090</v>
      </c>
      <c r="L426" s="55">
        <f t="shared" si="62"/>
        <v>310590</v>
      </c>
      <c r="M426" s="53"/>
    </row>
    <row r="427" spans="1:13" x14ac:dyDescent="0.3">
      <c r="A427" s="51" t="s">
        <v>637</v>
      </c>
      <c r="B427" s="52" t="s">
        <v>638</v>
      </c>
      <c r="C427" s="54">
        <v>3</v>
      </c>
      <c r="D427" s="103" t="s">
        <v>368</v>
      </c>
      <c r="E427" s="54">
        <v>15661</v>
      </c>
      <c r="F427" s="55">
        <f t="shared" si="58"/>
        <v>46983</v>
      </c>
      <c r="G427" s="54">
        <v>0</v>
      </c>
      <c r="H427" s="55">
        <f t="shared" si="59"/>
        <v>0</v>
      </c>
      <c r="I427" s="54">
        <v>0</v>
      </c>
      <c r="J427" s="55">
        <f t="shared" si="60"/>
        <v>0</v>
      </c>
      <c r="K427" s="55">
        <f t="shared" si="61"/>
        <v>15661</v>
      </c>
      <c r="L427" s="55">
        <f t="shared" si="62"/>
        <v>46983</v>
      </c>
      <c r="M427" s="53"/>
    </row>
    <row r="428" spans="1:13" x14ac:dyDescent="0.3">
      <c r="A428" s="51" t="s">
        <v>639</v>
      </c>
      <c r="B428" s="52" t="s">
        <v>640</v>
      </c>
      <c r="C428" s="54">
        <v>8</v>
      </c>
      <c r="D428" s="103" t="s">
        <v>368</v>
      </c>
      <c r="E428" s="54">
        <v>36541</v>
      </c>
      <c r="F428" s="55">
        <f t="shared" si="58"/>
        <v>292328</v>
      </c>
      <c r="G428" s="54">
        <v>0</v>
      </c>
      <c r="H428" s="55">
        <f t="shared" si="59"/>
        <v>0</v>
      </c>
      <c r="I428" s="54">
        <v>0</v>
      </c>
      <c r="J428" s="55">
        <f t="shared" si="60"/>
        <v>0</v>
      </c>
      <c r="K428" s="55">
        <f t="shared" si="61"/>
        <v>36541</v>
      </c>
      <c r="L428" s="55">
        <f t="shared" si="62"/>
        <v>292328</v>
      </c>
      <c r="M428" s="53"/>
    </row>
    <row r="429" spans="1:13" x14ac:dyDescent="0.3">
      <c r="A429" s="51" t="s">
        <v>641</v>
      </c>
      <c r="B429" s="52" t="s">
        <v>635</v>
      </c>
      <c r="C429" s="54">
        <v>3</v>
      </c>
      <c r="D429" s="103" t="s">
        <v>368</v>
      </c>
      <c r="E429" s="54">
        <v>11310</v>
      </c>
      <c r="F429" s="55">
        <f t="shared" si="58"/>
        <v>33930</v>
      </c>
      <c r="G429" s="54">
        <v>0</v>
      </c>
      <c r="H429" s="55">
        <f t="shared" si="59"/>
        <v>0</v>
      </c>
      <c r="I429" s="54">
        <v>0</v>
      </c>
      <c r="J429" s="55">
        <f t="shared" si="60"/>
        <v>0</v>
      </c>
      <c r="K429" s="55">
        <f t="shared" si="61"/>
        <v>11310</v>
      </c>
      <c r="L429" s="55">
        <f t="shared" si="62"/>
        <v>33930</v>
      </c>
      <c r="M429" s="53"/>
    </row>
    <row r="430" spans="1:13" x14ac:dyDescent="0.3">
      <c r="A430" s="51" t="s">
        <v>642</v>
      </c>
      <c r="B430" s="52" t="s">
        <v>366</v>
      </c>
      <c r="C430" s="54">
        <v>8</v>
      </c>
      <c r="D430" s="103" t="s">
        <v>368</v>
      </c>
      <c r="E430" s="54">
        <v>21751</v>
      </c>
      <c r="F430" s="55">
        <f t="shared" si="58"/>
        <v>174008</v>
      </c>
      <c r="G430" s="54">
        <v>0</v>
      </c>
      <c r="H430" s="55">
        <f t="shared" si="59"/>
        <v>0</v>
      </c>
      <c r="I430" s="54">
        <v>0</v>
      </c>
      <c r="J430" s="55">
        <f t="shared" si="60"/>
        <v>0</v>
      </c>
      <c r="K430" s="55">
        <f t="shared" si="61"/>
        <v>21751</v>
      </c>
      <c r="L430" s="55">
        <f t="shared" si="62"/>
        <v>174008</v>
      </c>
      <c r="M430" s="53"/>
    </row>
    <row r="431" spans="1:13" x14ac:dyDescent="0.3">
      <c r="A431" s="51" t="s">
        <v>643</v>
      </c>
      <c r="B431" s="52" t="s">
        <v>635</v>
      </c>
      <c r="C431" s="54">
        <v>3</v>
      </c>
      <c r="D431" s="103" t="s">
        <v>368</v>
      </c>
      <c r="E431" s="54">
        <v>4350</v>
      </c>
      <c r="F431" s="55">
        <f t="shared" si="58"/>
        <v>13050</v>
      </c>
      <c r="G431" s="54">
        <v>0</v>
      </c>
      <c r="H431" s="55">
        <f t="shared" si="59"/>
        <v>0</v>
      </c>
      <c r="I431" s="54">
        <v>0</v>
      </c>
      <c r="J431" s="55">
        <f t="shared" si="60"/>
        <v>0</v>
      </c>
      <c r="K431" s="55">
        <f t="shared" si="61"/>
        <v>4350</v>
      </c>
      <c r="L431" s="55">
        <f t="shared" si="62"/>
        <v>13050</v>
      </c>
      <c r="M431" s="53"/>
    </row>
    <row r="432" spans="1:13" x14ac:dyDescent="0.3">
      <c r="A432" s="51" t="s">
        <v>644</v>
      </c>
      <c r="B432" s="52" t="s">
        <v>366</v>
      </c>
      <c r="C432" s="54">
        <v>8</v>
      </c>
      <c r="D432" s="103" t="s">
        <v>368</v>
      </c>
      <c r="E432" s="54">
        <v>10440</v>
      </c>
      <c r="F432" s="55">
        <f t="shared" si="58"/>
        <v>83520</v>
      </c>
      <c r="G432" s="54">
        <v>0</v>
      </c>
      <c r="H432" s="55">
        <f t="shared" si="59"/>
        <v>0</v>
      </c>
      <c r="I432" s="54">
        <v>0</v>
      </c>
      <c r="J432" s="55">
        <f t="shared" si="60"/>
        <v>0</v>
      </c>
      <c r="K432" s="55">
        <f t="shared" si="61"/>
        <v>10440</v>
      </c>
      <c r="L432" s="55">
        <f t="shared" si="62"/>
        <v>83520</v>
      </c>
      <c r="M432" s="53"/>
    </row>
    <row r="433" spans="1:13" x14ac:dyDescent="0.3">
      <c r="A433" s="51" t="s">
        <v>645</v>
      </c>
      <c r="B433" s="52" t="s">
        <v>635</v>
      </c>
      <c r="C433" s="54">
        <v>3</v>
      </c>
      <c r="D433" s="103" t="s">
        <v>368</v>
      </c>
      <c r="E433" s="54">
        <v>9570</v>
      </c>
      <c r="F433" s="55">
        <f t="shared" si="58"/>
        <v>28710</v>
      </c>
      <c r="G433" s="54">
        <v>0</v>
      </c>
      <c r="H433" s="55">
        <f t="shared" si="59"/>
        <v>0</v>
      </c>
      <c r="I433" s="54">
        <v>0</v>
      </c>
      <c r="J433" s="55">
        <f t="shared" si="60"/>
        <v>0</v>
      </c>
      <c r="K433" s="55">
        <f t="shared" si="61"/>
        <v>9570</v>
      </c>
      <c r="L433" s="55">
        <f t="shared" si="62"/>
        <v>28710</v>
      </c>
      <c r="M433" s="53"/>
    </row>
    <row r="434" spans="1:13" x14ac:dyDescent="0.3">
      <c r="A434" s="51" t="s">
        <v>646</v>
      </c>
      <c r="B434" s="52" t="s">
        <v>366</v>
      </c>
      <c r="C434" s="54">
        <v>8</v>
      </c>
      <c r="D434" s="103" t="s">
        <v>368</v>
      </c>
      <c r="E434" s="54">
        <v>17401</v>
      </c>
      <c r="F434" s="55">
        <f t="shared" si="58"/>
        <v>139208</v>
      </c>
      <c r="G434" s="54">
        <v>0</v>
      </c>
      <c r="H434" s="55">
        <f t="shared" si="59"/>
        <v>0</v>
      </c>
      <c r="I434" s="54">
        <v>0</v>
      </c>
      <c r="J434" s="55">
        <f t="shared" si="60"/>
        <v>0</v>
      </c>
      <c r="K434" s="55">
        <f t="shared" si="61"/>
        <v>17401</v>
      </c>
      <c r="L434" s="55">
        <f t="shared" si="62"/>
        <v>139208</v>
      </c>
      <c r="M434" s="53"/>
    </row>
    <row r="435" spans="1:13" x14ac:dyDescent="0.3">
      <c r="A435" s="51" t="s">
        <v>647</v>
      </c>
      <c r="B435" s="52"/>
      <c r="C435" s="52"/>
      <c r="D435" s="103"/>
      <c r="E435" s="52"/>
      <c r="F435" s="52"/>
      <c r="G435" s="52"/>
      <c r="H435" s="52"/>
      <c r="I435" s="52"/>
      <c r="J435" s="52"/>
      <c r="K435" s="52"/>
      <c r="L435" s="52"/>
      <c r="M435" s="53"/>
    </row>
    <row r="436" spans="1:13" x14ac:dyDescent="0.3">
      <c r="A436" s="51" t="s">
        <v>648</v>
      </c>
      <c r="B436" s="52" t="s">
        <v>558</v>
      </c>
      <c r="C436" s="54">
        <v>11</v>
      </c>
      <c r="D436" s="103" t="s">
        <v>368</v>
      </c>
      <c r="E436" s="54">
        <v>147036</v>
      </c>
      <c r="F436" s="55">
        <f>E436*C436</f>
        <v>1617396</v>
      </c>
      <c r="G436" s="54">
        <v>0</v>
      </c>
      <c r="H436" s="55">
        <f>G436*C436</f>
        <v>0</v>
      </c>
      <c r="I436" s="54">
        <v>0</v>
      </c>
      <c r="J436" s="55">
        <f>I436*C436</f>
        <v>0</v>
      </c>
      <c r="K436" s="55">
        <f t="shared" ref="K436:L438" si="63">E436+G436+I436</f>
        <v>147036</v>
      </c>
      <c r="L436" s="55">
        <f t="shared" si="63"/>
        <v>1617396</v>
      </c>
      <c r="M436" s="53"/>
    </row>
    <row r="437" spans="1:13" x14ac:dyDescent="0.3">
      <c r="A437" s="51" t="s">
        <v>649</v>
      </c>
      <c r="B437" s="52" t="s">
        <v>560</v>
      </c>
      <c r="C437" s="54">
        <v>8</v>
      </c>
      <c r="D437" s="103" t="s">
        <v>368</v>
      </c>
      <c r="E437" s="54">
        <v>289721</v>
      </c>
      <c r="F437" s="55">
        <f>E437*C437</f>
        <v>2317768</v>
      </c>
      <c r="G437" s="54">
        <v>0</v>
      </c>
      <c r="H437" s="55">
        <f>G437*C437</f>
        <v>0</v>
      </c>
      <c r="I437" s="54">
        <v>0</v>
      </c>
      <c r="J437" s="55">
        <f>I437*C437</f>
        <v>0</v>
      </c>
      <c r="K437" s="55">
        <f t="shared" si="63"/>
        <v>289721</v>
      </c>
      <c r="L437" s="55">
        <f t="shared" si="63"/>
        <v>2317768</v>
      </c>
      <c r="M437" s="53"/>
    </row>
    <row r="438" spans="1:13" x14ac:dyDescent="0.3">
      <c r="A438" s="51" t="s">
        <v>650</v>
      </c>
      <c r="B438" s="52" t="s">
        <v>651</v>
      </c>
      <c r="C438" s="54">
        <v>1</v>
      </c>
      <c r="D438" s="103" t="s">
        <v>368</v>
      </c>
      <c r="E438" s="54">
        <v>188798</v>
      </c>
      <c r="F438" s="55">
        <f>E438*C438</f>
        <v>188798</v>
      </c>
      <c r="G438" s="54">
        <v>0</v>
      </c>
      <c r="H438" s="55">
        <f>G438*C438</f>
        <v>0</v>
      </c>
      <c r="I438" s="54">
        <v>0</v>
      </c>
      <c r="J438" s="55">
        <f>I438*C438</f>
        <v>0</v>
      </c>
      <c r="K438" s="55">
        <f t="shared" si="63"/>
        <v>188798</v>
      </c>
      <c r="L438" s="55">
        <f t="shared" si="63"/>
        <v>188798</v>
      </c>
      <c r="M438" s="53"/>
    </row>
    <row r="439" spans="1:13" x14ac:dyDescent="0.3">
      <c r="A439" s="51" t="s">
        <v>652</v>
      </c>
      <c r="B439" s="52"/>
      <c r="C439" s="52"/>
      <c r="D439" s="103"/>
      <c r="E439" s="52"/>
      <c r="F439" s="52"/>
      <c r="G439" s="52"/>
      <c r="H439" s="52"/>
      <c r="I439" s="52"/>
      <c r="J439" s="52"/>
      <c r="K439" s="52"/>
      <c r="L439" s="52"/>
      <c r="M439" s="53"/>
    </row>
    <row r="440" spans="1:13" x14ac:dyDescent="0.3">
      <c r="A440" s="51" t="s">
        <v>441</v>
      </c>
      <c r="B440" s="52" t="s">
        <v>653</v>
      </c>
      <c r="C440" s="54">
        <v>9</v>
      </c>
      <c r="D440" s="103" t="s">
        <v>443</v>
      </c>
      <c r="E440" s="54">
        <v>378465</v>
      </c>
      <c r="F440" s="55">
        <f>E440*C440</f>
        <v>3406185</v>
      </c>
      <c r="G440" s="54">
        <v>0</v>
      </c>
      <c r="H440" s="55">
        <f>G440*C440</f>
        <v>0</v>
      </c>
      <c r="I440" s="54">
        <v>0</v>
      </c>
      <c r="J440" s="55">
        <f>I440*C440</f>
        <v>0</v>
      </c>
      <c r="K440" s="55">
        <f>E440+G440+I440</f>
        <v>378465</v>
      </c>
      <c r="L440" s="55">
        <f>F440+H440+J440</f>
        <v>3406185</v>
      </c>
      <c r="M440" s="53"/>
    </row>
    <row r="441" spans="1:13" x14ac:dyDescent="0.3">
      <c r="A441" s="51" t="s">
        <v>654</v>
      </c>
      <c r="B441" s="52"/>
      <c r="C441" s="52"/>
      <c r="D441" s="103"/>
      <c r="E441" s="52"/>
      <c r="F441" s="52"/>
      <c r="G441" s="52"/>
      <c r="H441" s="52"/>
      <c r="I441" s="52"/>
      <c r="J441" s="52"/>
      <c r="K441" s="52"/>
      <c r="L441" s="52"/>
      <c r="M441" s="53"/>
    </row>
    <row r="442" spans="1:13" x14ac:dyDescent="0.3">
      <c r="A442" s="51" t="s">
        <v>214</v>
      </c>
      <c r="B442" s="52"/>
      <c r="C442" s="52"/>
      <c r="D442" s="103"/>
      <c r="E442" s="52"/>
      <c r="F442" s="52"/>
      <c r="G442" s="52"/>
      <c r="H442" s="52"/>
      <c r="I442" s="52"/>
      <c r="J442" s="52"/>
      <c r="K442" s="52"/>
      <c r="L442" s="52"/>
      <c r="M442" s="53"/>
    </row>
    <row r="443" spans="1:13" x14ac:dyDescent="0.3">
      <c r="A443" s="51" t="s">
        <v>215</v>
      </c>
      <c r="B443" s="52"/>
      <c r="C443" s="52"/>
      <c r="D443" s="103"/>
      <c r="E443" s="52"/>
      <c r="F443" s="52"/>
      <c r="G443" s="52"/>
      <c r="H443" s="52"/>
      <c r="I443" s="52"/>
      <c r="J443" s="52"/>
      <c r="K443" s="52"/>
      <c r="L443" s="52"/>
      <c r="M443" s="53"/>
    </row>
    <row r="444" spans="1:13" x14ac:dyDescent="0.3">
      <c r="A444" s="51" t="s">
        <v>655</v>
      </c>
      <c r="B444" s="52" t="s">
        <v>446</v>
      </c>
      <c r="C444" s="54">
        <v>66</v>
      </c>
      <c r="D444" s="103" t="s">
        <v>103</v>
      </c>
      <c r="E444" s="54">
        <v>0</v>
      </c>
      <c r="F444" s="55">
        <f>E444*C444</f>
        <v>0</v>
      </c>
      <c r="G444" s="54">
        <v>2133</v>
      </c>
      <c r="H444" s="55">
        <f>G444*C444</f>
        <v>140778</v>
      </c>
      <c r="I444" s="54">
        <v>3881</v>
      </c>
      <c r="J444" s="55">
        <f>I444*C444</f>
        <v>256146</v>
      </c>
      <c r="K444" s="55">
        <f>E444+G444+I444</f>
        <v>6014</v>
      </c>
      <c r="L444" s="55">
        <f>F444+H444+J444</f>
        <v>396924</v>
      </c>
      <c r="M444" s="53"/>
    </row>
    <row r="445" spans="1:13" x14ac:dyDescent="0.3">
      <c r="A445" s="51" t="s">
        <v>221</v>
      </c>
      <c r="B445" s="52"/>
      <c r="C445" s="52"/>
      <c r="D445" s="103"/>
      <c r="E445" s="52"/>
      <c r="F445" s="52"/>
      <c r="G445" s="52"/>
      <c r="H445" s="52"/>
      <c r="I445" s="52"/>
      <c r="J445" s="52"/>
      <c r="K445" s="52"/>
      <c r="L445" s="52"/>
      <c r="M445" s="53"/>
    </row>
    <row r="446" spans="1:13" x14ac:dyDescent="0.3">
      <c r="A446" s="51" t="s">
        <v>222</v>
      </c>
      <c r="B446" s="52" t="s">
        <v>656</v>
      </c>
      <c r="C446" s="54">
        <v>60</v>
      </c>
      <c r="D446" s="103" t="s">
        <v>103</v>
      </c>
      <c r="E446" s="54">
        <v>0</v>
      </c>
      <c r="F446" s="55">
        <f>E446*C446</f>
        <v>0</v>
      </c>
      <c r="G446" s="54">
        <v>2540</v>
      </c>
      <c r="H446" s="55">
        <f>G446*C446</f>
        <v>152400</v>
      </c>
      <c r="I446" s="54">
        <v>4990</v>
      </c>
      <c r="J446" s="55">
        <f>I446*C446</f>
        <v>299400</v>
      </c>
      <c r="K446" s="55">
        <f>E446+G446+I446</f>
        <v>7530</v>
      </c>
      <c r="L446" s="55">
        <f>F446+H446+J446</f>
        <v>451800</v>
      </c>
      <c r="M446" s="53"/>
    </row>
    <row r="447" spans="1:13" x14ac:dyDescent="0.3">
      <c r="A447" s="51" t="s">
        <v>227</v>
      </c>
      <c r="B447" s="52"/>
      <c r="C447" s="52"/>
      <c r="D447" s="103"/>
      <c r="E447" s="52"/>
      <c r="F447" s="52"/>
      <c r="G447" s="52"/>
      <c r="H447" s="52"/>
      <c r="I447" s="52"/>
      <c r="J447" s="52"/>
      <c r="K447" s="52"/>
      <c r="L447" s="52"/>
      <c r="M447" s="53"/>
    </row>
    <row r="448" spans="1:13" x14ac:dyDescent="0.3">
      <c r="A448" s="51" t="s">
        <v>228</v>
      </c>
      <c r="B448" s="52" t="s">
        <v>448</v>
      </c>
      <c r="C448" s="54">
        <v>7</v>
      </c>
      <c r="D448" s="103" t="s">
        <v>103</v>
      </c>
      <c r="E448" s="54">
        <v>0</v>
      </c>
      <c r="F448" s="55">
        <f>E448*C448</f>
        <v>0</v>
      </c>
      <c r="G448" s="54">
        <v>0</v>
      </c>
      <c r="H448" s="55">
        <f>G448*C448</f>
        <v>0</v>
      </c>
      <c r="I448" s="54">
        <v>11088</v>
      </c>
      <c r="J448" s="55">
        <f>I448*C448</f>
        <v>77616</v>
      </c>
      <c r="K448" s="55">
        <f>E448+G448+I448</f>
        <v>11088</v>
      </c>
      <c r="L448" s="55">
        <f>F448+H448+J448</f>
        <v>77616</v>
      </c>
      <c r="M448" s="53"/>
    </row>
    <row r="449" spans="1:13" x14ac:dyDescent="0.3">
      <c r="A449" s="51" t="s">
        <v>657</v>
      </c>
      <c r="B449" s="52"/>
      <c r="C449" s="52"/>
      <c r="D449" s="103"/>
      <c r="E449" s="52"/>
      <c r="F449" s="52"/>
      <c r="G449" s="52"/>
      <c r="H449" s="52"/>
      <c r="I449" s="52"/>
      <c r="J449" s="52"/>
      <c r="K449" s="52"/>
      <c r="L449" s="52"/>
      <c r="M449" s="53"/>
    </row>
    <row r="450" spans="1:13" x14ac:dyDescent="0.3">
      <c r="A450" s="51" t="s">
        <v>658</v>
      </c>
      <c r="B450" s="52" t="s">
        <v>659</v>
      </c>
      <c r="C450" s="54">
        <v>6959</v>
      </c>
      <c r="D450" s="103" t="s">
        <v>97</v>
      </c>
      <c r="E450" s="54">
        <v>0</v>
      </c>
      <c r="F450" s="55">
        <f t="shared" ref="F450:F456" si="64">E450*C450</f>
        <v>0</v>
      </c>
      <c r="G450" s="54">
        <v>254</v>
      </c>
      <c r="H450" s="55">
        <f t="shared" ref="H450:H456" si="65">G450*C450</f>
        <v>1767586</v>
      </c>
      <c r="I450" s="54">
        <v>3438</v>
      </c>
      <c r="J450" s="55">
        <f t="shared" ref="J450:J456" si="66">I450*C450</f>
        <v>23925042</v>
      </c>
      <c r="K450" s="55">
        <f t="shared" ref="K450:L456" si="67">E450+G450+I450</f>
        <v>3692</v>
      </c>
      <c r="L450" s="55">
        <f t="shared" si="67"/>
        <v>25692628</v>
      </c>
      <c r="M450" s="53"/>
    </row>
    <row r="451" spans="1:13" x14ac:dyDescent="0.3">
      <c r="A451" s="51" t="s">
        <v>660</v>
      </c>
      <c r="B451" s="52" t="s">
        <v>659</v>
      </c>
      <c r="C451" s="54">
        <v>4880</v>
      </c>
      <c r="D451" s="103" t="s">
        <v>97</v>
      </c>
      <c r="E451" s="54">
        <v>0</v>
      </c>
      <c r="F451" s="55">
        <f t="shared" si="64"/>
        <v>0</v>
      </c>
      <c r="G451" s="54">
        <v>254</v>
      </c>
      <c r="H451" s="55">
        <f t="shared" si="65"/>
        <v>1239520</v>
      </c>
      <c r="I451" s="54">
        <v>3438</v>
      </c>
      <c r="J451" s="55">
        <f t="shared" si="66"/>
        <v>16777440</v>
      </c>
      <c r="K451" s="55">
        <f t="shared" si="67"/>
        <v>3692</v>
      </c>
      <c r="L451" s="55">
        <f t="shared" si="67"/>
        <v>18016960</v>
      </c>
      <c r="M451" s="53"/>
    </row>
    <row r="452" spans="1:13" x14ac:dyDescent="0.3">
      <c r="A452" s="51" t="s">
        <v>661</v>
      </c>
      <c r="B452" s="52" t="s">
        <v>662</v>
      </c>
      <c r="C452" s="54">
        <v>6952</v>
      </c>
      <c r="D452" s="103" t="s">
        <v>97</v>
      </c>
      <c r="E452" s="54">
        <v>0</v>
      </c>
      <c r="F452" s="55">
        <f t="shared" si="64"/>
        <v>0</v>
      </c>
      <c r="G452" s="54">
        <v>254</v>
      </c>
      <c r="H452" s="55">
        <f t="shared" si="65"/>
        <v>1765808</v>
      </c>
      <c r="I452" s="54">
        <v>3438</v>
      </c>
      <c r="J452" s="55">
        <f t="shared" si="66"/>
        <v>23900976</v>
      </c>
      <c r="K452" s="55">
        <f t="shared" si="67"/>
        <v>3692</v>
      </c>
      <c r="L452" s="55">
        <f t="shared" si="67"/>
        <v>25666784</v>
      </c>
      <c r="M452" s="53"/>
    </row>
    <row r="453" spans="1:13" x14ac:dyDescent="0.3">
      <c r="A453" s="51" t="s">
        <v>663</v>
      </c>
      <c r="B453" s="52" t="s">
        <v>664</v>
      </c>
      <c r="C453" s="54">
        <v>4880</v>
      </c>
      <c r="D453" s="103" t="s">
        <v>97</v>
      </c>
      <c r="E453" s="54">
        <v>0</v>
      </c>
      <c r="F453" s="55">
        <f t="shared" si="64"/>
        <v>0</v>
      </c>
      <c r="G453" s="54">
        <v>0</v>
      </c>
      <c r="H453" s="55">
        <f t="shared" si="65"/>
        <v>0</v>
      </c>
      <c r="I453" s="54">
        <v>554</v>
      </c>
      <c r="J453" s="55">
        <f t="shared" si="66"/>
        <v>2703520</v>
      </c>
      <c r="K453" s="55">
        <f t="shared" si="67"/>
        <v>554</v>
      </c>
      <c r="L453" s="55">
        <f t="shared" si="67"/>
        <v>2703520</v>
      </c>
      <c r="M453" s="53"/>
    </row>
    <row r="454" spans="1:13" x14ac:dyDescent="0.3">
      <c r="A454" s="51" t="s">
        <v>665</v>
      </c>
      <c r="B454" s="52" t="s">
        <v>666</v>
      </c>
      <c r="C454" s="54">
        <v>2079</v>
      </c>
      <c r="D454" s="103" t="s">
        <v>97</v>
      </c>
      <c r="E454" s="54">
        <v>0</v>
      </c>
      <c r="F454" s="55">
        <f t="shared" si="64"/>
        <v>0</v>
      </c>
      <c r="G454" s="54">
        <v>0</v>
      </c>
      <c r="H454" s="55">
        <f t="shared" si="65"/>
        <v>0</v>
      </c>
      <c r="I454" s="54">
        <v>554</v>
      </c>
      <c r="J454" s="55">
        <f t="shared" si="66"/>
        <v>1151766</v>
      </c>
      <c r="K454" s="55">
        <f t="shared" si="67"/>
        <v>554</v>
      </c>
      <c r="L454" s="55">
        <f t="shared" si="67"/>
        <v>1151766</v>
      </c>
      <c r="M454" s="53"/>
    </row>
    <row r="455" spans="1:13" x14ac:dyDescent="0.3">
      <c r="A455" s="51" t="s">
        <v>667</v>
      </c>
      <c r="B455" s="52" t="s">
        <v>668</v>
      </c>
      <c r="C455" s="54">
        <v>6945</v>
      </c>
      <c r="D455" s="103" t="s">
        <v>97</v>
      </c>
      <c r="E455" s="54">
        <v>0</v>
      </c>
      <c r="F455" s="55">
        <f t="shared" si="64"/>
        <v>0</v>
      </c>
      <c r="G455" s="54">
        <v>0</v>
      </c>
      <c r="H455" s="55">
        <f t="shared" si="65"/>
        <v>0</v>
      </c>
      <c r="I455" s="54">
        <v>554</v>
      </c>
      <c r="J455" s="55">
        <f t="shared" si="66"/>
        <v>3847530</v>
      </c>
      <c r="K455" s="55">
        <f t="shared" si="67"/>
        <v>554</v>
      </c>
      <c r="L455" s="55">
        <f t="shared" si="67"/>
        <v>3847530</v>
      </c>
      <c r="M455" s="53"/>
    </row>
    <row r="456" spans="1:13" x14ac:dyDescent="0.3">
      <c r="A456" s="51" t="s">
        <v>669</v>
      </c>
      <c r="B456" s="52" t="s">
        <v>670</v>
      </c>
      <c r="C456" s="54">
        <v>1625</v>
      </c>
      <c r="D456" s="103" t="s">
        <v>103</v>
      </c>
      <c r="E456" s="54">
        <v>0</v>
      </c>
      <c r="F456" s="55">
        <f t="shared" si="64"/>
        <v>0</v>
      </c>
      <c r="G456" s="54">
        <v>1524</v>
      </c>
      <c r="H456" s="55">
        <f t="shared" si="65"/>
        <v>2476500</v>
      </c>
      <c r="I456" s="54">
        <v>4990</v>
      </c>
      <c r="J456" s="55">
        <f t="shared" si="66"/>
        <v>8108750</v>
      </c>
      <c r="K456" s="55">
        <f t="shared" si="67"/>
        <v>6514</v>
      </c>
      <c r="L456" s="55">
        <f t="shared" si="67"/>
        <v>10585250</v>
      </c>
      <c r="M456" s="53"/>
    </row>
    <row r="457" spans="1:13" x14ac:dyDescent="0.3">
      <c r="A457" s="51" t="s">
        <v>671</v>
      </c>
      <c r="B457" s="52"/>
      <c r="C457" s="52"/>
      <c r="D457" s="103"/>
      <c r="E457" s="52"/>
      <c r="F457" s="52"/>
      <c r="G457" s="52"/>
      <c r="H457" s="52"/>
      <c r="I457" s="52"/>
      <c r="J457" s="52"/>
      <c r="K457" s="52"/>
      <c r="L457" s="52"/>
      <c r="M457" s="53"/>
    </row>
    <row r="458" spans="1:13" x14ac:dyDescent="0.3">
      <c r="A458" s="51" t="s">
        <v>672</v>
      </c>
      <c r="B458" s="52"/>
      <c r="C458" s="52"/>
      <c r="D458" s="103"/>
      <c r="E458" s="52"/>
      <c r="F458" s="52"/>
      <c r="G458" s="52"/>
      <c r="H458" s="52"/>
      <c r="I458" s="52"/>
      <c r="J458" s="52"/>
      <c r="K458" s="52"/>
      <c r="L458" s="52"/>
      <c r="M458" s="53"/>
    </row>
    <row r="459" spans="1:13" x14ac:dyDescent="0.3">
      <c r="A459" s="51" t="s">
        <v>673</v>
      </c>
      <c r="B459" s="52" t="s">
        <v>674</v>
      </c>
      <c r="C459" s="54">
        <v>2645</v>
      </c>
      <c r="D459" s="103" t="s">
        <v>97</v>
      </c>
      <c r="E459" s="54">
        <v>0</v>
      </c>
      <c r="F459" s="55">
        <f>E459*C459</f>
        <v>0</v>
      </c>
      <c r="G459" s="54">
        <v>15238</v>
      </c>
      <c r="H459" s="55">
        <f>G459*C459</f>
        <v>40304510</v>
      </c>
      <c r="I459" s="54">
        <v>2517</v>
      </c>
      <c r="J459" s="55">
        <f>I459*C459</f>
        <v>6657465</v>
      </c>
      <c r="K459" s="55">
        <f>E459+G459+I459</f>
        <v>17755</v>
      </c>
      <c r="L459" s="55">
        <f>F459+H459+J459</f>
        <v>46961975</v>
      </c>
      <c r="M459" s="53"/>
    </row>
    <row r="460" spans="1:13" x14ac:dyDescent="0.3">
      <c r="A460" s="51" t="s">
        <v>675</v>
      </c>
      <c r="B460" s="52" t="s">
        <v>676</v>
      </c>
      <c r="C460" s="54">
        <v>290</v>
      </c>
      <c r="D460" s="103" t="s">
        <v>103</v>
      </c>
      <c r="E460" s="54">
        <v>0</v>
      </c>
      <c r="F460" s="55">
        <f>E460*C460</f>
        <v>0</v>
      </c>
      <c r="G460" s="54">
        <v>1524</v>
      </c>
      <c r="H460" s="55">
        <f>G460*C460</f>
        <v>441960</v>
      </c>
      <c r="I460" s="54">
        <v>4990</v>
      </c>
      <c r="J460" s="55">
        <f>I460*C460</f>
        <v>1447100</v>
      </c>
      <c r="K460" s="55">
        <f>E460+G460+I460</f>
        <v>6514</v>
      </c>
      <c r="L460" s="55">
        <f>F460+H460+J460</f>
        <v>1889060</v>
      </c>
      <c r="M460" s="53"/>
    </row>
    <row r="461" spans="1:13" x14ac:dyDescent="0.3">
      <c r="A461" s="51" t="s">
        <v>677</v>
      </c>
      <c r="B461" s="52"/>
      <c r="C461" s="52"/>
      <c r="D461" s="103"/>
      <c r="E461" s="52"/>
      <c r="F461" s="52"/>
      <c r="G461" s="52"/>
      <c r="H461" s="52"/>
      <c r="I461" s="52"/>
      <c r="J461" s="52"/>
      <c r="K461" s="52"/>
      <c r="L461" s="52"/>
      <c r="M461" s="53"/>
    </row>
    <row r="462" spans="1:13" x14ac:dyDescent="0.3">
      <c r="A462" s="51" t="s">
        <v>678</v>
      </c>
      <c r="B462" s="52"/>
      <c r="C462" s="52"/>
      <c r="D462" s="103"/>
      <c r="E462" s="52"/>
      <c r="F462" s="52"/>
      <c r="G462" s="52"/>
      <c r="H462" s="52"/>
      <c r="I462" s="52"/>
      <c r="J462" s="52"/>
      <c r="K462" s="52"/>
      <c r="L462" s="52"/>
      <c r="M462" s="53"/>
    </row>
    <row r="463" spans="1:13" x14ac:dyDescent="0.3">
      <c r="A463" s="51" t="s">
        <v>679</v>
      </c>
      <c r="B463" s="52" t="s">
        <v>680</v>
      </c>
      <c r="C463" s="54">
        <v>26</v>
      </c>
      <c r="D463" s="103" t="s">
        <v>97</v>
      </c>
      <c r="E463" s="54">
        <v>0</v>
      </c>
      <c r="F463" s="55">
        <f>E463*C463</f>
        <v>0</v>
      </c>
      <c r="G463" s="54">
        <v>13206</v>
      </c>
      <c r="H463" s="55">
        <f>G463*C463</f>
        <v>343356</v>
      </c>
      <c r="I463" s="54">
        <v>2517</v>
      </c>
      <c r="J463" s="55">
        <f>I463*C463</f>
        <v>65442</v>
      </c>
      <c r="K463" s="55">
        <f t="shared" ref="K463:L465" si="68">E463+G463+I463</f>
        <v>15723</v>
      </c>
      <c r="L463" s="55">
        <f t="shared" si="68"/>
        <v>408798</v>
      </c>
      <c r="M463" s="53"/>
    </row>
    <row r="464" spans="1:13" x14ac:dyDescent="0.3">
      <c r="A464" s="51" t="s">
        <v>681</v>
      </c>
      <c r="B464" s="52" t="s">
        <v>680</v>
      </c>
      <c r="C464" s="54">
        <v>57</v>
      </c>
      <c r="D464" s="103" t="s">
        <v>97</v>
      </c>
      <c r="E464" s="54">
        <v>0</v>
      </c>
      <c r="F464" s="55">
        <f>E464*C464</f>
        <v>0</v>
      </c>
      <c r="G464" s="54">
        <v>13206</v>
      </c>
      <c r="H464" s="55">
        <f>G464*C464</f>
        <v>752742</v>
      </c>
      <c r="I464" s="54">
        <v>2517</v>
      </c>
      <c r="J464" s="55">
        <f>I464*C464</f>
        <v>143469</v>
      </c>
      <c r="K464" s="55">
        <f t="shared" si="68"/>
        <v>15723</v>
      </c>
      <c r="L464" s="55">
        <f t="shared" si="68"/>
        <v>896211</v>
      </c>
      <c r="M464" s="53"/>
    </row>
    <row r="465" spans="1:13" x14ac:dyDescent="0.3">
      <c r="A465" s="51" t="s">
        <v>682</v>
      </c>
      <c r="B465" s="52" t="s">
        <v>683</v>
      </c>
      <c r="C465" s="54">
        <v>9</v>
      </c>
      <c r="D465" s="103" t="s">
        <v>103</v>
      </c>
      <c r="E465" s="54">
        <v>0</v>
      </c>
      <c r="F465" s="55">
        <f>E465*C465</f>
        <v>0</v>
      </c>
      <c r="G465" s="54">
        <v>1524</v>
      </c>
      <c r="H465" s="55">
        <f>G465*C465</f>
        <v>13716</v>
      </c>
      <c r="I465" s="54">
        <v>4990</v>
      </c>
      <c r="J465" s="55">
        <f>I465*C465</f>
        <v>44910</v>
      </c>
      <c r="K465" s="55">
        <f t="shared" si="68"/>
        <v>6514</v>
      </c>
      <c r="L465" s="55">
        <f t="shared" si="68"/>
        <v>58626</v>
      </c>
      <c r="M465" s="53"/>
    </row>
    <row r="466" spans="1:13" x14ac:dyDescent="0.3">
      <c r="A466" s="51" t="s">
        <v>684</v>
      </c>
      <c r="B466" s="52"/>
      <c r="C466" s="52"/>
      <c r="D466" s="103"/>
      <c r="E466" s="52"/>
      <c r="F466" s="52"/>
      <c r="G466" s="52"/>
      <c r="H466" s="52"/>
      <c r="I466" s="52"/>
      <c r="J466" s="52"/>
      <c r="K466" s="52"/>
      <c r="L466" s="52"/>
      <c r="M466" s="53"/>
    </row>
    <row r="467" spans="1:13" x14ac:dyDescent="0.3">
      <c r="A467" s="51" t="s">
        <v>685</v>
      </c>
      <c r="B467" s="52" t="s">
        <v>686</v>
      </c>
      <c r="C467" s="54">
        <v>1612</v>
      </c>
      <c r="D467" s="103" t="s">
        <v>97</v>
      </c>
      <c r="E467" s="54">
        <v>6603</v>
      </c>
      <c r="F467" s="55">
        <f>E467*C467</f>
        <v>10644036</v>
      </c>
      <c r="G467" s="54">
        <v>14222</v>
      </c>
      <c r="H467" s="55">
        <f>G467*C467</f>
        <v>22925864</v>
      </c>
      <c r="I467" s="54">
        <v>3326</v>
      </c>
      <c r="J467" s="55">
        <f>I467*C467</f>
        <v>5361512</v>
      </c>
      <c r="K467" s="55">
        <f>E467+G467+I467</f>
        <v>24151</v>
      </c>
      <c r="L467" s="55">
        <f>F467+H467+J467</f>
        <v>38931412</v>
      </c>
      <c r="M467" s="53"/>
    </row>
    <row r="468" spans="1:13" x14ac:dyDescent="0.3">
      <c r="A468" s="51" t="s">
        <v>687</v>
      </c>
      <c r="B468" s="52"/>
      <c r="C468" s="52"/>
      <c r="D468" s="103"/>
      <c r="E468" s="52"/>
      <c r="F468" s="52"/>
      <c r="G468" s="52"/>
      <c r="H468" s="52"/>
      <c r="I468" s="52"/>
      <c r="J468" s="52"/>
      <c r="K468" s="52"/>
      <c r="L468" s="52"/>
      <c r="M468" s="53"/>
    </row>
    <row r="469" spans="1:13" x14ac:dyDescent="0.3">
      <c r="A469" s="51" t="s">
        <v>658</v>
      </c>
      <c r="B469" s="52" t="s">
        <v>688</v>
      </c>
      <c r="C469" s="54">
        <v>79</v>
      </c>
      <c r="D469" s="103" t="s">
        <v>97</v>
      </c>
      <c r="E469" s="54">
        <v>0</v>
      </c>
      <c r="F469" s="55">
        <f>E469*C469</f>
        <v>0</v>
      </c>
      <c r="G469" s="54">
        <v>10290</v>
      </c>
      <c r="H469" s="55">
        <f>G469*C469</f>
        <v>812910</v>
      </c>
      <c r="I469" s="54">
        <v>21755</v>
      </c>
      <c r="J469" s="55">
        <f>I469*C469</f>
        <v>1718645</v>
      </c>
      <c r="K469" s="55">
        <f t="shared" ref="K469:L473" si="69">E469+G469+I469</f>
        <v>32045</v>
      </c>
      <c r="L469" s="55">
        <f t="shared" si="69"/>
        <v>2531555</v>
      </c>
      <c r="M469" s="53"/>
    </row>
    <row r="470" spans="1:13" x14ac:dyDescent="0.3">
      <c r="A470" s="51" t="s">
        <v>689</v>
      </c>
      <c r="B470" s="52" t="s">
        <v>666</v>
      </c>
      <c r="C470" s="54">
        <v>256</v>
      </c>
      <c r="D470" s="103" t="s">
        <v>97</v>
      </c>
      <c r="E470" s="54">
        <v>0</v>
      </c>
      <c r="F470" s="55">
        <f>E470*C470</f>
        <v>0</v>
      </c>
      <c r="G470" s="54">
        <v>0</v>
      </c>
      <c r="H470" s="55">
        <f>G470*C470</f>
        <v>0</v>
      </c>
      <c r="I470" s="54">
        <v>554</v>
      </c>
      <c r="J470" s="55">
        <f>I470*C470</f>
        <v>141824</v>
      </c>
      <c r="K470" s="55">
        <f t="shared" si="69"/>
        <v>554</v>
      </c>
      <c r="L470" s="55">
        <f t="shared" si="69"/>
        <v>141824</v>
      </c>
      <c r="M470" s="53"/>
    </row>
    <row r="471" spans="1:13" x14ac:dyDescent="0.3">
      <c r="A471" s="51" t="s">
        <v>690</v>
      </c>
      <c r="B471" s="52" t="s">
        <v>691</v>
      </c>
      <c r="C471" s="54">
        <v>64</v>
      </c>
      <c r="D471" s="103" t="s">
        <v>97</v>
      </c>
      <c r="E471" s="54">
        <v>6603</v>
      </c>
      <c r="F471" s="55">
        <f>E471*C471</f>
        <v>422592</v>
      </c>
      <c r="G471" s="54">
        <v>8635</v>
      </c>
      <c r="H471" s="55">
        <f>G471*C471</f>
        <v>552640</v>
      </c>
      <c r="I471" s="54">
        <v>1108</v>
      </c>
      <c r="J471" s="55">
        <f>I471*C471</f>
        <v>70912</v>
      </c>
      <c r="K471" s="55">
        <f t="shared" si="69"/>
        <v>16346</v>
      </c>
      <c r="L471" s="55">
        <f t="shared" si="69"/>
        <v>1046144</v>
      </c>
      <c r="M471" s="53"/>
    </row>
    <row r="472" spans="1:13" x14ac:dyDescent="0.3">
      <c r="A472" s="51" t="s">
        <v>692</v>
      </c>
      <c r="B472" s="52" t="s">
        <v>693</v>
      </c>
      <c r="C472" s="54">
        <v>64</v>
      </c>
      <c r="D472" s="103" t="s">
        <v>97</v>
      </c>
      <c r="E472" s="54">
        <v>6603</v>
      </c>
      <c r="F472" s="55">
        <f>E472*C472</f>
        <v>422592</v>
      </c>
      <c r="G472" s="54">
        <v>8635</v>
      </c>
      <c r="H472" s="55">
        <f>G472*C472</f>
        <v>552640</v>
      </c>
      <c r="I472" s="54">
        <v>1108</v>
      </c>
      <c r="J472" s="55">
        <f>I472*C472</f>
        <v>70912</v>
      </c>
      <c r="K472" s="55">
        <f t="shared" si="69"/>
        <v>16346</v>
      </c>
      <c r="L472" s="55">
        <f t="shared" si="69"/>
        <v>1046144</v>
      </c>
      <c r="M472" s="53"/>
    </row>
    <row r="473" spans="1:13" x14ac:dyDescent="0.3">
      <c r="A473" s="51" t="s">
        <v>694</v>
      </c>
      <c r="B473" s="52" t="s">
        <v>695</v>
      </c>
      <c r="C473" s="54">
        <v>128</v>
      </c>
      <c r="D473" s="103" t="s">
        <v>97</v>
      </c>
      <c r="E473" s="54">
        <v>0</v>
      </c>
      <c r="F473" s="55">
        <f>E473*C473</f>
        <v>0</v>
      </c>
      <c r="G473" s="54">
        <v>4571</v>
      </c>
      <c r="H473" s="55">
        <f>G473*C473</f>
        <v>585088</v>
      </c>
      <c r="I473" s="54">
        <v>1108</v>
      </c>
      <c r="J473" s="55">
        <f>I473*C473</f>
        <v>141824</v>
      </c>
      <c r="K473" s="55">
        <f t="shared" si="69"/>
        <v>5679</v>
      </c>
      <c r="L473" s="55">
        <f t="shared" si="69"/>
        <v>726912</v>
      </c>
      <c r="M473" s="53"/>
    </row>
    <row r="474" spans="1:13" x14ac:dyDescent="0.3">
      <c r="A474" s="51" t="s">
        <v>696</v>
      </c>
      <c r="B474" s="52"/>
      <c r="C474" s="52"/>
      <c r="D474" s="103"/>
      <c r="E474" s="52"/>
      <c r="F474" s="52"/>
      <c r="G474" s="52"/>
      <c r="H474" s="52"/>
      <c r="I474" s="52"/>
      <c r="J474" s="52"/>
      <c r="K474" s="52"/>
      <c r="L474" s="52"/>
      <c r="M474" s="53"/>
    </row>
    <row r="475" spans="1:13" x14ac:dyDescent="0.3">
      <c r="A475" s="51" t="s">
        <v>658</v>
      </c>
      <c r="B475" s="52" t="s">
        <v>659</v>
      </c>
      <c r="C475" s="54">
        <v>96</v>
      </c>
      <c r="D475" s="103" t="s">
        <v>97</v>
      </c>
      <c r="E475" s="54">
        <v>0</v>
      </c>
      <c r="F475" s="55">
        <f t="shared" ref="F475:F481" si="70">E475*C475</f>
        <v>0</v>
      </c>
      <c r="G475" s="54">
        <v>10290</v>
      </c>
      <c r="H475" s="55">
        <f t="shared" ref="H475:H481" si="71">G475*C475</f>
        <v>987840</v>
      </c>
      <c r="I475" s="54">
        <v>21755</v>
      </c>
      <c r="J475" s="55">
        <f t="shared" ref="J475:J481" si="72">I475*C475</f>
        <v>2088480</v>
      </c>
      <c r="K475" s="55">
        <f t="shared" ref="K475:L481" si="73">E475+G475+I475</f>
        <v>32045</v>
      </c>
      <c r="L475" s="55">
        <f t="shared" si="73"/>
        <v>3076320</v>
      </c>
      <c r="M475" s="53"/>
    </row>
    <row r="476" spans="1:13" x14ac:dyDescent="0.3">
      <c r="A476" s="51" t="s">
        <v>689</v>
      </c>
      <c r="B476" s="52" t="s">
        <v>666</v>
      </c>
      <c r="C476" s="54">
        <v>193</v>
      </c>
      <c r="D476" s="103" t="s">
        <v>97</v>
      </c>
      <c r="E476" s="54">
        <v>0</v>
      </c>
      <c r="F476" s="55">
        <f t="shared" si="70"/>
        <v>0</v>
      </c>
      <c r="G476" s="54">
        <v>0</v>
      </c>
      <c r="H476" s="55">
        <f t="shared" si="71"/>
        <v>0</v>
      </c>
      <c r="I476" s="54">
        <v>554</v>
      </c>
      <c r="J476" s="55">
        <f t="shared" si="72"/>
        <v>106922</v>
      </c>
      <c r="K476" s="55">
        <f t="shared" si="73"/>
        <v>554</v>
      </c>
      <c r="L476" s="55">
        <f t="shared" si="73"/>
        <v>106922</v>
      </c>
      <c r="M476" s="53"/>
    </row>
    <row r="477" spans="1:13" x14ac:dyDescent="0.3">
      <c r="A477" s="51" t="s">
        <v>697</v>
      </c>
      <c r="B477" s="52" t="s">
        <v>686</v>
      </c>
      <c r="C477" s="54">
        <v>48</v>
      </c>
      <c r="D477" s="103" t="s">
        <v>97</v>
      </c>
      <c r="E477" s="54">
        <v>6603</v>
      </c>
      <c r="F477" s="55">
        <f t="shared" si="70"/>
        <v>316944</v>
      </c>
      <c r="G477" s="54">
        <v>14222</v>
      </c>
      <c r="H477" s="55">
        <f t="shared" si="71"/>
        <v>682656</v>
      </c>
      <c r="I477" s="54">
        <v>3326</v>
      </c>
      <c r="J477" s="55">
        <f t="shared" si="72"/>
        <v>159648</v>
      </c>
      <c r="K477" s="55">
        <f t="shared" si="73"/>
        <v>24151</v>
      </c>
      <c r="L477" s="55">
        <f t="shared" si="73"/>
        <v>1159248</v>
      </c>
      <c r="M477" s="53"/>
    </row>
    <row r="478" spans="1:13" x14ac:dyDescent="0.3">
      <c r="A478" s="51" t="s">
        <v>692</v>
      </c>
      <c r="B478" s="52" t="s">
        <v>698</v>
      </c>
      <c r="C478" s="54">
        <v>24</v>
      </c>
      <c r="D478" s="103" t="s">
        <v>97</v>
      </c>
      <c r="E478" s="54">
        <v>6603</v>
      </c>
      <c r="F478" s="55">
        <f t="shared" si="70"/>
        <v>158472</v>
      </c>
      <c r="G478" s="54">
        <v>11174</v>
      </c>
      <c r="H478" s="55">
        <f t="shared" si="71"/>
        <v>268176</v>
      </c>
      <c r="I478" s="54">
        <v>1108</v>
      </c>
      <c r="J478" s="55">
        <f t="shared" si="72"/>
        <v>26592</v>
      </c>
      <c r="K478" s="55">
        <f t="shared" si="73"/>
        <v>18885</v>
      </c>
      <c r="L478" s="55">
        <f t="shared" si="73"/>
        <v>453240</v>
      </c>
      <c r="M478" s="53"/>
    </row>
    <row r="479" spans="1:13" x14ac:dyDescent="0.3">
      <c r="A479" s="51" t="s">
        <v>699</v>
      </c>
      <c r="B479" s="52" t="s">
        <v>700</v>
      </c>
      <c r="C479" s="54">
        <v>2</v>
      </c>
      <c r="D479" s="103" t="s">
        <v>97</v>
      </c>
      <c r="E479" s="54">
        <v>6603</v>
      </c>
      <c r="F479" s="55">
        <f t="shared" si="70"/>
        <v>13206</v>
      </c>
      <c r="G479" s="54">
        <v>11175</v>
      </c>
      <c r="H479" s="55">
        <f t="shared" si="71"/>
        <v>22350</v>
      </c>
      <c r="I479" s="54">
        <v>1109</v>
      </c>
      <c r="J479" s="55">
        <f t="shared" si="72"/>
        <v>2218</v>
      </c>
      <c r="K479" s="55">
        <f t="shared" si="73"/>
        <v>18887</v>
      </c>
      <c r="L479" s="55">
        <f t="shared" si="73"/>
        <v>37774</v>
      </c>
      <c r="M479" s="53"/>
    </row>
    <row r="480" spans="1:13" x14ac:dyDescent="0.3">
      <c r="A480" s="51" t="s">
        <v>701</v>
      </c>
      <c r="B480" s="52" t="s">
        <v>698</v>
      </c>
      <c r="C480" s="54">
        <v>24</v>
      </c>
      <c r="D480" s="103" t="s">
        <v>97</v>
      </c>
      <c r="E480" s="54">
        <v>6603</v>
      </c>
      <c r="F480" s="55">
        <f t="shared" si="70"/>
        <v>158472</v>
      </c>
      <c r="G480" s="54">
        <v>11174</v>
      </c>
      <c r="H480" s="55">
        <f t="shared" si="71"/>
        <v>268176</v>
      </c>
      <c r="I480" s="54">
        <v>1108</v>
      </c>
      <c r="J480" s="55">
        <f t="shared" si="72"/>
        <v>26592</v>
      </c>
      <c r="K480" s="55">
        <f t="shared" si="73"/>
        <v>18885</v>
      </c>
      <c r="L480" s="55">
        <f t="shared" si="73"/>
        <v>453240</v>
      </c>
      <c r="M480" s="53"/>
    </row>
    <row r="481" spans="1:13" x14ac:dyDescent="0.3">
      <c r="A481" s="51" t="s">
        <v>702</v>
      </c>
      <c r="B481" s="52" t="s">
        <v>700</v>
      </c>
      <c r="C481" s="54">
        <v>2</v>
      </c>
      <c r="D481" s="103" t="s">
        <v>97</v>
      </c>
      <c r="E481" s="54">
        <v>0</v>
      </c>
      <c r="F481" s="55">
        <f t="shared" si="70"/>
        <v>0</v>
      </c>
      <c r="G481" s="54">
        <v>4572</v>
      </c>
      <c r="H481" s="55">
        <f t="shared" si="71"/>
        <v>9144</v>
      </c>
      <c r="I481" s="54">
        <v>0</v>
      </c>
      <c r="J481" s="55">
        <f t="shared" si="72"/>
        <v>0</v>
      </c>
      <c r="K481" s="55">
        <f t="shared" si="73"/>
        <v>4572</v>
      </c>
      <c r="L481" s="55">
        <f t="shared" si="73"/>
        <v>9144</v>
      </c>
      <c r="M481" s="53"/>
    </row>
    <row r="482" spans="1:13" x14ac:dyDescent="0.3">
      <c r="A482" s="51" t="s">
        <v>703</v>
      </c>
      <c r="B482" s="52"/>
      <c r="C482" s="52"/>
      <c r="D482" s="103"/>
      <c r="E482" s="52"/>
      <c r="F482" s="52"/>
      <c r="G482" s="52"/>
      <c r="H482" s="52"/>
      <c r="I482" s="52"/>
      <c r="J482" s="52"/>
      <c r="K482" s="52"/>
      <c r="L482" s="52"/>
      <c r="M482" s="53"/>
    </row>
    <row r="483" spans="1:13" x14ac:dyDescent="0.3">
      <c r="A483" s="51" t="s">
        <v>704</v>
      </c>
      <c r="B483" s="52"/>
      <c r="C483" s="52"/>
      <c r="D483" s="103"/>
      <c r="E483" s="52"/>
      <c r="F483" s="52"/>
      <c r="G483" s="52"/>
      <c r="H483" s="52"/>
      <c r="I483" s="52"/>
      <c r="J483" s="52"/>
      <c r="K483" s="52"/>
      <c r="L483" s="52"/>
      <c r="M483" s="53"/>
    </row>
    <row r="484" spans="1:13" x14ac:dyDescent="0.3">
      <c r="A484" s="51" t="s">
        <v>705</v>
      </c>
      <c r="B484" s="52" t="s">
        <v>706</v>
      </c>
      <c r="C484" s="54">
        <v>1235</v>
      </c>
      <c r="D484" s="103" t="s">
        <v>234</v>
      </c>
      <c r="E484" s="54">
        <v>0</v>
      </c>
      <c r="F484" s="55">
        <f>E484*C484</f>
        <v>0</v>
      </c>
      <c r="G484" s="54">
        <v>14222</v>
      </c>
      <c r="H484" s="55">
        <f>G484*C484</f>
        <v>17564170</v>
      </c>
      <c r="I484" s="54">
        <v>5389</v>
      </c>
      <c r="J484" s="55">
        <f>I484*C484</f>
        <v>6655415</v>
      </c>
      <c r="K484" s="55">
        <f t="shared" ref="K484:L487" si="74">E484+G484+I484</f>
        <v>19611</v>
      </c>
      <c r="L484" s="55">
        <f t="shared" si="74"/>
        <v>24219585</v>
      </c>
      <c r="M484" s="53"/>
    </row>
    <row r="485" spans="1:13" x14ac:dyDescent="0.3">
      <c r="A485" s="51" t="s">
        <v>707</v>
      </c>
      <c r="B485" s="52" t="s">
        <v>708</v>
      </c>
      <c r="C485" s="54">
        <v>114</v>
      </c>
      <c r="D485" s="103" t="s">
        <v>234</v>
      </c>
      <c r="E485" s="54">
        <v>0</v>
      </c>
      <c r="F485" s="55">
        <f>E485*C485</f>
        <v>0</v>
      </c>
      <c r="G485" s="54">
        <v>14222</v>
      </c>
      <c r="H485" s="55">
        <f>G485*C485</f>
        <v>1621308</v>
      </c>
      <c r="I485" s="54">
        <v>5389</v>
      </c>
      <c r="J485" s="55">
        <f>I485*C485</f>
        <v>614346</v>
      </c>
      <c r="K485" s="55">
        <f t="shared" si="74"/>
        <v>19611</v>
      </c>
      <c r="L485" s="55">
        <f t="shared" si="74"/>
        <v>2235654</v>
      </c>
      <c r="M485" s="53"/>
    </row>
    <row r="486" spans="1:13" x14ac:dyDescent="0.3">
      <c r="A486" s="51" t="s">
        <v>709</v>
      </c>
      <c r="B486" s="52" t="s">
        <v>710</v>
      </c>
      <c r="C486" s="54">
        <v>84</v>
      </c>
      <c r="D486" s="103" t="s">
        <v>234</v>
      </c>
      <c r="E486" s="54">
        <v>0</v>
      </c>
      <c r="F486" s="55">
        <f>E486*C486</f>
        <v>0</v>
      </c>
      <c r="G486" s="54">
        <v>14222</v>
      </c>
      <c r="H486" s="55">
        <f>G486*C486</f>
        <v>1194648</v>
      </c>
      <c r="I486" s="54">
        <v>5389</v>
      </c>
      <c r="J486" s="55">
        <f>I486*C486</f>
        <v>452676</v>
      </c>
      <c r="K486" s="55">
        <f t="shared" si="74"/>
        <v>19611</v>
      </c>
      <c r="L486" s="55">
        <f t="shared" si="74"/>
        <v>1647324</v>
      </c>
      <c r="M486" s="53"/>
    </row>
    <row r="487" spans="1:13" x14ac:dyDescent="0.3">
      <c r="A487" s="51" t="s">
        <v>711</v>
      </c>
      <c r="B487" s="52" t="s">
        <v>712</v>
      </c>
      <c r="C487" s="54">
        <v>113</v>
      </c>
      <c r="D487" s="103" t="s">
        <v>234</v>
      </c>
      <c r="E487" s="54">
        <v>0</v>
      </c>
      <c r="F487" s="55">
        <f>E487*C487</f>
        <v>0</v>
      </c>
      <c r="G487" s="54">
        <v>14222</v>
      </c>
      <c r="H487" s="55">
        <f>G487*C487</f>
        <v>1607086</v>
      </c>
      <c r="I487" s="54">
        <v>5389</v>
      </c>
      <c r="J487" s="55">
        <f>I487*C487</f>
        <v>608957</v>
      </c>
      <c r="K487" s="55">
        <f t="shared" si="74"/>
        <v>19611</v>
      </c>
      <c r="L487" s="55">
        <f t="shared" si="74"/>
        <v>2216043</v>
      </c>
      <c r="M487" s="53"/>
    </row>
    <row r="488" spans="1:13" x14ac:dyDescent="0.3">
      <c r="A488" s="51" t="s">
        <v>713</v>
      </c>
      <c r="B488" s="52"/>
      <c r="C488" s="52"/>
      <c r="D488" s="103"/>
      <c r="E488" s="52"/>
      <c r="F488" s="52"/>
      <c r="G488" s="52"/>
      <c r="H488" s="52"/>
      <c r="I488" s="52"/>
      <c r="J488" s="52"/>
      <c r="K488" s="52"/>
      <c r="L488" s="52"/>
      <c r="M488" s="53"/>
    </row>
    <row r="489" spans="1:13" x14ac:dyDescent="0.3">
      <c r="A489" s="51" t="s">
        <v>714</v>
      </c>
      <c r="B489" s="52" t="s">
        <v>715</v>
      </c>
      <c r="C489" s="54">
        <v>1297</v>
      </c>
      <c r="D489" s="103" t="s">
        <v>234</v>
      </c>
      <c r="E489" s="54">
        <v>0</v>
      </c>
      <c r="F489" s="55">
        <f>E489*C489</f>
        <v>0</v>
      </c>
      <c r="G489" s="54">
        <v>12190</v>
      </c>
      <c r="H489" s="55">
        <f>G489*C489</f>
        <v>15810430</v>
      </c>
      <c r="I489" s="54">
        <v>3881</v>
      </c>
      <c r="J489" s="55">
        <f>I489*C489</f>
        <v>5033657</v>
      </c>
      <c r="K489" s="55">
        <f>E489+G489+I489</f>
        <v>16071</v>
      </c>
      <c r="L489" s="55">
        <f>F489+H489+J489</f>
        <v>20844087</v>
      </c>
      <c r="M489" s="53"/>
    </row>
    <row r="490" spans="1:13" x14ac:dyDescent="0.3">
      <c r="A490" s="51" t="s">
        <v>716</v>
      </c>
      <c r="B490" s="52"/>
      <c r="C490" s="52"/>
      <c r="D490" s="103"/>
      <c r="E490" s="52"/>
      <c r="F490" s="52"/>
      <c r="G490" s="52"/>
      <c r="H490" s="52"/>
      <c r="I490" s="52"/>
      <c r="J490" s="52"/>
      <c r="K490" s="52"/>
      <c r="L490" s="52"/>
      <c r="M490" s="53"/>
    </row>
    <row r="491" spans="1:13" x14ac:dyDescent="0.3">
      <c r="A491" s="51" t="s">
        <v>717</v>
      </c>
      <c r="B491" s="52"/>
      <c r="C491" s="52"/>
      <c r="D491" s="103"/>
      <c r="E491" s="52"/>
      <c r="F491" s="52"/>
      <c r="G491" s="52"/>
      <c r="H491" s="52"/>
      <c r="I491" s="52"/>
      <c r="J491" s="52"/>
      <c r="K491" s="52"/>
      <c r="L491" s="52"/>
      <c r="M491" s="53"/>
    </row>
    <row r="492" spans="1:13" x14ac:dyDescent="0.3">
      <c r="A492" s="51" t="s">
        <v>718</v>
      </c>
      <c r="B492" s="52" t="s">
        <v>719</v>
      </c>
      <c r="C492" s="54">
        <v>6</v>
      </c>
      <c r="D492" s="103" t="s">
        <v>183</v>
      </c>
      <c r="E492" s="54">
        <v>89394</v>
      </c>
      <c r="F492" s="55">
        <f t="shared" ref="F492:F500" si="75">E492*C492</f>
        <v>536364</v>
      </c>
      <c r="G492" s="54">
        <v>50792</v>
      </c>
      <c r="H492" s="55">
        <f t="shared" ref="H492:H500" si="76">G492*C492</f>
        <v>304752</v>
      </c>
      <c r="I492" s="54">
        <v>0</v>
      </c>
      <c r="J492" s="55">
        <f t="shared" ref="J492:J500" si="77">I492*C492</f>
        <v>0</v>
      </c>
      <c r="K492" s="55">
        <f t="shared" ref="K492:K500" si="78">E492+G492+I492</f>
        <v>140186</v>
      </c>
      <c r="L492" s="55">
        <f t="shared" ref="L492:L500" si="79">F492+H492+J492</f>
        <v>841116</v>
      </c>
      <c r="M492" s="53"/>
    </row>
    <row r="493" spans="1:13" x14ac:dyDescent="0.3">
      <c r="A493" s="51" t="s">
        <v>720</v>
      </c>
      <c r="B493" s="52" t="s">
        <v>721</v>
      </c>
      <c r="C493" s="54">
        <v>6</v>
      </c>
      <c r="D493" s="103" t="s">
        <v>183</v>
      </c>
      <c r="E493" s="54">
        <v>89394</v>
      </c>
      <c r="F493" s="55">
        <f t="shared" si="75"/>
        <v>536364</v>
      </c>
      <c r="G493" s="54">
        <v>50792</v>
      </c>
      <c r="H493" s="55">
        <f t="shared" si="76"/>
        <v>304752</v>
      </c>
      <c r="I493" s="54">
        <v>0</v>
      </c>
      <c r="J493" s="55">
        <f t="shared" si="77"/>
        <v>0</v>
      </c>
      <c r="K493" s="55">
        <f t="shared" si="78"/>
        <v>140186</v>
      </c>
      <c r="L493" s="55">
        <f t="shared" si="79"/>
        <v>841116</v>
      </c>
      <c r="M493" s="53"/>
    </row>
    <row r="494" spans="1:13" ht="24" x14ac:dyDescent="0.3">
      <c r="A494" s="51" t="s">
        <v>722</v>
      </c>
      <c r="B494" s="52" t="s">
        <v>723</v>
      </c>
      <c r="C494" s="54">
        <v>1</v>
      </c>
      <c r="D494" s="103" t="s">
        <v>183</v>
      </c>
      <c r="E494" s="54">
        <v>89394</v>
      </c>
      <c r="F494" s="55">
        <f t="shared" si="75"/>
        <v>89394</v>
      </c>
      <c r="G494" s="54">
        <v>50792</v>
      </c>
      <c r="H494" s="55">
        <f t="shared" si="76"/>
        <v>50792</v>
      </c>
      <c r="I494" s="54">
        <v>0</v>
      </c>
      <c r="J494" s="55">
        <f t="shared" si="77"/>
        <v>0</v>
      </c>
      <c r="K494" s="55">
        <f t="shared" si="78"/>
        <v>140186</v>
      </c>
      <c r="L494" s="55">
        <f t="shared" si="79"/>
        <v>140186</v>
      </c>
      <c r="M494" s="53"/>
    </row>
    <row r="495" spans="1:13" x14ac:dyDescent="0.3">
      <c r="A495" s="51" t="s">
        <v>724</v>
      </c>
      <c r="B495" s="52" t="s">
        <v>725</v>
      </c>
      <c r="C495" s="54">
        <v>2</v>
      </c>
      <c r="D495" s="103" t="s">
        <v>183</v>
      </c>
      <c r="E495" s="54">
        <v>81268</v>
      </c>
      <c r="F495" s="55">
        <f t="shared" si="75"/>
        <v>162536</v>
      </c>
      <c r="G495" s="54">
        <v>50793</v>
      </c>
      <c r="H495" s="55">
        <f t="shared" si="76"/>
        <v>101586</v>
      </c>
      <c r="I495" s="54">
        <v>-1</v>
      </c>
      <c r="J495" s="55">
        <f t="shared" si="77"/>
        <v>-2</v>
      </c>
      <c r="K495" s="55">
        <f t="shared" si="78"/>
        <v>132060</v>
      </c>
      <c r="L495" s="55">
        <f t="shared" si="79"/>
        <v>264120</v>
      </c>
      <c r="M495" s="53"/>
    </row>
    <row r="496" spans="1:13" x14ac:dyDescent="0.3">
      <c r="A496" s="51" t="s">
        <v>726</v>
      </c>
      <c r="B496" s="52" t="s">
        <v>719</v>
      </c>
      <c r="C496" s="54">
        <v>1</v>
      </c>
      <c r="D496" s="103" t="s">
        <v>183</v>
      </c>
      <c r="E496" s="54">
        <v>89394</v>
      </c>
      <c r="F496" s="55">
        <f t="shared" si="75"/>
        <v>89394</v>
      </c>
      <c r="G496" s="54">
        <v>50792</v>
      </c>
      <c r="H496" s="55">
        <f t="shared" si="76"/>
        <v>50792</v>
      </c>
      <c r="I496" s="54">
        <v>0</v>
      </c>
      <c r="J496" s="55">
        <f t="shared" si="77"/>
        <v>0</v>
      </c>
      <c r="K496" s="55">
        <f t="shared" si="78"/>
        <v>140186</v>
      </c>
      <c r="L496" s="55">
        <f t="shared" si="79"/>
        <v>140186</v>
      </c>
      <c r="M496" s="53"/>
    </row>
    <row r="497" spans="1:13" x14ac:dyDescent="0.3">
      <c r="A497" s="51" t="s">
        <v>727</v>
      </c>
      <c r="B497" s="52" t="s">
        <v>719</v>
      </c>
      <c r="C497" s="54">
        <v>1</v>
      </c>
      <c r="D497" s="103" t="s">
        <v>183</v>
      </c>
      <c r="E497" s="54">
        <v>89394</v>
      </c>
      <c r="F497" s="55">
        <f t="shared" si="75"/>
        <v>89394</v>
      </c>
      <c r="G497" s="54">
        <v>50792</v>
      </c>
      <c r="H497" s="55">
        <f t="shared" si="76"/>
        <v>50792</v>
      </c>
      <c r="I497" s="54">
        <v>0</v>
      </c>
      <c r="J497" s="55">
        <f t="shared" si="77"/>
        <v>0</v>
      </c>
      <c r="K497" s="55">
        <f t="shared" si="78"/>
        <v>140186</v>
      </c>
      <c r="L497" s="55">
        <f t="shared" si="79"/>
        <v>140186</v>
      </c>
      <c r="M497" s="53"/>
    </row>
    <row r="498" spans="1:13" ht="24" x14ac:dyDescent="0.3">
      <c r="A498" s="51" t="s">
        <v>728</v>
      </c>
      <c r="B498" s="52" t="s">
        <v>729</v>
      </c>
      <c r="C498" s="54">
        <v>1</v>
      </c>
      <c r="D498" s="103" t="s">
        <v>183</v>
      </c>
      <c r="E498" s="54">
        <v>89394</v>
      </c>
      <c r="F498" s="55">
        <f t="shared" si="75"/>
        <v>89394</v>
      </c>
      <c r="G498" s="54">
        <v>50792</v>
      </c>
      <c r="H498" s="55">
        <f t="shared" si="76"/>
        <v>50792</v>
      </c>
      <c r="I498" s="54">
        <v>0</v>
      </c>
      <c r="J498" s="55">
        <f t="shared" si="77"/>
        <v>0</v>
      </c>
      <c r="K498" s="55">
        <f t="shared" si="78"/>
        <v>140186</v>
      </c>
      <c r="L498" s="55">
        <f t="shared" si="79"/>
        <v>140186</v>
      </c>
      <c r="M498" s="53"/>
    </row>
    <row r="499" spans="1:13" ht="24" x14ac:dyDescent="0.3">
      <c r="A499" s="51" t="s">
        <v>730</v>
      </c>
      <c r="B499" s="52" t="s">
        <v>723</v>
      </c>
      <c r="C499" s="54">
        <v>1</v>
      </c>
      <c r="D499" s="103" t="s">
        <v>183</v>
      </c>
      <c r="E499" s="54">
        <v>89394</v>
      </c>
      <c r="F499" s="55">
        <f t="shared" si="75"/>
        <v>89394</v>
      </c>
      <c r="G499" s="54">
        <v>50792</v>
      </c>
      <c r="H499" s="55">
        <f t="shared" si="76"/>
        <v>50792</v>
      </c>
      <c r="I499" s="54">
        <v>0</v>
      </c>
      <c r="J499" s="55">
        <f t="shared" si="77"/>
        <v>0</v>
      </c>
      <c r="K499" s="55">
        <f t="shared" si="78"/>
        <v>140186</v>
      </c>
      <c r="L499" s="55">
        <f t="shared" si="79"/>
        <v>140186</v>
      </c>
      <c r="M499" s="53"/>
    </row>
    <row r="500" spans="1:13" x14ac:dyDescent="0.3">
      <c r="A500" s="51" t="s">
        <v>731</v>
      </c>
      <c r="B500" s="52" t="s">
        <v>732</v>
      </c>
      <c r="C500" s="54">
        <v>4</v>
      </c>
      <c r="D500" s="103" t="s">
        <v>183</v>
      </c>
      <c r="E500" s="54">
        <v>86347</v>
      </c>
      <c r="F500" s="55">
        <f t="shared" si="75"/>
        <v>345388</v>
      </c>
      <c r="G500" s="54">
        <v>50792</v>
      </c>
      <c r="H500" s="55">
        <f t="shared" si="76"/>
        <v>203168</v>
      </c>
      <c r="I500" s="54">
        <v>0</v>
      </c>
      <c r="J500" s="55">
        <f t="shared" si="77"/>
        <v>0</v>
      </c>
      <c r="K500" s="55">
        <f t="shared" si="78"/>
        <v>137139</v>
      </c>
      <c r="L500" s="55">
        <f t="shared" si="79"/>
        <v>548556</v>
      </c>
      <c r="M500" s="53"/>
    </row>
    <row r="501" spans="1:13" x14ac:dyDescent="0.3">
      <c r="A501" s="51" t="s">
        <v>733</v>
      </c>
      <c r="B501" s="52"/>
      <c r="C501" s="52"/>
      <c r="D501" s="103"/>
      <c r="E501" s="52"/>
      <c r="F501" s="52"/>
      <c r="G501" s="52"/>
      <c r="H501" s="52"/>
      <c r="I501" s="52"/>
      <c r="J501" s="52"/>
      <c r="K501" s="52"/>
      <c r="L501" s="52"/>
      <c r="M501" s="53"/>
    </row>
    <row r="502" spans="1:13" x14ac:dyDescent="0.3">
      <c r="A502" s="51" t="s">
        <v>734</v>
      </c>
      <c r="B502" s="52" t="s">
        <v>693</v>
      </c>
      <c r="C502" s="54">
        <v>111</v>
      </c>
      <c r="D502" s="103" t="s">
        <v>97</v>
      </c>
      <c r="E502" s="54">
        <v>6603</v>
      </c>
      <c r="F502" s="55">
        <f t="shared" ref="F502:F510" si="80">E502*C502</f>
        <v>732933</v>
      </c>
      <c r="G502" s="54">
        <v>8635</v>
      </c>
      <c r="H502" s="55">
        <f t="shared" ref="H502:H510" si="81">G502*C502</f>
        <v>958485</v>
      </c>
      <c r="I502" s="54">
        <v>1108</v>
      </c>
      <c r="J502" s="55">
        <f t="shared" ref="J502:J510" si="82">I502*C502</f>
        <v>122988</v>
      </c>
      <c r="K502" s="55">
        <f t="shared" ref="K502:K510" si="83">E502+G502+I502</f>
        <v>16346</v>
      </c>
      <c r="L502" s="55">
        <f t="shared" ref="L502:L510" si="84">F502+H502+J502</f>
        <v>1814406</v>
      </c>
      <c r="M502" s="53"/>
    </row>
    <row r="503" spans="1:13" x14ac:dyDescent="0.3">
      <c r="A503" s="51" t="s">
        <v>735</v>
      </c>
      <c r="B503" s="52" t="s">
        <v>691</v>
      </c>
      <c r="C503" s="54">
        <v>214</v>
      </c>
      <c r="D503" s="103" t="s">
        <v>97</v>
      </c>
      <c r="E503" s="54">
        <v>6603</v>
      </c>
      <c r="F503" s="55">
        <f t="shared" si="80"/>
        <v>1413042</v>
      </c>
      <c r="G503" s="54">
        <v>8635</v>
      </c>
      <c r="H503" s="55">
        <f t="shared" si="81"/>
        <v>1847890</v>
      </c>
      <c r="I503" s="54">
        <v>1108</v>
      </c>
      <c r="J503" s="55">
        <f t="shared" si="82"/>
        <v>237112</v>
      </c>
      <c r="K503" s="55">
        <f t="shared" si="83"/>
        <v>16346</v>
      </c>
      <c r="L503" s="55">
        <f t="shared" si="84"/>
        <v>3498044</v>
      </c>
      <c r="M503" s="53"/>
    </row>
    <row r="504" spans="1:13" x14ac:dyDescent="0.3">
      <c r="A504" s="51" t="s">
        <v>736</v>
      </c>
      <c r="B504" s="52" t="s">
        <v>737</v>
      </c>
      <c r="C504" s="54">
        <v>1</v>
      </c>
      <c r="D504" s="103" t="s">
        <v>97</v>
      </c>
      <c r="E504" s="54">
        <v>6603</v>
      </c>
      <c r="F504" s="55">
        <f t="shared" si="80"/>
        <v>6603</v>
      </c>
      <c r="G504" s="54">
        <v>8635</v>
      </c>
      <c r="H504" s="55">
        <f t="shared" si="81"/>
        <v>8635</v>
      </c>
      <c r="I504" s="54">
        <v>1108</v>
      </c>
      <c r="J504" s="55">
        <f t="shared" si="82"/>
        <v>1108</v>
      </c>
      <c r="K504" s="55">
        <f t="shared" si="83"/>
        <v>16346</v>
      </c>
      <c r="L504" s="55">
        <f t="shared" si="84"/>
        <v>16346</v>
      </c>
      <c r="M504" s="53"/>
    </row>
    <row r="505" spans="1:13" x14ac:dyDescent="0.3">
      <c r="A505" s="51" t="s">
        <v>738</v>
      </c>
      <c r="B505" s="52" t="s">
        <v>698</v>
      </c>
      <c r="C505" s="54">
        <v>211</v>
      </c>
      <c r="D505" s="103" t="s">
        <v>97</v>
      </c>
      <c r="E505" s="54">
        <v>6603</v>
      </c>
      <c r="F505" s="55">
        <f t="shared" si="80"/>
        <v>1393233</v>
      </c>
      <c r="G505" s="54">
        <v>8635</v>
      </c>
      <c r="H505" s="55">
        <f t="shared" si="81"/>
        <v>1821985</v>
      </c>
      <c r="I505" s="54">
        <v>1108</v>
      </c>
      <c r="J505" s="55">
        <f t="shared" si="82"/>
        <v>233788</v>
      </c>
      <c r="K505" s="55">
        <f t="shared" si="83"/>
        <v>16346</v>
      </c>
      <c r="L505" s="55">
        <f t="shared" si="84"/>
        <v>3449006</v>
      </c>
      <c r="M505" s="53"/>
    </row>
    <row r="506" spans="1:13" x14ac:dyDescent="0.3">
      <c r="A506" s="51" t="s">
        <v>739</v>
      </c>
      <c r="B506" s="52" t="s">
        <v>700</v>
      </c>
      <c r="C506" s="54">
        <v>26</v>
      </c>
      <c r="D506" s="103" t="s">
        <v>97</v>
      </c>
      <c r="E506" s="54">
        <v>6603</v>
      </c>
      <c r="F506" s="55">
        <f t="shared" si="80"/>
        <v>171678</v>
      </c>
      <c r="G506" s="54">
        <v>8635</v>
      </c>
      <c r="H506" s="55">
        <f t="shared" si="81"/>
        <v>224510</v>
      </c>
      <c r="I506" s="54">
        <v>1108</v>
      </c>
      <c r="J506" s="55">
        <f t="shared" si="82"/>
        <v>28808</v>
      </c>
      <c r="K506" s="55">
        <f t="shared" si="83"/>
        <v>16346</v>
      </c>
      <c r="L506" s="55">
        <f t="shared" si="84"/>
        <v>424996</v>
      </c>
      <c r="M506" s="53"/>
    </row>
    <row r="507" spans="1:13" x14ac:dyDescent="0.3">
      <c r="A507" s="51" t="s">
        <v>740</v>
      </c>
      <c r="B507" s="52" t="s">
        <v>695</v>
      </c>
      <c r="C507" s="54">
        <v>324</v>
      </c>
      <c r="D507" s="103" t="s">
        <v>97</v>
      </c>
      <c r="E507" s="54">
        <v>6603</v>
      </c>
      <c r="F507" s="55">
        <f t="shared" si="80"/>
        <v>2139372</v>
      </c>
      <c r="G507" s="54">
        <v>4571</v>
      </c>
      <c r="H507" s="55">
        <f t="shared" si="81"/>
        <v>1481004</v>
      </c>
      <c r="I507" s="54">
        <v>1108</v>
      </c>
      <c r="J507" s="55">
        <f t="shared" si="82"/>
        <v>358992</v>
      </c>
      <c r="K507" s="55">
        <f t="shared" si="83"/>
        <v>12282</v>
      </c>
      <c r="L507" s="55">
        <f t="shared" si="84"/>
        <v>3979368</v>
      </c>
      <c r="M507" s="53"/>
    </row>
    <row r="508" spans="1:13" x14ac:dyDescent="0.3">
      <c r="A508" s="51" t="s">
        <v>741</v>
      </c>
      <c r="B508" s="52" t="s">
        <v>742</v>
      </c>
      <c r="C508" s="54">
        <v>1</v>
      </c>
      <c r="D508" s="103" t="s">
        <v>97</v>
      </c>
      <c r="E508" s="54">
        <v>6603</v>
      </c>
      <c r="F508" s="55">
        <f t="shared" si="80"/>
        <v>6603</v>
      </c>
      <c r="G508" s="54">
        <v>4571</v>
      </c>
      <c r="H508" s="55">
        <f t="shared" si="81"/>
        <v>4571</v>
      </c>
      <c r="I508" s="54">
        <v>1108</v>
      </c>
      <c r="J508" s="55">
        <f t="shared" si="82"/>
        <v>1108</v>
      </c>
      <c r="K508" s="55">
        <f t="shared" si="83"/>
        <v>12282</v>
      </c>
      <c r="L508" s="55">
        <f t="shared" si="84"/>
        <v>12282</v>
      </c>
      <c r="M508" s="53"/>
    </row>
    <row r="509" spans="1:13" x14ac:dyDescent="0.3">
      <c r="A509" s="51" t="s">
        <v>743</v>
      </c>
      <c r="B509" s="52" t="s">
        <v>698</v>
      </c>
      <c r="C509" s="54">
        <v>211</v>
      </c>
      <c r="D509" s="103" t="s">
        <v>97</v>
      </c>
      <c r="E509" s="54">
        <v>6603</v>
      </c>
      <c r="F509" s="55">
        <f t="shared" si="80"/>
        <v>1393233</v>
      </c>
      <c r="G509" s="54">
        <v>4571</v>
      </c>
      <c r="H509" s="55">
        <f t="shared" si="81"/>
        <v>964481</v>
      </c>
      <c r="I509" s="54">
        <v>1108</v>
      </c>
      <c r="J509" s="55">
        <f t="shared" si="82"/>
        <v>233788</v>
      </c>
      <c r="K509" s="55">
        <f t="shared" si="83"/>
        <v>12282</v>
      </c>
      <c r="L509" s="55">
        <f t="shared" si="84"/>
        <v>2591502</v>
      </c>
      <c r="M509" s="53"/>
    </row>
    <row r="510" spans="1:13" x14ac:dyDescent="0.3">
      <c r="A510" s="51" t="s">
        <v>744</v>
      </c>
      <c r="B510" s="52" t="s">
        <v>700</v>
      </c>
      <c r="C510" s="54">
        <v>26</v>
      </c>
      <c r="D510" s="103" t="s">
        <v>97</v>
      </c>
      <c r="E510" s="54">
        <v>6603</v>
      </c>
      <c r="F510" s="55">
        <f t="shared" si="80"/>
        <v>171678</v>
      </c>
      <c r="G510" s="54">
        <v>4571</v>
      </c>
      <c r="H510" s="55">
        <f t="shared" si="81"/>
        <v>118846</v>
      </c>
      <c r="I510" s="54">
        <v>1108</v>
      </c>
      <c r="J510" s="55">
        <f t="shared" si="82"/>
        <v>28808</v>
      </c>
      <c r="K510" s="55">
        <f t="shared" si="83"/>
        <v>12282</v>
      </c>
      <c r="L510" s="55">
        <f t="shared" si="84"/>
        <v>319332</v>
      </c>
      <c r="M510" s="53"/>
    </row>
    <row r="511" spans="1:13" x14ac:dyDescent="0.3">
      <c r="A511" s="51" t="s">
        <v>745</v>
      </c>
      <c r="B511" s="52"/>
      <c r="C511" s="52"/>
      <c r="D511" s="103"/>
      <c r="E511" s="52"/>
      <c r="F511" s="52"/>
      <c r="G511" s="52"/>
      <c r="H511" s="52"/>
      <c r="I511" s="52"/>
      <c r="J511" s="52"/>
      <c r="K511" s="52"/>
      <c r="L511" s="52"/>
      <c r="M511" s="53"/>
    </row>
    <row r="512" spans="1:13" x14ac:dyDescent="0.3">
      <c r="A512" s="51" t="s">
        <v>746</v>
      </c>
      <c r="B512" s="52" t="s">
        <v>747</v>
      </c>
      <c r="C512" s="54">
        <v>41</v>
      </c>
      <c r="D512" s="103" t="s">
        <v>183</v>
      </c>
      <c r="E512" s="54">
        <v>45713</v>
      </c>
      <c r="F512" s="55">
        <f>E512*C512</f>
        <v>1874233</v>
      </c>
      <c r="G512" s="54">
        <v>35554</v>
      </c>
      <c r="H512" s="55">
        <f>G512*C512</f>
        <v>1457714</v>
      </c>
      <c r="I512" s="54">
        <v>5544</v>
      </c>
      <c r="J512" s="55">
        <f>I512*C512</f>
        <v>227304</v>
      </c>
      <c r="K512" s="55">
        <f t="shared" ref="K512:L515" si="85">E512+G512+I512</f>
        <v>86811</v>
      </c>
      <c r="L512" s="55">
        <f t="shared" si="85"/>
        <v>3559251</v>
      </c>
      <c r="M512" s="53"/>
    </row>
    <row r="513" spans="1:13" x14ac:dyDescent="0.3">
      <c r="A513" s="51" t="s">
        <v>748</v>
      </c>
      <c r="B513" s="52" t="s">
        <v>749</v>
      </c>
      <c r="C513" s="54">
        <v>6</v>
      </c>
      <c r="D513" s="103" t="s">
        <v>183</v>
      </c>
      <c r="E513" s="54">
        <v>304753</v>
      </c>
      <c r="F513" s="55">
        <f>E513*C513</f>
        <v>1828518</v>
      </c>
      <c r="G513" s="54">
        <v>152376</v>
      </c>
      <c r="H513" s="55">
        <f>G513*C513</f>
        <v>914256</v>
      </c>
      <c r="I513" s="54">
        <v>0</v>
      </c>
      <c r="J513" s="55">
        <f>I513*C513</f>
        <v>0</v>
      </c>
      <c r="K513" s="55">
        <f t="shared" si="85"/>
        <v>457129</v>
      </c>
      <c r="L513" s="55">
        <f t="shared" si="85"/>
        <v>2742774</v>
      </c>
      <c r="M513" s="53"/>
    </row>
    <row r="514" spans="1:13" x14ac:dyDescent="0.3">
      <c r="A514" s="51" t="s">
        <v>750</v>
      </c>
      <c r="B514" s="52" t="s">
        <v>751</v>
      </c>
      <c r="C514" s="54">
        <v>25</v>
      </c>
      <c r="D514" s="103" t="s">
        <v>204</v>
      </c>
      <c r="E514" s="54">
        <v>253961</v>
      </c>
      <c r="F514" s="55">
        <f>E514*C514</f>
        <v>6349025</v>
      </c>
      <c r="G514" s="54">
        <v>101584</v>
      </c>
      <c r="H514" s="55">
        <f>G514*C514</f>
        <v>2539600</v>
      </c>
      <c r="I514" s="54">
        <v>55441</v>
      </c>
      <c r="J514" s="55">
        <f>I514*C514</f>
        <v>1386025</v>
      </c>
      <c r="K514" s="55">
        <f t="shared" si="85"/>
        <v>410986</v>
      </c>
      <c r="L514" s="55">
        <f t="shared" si="85"/>
        <v>10274650</v>
      </c>
      <c r="M514" s="53"/>
    </row>
    <row r="515" spans="1:13" x14ac:dyDescent="0.3">
      <c r="A515" s="51" t="s">
        <v>752</v>
      </c>
      <c r="B515" s="52" t="s">
        <v>383</v>
      </c>
      <c r="C515" s="54">
        <v>10</v>
      </c>
      <c r="D515" s="103" t="s">
        <v>379</v>
      </c>
      <c r="E515" s="54">
        <v>0</v>
      </c>
      <c r="F515" s="55">
        <f>E515*C515</f>
        <v>0</v>
      </c>
      <c r="G515" s="54">
        <v>0</v>
      </c>
      <c r="H515" s="55">
        <f>G515*C515</f>
        <v>0</v>
      </c>
      <c r="I515" s="54">
        <v>1108</v>
      </c>
      <c r="J515" s="55">
        <f>I515*C515</f>
        <v>11080</v>
      </c>
      <c r="K515" s="55">
        <f t="shared" si="85"/>
        <v>1108</v>
      </c>
      <c r="L515" s="55">
        <f t="shared" si="85"/>
        <v>11080</v>
      </c>
      <c r="M515" s="53"/>
    </row>
    <row r="516" spans="1:13" x14ac:dyDescent="0.3">
      <c r="A516" s="51" t="s">
        <v>753</v>
      </c>
      <c r="B516" s="52"/>
      <c r="C516" s="52"/>
      <c r="D516" s="103"/>
      <c r="E516" s="52"/>
      <c r="F516" s="52"/>
      <c r="G516" s="52"/>
      <c r="H516" s="52"/>
      <c r="I516" s="52"/>
      <c r="J516" s="52"/>
      <c r="K516" s="52"/>
      <c r="L516" s="52"/>
      <c r="M516" s="53"/>
    </row>
    <row r="517" spans="1:13" x14ac:dyDescent="0.3">
      <c r="A517" s="51" t="s">
        <v>611</v>
      </c>
      <c r="B517" s="52" t="s">
        <v>407</v>
      </c>
      <c r="C517" s="54">
        <v>188</v>
      </c>
      <c r="D517" s="103" t="s">
        <v>103</v>
      </c>
      <c r="E517" s="54">
        <v>89394</v>
      </c>
      <c r="F517" s="55">
        <f t="shared" ref="F517:F537" si="86">E517*C517</f>
        <v>16806072</v>
      </c>
      <c r="G517" s="54">
        <v>0</v>
      </c>
      <c r="H517" s="55">
        <f t="shared" ref="H517:H537" si="87">G517*C517</f>
        <v>0</v>
      </c>
      <c r="I517" s="54">
        <v>0</v>
      </c>
      <c r="J517" s="55">
        <f t="shared" ref="J517:J537" si="88">I517*C517</f>
        <v>0</v>
      </c>
      <c r="K517" s="55">
        <f t="shared" ref="K517:K537" si="89">E517+G517+I517</f>
        <v>89394</v>
      </c>
      <c r="L517" s="55">
        <f t="shared" ref="L517:L537" si="90">F517+H517+J517</f>
        <v>16806072</v>
      </c>
      <c r="M517" s="53"/>
    </row>
    <row r="518" spans="1:13" x14ac:dyDescent="0.3">
      <c r="A518" s="51" t="s">
        <v>754</v>
      </c>
      <c r="B518" s="52" t="s">
        <v>755</v>
      </c>
      <c r="C518" s="54">
        <v>42</v>
      </c>
      <c r="D518" s="103" t="s">
        <v>103</v>
      </c>
      <c r="E518" s="54">
        <v>87566</v>
      </c>
      <c r="F518" s="55">
        <f t="shared" si="86"/>
        <v>3677772</v>
      </c>
      <c r="G518" s="54">
        <v>0</v>
      </c>
      <c r="H518" s="55">
        <f t="shared" si="87"/>
        <v>0</v>
      </c>
      <c r="I518" s="54">
        <v>0</v>
      </c>
      <c r="J518" s="55">
        <f t="shared" si="88"/>
        <v>0</v>
      </c>
      <c r="K518" s="55">
        <f t="shared" si="89"/>
        <v>87566</v>
      </c>
      <c r="L518" s="55">
        <f t="shared" si="90"/>
        <v>3677772</v>
      </c>
      <c r="M518" s="53"/>
    </row>
    <row r="519" spans="1:13" x14ac:dyDescent="0.3">
      <c r="A519" s="51" t="s">
        <v>756</v>
      </c>
      <c r="B519" s="52" t="s">
        <v>378</v>
      </c>
      <c r="C519" s="54">
        <v>10</v>
      </c>
      <c r="D519" s="103" t="s">
        <v>379</v>
      </c>
      <c r="E519" s="54">
        <v>5994</v>
      </c>
      <c r="F519" s="55">
        <f t="shared" si="86"/>
        <v>59940</v>
      </c>
      <c r="G519" s="54">
        <v>0</v>
      </c>
      <c r="H519" s="55">
        <f t="shared" si="87"/>
        <v>0</v>
      </c>
      <c r="I519" s="54">
        <v>0</v>
      </c>
      <c r="J519" s="55">
        <f t="shared" si="88"/>
        <v>0</v>
      </c>
      <c r="K519" s="55">
        <f t="shared" si="89"/>
        <v>5994</v>
      </c>
      <c r="L519" s="55">
        <f t="shared" si="90"/>
        <v>59940</v>
      </c>
      <c r="M519" s="53"/>
    </row>
    <row r="520" spans="1:13" x14ac:dyDescent="0.3">
      <c r="A520" s="51" t="s">
        <v>757</v>
      </c>
      <c r="B520" s="52" t="s">
        <v>386</v>
      </c>
      <c r="C520" s="54">
        <v>88</v>
      </c>
      <c r="D520" s="103" t="s">
        <v>103</v>
      </c>
      <c r="E520" s="54">
        <v>26412</v>
      </c>
      <c r="F520" s="55">
        <f t="shared" si="86"/>
        <v>2324256</v>
      </c>
      <c r="G520" s="54">
        <v>0</v>
      </c>
      <c r="H520" s="55">
        <f t="shared" si="87"/>
        <v>0</v>
      </c>
      <c r="I520" s="54">
        <v>0</v>
      </c>
      <c r="J520" s="55">
        <f t="shared" si="88"/>
        <v>0</v>
      </c>
      <c r="K520" s="55">
        <f t="shared" si="89"/>
        <v>26412</v>
      </c>
      <c r="L520" s="55">
        <f t="shared" si="90"/>
        <v>2324256</v>
      </c>
      <c r="M520" s="53"/>
    </row>
    <row r="521" spans="1:13" x14ac:dyDescent="0.3">
      <c r="A521" s="51" t="s">
        <v>758</v>
      </c>
      <c r="B521" s="52" t="s">
        <v>618</v>
      </c>
      <c r="C521" s="54">
        <v>311</v>
      </c>
      <c r="D521" s="103" t="s">
        <v>103</v>
      </c>
      <c r="E521" s="54">
        <v>18285</v>
      </c>
      <c r="F521" s="55">
        <f t="shared" si="86"/>
        <v>5686635</v>
      </c>
      <c r="G521" s="54">
        <v>0</v>
      </c>
      <c r="H521" s="55">
        <f t="shared" si="87"/>
        <v>0</v>
      </c>
      <c r="I521" s="54">
        <v>0</v>
      </c>
      <c r="J521" s="55">
        <f t="shared" si="88"/>
        <v>0</v>
      </c>
      <c r="K521" s="55">
        <f t="shared" si="89"/>
        <v>18285</v>
      </c>
      <c r="L521" s="55">
        <f t="shared" si="90"/>
        <v>5686635</v>
      </c>
      <c r="M521" s="53"/>
    </row>
    <row r="522" spans="1:13" x14ac:dyDescent="0.3">
      <c r="A522" s="51" t="s">
        <v>759</v>
      </c>
      <c r="B522" s="52" t="s">
        <v>760</v>
      </c>
      <c r="C522" s="54">
        <v>1014</v>
      </c>
      <c r="D522" s="103" t="s">
        <v>103</v>
      </c>
      <c r="E522" s="54">
        <v>18285</v>
      </c>
      <c r="F522" s="55">
        <f t="shared" si="86"/>
        <v>18540990</v>
      </c>
      <c r="G522" s="54">
        <v>0</v>
      </c>
      <c r="H522" s="55">
        <f t="shared" si="87"/>
        <v>0</v>
      </c>
      <c r="I522" s="54">
        <v>0</v>
      </c>
      <c r="J522" s="55">
        <f t="shared" si="88"/>
        <v>0</v>
      </c>
      <c r="K522" s="55">
        <f t="shared" si="89"/>
        <v>18285</v>
      </c>
      <c r="L522" s="55">
        <f t="shared" si="90"/>
        <v>18540990</v>
      </c>
      <c r="M522" s="53"/>
    </row>
    <row r="523" spans="1:13" x14ac:dyDescent="0.3">
      <c r="A523" s="51" t="s">
        <v>761</v>
      </c>
      <c r="B523" s="52" t="s">
        <v>760</v>
      </c>
      <c r="C523" s="54">
        <v>676</v>
      </c>
      <c r="D523" s="103" t="s">
        <v>103</v>
      </c>
      <c r="E523" s="54">
        <v>18285</v>
      </c>
      <c r="F523" s="55">
        <f t="shared" si="86"/>
        <v>12360660</v>
      </c>
      <c r="G523" s="54">
        <v>0</v>
      </c>
      <c r="H523" s="55">
        <f t="shared" si="87"/>
        <v>0</v>
      </c>
      <c r="I523" s="54">
        <v>0</v>
      </c>
      <c r="J523" s="55">
        <f t="shared" si="88"/>
        <v>0</v>
      </c>
      <c r="K523" s="55">
        <f t="shared" si="89"/>
        <v>18285</v>
      </c>
      <c r="L523" s="55">
        <f t="shared" si="90"/>
        <v>12360660</v>
      </c>
      <c r="M523" s="53"/>
    </row>
    <row r="524" spans="1:13" x14ac:dyDescent="0.3">
      <c r="A524" s="51" t="s">
        <v>762</v>
      </c>
      <c r="B524" s="52" t="s">
        <v>763</v>
      </c>
      <c r="C524" s="54">
        <v>54</v>
      </c>
      <c r="D524" s="103" t="s">
        <v>764</v>
      </c>
      <c r="E524" s="54">
        <v>274277</v>
      </c>
      <c r="F524" s="55">
        <f t="shared" si="86"/>
        <v>14810958</v>
      </c>
      <c r="G524" s="54">
        <v>0</v>
      </c>
      <c r="H524" s="55">
        <f t="shared" si="87"/>
        <v>0</v>
      </c>
      <c r="I524" s="54">
        <v>0</v>
      </c>
      <c r="J524" s="55">
        <f t="shared" si="88"/>
        <v>0</v>
      </c>
      <c r="K524" s="55">
        <f t="shared" si="89"/>
        <v>274277</v>
      </c>
      <c r="L524" s="55">
        <f t="shared" si="90"/>
        <v>14810958</v>
      </c>
      <c r="M524" s="53"/>
    </row>
    <row r="525" spans="1:13" x14ac:dyDescent="0.3">
      <c r="A525" s="51" t="s">
        <v>765</v>
      </c>
      <c r="B525" s="52" t="s">
        <v>766</v>
      </c>
      <c r="C525" s="54">
        <v>46</v>
      </c>
      <c r="D525" s="103" t="s">
        <v>764</v>
      </c>
      <c r="E525" s="54">
        <v>274277</v>
      </c>
      <c r="F525" s="55">
        <f t="shared" si="86"/>
        <v>12616742</v>
      </c>
      <c r="G525" s="54">
        <v>0</v>
      </c>
      <c r="H525" s="55">
        <f t="shared" si="87"/>
        <v>0</v>
      </c>
      <c r="I525" s="54">
        <v>0</v>
      </c>
      <c r="J525" s="55">
        <f t="shared" si="88"/>
        <v>0</v>
      </c>
      <c r="K525" s="55">
        <f t="shared" si="89"/>
        <v>274277</v>
      </c>
      <c r="L525" s="55">
        <f t="shared" si="90"/>
        <v>12616742</v>
      </c>
      <c r="M525" s="53"/>
    </row>
    <row r="526" spans="1:13" x14ac:dyDescent="0.3">
      <c r="A526" s="51" t="s">
        <v>767</v>
      </c>
      <c r="B526" s="52" t="s">
        <v>768</v>
      </c>
      <c r="C526" s="54">
        <v>880</v>
      </c>
      <c r="D526" s="103" t="s">
        <v>394</v>
      </c>
      <c r="E526" s="54">
        <v>102600</v>
      </c>
      <c r="F526" s="55">
        <f t="shared" si="86"/>
        <v>90288000</v>
      </c>
      <c r="G526" s="54">
        <v>0</v>
      </c>
      <c r="H526" s="55">
        <f t="shared" si="87"/>
        <v>0</v>
      </c>
      <c r="I526" s="54">
        <v>0</v>
      </c>
      <c r="J526" s="55">
        <f t="shared" si="88"/>
        <v>0</v>
      </c>
      <c r="K526" s="55">
        <f t="shared" si="89"/>
        <v>102600</v>
      </c>
      <c r="L526" s="55">
        <f t="shared" si="90"/>
        <v>90288000</v>
      </c>
      <c r="M526" s="53"/>
    </row>
    <row r="527" spans="1:13" x14ac:dyDescent="0.3">
      <c r="A527" s="51" t="s">
        <v>769</v>
      </c>
      <c r="B527" s="52" t="s">
        <v>770</v>
      </c>
      <c r="C527" s="54">
        <v>702</v>
      </c>
      <c r="D527" s="103" t="s">
        <v>394</v>
      </c>
      <c r="E527" s="54">
        <v>96505</v>
      </c>
      <c r="F527" s="55">
        <f t="shared" si="86"/>
        <v>67746510</v>
      </c>
      <c r="G527" s="54">
        <v>0</v>
      </c>
      <c r="H527" s="55">
        <f t="shared" si="87"/>
        <v>0</v>
      </c>
      <c r="I527" s="54">
        <v>0</v>
      </c>
      <c r="J527" s="55">
        <f t="shared" si="88"/>
        <v>0</v>
      </c>
      <c r="K527" s="55">
        <f t="shared" si="89"/>
        <v>96505</v>
      </c>
      <c r="L527" s="55">
        <f t="shared" si="90"/>
        <v>67746510</v>
      </c>
      <c r="M527" s="53"/>
    </row>
    <row r="528" spans="1:13" x14ac:dyDescent="0.3">
      <c r="A528" s="51" t="s">
        <v>771</v>
      </c>
      <c r="B528" s="52" t="s">
        <v>772</v>
      </c>
      <c r="C528" s="54">
        <v>669</v>
      </c>
      <c r="D528" s="103" t="s">
        <v>394</v>
      </c>
      <c r="E528" s="54">
        <v>92442</v>
      </c>
      <c r="F528" s="55">
        <f t="shared" si="86"/>
        <v>61843698</v>
      </c>
      <c r="G528" s="54">
        <v>0</v>
      </c>
      <c r="H528" s="55">
        <f t="shared" si="87"/>
        <v>0</v>
      </c>
      <c r="I528" s="54">
        <v>0</v>
      </c>
      <c r="J528" s="55">
        <f t="shared" si="88"/>
        <v>0</v>
      </c>
      <c r="K528" s="55">
        <f t="shared" si="89"/>
        <v>92442</v>
      </c>
      <c r="L528" s="55">
        <f t="shared" si="90"/>
        <v>61843698</v>
      </c>
      <c r="M528" s="53"/>
    </row>
    <row r="529" spans="1:13" x14ac:dyDescent="0.3">
      <c r="A529" s="51" t="s">
        <v>773</v>
      </c>
      <c r="B529" s="52" t="s">
        <v>774</v>
      </c>
      <c r="C529" s="54">
        <v>1501</v>
      </c>
      <c r="D529" s="103" t="s">
        <v>394</v>
      </c>
      <c r="E529" s="54">
        <v>86347</v>
      </c>
      <c r="F529" s="55">
        <f t="shared" si="86"/>
        <v>129606847</v>
      </c>
      <c r="G529" s="54">
        <v>0</v>
      </c>
      <c r="H529" s="55">
        <f t="shared" si="87"/>
        <v>0</v>
      </c>
      <c r="I529" s="54">
        <v>0</v>
      </c>
      <c r="J529" s="55">
        <f t="shared" si="88"/>
        <v>0</v>
      </c>
      <c r="K529" s="55">
        <f t="shared" si="89"/>
        <v>86347</v>
      </c>
      <c r="L529" s="55">
        <f t="shared" si="90"/>
        <v>129606847</v>
      </c>
      <c r="M529" s="53"/>
    </row>
    <row r="530" spans="1:13" x14ac:dyDescent="0.3">
      <c r="A530" s="51" t="s">
        <v>775</v>
      </c>
      <c r="B530" s="52" t="s">
        <v>776</v>
      </c>
      <c r="C530" s="54">
        <v>1272</v>
      </c>
      <c r="D530" s="103" t="s">
        <v>368</v>
      </c>
      <c r="E530" s="54">
        <v>18285</v>
      </c>
      <c r="F530" s="55">
        <f t="shared" si="86"/>
        <v>23258520</v>
      </c>
      <c r="G530" s="54">
        <v>0</v>
      </c>
      <c r="H530" s="55">
        <f t="shared" si="87"/>
        <v>0</v>
      </c>
      <c r="I530" s="54">
        <v>0</v>
      </c>
      <c r="J530" s="55">
        <f t="shared" si="88"/>
        <v>0</v>
      </c>
      <c r="K530" s="55">
        <f t="shared" si="89"/>
        <v>18285</v>
      </c>
      <c r="L530" s="55">
        <f t="shared" si="90"/>
        <v>23258520</v>
      </c>
      <c r="M530" s="53"/>
    </row>
    <row r="531" spans="1:13" x14ac:dyDescent="0.3">
      <c r="A531" s="51" t="s">
        <v>777</v>
      </c>
      <c r="B531" s="52" t="s">
        <v>778</v>
      </c>
      <c r="C531" s="54">
        <v>117</v>
      </c>
      <c r="D531" s="103" t="s">
        <v>368</v>
      </c>
      <c r="E531" s="54">
        <v>27428</v>
      </c>
      <c r="F531" s="55">
        <f t="shared" si="86"/>
        <v>3209076</v>
      </c>
      <c r="G531" s="54">
        <v>0</v>
      </c>
      <c r="H531" s="55">
        <f t="shared" si="87"/>
        <v>0</v>
      </c>
      <c r="I531" s="54">
        <v>0</v>
      </c>
      <c r="J531" s="55">
        <f t="shared" si="88"/>
        <v>0</v>
      </c>
      <c r="K531" s="55">
        <f t="shared" si="89"/>
        <v>27428</v>
      </c>
      <c r="L531" s="55">
        <f t="shared" si="90"/>
        <v>3209076</v>
      </c>
      <c r="M531" s="53"/>
    </row>
    <row r="532" spans="1:13" x14ac:dyDescent="0.3">
      <c r="A532" s="51" t="s">
        <v>779</v>
      </c>
      <c r="B532" s="52" t="s">
        <v>780</v>
      </c>
      <c r="C532" s="54">
        <v>87</v>
      </c>
      <c r="D532" s="103" t="s">
        <v>368</v>
      </c>
      <c r="E532" s="54">
        <v>29459</v>
      </c>
      <c r="F532" s="55">
        <f t="shared" si="86"/>
        <v>2562933</v>
      </c>
      <c r="G532" s="54">
        <v>0</v>
      </c>
      <c r="H532" s="55">
        <f t="shared" si="87"/>
        <v>0</v>
      </c>
      <c r="I532" s="54">
        <v>0</v>
      </c>
      <c r="J532" s="55">
        <f t="shared" si="88"/>
        <v>0</v>
      </c>
      <c r="K532" s="55">
        <f t="shared" si="89"/>
        <v>29459</v>
      </c>
      <c r="L532" s="55">
        <f t="shared" si="90"/>
        <v>2562933</v>
      </c>
      <c r="M532" s="53"/>
    </row>
    <row r="533" spans="1:13" x14ac:dyDescent="0.3">
      <c r="A533" s="51" t="s">
        <v>781</v>
      </c>
      <c r="B533" s="52" t="s">
        <v>782</v>
      </c>
      <c r="C533" s="54">
        <v>116</v>
      </c>
      <c r="D533" s="103" t="s">
        <v>368</v>
      </c>
      <c r="E533" s="54">
        <v>17269</v>
      </c>
      <c r="F533" s="55">
        <f t="shared" si="86"/>
        <v>2003204</v>
      </c>
      <c r="G533" s="54">
        <v>0</v>
      </c>
      <c r="H533" s="55">
        <f t="shared" si="87"/>
        <v>0</v>
      </c>
      <c r="I533" s="54">
        <v>0</v>
      </c>
      <c r="J533" s="55">
        <f t="shared" si="88"/>
        <v>0</v>
      </c>
      <c r="K533" s="55">
        <f t="shared" si="89"/>
        <v>17269</v>
      </c>
      <c r="L533" s="55">
        <f t="shared" si="90"/>
        <v>2003204</v>
      </c>
      <c r="M533" s="53"/>
    </row>
    <row r="534" spans="1:13" x14ac:dyDescent="0.3">
      <c r="A534" s="51" t="s">
        <v>783</v>
      </c>
      <c r="B534" s="52" t="s">
        <v>784</v>
      </c>
      <c r="C534" s="54">
        <v>1336</v>
      </c>
      <c r="D534" s="103" t="s">
        <v>368</v>
      </c>
      <c r="E534" s="54">
        <v>8635</v>
      </c>
      <c r="F534" s="55">
        <f t="shared" si="86"/>
        <v>11536360</v>
      </c>
      <c r="G534" s="54">
        <v>0</v>
      </c>
      <c r="H534" s="55">
        <f t="shared" si="87"/>
        <v>0</v>
      </c>
      <c r="I534" s="54">
        <v>0</v>
      </c>
      <c r="J534" s="55">
        <f t="shared" si="88"/>
        <v>0</v>
      </c>
      <c r="K534" s="55">
        <f t="shared" si="89"/>
        <v>8635</v>
      </c>
      <c r="L534" s="55">
        <f t="shared" si="90"/>
        <v>11536360</v>
      </c>
      <c r="M534" s="53"/>
    </row>
    <row r="535" spans="1:13" x14ac:dyDescent="0.3">
      <c r="A535" s="51" t="s">
        <v>785</v>
      </c>
      <c r="B535" s="52" t="s">
        <v>786</v>
      </c>
      <c r="C535" s="54">
        <v>2750</v>
      </c>
      <c r="D535" s="103" t="s">
        <v>97</v>
      </c>
      <c r="E535" s="54">
        <v>12800</v>
      </c>
      <c r="F535" s="55">
        <f t="shared" si="86"/>
        <v>35200000</v>
      </c>
      <c r="G535" s="54">
        <v>0</v>
      </c>
      <c r="H535" s="55">
        <f t="shared" si="87"/>
        <v>0</v>
      </c>
      <c r="I535" s="54">
        <v>0</v>
      </c>
      <c r="J535" s="55">
        <f t="shared" si="88"/>
        <v>0</v>
      </c>
      <c r="K535" s="55">
        <f t="shared" si="89"/>
        <v>12800</v>
      </c>
      <c r="L535" s="55">
        <f t="shared" si="90"/>
        <v>35200000</v>
      </c>
      <c r="M535" s="53"/>
    </row>
    <row r="536" spans="1:13" x14ac:dyDescent="0.3">
      <c r="A536" s="51" t="s">
        <v>787</v>
      </c>
      <c r="B536" s="52" t="s">
        <v>788</v>
      </c>
      <c r="C536" s="54">
        <v>300</v>
      </c>
      <c r="D536" s="103" t="s">
        <v>368</v>
      </c>
      <c r="E536" s="54">
        <v>3860</v>
      </c>
      <c r="F536" s="55">
        <f t="shared" si="86"/>
        <v>1158000</v>
      </c>
      <c r="G536" s="54">
        <v>0</v>
      </c>
      <c r="H536" s="55">
        <f t="shared" si="87"/>
        <v>0</v>
      </c>
      <c r="I536" s="54">
        <v>0</v>
      </c>
      <c r="J536" s="55">
        <f t="shared" si="88"/>
        <v>0</v>
      </c>
      <c r="K536" s="55">
        <f t="shared" si="89"/>
        <v>3860</v>
      </c>
      <c r="L536" s="55">
        <f t="shared" si="90"/>
        <v>1158000</v>
      </c>
      <c r="M536" s="53"/>
    </row>
    <row r="537" spans="1:13" x14ac:dyDescent="0.3">
      <c r="A537" s="51" t="s">
        <v>789</v>
      </c>
      <c r="B537" s="52" t="s">
        <v>788</v>
      </c>
      <c r="C537" s="54">
        <v>657</v>
      </c>
      <c r="D537" s="103" t="s">
        <v>368</v>
      </c>
      <c r="E537" s="54">
        <v>3860</v>
      </c>
      <c r="F537" s="55">
        <f t="shared" si="86"/>
        <v>2536020</v>
      </c>
      <c r="G537" s="54">
        <v>0</v>
      </c>
      <c r="H537" s="55">
        <f t="shared" si="87"/>
        <v>0</v>
      </c>
      <c r="I537" s="54">
        <v>0</v>
      </c>
      <c r="J537" s="55">
        <f t="shared" si="88"/>
        <v>0</v>
      </c>
      <c r="K537" s="55">
        <f t="shared" si="89"/>
        <v>3860</v>
      </c>
      <c r="L537" s="55">
        <f t="shared" si="90"/>
        <v>2536020</v>
      </c>
      <c r="M537" s="53"/>
    </row>
    <row r="538" spans="1:13" x14ac:dyDescent="0.3">
      <c r="A538" s="51" t="s">
        <v>790</v>
      </c>
      <c r="B538" s="52"/>
      <c r="C538" s="52"/>
      <c r="D538" s="103"/>
      <c r="E538" s="52"/>
      <c r="F538" s="52"/>
      <c r="G538" s="52"/>
      <c r="H538" s="52"/>
      <c r="I538" s="52"/>
      <c r="J538" s="52"/>
      <c r="K538" s="52"/>
      <c r="L538" s="52"/>
      <c r="M538" s="53"/>
    </row>
    <row r="539" spans="1:13" x14ac:dyDescent="0.3">
      <c r="A539" s="51" t="s">
        <v>791</v>
      </c>
      <c r="B539" s="52"/>
      <c r="C539" s="52"/>
      <c r="D539" s="103"/>
      <c r="E539" s="52"/>
      <c r="F539" s="52"/>
      <c r="G539" s="52"/>
      <c r="H539" s="52"/>
      <c r="I539" s="52"/>
      <c r="J539" s="52"/>
      <c r="K539" s="52"/>
      <c r="L539" s="52"/>
      <c r="M539" s="53"/>
    </row>
    <row r="540" spans="1:13" x14ac:dyDescent="0.3">
      <c r="A540" s="51" t="s">
        <v>792</v>
      </c>
      <c r="B540" s="52" t="s">
        <v>347</v>
      </c>
      <c r="C540" s="54">
        <v>131</v>
      </c>
      <c r="D540" s="103" t="s">
        <v>103</v>
      </c>
      <c r="E540" s="54">
        <v>0</v>
      </c>
      <c r="F540" s="55">
        <f t="shared" ref="F540:F555" si="91">E540*C540</f>
        <v>0</v>
      </c>
      <c r="G540" s="54">
        <v>13319</v>
      </c>
      <c r="H540" s="55">
        <f t="shared" ref="H540:H555" si="92">G540*C540</f>
        <v>1744789</v>
      </c>
      <c r="I540" s="54">
        <v>12773</v>
      </c>
      <c r="J540" s="55">
        <f t="shared" ref="J540:J555" si="93">I540*C540</f>
        <v>1673263</v>
      </c>
      <c r="K540" s="55">
        <f t="shared" ref="K540:K555" si="94">E540+G540+I540</f>
        <v>26092</v>
      </c>
      <c r="L540" s="55">
        <f t="shared" ref="L540:L555" si="95">F540+H540+J540</f>
        <v>3418052</v>
      </c>
      <c r="M540" s="53"/>
    </row>
    <row r="541" spans="1:13" x14ac:dyDescent="0.3">
      <c r="A541" s="51" t="s">
        <v>793</v>
      </c>
      <c r="B541" s="52" t="s">
        <v>250</v>
      </c>
      <c r="C541" s="54">
        <v>16</v>
      </c>
      <c r="D541" s="103" t="s">
        <v>103</v>
      </c>
      <c r="E541" s="54">
        <v>0</v>
      </c>
      <c r="F541" s="55">
        <f t="shared" si="91"/>
        <v>0</v>
      </c>
      <c r="G541" s="54">
        <v>12368</v>
      </c>
      <c r="H541" s="55">
        <f t="shared" si="92"/>
        <v>197888</v>
      </c>
      <c r="I541" s="54">
        <v>11423</v>
      </c>
      <c r="J541" s="55">
        <f t="shared" si="93"/>
        <v>182768</v>
      </c>
      <c r="K541" s="55">
        <f t="shared" si="94"/>
        <v>23791</v>
      </c>
      <c r="L541" s="55">
        <f t="shared" si="95"/>
        <v>380656</v>
      </c>
      <c r="M541" s="53"/>
    </row>
    <row r="542" spans="1:13" x14ac:dyDescent="0.3">
      <c r="A542" s="51" t="s">
        <v>794</v>
      </c>
      <c r="B542" s="52" t="s">
        <v>795</v>
      </c>
      <c r="C542" s="56">
        <v>9.6229999999999993</v>
      </c>
      <c r="D542" s="103" t="s">
        <v>632</v>
      </c>
      <c r="E542" s="54">
        <v>71354</v>
      </c>
      <c r="F542" s="55">
        <f t="shared" si="91"/>
        <v>686639.5419999999</v>
      </c>
      <c r="G542" s="54">
        <v>523261</v>
      </c>
      <c r="H542" s="55">
        <f t="shared" si="92"/>
        <v>5035340.6029999992</v>
      </c>
      <c r="I542" s="54">
        <v>88270</v>
      </c>
      <c r="J542" s="55">
        <f t="shared" si="93"/>
        <v>849422.21</v>
      </c>
      <c r="K542" s="55">
        <f t="shared" si="94"/>
        <v>682885</v>
      </c>
      <c r="L542" s="55">
        <f t="shared" si="95"/>
        <v>6571402.3549999995</v>
      </c>
      <c r="M542" s="53"/>
    </row>
    <row r="543" spans="1:13" x14ac:dyDescent="0.3">
      <c r="A543" s="51" t="s">
        <v>796</v>
      </c>
      <c r="B543" s="52" t="s">
        <v>797</v>
      </c>
      <c r="C543" s="54">
        <v>136</v>
      </c>
      <c r="D543" s="103" t="s">
        <v>97</v>
      </c>
      <c r="E543" s="54">
        <v>5042</v>
      </c>
      <c r="F543" s="55">
        <f t="shared" si="91"/>
        <v>685712</v>
      </c>
      <c r="G543" s="54">
        <v>17125</v>
      </c>
      <c r="H543" s="55">
        <f t="shared" si="92"/>
        <v>2329000</v>
      </c>
      <c r="I543" s="54">
        <v>2077</v>
      </c>
      <c r="J543" s="55">
        <f t="shared" si="93"/>
        <v>282472</v>
      </c>
      <c r="K543" s="55">
        <f t="shared" si="94"/>
        <v>24244</v>
      </c>
      <c r="L543" s="55">
        <f t="shared" si="95"/>
        <v>3297184</v>
      </c>
      <c r="M543" s="53"/>
    </row>
    <row r="544" spans="1:13" x14ac:dyDescent="0.3">
      <c r="A544" s="51" t="s">
        <v>798</v>
      </c>
      <c r="B544" s="52" t="s">
        <v>475</v>
      </c>
      <c r="C544" s="54">
        <v>244</v>
      </c>
      <c r="D544" s="103" t="s">
        <v>97</v>
      </c>
      <c r="E544" s="54">
        <v>9038</v>
      </c>
      <c r="F544" s="55">
        <f t="shared" si="91"/>
        <v>2205272</v>
      </c>
      <c r="G544" s="54">
        <v>30444</v>
      </c>
      <c r="H544" s="55">
        <f t="shared" si="92"/>
        <v>7428336</v>
      </c>
      <c r="I544" s="54">
        <v>2077</v>
      </c>
      <c r="J544" s="55">
        <f t="shared" si="93"/>
        <v>506788</v>
      </c>
      <c r="K544" s="55">
        <f t="shared" si="94"/>
        <v>41559</v>
      </c>
      <c r="L544" s="55">
        <f t="shared" si="95"/>
        <v>10140396</v>
      </c>
      <c r="M544" s="53"/>
    </row>
    <row r="545" spans="1:13" x14ac:dyDescent="0.3">
      <c r="A545" s="51" t="s">
        <v>799</v>
      </c>
      <c r="B545" s="52" t="s">
        <v>252</v>
      </c>
      <c r="C545" s="54">
        <v>6</v>
      </c>
      <c r="D545" s="103" t="s">
        <v>97</v>
      </c>
      <c r="E545" s="54">
        <v>7135</v>
      </c>
      <c r="F545" s="55">
        <f t="shared" si="91"/>
        <v>42810</v>
      </c>
      <c r="G545" s="54">
        <v>19028</v>
      </c>
      <c r="H545" s="55">
        <f t="shared" si="92"/>
        <v>114168</v>
      </c>
      <c r="I545" s="54">
        <v>3635</v>
      </c>
      <c r="J545" s="55">
        <f t="shared" si="93"/>
        <v>21810</v>
      </c>
      <c r="K545" s="55">
        <f t="shared" si="94"/>
        <v>29798</v>
      </c>
      <c r="L545" s="55">
        <f t="shared" si="95"/>
        <v>178788</v>
      </c>
      <c r="M545" s="53"/>
    </row>
    <row r="546" spans="1:13" x14ac:dyDescent="0.3">
      <c r="A546" s="51" t="s">
        <v>800</v>
      </c>
      <c r="B546" s="52" t="s">
        <v>801</v>
      </c>
      <c r="C546" s="54">
        <v>127</v>
      </c>
      <c r="D546" s="103" t="s">
        <v>97</v>
      </c>
      <c r="E546" s="54">
        <v>4281</v>
      </c>
      <c r="F546" s="55">
        <f t="shared" si="91"/>
        <v>543687</v>
      </c>
      <c r="G546" s="54">
        <v>11417</v>
      </c>
      <c r="H546" s="55">
        <f t="shared" si="92"/>
        <v>1449959</v>
      </c>
      <c r="I546" s="54">
        <v>2077</v>
      </c>
      <c r="J546" s="55">
        <f t="shared" si="93"/>
        <v>263779</v>
      </c>
      <c r="K546" s="55">
        <f t="shared" si="94"/>
        <v>17775</v>
      </c>
      <c r="L546" s="55">
        <f t="shared" si="95"/>
        <v>2257425</v>
      </c>
      <c r="M546" s="53"/>
    </row>
    <row r="547" spans="1:13" x14ac:dyDescent="0.3">
      <c r="A547" s="51" t="s">
        <v>802</v>
      </c>
      <c r="B547" s="52" t="s">
        <v>803</v>
      </c>
      <c r="C547" s="54">
        <v>229</v>
      </c>
      <c r="D547" s="103" t="s">
        <v>97</v>
      </c>
      <c r="E547" s="54">
        <v>476</v>
      </c>
      <c r="F547" s="55">
        <f t="shared" si="91"/>
        <v>109004</v>
      </c>
      <c r="G547" s="54">
        <v>951</v>
      </c>
      <c r="H547" s="55">
        <f t="shared" si="92"/>
        <v>217779</v>
      </c>
      <c r="I547" s="54">
        <v>0</v>
      </c>
      <c r="J547" s="55">
        <f t="shared" si="93"/>
        <v>0</v>
      </c>
      <c r="K547" s="55">
        <f t="shared" si="94"/>
        <v>1427</v>
      </c>
      <c r="L547" s="55">
        <f t="shared" si="95"/>
        <v>326783</v>
      </c>
      <c r="M547" s="53"/>
    </row>
    <row r="548" spans="1:13" x14ac:dyDescent="0.3">
      <c r="A548" s="51" t="s">
        <v>804</v>
      </c>
      <c r="B548" s="52" t="s">
        <v>805</v>
      </c>
      <c r="C548" s="54">
        <v>136</v>
      </c>
      <c r="D548" s="103" t="s">
        <v>97</v>
      </c>
      <c r="E548" s="54">
        <v>476</v>
      </c>
      <c r="F548" s="55">
        <f t="shared" si="91"/>
        <v>64736</v>
      </c>
      <c r="G548" s="54">
        <v>951</v>
      </c>
      <c r="H548" s="55">
        <f t="shared" si="92"/>
        <v>129336</v>
      </c>
      <c r="I548" s="54">
        <v>0</v>
      </c>
      <c r="J548" s="55">
        <f t="shared" si="93"/>
        <v>0</v>
      </c>
      <c r="K548" s="55">
        <f t="shared" si="94"/>
        <v>1427</v>
      </c>
      <c r="L548" s="55">
        <f t="shared" si="95"/>
        <v>194072</v>
      </c>
      <c r="M548" s="53"/>
    </row>
    <row r="549" spans="1:13" x14ac:dyDescent="0.3">
      <c r="A549" s="51" t="s">
        <v>806</v>
      </c>
      <c r="B549" s="52" t="s">
        <v>807</v>
      </c>
      <c r="C549" s="54">
        <v>5</v>
      </c>
      <c r="D549" s="103" t="s">
        <v>234</v>
      </c>
      <c r="E549" s="54">
        <v>9514</v>
      </c>
      <c r="F549" s="55">
        <f t="shared" si="91"/>
        <v>47570</v>
      </c>
      <c r="G549" s="54">
        <v>4947</v>
      </c>
      <c r="H549" s="55">
        <f t="shared" si="92"/>
        <v>24735</v>
      </c>
      <c r="I549" s="54">
        <v>0</v>
      </c>
      <c r="J549" s="55">
        <f t="shared" si="93"/>
        <v>0</v>
      </c>
      <c r="K549" s="55">
        <f t="shared" si="94"/>
        <v>14461</v>
      </c>
      <c r="L549" s="55">
        <f t="shared" si="95"/>
        <v>72305</v>
      </c>
      <c r="M549" s="53"/>
    </row>
    <row r="550" spans="1:13" x14ac:dyDescent="0.3">
      <c r="A550" s="51" t="s">
        <v>808</v>
      </c>
      <c r="B550" s="52" t="s">
        <v>809</v>
      </c>
      <c r="C550" s="54">
        <v>113</v>
      </c>
      <c r="D550" s="103" t="s">
        <v>97</v>
      </c>
      <c r="E550" s="54">
        <v>4367</v>
      </c>
      <c r="F550" s="55">
        <f t="shared" si="91"/>
        <v>493471</v>
      </c>
      <c r="G550" s="54">
        <v>8753</v>
      </c>
      <c r="H550" s="55">
        <f t="shared" si="92"/>
        <v>989089</v>
      </c>
      <c r="I550" s="54">
        <v>623</v>
      </c>
      <c r="J550" s="55">
        <f t="shared" si="93"/>
        <v>70399</v>
      </c>
      <c r="K550" s="55">
        <f t="shared" si="94"/>
        <v>13743</v>
      </c>
      <c r="L550" s="55">
        <f t="shared" si="95"/>
        <v>1552959</v>
      </c>
      <c r="M550" s="53"/>
    </row>
    <row r="551" spans="1:13" x14ac:dyDescent="0.3">
      <c r="A551" s="51" t="s">
        <v>810</v>
      </c>
      <c r="B551" s="52"/>
      <c r="C551" s="54">
        <v>113</v>
      </c>
      <c r="D551" s="103" t="s">
        <v>97</v>
      </c>
      <c r="E551" s="54">
        <v>1142</v>
      </c>
      <c r="F551" s="55">
        <f t="shared" si="91"/>
        <v>129046</v>
      </c>
      <c r="G551" s="54">
        <v>951</v>
      </c>
      <c r="H551" s="55">
        <f t="shared" si="92"/>
        <v>107463</v>
      </c>
      <c r="I551" s="54">
        <v>0</v>
      </c>
      <c r="J551" s="55">
        <f t="shared" si="93"/>
        <v>0</v>
      </c>
      <c r="K551" s="55">
        <f t="shared" si="94"/>
        <v>2093</v>
      </c>
      <c r="L551" s="55">
        <f t="shared" si="95"/>
        <v>236509</v>
      </c>
      <c r="M551" s="53"/>
    </row>
    <row r="552" spans="1:13" x14ac:dyDescent="0.3">
      <c r="A552" s="51" t="s">
        <v>811</v>
      </c>
      <c r="B552" s="52" t="s">
        <v>812</v>
      </c>
      <c r="C552" s="54">
        <v>15</v>
      </c>
      <c r="D552" s="103" t="s">
        <v>97</v>
      </c>
      <c r="E552" s="54">
        <v>11892</v>
      </c>
      <c r="F552" s="55">
        <f t="shared" si="91"/>
        <v>178380</v>
      </c>
      <c r="G552" s="54">
        <v>9514</v>
      </c>
      <c r="H552" s="55">
        <f t="shared" si="92"/>
        <v>142710</v>
      </c>
      <c r="I552" s="54">
        <v>0</v>
      </c>
      <c r="J552" s="55">
        <f t="shared" si="93"/>
        <v>0</v>
      </c>
      <c r="K552" s="55">
        <f t="shared" si="94"/>
        <v>21406</v>
      </c>
      <c r="L552" s="55">
        <f t="shared" si="95"/>
        <v>321090</v>
      </c>
      <c r="M552" s="53"/>
    </row>
    <row r="553" spans="1:13" x14ac:dyDescent="0.3">
      <c r="A553" s="51" t="s">
        <v>813</v>
      </c>
      <c r="B553" s="52" t="s">
        <v>814</v>
      </c>
      <c r="C553" s="54">
        <v>307</v>
      </c>
      <c r="D553" s="103" t="s">
        <v>368</v>
      </c>
      <c r="E553" s="54">
        <v>12178</v>
      </c>
      <c r="F553" s="55">
        <f t="shared" si="91"/>
        <v>3738646</v>
      </c>
      <c r="G553" s="54">
        <v>2378</v>
      </c>
      <c r="H553" s="55">
        <f t="shared" si="92"/>
        <v>730046</v>
      </c>
      <c r="I553" s="54">
        <v>0</v>
      </c>
      <c r="J553" s="55">
        <f t="shared" si="93"/>
        <v>0</v>
      </c>
      <c r="K553" s="55">
        <f t="shared" si="94"/>
        <v>14556</v>
      </c>
      <c r="L553" s="55">
        <f t="shared" si="95"/>
        <v>4468692</v>
      </c>
      <c r="M553" s="53"/>
    </row>
    <row r="554" spans="1:13" x14ac:dyDescent="0.3">
      <c r="A554" s="51" t="s">
        <v>815</v>
      </c>
      <c r="B554" s="52" t="s">
        <v>816</v>
      </c>
      <c r="C554" s="54">
        <v>117</v>
      </c>
      <c r="D554" s="103" t="s">
        <v>234</v>
      </c>
      <c r="E554" s="54">
        <v>3044</v>
      </c>
      <c r="F554" s="55">
        <f t="shared" si="91"/>
        <v>356148</v>
      </c>
      <c r="G554" s="54">
        <v>6184</v>
      </c>
      <c r="H554" s="55">
        <f t="shared" si="92"/>
        <v>723528</v>
      </c>
      <c r="I554" s="54">
        <v>0</v>
      </c>
      <c r="J554" s="55">
        <f t="shared" si="93"/>
        <v>0</v>
      </c>
      <c r="K554" s="55">
        <f t="shared" si="94"/>
        <v>9228</v>
      </c>
      <c r="L554" s="55">
        <f t="shared" si="95"/>
        <v>1079676</v>
      </c>
      <c r="M554" s="53"/>
    </row>
    <row r="555" spans="1:13" x14ac:dyDescent="0.3">
      <c r="A555" s="51" t="s">
        <v>817</v>
      </c>
      <c r="B555" s="52" t="s">
        <v>818</v>
      </c>
      <c r="C555" s="54">
        <v>137</v>
      </c>
      <c r="D555" s="103" t="s">
        <v>103</v>
      </c>
      <c r="E555" s="54">
        <v>0</v>
      </c>
      <c r="F555" s="55">
        <f t="shared" si="91"/>
        <v>0</v>
      </c>
      <c r="G555" s="54">
        <v>2378</v>
      </c>
      <c r="H555" s="55">
        <f t="shared" si="92"/>
        <v>325786</v>
      </c>
      <c r="I555" s="54">
        <v>3239</v>
      </c>
      <c r="J555" s="55">
        <f t="shared" si="93"/>
        <v>443743</v>
      </c>
      <c r="K555" s="55">
        <f t="shared" si="94"/>
        <v>5617</v>
      </c>
      <c r="L555" s="55">
        <f t="shared" si="95"/>
        <v>769529</v>
      </c>
      <c r="M555" s="53"/>
    </row>
    <row r="556" spans="1:13" x14ac:dyDescent="0.3">
      <c r="A556" s="51" t="s">
        <v>819</v>
      </c>
      <c r="B556" s="52"/>
      <c r="C556" s="52"/>
      <c r="D556" s="103"/>
      <c r="E556" s="52"/>
      <c r="F556" s="52"/>
      <c r="G556" s="52"/>
      <c r="H556" s="52"/>
      <c r="I556" s="52"/>
      <c r="J556" s="52"/>
      <c r="K556" s="52"/>
      <c r="L556" s="52"/>
      <c r="M556" s="53"/>
    </row>
    <row r="557" spans="1:13" x14ac:dyDescent="0.3">
      <c r="A557" s="51" t="s">
        <v>820</v>
      </c>
      <c r="B557" s="52" t="s">
        <v>402</v>
      </c>
      <c r="C557" s="56">
        <v>14.018000000000001</v>
      </c>
      <c r="D557" s="103" t="s">
        <v>394</v>
      </c>
      <c r="E557" s="54">
        <v>0</v>
      </c>
      <c r="F557" s="55">
        <f>E557*C557</f>
        <v>0</v>
      </c>
      <c r="G557" s="54">
        <v>0</v>
      </c>
      <c r="H557" s="55">
        <f>G557*C557</f>
        <v>0</v>
      </c>
      <c r="I557" s="54">
        <v>20769</v>
      </c>
      <c r="J557" s="55">
        <f>I557*C557</f>
        <v>291139.842</v>
      </c>
      <c r="K557" s="55">
        <f>E557+G557+I557</f>
        <v>20769</v>
      </c>
      <c r="L557" s="55">
        <f>F557+H557+J557</f>
        <v>291139.842</v>
      </c>
      <c r="M557" s="53"/>
    </row>
    <row r="558" spans="1:13" x14ac:dyDescent="0.3">
      <c r="A558" s="51" t="s">
        <v>821</v>
      </c>
      <c r="B558" s="52" t="s">
        <v>404</v>
      </c>
      <c r="C558" s="56">
        <v>0.40799999999999997</v>
      </c>
      <c r="D558" s="103" t="s">
        <v>394</v>
      </c>
      <c r="E558" s="54">
        <v>-376784</v>
      </c>
      <c r="F558" s="55">
        <f>E558*C558</f>
        <v>-153727.872</v>
      </c>
      <c r="G558" s="54">
        <v>0</v>
      </c>
      <c r="H558" s="55">
        <f>G558*C558</f>
        <v>0</v>
      </c>
      <c r="I558" s="54">
        <v>0</v>
      </c>
      <c r="J558" s="55">
        <f>I558*C558</f>
        <v>0</v>
      </c>
      <c r="K558" s="55">
        <f>E558+G558+I558</f>
        <v>-376784</v>
      </c>
      <c r="L558" s="55">
        <f>F558+H558+J558</f>
        <v>-153727.872</v>
      </c>
      <c r="M558" s="53"/>
    </row>
    <row r="559" spans="1:13" x14ac:dyDescent="0.3">
      <c r="A559" s="51" t="s">
        <v>822</v>
      </c>
      <c r="B559" s="52"/>
      <c r="C559" s="52"/>
      <c r="D559" s="103"/>
      <c r="E559" s="52"/>
      <c r="F559" s="52"/>
      <c r="G559" s="52"/>
      <c r="H559" s="52"/>
      <c r="I559" s="52"/>
      <c r="J559" s="52"/>
      <c r="K559" s="52"/>
      <c r="L559" s="52"/>
      <c r="M559" s="53"/>
    </row>
    <row r="560" spans="1:13" x14ac:dyDescent="0.3">
      <c r="A560" s="51" t="s">
        <v>406</v>
      </c>
      <c r="B560" s="52" t="s">
        <v>823</v>
      </c>
      <c r="C560" s="54">
        <v>132</v>
      </c>
      <c r="D560" s="103" t="s">
        <v>103</v>
      </c>
      <c r="E560" s="54">
        <v>89906</v>
      </c>
      <c r="F560" s="55">
        <f t="shared" ref="F560:F566" si="96">E560*C560</f>
        <v>11867592</v>
      </c>
      <c r="G560" s="54">
        <v>0</v>
      </c>
      <c r="H560" s="55">
        <f t="shared" ref="H560:H566" si="97">G560*C560</f>
        <v>0</v>
      </c>
      <c r="I560" s="54">
        <v>0</v>
      </c>
      <c r="J560" s="55">
        <f t="shared" ref="J560:J566" si="98">I560*C560</f>
        <v>0</v>
      </c>
      <c r="K560" s="55">
        <f t="shared" ref="K560:L566" si="99">E560+G560+I560</f>
        <v>89906</v>
      </c>
      <c r="L560" s="55">
        <f t="shared" si="99"/>
        <v>11867592</v>
      </c>
      <c r="M560" s="53"/>
    </row>
    <row r="561" spans="1:13" x14ac:dyDescent="0.3">
      <c r="A561" s="51" t="s">
        <v>408</v>
      </c>
      <c r="B561" s="52" t="s">
        <v>824</v>
      </c>
      <c r="C561" s="54">
        <v>16</v>
      </c>
      <c r="D561" s="103" t="s">
        <v>103</v>
      </c>
      <c r="E561" s="54">
        <v>83722</v>
      </c>
      <c r="F561" s="55">
        <f t="shared" si="96"/>
        <v>1339552</v>
      </c>
      <c r="G561" s="54">
        <v>0</v>
      </c>
      <c r="H561" s="55">
        <f t="shared" si="97"/>
        <v>0</v>
      </c>
      <c r="I561" s="54">
        <v>0</v>
      </c>
      <c r="J561" s="55">
        <f t="shared" si="98"/>
        <v>0</v>
      </c>
      <c r="K561" s="55">
        <f t="shared" si="99"/>
        <v>83722</v>
      </c>
      <c r="L561" s="55">
        <f t="shared" si="99"/>
        <v>1339552</v>
      </c>
      <c r="M561" s="53"/>
    </row>
    <row r="562" spans="1:13" x14ac:dyDescent="0.3">
      <c r="A562" s="51" t="s">
        <v>389</v>
      </c>
      <c r="B562" s="52" t="s">
        <v>760</v>
      </c>
      <c r="C562" s="54">
        <v>143</v>
      </c>
      <c r="D562" s="103" t="s">
        <v>103</v>
      </c>
      <c r="E562" s="54">
        <v>17125</v>
      </c>
      <c r="F562" s="55">
        <f t="shared" si="96"/>
        <v>2448875</v>
      </c>
      <c r="G562" s="54">
        <v>0</v>
      </c>
      <c r="H562" s="55">
        <f t="shared" si="97"/>
        <v>0</v>
      </c>
      <c r="I562" s="54">
        <v>0</v>
      </c>
      <c r="J562" s="55">
        <f t="shared" si="98"/>
        <v>0</v>
      </c>
      <c r="K562" s="55">
        <f t="shared" si="99"/>
        <v>17125</v>
      </c>
      <c r="L562" s="55">
        <f t="shared" si="99"/>
        <v>2448875</v>
      </c>
      <c r="M562" s="53"/>
    </row>
    <row r="563" spans="1:13" x14ac:dyDescent="0.3">
      <c r="A563" s="51" t="s">
        <v>399</v>
      </c>
      <c r="B563" s="52" t="s">
        <v>825</v>
      </c>
      <c r="C563" s="56">
        <v>4.1059999999999999</v>
      </c>
      <c r="D563" s="103" t="s">
        <v>826</v>
      </c>
      <c r="E563" s="54">
        <v>846782</v>
      </c>
      <c r="F563" s="55">
        <f t="shared" si="96"/>
        <v>3476886.892</v>
      </c>
      <c r="G563" s="54">
        <v>0</v>
      </c>
      <c r="H563" s="55">
        <f t="shared" si="97"/>
        <v>0</v>
      </c>
      <c r="I563" s="54">
        <v>0</v>
      </c>
      <c r="J563" s="55">
        <f t="shared" si="98"/>
        <v>0</v>
      </c>
      <c r="K563" s="55">
        <f t="shared" si="99"/>
        <v>846782</v>
      </c>
      <c r="L563" s="55">
        <f t="shared" si="99"/>
        <v>3476886.892</v>
      </c>
      <c r="M563" s="53"/>
    </row>
    <row r="564" spans="1:13" x14ac:dyDescent="0.3">
      <c r="A564" s="51" t="s">
        <v>827</v>
      </c>
      <c r="B564" s="52" t="s">
        <v>828</v>
      </c>
      <c r="C564" s="56">
        <v>5.2549999999999999</v>
      </c>
      <c r="D564" s="103" t="s">
        <v>826</v>
      </c>
      <c r="E564" s="54">
        <v>846793</v>
      </c>
      <c r="F564" s="55">
        <f t="shared" si="96"/>
        <v>4449897.2149999999</v>
      </c>
      <c r="G564" s="54">
        <v>0</v>
      </c>
      <c r="H564" s="55">
        <f t="shared" si="97"/>
        <v>0</v>
      </c>
      <c r="I564" s="54">
        <v>0</v>
      </c>
      <c r="J564" s="55">
        <f t="shared" si="98"/>
        <v>0</v>
      </c>
      <c r="K564" s="55">
        <f t="shared" si="99"/>
        <v>846793</v>
      </c>
      <c r="L564" s="55">
        <f t="shared" si="99"/>
        <v>4449897.2149999999</v>
      </c>
      <c r="M564" s="53"/>
    </row>
    <row r="565" spans="1:13" x14ac:dyDescent="0.3">
      <c r="A565" s="51" t="s">
        <v>829</v>
      </c>
      <c r="B565" s="52" t="s">
        <v>830</v>
      </c>
      <c r="C565" s="56">
        <v>4.2249999999999996</v>
      </c>
      <c r="D565" s="103" t="s">
        <v>826</v>
      </c>
      <c r="E565" s="54">
        <v>846618</v>
      </c>
      <c r="F565" s="55">
        <f t="shared" si="96"/>
        <v>3576961.05</v>
      </c>
      <c r="G565" s="54">
        <v>0</v>
      </c>
      <c r="H565" s="55">
        <f t="shared" si="97"/>
        <v>0</v>
      </c>
      <c r="I565" s="54">
        <v>0</v>
      </c>
      <c r="J565" s="55">
        <f t="shared" si="98"/>
        <v>0</v>
      </c>
      <c r="K565" s="55">
        <f t="shared" si="99"/>
        <v>846618</v>
      </c>
      <c r="L565" s="55">
        <f t="shared" si="99"/>
        <v>3576961.05</v>
      </c>
      <c r="M565" s="53"/>
    </row>
    <row r="566" spans="1:13" x14ac:dyDescent="0.3">
      <c r="A566" s="51" t="s">
        <v>831</v>
      </c>
      <c r="B566" s="52" t="s">
        <v>832</v>
      </c>
      <c r="C566" s="56">
        <v>0.432</v>
      </c>
      <c r="D566" s="103" t="s">
        <v>826</v>
      </c>
      <c r="E566" s="54">
        <v>846417</v>
      </c>
      <c r="F566" s="55">
        <f t="shared" si="96"/>
        <v>365652.14399999997</v>
      </c>
      <c r="G566" s="54">
        <v>0</v>
      </c>
      <c r="H566" s="55">
        <f t="shared" si="97"/>
        <v>0</v>
      </c>
      <c r="I566" s="54">
        <v>0</v>
      </c>
      <c r="J566" s="55">
        <f t="shared" si="98"/>
        <v>0</v>
      </c>
      <c r="K566" s="55">
        <f t="shared" si="99"/>
        <v>846417</v>
      </c>
      <c r="L566" s="55">
        <f t="shared" si="99"/>
        <v>365652.14399999997</v>
      </c>
      <c r="M566" s="53"/>
    </row>
    <row r="567" spans="1:13" x14ac:dyDescent="0.3">
      <c r="A567" s="51" t="s">
        <v>833</v>
      </c>
      <c r="B567" s="52"/>
      <c r="C567" s="52"/>
      <c r="D567" s="103"/>
      <c r="E567" s="52"/>
      <c r="F567" s="52"/>
      <c r="G567" s="52"/>
      <c r="H567" s="52"/>
      <c r="I567" s="52"/>
      <c r="J567" s="52"/>
      <c r="K567" s="52"/>
      <c r="L567" s="52"/>
      <c r="M567" s="53"/>
    </row>
    <row r="568" spans="1:13" x14ac:dyDescent="0.3">
      <c r="A568" s="51" t="s">
        <v>834</v>
      </c>
      <c r="B568" s="52"/>
      <c r="C568" s="52"/>
      <c r="D568" s="103"/>
      <c r="E568" s="52"/>
      <c r="F568" s="52"/>
      <c r="G568" s="52"/>
      <c r="H568" s="52"/>
      <c r="I568" s="52"/>
      <c r="J568" s="52"/>
      <c r="K568" s="52"/>
      <c r="L568" s="52"/>
      <c r="M568" s="53"/>
    </row>
    <row r="569" spans="1:13" x14ac:dyDescent="0.3">
      <c r="A569" s="51" t="s">
        <v>835</v>
      </c>
      <c r="B569" s="52" t="s">
        <v>111</v>
      </c>
      <c r="C569" s="54">
        <v>449</v>
      </c>
      <c r="D569" s="103" t="s">
        <v>103</v>
      </c>
      <c r="E569" s="54">
        <v>0</v>
      </c>
      <c r="F569" s="55">
        <f>E569*C569</f>
        <v>0</v>
      </c>
      <c r="G569" s="54">
        <v>0</v>
      </c>
      <c r="H569" s="55">
        <f>G569*C569</f>
        <v>0</v>
      </c>
      <c r="I569" s="54">
        <v>1662</v>
      </c>
      <c r="J569" s="55">
        <f>I569*C569</f>
        <v>746238</v>
      </c>
      <c r="K569" s="55">
        <f t="shared" ref="K569:L573" si="100">E569+G569+I569</f>
        <v>1662</v>
      </c>
      <c r="L569" s="55">
        <f t="shared" si="100"/>
        <v>746238</v>
      </c>
      <c r="M569" s="53"/>
    </row>
    <row r="570" spans="1:13" x14ac:dyDescent="0.3">
      <c r="A570" s="51" t="s">
        <v>223</v>
      </c>
      <c r="B570" s="52" t="s">
        <v>226</v>
      </c>
      <c r="C570" s="54">
        <v>34</v>
      </c>
      <c r="D570" s="103" t="s">
        <v>103</v>
      </c>
      <c r="E570" s="54">
        <v>0</v>
      </c>
      <c r="F570" s="55">
        <f>E570*C570</f>
        <v>0</v>
      </c>
      <c r="G570" s="54">
        <v>2378</v>
      </c>
      <c r="H570" s="55">
        <f>G570*C570</f>
        <v>80852</v>
      </c>
      <c r="I570" s="54">
        <v>4673</v>
      </c>
      <c r="J570" s="55">
        <f>I570*C570</f>
        <v>158882</v>
      </c>
      <c r="K570" s="55">
        <f t="shared" si="100"/>
        <v>7051</v>
      </c>
      <c r="L570" s="55">
        <f t="shared" si="100"/>
        <v>239734</v>
      </c>
      <c r="M570" s="53"/>
    </row>
    <row r="571" spans="1:13" x14ac:dyDescent="0.3">
      <c r="A571" s="51" t="s">
        <v>836</v>
      </c>
      <c r="B571" s="52" t="s">
        <v>229</v>
      </c>
      <c r="C571" s="54">
        <v>415</v>
      </c>
      <c r="D571" s="103" t="s">
        <v>103</v>
      </c>
      <c r="E571" s="54">
        <v>0</v>
      </c>
      <c r="F571" s="55">
        <f>E571*C571</f>
        <v>0</v>
      </c>
      <c r="G571" s="54">
        <v>0</v>
      </c>
      <c r="H571" s="55">
        <f>G571*C571</f>
        <v>0</v>
      </c>
      <c r="I571" s="54">
        <v>10384</v>
      </c>
      <c r="J571" s="55">
        <f>I571*C571</f>
        <v>4309360</v>
      </c>
      <c r="K571" s="55">
        <f t="shared" si="100"/>
        <v>10384</v>
      </c>
      <c r="L571" s="55">
        <f t="shared" si="100"/>
        <v>4309360</v>
      </c>
      <c r="M571" s="53"/>
    </row>
    <row r="572" spans="1:13" x14ac:dyDescent="0.3">
      <c r="A572" s="51" t="s">
        <v>837</v>
      </c>
      <c r="B572" s="52" t="s">
        <v>252</v>
      </c>
      <c r="C572" s="54">
        <v>43</v>
      </c>
      <c r="D572" s="103" t="s">
        <v>97</v>
      </c>
      <c r="E572" s="54">
        <v>7135</v>
      </c>
      <c r="F572" s="55">
        <f>E572*C572</f>
        <v>306805</v>
      </c>
      <c r="G572" s="54">
        <v>19028</v>
      </c>
      <c r="H572" s="55">
        <f>G572*C572</f>
        <v>818204</v>
      </c>
      <c r="I572" s="54">
        <v>3635</v>
      </c>
      <c r="J572" s="55">
        <f>I572*C572</f>
        <v>156305</v>
      </c>
      <c r="K572" s="55">
        <f t="shared" si="100"/>
        <v>29798</v>
      </c>
      <c r="L572" s="55">
        <f t="shared" si="100"/>
        <v>1281314</v>
      </c>
      <c r="M572" s="53"/>
    </row>
    <row r="573" spans="1:13" x14ac:dyDescent="0.3">
      <c r="A573" s="51" t="s">
        <v>838</v>
      </c>
      <c r="B573" s="52" t="s">
        <v>250</v>
      </c>
      <c r="C573" s="54">
        <v>21</v>
      </c>
      <c r="D573" s="103" t="s">
        <v>103</v>
      </c>
      <c r="E573" s="54">
        <v>0</v>
      </c>
      <c r="F573" s="55">
        <f>E573*C573</f>
        <v>0</v>
      </c>
      <c r="G573" s="54">
        <v>12368</v>
      </c>
      <c r="H573" s="55">
        <f>G573*C573</f>
        <v>259728</v>
      </c>
      <c r="I573" s="54">
        <v>11423</v>
      </c>
      <c r="J573" s="55">
        <f>I573*C573</f>
        <v>239883</v>
      </c>
      <c r="K573" s="55">
        <f t="shared" si="100"/>
        <v>23791</v>
      </c>
      <c r="L573" s="55">
        <f t="shared" si="100"/>
        <v>499611</v>
      </c>
      <c r="M573" s="53"/>
    </row>
    <row r="574" spans="1:13" x14ac:dyDescent="0.3">
      <c r="A574" s="51" t="s">
        <v>839</v>
      </c>
      <c r="B574" s="52"/>
      <c r="C574" s="52"/>
      <c r="D574" s="103"/>
      <c r="E574" s="52"/>
      <c r="F574" s="52"/>
      <c r="G574" s="52"/>
      <c r="H574" s="52"/>
      <c r="I574" s="52"/>
      <c r="J574" s="52"/>
      <c r="K574" s="52"/>
      <c r="L574" s="52"/>
      <c r="M574" s="53"/>
    </row>
    <row r="575" spans="1:13" x14ac:dyDescent="0.3">
      <c r="A575" s="51" t="s">
        <v>840</v>
      </c>
      <c r="B575" s="52" t="s">
        <v>841</v>
      </c>
      <c r="C575" s="54">
        <v>9</v>
      </c>
      <c r="D575" s="103" t="s">
        <v>97</v>
      </c>
      <c r="E575" s="54">
        <v>0</v>
      </c>
      <c r="F575" s="55">
        <f>E575*C575</f>
        <v>0</v>
      </c>
      <c r="G575" s="54">
        <v>23785</v>
      </c>
      <c r="H575" s="55">
        <f>G575*C575</f>
        <v>214065</v>
      </c>
      <c r="I575" s="54">
        <v>10384</v>
      </c>
      <c r="J575" s="55">
        <f>I575*C575</f>
        <v>93456</v>
      </c>
      <c r="K575" s="55">
        <f>E575+G575+I575</f>
        <v>34169</v>
      </c>
      <c r="L575" s="55">
        <f>F575+H575+J575</f>
        <v>307521</v>
      </c>
      <c r="M575" s="53"/>
    </row>
    <row r="576" spans="1:13" x14ac:dyDescent="0.3">
      <c r="A576" s="51" t="s">
        <v>842</v>
      </c>
      <c r="B576" s="52" t="s">
        <v>843</v>
      </c>
      <c r="C576" s="54">
        <v>166</v>
      </c>
      <c r="D576" s="103" t="s">
        <v>97</v>
      </c>
      <c r="E576" s="54">
        <v>0</v>
      </c>
      <c r="F576" s="55">
        <f>E576*C576</f>
        <v>0</v>
      </c>
      <c r="G576" s="54">
        <v>23785</v>
      </c>
      <c r="H576" s="55">
        <f>G576*C576</f>
        <v>3948310</v>
      </c>
      <c r="I576" s="54">
        <v>10384</v>
      </c>
      <c r="J576" s="55">
        <f>I576*C576</f>
        <v>1723744</v>
      </c>
      <c r="K576" s="55">
        <f>E576+G576+I576</f>
        <v>34169</v>
      </c>
      <c r="L576" s="55">
        <f>F576+H576+J576</f>
        <v>5672054</v>
      </c>
      <c r="M576" s="53"/>
    </row>
    <row r="577" spans="1:13" x14ac:dyDescent="0.3">
      <c r="A577" s="51" t="s">
        <v>844</v>
      </c>
      <c r="B577" s="52"/>
      <c r="C577" s="52"/>
      <c r="D577" s="103"/>
      <c r="E577" s="52"/>
      <c r="F577" s="52"/>
      <c r="G577" s="52"/>
      <c r="H577" s="52"/>
      <c r="I577" s="52"/>
      <c r="J577" s="52"/>
      <c r="K577" s="52"/>
      <c r="L577" s="52"/>
      <c r="M577" s="53"/>
    </row>
    <row r="578" spans="1:13" x14ac:dyDescent="0.3">
      <c r="A578" s="51" t="s">
        <v>845</v>
      </c>
      <c r="B578" s="52"/>
      <c r="C578" s="54">
        <v>1134</v>
      </c>
      <c r="D578" s="103" t="s">
        <v>103</v>
      </c>
      <c r="E578" s="54">
        <v>0</v>
      </c>
      <c r="F578" s="55">
        <f>E578*C578</f>
        <v>0</v>
      </c>
      <c r="G578" s="54">
        <v>1903</v>
      </c>
      <c r="H578" s="55">
        <f>G578*C578</f>
        <v>2158002</v>
      </c>
      <c r="I578" s="54">
        <v>5192</v>
      </c>
      <c r="J578" s="55">
        <f>I578*C578</f>
        <v>5887728</v>
      </c>
      <c r="K578" s="55">
        <f>E578+G578+I578</f>
        <v>7095</v>
      </c>
      <c r="L578" s="55">
        <f>F578+H578+J578</f>
        <v>8045730</v>
      </c>
      <c r="M578" s="53"/>
    </row>
    <row r="579" spans="1:13" x14ac:dyDescent="0.3">
      <c r="A579" s="51" t="s">
        <v>846</v>
      </c>
      <c r="B579" s="52"/>
      <c r="C579" s="52"/>
      <c r="D579" s="103"/>
      <c r="E579" s="52"/>
      <c r="F579" s="52"/>
      <c r="G579" s="52"/>
      <c r="H579" s="52"/>
      <c r="I579" s="52"/>
      <c r="J579" s="52"/>
      <c r="K579" s="52"/>
      <c r="L579" s="52"/>
      <c r="M579" s="53"/>
    </row>
    <row r="580" spans="1:13" x14ac:dyDescent="0.3">
      <c r="A580" s="51" t="s">
        <v>847</v>
      </c>
      <c r="B580" s="52" t="s">
        <v>848</v>
      </c>
      <c r="C580" s="54">
        <v>9</v>
      </c>
      <c r="D580" s="103" t="s">
        <v>97</v>
      </c>
      <c r="E580" s="54">
        <v>0</v>
      </c>
      <c r="F580" s="55">
        <f>E580*C580</f>
        <v>0</v>
      </c>
      <c r="G580" s="54">
        <v>0</v>
      </c>
      <c r="H580" s="55">
        <f>G580*C580</f>
        <v>0</v>
      </c>
      <c r="I580" s="54">
        <v>2596</v>
      </c>
      <c r="J580" s="55">
        <f>I580*C580</f>
        <v>23364</v>
      </c>
      <c r="K580" s="55">
        <f>E580+G580+I580</f>
        <v>2596</v>
      </c>
      <c r="L580" s="55">
        <f>F580+H580+J580</f>
        <v>23364</v>
      </c>
      <c r="M580" s="53"/>
    </row>
    <row r="581" spans="1:13" x14ac:dyDescent="0.3">
      <c r="A581" s="51" t="s">
        <v>849</v>
      </c>
      <c r="B581" s="52" t="s">
        <v>848</v>
      </c>
      <c r="C581" s="54">
        <v>171</v>
      </c>
      <c r="D581" s="103" t="s">
        <v>97</v>
      </c>
      <c r="E581" s="54">
        <v>0</v>
      </c>
      <c r="F581" s="55">
        <f>E581*C581</f>
        <v>0</v>
      </c>
      <c r="G581" s="54">
        <v>0</v>
      </c>
      <c r="H581" s="55">
        <f>G581*C581</f>
        <v>0</v>
      </c>
      <c r="I581" s="54">
        <v>2596</v>
      </c>
      <c r="J581" s="55">
        <f>I581*C581</f>
        <v>443916</v>
      </c>
      <c r="K581" s="55">
        <f>E581+G581+I581</f>
        <v>2596</v>
      </c>
      <c r="L581" s="55">
        <f>F581+H581+J581</f>
        <v>443916</v>
      </c>
      <c r="M581" s="53"/>
    </row>
    <row r="582" spans="1:13" x14ac:dyDescent="0.3">
      <c r="A582" s="51" t="s">
        <v>850</v>
      </c>
      <c r="B582" s="52"/>
      <c r="C582" s="52"/>
      <c r="D582" s="103"/>
      <c r="E582" s="52"/>
      <c r="F582" s="52"/>
      <c r="G582" s="52"/>
      <c r="H582" s="52"/>
      <c r="I582" s="52"/>
      <c r="J582" s="52"/>
      <c r="K582" s="52"/>
      <c r="L582" s="52"/>
      <c r="M582" s="53"/>
    </row>
    <row r="583" spans="1:13" x14ac:dyDescent="0.3">
      <c r="A583" s="51" t="s">
        <v>406</v>
      </c>
      <c r="B583" s="52" t="s">
        <v>612</v>
      </c>
      <c r="C583" s="54">
        <v>21</v>
      </c>
      <c r="D583" s="103" t="s">
        <v>103</v>
      </c>
      <c r="E583" s="54">
        <v>85815</v>
      </c>
      <c r="F583" s="55">
        <f t="shared" ref="F583:F590" si="101">E583*C583</f>
        <v>1802115</v>
      </c>
      <c r="G583" s="54">
        <v>0</v>
      </c>
      <c r="H583" s="55">
        <f t="shared" ref="H583:H590" si="102">G583*C583</f>
        <v>0</v>
      </c>
      <c r="I583" s="54">
        <v>0</v>
      </c>
      <c r="J583" s="55">
        <f t="shared" ref="J583:J590" si="103">I583*C583</f>
        <v>0</v>
      </c>
      <c r="K583" s="55">
        <f t="shared" ref="K583:L590" si="104">E583+G583+I583</f>
        <v>85815</v>
      </c>
      <c r="L583" s="55">
        <f t="shared" si="104"/>
        <v>1802115</v>
      </c>
      <c r="M583" s="53"/>
    </row>
    <row r="584" spans="1:13" x14ac:dyDescent="0.3">
      <c r="A584" s="51" t="s">
        <v>387</v>
      </c>
      <c r="B584" s="52" t="s">
        <v>388</v>
      </c>
      <c r="C584" s="54">
        <v>86</v>
      </c>
      <c r="D584" s="103" t="s">
        <v>103</v>
      </c>
      <c r="E584" s="54">
        <v>24736</v>
      </c>
      <c r="F584" s="55">
        <f t="shared" si="101"/>
        <v>2127296</v>
      </c>
      <c r="G584" s="54">
        <v>0</v>
      </c>
      <c r="H584" s="55">
        <f t="shared" si="102"/>
        <v>0</v>
      </c>
      <c r="I584" s="54">
        <v>0</v>
      </c>
      <c r="J584" s="55">
        <f t="shared" si="103"/>
        <v>0</v>
      </c>
      <c r="K584" s="55">
        <f t="shared" si="104"/>
        <v>24736</v>
      </c>
      <c r="L584" s="55">
        <f t="shared" si="104"/>
        <v>2127296</v>
      </c>
      <c r="M584" s="53"/>
    </row>
    <row r="585" spans="1:13" x14ac:dyDescent="0.3">
      <c r="A585" s="51" t="s">
        <v>851</v>
      </c>
      <c r="B585" s="52" t="s">
        <v>457</v>
      </c>
      <c r="C585" s="54">
        <v>74</v>
      </c>
      <c r="D585" s="103" t="s">
        <v>234</v>
      </c>
      <c r="E585" s="54">
        <v>4947</v>
      </c>
      <c r="F585" s="55">
        <f t="shared" si="101"/>
        <v>366078</v>
      </c>
      <c r="G585" s="54">
        <v>0</v>
      </c>
      <c r="H585" s="55">
        <f t="shared" si="102"/>
        <v>0</v>
      </c>
      <c r="I585" s="54">
        <v>0</v>
      </c>
      <c r="J585" s="55">
        <f t="shared" si="103"/>
        <v>0</v>
      </c>
      <c r="K585" s="55">
        <f t="shared" si="104"/>
        <v>4947</v>
      </c>
      <c r="L585" s="55">
        <f t="shared" si="104"/>
        <v>366078</v>
      </c>
      <c r="M585" s="53"/>
    </row>
    <row r="586" spans="1:13" x14ac:dyDescent="0.3">
      <c r="A586" s="51" t="s">
        <v>852</v>
      </c>
      <c r="B586" s="52" t="s">
        <v>853</v>
      </c>
      <c r="C586" s="54">
        <v>74</v>
      </c>
      <c r="D586" s="103" t="s">
        <v>97</v>
      </c>
      <c r="E586" s="54">
        <v>5708</v>
      </c>
      <c r="F586" s="55">
        <f t="shared" si="101"/>
        <v>422392</v>
      </c>
      <c r="G586" s="54">
        <v>0</v>
      </c>
      <c r="H586" s="55">
        <f t="shared" si="102"/>
        <v>0</v>
      </c>
      <c r="I586" s="54">
        <v>0</v>
      </c>
      <c r="J586" s="55">
        <f t="shared" si="103"/>
        <v>0</v>
      </c>
      <c r="K586" s="55">
        <f t="shared" si="104"/>
        <v>5708</v>
      </c>
      <c r="L586" s="55">
        <f t="shared" si="104"/>
        <v>422392</v>
      </c>
      <c r="M586" s="53"/>
    </row>
    <row r="587" spans="1:13" x14ac:dyDescent="0.3">
      <c r="A587" s="51" t="s">
        <v>854</v>
      </c>
      <c r="B587" s="52" t="s">
        <v>841</v>
      </c>
      <c r="C587" s="54">
        <v>9</v>
      </c>
      <c r="D587" s="103" t="s">
        <v>97</v>
      </c>
      <c r="E587" s="54">
        <v>21882</v>
      </c>
      <c r="F587" s="55">
        <f t="shared" si="101"/>
        <v>196938</v>
      </c>
      <c r="G587" s="54">
        <v>0</v>
      </c>
      <c r="H587" s="55">
        <f t="shared" si="102"/>
        <v>0</v>
      </c>
      <c r="I587" s="54">
        <v>0</v>
      </c>
      <c r="J587" s="55">
        <f t="shared" si="103"/>
        <v>0</v>
      </c>
      <c r="K587" s="55">
        <f t="shared" si="104"/>
        <v>21882</v>
      </c>
      <c r="L587" s="55">
        <f t="shared" si="104"/>
        <v>196938</v>
      </c>
      <c r="M587" s="53"/>
    </row>
    <row r="588" spans="1:13" x14ac:dyDescent="0.3">
      <c r="A588" s="51" t="s">
        <v>855</v>
      </c>
      <c r="B588" s="52" t="s">
        <v>843</v>
      </c>
      <c r="C588" s="54">
        <v>171</v>
      </c>
      <c r="D588" s="103" t="s">
        <v>97</v>
      </c>
      <c r="E588" s="54">
        <v>30444</v>
      </c>
      <c r="F588" s="55">
        <f t="shared" si="101"/>
        <v>5205924</v>
      </c>
      <c r="G588" s="54">
        <v>0</v>
      </c>
      <c r="H588" s="55">
        <f t="shared" si="102"/>
        <v>0</v>
      </c>
      <c r="I588" s="54">
        <v>0</v>
      </c>
      <c r="J588" s="55">
        <f t="shared" si="103"/>
        <v>0</v>
      </c>
      <c r="K588" s="55">
        <f t="shared" si="104"/>
        <v>30444</v>
      </c>
      <c r="L588" s="55">
        <f t="shared" si="104"/>
        <v>5205924</v>
      </c>
      <c r="M588" s="53"/>
    </row>
    <row r="589" spans="1:13" x14ac:dyDescent="0.3">
      <c r="A589" s="51" t="s">
        <v>856</v>
      </c>
      <c r="B589" s="52" t="s">
        <v>857</v>
      </c>
      <c r="C589" s="54">
        <v>1166</v>
      </c>
      <c r="D589" s="103" t="s">
        <v>97</v>
      </c>
      <c r="E589" s="54">
        <v>1522</v>
      </c>
      <c r="F589" s="55">
        <f t="shared" si="101"/>
        <v>1774652</v>
      </c>
      <c r="G589" s="54">
        <v>0</v>
      </c>
      <c r="H589" s="55">
        <f t="shared" si="102"/>
        <v>0</v>
      </c>
      <c r="I589" s="54">
        <v>0</v>
      </c>
      <c r="J589" s="55">
        <f t="shared" si="103"/>
        <v>0</v>
      </c>
      <c r="K589" s="55">
        <f t="shared" si="104"/>
        <v>1522</v>
      </c>
      <c r="L589" s="55">
        <f t="shared" si="104"/>
        <v>1774652</v>
      </c>
      <c r="M589" s="53"/>
    </row>
    <row r="590" spans="1:13" x14ac:dyDescent="0.3">
      <c r="A590" s="51" t="s">
        <v>858</v>
      </c>
      <c r="B590" s="52" t="s">
        <v>859</v>
      </c>
      <c r="C590" s="54">
        <v>203</v>
      </c>
      <c r="D590" s="103" t="s">
        <v>97</v>
      </c>
      <c r="E590" s="54">
        <v>1712</v>
      </c>
      <c r="F590" s="55">
        <f t="shared" si="101"/>
        <v>347536</v>
      </c>
      <c r="G590" s="54">
        <v>0</v>
      </c>
      <c r="H590" s="55">
        <f t="shared" si="102"/>
        <v>0</v>
      </c>
      <c r="I590" s="54">
        <v>0</v>
      </c>
      <c r="J590" s="55">
        <f t="shared" si="103"/>
        <v>0</v>
      </c>
      <c r="K590" s="55">
        <f t="shared" si="104"/>
        <v>1712</v>
      </c>
      <c r="L590" s="55">
        <f t="shared" si="104"/>
        <v>347536</v>
      </c>
      <c r="M590" s="53"/>
    </row>
    <row r="591" spans="1:13" x14ac:dyDescent="0.3">
      <c r="A591" s="51" t="s">
        <v>860</v>
      </c>
      <c r="B591" s="52"/>
      <c r="C591" s="52"/>
      <c r="D591" s="103"/>
      <c r="E591" s="52"/>
      <c r="F591" s="52"/>
      <c r="G591" s="52"/>
      <c r="H591" s="52"/>
      <c r="I591" s="52"/>
      <c r="J591" s="52"/>
      <c r="K591" s="52"/>
      <c r="L591" s="52"/>
      <c r="M591" s="53"/>
    </row>
    <row r="592" spans="1:13" x14ac:dyDescent="0.3">
      <c r="A592" s="51" t="s">
        <v>861</v>
      </c>
      <c r="B592" s="52"/>
      <c r="C592" s="52"/>
      <c r="D592" s="103"/>
      <c r="E592" s="52"/>
      <c r="F592" s="52"/>
      <c r="G592" s="52"/>
      <c r="H592" s="52"/>
      <c r="I592" s="52"/>
      <c r="J592" s="52"/>
      <c r="K592" s="52"/>
      <c r="L592" s="52"/>
      <c r="M592" s="53"/>
    </row>
    <row r="593" spans="1:13" x14ac:dyDescent="0.3">
      <c r="A593" s="51" t="s">
        <v>215</v>
      </c>
      <c r="B593" s="52"/>
      <c r="C593" s="52"/>
      <c r="D593" s="103"/>
      <c r="E593" s="52"/>
      <c r="F593" s="52"/>
      <c r="G593" s="52"/>
      <c r="H593" s="52"/>
      <c r="I593" s="52"/>
      <c r="J593" s="52"/>
      <c r="K593" s="52"/>
      <c r="L593" s="52"/>
      <c r="M593" s="53"/>
    </row>
    <row r="594" spans="1:13" x14ac:dyDescent="0.3">
      <c r="A594" s="51" t="s">
        <v>835</v>
      </c>
      <c r="B594" s="52" t="s">
        <v>220</v>
      </c>
      <c r="C594" s="54">
        <v>3</v>
      </c>
      <c r="D594" s="103" t="s">
        <v>103</v>
      </c>
      <c r="E594" s="54">
        <v>0</v>
      </c>
      <c r="F594" s="55">
        <f>E594*C594</f>
        <v>0</v>
      </c>
      <c r="G594" s="54">
        <v>59745</v>
      </c>
      <c r="H594" s="55">
        <f>G594*C594</f>
        <v>179235</v>
      </c>
      <c r="I594" s="54">
        <v>0</v>
      </c>
      <c r="J594" s="55">
        <f>I594*C594</f>
        <v>0</v>
      </c>
      <c r="K594" s="55">
        <f>E594+G594+I594</f>
        <v>59745</v>
      </c>
      <c r="L594" s="55">
        <f>F594+H594+J594</f>
        <v>179235</v>
      </c>
      <c r="M594" s="53"/>
    </row>
    <row r="595" spans="1:13" x14ac:dyDescent="0.3">
      <c r="A595" s="51" t="s">
        <v>110</v>
      </c>
      <c r="B595" s="52" t="s">
        <v>111</v>
      </c>
      <c r="C595" s="54">
        <v>1040</v>
      </c>
      <c r="D595" s="103" t="s">
        <v>103</v>
      </c>
      <c r="E595" s="54">
        <v>0</v>
      </c>
      <c r="F595" s="55">
        <f>E595*C595</f>
        <v>0</v>
      </c>
      <c r="G595" s="54">
        <v>0</v>
      </c>
      <c r="H595" s="55">
        <f>G595*C595</f>
        <v>0</v>
      </c>
      <c r="I595" s="54">
        <v>1605</v>
      </c>
      <c r="J595" s="55">
        <f>I595*C595</f>
        <v>1669200</v>
      </c>
      <c r="K595" s="55">
        <f>E595+G595+I595</f>
        <v>1605</v>
      </c>
      <c r="L595" s="55">
        <f>F595+H595+J595</f>
        <v>1669200</v>
      </c>
      <c r="M595" s="53"/>
    </row>
    <row r="596" spans="1:13" x14ac:dyDescent="0.3">
      <c r="A596" s="51" t="s">
        <v>221</v>
      </c>
      <c r="B596" s="52"/>
      <c r="C596" s="52"/>
      <c r="D596" s="103"/>
      <c r="E596" s="52"/>
      <c r="F596" s="52"/>
      <c r="G596" s="52"/>
      <c r="H596" s="52"/>
      <c r="I596" s="52"/>
      <c r="J596" s="52"/>
      <c r="K596" s="52"/>
      <c r="L596" s="52"/>
      <c r="M596" s="53"/>
    </row>
    <row r="597" spans="1:13" x14ac:dyDescent="0.3">
      <c r="A597" s="51" t="s">
        <v>862</v>
      </c>
      <c r="B597" s="52" t="s">
        <v>220</v>
      </c>
      <c r="C597" s="54">
        <v>2</v>
      </c>
      <c r="D597" s="103" t="s">
        <v>103</v>
      </c>
      <c r="E597" s="54">
        <v>0</v>
      </c>
      <c r="F597" s="55">
        <f>E597*C597</f>
        <v>0</v>
      </c>
      <c r="G597" s="54">
        <v>26030</v>
      </c>
      <c r="H597" s="55">
        <f>G597*C597</f>
        <v>52060</v>
      </c>
      <c r="I597" s="54">
        <v>14247</v>
      </c>
      <c r="J597" s="55">
        <f>I597*C597</f>
        <v>28494</v>
      </c>
      <c r="K597" s="55">
        <f>E597+G597+I597</f>
        <v>40277</v>
      </c>
      <c r="L597" s="55">
        <f>F597+H597+J597</f>
        <v>80554</v>
      </c>
      <c r="M597" s="53"/>
    </row>
    <row r="598" spans="1:13" x14ac:dyDescent="0.3">
      <c r="A598" s="51" t="s">
        <v>863</v>
      </c>
      <c r="B598" s="52" t="s">
        <v>113</v>
      </c>
      <c r="C598" s="54">
        <v>1040</v>
      </c>
      <c r="D598" s="103" t="s">
        <v>103</v>
      </c>
      <c r="E598" s="54">
        <v>0</v>
      </c>
      <c r="F598" s="55">
        <f>E598*C598</f>
        <v>0</v>
      </c>
      <c r="G598" s="54">
        <v>2298</v>
      </c>
      <c r="H598" s="55">
        <f>G598*C598</f>
        <v>2389920</v>
      </c>
      <c r="I598" s="54">
        <v>4515</v>
      </c>
      <c r="J598" s="55">
        <f>I598*C598</f>
        <v>4695600</v>
      </c>
      <c r="K598" s="55">
        <f>E598+G598+I598</f>
        <v>6813</v>
      </c>
      <c r="L598" s="55">
        <f>F598+H598+J598</f>
        <v>7085520</v>
      </c>
      <c r="M598" s="53"/>
    </row>
    <row r="599" spans="1:13" x14ac:dyDescent="0.3">
      <c r="A599" s="51" t="s">
        <v>227</v>
      </c>
      <c r="B599" s="52"/>
      <c r="C599" s="52"/>
      <c r="D599" s="103"/>
      <c r="E599" s="52"/>
      <c r="F599" s="52"/>
      <c r="G599" s="52"/>
      <c r="H599" s="52"/>
      <c r="I599" s="52"/>
      <c r="J599" s="52"/>
      <c r="K599" s="52"/>
      <c r="L599" s="52"/>
      <c r="M599" s="53"/>
    </row>
    <row r="600" spans="1:13" x14ac:dyDescent="0.3">
      <c r="A600" s="51" t="s">
        <v>228</v>
      </c>
      <c r="B600" s="52" t="s">
        <v>448</v>
      </c>
      <c r="C600" s="54">
        <v>1</v>
      </c>
      <c r="D600" s="103" t="s">
        <v>103</v>
      </c>
      <c r="E600" s="54">
        <v>0</v>
      </c>
      <c r="F600" s="55">
        <f>E600*C600</f>
        <v>0</v>
      </c>
      <c r="G600" s="54">
        <v>0</v>
      </c>
      <c r="H600" s="55">
        <f>G600*C600</f>
        <v>0</v>
      </c>
      <c r="I600" s="54">
        <v>10032</v>
      </c>
      <c r="J600" s="55">
        <f>I600*C600</f>
        <v>10032</v>
      </c>
      <c r="K600" s="55">
        <f>E600+G600+I600</f>
        <v>10032</v>
      </c>
      <c r="L600" s="55">
        <f>F600+H600+J600</f>
        <v>10032</v>
      </c>
      <c r="M600" s="53"/>
    </row>
    <row r="601" spans="1:13" x14ac:dyDescent="0.3">
      <c r="A601" s="51" t="s">
        <v>864</v>
      </c>
      <c r="B601" s="52"/>
      <c r="C601" s="52"/>
      <c r="D601" s="103"/>
      <c r="E601" s="52"/>
      <c r="F601" s="52"/>
      <c r="G601" s="52"/>
      <c r="H601" s="52"/>
      <c r="I601" s="52"/>
      <c r="J601" s="52"/>
      <c r="K601" s="52"/>
      <c r="L601" s="52"/>
      <c r="M601" s="53"/>
    </row>
    <row r="602" spans="1:13" x14ac:dyDescent="0.3">
      <c r="A602" s="51" t="s">
        <v>865</v>
      </c>
      <c r="B602" s="52" t="s">
        <v>866</v>
      </c>
      <c r="C602" s="54">
        <v>1242</v>
      </c>
      <c r="D602" s="103" t="s">
        <v>234</v>
      </c>
      <c r="E602" s="54">
        <v>48991</v>
      </c>
      <c r="F602" s="55">
        <f>E602*C602</f>
        <v>60846822</v>
      </c>
      <c r="G602" s="54">
        <v>18383</v>
      </c>
      <c r="H602" s="55">
        <f>G602*C602</f>
        <v>22831686</v>
      </c>
      <c r="I602" s="54">
        <v>13043</v>
      </c>
      <c r="J602" s="55">
        <f>I602*C602</f>
        <v>16199406</v>
      </c>
      <c r="K602" s="55">
        <f>E602+G602+I602</f>
        <v>80417</v>
      </c>
      <c r="L602" s="55">
        <f>F602+H602+J602</f>
        <v>99877914</v>
      </c>
      <c r="M602" s="53"/>
    </row>
    <row r="603" spans="1:13" x14ac:dyDescent="0.3">
      <c r="A603" s="51" t="s">
        <v>867</v>
      </c>
      <c r="B603" s="52"/>
      <c r="C603" s="52"/>
      <c r="D603" s="103"/>
      <c r="E603" s="52"/>
      <c r="F603" s="52"/>
      <c r="G603" s="52"/>
      <c r="H603" s="52"/>
      <c r="I603" s="52"/>
      <c r="J603" s="52"/>
      <c r="K603" s="52"/>
      <c r="L603" s="52"/>
      <c r="M603" s="53"/>
    </row>
    <row r="604" spans="1:13" x14ac:dyDescent="0.3">
      <c r="A604" s="51" t="s">
        <v>868</v>
      </c>
      <c r="B604" s="52" t="s">
        <v>869</v>
      </c>
      <c r="C604" s="54">
        <v>272</v>
      </c>
      <c r="D604" s="103" t="s">
        <v>97</v>
      </c>
      <c r="E604" s="54">
        <v>303</v>
      </c>
      <c r="F604" s="55">
        <f>E604*C604</f>
        <v>82416</v>
      </c>
      <c r="G604" s="54">
        <v>1020</v>
      </c>
      <c r="H604" s="55">
        <f>G604*C604</f>
        <v>277440</v>
      </c>
      <c r="I604" s="54">
        <v>0</v>
      </c>
      <c r="J604" s="55">
        <f>I604*C604</f>
        <v>0</v>
      </c>
      <c r="K604" s="55">
        <f t="shared" ref="K604:L607" si="105">E604+G604+I604</f>
        <v>1323</v>
      </c>
      <c r="L604" s="55">
        <f t="shared" si="105"/>
        <v>359856</v>
      </c>
      <c r="M604" s="53"/>
    </row>
    <row r="605" spans="1:13" x14ac:dyDescent="0.3">
      <c r="A605" s="51" t="s">
        <v>870</v>
      </c>
      <c r="B605" s="52" t="s">
        <v>871</v>
      </c>
      <c r="C605" s="54">
        <v>57</v>
      </c>
      <c r="D605" s="103" t="s">
        <v>368</v>
      </c>
      <c r="E605" s="54">
        <v>9192</v>
      </c>
      <c r="F605" s="55">
        <f>E605*C605</f>
        <v>523944</v>
      </c>
      <c r="G605" s="54">
        <v>18383</v>
      </c>
      <c r="H605" s="55">
        <f>G605*C605</f>
        <v>1047831</v>
      </c>
      <c r="I605" s="54">
        <v>16052</v>
      </c>
      <c r="J605" s="55">
        <f>I605*C605</f>
        <v>914964</v>
      </c>
      <c r="K605" s="55">
        <f t="shared" si="105"/>
        <v>43627</v>
      </c>
      <c r="L605" s="55">
        <f t="shared" si="105"/>
        <v>2486739</v>
      </c>
      <c r="M605" s="53"/>
    </row>
    <row r="606" spans="1:13" x14ac:dyDescent="0.3">
      <c r="A606" s="51" t="s">
        <v>872</v>
      </c>
      <c r="B606" s="52" t="s">
        <v>873</v>
      </c>
      <c r="C606" s="54">
        <v>9</v>
      </c>
      <c r="D606" s="103" t="s">
        <v>234</v>
      </c>
      <c r="E606" s="54">
        <v>0</v>
      </c>
      <c r="F606" s="55">
        <f>E606*C606</f>
        <v>0</v>
      </c>
      <c r="G606" s="54">
        <v>34376</v>
      </c>
      <c r="H606" s="55">
        <f>G606*C606</f>
        <v>309384</v>
      </c>
      <c r="I606" s="54">
        <v>38085</v>
      </c>
      <c r="J606" s="55">
        <f>I606*C606</f>
        <v>342765</v>
      </c>
      <c r="K606" s="55">
        <f t="shared" si="105"/>
        <v>72461</v>
      </c>
      <c r="L606" s="55">
        <f t="shared" si="105"/>
        <v>652149</v>
      </c>
      <c r="M606" s="53"/>
    </row>
    <row r="607" spans="1:13" x14ac:dyDescent="0.3">
      <c r="A607" s="51" t="s">
        <v>874</v>
      </c>
      <c r="B607" s="52" t="s">
        <v>875</v>
      </c>
      <c r="C607" s="54">
        <v>108</v>
      </c>
      <c r="D607" s="103" t="s">
        <v>103</v>
      </c>
      <c r="E607" s="54">
        <v>0</v>
      </c>
      <c r="F607" s="55">
        <f>E607*C607</f>
        <v>0</v>
      </c>
      <c r="G607" s="54">
        <v>1379</v>
      </c>
      <c r="H607" s="55">
        <f>G607*C607</f>
        <v>148932</v>
      </c>
      <c r="I607" s="54">
        <v>5016</v>
      </c>
      <c r="J607" s="55">
        <f>I607*C607</f>
        <v>541728</v>
      </c>
      <c r="K607" s="55">
        <f t="shared" si="105"/>
        <v>6395</v>
      </c>
      <c r="L607" s="55">
        <f t="shared" si="105"/>
        <v>690660</v>
      </c>
      <c r="M607" s="53"/>
    </row>
    <row r="608" spans="1:13" x14ac:dyDescent="0.3">
      <c r="A608" s="51" t="s">
        <v>876</v>
      </c>
      <c r="B608" s="52"/>
      <c r="C608" s="52"/>
      <c r="D608" s="103"/>
      <c r="E608" s="52"/>
      <c r="F608" s="52"/>
      <c r="G608" s="52"/>
      <c r="H608" s="52"/>
      <c r="I608" s="52"/>
      <c r="J608" s="52"/>
      <c r="K608" s="52"/>
      <c r="L608" s="52"/>
      <c r="M608" s="53"/>
    </row>
    <row r="609" spans="1:13" x14ac:dyDescent="0.3">
      <c r="A609" s="51" t="s">
        <v>868</v>
      </c>
      <c r="B609" s="52" t="s">
        <v>869</v>
      </c>
      <c r="C609" s="54">
        <v>1895</v>
      </c>
      <c r="D609" s="103" t="s">
        <v>97</v>
      </c>
      <c r="E609" s="54">
        <v>303</v>
      </c>
      <c r="F609" s="55">
        <f>E609*C609</f>
        <v>574185</v>
      </c>
      <c r="G609" s="54">
        <v>1020</v>
      </c>
      <c r="H609" s="55">
        <f>G609*C609</f>
        <v>1932900</v>
      </c>
      <c r="I609" s="54">
        <v>0</v>
      </c>
      <c r="J609" s="55">
        <f>I609*C609</f>
        <v>0</v>
      </c>
      <c r="K609" s="55">
        <f t="shared" ref="K609:L611" si="106">E609+G609+I609</f>
        <v>1323</v>
      </c>
      <c r="L609" s="55">
        <f t="shared" si="106"/>
        <v>2507085</v>
      </c>
      <c r="M609" s="53"/>
    </row>
    <row r="610" spans="1:13" x14ac:dyDescent="0.3">
      <c r="A610" s="51" t="s">
        <v>877</v>
      </c>
      <c r="B610" s="52" t="s">
        <v>878</v>
      </c>
      <c r="C610" s="54">
        <v>1178</v>
      </c>
      <c r="D610" s="103" t="s">
        <v>368</v>
      </c>
      <c r="E610" s="54">
        <v>276</v>
      </c>
      <c r="F610" s="55">
        <f>E610*C610</f>
        <v>325128</v>
      </c>
      <c r="G610" s="54">
        <v>4669</v>
      </c>
      <c r="H610" s="55">
        <f>G610*C610</f>
        <v>5500082</v>
      </c>
      <c r="I610" s="54">
        <v>0</v>
      </c>
      <c r="J610" s="55">
        <f>I610*C610</f>
        <v>0</v>
      </c>
      <c r="K610" s="55">
        <f t="shared" si="106"/>
        <v>4945</v>
      </c>
      <c r="L610" s="55">
        <f t="shared" si="106"/>
        <v>5825210</v>
      </c>
      <c r="M610" s="53"/>
    </row>
    <row r="611" spans="1:13" x14ac:dyDescent="0.3">
      <c r="A611" s="51" t="s">
        <v>879</v>
      </c>
      <c r="B611" s="52" t="s">
        <v>875</v>
      </c>
      <c r="C611" s="54">
        <v>259</v>
      </c>
      <c r="D611" s="103" t="s">
        <v>103</v>
      </c>
      <c r="E611" s="54">
        <v>0</v>
      </c>
      <c r="F611" s="55">
        <f>E611*C611</f>
        <v>0</v>
      </c>
      <c r="G611" s="54">
        <v>1379</v>
      </c>
      <c r="H611" s="55">
        <f>G611*C611</f>
        <v>357161</v>
      </c>
      <c r="I611" s="54">
        <v>5016</v>
      </c>
      <c r="J611" s="55">
        <f>I611*C611</f>
        <v>1299144</v>
      </c>
      <c r="K611" s="55">
        <f t="shared" si="106"/>
        <v>6395</v>
      </c>
      <c r="L611" s="55">
        <f t="shared" si="106"/>
        <v>1656305</v>
      </c>
      <c r="M611" s="53"/>
    </row>
    <row r="612" spans="1:13" x14ac:dyDescent="0.3">
      <c r="A612" s="51" t="s">
        <v>880</v>
      </c>
      <c r="B612" s="52"/>
      <c r="C612" s="52"/>
      <c r="D612" s="103"/>
      <c r="E612" s="52"/>
      <c r="F612" s="52"/>
      <c r="G612" s="52"/>
      <c r="H612" s="52"/>
      <c r="I612" s="52"/>
      <c r="J612" s="52"/>
      <c r="K612" s="52"/>
      <c r="L612" s="52"/>
      <c r="M612" s="53"/>
    </row>
    <row r="613" spans="1:13" x14ac:dyDescent="0.3">
      <c r="A613" s="51" t="s">
        <v>881</v>
      </c>
      <c r="B613" s="52" t="s">
        <v>882</v>
      </c>
      <c r="C613" s="54">
        <v>1</v>
      </c>
      <c r="D613" s="103" t="s">
        <v>204</v>
      </c>
      <c r="E613" s="54">
        <v>13787282</v>
      </c>
      <c r="F613" s="55">
        <f>E613*C613</f>
        <v>13787282</v>
      </c>
      <c r="G613" s="54">
        <v>3217032</v>
      </c>
      <c r="H613" s="55">
        <f>G613*C613</f>
        <v>3217032</v>
      </c>
      <c r="I613" s="54">
        <v>3210494</v>
      </c>
      <c r="J613" s="55">
        <f>I613*C613</f>
        <v>3210494</v>
      </c>
      <c r="K613" s="55">
        <f>E613+G613+I613</f>
        <v>20214808</v>
      </c>
      <c r="L613" s="55">
        <f>F613+H613+J613</f>
        <v>20214808</v>
      </c>
      <c r="M613" s="53"/>
    </row>
    <row r="614" spans="1:13" x14ac:dyDescent="0.3">
      <c r="A614" s="51" t="s">
        <v>883</v>
      </c>
      <c r="B614" s="52" t="s">
        <v>882</v>
      </c>
      <c r="C614" s="54">
        <v>1</v>
      </c>
      <c r="D614" s="103" t="s">
        <v>204</v>
      </c>
      <c r="E614" s="54">
        <v>25000938</v>
      </c>
      <c r="F614" s="55">
        <f>E614*C614</f>
        <v>25000938</v>
      </c>
      <c r="G614" s="54">
        <v>109379105</v>
      </c>
      <c r="H614" s="55">
        <f>G614*C614</f>
        <v>109379105</v>
      </c>
      <c r="I614" s="54">
        <v>0</v>
      </c>
      <c r="J614" s="55">
        <f>I614*C614</f>
        <v>0</v>
      </c>
      <c r="K614" s="55">
        <f>E614+G614+I614</f>
        <v>134380043</v>
      </c>
      <c r="L614" s="55">
        <f>F614+H614+J614</f>
        <v>134380043</v>
      </c>
      <c r="M614" s="53"/>
    </row>
    <row r="615" spans="1:13" x14ac:dyDescent="0.3">
      <c r="A615" s="51" t="s">
        <v>884</v>
      </c>
      <c r="B615" s="52"/>
      <c r="C615" s="52"/>
      <c r="D615" s="103"/>
      <c r="E615" s="52"/>
      <c r="F615" s="52"/>
      <c r="G615" s="52"/>
      <c r="H615" s="52"/>
      <c r="I615" s="52"/>
      <c r="J615" s="52"/>
      <c r="K615" s="52"/>
      <c r="L615" s="52"/>
      <c r="M615" s="53"/>
    </row>
    <row r="616" spans="1:13" x14ac:dyDescent="0.3">
      <c r="A616" s="51" t="s">
        <v>885</v>
      </c>
      <c r="B616" s="52" t="s">
        <v>886</v>
      </c>
      <c r="C616" s="54">
        <v>1</v>
      </c>
      <c r="D616" s="103" t="s">
        <v>204</v>
      </c>
      <c r="E616" s="54">
        <v>1378728</v>
      </c>
      <c r="F616" s="55">
        <f>E616*C616</f>
        <v>1378728</v>
      </c>
      <c r="G616" s="54">
        <v>0</v>
      </c>
      <c r="H616" s="55">
        <f>G616*C616</f>
        <v>0</v>
      </c>
      <c r="I616" s="54">
        <v>0</v>
      </c>
      <c r="J616" s="55">
        <f>I616*C616</f>
        <v>0</v>
      </c>
      <c r="K616" s="55">
        <f>E616+G616+I616</f>
        <v>1378728</v>
      </c>
      <c r="L616" s="55">
        <f>F616+H616+J616</f>
        <v>1378728</v>
      </c>
      <c r="M616" s="53"/>
    </row>
    <row r="617" spans="1:13" x14ac:dyDescent="0.3">
      <c r="A617" s="51" t="s">
        <v>887</v>
      </c>
      <c r="B617" s="52"/>
      <c r="C617" s="52"/>
      <c r="D617" s="103"/>
      <c r="E617" s="52"/>
      <c r="F617" s="52"/>
      <c r="G617" s="52"/>
      <c r="H617" s="52"/>
      <c r="I617" s="52"/>
      <c r="J617" s="52"/>
      <c r="K617" s="52"/>
      <c r="L617" s="52"/>
      <c r="M617" s="53"/>
    </row>
    <row r="618" spans="1:13" x14ac:dyDescent="0.3">
      <c r="A618" s="51" t="s">
        <v>888</v>
      </c>
      <c r="B618" s="52"/>
      <c r="C618" s="52"/>
      <c r="D618" s="103"/>
      <c r="E618" s="52"/>
      <c r="F618" s="52"/>
      <c r="G618" s="52"/>
      <c r="H618" s="52"/>
      <c r="I618" s="52"/>
      <c r="J618" s="52"/>
      <c r="K618" s="52"/>
      <c r="L618" s="52"/>
      <c r="M618" s="53"/>
    </row>
    <row r="619" spans="1:13" x14ac:dyDescent="0.3">
      <c r="A619" s="51" t="s">
        <v>889</v>
      </c>
      <c r="B619" s="52" t="s">
        <v>890</v>
      </c>
      <c r="C619" s="54">
        <v>100</v>
      </c>
      <c r="D619" s="103" t="s">
        <v>97</v>
      </c>
      <c r="E619" s="54">
        <v>0</v>
      </c>
      <c r="F619" s="55">
        <f t="shared" ref="F619:F625" si="107">E619*C619</f>
        <v>0</v>
      </c>
      <c r="G619" s="54">
        <v>0</v>
      </c>
      <c r="H619" s="55">
        <f t="shared" ref="H619:H625" si="108">G619*C619</f>
        <v>0</v>
      </c>
      <c r="I619" s="54">
        <v>200656</v>
      </c>
      <c r="J619" s="55">
        <f t="shared" ref="J619:J625" si="109">I619*C619</f>
        <v>20065600</v>
      </c>
      <c r="K619" s="55">
        <f t="shared" ref="K619:L625" si="110">E619+G619+I619</f>
        <v>200656</v>
      </c>
      <c r="L619" s="55">
        <f t="shared" si="110"/>
        <v>20065600</v>
      </c>
      <c r="M619" s="53"/>
    </row>
    <row r="620" spans="1:13" x14ac:dyDescent="0.3">
      <c r="A620" s="51" t="s">
        <v>891</v>
      </c>
      <c r="B620" s="52" t="s">
        <v>890</v>
      </c>
      <c r="C620" s="54">
        <v>130</v>
      </c>
      <c r="D620" s="103" t="s">
        <v>97</v>
      </c>
      <c r="E620" s="54">
        <v>0</v>
      </c>
      <c r="F620" s="55">
        <f t="shared" si="107"/>
        <v>0</v>
      </c>
      <c r="G620" s="54">
        <v>0</v>
      </c>
      <c r="H620" s="55">
        <f t="shared" si="108"/>
        <v>0</v>
      </c>
      <c r="I620" s="54">
        <v>200656</v>
      </c>
      <c r="J620" s="55">
        <f t="shared" si="109"/>
        <v>26085280</v>
      </c>
      <c r="K620" s="55">
        <f t="shared" si="110"/>
        <v>200656</v>
      </c>
      <c r="L620" s="55">
        <f t="shared" si="110"/>
        <v>26085280</v>
      </c>
      <c r="M620" s="53"/>
    </row>
    <row r="621" spans="1:13" x14ac:dyDescent="0.3">
      <c r="A621" s="51" t="s">
        <v>892</v>
      </c>
      <c r="B621" s="52" t="s">
        <v>890</v>
      </c>
      <c r="C621" s="54">
        <v>80</v>
      </c>
      <c r="D621" s="103" t="s">
        <v>97</v>
      </c>
      <c r="E621" s="54">
        <v>0</v>
      </c>
      <c r="F621" s="55">
        <f t="shared" si="107"/>
        <v>0</v>
      </c>
      <c r="G621" s="54">
        <v>0</v>
      </c>
      <c r="H621" s="55">
        <f t="shared" si="108"/>
        <v>0</v>
      </c>
      <c r="I621" s="54">
        <v>200656</v>
      </c>
      <c r="J621" s="55">
        <f t="shared" si="109"/>
        <v>16052480</v>
      </c>
      <c r="K621" s="55">
        <f t="shared" si="110"/>
        <v>200656</v>
      </c>
      <c r="L621" s="55">
        <f t="shared" si="110"/>
        <v>16052480</v>
      </c>
      <c r="M621" s="53"/>
    </row>
    <row r="622" spans="1:13" x14ac:dyDescent="0.3">
      <c r="A622" s="51" t="s">
        <v>893</v>
      </c>
      <c r="B622" s="52" t="s">
        <v>890</v>
      </c>
      <c r="C622" s="54">
        <v>20</v>
      </c>
      <c r="D622" s="103" t="s">
        <v>97</v>
      </c>
      <c r="E622" s="54">
        <v>0</v>
      </c>
      <c r="F622" s="55">
        <f t="shared" si="107"/>
        <v>0</v>
      </c>
      <c r="G622" s="54">
        <v>0</v>
      </c>
      <c r="H622" s="55">
        <f t="shared" si="108"/>
        <v>0</v>
      </c>
      <c r="I622" s="54">
        <v>200656</v>
      </c>
      <c r="J622" s="55">
        <f t="shared" si="109"/>
        <v>4013120</v>
      </c>
      <c r="K622" s="55">
        <f t="shared" si="110"/>
        <v>200656</v>
      </c>
      <c r="L622" s="55">
        <f t="shared" si="110"/>
        <v>4013120</v>
      </c>
      <c r="M622" s="53"/>
    </row>
    <row r="623" spans="1:13" x14ac:dyDescent="0.3">
      <c r="A623" s="51" t="s">
        <v>894</v>
      </c>
      <c r="B623" s="52" t="s">
        <v>890</v>
      </c>
      <c r="C623" s="54">
        <v>100</v>
      </c>
      <c r="D623" s="103" t="s">
        <v>97</v>
      </c>
      <c r="E623" s="54">
        <v>0</v>
      </c>
      <c r="F623" s="55">
        <f t="shared" si="107"/>
        <v>0</v>
      </c>
      <c r="G623" s="54">
        <v>0</v>
      </c>
      <c r="H623" s="55">
        <f t="shared" si="108"/>
        <v>0</v>
      </c>
      <c r="I623" s="54">
        <v>200656</v>
      </c>
      <c r="J623" s="55">
        <f t="shared" si="109"/>
        <v>20065600</v>
      </c>
      <c r="K623" s="55">
        <f t="shared" si="110"/>
        <v>200656</v>
      </c>
      <c r="L623" s="55">
        <f t="shared" si="110"/>
        <v>20065600</v>
      </c>
      <c r="M623" s="53"/>
    </row>
    <row r="624" spans="1:13" x14ac:dyDescent="0.3">
      <c r="A624" s="51" t="s">
        <v>895</v>
      </c>
      <c r="B624" s="52" t="s">
        <v>890</v>
      </c>
      <c r="C624" s="54">
        <v>120</v>
      </c>
      <c r="D624" s="103" t="s">
        <v>97</v>
      </c>
      <c r="E624" s="54">
        <v>0</v>
      </c>
      <c r="F624" s="55">
        <f t="shared" si="107"/>
        <v>0</v>
      </c>
      <c r="G624" s="54">
        <v>0</v>
      </c>
      <c r="H624" s="55">
        <f t="shared" si="108"/>
        <v>0</v>
      </c>
      <c r="I624" s="54">
        <v>200656</v>
      </c>
      <c r="J624" s="55">
        <f t="shared" si="109"/>
        <v>24078720</v>
      </c>
      <c r="K624" s="55">
        <f t="shared" si="110"/>
        <v>200656</v>
      </c>
      <c r="L624" s="55">
        <f t="shared" si="110"/>
        <v>24078720</v>
      </c>
      <c r="M624" s="53"/>
    </row>
    <row r="625" spans="1:13" x14ac:dyDescent="0.3">
      <c r="A625" s="51" t="s">
        <v>896</v>
      </c>
      <c r="B625" s="52" t="s">
        <v>897</v>
      </c>
      <c r="C625" s="54">
        <v>1</v>
      </c>
      <c r="D625" s="103" t="s">
        <v>204</v>
      </c>
      <c r="E625" s="54">
        <v>0</v>
      </c>
      <c r="F625" s="55">
        <f t="shared" si="107"/>
        <v>0</v>
      </c>
      <c r="G625" s="54">
        <v>0</v>
      </c>
      <c r="H625" s="55">
        <f t="shared" si="108"/>
        <v>0</v>
      </c>
      <c r="I625" s="54">
        <v>2508199</v>
      </c>
      <c r="J625" s="55">
        <f t="shared" si="109"/>
        <v>2508199</v>
      </c>
      <c r="K625" s="55">
        <f t="shared" si="110"/>
        <v>2508199</v>
      </c>
      <c r="L625" s="55">
        <f t="shared" si="110"/>
        <v>2508199</v>
      </c>
      <c r="M625" s="53"/>
    </row>
    <row r="626" spans="1:13" x14ac:dyDescent="0.3">
      <c r="A626" s="51" t="s">
        <v>898</v>
      </c>
      <c r="B626" s="52"/>
      <c r="C626" s="52"/>
      <c r="D626" s="103"/>
      <c r="E626" s="52"/>
      <c r="F626" s="52"/>
      <c r="G626" s="52"/>
      <c r="H626" s="52"/>
      <c r="I626" s="52"/>
      <c r="J626" s="52"/>
      <c r="K626" s="52"/>
      <c r="L626" s="52"/>
      <c r="M626" s="53"/>
    </row>
    <row r="627" spans="1:13" x14ac:dyDescent="0.3">
      <c r="A627" s="51" t="s">
        <v>899</v>
      </c>
      <c r="B627" s="52" t="s">
        <v>900</v>
      </c>
      <c r="C627" s="54">
        <v>64150</v>
      </c>
      <c r="D627" s="103" t="s">
        <v>901</v>
      </c>
      <c r="E627" s="54">
        <v>0</v>
      </c>
      <c r="F627" s="55">
        <f>E627*C627</f>
        <v>0</v>
      </c>
      <c r="G627" s="54">
        <v>0</v>
      </c>
      <c r="H627" s="55">
        <f>G627*C627</f>
        <v>0</v>
      </c>
      <c r="I627" s="54">
        <v>2127</v>
      </c>
      <c r="J627" s="55">
        <f>I627*C627</f>
        <v>136447050</v>
      </c>
      <c r="K627" s="55">
        <f>E627+G627+I627</f>
        <v>2127</v>
      </c>
      <c r="L627" s="55">
        <f>F627+H627+J627</f>
        <v>136447050</v>
      </c>
      <c r="M627" s="53"/>
    </row>
    <row r="628" spans="1:13" x14ac:dyDescent="0.3">
      <c r="A628" s="51" t="s">
        <v>902</v>
      </c>
      <c r="B628" s="52"/>
      <c r="C628" s="52"/>
      <c r="D628" s="103"/>
      <c r="E628" s="52"/>
      <c r="F628" s="52"/>
      <c r="G628" s="52"/>
      <c r="H628" s="52"/>
      <c r="I628" s="52"/>
      <c r="J628" s="52"/>
      <c r="K628" s="52"/>
      <c r="L628" s="52"/>
      <c r="M628" s="53"/>
    </row>
    <row r="629" spans="1:13" x14ac:dyDescent="0.3">
      <c r="A629" s="51" t="s">
        <v>903</v>
      </c>
      <c r="B629" s="52" t="s">
        <v>904</v>
      </c>
      <c r="C629" s="54">
        <v>1</v>
      </c>
      <c r="D629" s="103" t="s">
        <v>204</v>
      </c>
      <c r="E629" s="54">
        <v>0</v>
      </c>
      <c r="F629" s="55">
        <f>E629*C629</f>
        <v>0</v>
      </c>
      <c r="G629" s="54">
        <v>0</v>
      </c>
      <c r="H629" s="55">
        <f>G629*C629</f>
        <v>0</v>
      </c>
      <c r="I629" s="54">
        <v>5016398</v>
      </c>
      <c r="J629" s="55">
        <f>I629*C629</f>
        <v>5016398</v>
      </c>
      <c r="K629" s="55">
        <f>E629+G629+I629</f>
        <v>5016398</v>
      </c>
      <c r="L629" s="55">
        <f>F629+H629+J629</f>
        <v>5016398</v>
      </c>
      <c r="M629" s="53"/>
    </row>
    <row r="630" spans="1:13" x14ac:dyDescent="0.3">
      <c r="A630" s="51" t="s">
        <v>905</v>
      </c>
      <c r="B630" s="52"/>
      <c r="C630" s="52"/>
      <c r="D630" s="103"/>
      <c r="E630" s="52"/>
      <c r="F630" s="52"/>
      <c r="G630" s="52"/>
      <c r="H630" s="52"/>
      <c r="I630" s="52"/>
      <c r="J630" s="52"/>
      <c r="K630" s="52"/>
      <c r="L630" s="52"/>
      <c r="M630" s="53"/>
    </row>
    <row r="631" spans="1:13" x14ac:dyDescent="0.3">
      <c r="A631" s="51" t="s">
        <v>906</v>
      </c>
      <c r="B631" s="52" t="s">
        <v>907</v>
      </c>
      <c r="C631" s="54">
        <v>38</v>
      </c>
      <c r="D631" s="103" t="s">
        <v>908</v>
      </c>
      <c r="E631" s="54">
        <v>0</v>
      </c>
      <c r="F631" s="55">
        <f>E631*C631</f>
        <v>0</v>
      </c>
      <c r="G631" s="54">
        <v>0</v>
      </c>
      <c r="H631" s="55">
        <f>G631*C631</f>
        <v>0</v>
      </c>
      <c r="I631" s="54">
        <v>10032</v>
      </c>
      <c r="J631" s="55">
        <f>I631*C631</f>
        <v>381216</v>
      </c>
      <c r="K631" s="55">
        <f t="shared" ref="K631:L633" si="111">E631+G631+I631</f>
        <v>10032</v>
      </c>
      <c r="L631" s="55">
        <f t="shared" si="111"/>
        <v>381216</v>
      </c>
      <c r="M631" s="53"/>
    </row>
    <row r="632" spans="1:13" x14ac:dyDescent="0.3">
      <c r="A632" s="51" t="s">
        <v>909</v>
      </c>
      <c r="B632" s="52" t="s">
        <v>910</v>
      </c>
      <c r="C632" s="54">
        <v>70</v>
      </c>
      <c r="D632" s="103" t="s">
        <v>908</v>
      </c>
      <c r="E632" s="54">
        <v>0</v>
      </c>
      <c r="F632" s="55">
        <f>E632*C632</f>
        <v>0</v>
      </c>
      <c r="G632" s="54">
        <v>0</v>
      </c>
      <c r="H632" s="55">
        <f>G632*C632</f>
        <v>0</v>
      </c>
      <c r="I632" s="54">
        <v>10032</v>
      </c>
      <c r="J632" s="55">
        <f>I632*C632</f>
        <v>702240</v>
      </c>
      <c r="K632" s="55">
        <f t="shared" si="111"/>
        <v>10032</v>
      </c>
      <c r="L632" s="55">
        <f t="shared" si="111"/>
        <v>702240</v>
      </c>
      <c r="M632" s="53"/>
    </row>
    <row r="633" spans="1:13" x14ac:dyDescent="0.3">
      <c r="A633" s="51" t="s">
        <v>911</v>
      </c>
      <c r="B633" s="52" t="s">
        <v>912</v>
      </c>
      <c r="C633" s="54">
        <v>11</v>
      </c>
      <c r="D633" s="103" t="s">
        <v>908</v>
      </c>
      <c r="E633" s="54">
        <v>0</v>
      </c>
      <c r="F633" s="55">
        <f>E633*C633</f>
        <v>0</v>
      </c>
      <c r="G633" s="54">
        <v>0</v>
      </c>
      <c r="H633" s="55">
        <f>G633*C633</f>
        <v>0</v>
      </c>
      <c r="I633" s="54">
        <v>10032</v>
      </c>
      <c r="J633" s="55">
        <f>I633*C633</f>
        <v>110352</v>
      </c>
      <c r="K633" s="55">
        <f t="shared" si="111"/>
        <v>10032</v>
      </c>
      <c r="L633" s="55">
        <f t="shared" si="111"/>
        <v>110352</v>
      </c>
      <c r="M633" s="53"/>
    </row>
    <row r="634" spans="1:13" x14ac:dyDescent="0.3">
      <c r="A634" s="51" t="s">
        <v>913</v>
      </c>
      <c r="B634" s="52"/>
      <c r="C634" s="52"/>
      <c r="D634" s="103"/>
      <c r="E634" s="52"/>
      <c r="F634" s="52"/>
      <c r="G634" s="52"/>
      <c r="H634" s="52"/>
      <c r="I634" s="52"/>
      <c r="J634" s="52"/>
      <c r="K634" s="52"/>
      <c r="L634" s="52"/>
      <c r="M634" s="53"/>
    </row>
    <row r="635" spans="1:13" x14ac:dyDescent="0.3">
      <c r="A635" s="51" t="s">
        <v>914</v>
      </c>
      <c r="B635" s="52"/>
      <c r="C635" s="52"/>
      <c r="D635" s="103"/>
      <c r="E635" s="52"/>
      <c r="F635" s="52"/>
      <c r="G635" s="52"/>
      <c r="H635" s="52"/>
      <c r="I635" s="52"/>
      <c r="J635" s="52"/>
      <c r="K635" s="52"/>
      <c r="L635" s="52"/>
      <c r="M635" s="53"/>
    </row>
    <row r="636" spans="1:13" x14ac:dyDescent="0.3">
      <c r="A636" s="51" t="s">
        <v>915</v>
      </c>
      <c r="B636" s="52" t="s">
        <v>618</v>
      </c>
      <c r="C636" s="54">
        <v>57</v>
      </c>
      <c r="D636" s="103" t="s">
        <v>103</v>
      </c>
      <c r="E636" s="54">
        <v>16545</v>
      </c>
      <c r="F636" s="55">
        <f>E636*C636</f>
        <v>943065</v>
      </c>
      <c r="G636" s="54">
        <v>0</v>
      </c>
      <c r="H636" s="55">
        <f>G636*C636</f>
        <v>0</v>
      </c>
      <c r="I636" s="54">
        <v>0</v>
      </c>
      <c r="J636" s="55">
        <f>I636*C636</f>
        <v>0</v>
      </c>
      <c r="K636" s="55">
        <f>E636+G636+I636</f>
        <v>16545</v>
      </c>
      <c r="L636" s="55">
        <f>F636+H636+J636</f>
        <v>943065</v>
      </c>
      <c r="M636" s="53"/>
    </row>
    <row r="637" spans="1:13" x14ac:dyDescent="0.3">
      <c r="A637" s="51" t="s">
        <v>614</v>
      </c>
      <c r="B637" s="52"/>
      <c r="C637" s="52"/>
      <c r="D637" s="103"/>
      <c r="E637" s="52"/>
      <c r="F637" s="52"/>
      <c r="G637" s="52"/>
      <c r="H637" s="52"/>
      <c r="I637" s="52"/>
      <c r="J637" s="52"/>
      <c r="K637" s="52"/>
      <c r="L637" s="52"/>
      <c r="M637" s="53"/>
    </row>
    <row r="638" spans="1:13" x14ac:dyDescent="0.3">
      <c r="A638" s="51" t="s">
        <v>392</v>
      </c>
      <c r="B638" s="52" t="s">
        <v>393</v>
      </c>
      <c r="C638" s="56">
        <v>0.872</v>
      </c>
      <c r="D638" s="103" t="s">
        <v>394</v>
      </c>
      <c r="E638" s="54">
        <v>846006</v>
      </c>
      <c r="F638" s="55">
        <f>E638*C638</f>
        <v>737717.23199999996</v>
      </c>
      <c r="G638" s="54">
        <v>0</v>
      </c>
      <c r="H638" s="55">
        <f>G638*C638</f>
        <v>0</v>
      </c>
      <c r="I638" s="54">
        <v>0</v>
      </c>
      <c r="J638" s="55">
        <f>I638*C638</f>
        <v>0</v>
      </c>
      <c r="K638" s="55">
        <f t="shared" ref="K638:L640" si="112">E638+G638+I638</f>
        <v>846006</v>
      </c>
      <c r="L638" s="55">
        <f t="shared" si="112"/>
        <v>737717.23199999996</v>
      </c>
      <c r="M638" s="53"/>
    </row>
    <row r="639" spans="1:13" x14ac:dyDescent="0.3">
      <c r="A639" s="51" t="s">
        <v>916</v>
      </c>
      <c r="B639" s="52" t="s">
        <v>917</v>
      </c>
      <c r="C639" s="56">
        <v>0.872</v>
      </c>
      <c r="D639" s="103" t="s">
        <v>632</v>
      </c>
      <c r="E639" s="54">
        <v>0</v>
      </c>
      <c r="F639" s="55">
        <f>E639*C639</f>
        <v>0</v>
      </c>
      <c r="G639" s="54">
        <v>0</v>
      </c>
      <c r="H639" s="55">
        <f>G639*C639</f>
        <v>0</v>
      </c>
      <c r="I639" s="54">
        <v>20065</v>
      </c>
      <c r="J639" s="55">
        <f>I639*C639</f>
        <v>17496.68</v>
      </c>
      <c r="K639" s="55">
        <f t="shared" si="112"/>
        <v>20065</v>
      </c>
      <c r="L639" s="55">
        <f t="shared" si="112"/>
        <v>17496.68</v>
      </c>
      <c r="M639" s="53"/>
    </row>
    <row r="640" spans="1:13" x14ac:dyDescent="0.3">
      <c r="A640" s="51" t="s">
        <v>918</v>
      </c>
      <c r="B640" s="52" t="s">
        <v>404</v>
      </c>
      <c r="C640" s="56">
        <v>2.5999999999999999E-2</v>
      </c>
      <c r="D640" s="103" t="s">
        <v>394</v>
      </c>
      <c r="E640" s="54">
        <v>-364000</v>
      </c>
      <c r="F640" s="55">
        <f>E640*C640</f>
        <v>-9464</v>
      </c>
      <c r="G640" s="54">
        <v>0</v>
      </c>
      <c r="H640" s="55">
        <f>G640*C640</f>
        <v>0</v>
      </c>
      <c r="I640" s="54">
        <v>0</v>
      </c>
      <c r="J640" s="55">
        <f>I640*C640</f>
        <v>0</v>
      </c>
      <c r="K640" s="55">
        <f t="shared" si="112"/>
        <v>-364000</v>
      </c>
      <c r="L640" s="55">
        <f t="shared" si="112"/>
        <v>-9464</v>
      </c>
      <c r="M640" s="53"/>
    </row>
    <row r="641" spans="1:13" x14ac:dyDescent="0.3">
      <c r="A641" s="51" t="s">
        <v>919</v>
      </c>
      <c r="B641" s="52"/>
      <c r="C641" s="52"/>
      <c r="D641" s="103"/>
      <c r="E641" s="52"/>
      <c r="F641" s="52"/>
      <c r="G641" s="52"/>
      <c r="H641" s="52"/>
      <c r="I641" s="52"/>
      <c r="J641" s="52"/>
      <c r="K641" s="52"/>
      <c r="L641" s="52"/>
      <c r="M641" s="53"/>
    </row>
    <row r="642" spans="1:13" x14ac:dyDescent="0.3">
      <c r="A642" s="51" t="s">
        <v>406</v>
      </c>
      <c r="B642" s="52" t="s">
        <v>920</v>
      </c>
      <c r="C642" s="54">
        <v>51</v>
      </c>
      <c r="D642" s="103" t="s">
        <v>103</v>
      </c>
      <c r="E642" s="54">
        <v>84654</v>
      </c>
      <c r="F642" s="55">
        <f>E642*C642</f>
        <v>4317354</v>
      </c>
      <c r="G642" s="54">
        <v>0</v>
      </c>
      <c r="H642" s="55">
        <f>G642*C642</f>
        <v>0</v>
      </c>
      <c r="I642" s="54">
        <v>0</v>
      </c>
      <c r="J642" s="55">
        <f>I642*C642</f>
        <v>0</v>
      </c>
      <c r="K642" s="55">
        <f>E642+G642+I642</f>
        <v>84654</v>
      </c>
      <c r="L642" s="55">
        <f>F642+H642+J642</f>
        <v>4317354</v>
      </c>
      <c r="M642" s="53"/>
    </row>
    <row r="643" spans="1:13" x14ac:dyDescent="0.3">
      <c r="A643" s="51" t="s">
        <v>408</v>
      </c>
      <c r="B643" s="52" t="s">
        <v>755</v>
      </c>
      <c r="C643" s="54">
        <v>109</v>
      </c>
      <c r="D643" s="103" t="s">
        <v>103</v>
      </c>
      <c r="E643" s="54">
        <v>79231</v>
      </c>
      <c r="F643" s="55">
        <f>E643*C643</f>
        <v>8636179</v>
      </c>
      <c r="G643" s="54">
        <v>0</v>
      </c>
      <c r="H643" s="55">
        <f>G643*C643</f>
        <v>0</v>
      </c>
      <c r="I643" s="54">
        <v>0</v>
      </c>
      <c r="J643" s="55">
        <f>I643*C643</f>
        <v>0</v>
      </c>
      <c r="K643" s="55">
        <f>E643+G643+I643</f>
        <v>79231</v>
      </c>
      <c r="L643" s="55">
        <f>F643+H643+J643</f>
        <v>8636179</v>
      </c>
      <c r="M643" s="53"/>
    </row>
    <row r="644" spans="1:13" x14ac:dyDescent="0.3">
      <c r="A644" s="51" t="s">
        <v>921</v>
      </c>
      <c r="B644" s="52"/>
      <c r="C644" s="52"/>
      <c r="D644" s="103"/>
      <c r="E644" s="52"/>
      <c r="F644" s="52"/>
      <c r="G644" s="52"/>
      <c r="H644" s="52"/>
      <c r="I644" s="52"/>
      <c r="J644" s="52"/>
      <c r="K644" s="52"/>
      <c r="L644" s="52"/>
      <c r="M644" s="53"/>
    </row>
    <row r="645" spans="1:13" x14ac:dyDescent="0.3">
      <c r="A645" s="51" t="s">
        <v>411</v>
      </c>
      <c r="B645" s="52" t="s">
        <v>922</v>
      </c>
      <c r="C645" s="54">
        <v>9</v>
      </c>
      <c r="D645" s="103" t="s">
        <v>413</v>
      </c>
      <c r="E645" s="54">
        <v>69764</v>
      </c>
      <c r="F645" s="55">
        <f>E645*C645</f>
        <v>627876</v>
      </c>
      <c r="G645" s="54">
        <v>0</v>
      </c>
      <c r="H645" s="55">
        <f>G645*C645</f>
        <v>0</v>
      </c>
      <c r="I645" s="54">
        <v>0</v>
      </c>
      <c r="J645" s="55">
        <f>I645*C645</f>
        <v>0</v>
      </c>
      <c r="K645" s="55">
        <f>E645+G645+I645</f>
        <v>69764</v>
      </c>
      <c r="L645" s="55">
        <f>F645+H645+J645</f>
        <v>627876</v>
      </c>
      <c r="M645" s="53"/>
    </row>
    <row r="646" spans="1:13" x14ac:dyDescent="0.3">
      <c r="A646" s="51" t="s">
        <v>923</v>
      </c>
      <c r="B646" s="52" t="s">
        <v>924</v>
      </c>
      <c r="C646" s="54">
        <v>4</v>
      </c>
      <c r="D646" s="103" t="s">
        <v>371</v>
      </c>
      <c r="E646" s="54">
        <v>0</v>
      </c>
      <c r="F646" s="55">
        <f>E646*C646</f>
        <v>0</v>
      </c>
      <c r="G646" s="54">
        <v>0</v>
      </c>
      <c r="H646" s="55">
        <f>G646*C646</f>
        <v>0</v>
      </c>
      <c r="I646" s="54">
        <v>6693</v>
      </c>
      <c r="J646" s="55">
        <f>I646*C646</f>
        <v>26772</v>
      </c>
      <c r="K646" s="55">
        <f>E646+G646+I646</f>
        <v>6693</v>
      </c>
      <c r="L646" s="55">
        <f>F646+H646+J646</f>
        <v>26772</v>
      </c>
      <c r="M646" s="53"/>
    </row>
    <row r="647" spans="1:13" x14ac:dyDescent="0.3">
      <c r="A647" s="51" t="s">
        <v>925</v>
      </c>
      <c r="B647" s="52"/>
      <c r="C647" s="52"/>
      <c r="D647" s="103"/>
      <c r="E647" s="52"/>
      <c r="F647" s="52"/>
      <c r="G647" s="52"/>
      <c r="H647" s="52"/>
      <c r="I647" s="52"/>
      <c r="J647" s="52"/>
      <c r="K647" s="52"/>
      <c r="L647" s="52"/>
      <c r="M647" s="53"/>
    </row>
    <row r="648" spans="1:13" x14ac:dyDescent="0.3">
      <c r="A648" s="51" t="s">
        <v>926</v>
      </c>
      <c r="B648" s="52"/>
      <c r="C648" s="52"/>
      <c r="D648" s="103"/>
      <c r="E648" s="52"/>
      <c r="F648" s="52"/>
      <c r="G648" s="52"/>
      <c r="H648" s="52"/>
      <c r="I648" s="52"/>
      <c r="J648" s="52"/>
      <c r="K648" s="52"/>
      <c r="L648" s="52"/>
      <c r="M648" s="53"/>
    </row>
    <row r="649" spans="1:13" x14ac:dyDescent="0.3">
      <c r="A649" s="51" t="s">
        <v>927</v>
      </c>
      <c r="B649" s="52"/>
      <c r="C649" s="52"/>
      <c r="D649" s="103"/>
      <c r="E649" s="52"/>
      <c r="F649" s="52"/>
      <c r="G649" s="52"/>
      <c r="H649" s="52"/>
      <c r="I649" s="52"/>
      <c r="J649" s="52"/>
      <c r="K649" s="52"/>
      <c r="L649" s="52"/>
      <c r="M649" s="53"/>
    </row>
    <row r="650" spans="1:13" x14ac:dyDescent="0.3">
      <c r="A650" s="51" t="s">
        <v>928</v>
      </c>
      <c r="B650" s="52"/>
      <c r="C650" s="52"/>
      <c r="D650" s="103"/>
      <c r="E650" s="52"/>
      <c r="F650" s="52"/>
      <c r="G650" s="52"/>
      <c r="H650" s="52"/>
      <c r="I650" s="52"/>
      <c r="J650" s="52"/>
      <c r="K650" s="52"/>
      <c r="L650" s="52"/>
      <c r="M650" s="53"/>
    </row>
    <row r="651" spans="1:13" x14ac:dyDescent="0.3">
      <c r="A651" s="51" t="s">
        <v>835</v>
      </c>
      <c r="B651" s="52" t="s">
        <v>111</v>
      </c>
      <c r="C651" s="54">
        <v>397</v>
      </c>
      <c r="D651" s="103" t="s">
        <v>103</v>
      </c>
      <c r="E651" s="54">
        <v>0</v>
      </c>
      <c r="F651" s="55">
        <f>E651*C651</f>
        <v>0</v>
      </c>
      <c r="G651" s="54">
        <v>0</v>
      </c>
      <c r="H651" s="55">
        <f>G651*C651</f>
        <v>0</v>
      </c>
      <c r="I651" s="54">
        <v>1682</v>
      </c>
      <c r="J651" s="55">
        <f>I651*C651</f>
        <v>667754</v>
      </c>
      <c r="K651" s="55">
        <f>E651+G651+I651</f>
        <v>1682</v>
      </c>
      <c r="L651" s="55">
        <f>F651+H651+J651</f>
        <v>667754</v>
      </c>
      <c r="M651" s="53"/>
    </row>
    <row r="652" spans="1:13" x14ac:dyDescent="0.3">
      <c r="A652" s="51" t="s">
        <v>929</v>
      </c>
      <c r="B652" s="52" t="s">
        <v>930</v>
      </c>
      <c r="C652" s="54">
        <v>264</v>
      </c>
      <c r="D652" s="103" t="s">
        <v>103</v>
      </c>
      <c r="E652" s="54">
        <v>0</v>
      </c>
      <c r="F652" s="55">
        <f>E652*C652</f>
        <v>0</v>
      </c>
      <c r="G652" s="54">
        <v>2284</v>
      </c>
      <c r="H652" s="55">
        <f>G652*C652</f>
        <v>602976</v>
      </c>
      <c r="I652" s="54">
        <v>4759</v>
      </c>
      <c r="J652" s="55">
        <f>I652*C652</f>
        <v>1256376</v>
      </c>
      <c r="K652" s="55">
        <f>E652+G652+I652</f>
        <v>7043</v>
      </c>
      <c r="L652" s="55">
        <f>F652+H652+J652</f>
        <v>1859352</v>
      </c>
      <c r="M652" s="53"/>
    </row>
    <row r="653" spans="1:13" x14ac:dyDescent="0.3">
      <c r="A653" s="51" t="s">
        <v>931</v>
      </c>
      <c r="B653" s="52"/>
      <c r="C653" s="52"/>
      <c r="D653" s="103"/>
      <c r="E653" s="52"/>
      <c r="F653" s="52"/>
      <c r="G653" s="52"/>
      <c r="H653" s="52"/>
      <c r="I653" s="52"/>
      <c r="J653" s="52"/>
      <c r="K653" s="52"/>
      <c r="L653" s="52"/>
      <c r="M653" s="53"/>
    </row>
    <row r="654" spans="1:13" x14ac:dyDescent="0.3">
      <c r="A654" s="51" t="s">
        <v>932</v>
      </c>
      <c r="B654" s="52" t="s">
        <v>933</v>
      </c>
      <c r="C654" s="54">
        <v>110</v>
      </c>
      <c r="D654" s="103" t="s">
        <v>103</v>
      </c>
      <c r="E654" s="54">
        <v>0</v>
      </c>
      <c r="F654" s="55">
        <f t="shared" ref="F654:F668" si="113">E654*C654</f>
        <v>0</v>
      </c>
      <c r="G654" s="54">
        <v>12788</v>
      </c>
      <c r="H654" s="55">
        <f t="shared" ref="H654:H668" si="114">G654*C654</f>
        <v>1406680</v>
      </c>
      <c r="I654" s="54">
        <v>13008</v>
      </c>
      <c r="J654" s="55">
        <f t="shared" ref="J654:J668" si="115">I654*C654</f>
        <v>1430880</v>
      </c>
      <c r="K654" s="55">
        <f t="shared" ref="K654:K668" si="116">E654+G654+I654</f>
        <v>25796</v>
      </c>
      <c r="L654" s="55">
        <f t="shared" ref="L654:L668" si="117">F654+H654+J654</f>
        <v>2837560</v>
      </c>
      <c r="M654" s="53"/>
    </row>
    <row r="655" spans="1:13" x14ac:dyDescent="0.3">
      <c r="A655" s="51" t="s">
        <v>934</v>
      </c>
      <c r="B655" s="52" t="s">
        <v>250</v>
      </c>
      <c r="C655" s="54">
        <v>6</v>
      </c>
      <c r="D655" s="103" t="s">
        <v>103</v>
      </c>
      <c r="E655" s="54">
        <v>0</v>
      </c>
      <c r="F655" s="55">
        <f t="shared" si="113"/>
        <v>0</v>
      </c>
      <c r="G655" s="54">
        <v>11875</v>
      </c>
      <c r="H655" s="55">
        <f t="shared" si="114"/>
        <v>71250</v>
      </c>
      <c r="I655" s="54">
        <v>11634</v>
      </c>
      <c r="J655" s="55">
        <f t="shared" si="115"/>
        <v>69804</v>
      </c>
      <c r="K655" s="55">
        <f t="shared" si="116"/>
        <v>23509</v>
      </c>
      <c r="L655" s="55">
        <f t="shared" si="117"/>
        <v>141054</v>
      </c>
      <c r="M655" s="53"/>
    </row>
    <row r="656" spans="1:13" x14ac:dyDescent="0.3">
      <c r="A656" s="51" t="s">
        <v>349</v>
      </c>
      <c r="B656" s="52" t="s">
        <v>935</v>
      </c>
      <c r="C656" s="54">
        <v>47</v>
      </c>
      <c r="D656" s="103" t="s">
        <v>97</v>
      </c>
      <c r="E656" s="54">
        <v>9204</v>
      </c>
      <c r="F656" s="55">
        <f t="shared" si="113"/>
        <v>432588</v>
      </c>
      <c r="G656" s="54">
        <v>29230</v>
      </c>
      <c r="H656" s="55">
        <f t="shared" si="114"/>
        <v>1373810</v>
      </c>
      <c r="I656" s="54">
        <v>12691</v>
      </c>
      <c r="J656" s="55">
        <f t="shared" si="115"/>
        <v>596477</v>
      </c>
      <c r="K656" s="55">
        <f t="shared" si="116"/>
        <v>51125</v>
      </c>
      <c r="L656" s="55">
        <f t="shared" si="117"/>
        <v>2402875</v>
      </c>
      <c r="M656" s="53"/>
    </row>
    <row r="657" spans="1:13" x14ac:dyDescent="0.3">
      <c r="A657" s="51" t="s">
        <v>837</v>
      </c>
      <c r="B657" s="52" t="s">
        <v>252</v>
      </c>
      <c r="C657" s="54">
        <v>3</v>
      </c>
      <c r="D657" s="103" t="s">
        <v>97</v>
      </c>
      <c r="E657" s="54">
        <v>7267</v>
      </c>
      <c r="F657" s="55">
        <f t="shared" si="113"/>
        <v>21801</v>
      </c>
      <c r="G657" s="54">
        <v>18269</v>
      </c>
      <c r="H657" s="55">
        <f t="shared" si="114"/>
        <v>54807</v>
      </c>
      <c r="I657" s="54">
        <v>3702</v>
      </c>
      <c r="J657" s="55">
        <f t="shared" si="115"/>
        <v>11106</v>
      </c>
      <c r="K657" s="55">
        <f t="shared" si="116"/>
        <v>29238</v>
      </c>
      <c r="L657" s="55">
        <f t="shared" si="117"/>
        <v>87714</v>
      </c>
      <c r="M657" s="53"/>
    </row>
    <row r="658" spans="1:13" x14ac:dyDescent="0.3">
      <c r="A658" s="51" t="s">
        <v>936</v>
      </c>
      <c r="B658" s="52" t="s">
        <v>937</v>
      </c>
      <c r="C658" s="54">
        <v>362</v>
      </c>
      <c r="D658" s="103" t="s">
        <v>97</v>
      </c>
      <c r="E658" s="54">
        <v>9204</v>
      </c>
      <c r="F658" s="55">
        <f t="shared" si="113"/>
        <v>3331848</v>
      </c>
      <c r="G658" s="54">
        <v>28317</v>
      </c>
      <c r="H658" s="55">
        <f t="shared" si="114"/>
        <v>10250754</v>
      </c>
      <c r="I658" s="54">
        <v>3702</v>
      </c>
      <c r="J658" s="55">
        <f t="shared" si="115"/>
        <v>1340124</v>
      </c>
      <c r="K658" s="55">
        <f t="shared" si="116"/>
        <v>41223</v>
      </c>
      <c r="L658" s="55">
        <f t="shared" si="117"/>
        <v>14922726</v>
      </c>
      <c r="M658" s="53"/>
    </row>
    <row r="659" spans="1:13" x14ac:dyDescent="0.3">
      <c r="A659" s="51" t="s">
        <v>938</v>
      </c>
      <c r="B659" s="52" t="s">
        <v>939</v>
      </c>
      <c r="C659" s="56">
        <v>11.558999999999999</v>
      </c>
      <c r="D659" s="103" t="s">
        <v>632</v>
      </c>
      <c r="E659" s="54">
        <v>69996</v>
      </c>
      <c r="F659" s="55">
        <f t="shared" si="113"/>
        <v>809083.76399999997</v>
      </c>
      <c r="G659" s="54">
        <v>483930</v>
      </c>
      <c r="H659" s="55">
        <f t="shared" si="114"/>
        <v>5593746.8700000001</v>
      </c>
      <c r="I659" s="54">
        <v>86590</v>
      </c>
      <c r="J659" s="55">
        <f t="shared" si="115"/>
        <v>1000893.8099999999</v>
      </c>
      <c r="K659" s="55">
        <f t="shared" si="116"/>
        <v>640516</v>
      </c>
      <c r="L659" s="55">
        <f t="shared" si="117"/>
        <v>7403724.4439999992</v>
      </c>
      <c r="M659" s="53"/>
    </row>
    <row r="660" spans="1:13" x14ac:dyDescent="0.3">
      <c r="A660" s="51" t="s">
        <v>940</v>
      </c>
      <c r="B660" s="52" t="s">
        <v>801</v>
      </c>
      <c r="C660" s="54">
        <v>201</v>
      </c>
      <c r="D660" s="103" t="s">
        <v>97</v>
      </c>
      <c r="E660" s="54">
        <v>5813</v>
      </c>
      <c r="F660" s="55">
        <f t="shared" si="113"/>
        <v>1168413</v>
      </c>
      <c r="G660" s="54">
        <v>7764</v>
      </c>
      <c r="H660" s="55">
        <f t="shared" si="114"/>
        <v>1560564</v>
      </c>
      <c r="I660" s="54">
        <v>5288</v>
      </c>
      <c r="J660" s="55">
        <f t="shared" si="115"/>
        <v>1062888</v>
      </c>
      <c r="K660" s="55">
        <f t="shared" si="116"/>
        <v>18865</v>
      </c>
      <c r="L660" s="55">
        <f t="shared" si="117"/>
        <v>3791865</v>
      </c>
      <c r="M660" s="53"/>
    </row>
    <row r="661" spans="1:13" x14ac:dyDescent="0.3">
      <c r="A661" s="51" t="s">
        <v>941</v>
      </c>
      <c r="B661" s="52" t="s">
        <v>801</v>
      </c>
      <c r="C661" s="54">
        <v>130</v>
      </c>
      <c r="D661" s="103" t="s">
        <v>942</v>
      </c>
      <c r="E661" s="54">
        <v>5038</v>
      </c>
      <c r="F661" s="55">
        <f t="shared" si="113"/>
        <v>654940</v>
      </c>
      <c r="G661" s="54">
        <v>6942</v>
      </c>
      <c r="H661" s="55">
        <f t="shared" si="114"/>
        <v>902460</v>
      </c>
      <c r="I661" s="54">
        <v>3172</v>
      </c>
      <c r="J661" s="55">
        <f t="shared" si="115"/>
        <v>412360</v>
      </c>
      <c r="K661" s="55">
        <f t="shared" si="116"/>
        <v>15152</v>
      </c>
      <c r="L661" s="55">
        <f t="shared" si="117"/>
        <v>1969760</v>
      </c>
      <c r="M661" s="53"/>
    </row>
    <row r="662" spans="1:13" x14ac:dyDescent="0.3">
      <c r="A662" s="51" t="s">
        <v>943</v>
      </c>
      <c r="B662" s="52" t="s">
        <v>805</v>
      </c>
      <c r="C662" s="54">
        <v>47</v>
      </c>
      <c r="D662" s="103" t="s">
        <v>97</v>
      </c>
      <c r="E662" s="54">
        <v>484</v>
      </c>
      <c r="F662" s="55">
        <f t="shared" si="113"/>
        <v>22748</v>
      </c>
      <c r="G662" s="54">
        <v>913</v>
      </c>
      <c r="H662" s="55">
        <f t="shared" si="114"/>
        <v>42911</v>
      </c>
      <c r="I662" s="54">
        <v>0</v>
      </c>
      <c r="J662" s="55">
        <f t="shared" si="115"/>
        <v>0</v>
      </c>
      <c r="K662" s="55">
        <f t="shared" si="116"/>
        <v>1397</v>
      </c>
      <c r="L662" s="55">
        <f t="shared" si="117"/>
        <v>65659</v>
      </c>
      <c r="M662" s="53"/>
    </row>
    <row r="663" spans="1:13" x14ac:dyDescent="0.3">
      <c r="A663" s="51" t="s">
        <v>944</v>
      </c>
      <c r="B663" s="52" t="s">
        <v>803</v>
      </c>
      <c r="C663" s="54">
        <v>362</v>
      </c>
      <c r="D663" s="103" t="s">
        <v>97</v>
      </c>
      <c r="E663" s="54">
        <v>484</v>
      </c>
      <c r="F663" s="55">
        <f t="shared" si="113"/>
        <v>175208</v>
      </c>
      <c r="G663" s="54">
        <v>913</v>
      </c>
      <c r="H663" s="55">
        <f t="shared" si="114"/>
        <v>330506</v>
      </c>
      <c r="I663" s="54">
        <v>0</v>
      </c>
      <c r="J663" s="55">
        <f t="shared" si="115"/>
        <v>0</v>
      </c>
      <c r="K663" s="55">
        <f t="shared" si="116"/>
        <v>1397</v>
      </c>
      <c r="L663" s="55">
        <f t="shared" si="117"/>
        <v>505714</v>
      </c>
      <c r="M663" s="53"/>
    </row>
    <row r="664" spans="1:13" x14ac:dyDescent="0.3">
      <c r="A664" s="51" t="s">
        <v>945</v>
      </c>
      <c r="B664" s="52"/>
      <c r="C664" s="54">
        <v>30</v>
      </c>
      <c r="D664" s="103" t="s">
        <v>97</v>
      </c>
      <c r="E664" s="54">
        <v>0</v>
      </c>
      <c r="F664" s="55">
        <f t="shared" si="113"/>
        <v>0</v>
      </c>
      <c r="G664" s="54">
        <v>27653</v>
      </c>
      <c r="H664" s="55">
        <f t="shared" si="114"/>
        <v>829590</v>
      </c>
      <c r="I664" s="54">
        <v>2561</v>
      </c>
      <c r="J664" s="55">
        <f t="shared" si="115"/>
        <v>76830</v>
      </c>
      <c r="K664" s="55">
        <f t="shared" si="116"/>
        <v>30214</v>
      </c>
      <c r="L664" s="55">
        <f t="shared" si="117"/>
        <v>906420</v>
      </c>
      <c r="M664" s="53"/>
    </row>
    <row r="665" spans="1:13" x14ac:dyDescent="0.3">
      <c r="A665" s="51" t="s">
        <v>946</v>
      </c>
      <c r="B665" s="52" t="s">
        <v>947</v>
      </c>
      <c r="C665" s="54">
        <v>80</v>
      </c>
      <c r="D665" s="103" t="s">
        <v>234</v>
      </c>
      <c r="E665" s="54">
        <v>4360</v>
      </c>
      <c r="F665" s="55">
        <f t="shared" si="113"/>
        <v>348800</v>
      </c>
      <c r="G665" s="54">
        <v>13702</v>
      </c>
      <c r="H665" s="55">
        <f t="shared" si="114"/>
        <v>1096160</v>
      </c>
      <c r="I665" s="54">
        <v>0</v>
      </c>
      <c r="J665" s="55">
        <f t="shared" si="115"/>
        <v>0</v>
      </c>
      <c r="K665" s="55">
        <f t="shared" si="116"/>
        <v>18062</v>
      </c>
      <c r="L665" s="55">
        <f t="shared" si="117"/>
        <v>1444960</v>
      </c>
      <c r="M665" s="53"/>
    </row>
    <row r="666" spans="1:13" x14ac:dyDescent="0.3">
      <c r="A666" s="51" t="s">
        <v>948</v>
      </c>
      <c r="B666" s="52" t="s">
        <v>949</v>
      </c>
      <c r="C666" s="54">
        <v>166</v>
      </c>
      <c r="D666" s="103" t="s">
        <v>950</v>
      </c>
      <c r="E666" s="54">
        <v>0</v>
      </c>
      <c r="F666" s="55">
        <f t="shared" si="113"/>
        <v>0</v>
      </c>
      <c r="G666" s="54">
        <v>0</v>
      </c>
      <c r="H666" s="55">
        <f t="shared" si="114"/>
        <v>0</v>
      </c>
      <c r="I666" s="54">
        <v>16921</v>
      </c>
      <c r="J666" s="55">
        <f t="shared" si="115"/>
        <v>2808886</v>
      </c>
      <c r="K666" s="55">
        <f t="shared" si="116"/>
        <v>16921</v>
      </c>
      <c r="L666" s="55">
        <f t="shared" si="117"/>
        <v>2808886</v>
      </c>
      <c r="M666" s="53"/>
    </row>
    <row r="667" spans="1:13" x14ac:dyDescent="0.3">
      <c r="A667" s="51" t="s">
        <v>951</v>
      </c>
      <c r="B667" s="52" t="s">
        <v>952</v>
      </c>
      <c r="C667" s="54">
        <v>252</v>
      </c>
      <c r="D667" s="103" t="s">
        <v>950</v>
      </c>
      <c r="E667" s="54">
        <v>0</v>
      </c>
      <c r="F667" s="55">
        <f t="shared" si="113"/>
        <v>0</v>
      </c>
      <c r="G667" s="54">
        <v>0</v>
      </c>
      <c r="H667" s="55">
        <f t="shared" si="114"/>
        <v>0</v>
      </c>
      <c r="I667" s="54">
        <v>15864</v>
      </c>
      <c r="J667" s="55">
        <f t="shared" si="115"/>
        <v>3997728</v>
      </c>
      <c r="K667" s="55">
        <f t="shared" si="116"/>
        <v>15864</v>
      </c>
      <c r="L667" s="55">
        <f t="shared" si="117"/>
        <v>3997728</v>
      </c>
      <c r="M667" s="53"/>
    </row>
    <row r="668" spans="1:13" x14ac:dyDescent="0.3">
      <c r="A668" s="51" t="s">
        <v>953</v>
      </c>
      <c r="B668" s="52" t="s">
        <v>949</v>
      </c>
      <c r="C668" s="54">
        <v>57</v>
      </c>
      <c r="D668" s="103" t="s">
        <v>950</v>
      </c>
      <c r="E668" s="54">
        <v>0</v>
      </c>
      <c r="F668" s="55">
        <f t="shared" si="113"/>
        <v>0</v>
      </c>
      <c r="G668" s="54">
        <v>0</v>
      </c>
      <c r="H668" s="55">
        <f t="shared" si="114"/>
        <v>0</v>
      </c>
      <c r="I668" s="54">
        <v>16921</v>
      </c>
      <c r="J668" s="55">
        <f t="shared" si="115"/>
        <v>964497</v>
      </c>
      <c r="K668" s="55">
        <f t="shared" si="116"/>
        <v>16921</v>
      </c>
      <c r="L668" s="55">
        <f t="shared" si="117"/>
        <v>964497</v>
      </c>
      <c r="M668" s="53"/>
    </row>
    <row r="669" spans="1:13" x14ac:dyDescent="0.3">
      <c r="A669" s="51" t="s">
        <v>954</v>
      </c>
      <c r="B669" s="52"/>
      <c r="C669" s="52"/>
      <c r="D669" s="103"/>
      <c r="E669" s="52"/>
      <c r="F669" s="52"/>
      <c r="G669" s="52"/>
      <c r="H669" s="52"/>
      <c r="I669" s="52"/>
      <c r="J669" s="52"/>
      <c r="K669" s="52"/>
      <c r="L669" s="52"/>
      <c r="M669" s="53"/>
    </row>
    <row r="670" spans="1:13" x14ac:dyDescent="0.3">
      <c r="A670" s="51" t="s">
        <v>406</v>
      </c>
      <c r="B670" s="52" t="s">
        <v>955</v>
      </c>
      <c r="C670" s="54">
        <v>111</v>
      </c>
      <c r="D670" s="103" t="s">
        <v>103</v>
      </c>
      <c r="E670" s="54">
        <v>93982</v>
      </c>
      <c r="F670" s="55">
        <f t="shared" ref="F670:F676" si="118">E670*C670</f>
        <v>10432002</v>
      </c>
      <c r="G670" s="54">
        <v>0</v>
      </c>
      <c r="H670" s="55">
        <f t="shared" ref="H670:H676" si="119">G670*C670</f>
        <v>0</v>
      </c>
      <c r="I670" s="54">
        <v>0</v>
      </c>
      <c r="J670" s="55">
        <f t="shared" ref="J670:J676" si="120">I670*C670</f>
        <v>0</v>
      </c>
      <c r="K670" s="55">
        <f t="shared" ref="K670:L676" si="121">E670+G670+I670</f>
        <v>93982</v>
      </c>
      <c r="L670" s="55">
        <f t="shared" si="121"/>
        <v>10432002</v>
      </c>
      <c r="M670" s="53"/>
    </row>
    <row r="671" spans="1:13" x14ac:dyDescent="0.3">
      <c r="A671" s="51" t="s">
        <v>408</v>
      </c>
      <c r="B671" s="52" t="s">
        <v>755</v>
      </c>
      <c r="C671" s="54">
        <v>6</v>
      </c>
      <c r="D671" s="103" t="s">
        <v>103</v>
      </c>
      <c r="E671" s="54">
        <v>83518</v>
      </c>
      <c r="F671" s="55">
        <f t="shared" si="118"/>
        <v>501108</v>
      </c>
      <c r="G671" s="54">
        <v>0</v>
      </c>
      <c r="H671" s="55">
        <f t="shared" si="119"/>
        <v>0</v>
      </c>
      <c r="I671" s="54">
        <v>0</v>
      </c>
      <c r="J671" s="55">
        <f t="shared" si="120"/>
        <v>0</v>
      </c>
      <c r="K671" s="55">
        <f t="shared" si="121"/>
        <v>83518</v>
      </c>
      <c r="L671" s="55">
        <f t="shared" si="121"/>
        <v>501108</v>
      </c>
      <c r="M671" s="53"/>
    </row>
    <row r="672" spans="1:13" x14ac:dyDescent="0.3">
      <c r="A672" s="51" t="s">
        <v>397</v>
      </c>
      <c r="B672" s="52" t="s">
        <v>825</v>
      </c>
      <c r="C672" s="56">
        <v>3.9</v>
      </c>
      <c r="D672" s="103" t="s">
        <v>826</v>
      </c>
      <c r="E672" s="54">
        <v>840802</v>
      </c>
      <c r="F672" s="55">
        <f t="shared" si="118"/>
        <v>3279127.8</v>
      </c>
      <c r="G672" s="54">
        <v>0</v>
      </c>
      <c r="H672" s="55">
        <f t="shared" si="119"/>
        <v>0</v>
      </c>
      <c r="I672" s="54">
        <v>0</v>
      </c>
      <c r="J672" s="55">
        <f t="shared" si="120"/>
        <v>0</v>
      </c>
      <c r="K672" s="55">
        <f t="shared" si="121"/>
        <v>840802</v>
      </c>
      <c r="L672" s="55">
        <f t="shared" si="121"/>
        <v>3279127.8</v>
      </c>
      <c r="M672" s="53"/>
    </row>
    <row r="673" spans="1:13" x14ac:dyDescent="0.3">
      <c r="A673" s="51" t="s">
        <v>399</v>
      </c>
      <c r="B673" s="52" t="s">
        <v>828</v>
      </c>
      <c r="C673" s="56">
        <v>7.3810000000000002</v>
      </c>
      <c r="D673" s="103" t="s">
        <v>826</v>
      </c>
      <c r="E673" s="54">
        <v>909309</v>
      </c>
      <c r="F673" s="55">
        <f t="shared" si="118"/>
        <v>6711609.7290000003</v>
      </c>
      <c r="G673" s="54">
        <v>0</v>
      </c>
      <c r="H673" s="55">
        <f t="shared" si="119"/>
        <v>0</v>
      </c>
      <c r="I673" s="54">
        <v>0</v>
      </c>
      <c r="J673" s="55">
        <f t="shared" si="120"/>
        <v>0</v>
      </c>
      <c r="K673" s="55">
        <f t="shared" si="121"/>
        <v>909309</v>
      </c>
      <c r="L673" s="55">
        <f t="shared" si="121"/>
        <v>6711609.7290000003</v>
      </c>
      <c r="M673" s="53"/>
    </row>
    <row r="674" spans="1:13" x14ac:dyDescent="0.3">
      <c r="A674" s="51" t="s">
        <v>827</v>
      </c>
      <c r="B674" s="52" t="s">
        <v>830</v>
      </c>
      <c r="C674" s="56">
        <v>0.625</v>
      </c>
      <c r="D674" s="103" t="s">
        <v>826</v>
      </c>
      <c r="E674" s="54">
        <v>538872</v>
      </c>
      <c r="F674" s="55">
        <f t="shared" si="118"/>
        <v>336795</v>
      </c>
      <c r="G674" s="54">
        <v>0</v>
      </c>
      <c r="H674" s="55">
        <f t="shared" si="119"/>
        <v>0</v>
      </c>
      <c r="I674" s="54">
        <v>0</v>
      </c>
      <c r="J674" s="55">
        <f t="shared" si="120"/>
        <v>0</v>
      </c>
      <c r="K674" s="55">
        <f t="shared" si="121"/>
        <v>538872</v>
      </c>
      <c r="L674" s="55">
        <f t="shared" si="121"/>
        <v>336795</v>
      </c>
      <c r="M674" s="53"/>
    </row>
    <row r="675" spans="1:13" x14ac:dyDescent="0.3">
      <c r="A675" s="51" t="s">
        <v>956</v>
      </c>
      <c r="B675" s="52" t="s">
        <v>957</v>
      </c>
      <c r="C675" s="56">
        <v>11.906000000000001</v>
      </c>
      <c r="D675" s="103" t="s">
        <v>632</v>
      </c>
      <c r="E675" s="54">
        <v>0</v>
      </c>
      <c r="F675" s="55">
        <f t="shared" si="118"/>
        <v>0</v>
      </c>
      <c r="G675" s="54">
        <v>0</v>
      </c>
      <c r="H675" s="55">
        <f t="shared" si="119"/>
        <v>0</v>
      </c>
      <c r="I675" s="54">
        <v>20985</v>
      </c>
      <c r="J675" s="55">
        <f t="shared" si="120"/>
        <v>249847.41</v>
      </c>
      <c r="K675" s="55">
        <f t="shared" si="121"/>
        <v>20985</v>
      </c>
      <c r="L675" s="55">
        <f t="shared" si="121"/>
        <v>249847.41</v>
      </c>
      <c r="M675" s="53"/>
    </row>
    <row r="676" spans="1:13" x14ac:dyDescent="0.3">
      <c r="A676" s="51" t="s">
        <v>958</v>
      </c>
      <c r="B676" s="52" t="s">
        <v>404</v>
      </c>
      <c r="C676" s="56">
        <v>0.34699999999999998</v>
      </c>
      <c r="D676" s="103" t="s">
        <v>394</v>
      </c>
      <c r="E676" s="54">
        <v>-383718</v>
      </c>
      <c r="F676" s="55">
        <f t="shared" si="118"/>
        <v>-133150.14599999998</v>
      </c>
      <c r="G676" s="54">
        <v>0</v>
      </c>
      <c r="H676" s="55">
        <f t="shared" si="119"/>
        <v>0</v>
      </c>
      <c r="I676" s="54">
        <v>0</v>
      </c>
      <c r="J676" s="55">
        <f t="shared" si="120"/>
        <v>0</v>
      </c>
      <c r="K676" s="55">
        <f t="shared" si="121"/>
        <v>-383718</v>
      </c>
      <c r="L676" s="55">
        <f t="shared" si="121"/>
        <v>-133150.14599999998</v>
      </c>
      <c r="M676" s="53"/>
    </row>
    <row r="677" spans="1:13" x14ac:dyDescent="0.3">
      <c r="A677" s="51" t="s">
        <v>959</v>
      </c>
      <c r="B677" s="52"/>
      <c r="C677" s="52"/>
      <c r="D677" s="103"/>
      <c r="E677" s="52"/>
      <c r="F677" s="52"/>
      <c r="G677" s="52"/>
      <c r="H677" s="52"/>
      <c r="I677" s="52"/>
      <c r="J677" s="52"/>
      <c r="K677" s="52"/>
      <c r="L677" s="52"/>
      <c r="M677" s="53"/>
    </row>
    <row r="678" spans="1:13" x14ac:dyDescent="0.3">
      <c r="A678" s="51" t="s">
        <v>960</v>
      </c>
      <c r="B678" s="52"/>
      <c r="C678" s="52"/>
      <c r="D678" s="103"/>
      <c r="E678" s="52"/>
      <c r="F678" s="52"/>
      <c r="G678" s="52"/>
      <c r="H678" s="52"/>
      <c r="I678" s="52"/>
      <c r="J678" s="52"/>
      <c r="K678" s="52"/>
      <c r="L678" s="52"/>
      <c r="M678" s="53"/>
    </row>
    <row r="679" spans="1:13" x14ac:dyDescent="0.3">
      <c r="A679" s="51" t="s">
        <v>961</v>
      </c>
      <c r="B679" s="52"/>
      <c r="C679" s="52"/>
      <c r="D679" s="103"/>
      <c r="E679" s="52"/>
      <c r="F679" s="52"/>
      <c r="G679" s="52"/>
      <c r="H679" s="52"/>
      <c r="I679" s="52"/>
      <c r="J679" s="52"/>
      <c r="K679" s="52"/>
      <c r="L679" s="52"/>
      <c r="M679" s="53"/>
    </row>
    <row r="680" spans="1:13" x14ac:dyDescent="0.3">
      <c r="A680" s="51" t="s">
        <v>962</v>
      </c>
      <c r="B680" s="52"/>
      <c r="C680" s="52"/>
      <c r="D680" s="103"/>
      <c r="E680" s="52"/>
      <c r="F680" s="52"/>
      <c r="G680" s="52"/>
      <c r="H680" s="52"/>
      <c r="I680" s="52"/>
      <c r="J680" s="52"/>
      <c r="K680" s="52"/>
      <c r="L680" s="52"/>
      <c r="M680" s="53"/>
    </row>
    <row r="681" spans="1:13" x14ac:dyDescent="0.3">
      <c r="A681" s="51" t="s">
        <v>963</v>
      </c>
      <c r="B681" s="52"/>
      <c r="C681" s="52"/>
      <c r="D681" s="103"/>
      <c r="E681" s="52"/>
      <c r="F681" s="52"/>
      <c r="G681" s="52"/>
      <c r="H681" s="52"/>
      <c r="I681" s="52"/>
      <c r="J681" s="52"/>
      <c r="K681" s="52"/>
      <c r="L681" s="52"/>
      <c r="M681" s="53"/>
    </row>
    <row r="682" spans="1:13" x14ac:dyDescent="0.3">
      <c r="A682" s="51" t="s">
        <v>928</v>
      </c>
      <c r="B682" s="52"/>
      <c r="C682" s="52"/>
      <c r="D682" s="103"/>
      <c r="E682" s="52"/>
      <c r="F682" s="52"/>
      <c r="G682" s="52"/>
      <c r="H682" s="52"/>
      <c r="I682" s="52"/>
      <c r="J682" s="52"/>
      <c r="K682" s="52"/>
      <c r="L682" s="52"/>
      <c r="M682" s="53"/>
    </row>
    <row r="683" spans="1:13" x14ac:dyDescent="0.3">
      <c r="A683" s="51" t="s">
        <v>655</v>
      </c>
      <c r="B683" s="52" t="s">
        <v>140</v>
      </c>
      <c r="C683" s="54">
        <v>63</v>
      </c>
      <c r="D683" s="103" t="s">
        <v>103</v>
      </c>
      <c r="E683" s="54">
        <v>0</v>
      </c>
      <c r="F683" s="55">
        <f>E683*C683</f>
        <v>0</v>
      </c>
      <c r="G683" s="54">
        <v>0</v>
      </c>
      <c r="H683" s="55">
        <f>G683*C683</f>
        <v>0</v>
      </c>
      <c r="I683" s="54">
        <v>1692</v>
      </c>
      <c r="J683" s="55">
        <f>I683*C683</f>
        <v>106596</v>
      </c>
      <c r="K683" s="55">
        <f t="shared" ref="K683:L687" si="122">E683+G683+I683</f>
        <v>1692</v>
      </c>
      <c r="L683" s="55">
        <f t="shared" si="122"/>
        <v>106596</v>
      </c>
      <c r="M683" s="53"/>
    </row>
    <row r="684" spans="1:13" x14ac:dyDescent="0.3">
      <c r="A684" s="51" t="s">
        <v>964</v>
      </c>
      <c r="B684" s="52" t="s">
        <v>446</v>
      </c>
      <c r="C684" s="54">
        <v>16</v>
      </c>
      <c r="D684" s="103" t="s">
        <v>103</v>
      </c>
      <c r="E684" s="54">
        <v>0</v>
      </c>
      <c r="F684" s="55">
        <f>E684*C684</f>
        <v>0</v>
      </c>
      <c r="G684" s="54">
        <v>2832</v>
      </c>
      <c r="H684" s="55">
        <f>G684*C684</f>
        <v>45312</v>
      </c>
      <c r="I684" s="54">
        <v>4231</v>
      </c>
      <c r="J684" s="55">
        <f>I684*C684</f>
        <v>67696</v>
      </c>
      <c r="K684" s="55">
        <f t="shared" si="122"/>
        <v>7063</v>
      </c>
      <c r="L684" s="55">
        <f t="shared" si="122"/>
        <v>113008</v>
      </c>
      <c r="M684" s="53"/>
    </row>
    <row r="685" spans="1:13" x14ac:dyDescent="0.3">
      <c r="A685" s="51" t="s">
        <v>965</v>
      </c>
      <c r="B685" s="52" t="s">
        <v>220</v>
      </c>
      <c r="C685" s="54">
        <v>18</v>
      </c>
      <c r="D685" s="103" t="s">
        <v>103</v>
      </c>
      <c r="E685" s="54">
        <v>0</v>
      </c>
      <c r="F685" s="55">
        <f>E685*C685</f>
        <v>0</v>
      </c>
      <c r="G685" s="54">
        <v>59374</v>
      </c>
      <c r="H685" s="55">
        <f>G685*C685</f>
        <v>1068732</v>
      </c>
      <c r="I685" s="54">
        <v>0</v>
      </c>
      <c r="J685" s="55">
        <f>I685*C685</f>
        <v>0</v>
      </c>
      <c r="K685" s="55">
        <f t="shared" si="122"/>
        <v>59374</v>
      </c>
      <c r="L685" s="55">
        <f t="shared" si="122"/>
        <v>1068732</v>
      </c>
      <c r="M685" s="53"/>
    </row>
    <row r="686" spans="1:13" x14ac:dyDescent="0.3">
      <c r="A686" s="51" t="s">
        <v>966</v>
      </c>
      <c r="B686" s="52" t="s">
        <v>226</v>
      </c>
      <c r="C686" s="54">
        <v>92</v>
      </c>
      <c r="D686" s="103" t="s">
        <v>103</v>
      </c>
      <c r="E686" s="54">
        <v>0</v>
      </c>
      <c r="F686" s="55">
        <f>E686*C686</f>
        <v>0</v>
      </c>
      <c r="G686" s="54">
        <v>2284</v>
      </c>
      <c r="H686" s="55">
        <f>G686*C686</f>
        <v>210128</v>
      </c>
      <c r="I686" s="54">
        <v>4759</v>
      </c>
      <c r="J686" s="55">
        <f>I686*C686</f>
        <v>437828</v>
      </c>
      <c r="K686" s="55">
        <f t="shared" si="122"/>
        <v>7043</v>
      </c>
      <c r="L686" s="55">
        <f t="shared" si="122"/>
        <v>647956</v>
      </c>
      <c r="M686" s="53"/>
    </row>
    <row r="687" spans="1:13" x14ac:dyDescent="0.3">
      <c r="A687" s="51" t="s">
        <v>967</v>
      </c>
      <c r="B687" s="52" t="s">
        <v>448</v>
      </c>
      <c r="C687" s="54">
        <v>5</v>
      </c>
      <c r="D687" s="103" t="s">
        <v>103</v>
      </c>
      <c r="E687" s="54">
        <v>0</v>
      </c>
      <c r="F687" s="55">
        <f>E687*C687</f>
        <v>0</v>
      </c>
      <c r="G687" s="54">
        <v>0</v>
      </c>
      <c r="H687" s="55">
        <f>G687*C687</f>
        <v>0</v>
      </c>
      <c r="I687" s="54">
        <v>10575</v>
      </c>
      <c r="J687" s="55">
        <f>I687*C687</f>
        <v>52875</v>
      </c>
      <c r="K687" s="55">
        <f t="shared" si="122"/>
        <v>10575</v>
      </c>
      <c r="L687" s="55">
        <f t="shared" si="122"/>
        <v>52875</v>
      </c>
      <c r="M687" s="53"/>
    </row>
    <row r="688" spans="1:13" x14ac:dyDescent="0.3">
      <c r="A688" s="51" t="s">
        <v>968</v>
      </c>
      <c r="B688" s="52"/>
      <c r="C688" s="52"/>
      <c r="D688" s="103"/>
      <c r="E688" s="52"/>
      <c r="F688" s="52"/>
      <c r="G688" s="52"/>
      <c r="H688" s="52"/>
      <c r="I688" s="52"/>
      <c r="J688" s="52"/>
      <c r="K688" s="52"/>
      <c r="L688" s="52"/>
      <c r="M688" s="53"/>
    </row>
    <row r="689" spans="1:13" x14ac:dyDescent="0.3">
      <c r="A689" s="51" t="s">
        <v>969</v>
      </c>
      <c r="B689" s="52" t="s">
        <v>659</v>
      </c>
      <c r="C689" s="54">
        <v>142</v>
      </c>
      <c r="D689" s="103" t="s">
        <v>97</v>
      </c>
      <c r="E689" s="54">
        <v>0</v>
      </c>
      <c r="F689" s="55">
        <f>E689*C689</f>
        <v>0</v>
      </c>
      <c r="G689" s="54">
        <v>9253</v>
      </c>
      <c r="H689" s="55">
        <f>G689*C689</f>
        <v>1313926</v>
      </c>
      <c r="I689" s="54">
        <v>34900</v>
      </c>
      <c r="J689" s="55">
        <f>I689*C689</f>
        <v>4955800</v>
      </c>
      <c r="K689" s="55">
        <f t="shared" ref="K689:L693" si="123">E689+G689+I689</f>
        <v>44153</v>
      </c>
      <c r="L689" s="55">
        <f t="shared" si="123"/>
        <v>6269726</v>
      </c>
      <c r="M689" s="53"/>
    </row>
    <row r="690" spans="1:13" x14ac:dyDescent="0.3">
      <c r="A690" s="51" t="s">
        <v>970</v>
      </c>
      <c r="B690" s="52" t="s">
        <v>971</v>
      </c>
      <c r="C690" s="54">
        <v>142</v>
      </c>
      <c r="D690" s="103" t="s">
        <v>97</v>
      </c>
      <c r="E690" s="54">
        <v>0</v>
      </c>
      <c r="F690" s="55">
        <f>E690*C690</f>
        <v>0</v>
      </c>
      <c r="G690" s="54">
        <v>9253</v>
      </c>
      <c r="H690" s="55">
        <f>G690*C690</f>
        <v>1313926</v>
      </c>
      <c r="I690" s="54">
        <v>34900</v>
      </c>
      <c r="J690" s="55">
        <f>I690*C690</f>
        <v>4955800</v>
      </c>
      <c r="K690" s="55">
        <f t="shared" si="123"/>
        <v>44153</v>
      </c>
      <c r="L690" s="55">
        <f t="shared" si="123"/>
        <v>6269726</v>
      </c>
      <c r="M690" s="53"/>
    </row>
    <row r="691" spans="1:13" x14ac:dyDescent="0.3">
      <c r="A691" s="51" t="s">
        <v>972</v>
      </c>
      <c r="B691" s="52" t="s">
        <v>666</v>
      </c>
      <c r="C691" s="54">
        <v>142</v>
      </c>
      <c r="D691" s="103" t="s">
        <v>97</v>
      </c>
      <c r="E691" s="54">
        <v>0</v>
      </c>
      <c r="F691" s="55">
        <f>E691*C691</f>
        <v>0</v>
      </c>
      <c r="G691" s="54">
        <v>0</v>
      </c>
      <c r="H691" s="55">
        <f>G691*C691</f>
        <v>0</v>
      </c>
      <c r="I691" s="54">
        <v>529</v>
      </c>
      <c r="J691" s="55">
        <f>I691*C691</f>
        <v>75118</v>
      </c>
      <c r="K691" s="55">
        <f t="shared" si="123"/>
        <v>529</v>
      </c>
      <c r="L691" s="55">
        <f t="shared" si="123"/>
        <v>75118</v>
      </c>
      <c r="M691" s="53"/>
    </row>
    <row r="692" spans="1:13" x14ac:dyDescent="0.3">
      <c r="A692" s="51" t="s">
        <v>973</v>
      </c>
      <c r="B692" s="52" t="s">
        <v>668</v>
      </c>
      <c r="C692" s="54">
        <v>142</v>
      </c>
      <c r="D692" s="103" t="s">
        <v>97</v>
      </c>
      <c r="E692" s="54">
        <v>0</v>
      </c>
      <c r="F692" s="55">
        <f>E692*C692</f>
        <v>0</v>
      </c>
      <c r="G692" s="54">
        <v>0</v>
      </c>
      <c r="H692" s="55">
        <f>G692*C692</f>
        <v>0</v>
      </c>
      <c r="I692" s="54">
        <v>529</v>
      </c>
      <c r="J692" s="55">
        <f>I692*C692</f>
        <v>75118</v>
      </c>
      <c r="K692" s="55">
        <f t="shared" si="123"/>
        <v>529</v>
      </c>
      <c r="L692" s="55">
        <f t="shared" si="123"/>
        <v>75118</v>
      </c>
      <c r="M692" s="53"/>
    </row>
    <row r="693" spans="1:13" x14ac:dyDescent="0.3">
      <c r="A693" s="51" t="s">
        <v>974</v>
      </c>
      <c r="B693" s="52" t="s">
        <v>975</v>
      </c>
      <c r="C693" s="54">
        <v>36</v>
      </c>
      <c r="D693" s="103" t="s">
        <v>103</v>
      </c>
      <c r="E693" s="54">
        <v>0</v>
      </c>
      <c r="F693" s="55">
        <f>E693*C693</f>
        <v>0</v>
      </c>
      <c r="G693" s="54">
        <v>2284</v>
      </c>
      <c r="H693" s="55">
        <f>G693*C693</f>
        <v>82224</v>
      </c>
      <c r="I693" s="54">
        <v>4759</v>
      </c>
      <c r="J693" s="55">
        <f>I693*C693</f>
        <v>171324</v>
      </c>
      <c r="K693" s="55">
        <f t="shared" si="123"/>
        <v>7043</v>
      </c>
      <c r="L693" s="55">
        <f t="shared" si="123"/>
        <v>253548</v>
      </c>
      <c r="M693" s="53"/>
    </row>
    <row r="694" spans="1:13" x14ac:dyDescent="0.3">
      <c r="A694" s="51" t="s">
        <v>976</v>
      </c>
      <c r="B694" s="52"/>
      <c r="C694" s="52"/>
      <c r="D694" s="103"/>
      <c r="E694" s="52"/>
      <c r="F694" s="52"/>
      <c r="G694" s="52"/>
      <c r="H694" s="52"/>
      <c r="I694" s="52"/>
      <c r="J694" s="52"/>
      <c r="K694" s="52"/>
      <c r="L694" s="52"/>
      <c r="M694" s="53"/>
    </row>
    <row r="695" spans="1:13" x14ac:dyDescent="0.3">
      <c r="A695" s="51" t="s">
        <v>705</v>
      </c>
      <c r="B695" s="52" t="s">
        <v>706</v>
      </c>
      <c r="C695" s="54">
        <v>63</v>
      </c>
      <c r="D695" s="103" t="s">
        <v>234</v>
      </c>
      <c r="E695" s="54">
        <v>0</v>
      </c>
      <c r="F695" s="55">
        <f>E695*C695</f>
        <v>0</v>
      </c>
      <c r="G695" s="54">
        <v>12788</v>
      </c>
      <c r="H695" s="55">
        <f>G695*C695</f>
        <v>805644</v>
      </c>
      <c r="I695" s="54">
        <v>5140</v>
      </c>
      <c r="J695" s="55">
        <f>I695*C695</f>
        <v>323820</v>
      </c>
      <c r="K695" s="55">
        <f>E695+G695+I695</f>
        <v>17928</v>
      </c>
      <c r="L695" s="55">
        <f>F695+H695+J695</f>
        <v>1129464</v>
      </c>
      <c r="M695" s="53"/>
    </row>
    <row r="696" spans="1:13" x14ac:dyDescent="0.3">
      <c r="A696" s="51" t="s">
        <v>977</v>
      </c>
      <c r="B696" s="52"/>
      <c r="C696" s="52"/>
      <c r="D696" s="103"/>
      <c r="E696" s="52"/>
      <c r="F696" s="52"/>
      <c r="G696" s="52"/>
      <c r="H696" s="52"/>
      <c r="I696" s="52"/>
      <c r="J696" s="52"/>
      <c r="K696" s="52"/>
      <c r="L696" s="52"/>
      <c r="M696" s="53"/>
    </row>
    <row r="697" spans="1:13" x14ac:dyDescent="0.3">
      <c r="A697" s="51" t="s">
        <v>734</v>
      </c>
      <c r="B697" s="52" t="s">
        <v>691</v>
      </c>
      <c r="C697" s="54">
        <v>11</v>
      </c>
      <c r="D697" s="103" t="s">
        <v>97</v>
      </c>
      <c r="E697" s="54">
        <v>6298</v>
      </c>
      <c r="F697" s="55">
        <f>E697*C697</f>
        <v>69278</v>
      </c>
      <c r="G697" s="54">
        <v>7764</v>
      </c>
      <c r="H697" s="55">
        <f>G697*C697</f>
        <v>85404</v>
      </c>
      <c r="I697" s="54">
        <v>1057</v>
      </c>
      <c r="J697" s="55">
        <f>I697*C697</f>
        <v>11627</v>
      </c>
      <c r="K697" s="55">
        <f>E697+G697+I697</f>
        <v>15119</v>
      </c>
      <c r="L697" s="55">
        <f>F697+H697+J697</f>
        <v>166309</v>
      </c>
      <c r="M697" s="53"/>
    </row>
    <row r="698" spans="1:13" x14ac:dyDescent="0.3">
      <c r="A698" s="51" t="s">
        <v>978</v>
      </c>
      <c r="B698" s="52"/>
      <c r="C698" s="52"/>
      <c r="D698" s="103"/>
      <c r="E698" s="52"/>
      <c r="F698" s="52"/>
      <c r="G698" s="52"/>
      <c r="H698" s="52"/>
      <c r="I698" s="52"/>
      <c r="J698" s="52"/>
      <c r="K698" s="52"/>
      <c r="L698" s="52"/>
      <c r="M698" s="53"/>
    </row>
    <row r="699" spans="1:13" x14ac:dyDescent="0.3">
      <c r="A699" s="51" t="s">
        <v>232</v>
      </c>
      <c r="B699" s="52" t="s">
        <v>233</v>
      </c>
      <c r="C699" s="54">
        <v>44</v>
      </c>
      <c r="D699" s="103" t="s">
        <v>234</v>
      </c>
      <c r="E699" s="54">
        <v>2035</v>
      </c>
      <c r="F699" s="55">
        <f>E699*C699</f>
        <v>89540</v>
      </c>
      <c r="G699" s="54">
        <v>28499</v>
      </c>
      <c r="H699" s="55">
        <f>G699*C699</f>
        <v>1253956</v>
      </c>
      <c r="I699" s="54">
        <v>36486</v>
      </c>
      <c r="J699" s="55">
        <f>I699*C699</f>
        <v>1605384</v>
      </c>
      <c r="K699" s="55">
        <f t="shared" ref="K699:L702" si="124">E699+G699+I699</f>
        <v>67020</v>
      </c>
      <c r="L699" s="55">
        <f t="shared" si="124"/>
        <v>2948880</v>
      </c>
      <c r="M699" s="53"/>
    </row>
    <row r="700" spans="1:13" x14ac:dyDescent="0.3">
      <c r="A700" s="51" t="s">
        <v>265</v>
      </c>
      <c r="B700" s="52" t="s">
        <v>264</v>
      </c>
      <c r="C700" s="54">
        <v>6</v>
      </c>
      <c r="D700" s="103" t="s">
        <v>204</v>
      </c>
      <c r="E700" s="54">
        <v>0</v>
      </c>
      <c r="F700" s="55">
        <f>E700*C700</f>
        <v>0</v>
      </c>
      <c r="G700" s="54">
        <v>58415</v>
      </c>
      <c r="H700" s="55">
        <f>G700*C700</f>
        <v>350490</v>
      </c>
      <c r="I700" s="54">
        <v>20306</v>
      </c>
      <c r="J700" s="55">
        <f>I700*C700</f>
        <v>121836</v>
      </c>
      <c r="K700" s="55">
        <f t="shared" si="124"/>
        <v>78721</v>
      </c>
      <c r="L700" s="55">
        <f t="shared" si="124"/>
        <v>472326</v>
      </c>
      <c r="M700" s="53"/>
    </row>
    <row r="701" spans="1:13" x14ac:dyDescent="0.3">
      <c r="A701" s="51" t="s">
        <v>979</v>
      </c>
      <c r="B701" s="52" t="s">
        <v>313</v>
      </c>
      <c r="C701" s="54">
        <v>5</v>
      </c>
      <c r="D701" s="103" t="s">
        <v>204</v>
      </c>
      <c r="E701" s="54">
        <v>63462</v>
      </c>
      <c r="F701" s="55">
        <f>E701*C701</f>
        <v>317310</v>
      </c>
      <c r="G701" s="54">
        <v>49326</v>
      </c>
      <c r="H701" s="55">
        <f>G701*C701</f>
        <v>246630</v>
      </c>
      <c r="I701" s="54">
        <v>70815</v>
      </c>
      <c r="J701" s="55">
        <f>I701*C701</f>
        <v>354075</v>
      </c>
      <c r="K701" s="55">
        <f t="shared" si="124"/>
        <v>183603</v>
      </c>
      <c r="L701" s="55">
        <f t="shared" si="124"/>
        <v>918015</v>
      </c>
      <c r="M701" s="53"/>
    </row>
    <row r="702" spans="1:13" x14ac:dyDescent="0.3">
      <c r="A702" s="51" t="s">
        <v>980</v>
      </c>
      <c r="B702" s="52" t="s">
        <v>981</v>
      </c>
      <c r="C702" s="54">
        <v>1</v>
      </c>
      <c r="D702" s="103" t="s">
        <v>204</v>
      </c>
      <c r="E702" s="54">
        <v>435999</v>
      </c>
      <c r="F702" s="55">
        <f>E702*C702</f>
        <v>435999</v>
      </c>
      <c r="G702" s="54">
        <v>94770</v>
      </c>
      <c r="H702" s="55">
        <f>G702*C702</f>
        <v>94770</v>
      </c>
      <c r="I702" s="54">
        <v>125588</v>
      </c>
      <c r="J702" s="55">
        <f>I702*C702</f>
        <v>125588</v>
      </c>
      <c r="K702" s="55">
        <f t="shared" si="124"/>
        <v>656357</v>
      </c>
      <c r="L702" s="55">
        <f t="shared" si="124"/>
        <v>656357</v>
      </c>
      <c r="M702" s="53"/>
    </row>
    <row r="703" spans="1:13" x14ac:dyDescent="0.3">
      <c r="A703" s="51" t="s">
        <v>982</v>
      </c>
      <c r="B703" s="52"/>
      <c r="C703" s="52"/>
      <c r="D703" s="103"/>
      <c r="E703" s="52"/>
      <c r="F703" s="52"/>
      <c r="G703" s="52"/>
      <c r="H703" s="52"/>
      <c r="I703" s="52"/>
      <c r="J703" s="52"/>
      <c r="K703" s="52"/>
      <c r="L703" s="52"/>
      <c r="M703" s="53"/>
    </row>
    <row r="704" spans="1:13" x14ac:dyDescent="0.3">
      <c r="A704" s="51" t="s">
        <v>983</v>
      </c>
      <c r="B704" s="52" t="s">
        <v>984</v>
      </c>
      <c r="C704" s="54">
        <v>86</v>
      </c>
      <c r="D704" s="103" t="s">
        <v>234</v>
      </c>
      <c r="E704" s="54">
        <v>14292</v>
      </c>
      <c r="F704" s="55">
        <f>E704*C704</f>
        <v>1229112</v>
      </c>
      <c r="G704" s="54">
        <v>25576</v>
      </c>
      <c r="H704" s="55">
        <f>G704*C704</f>
        <v>2199536</v>
      </c>
      <c r="I704" s="54">
        <v>5288</v>
      </c>
      <c r="J704" s="55">
        <f>I704*C704</f>
        <v>454768</v>
      </c>
      <c r="K704" s="55">
        <f>E704+G704+I704</f>
        <v>45156</v>
      </c>
      <c r="L704" s="55">
        <f>F704+H704+J704</f>
        <v>3883416</v>
      </c>
      <c r="M704" s="53"/>
    </row>
    <row r="705" spans="1:13" x14ac:dyDescent="0.3">
      <c r="A705" s="51" t="s">
        <v>985</v>
      </c>
      <c r="B705" s="52"/>
      <c r="C705" s="52"/>
      <c r="D705" s="103"/>
      <c r="E705" s="52"/>
      <c r="F705" s="52"/>
      <c r="G705" s="52"/>
      <c r="H705" s="52"/>
      <c r="I705" s="52"/>
      <c r="J705" s="52"/>
      <c r="K705" s="52"/>
      <c r="L705" s="52"/>
      <c r="M705" s="53"/>
    </row>
    <row r="706" spans="1:13" x14ac:dyDescent="0.3">
      <c r="A706" s="51" t="s">
        <v>986</v>
      </c>
      <c r="B706" s="52" t="s">
        <v>987</v>
      </c>
      <c r="C706" s="54">
        <v>2</v>
      </c>
      <c r="D706" s="103" t="s">
        <v>204</v>
      </c>
      <c r="E706" s="54">
        <v>116267</v>
      </c>
      <c r="F706" s="55">
        <f>E706*C706</f>
        <v>232534</v>
      </c>
      <c r="G706" s="54">
        <v>233841</v>
      </c>
      <c r="H706" s="55">
        <f>G706*C706</f>
        <v>467682</v>
      </c>
      <c r="I706" s="54">
        <v>47591</v>
      </c>
      <c r="J706" s="55">
        <f>I706*C706</f>
        <v>95182</v>
      </c>
      <c r="K706" s="55">
        <f>E706+G706+I706</f>
        <v>397699</v>
      </c>
      <c r="L706" s="55">
        <f>F706+H706+J706</f>
        <v>795398</v>
      </c>
      <c r="M706" s="53"/>
    </row>
    <row r="707" spans="1:13" x14ac:dyDescent="0.3">
      <c r="A707" s="51" t="s">
        <v>988</v>
      </c>
      <c r="B707" s="52"/>
      <c r="C707" s="52"/>
      <c r="D707" s="103"/>
      <c r="E707" s="52"/>
      <c r="F707" s="52"/>
      <c r="G707" s="52"/>
      <c r="H707" s="52"/>
      <c r="I707" s="52"/>
      <c r="J707" s="52"/>
      <c r="K707" s="52"/>
      <c r="L707" s="52"/>
      <c r="M707" s="53"/>
    </row>
    <row r="708" spans="1:13" x14ac:dyDescent="0.3">
      <c r="A708" s="51" t="s">
        <v>406</v>
      </c>
      <c r="B708" s="52" t="s">
        <v>755</v>
      </c>
      <c r="C708" s="54">
        <v>10</v>
      </c>
      <c r="D708" s="103" t="s">
        <v>103</v>
      </c>
      <c r="E708" s="54">
        <v>83518</v>
      </c>
      <c r="F708" s="55">
        <f t="shared" ref="F708:F727" si="125">E708*C708</f>
        <v>835180</v>
      </c>
      <c r="G708" s="54">
        <v>0</v>
      </c>
      <c r="H708" s="55">
        <f t="shared" ref="H708:H727" si="126">G708*C708</f>
        <v>0</v>
      </c>
      <c r="I708" s="54">
        <v>0</v>
      </c>
      <c r="J708" s="55">
        <f t="shared" ref="J708:J727" si="127">I708*C708</f>
        <v>0</v>
      </c>
      <c r="K708" s="55">
        <f t="shared" ref="K708:K727" si="128">E708+G708+I708</f>
        <v>83518</v>
      </c>
      <c r="L708" s="55">
        <f t="shared" ref="L708:L727" si="129">F708+H708+J708</f>
        <v>835180</v>
      </c>
      <c r="M708" s="53"/>
    </row>
    <row r="709" spans="1:13" x14ac:dyDescent="0.3">
      <c r="A709" s="51" t="s">
        <v>989</v>
      </c>
      <c r="B709" s="52" t="s">
        <v>760</v>
      </c>
      <c r="C709" s="54">
        <v>37</v>
      </c>
      <c r="D709" s="103" t="s">
        <v>103</v>
      </c>
      <c r="E709" s="54">
        <v>17440</v>
      </c>
      <c r="F709" s="55">
        <f t="shared" si="125"/>
        <v>645280</v>
      </c>
      <c r="G709" s="54">
        <v>0</v>
      </c>
      <c r="H709" s="55">
        <f t="shared" si="126"/>
        <v>0</v>
      </c>
      <c r="I709" s="54">
        <v>0</v>
      </c>
      <c r="J709" s="55">
        <f t="shared" si="127"/>
        <v>0</v>
      </c>
      <c r="K709" s="55">
        <f t="shared" si="128"/>
        <v>17440</v>
      </c>
      <c r="L709" s="55">
        <f t="shared" si="129"/>
        <v>645280</v>
      </c>
      <c r="M709" s="53"/>
    </row>
    <row r="710" spans="1:13" x14ac:dyDescent="0.3">
      <c r="A710" s="51" t="s">
        <v>990</v>
      </c>
      <c r="B710" s="52" t="s">
        <v>763</v>
      </c>
      <c r="C710" s="54">
        <v>1</v>
      </c>
      <c r="D710" s="103" t="s">
        <v>764</v>
      </c>
      <c r="E710" s="54">
        <v>261600</v>
      </c>
      <c r="F710" s="55">
        <f t="shared" si="125"/>
        <v>261600</v>
      </c>
      <c r="G710" s="54">
        <v>0</v>
      </c>
      <c r="H710" s="55">
        <f t="shared" si="126"/>
        <v>0</v>
      </c>
      <c r="I710" s="54">
        <v>0</v>
      </c>
      <c r="J710" s="55">
        <f t="shared" si="127"/>
        <v>0</v>
      </c>
      <c r="K710" s="55">
        <f t="shared" si="128"/>
        <v>261600</v>
      </c>
      <c r="L710" s="55">
        <f t="shared" si="129"/>
        <v>261600</v>
      </c>
      <c r="M710" s="53"/>
    </row>
    <row r="711" spans="1:13" x14ac:dyDescent="0.3">
      <c r="A711" s="51" t="s">
        <v>991</v>
      </c>
      <c r="B711" s="52" t="s">
        <v>766</v>
      </c>
      <c r="C711" s="54">
        <v>1</v>
      </c>
      <c r="D711" s="103" t="s">
        <v>764</v>
      </c>
      <c r="E711" s="54">
        <v>261600</v>
      </c>
      <c r="F711" s="55">
        <f t="shared" si="125"/>
        <v>261600</v>
      </c>
      <c r="G711" s="54">
        <v>0</v>
      </c>
      <c r="H711" s="55">
        <f t="shared" si="126"/>
        <v>0</v>
      </c>
      <c r="I711" s="54">
        <v>0</v>
      </c>
      <c r="J711" s="55">
        <f t="shared" si="127"/>
        <v>0</v>
      </c>
      <c r="K711" s="55">
        <f t="shared" si="128"/>
        <v>261600</v>
      </c>
      <c r="L711" s="55">
        <f t="shared" si="129"/>
        <v>261600</v>
      </c>
      <c r="M711" s="53"/>
    </row>
    <row r="712" spans="1:13" x14ac:dyDescent="0.3">
      <c r="A712" s="51" t="s">
        <v>992</v>
      </c>
      <c r="B712" s="52" t="s">
        <v>768</v>
      </c>
      <c r="C712" s="54">
        <v>17</v>
      </c>
      <c r="D712" s="103" t="s">
        <v>394</v>
      </c>
      <c r="E712" s="54">
        <v>97858</v>
      </c>
      <c r="F712" s="55">
        <f t="shared" si="125"/>
        <v>1663586</v>
      </c>
      <c r="G712" s="54">
        <v>0</v>
      </c>
      <c r="H712" s="55">
        <f t="shared" si="126"/>
        <v>0</v>
      </c>
      <c r="I712" s="54">
        <v>0</v>
      </c>
      <c r="J712" s="55">
        <f t="shared" si="127"/>
        <v>0</v>
      </c>
      <c r="K712" s="55">
        <f t="shared" si="128"/>
        <v>97858</v>
      </c>
      <c r="L712" s="55">
        <f t="shared" si="129"/>
        <v>1663586</v>
      </c>
      <c r="M712" s="53"/>
    </row>
    <row r="713" spans="1:13" x14ac:dyDescent="0.3">
      <c r="A713" s="51" t="s">
        <v>993</v>
      </c>
      <c r="B713" s="52" t="s">
        <v>772</v>
      </c>
      <c r="C713" s="54">
        <v>44</v>
      </c>
      <c r="D713" s="103" t="s">
        <v>394</v>
      </c>
      <c r="E713" s="54">
        <v>88169</v>
      </c>
      <c r="F713" s="55">
        <f t="shared" si="125"/>
        <v>3879436</v>
      </c>
      <c r="G713" s="54">
        <v>0</v>
      </c>
      <c r="H713" s="55">
        <f t="shared" si="126"/>
        <v>0</v>
      </c>
      <c r="I713" s="54">
        <v>0</v>
      </c>
      <c r="J713" s="55">
        <f t="shared" si="127"/>
        <v>0</v>
      </c>
      <c r="K713" s="55">
        <f t="shared" si="128"/>
        <v>88169</v>
      </c>
      <c r="L713" s="55">
        <f t="shared" si="129"/>
        <v>3879436</v>
      </c>
      <c r="M713" s="53"/>
    </row>
    <row r="714" spans="1:13" x14ac:dyDescent="0.3">
      <c r="A714" s="51" t="s">
        <v>994</v>
      </c>
      <c r="B714" s="52" t="s">
        <v>776</v>
      </c>
      <c r="C714" s="54">
        <v>65</v>
      </c>
      <c r="D714" s="103" t="s">
        <v>368</v>
      </c>
      <c r="E714" s="54">
        <v>17440</v>
      </c>
      <c r="F714" s="55">
        <f t="shared" si="125"/>
        <v>1133600</v>
      </c>
      <c r="G714" s="54">
        <v>0</v>
      </c>
      <c r="H714" s="55">
        <f t="shared" si="126"/>
        <v>0</v>
      </c>
      <c r="I714" s="54">
        <v>0</v>
      </c>
      <c r="J714" s="55">
        <f t="shared" si="127"/>
        <v>0</v>
      </c>
      <c r="K714" s="55">
        <f t="shared" si="128"/>
        <v>17440</v>
      </c>
      <c r="L714" s="55">
        <f t="shared" si="129"/>
        <v>1133600</v>
      </c>
      <c r="M714" s="53"/>
    </row>
    <row r="715" spans="1:13" x14ac:dyDescent="0.3">
      <c r="A715" s="51" t="s">
        <v>995</v>
      </c>
      <c r="B715" s="52" t="s">
        <v>378</v>
      </c>
      <c r="C715" s="54">
        <v>1</v>
      </c>
      <c r="D715" s="103" t="s">
        <v>379</v>
      </c>
      <c r="E715" s="54">
        <v>5717</v>
      </c>
      <c r="F715" s="55">
        <f t="shared" si="125"/>
        <v>5717</v>
      </c>
      <c r="G715" s="54">
        <v>0</v>
      </c>
      <c r="H715" s="55">
        <f t="shared" si="126"/>
        <v>0</v>
      </c>
      <c r="I715" s="54">
        <v>0</v>
      </c>
      <c r="J715" s="55">
        <f t="shared" si="127"/>
        <v>0</v>
      </c>
      <c r="K715" s="55">
        <f t="shared" si="128"/>
        <v>5717</v>
      </c>
      <c r="L715" s="55">
        <f t="shared" si="129"/>
        <v>5717</v>
      </c>
      <c r="M715" s="53"/>
    </row>
    <row r="716" spans="1:13" x14ac:dyDescent="0.3">
      <c r="A716" s="51" t="s">
        <v>996</v>
      </c>
      <c r="B716" s="52" t="s">
        <v>383</v>
      </c>
      <c r="C716" s="54">
        <v>1</v>
      </c>
      <c r="D716" s="103" t="s">
        <v>379</v>
      </c>
      <c r="E716" s="54">
        <v>0</v>
      </c>
      <c r="F716" s="55">
        <f t="shared" si="125"/>
        <v>0</v>
      </c>
      <c r="G716" s="54">
        <v>0</v>
      </c>
      <c r="H716" s="55">
        <f t="shared" si="126"/>
        <v>0</v>
      </c>
      <c r="I716" s="54">
        <v>1057</v>
      </c>
      <c r="J716" s="55">
        <f t="shared" si="127"/>
        <v>1057</v>
      </c>
      <c r="K716" s="55">
        <f t="shared" si="128"/>
        <v>1057</v>
      </c>
      <c r="L716" s="55">
        <f t="shared" si="129"/>
        <v>1057</v>
      </c>
      <c r="M716" s="53"/>
    </row>
    <row r="717" spans="1:13" x14ac:dyDescent="0.3">
      <c r="A717" s="51" t="s">
        <v>997</v>
      </c>
      <c r="B717" s="52" t="s">
        <v>412</v>
      </c>
      <c r="C717" s="54">
        <v>46</v>
      </c>
      <c r="D717" s="103" t="s">
        <v>413</v>
      </c>
      <c r="E717" s="54">
        <v>17966</v>
      </c>
      <c r="F717" s="55">
        <f t="shared" si="125"/>
        <v>826436</v>
      </c>
      <c r="G717" s="54">
        <v>0</v>
      </c>
      <c r="H717" s="55">
        <f t="shared" si="126"/>
        <v>0</v>
      </c>
      <c r="I717" s="54">
        <v>0</v>
      </c>
      <c r="J717" s="55">
        <f t="shared" si="127"/>
        <v>0</v>
      </c>
      <c r="K717" s="55">
        <f t="shared" si="128"/>
        <v>17966</v>
      </c>
      <c r="L717" s="55">
        <f t="shared" si="129"/>
        <v>826436</v>
      </c>
      <c r="M717" s="53"/>
    </row>
    <row r="718" spans="1:13" x14ac:dyDescent="0.3">
      <c r="A718" s="51" t="s">
        <v>432</v>
      </c>
      <c r="B718" s="52" t="s">
        <v>427</v>
      </c>
      <c r="C718" s="54">
        <v>19</v>
      </c>
      <c r="D718" s="103" t="s">
        <v>371</v>
      </c>
      <c r="E718" s="54">
        <v>0</v>
      </c>
      <c r="F718" s="55">
        <f t="shared" si="125"/>
        <v>0</v>
      </c>
      <c r="G718" s="54">
        <v>0</v>
      </c>
      <c r="H718" s="55">
        <f t="shared" si="126"/>
        <v>0</v>
      </c>
      <c r="I718" s="54">
        <v>1862</v>
      </c>
      <c r="J718" s="55">
        <f t="shared" si="127"/>
        <v>35378</v>
      </c>
      <c r="K718" s="55">
        <f t="shared" si="128"/>
        <v>1862</v>
      </c>
      <c r="L718" s="55">
        <f t="shared" si="129"/>
        <v>35378</v>
      </c>
      <c r="M718" s="53"/>
    </row>
    <row r="719" spans="1:13" x14ac:dyDescent="0.3">
      <c r="A719" s="51" t="s">
        <v>998</v>
      </c>
      <c r="B719" s="52"/>
      <c r="C719" s="54">
        <v>1</v>
      </c>
      <c r="D719" s="103" t="s">
        <v>53</v>
      </c>
      <c r="E719" s="54">
        <v>0</v>
      </c>
      <c r="F719" s="55">
        <f t="shared" si="125"/>
        <v>0</v>
      </c>
      <c r="G719" s="54">
        <v>0</v>
      </c>
      <c r="H719" s="55">
        <f t="shared" si="126"/>
        <v>0</v>
      </c>
      <c r="I719" s="54">
        <v>89893204</v>
      </c>
      <c r="J719" s="55">
        <f t="shared" si="127"/>
        <v>89893204</v>
      </c>
      <c r="K719" s="55">
        <f t="shared" si="128"/>
        <v>89893204</v>
      </c>
      <c r="L719" s="55">
        <f t="shared" si="129"/>
        <v>89893204</v>
      </c>
      <c r="M719" s="53"/>
    </row>
    <row r="720" spans="1:13" x14ac:dyDescent="0.3">
      <c r="A720" s="51" t="s">
        <v>999</v>
      </c>
      <c r="B720" s="52"/>
      <c r="C720" s="54">
        <v>1</v>
      </c>
      <c r="D720" s="103" t="s">
        <v>53</v>
      </c>
      <c r="E720" s="54">
        <v>0</v>
      </c>
      <c r="F720" s="55">
        <f t="shared" si="125"/>
        <v>0</v>
      </c>
      <c r="G720" s="54">
        <v>0</v>
      </c>
      <c r="H720" s="55">
        <f t="shared" si="126"/>
        <v>0</v>
      </c>
      <c r="I720" s="54">
        <v>15863507</v>
      </c>
      <c r="J720" s="55">
        <f t="shared" si="127"/>
        <v>15863507</v>
      </c>
      <c r="K720" s="55">
        <f t="shared" si="128"/>
        <v>15863507</v>
      </c>
      <c r="L720" s="55">
        <f t="shared" si="129"/>
        <v>15863507</v>
      </c>
      <c r="M720" s="53"/>
    </row>
    <row r="721" spans="1:13" x14ac:dyDescent="0.3">
      <c r="A721" s="51" t="s">
        <v>1000</v>
      </c>
      <c r="B721" s="52"/>
      <c r="C721" s="54">
        <v>1</v>
      </c>
      <c r="D721" s="103" t="s">
        <v>53</v>
      </c>
      <c r="E721" s="54">
        <v>0</v>
      </c>
      <c r="F721" s="55">
        <f t="shared" si="125"/>
        <v>0</v>
      </c>
      <c r="G721" s="54">
        <v>0</v>
      </c>
      <c r="H721" s="55">
        <f t="shared" si="126"/>
        <v>0</v>
      </c>
      <c r="I721" s="54">
        <v>21151342</v>
      </c>
      <c r="J721" s="55">
        <f t="shared" si="127"/>
        <v>21151342</v>
      </c>
      <c r="K721" s="55">
        <f t="shared" si="128"/>
        <v>21151342</v>
      </c>
      <c r="L721" s="55">
        <f t="shared" si="129"/>
        <v>21151342</v>
      </c>
      <c r="M721" s="53"/>
    </row>
    <row r="722" spans="1:13" x14ac:dyDescent="0.3">
      <c r="A722" s="51" t="s">
        <v>1001</v>
      </c>
      <c r="B722" s="52" t="s">
        <v>1002</v>
      </c>
      <c r="C722" s="54">
        <v>1</v>
      </c>
      <c r="D722" s="103" t="s">
        <v>53</v>
      </c>
      <c r="E722" s="54">
        <v>0</v>
      </c>
      <c r="F722" s="55">
        <f t="shared" si="125"/>
        <v>0</v>
      </c>
      <c r="G722" s="54">
        <v>0</v>
      </c>
      <c r="H722" s="55">
        <f t="shared" si="126"/>
        <v>0</v>
      </c>
      <c r="I722" s="54">
        <v>15863507</v>
      </c>
      <c r="J722" s="55">
        <f t="shared" si="127"/>
        <v>15863507</v>
      </c>
      <c r="K722" s="55">
        <f t="shared" si="128"/>
        <v>15863507</v>
      </c>
      <c r="L722" s="55">
        <f t="shared" si="129"/>
        <v>15863507</v>
      </c>
      <c r="M722" s="53"/>
    </row>
    <row r="723" spans="1:13" x14ac:dyDescent="0.3">
      <c r="A723" s="51" t="s">
        <v>1003</v>
      </c>
      <c r="B723" s="52" t="s">
        <v>1002</v>
      </c>
      <c r="C723" s="54">
        <v>1</v>
      </c>
      <c r="D723" s="103" t="s">
        <v>53</v>
      </c>
      <c r="E723" s="54">
        <v>0</v>
      </c>
      <c r="F723" s="55">
        <f t="shared" si="125"/>
        <v>0</v>
      </c>
      <c r="G723" s="54">
        <v>0</v>
      </c>
      <c r="H723" s="55">
        <f t="shared" si="126"/>
        <v>0</v>
      </c>
      <c r="I723" s="54">
        <v>15863507</v>
      </c>
      <c r="J723" s="55">
        <f t="shared" si="127"/>
        <v>15863507</v>
      </c>
      <c r="K723" s="55">
        <f t="shared" si="128"/>
        <v>15863507</v>
      </c>
      <c r="L723" s="55">
        <f t="shared" si="129"/>
        <v>15863507</v>
      </c>
      <c r="M723" s="53"/>
    </row>
    <row r="724" spans="1:13" x14ac:dyDescent="0.3">
      <c r="A724" s="51" t="s">
        <v>1004</v>
      </c>
      <c r="B724" s="52"/>
      <c r="C724" s="54">
        <v>1</v>
      </c>
      <c r="D724" s="103" t="s">
        <v>53</v>
      </c>
      <c r="E724" s="54">
        <v>0</v>
      </c>
      <c r="F724" s="55">
        <f t="shared" si="125"/>
        <v>0</v>
      </c>
      <c r="G724" s="54">
        <v>0</v>
      </c>
      <c r="H724" s="55">
        <f t="shared" si="126"/>
        <v>0</v>
      </c>
      <c r="I724" s="54">
        <v>31727014</v>
      </c>
      <c r="J724" s="55">
        <f t="shared" si="127"/>
        <v>31727014</v>
      </c>
      <c r="K724" s="55">
        <f t="shared" si="128"/>
        <v>31727014</v>
      </c>
      <c r="L724" s="55">
        <f t="shared" si="129"/>
        <v>31727014</v>
      </c>
      <c r="M724" s="53"/>
    </row>
    <row r="725" spans="1:13" x14ac:dyDescent="0.3">
      <c r="A725" s="51" t="s">
        <v>1005</v>
      </c>
      <c r="B725" s="52"/>
      <c r="C725" s="54">
        <v>1</v>
      </c>
      <c r="D725" s="103" t="s">
        <v>53</v>
      </c>
      <c r="E725" s="54">
        <v>0</v>
      </c>
      <c r="F725" s="55">
        <f t="shared" si="125"/>
        <v>0</v>
      </c>
      <c r="G725" s="54">
        <v>0</v>
      </c>
      <c r="H725" s="55">
        <f t="shared" si="126"/>
        <v>0</v>
      </c>
      <c r="I725" s="54">
        <v>10575671</v>
      </c>
      <c r="J725" s="55">
        <f t="shared" si="127"/>
        <v>10575671</v>
      </c>
      <c r="K725" s="55">
        <f t="shared" si="128"/>
        <v>10575671</v>
      </c>
      <c r="L725" s="55">
        <f t="shared" si="129"/>
        <v>10575671</v>
      </c>
      <c r="M725" s="53"/>
    </row>
    <row r="726" spans="1:13" x14ac:dyDescent="0.3">
      <c r="A726" s="51" t="s">
        <v>1006</v>
      </c>
      <c r="B726" s="52"/>
      <c r="C726" s="54">
        <v>1</v>
      </c>
      <c r="D726" s="103" t="s">
        <v>53</v>
      </c>
      <c r="E726" s="54">
        <v>0</v>
      </c>
      <c r="F726" s="55">
        <f t="shared" si="125"/>
        <v>0</v>
      </c>
      <c r="G726" s="54">
        <v>0</v>
      </c>
      <c r="H726" s="55">
        <f t="shared" si="126"/>
        <v>0</v>
      </c>
      <c r="I726" s="54">
        <v>8460537</v>
      </c>
      <c r="J726" s="55">
        <f t="shared" si="127"/>
        <v>8460537</v>
      </c>
      <c r="K726" s="55">
        <f t="shared" si="128"/>
        <v>8460537</v>
      </c>
      <c r="L726" s="55">
        <f t="shared" si="129"/>
        <v>8460537</v>
      </c>
      <c r="M726" s="53"/>
    </row>
    <row r="727" spans="1:13" x14ac:dyDescent="0.3">
      <c r="A727" s="51" t="s">
        <v>1007</v>
      </c>
      <c r="B727" s="52" t="s">
        <v>1008</v>
      </c>
      <c r="C727" s="54">
        <v>1</v>
      </c>
      <c r="D727" s="103" t="s">
        <v>53</v>
      </c>
      <c r="E727" s="54">
        <v>0</v>
      </c>
      <c r="F727" s="55">
        <f t="shared" si="125"/>
        <v>0</v>
      </c>
      <c r="G727" s="54">
        <v>0</v>
      </c>
      <c r="H727" s="55">
        <f t="shared" si="126"/>
        <v>0</v>
      </c>
      <c r="I727" s="54">
        <v>63454027</v>
      </c>
      <c r="J727" s="55">
        <f t="shared" si="127"/>
        <v>63454027</v>
      </c>
      <c r="K727" s="55">
        <f t="shared" si="128"/>
        <v>63454027</v>
      </c>
      <c r="L727" s="55">
        <f t="shared" si="129"/>
        <v>63454027</v>
      </c>
      <c r="M727" s="53"/>
    </row>
    <row r="728" spans="1:13" x14ac:dyDescent="0.3">
      <c r="A728" s="51" t="s">
        <v>1009</v>
      </c>
      <c r="B728" s="52"/>
      <c r="C728" s="52"/>
      <c r="D728" s="103"/>
      <c r="E728" s="52"/>
      <c r="F728" s="52"/>
      <c r="G728" s="52"/>
      <c r="H728" s="52"/>
      <c r="I728" s="52"/>
      <c r="J728" s="52"/>
      <c r="K728" s="52"/>
      <c r="L728" s="52"/>
      <c r="M728" s="53"/>
    </row>
    <row r="729" spans="1:13" x14ac:dyDescent="0.3">
      <c r="A729" s="51" t="s">
        <v>214</v>
      </c>
      <c r="B729" s="52"/>
      <c r="C729" s="52"/>
      <c r="D729" s="103"/>
      <c r="E729" s="52"/>
      <c r="F729" s="52"/>
      <c r="G729" s="52"/>
      <c r="H729" s="52"/>
      <c r="I729" s="52"/>
      <c r="J729" s="52"/>
      <c r="K729" s="52"/>
      <c r="L729" s="52"/>
      <c r="M729" s="53"/>
    </row>
    <row r="730" spans="1:13" x14ac:dyDescent="0.3">
      <c r="A730" s="51" t="s">
        <v>215</v>
      </c>
      <c r="B730" s="52"/>
      <c r="C730" s="52"/>
      <c r="D730" s="103"/>
      <c r="E730" s="52"/>
      <c r="F730" s="52"/>
      <c r="G730" s="52"/>
      <c r="H730" s="52"/>
      <c r="I730" s="52"/>
      <c r="J730" s="52"/>
      <c r="K730" s="52"/>
      <c r="L730" s="52"/>
      <c r="M730" s="53"/>
    </row>
    <row r="731" spans="1:13" x14ac:dyDescent="0.3">
      <c r="A731" s="51" t="s">
        <v>835</v>
      </c>
      <c r="B731" s="52" t="s">
        <v>111</v>
      </c>
      <c r="C731" s="54">
        <v>6487</v>
      </c>
      <c r="D731" s="103" t="s">
        <v>103</v>
      </c>
      <c r="E731" s="54">
        <v>0</v>
      </c>
      <c r="F731" s="55">
        <f>E731*C731</f>
        <v>0</v>
      </c>
      <c r="G731" s="54">
        <v>235</v>
      </c>
      <c r="H731" s="55">
        <f>G731*C731</f>
        <v>1524445</v>
      </c>
      <c r="I731" s="54">
        <v>1322</v>
      </c>
      <c r="J731" s="55">
        <f>I731*C731</f>
        <v>8575814</v>
      </c>
      <c r="K731" s="55">
        <f>E731+G731+I731</f>
        <v>1557</v>
      </c>
      <c r="L731" s="55">
        <f>F731+H731+J731</f>
        <v>10100259</v>
      </c>
      <c r="M731" s="53"/>
    </row>
    <row r="732" spans="1:13" x14ac:dyDescent="0.3">
      <c r="A732" s="51" t="s">
        <v>221</v>
      </c>
      <c r="B732" s="52"/>
      <c r="C732" s="52"/>
      <c r="D732" s="103"/>
      <c r="E732" s="52"/>
      <c r="F732" s="52"/>
      <c r="G732" s="52"/>
      <c r="H732" s="52"/>
      <c r="I732" s="52"/>
      <c r="J732" s="52"/>
      <c r="K732" s="52"/>
      <c r="L732" s="52"/>
      <c r="M732" s="53"/>
    </row>
    <row r="733" spans="1:13" x14ac:dyDescent="0.3">
      <c r="A733" s="51" t="s">
        <v>222</v>
      </c>
      <c r="B733" s="52" t="s">
        <v>226</v>
      </c>
      <c r="C733" s="54">
        <v>1834</v>
      </c>
      <c r="D733" s="103" t="s">
        <v>103</v>
      </c>
      <c r="E733" s="54">
        <v>0</v>
      </c>
      <c r="F733" s="55">
        <f>E733*C733</f>
        <v>0</v>
      </c>
      <c r="G733" s="54">
        <v>657</v>
      </c>
      <c r="H733" s="55">
        <f>G733*C733</f>
        <v>1204938</v>
      </c>
      <c r="I733" s="54">
        <v>2604</v>
      </c>
      <c r="J733" s="55">
        <f>I733*C733</f>
        <v>4775736</v>
      </c>
      <c r="K733" s="55">
        <f>E733+G733+I733</f>
        <v>3261</v>
      </c>
      <c r="L733" s="55">
        <f>F733+H733+J733</f>
        <v>5980674</v>
      </c>
      <c r="M733" s="53"/>
    </row>
    <row r="734" spans="1:13" x14ac:dyDescent="0.3">
      <c r="A734" s="51" t="s">
        <v>227</v>
      </c>
      <c r="B734" s="52"/>
      <c r="C734" s="52"/>
      <c r="D734" s="103"/>
      <c r="E734" s="52"/>
      <c r="F734" s="52"/>
      <c r="G734" s="52"/>
      <c r="H734" s="52"/>
      <c r="I734" s="52"/>
      <c r="J734" s="52"/>
      <c r="K734" s="52"/>
      <c r="L734" s="52"/>
      <c r="M734" s="53"/>
    </row>
    <row r="735" spans="1:13" x14ac:dyDescent="0.3">
      <c r="A735" s="51" t="s">
        <v>228</v>
      </c>
      <c r="B735" s="52" t="s">
        <v>229</v>
      </c>
      <c r="C735" s="54">
        <v>4653</v>
      </c>
      <c r="D735" s="103" t="s">
        <v>103</v>
      </c>
      <c r="E735" s="54">
        <v>0</v>
      </c>
      <c r="F735" s="55">
        <f>E735*C735</f>
        <v>0</v>
      </c>
      <c r="G735" s="54">
        <v>0</v>
      </c>
      <c r="H735" s="55">
        <f>G735*C735</f>
        <v>0</v>
      </c>
      <c r="I735" s="54">
        <v>10544</v>
      </c>
      <c r="J735" s="55">
        <f>I735*C735</f>
        <v>49061232</v>
      </c>
      <c r="K735" s="55">
        <f>E735+G735+I735</f>
        <v>10544</v>
      </c>
      <c r="L735" s="55">
        <f>F735+H735+J735</f>
        <v>49061232</v>
      </c>
      <c r="M735" s="53"/>
    </row>
    <row r="736" spans="1:13" x14ac:dyDescent="0.3">
      <c r="A736" s="51" t="s">
        <v>1010</v>
      </c>
      <c r="B736" s="52"/>
      <c r="C736" s="52"/>
      <c r="D736" s="103"/>
      <c r="E736" s="52"/>
      <c r="F736" s="52"/>
      <c r="G736" s="52"/>
      <c r="H736" s="52"/>
      <c r="I736" s="52"/>
      <c r="J736" s="52"/>
      <c r="K736" s="52"/>
      <c r="L736" s="52"/>
      <c r="M736" s="53"/>
    </row>
    <row r="737" spans="1:13" x14ac:dyDescent="0.3">
      <c r="A737" s="51" t="s">
        <v>1011</v>
      </c>
      <c r="B737" s="52" t="s">
        <v>1012</v>
      </c>
      <c r="C737" s="54">
        <v>45</v>
      </c>
      <c r="D737" s="103" t="s">
        <v>950</v>
      </c>
      <c r="E737" s="54">
        <v>3091</v>
      </c>
      <c r="F737" s="55">
        <f>E737*C737</f>
        <v>139095</v>
      </c>
      <c r="G737" s="54">
        <v>4250</v>
      </c>
      <c r="H737" s="55">
        <f>G737*C737</f>
        <v>191250</v>
      </c>
      <c r="I737" s="54">
        <v>1054</v>
      </c>
      <c r="J737" s="55">
        <f>I737*C737</f>
        <v>47430</v>
      </c>
      <c r="K737" s="55">
        <f t="shared" ref="K737:L741" si="130">E737+G737+I737</f>
        <v>8395</v>
      </c>
      <c r="L737" s="55">
        <f t="shared" si="130"/>
        <v>377775</v>
      </c>
      <c r="M737" s="53"/>
    </row>
    <row r="738" spans="1:13" x14ac:dyDescent="0.3">
      <c r="A738" s="51" t="s">
        <v>1013</v>
      </c>
      <c r="B738" s="52"/>
      <c r="C738" s="54">
        <v>1693</v>
      </c>
      <c r="D738" s="103" t="s">
        <v>1014</v>
      </c>
      <c r="E738" s="54">
        <v>203438</v>
      </c>
      <c r="F738" s="55">
        <f>E738*C738</f>
        <v>344420534</v>
      </c>
      <c r="G738" s="54">
        <v>75541</v>
      </c>
      <c r="H738" s="55">
        <f>G738*C738</f>
        <v>127890913</v>
      </c>
      <c r="I738" s="54">
        <v>16343</v>
      </c>
      <c r="J738" s="55">
        <f>I738*C738</f>
        <v>27668699</v>
      </c>
      <c r="K738" s="55">
        <f t="shared" si="130"/>
        <v>295322</v>
      </c>
      <c r="L738" s="55">
        <f t="shared" si="130"/>
        <v>499980146</v>
      </c>
      <c r="M738" s="53"/>
    </row>
    <row r="739" spans="1:13" x14ac:dyDescent="0.3">
      <c r="A739" s="51" t="s">
        <v>1015</v>
      </c>
      <c r="B739" s="52" t="s">
        <v>1016</v>
      </c>
      <c r="C739" s="54">
        <v>1250</v>
      </c>
      <c r="D739" s="103" t="s">
        <v>950</v>
      </c>
      <c r="E739" s="54">
        <v>869</v>
      </c>
      <c r="F739" s="55">
        <f>E739*C739</f>
        <v>1086250</v>
      </c>
      <c r="G739" s="54">
        <v>193</v>
      </c>
      <c r="H739" s="55">
        <f>G739*C739</f>
        <v>241250</v>
      </c>
      <c r="I739" s="54">
        <v>0</v>
      </c>
      <c r="J739" s="55">
        <f>I739*C739</f>
        <v>0</v>
      </c>
      <c r="K739" s="55">
        <f t="shared" si="130"/>
        <v>1062</v>
      </c>
      <c r="L739" s="55">
        <f t="shared" si="130"/>
        <v>1327500</v>
      </c>
      <c r="M739" s="53"/>
    </row>
    <row r="740" spans="1:13" x14ac:dyDescent="0.3">
      <c r="A740" s="51" t="s">
        <v>1017</v>
      </c>
      <c r="B740" s="52" t="s">
        <v>1018</v>
      </c>
      <c r="C740" s="54">
        <v>1</v>
      </c>
      <c r="D740" s="103" t="s">
        <v>204</v>
      </c>
      <c r="E740" s="54">
        <v>450733</v>
      </c>
      <c r="F740" s="55">
        <f>E740*C740</f>
        <v>450733</v>
      </c>
      <c r="G740" s="54">
        <v>151468</v>
      </c>
      <c r="H740" s="55">
        <f>G740*C740</f>
        <v>151468</v>
      </c>
      <c r="I740" s="54">
        <v>87199</v>
      </c>
      <c r="J740" s="55">
        <f>I740*C740</f>
        <v>87199</v>
      </c>
      <c r="K740" s="55">
        <f t="shared" si="130"/>
        <v>689400</v>
      </c>
      <c r="L740" s="55">
        <f t="shared" si="130"/>
        <v>689400</v>
      </c>
      <c r="M740" s="53"/>
    </row>
    <row r="741" spans="1:13" x14ac:dyDescent="0.3">
      <c r="A741" s="51" t="s">
        <v>1019</v>
      </c>
      <c r="B741" s="52" t="s">
        <v>1020</v>
      </c>
      <c r="C741" s="54">
        <v>87</v>
      </c>
      <c r="D741" s="103" t="s">
        <v>204</v>
      </c>
      <c r="E741" s="54">
        <v>134853</v>
      </c>
      <c r="F741" s="55">
        <f>E741*C741</f>
        <v>11732211</v>
      </c>
      <c r="G741" s="54">
        <v>17871</v>
      </c>
      <c r="H741" s="55">
        <f>G741*C741</f>
        <v>1554777</v>
      </c>
      <c r="I741" s="54">
        <v>4428</v>
      </c>
      <c r="J741" s="55">
        <f>I741*C741</f>
        <v>385236</v>
      </c>
      <c r="K741" s="55">
        <f t="shared" si="130"/>
        <v>157152</v>
      </c>
      <c r="L741" s="55">
        <f t="shared" si="130"/>
        <v>13672224</v>
      </c>
      <c r="M741" s="53"/>
    </row>
    <row r="742" spans="1:13" x14ac:dyDescent="0.3">
      <c r="A742" s="51" t="s">
        <v>1021</v>
      </c>
      <c r="B742" s="52"/>
      <c r="C742" s="52"/>
      <c r="D742" s="103"/>
      <c r="E742" s="52"/>
      <c r="F742" s="52"/>
      <c r="G742" s="52"/>
      <c r="H742" s="52"/>
      <c r="I742" s="52"/>
      <c r="J742" s="52"/>
      <c r="K742" s="52"/>
      <c r="L742" s="52"/>
      <c r="M742" s="53"/>
    </row>
    <row r="743" spans="1:13" x14ac:dyDescent="0.3">
      <c r="A743" s="57" t="s">
        <v>1022</v>
      </c>
      <c r="B743" s="58" t="s">
        <v>1023</v>
      </c>
      <c r="C743" s="59">
        <v>3115.12</v>
      </c>
      <c r="D743" s="104" t="s">
        <v>394</v>
      </c>
      <c r="E743" s="60">
        <v>0</v>
      </c>
      <c r="F743" s="61">
        <f>E743*C743</f>
        <v>0</v>
      </c>
      <c r="G743" s="60">
        <v>0</v>
      </c>
      <c r="H743" s="61">
        <f>G743*C743</f>
        <v>0</v>
      </c>
      <c r="I743" s="60">
        <v>3374</v>
      </c>
      <c r="J743" s="61">
        <f>I743*C743</f>
        <v>10510414.879999999</v>
      </c>
      <c r="K743" s="61">
        <f>E743+G743+I743</f>
        <v>3374</v>
      </c>
      <c r="L743" s="61">
        <f>F743+H743+J743</f>
        <v>10510414.879999999</v>
      </c>
      <c r="M743" s="62"/>
    </row>
  </sheetData>
  <mergeCells count="11">
    <mergeCell ref="A1:M2"/>
    <mergeCell ref="G4:H4"/>
    <mergeCell ref="E4:F4"/>
    <mergeCell ref="I4:J4"/>
    <mergeCell ref="M4:M5"/>
    <mergeCell ref="B4:B5"/>
    <mergeCell ref="C4:C5"/>
    <mergeCell ref="A4:A5"/>
    <mergeCell ref="D4:D5"/>
    <mergeCell ref="K4:L4"/>
    <mergeCell ref="A3:M3"/>
  </mergeCells>
  <phoneticPr fontId="15" type="noConversion"/>
  <pageMargins left="0.59055118110236227" right="0.39370078740157483" top="0.59055118110236227" bottom="0.39370078740157483" header="0.51181102362204722" footer="0.51181102362204722"/>
  <pageSetup paperSize="9" scale="6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3"/>
  <sheetViews>
    <sheetView workbookViewId="0">
      <pane ySplit="5" topLeftCell="A115" activePane="bottomLeft" state="frozen"/>
      <selection pane="bottomLeft" activeCell="R144" sqref="R144"/>
    </sheetView>
  </sheetViews>
  <sheetFormatPr defaultRowHeight="16.5" x14ac:dyDescent="0.3"/>
  <cols>
    <col min="1" max="1" width="30" customWidth="1"/>
    <col min="2" max="2" width="24" customWidth="1"/>
    <col min="3" max="3" width="8" customWidth="1"/>
    <col min="4" max="4" width="6" customWidth="1"/>
    <col min="5" max="5" width="12" customWidth="1"/>
    <col min="6" max="6" width="14" customWidth="1"/>
    <col min="7" max="7" width="12" customWidth="1"/>
    <col min="8" max="8" width="14" customWidth="1"/>
    <col min="9" max="9" width="12" customWidth="1"/>
    <col min="10" max="10" width="14" customWidth="1"/>
    <col min="11" max="11" width="12" customWidth="1"/>
    <col min="12" max="12" width="15" customWidth="1"/>
    <col min="13" max="13" width="12" customWidth="1"/>
  </cols>
  <sheetData>
    <row r="1" spans="1:13" ht="20.25" x14ac:dyDescent="0.3">
      <c r="A1" s="129" t="s">
        <v>1024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</row>
    <row r="2" spans="1:13" x14ac:dyDescent="0.3">
      <c r="A2" s="127" t="s">
        <v>1025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4" spans="1:13" x14ac:dyDescent="0.3">
      <c r="A4" s="123" t="s">
        <v>44</v>
      </c>
      <c r="B4" s="123" t="s">
        <v>45</v>
      </c>
      <c r="C4" s="123" t="s">
        <v>46</v>
      </c>
      <c r="D4" s="123" t="s">
        <v>47</v>
      </c>
      <c r="E4" s="123" t="s">
        <v>23</v>
      </c>
      <c r="F4" s="126"/>
      <c r="G4" s="123" t="s">
        <v>24</v>
      </c>
      <c r="H4" s="126"/>
      <c r="I4" s="123" t="s">
        <v>25</v>
      </c>
      <c r="J4" s="126"/>
      <c r="K4" s="123" t="s">
        <v>48</v>
      </c>
      <c r="L4" s="126"/>
      <c r="M4" s="123" t="s">
        <v>49</v>
      </c>
    </row>
    <row r="5" spans="1:13" x14ac:dyDescent="0.3">
      <c r="A5" s="130"/>
      <c r="B5" s="130"/>
      <c r="C5" s="130"/>
      <c r="D5" s="130"/>
      <c r="E5" s="1" t="s">
        <v>50</v>
      </c>
      <c r="F5" s="1" t="s">
        <v>51</v>
      </c>
      <c r="G5" s="1" t="s">
        <v>50</v>
      </c>
      <c r="H5" s="1" t="s">
        <v>51</v>
      </c>
      <c r="I5" s="1" t="s">
        <v>50</v>
      </c>
      <c r="J5" s="1" t="s">
        <v>51</v>
      </c>
      <c r="K5" s="1" t="s">
        <v>50</v>
      </c>
      <c r="L5" s="1" t="s">
        <v>51</v>
      </c>
      <c r="M5" s="130"/>
    </row>
    <row r="6" spans="1:13" x14ac:dyDescent="0.3">
      <c r="A6" s="6" t="s">
        <v>10</v>
      </c>
      <c r="B6" s="9" t="s">
        <v>52</v>
      </c>
      <c r="C6" s="9">
        <v>1</v>
      </c>
      <c r="D6" s="9" t="s">
        <v>53</v>
      </c>
      <c r="E6" s="2">
        <v>77500490</v>
      </c>
      <c r="F6" s="2">
        <v>77500490</v>
      </c>
      <c r="G6" s="2">
        <v>57019245</v>
      </c>
      <c r="H6" s="2">
        <v>57019245</v>
      </c>
      <c r="I6" s="2">
        <v>691209114</v>
      </c>
      <c r="J6" s="2">
        <v>691209114</v>
      </c>
      <c r="K6" s="2">
        <v>825728849</v>
      </c>
      <c r="L6" s="3">
        <v>825728849</v>
      </c>
    </row>
    <row r="7" spans="1:13" x14ac:dyDescent="0.3">
      <c r="A7" s="10" t="s">
        <v>54</v>
      </c>
      <c r="F7" s="11">
        <f>F6</f>
        <v>77500490</v>
      </c>
      <c r="H7" s="11">
        <f>H6</f>
        <v>57019245</v>
      </c>
      <c r="J7" s="11">
        <f>J6</f>
        <v>691209114</v>
      </c>
      <c r="L7" s="11">
        <f>L6</f>
        <v>825728849</v>
      </c>
    </row>
    <row r="8" spans="1:13" x14ac:dyDescent="0.3">
      <c r="A8" s="12" t="s">
        <v>55</v>
      </c>
      <c r="B8" s="13" t="s">
        <v>56</v>
      </c>
    </row>
    <row r="9" spans="1:13" x14ac:dyDescent="0.3">
      <c r="A9" s="5" t="s">
        <v>57</v>
      </c>
      <c r="B9" s="14" t="s">
        <v>58</v>
      </c>
      <c r="J9" s="2">
        <f>ROUND(H7*0.197,0)</f>
        <v>11232791</v>
      </c>
      <c r="L9" s="2">
        <f t="shared" ref="L9:L20" si="0">J9</f>
        <v>11232791</v>
      </c>
    </row>
    <row r="10" spans="1:13" x14ac:dyDescent="0.3">
      <c r="A10" s="5" t="s">
        <v>59</v>
      </c>
      <c r="B10" s="14" t="s">
        <v>60</v>
      </c>
      <c r="J10" s="2">
        <f>ROUND((H7+J9)*0.0356,0)</f>
        <v>2429772</v>
      </c>
      <c r="L10" s="2">
        <f t="shared" si="0"/>
        <v>2429772</v>
      </c>
    </row>
    <row r="11" spans="1:13" x14ac:dyDescent="0.3">
      <c r="A11" s="5" t="s">
        <v>61</v>
      </c>
      <c r="B11" s="14" t="s">
        <v>62</v>
      </c>
      <c r="J11" s="2">
        <f>ROUND((H7+J9)*0.0115,0)</f>
        <v>784898</v>
      </c>
      <c r="L11" s="2">
        <f t="shared" si="0"/>
        <v>784898</v>
      </c>
    </row>
    <row r="12" spans="1:13" x14ac:dyDescent="0.3">
      <c r="A12" s="5" t="s">
        <v>63</v>
      </c>
      <c r="B12" s="14" t="s">
        <v>64</v>
      </c>
      <c r="J12" s="2">
        <f>ROUND(H7*0.03595,0)</f>
        <v>2049842</v>
      </c>
      <c r="L12" s="2">
        <f t="shared" si="0"/>
        <v>2049842</v>
      </c>
    </row>
    <row r="13" spans="1:13" x14ac:dyDescent="0.3">
      <c r="A13" s="5" t="s">
        <v>65</v>
      </c>
      <c r="B13" s="14" t="s">
        <v>66</v>
      </c>
      <c r="J13" s="2">
        <f>ROUND(H7*0.0475,0)</f>
        <v>2708414</v>
      </c>
      <c r="L13" s="2">
        <f t="shared" si="0"/>
        <v>2708414</v>
      </c>
    </row>
    <row r="14" spans="1:13" x14ac:dyDescent="0.3">
      <c r="A14" s="5" t="s">
        <v>67</v>
      </c>
      <c r="B14" s="14" t="s">
        <v>68</v>
      </c>
      <c r="J14" s="2">
        <f>ROUND(J12*0.1314,0)</f>
        <v>269349</v>
      </c>
      <c r="L14" s="2">
        <f t="shared" si="0"/>
        <v>269349</v>
      </c>
    </row>
    <row r="15" spans="1:13" x14ac:dyDescent="0.3">
      <c r="A15" s="5" t="s">
        <v>69</v>
      </c>
      <c r="B15" s="14" t="s">
        <v>70</v>
      </c>
      <c r="J15" s="2">
        <f>ROUND((F7+H7)*0.026,0)</f>
        <v>3497513</v>
      </c>
      <c r="L15" s="2">
        <f t="shared" si="0"/>
        <v>3497513</v>
      </c>
    </row>
    <row r="16" spans="1:13" x14ac:dyDescent="0.3">
      <c r="A16" s="5" t="s">
        <v>71</v>
      </c>
      <c r="B16" s="14" t="s">
        <v>72</v>
      </c>
      <c r="J16" s="2">
        <f>ROUND((F7+(H7+J9))*0.062,0)</f>
        <v>9036657</v>
      </c>
      <c r="L16" s="2">
        <f t="shared" si="0"/>
        <v>9036657</v>
      </c>
    </row>
    <row r="17" spans="1:12" x14ac:dyDescent="0.3">
      <c r="A17" s="5" t="s">
        <v>73</v>
      </c>
      <c r="B17" s="14" t="s">
        <v>74</v>
      </c>
      <c r="J17" s="2">
        <f>ROUND(L7*0.004,0)</f>
        <v>3302915</v>
      </c>
      <c r="L17" s="2">
        <f t="shared" si="0"/>
        <v>3302915</v>
      </c>
    </row>
    <row r="18" spans="1:12" x14ac:dyDescent="0.3">
      <c r="A18" s="5" t="s">
        <v>75</v>
      </c>
      <c r="B18" s="14" t="s">
        <v>76</v>
      </c>
      <c r="J18" s="2">
        <f>ROUND(L7*0.006,0)</f>
        <v>4954373</v>
      </c>
      <c r="L18" s="2">
        <f t="shared" si="0"/>
        <v>4954373</v>
      </c>
    </row>
    <row r="19" spans="1:12" x14ac:dyDescent="0.3">
      <c r="A19" s="5" t="s">
        <v>77</v>
      </c>
      <c r="B19" s="14" t="s">
        <v>78</v>
      </c>
      <c r="J19" s="2">
        <f>ROUND((L7+SUM(J9:J18))*0.05,0)</f>
        <v>43299769</v>
      </c>
      <c r="L19" s="2">
        <f t="shared" si="0"/>
        <v>43299769</v>
      </c>
    </row>
    <row r="20" spans="1:12" x14ac:dyDescent="0.3">
      <c r="A20" s="5" t="s">
        <v>79</v>
      </c>
      <c r="B20" s="14" t="s">
        <v>80</v>
      </c>
      <c r="J20" s="2">
        <f>ROUND(((H7+J9)+(J7+SUM(J9:J18)-J9)+J19)*0.07,0)</f>
        <v>58225626</v>
      </c>
      <c r="L20" s="2">
        <f t="shared" si="0"/>
        <v>58225626</v>
      </c>
    </row>
    <row r="21" spans="1:12" x14ac:dyDescent="0.3">
      <c r="A21" s="10" t="s">
        <v>81</v>
      </c>
      <c r="J21" s="11">
        <f>SUM(J9:J20)</f>
        <v>141791919</v>
      </c>
      <c r="L21" s="11">
        <f>SUM(L9:L20)</f>
        <v>141791919</v>
      </c>
    </row>
    <row r="22" spans="1:12" x14ac:dyDescent="0.3">
      <c r="A22" s="15" t="s">
        <v>82</v>
      </c>
      <c r="F22" s="4">
        <f>F7</f>
        <v>77500490</v>
      </c>
      <c r="H22" s="4">
        <f>H7</f>
        <v>57019245</v>
      </c>
      <c r="J22" s="4">
        <f>J7+J21</f>
        <v>833001033</v>
      </c>
      <c r="L22" s="4">
        <f>L7+L21</f>
        <v>967520768</v>
      </c>
    </row>
    <row r="23" spans="1:12" x14ac:dyDescent="0.3">
      <c r="A23" s="16" t="s">
        <v>40</v>
      </c>
      <c r="B23" s="14" t="s">
        <v>83</v>
      </c>
      <c r="J23" s="2">
        <f>ROUND(L22*0.1,0)</f>
        <v>96752077</v>
      </c>
      <c r="L23" s="2">
        <f>J23</f>
        <v>96752077</v>
      </c>
    </row>
    <row r="24" spans="1:12" x14ac:dyDescent="0.3">
      <c r="A24" s="10" t="s">
        <v>84</v>
      </c>
      <c r="L24" s="11">
        <f>L22+L23</f>
        <v>1064272845</v>
      </c>
    </row>
    <row r="26" spans="1:12" x14ac:dyDescent="0.3">
      <c r="A26" s="7" t="s">
        <v>85</v>
      </c>
    </row>
    <row r="27" spans="1:12" x14ac:dyDescent="0.3">
      <c r="A27" s="8" t="s">
        <v>39</v>
      </c>
      <c r="B27" s="8" t="s">
        <v>86</v>
      </c>
      <c r="F27" s="8" t="s">
        <v>87</v>
      </c>
      <c r="J27" s="8" t="s">
        <v>88</v>
      </c>
    </row>
    <row r="28" spans="1:12" x14ac:dyDescent="0.3">
      <c r="A28" s="5" t="s">
        <v>89</v>
      </c>
      <c r="B28" s="2">
        <v>825728849</v>
      </c>
      <c r="F28" s="2">
        <f>L7</f>
        <v>825728849</v>
      </c>
      <c r="J28" s="2">
        <f>F28-B28</f>
        <v>0</v>
      </c>
    </row>
    <row r="29" spans="1:12" x14ac:dyDescent="0.3">
      <c r="A29" s="5" t="s">
        <v>90</v>
      </c>
      <c r="B29" s="2">
        <v>141791919</v>
      </c>
      <c r="F29" s="2">
        <f>L21</f>
        <v>141791919</v>
      </c>
      <c r="J29" s="2">
        <f>F29-B29</f>
        <v>0</v>
      </c>
    </row>
    <row r="30" spans="1:12" x14ac:dyDescent="0.3">
      <c r="A30" s="5" t="s">
        <v>91</v>
      </c>
      <c r="B30" s="2">
        <v>967520768</v>
      </c>
      <c r="F30" s="2">
        <f>L22</f>
        <v>967520768</v>
      </c>
      <c r="J30" s="2">
        <f>F30-B30</f>
        <v>0</v>
      </c>
    </row>
    <row r="31" spans="1:12" x14ac:dyDescent="0.3">
      <c r="A31" s="5" t="s">
        <v>40</v>
      </c>
      <c r="B31" s="2">
        <v>96752077</v>
      </c>
      <c r="F31" s="2">
        <f>L23</f>
        <v>96752077</v>
      </c>
      <c r="J31" s="2">
        <f>F31-B31</f>
        <v>0</v>
      </c>
    </row>
    <row r="32" spans="1:12" x14ac:dyDescent="0.3">
      <c r="A32" s="5" t="s">
        <v>41</v>
      </c>
      <c r="B32" s="2">
        <v>1064272845</v>
      </c>
      <c r="F32" s="2">
        <f>L24</f>
        <v>1064272845</v>
      </c>
      <c r="J32" s="2">
        <f>F32-B32</f>
        <v>0</v>
      </c>
    </row>
    <row r="34" spans="1:13" ht="17.25" x14ac:dyDescent="0.3">
      <c r="A34" s="17" t="s">
        <v>92</v>
      </c>
    </row>
    <row r="35" spans="1:13" x14ac:dyDescent="0.3">
      <c r="A35" s="6" t="s">
        <v>10</v>
      </c>
    </row>
    <row r="36" spans="1:13" x14ac:dyDescent="0.3">
      <c r="A36" s="18" t="s">
        <v>1026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x14ac:dyDescent="0.3">
      <c r="A37" s="18" t="s">
        <v>1027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x14ac:dyDescent="0.3">
      <c r="A38" s="18" t="s">
        <v>1028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x14ac:dyDescent="0.3">
      <c r="A39" s="18" t="s">
        <v>1029</v>
      </c>
      <c r="B39" s="18" t="s">
        <v>1030</v>
      </c>
      <c r="C39" s="19">
        <v>10</v>
      </c>
      <c r="D39" s="18" t="s">
        <v>193</v>
      </c>
      <c r="E39" s="19">
        <v>0</v>
      </c>
      <c r="F39" s="20">
        <f t="shared" ref="F39:F49" si="1">E39*C39</f>
        <v>0</v>
      </c>
      <c r="G39" s="19">
        <v>0</v>
      </c>
      <c r="H39" s="20">
        <f t="shared" ref="H39:H49" si="2">G39*C39</f>
        <v>0</v>
      </c>
      <c r="I39" s="19">
        <v>643148</v>
      </c>
      <c r="J39" s="20">
        <f t="shared" ref="J39:J49" si="3">I39*C39</f>
        <v>6431480</v>
      </c>
      <c r="K39" s="20">
        <f t="shared" ref="K39:K49" si="4">E39+G39+I39</f>
        <v>643148</v>
      </c>
      <c r="L39" s="20">
        <f t="shared" ref="L39:L49" si="5">F39+H39+J39</f>
        <v>6431480</v>
      </c>
      <c r="M39" s="18"/>
    </row>
    <row r="40" spans="1:13" x14ac:dyDescent="0.3">
      <c r="A40" s="18" t="s">
        <v>1031</v>
      </c>
      <c r="B40" s="18" t="s">
        <v>1032</v>
      </c>
      <c r="C40" s="19">
        <v>55</v>
      </c>
      <c r="D40" s="18" t="s">
        <v>193</v>
      </c>
      <c r="E40" s="19">
        <v>0</v>
      </c>
      <c r="F40" s="20">
        <f t="shared" si="1"/>
        <v>0</v>
      </c>
      <c r="G40" s="19">
        <v>0</v>
      </c>
      <c r="H40" s="20">
        <f t="shared" si="2"/>
        <v>0</v>
      </c>
      <c r="I40" s="19">
        <v>993957</v>
      </c>
      <c r="J40" s="20">
        <f t="shared" si="3"/>
        <v>54667635</v>
      </c>
      <c r="K40" s="20">
        <f t="shared" si="4"/>
        <v>993957</v>
      </c>
      <c r="L40" s="20">
        <f t="shared" si="5"/>
        <v>54667635</v>
      </c>
      <c r="M40" s="18"/>
    </row>
    <row r="41" spans="1:13" x14ac:dyDescent="0.3">
      <c r="A41" s="18" t="s">
        <v>1033</v>
      </c>
      <c r="B41" s="18" t="s">
        <v>1034</v>
      </c>
      <c r="C41" s="19">
        <v>7</v>
      </c>
      <c r="D41" s="18" t="s">
        <v>193</v>
      </c>
      <c r="E41" s="19">
        <v>0</v>
      </c>
      <c r="F41" s="20">
        <f t="shared" si="1"/>
        <v>0</v>
      </c>
      <c r="G41" s="19">
        <v>0</v>
      </c>
      <c r="H41" s="20">
        <f t="shared" si="2"/>
        <v>0</v>
      </c>
      <c r="I41" s="19">
        <v>175404</v>
      </c>
      <c r="J41" s="20">
        <f t="shared" si="3"/>
        <v>1227828</v>
      </c>
      <c r="K41" s="20">
        <f t="shared" si="4"/>
        <v>175404</v>
      </c>
      <c r="L41" s="20">
        <f t="shared" si="5"/>
        <v>1227828</v>
      </c>
      <c r="M41" s="18"/>
    </row>
    <row r="42" spans="1:13" x14ac:dyDescent="0.3">
      <c r="A42" s="18" t="s">
        <v>1035</v>
      </c>
      <c r="B42" s="18" t="s">
        <v>1036</v>
      </c>
      <c r="C42" s="19">
        <v>3</v>
      </c>
      <c r="D42" s="18" t="s">
        <v>193</v>
      </c>
      <c r="E42" s="19">
        <v>0</v>
      </c>
      <c r="F42" s="20">
        <f t="shared" si="1"/>
        <v>0</v>
      </c>
      <c r="G42" s="19">
        <v>0</v>
      </c>
      <c r="H42" s="20">
        <f t="shared" si="2"/>
        <v>0</v>
      </c>
      <c r="I42" s="19">
        <v>140323</v>
      </c>
      <c r="J42" s="20">
        <f t="shared" si="3"/>
        <v>420969</v>
      </c>
      <c r="K42" s="20">
        <f t="shared" si="4"/>
        <v>140323</v>
      </c>
      <c r="L42" s="20">
        <f t="shared" si="5"/>
        <v>420969</v>
      </c>
      <c r="M42" s="18"/>
    </row>
    <row r="43" spans="1:13" x14ac:dyDescent="0.3">
      <c r="A43" s="18" t="s">
        <v>1037</v>
      </c>
      <c r="B43" s="18" t="s">
        <v>1038</v>
      </c>
      <c r="C43" s="19">
        <v>8</v>
      </c>
      <c r="D43" s="18" t="s">
        <v>193</v>
      </c>
      <c r="E43" s="19">
        <v>0</v>
      </c>
      <c r="F43" s="20">
        <f t="shared" si="1"/>
        <v>0</v>
      </c>
      <c r="G43" s="19">
        <v>0</v>
      </c>
      <c r="H43" s="20">
        <f t="shared" si="2"/>
        <v>0</v>
      </c>
      <c r="I43" s="19">
        <v>175404</v>
      </c>
      <c r="J43" s="20">
        <f t="shared" si="3"/>
        <v>1403232</v>
      </c>
      <c r="K43" s="20">
        <f t="shared" si="4"/>
        <v>175404</v>
      </c>
      <c r="L43" s="20">
        <f t="shared" si="5"/>
        <v>1403232</v>
      </c>
      <c r="M43" s="18"/>
    </row>
    <row r="44" spans="1:13" x14ac:dyDescent="0.3">
      <c r="A44" s="18" t="s">
        <v>1039</v>
      </c>
      <c r="B44" s="18" t="s">
        <v>1040</v>
      </c>
      <c r="C44" s="19">
        <v>15</v>
      </c>
      <c r="D44" s="18" t="s">
        <v>193</v>
      </c>
      <c r="E44" s="19">
        <v>0</v>
      </c>
      <c r="F44" s="20">
        <f t="shared" si="1"/>
        <v>0</v>
      </c>
      <c r="G44" s="19">
        <v>0</v>
      </c>
      <c r="H44" s="20">
        <f t="shared" si="2"/>
        <v>0</v>
      </c>
      <c r="I44" s="19">
        <v>140323</v>
      </c>
      <c r="J44" s="20">
        <f t="shared" si="3"/>
        <v>2104845</v>
      </c>
      <c r="K44" s="20">
        <f t="shared" si="4"/>
        <v>140323</v>
      </c>
      <c r="L44" s="20">
        <f t="shared" si="5"/>
        <v>2104845</v>
      </c>
      <c r="M44" s="18"/>
    </row>
    <row r="45" spans="1:13" x14ac:dyDescent="0.3">
      <c r="A45" s="18" t="s">
        <v>1041</v>
      </c>
      <c r="B45" s="18" t="s">
        <v>1040</v>
      </c>
      <c r="C45" s="19">
        <v>21</v>
      </c>
      <c r="D45" s="18" t="s">
        <v>193</v>
      </c>
      <c r="E45" s="19">
        <v>0</v>
      </c>
      <c r="F45" s="20">
        <f t="shared" si="1"/>
        <v>0</v>
      </c>
      <c r="G45" s="19">
        <v>0</v>
      </c>
      <c r="H45" s="20">
        <f t="shared" si="2"/>
        <v>0</v>
      </c>
      <c r="I45" s="19">
        <v>140323</v>
      </c>
      <c r="J45" s="20">
        <f t="shared" si="3"/>
        <v>2946783</v>
      </c>
      <c r="K45" s="20">
        <f t="shared" si="4"/>
        <v>140323</v>
      </c>
      <c r="L45" s="20">
        <f t="shared" si="5"/>
        <v>2946783</v>
      </c>
      <c r="M45" s="18"/>
    </row>
    <row r="46" spans="1:13" x14ac:dyDescent="0.3">
      <c r="A46" s="18" t="s">
        <v>1042</v>
      </c>
      <c r="B46" s="18" t="s">
        <v>1043</v>
      </c>
      <c r="C46" s="19">
        <v>20</v>
      </c>
      <c r="D46" s="18" t="s">
        <v>193</v>
      </c>
      <c r="E46" s="19">
        <v>0</v>
      </c>
      <c r="F46" s="20">
        <f t="shared" si="1"/>
        <v>0</v>
      </c>
      <c r="G46" s="19">
        <v>0</v>
      </c>
      <c r="H46" s="20">
        <f t="shared" si="2"/>
        <v>0</v>
      </c>
      <c r="I46" s="19">
        <v>157864</v>
      </c>
      <c r="J46" s="20">
        <f t="shared" si="3"/>
        <v>3157280</v>
      </c>
      <c r="K46" s="20">
        <f t="shared" si="4"/>
        <v>157864</v>
      </c>
      <c r="L46" s="20">
        <f t="shared" si="5"/>
        <v>3157280</v>
      </c>
      <c r="M46" s="18"/>
    </row>
    <row r="47" spans="1:13" x14ac:dyDescent="0.3">
      <c r="A47" s="18" t="s">
        <v>1044</v>
      </c>
      <c r="B47" s="18" t="s">
        <v>1045</v>
      </c>
      <c r="C47" s="19">
        <v>1770</v>
      </c>
      <c r="D47" s="18" t="s">
        <v>193</v>
      </c>
      <c r="E47" s="19">
        <v>0</v>
      </c>
      <c r="F47" s="20">
        <f t="shared" si="1"/>
        <v>0</v>
      </c>
      <c r="G47" s="19">
        <v>0</v>
      </c>
      <c r="H47" s="20">
        <f t="shared" si="2"/>
        <v>0</v>
      </c>
      <c r="I47" s="19">
        <v>4093</v>
      </c>
      <c r="J47" s="20">
        <f t="shared" si="3"/>
        <v>7244610</v>
      </c>
      <c r="K47" s="20">
        <f t="shared" si="4"/>
        <v>4093</v>
      </c>
      <c r="L47" s="20">
        <f t="shared" si="5"/>
        <v>7244610</v>
      </c>
      <c r="M47" s="18"/>
    </row>
    <row r="48" spans="1:13" x14ac:dyDescent="0.3">
      <c r="A48" s="18" t="s">
        <v>1046</v>
      </c>
      <c r="B48" s="18" t="s">
        <v>1045</v>
      </c>
      <c r="C48" s="19">
        <v>1250</v>
      </c>
      <c r="D48" s="18" t="s">
        <v>193</v>
      </c>
      <c r="E48" s="19">
        <v>0</v>
      </c>
      <c r="F48" s="20">
        <f t="shared" si="1"/>
        <v>0</v>
      </c>
      <c r="G48" s="19">
        <v>0</v>
      </c>
      <c r="H48" s="20">
        <f t="shared" si="2"/>
        <v>0</v>
      </c>
      <c r="I48" s="19">
        <v>4093</v>
      </c>
      <c r="J48" s="20">
        <f t="shared" si="3"/>
        <v>5116250</v>
      </c>
      <c r="K48" s="20">
        <f t="shared" si="4"/>
        <v>4093</v>
      </c>
      <c r="L48" s="20">
        <f t="shared" si="5"/>
        <v>5116250</v>
      </c>
      <c r="M48" s="18"/>
    </row>
    <row r="49" spans="1:13" x14ac:dyDescent="0.3">
      <c r="A49" s="18" t="s">
        <v>1047</v>
      </c>
      <c r="B49" s="18" t="s">
        <v>1048</v>
      </c>
      <c r="C49" s="19">
        <v>1100</v>
      </c>
      <c r="D49" s="18" t="s">
        <v>950</v>
      </c>
      <c r="E49" s="19">
        <v>0</v>
      </c>
      <c r="F49" s="20">
        <f t="shared" si="1"/>
        <v>0</v>
      </c>
      <c r="G49" s="19">
        <v>0</v>
      </c>
      <c r="H49" s="20">
        <f t="shared" si="2"/>
        <v>0</v>
      </c>
      <c r="I49" s="19">
        <v>19880</v>
      </c>
      <c r="J49" s="20">
        <f t="shared" si="3"/>
        <v>21868000</v>
      </c>
      <c r="K49" s="20">
        <f t="shared" si="4"/>
        <v>19880</v>
      </c>
      <c r="L49" s="20">
        <f t="shared" si="5"/>
        <v>21868000</v>
      </c>
      <c r="M49" s="18"/>
    </row>
    <row r="50" spans="1:13" x14ac:dyDescent="0.3">
      <c r="A50" s="18" t="s">
        <v>1049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x14ac:dyDescent="0.3">
      <c r="A51" s="18" t="s">
        <v>1050</v>
      </c>
      <c r="B51" s="18" t="s">
        <v>1051</v>
      </c>
      <c r="C51" s="19">
        <v>1</v>
      </c>
      <c r="D51" s="18" t="s">
        <v>1052</v>
      </c>
      <c r="E51" s="19">
        <v>0</v>
      </c>
      <c r="F51" s="20">
        <f t="shared" ref="F51:F57" si="6">E51*C51</f>
        <v>0</v>
      </c>
      <c r="G51" s="19">
        <v>0</v>
      </c>
      <c r="H51" s="20">
        <f t="shared" ref="H51:H57" si="7">G51*C51</f>
        <v>0</v>
      </c>
      <c r="I51" s="19">
        <v>2923402</v>
      </c>
      <c r="J51" s="20">
        <f t="shared" ref="J51:J57" si="8">I51*C51</f>
        <v>2923402</v>
      </c>
      <c r="K51" s="20">
        <f t="shared" ref="K51:L57" si="9">E51+G51+I51</f>
        <v>2923402</v>
      </c>
      <c r="L51" s="20">
        <f t="shared" si="9"/>
        <v>2923402</v>
      </c>
      <c r="M51" s="18"/>
    </row>
    <row r="52" spans="1:13" x14ac:dyDescent="0.3">
      <c r="A52" s="18" t="s">
        <v>1053</v>
      </c>
      <c r="B52" s="18" t="s">
        <v>1054</v>
      </c>
      <c r="C52" s="19">
        <v>1</v>
      </c>
      <c r="D52" s="18" t="s">
        <v>1052</v>
      </c>
      <c r="E52" s="19">
        <v>0</v>
      </c>
      <c r="F52" s="20">
        <f t="shared" si="6"/>
        <v>0</v>
      </c>
      <c r="G52" s="19">
        <v>0</v>
      </c>
      <c r="H52" s="20">
        <f t="shared" si="7"/>
        <v>0</v>
      </c>
      <c r="I52" s="19">
        <v>4677443</v>
      </c>
      <c r="J52" s="20">
        <f t="shared" si="8"/>
        <v>4677443</v>
      </c>
      <c r="K52" s="20">
        <f t="shared" si="9"/>
        <v>4677443</v>
      </c>
      <c r="L52" s="20">
        <f t="shared" si="9"/>
        <v>4677443</v>
      </c>
      <c r="M52" s="18"/>
    </row>
    <row r="53" spans="1:13" x14ac:dyDescent="0.3">
      <c r="A53" s="18" t="s">
        <v>1055</v>
      </c>
      <c r="B53" s="18" t="s">
        <v>1056</v>
      </c>
      <c r="C53" s="19">
        <v>1</v>
      </c>
      <c r="D53" s="18" t="s">
        <v>1052</v>
      </c>
      <c r="E53" s="19">
        <v>0</v>
      </c>
      <c r="F53" s="20">
        <f t="shared" si="6"/>
        <v>0</v>
      </c>
      <c r="G53" s="19">
        <v>0</v>
      </c>
      <c r="H53" s="20">
        <f t="shared" si="7"/>
        <v>0</v>
      </c>
      <c r="I53" s="19">
        <v>4092763</v>
      </c>
      <c r="J53" s="20">
        <f t="shared" si="8"/>
        <v>4092763</v>
      </c>
      <c r="K53" s="20">
        <f t="shared" si="9"/>
        <v>4092763</v>
      </c>
      <c r="L53" s="20">
        <f t="shared" si="9"/>
        <v>4092763</v>
      </c>
      <c r="M53" s="18"/>
    </row>
    <row r="54" spans="1:13" x14ac:dyDescent="0.3">
      <c r="A54" s="18" t="s">
        <v>1057</v>
      </c>
      <c r="B54" s="18" t="s">
        <v>1058</v>
      </c>
      <c r="C54" s="19">
        <v>1</v>
      </c>
      <c r="D54" s="18" t="s">
        <v>1052</v>
      </c>
      <c r="E54" s="19">
        <v>0</v>
      </c>
      <c r="F54" s="20">
        <f t="shared" si="6"/>
        <v>0</v>
      </c>
      <c r="G54" s="19">
        <v>0</v>
      </c>
      <c r="H54" s="20">
        <f t="shared" si="7"/>
        <v>0</v>
      </c>
      <c r="I54" s="19">
        <v>4092763</v>
      </c>
      <c r="J54" s="20">
        <f t="shared" si="8"/>
        <v>4092763</v>
      </c>
      <c r="K54" s="20">
        <f t="shared" si="9"/>
        <v>4092763</v>
      </c>
      <c r="L54" s="20">
        <f t="shared" si="9"/>
        <v>4092763</v>
      </c>
      <c r="M54" s="18"/>
    </row>
    <row r="55" spans="1:13" x14ac:dyDescent="0.3">
      <c r="A55" s="18" t="s">
        <v>1059</v>
      </c>
      <c r="B55" s="18" t="s">
        <v>1060</v>
      </c>
      <c r="C55" s="19">
        <v>1</v>
      </c>
      <c r="D55" s="18" t="s">
        <v>204</v>
      </c>
      <c r="E55" s="19">
        <v>0</v>
      </c>
      <c r="F55" s="20">
        <f t="shared" si="6"/>
        <v>0</v>
      </c>
      <c r="G55" s="19">
        <v>0</v>
      </c>
      <c r="H55" s="20">
        <f t="shared" si="7"/>
        <v>0</v>
      </c>
      <c r="I55" s="19">
        <v>14617010</v>
      </c>
      <c r="J55" s="20">
        <f t="shared" si="8"/>
        <v>14617010</v>
      </c>
      <c r="K55" s="20">
        <f t="shared" si="9"/>
        <v>14617010</v>
      </c>
      <c r="L55" s="20">
        <f t="shared" si="9"/>
        <v>14617010</v>
      </c>
      <c r="M55" s="18"/>
    </row>
    <row r="56" spans="1:13" x14ac:dyDescent="0.3">
      <c r="A56" s="18" t="s">
        <v>1061</v>
      </c>
      <c r="B56" s="18" t="s">
        <v>1062</v>
      </c>
      <c r="C56" s="19">
        <v>9</v>
      </c>
      <c r="D56" s="18" t="s">
        <v>1052</v>
      </c>
      <c r="E56" s="19">
        <v>0</v>
      </c>
      <c r="F56" s="20">
        <f t="shared" si="6"/>
        <v>0</v>
      </c>
      <c r="G56" s="19">
        <v>0</v>
      </c>
      <c r="H56" s="20">
        <f t="shared" si="7"/>
        <v>0</v>
      </c>
      <c r="I56" s="19">
        <v>1578637</v>
      </c>
      <c r="J56" s="20">
        <f t="shared" si="8"/>
        <v>14207733</v>
      </c>
      <c r="K56" s="20">
        <f t="shared" si="9"/>
        <v>1578637</v>
      </c>
      <c r="L56" s="20">
        <f t="shared" si="9"/>
        <v>14207733</v>
      </c>
      <c r="M56" s="18"/>
    </row>
    <row r="57" spans="1:13" x14ac:dyDescent="0.3">
      <c r="A57" s="18" t="s">
        <v>1063</v>
      </c>
      <c r="B57" s="18" t="s">
        <v>1064</v>
      </c>
      <c r="C57" s="19">
        <v>3</v>
      </c>
      <c r="D57" s="18" t="s">
        <v>1052</v>
      </c>
      <c r="E57" s="19">
        <v>0</v>
      </c>
      <c r="F57" s="20">
        <f t="shared" si="6"/>
        <v>0</v>
      </c>
      <c r="G57" s="19">
        <v>0</v>
      </c>
      <c r="H57" s="20">
        <f t="shared" si="7"/>
        <v>0</v>
      </c>
      <c r="I57" s="19">
        <v>2455657</v>
      </c>
      <c r="J57" s="20">
        <f t="shared" si="8"/>
        <v>7366971</v>
      </c>
      <c r="K57" s="20">
        <f t="shared" si="9"/>
        <v>2455657</v>
      </c>
      <c r="L57" s="20">
        <f t="shared" si="9"/>
        <v>7366971</v>
      </c>
      <c r="M57" s="18"/>
    </row>
    <row r="58" spans="1:13" x14ac:dyDescent="0.3">
      <c r="A58" s="18" t="s">
        <v>1065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x14ac:dyDescent="0.3">
      <c r="A59" s="18" t="s">
        <v>1066</v>
      </c>
      <c r="B59" s="18" t="s">
        <v>1067</v>
      </c>
      <c r="C59" s="19">
        <v>68</v>
      </c>
      <c r="D59" s="18" t="s">
        <v>950</v>
      </c>
      <c r="E59" s="19">
        <v>0</v>
      </c>
      <c r="F59" s="20">
        <f t="shared" ref="F59:F65" si="10">E59*C59</f>
        <v>0</v>
      </c>
      <c r="G59" s="19">
        <v>0</v>
      </c>
      <c r="H59" s="20">
        <f t="shared" ref="H59:H65" si="11">G59*C59</f>
        <v>0</v>
      </c>
      <c r="I59" s="19">
        <v>22803</v>
      </c>
      <c r="J59" s="20">
        <f t="shared" ref="J59:J65" si="12">I59*C59</f>
        <v>1550604</v>
      </c>
      <c r="K59" s="20">
        <f t="shared" ref="K59:L65" si="13">E59+G59+I59</f>
        <v>22803</v>
      </c>
      <c r="L59" s="20">
        <f t="shared" si="13"/>
        <v>1550604</v>
      </c>
      <c r="M59" s="18"/>
    </row>
    <row r="60" spans="1:13" x14ac:dyDescent="0.3">
      <c r="A60" s="18" t="s">
        <v>1068</v>
      </c>
      <c r="B60" s="18" t="s">
        <v>1069</v>
      </c>
      <c r="C60" s="19">
        <v>143</v>
      </c>
      <c r="D60" s="18" t="s">
        <v>950</v>
      </c>
      <c r="E60" s="19">
        <v>0</v>
      </c>
      <c r="F60" s="20">
        <f t="shared" si="10"/>
        <v>0</v>
      </c>
      <c r="G60" s="19">
        <v>0</v>
      </c>
      <c r="H60" s="20">
        <f t="shared" si="11"/>
        <v>0</v>
      </c>
      <c r="I60" s="19">
        <v>34496</v>
      </c>
      <c r="J60" s="20">
        <f t="shared" si="12"/>
        <v>4932928</v>
      </c>
      <c r="K60" s="20">
        <f t="shared" si="13"/>
        <v>34496</v>
      </c>
      <c r="L60" s="20">
        <f t="shared" si="13"/>
        <v>4932928</v>
      </c>
      <c r="M60" s="18"/>
    </row>
    <row r="61" spans="1:13" x14ac:dyDescent="0.3">
      <c r="A61" s="18" t="s">
        <v>1070</v>
      </c>
      <c r="B61" s="18" t="s">
        <v>1071</v>
      </c>
      <c r="C61" s="19">
        <v>224</v>
      </c>
      <c r="D61" s="18" t="s">
        <v>950</v>
      </c>
      <c r="E61" s="19">
        <v>0</v>
      </c>
      <c r="F61" s="20">
        <f t="shared" si="10"/>
        <v>0</v>
      </c>
      <c r="G61" s="19">
        <v>0</v>
      </c>
      <c r="H61" s="20">
        <f t="shared" si="11"/>
        <v>0</v>
      </c>
      <c r="I61" s="19">
        <v>49114</v>
      </c>
      <c r="J61" s="20">
        <f t="shared" si="12"/>
        <v>11001536</v>
      </c>
      <c r="K61" s="20">
        <f t="shared" si="13"/>
        <v>49114</v>
      </c>
      <c r="L61" s="20">
        <f t="shared" si="13"/>
        <v>11001536</v>
      </c>
      <c r="M61" s="18"/>
    </row>
    <row r="62" spans="1:13" x14ac:dyDescent="0.3">
      <c r="A62" s="18" t="s">
        <v>1072</v>
      </c>
      <c r="B62" s="18" t="s">
        <v>1073</v>
      </c>
      <c r="C62" s="19">
        <v>315</v>
      </c>
      <c r="D62" s="18" t="s">
        <v>234</v>
      </c>
      <c r="E62" s="19">
        <v>0</v>
      </c>
      <c r="F62" s="20">
        <f t="shared" si="10"/>
        <v>0</v>
      </c>
      <c r="G62" s="19">
        <v>0</v>
      </c>
      <c r="H62" s="20">
        <f t="shared" si="11"/>
        <v>0</v>
      </c>
      <c r="I62" s="19">
        <v>29234</v>
      </c>
      <c r="J62" s="20">
        <f t="shared" si="12"/>
        <v>9208710</v>
      </c>
      <c r="K62" s="20">
        <f t="shared" si="13"/>
        <v>29234</v>
      </c>
      <c r="L62" s="20">
        <f t="shared" si="13"/>
        <v>9208710</v>
      </c>
      <c r="M62" s="18"/>
    </row>
    <row r="63" spans="1:13" x14ac:dyDescent="0.3">
      <c r="A63" s="18" t="s">
        <v>1074</v>
      </c>
      <c r="B63" s="18" t="s">
        <v>1075</v>
      </c>
      <c r="C63" s="19">
        <v>17</v>
      </c>
      <c r="D63" s="18" t="s">
        <v>950</v>
      </c>
      <c r="E63" s="19">
        <v>0</v>
      </c>
      <c r="F63" s="20">
        <f t="shared" si="10"/>
        <v>0</v>
      </c>
      <c r="G63" s="19">
        <v>0</v>
      </c>
      <c r="H63" s="20">
        <f t="shared" si="11"/>
        <v>0</v>
      </c>
      <c r="I63" s="19">
        <v>40927</v>
      </c>
      <c r="J63" s="20">
        <f t="shared" si="12"/>
        <v>695759</v>
      </c>
      <c r="K63" s="20">
        <f t="shared" si="13"/>
        <v>40927</v>
      </c>
      <c r="L63" s="20">
        <f t="shared" si="13"/>
        <v>695759</v>
      </c>
      <c r="M63" s="18"/>
    </row>
    <row r="64" spans="1:13" x14ac:dyDescent="0.3">
      <c r="A64" s="18" t="s">
        <v>1076</v>
      </c>
      <c r="B64" s="18" t="s">
        <v>1077</v>
      </c>
      <c r="C64" s="19">
        <v>459</v>
      </c>
      <c r="D64" s="18" t="s">
        <v>234</v>
      </c>
      <c r="E64" s="19">
        <v>0</v>
      </c>
      <c r="F64" s="20">
        <f t="shared" si="10"/>
        <v>0</v>
      </c>
      <c r="G64" s="19">
        <v>0</v>
      </c>
      <c r="H64" s="20">
        <f t="shared" si="11"/>
        <v>0</v>
      </c>
      <c r="I64" s="19">
        <v>22217</v>
      </c>
      <c r="J64" s="20">
        <f t="shared" si="12"/>
        <v>10197603</v>
      </c>
      <c r="K64" s="20">
        <f t="shared" si="13"/>
        <v>22217</v>
      </c>
      <c r="L64" s="20">
        <f t="shared" si="13"/>
        <v>10197603</v>
      </c>
      <c r="M64" s="18"/>
    </row>
    <row r="65" spans="1:13" x14ac:dyDescent="0.3">
      <c r="A65" s="18" t="s">
        <v>1078</v>
      </c>
      <c r="B65" s="18" t="s">
        <v>1079</v>
      </c>
      <c r="C65" s="19">
        <v>10</v>
      </c>
      <c r="D65" s="18" t="s">
        <v>234</v>
      </c>
      <c r="E65" s="19">
        <v>0</v>
      </c>
      <c r="F65" s="20">
        <f t="shared" si="10"/>
        <v>0</v>
      </c>
      <c r="G65" s="19">
        <v>0</v>
      </c>
      <c r="H65" s="20">
        <f t="shared" si="11"/>
        <v>0</v>
      </c>
      <c r="I65" s="19">
        <v>19880</v>
      </c>
      <c r="J65" s="20">
        <f t="shared" si="12"/>
        <v>198800</v>
      </c>
      <c r="K65" s="20">
        <f t="shared" si="13"/>
        <v>19880</v>
      </c>
      <c r="L65" s="20">
        <f t="shared" si="13"/>
        <v>198800</v>
      </c>
      <c r="M65" s="18"/>
    </row>
    <row r="66" spans="1:13" x14ac:dyDescent="0.3">
      <c r="A66" s="18" t="s">
        <v>1080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x14ac:dyDescent="0.3">
      <c r="A67" s="18" t="s">
        <v>1081</v>
      </c>
      <c r="B67" s="18" t="s">
        <v>1082</v>
      </c>
      <c r="C67" s="19">
        <v>4</v>
      </c>
      <c r="D67" s="18" t="s">
        <v>1052</v>
      </c>
      <c r="E67" s="19">
        <v>0</v>
      </c>
      <c r="F67" s="20">
        <f>E67*C67</f>
        <v>0</v>
      </c>
      <c r="G67" s="19">
        <v>0</v>
      </c>
      <c r="H67" s="20">
        <f>G67*C67</f>
        <v>0</v>
      </c>
      <c r="I67" s="19">
        <v>409277</v>
      </c>
      <c r="J67" s="20">
        <f>I67*C67</f>
        <v>1637108</v>
      </c>
      <c r="K67" s="20">
        <f t="shared" ref="K67:L71" si="14">E67+G67+I67</f>
        <v>409277</v>
      </c>
      <c r="L67" s="20">
        <f t="shared" si="14"/>
        <v>1637108</v>
      </c>
      <c r="M67" s="18"/>
    </row>
    <row r="68" spans="1:13" x14ac:dyDescent="0.3">
      <c r="A68" s="18" t="s">
        <v>1083</v>
      </c>
      <c r="B68" s="18" t="s">
        <v>1084</v>
      </c>
      <c r="C68" s="19">
        <v>24</v>
      </c>
      <c r="D68" s="18" t="s">
        <v>1085</v>
      </c>
      <c r="E68" s="19">
        <v>0</v>
      </c>
      <c r="F68" s="20">
        <f>E68*C68</f>
        <v>0</v>
      </c>
      <c r="G68" s="19">
        <v>0</v>
      </c>
      <c r="H68" s="20">
        <f>G68*C68</f>
        <v>0</v>
      </c>
      <c r="I68" s="19">
        <v>18710</v>
      </c>
      <c r="J68" s="20">
        <f>I68*C68</f>
        <v>449040</v>
      </c>
      <c r="K68" s="20">
        <f t="shared" si="14"/>
        <v>18710</v>
      </c>
      <c r="L68" s="20">
        <f t="shared" si="14"/>
        <v>449040</v>
      </c>
      <c r="M68" s="18"/>
    </row>
    <row r="69" spans="1:13" x14ac:dyDescent="0.3">
      <c r="A69" s="18" t="s">
        <v>1086</v>
      </c>
      <c r="B69" s="18" t="s">
        <v>1087</v>
      </c>
      <c r="C69" s="19">
        <v>32</v>
      </c>
      <c r="D69" s="18" t="s">
        <v>1085</v>
      </c>
      <c r="E69" s="19">
        <v>0</v>
      </c>
      <c r="F69" s="20">
        <f>E69*C69</f>
        <v>0</v>
      </c>
      <c r="G69" s="19">
        <v>0</v>
      </c>
      <c r="H69" s="20">
        <f>G69*C69</f>
        <v>0</v>
      </c>
      <c r="I69" s="19">
        <v>15202</v>
      </c>
      <c r="J69" s="20">
        <f>I69*C69</f>
        <v>486464</v>
      </c>
      <c r="K69" s="20">
        <f t="shared" si="14"/>
        <v>15202</v>
      </c>
      <c r="L69" s="20">
        <f t="shared" si="14"/>
        <v>486464</v>
      </c>
      <c r="M69" s="18"/>
    </row>
    <row r="70" spans="1:13" x14ac:dyDescent="0.3">
      <c r="A70" s="18" t="s">
        <v>1088</v>
      </c>
      <c r="B70" s="18" t="s">
        <v>1084</v>
      </c>
      <c r="C70" s="19">
        <v>61</v>
      </c>
      <c r="D70" s="18" t="s">
        <v>234</v>
      </c>
      <c r="E70" s="19">
        <v>0</v>
      </c>
      <c r="F70" s="20">
        <f>E70*C70</f>
        <v>0</v>
      </c>
      <c r="G70" s="19">
        <v>0</v>
      </c>
      <c r="H70" s="20">
        <f>G70*C70</f>
        <v>0</v>
      </c>
      <c r="I70" s="19">
        <v>40927</v>
      </c>
      <c r="J70" s="20">
        <f>I70*C70</f>
        <v>2496547</v>
      </c>
      <c r="K70" s="20">
        <f t="shared" si="14"/>
        <v>40927</v>
      </c>
      <c r="L70" s="20">
        <f t="shared" si="14"/>
        <v>2496547</v>
      </c>
      <c r="M70" s="18"/>
    </row>
    <row r="71" spans="1:13" x14ac:dyDescent="0.3">
      <c r="A71" s="18" t="s">
        <v>1089</v>
      </c>
      <c r="B71" s="18" t="s">
        <v>1090</v>
      </c>
      <c r="C71" s="19">
        <v>48</v>
      </c>
      <c r="D71" s="18" t="s">
        <v>234</v>
      </c>
      <c r="E71" s="19">
        <v>0</v>
      </c>
      <c r="F71" s="20">
        <f>E71*C71</f>
        <v>0</v>
      </c>
      <c r="G71" s="19">
        <v>0</v>
      </c>
      <c r="H71" s="20">
        <f>G71*C71</f>
        <v>0</v>
      </c>
      <c r="I71" s="19">
        <v>146170</v>
      </c>
      <c r="J71" s="20">
        <f>I71*C71</f>
        <v>7016160</v>
      </c>
      <c r="K71" s="20">
        <f t="shared" si="14"/>
        <v>146170</v>
      </c>
      <c r="L71" s="20">
        <f t="shared" si="14"/>
        <v>7016160</v>
      </c>
      <c r="M71" s="18"/>
    </row>
    <row r="72" spans="1:13" x14ac:dyDescent="0.3">
      <c r="A72" s="18" t="s">
        <v>1091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x14ac:dyDescent="0.3">
      <c r="A73" s="18" t="s">
        <v>1028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x14ac:dyDescent="0.3">
      <c r="A74" s="18" t="s">
        <v>1029</v>
      </c>
      <c r="B74" s="18" t="s">
        <v>1030</v>
      </c>
      <c r="C74" s="19">
        <v>9</v>
      </c>
      <c r="D74" s="18" t="s">
        <v>193</v>
      </c>
      <c r="E74" s="19">
        <v>0</v>
      </c>
      <c r="F74" s="20">
        <f t="shared" ref="F74:F88" si="15">E74*C74</f>
        <v>0</v>
      </c>
      <c r="G74" s="19">
        <v>0</v>
      </c>
      <c r="H74" s="20">
        <f t="shared" ref="H74:H88" si="16">G74*C74</f>
        <v>0</v>
      </c>
      <c r="I74" s="19">
        <v>643148</v>
      </c>
      <c r="J74" s="20">
        <f t="shared" ref="J74:J88" si="17">I74*C74</f>
        <v>5788332</v>
      </c>
      <c r="K74" s="20">
        <f t="shared" ref="K74:K88" si="18">E74+G74+I74</f>
        <v>643148</v>
      </c>
      <c r="L74" s="20">
        <f t="shared" ref="L74:L88" si="19">F74+H74+J74</f>
        <v>5788332</v>
      </c>
      <c r="M74" s="18"/>
    </row>
    <row r="75" spans="1:13" x14ac:dyDescent="0.3">
      <c r="A75" s="18" t="s">
        <v>1031</v>
      </c>
      <c r="B75" s="18" t="s">
        <v>1032</v>
      </c>
      <c r="C75" s="19">
        <v>27</v>
      </c>
      <c r="D75" s="18" t="s">
        <v>193</v>
      </c>
      <c r="E75" s="19">
        <v>0</v>
      </c>
      <c r="F75" s="20">
        <f t="shared" si="15"/>
        <v>0</v>
      </c>
      <c r="G75" s="19">
        <v>0</v>
      </c>
      <c r="H75" s="20">
        <f t="shared" si="16"/>
        <v>0</v>
      </c>
      <c r="I75" s="19">
        <v>993957</v>
      </c>
      <c r="J75" s="20">
        <f t="shared" si="17"/>
        <v>26836839</v>
      </c>
      <c r="K75" s="20">
        <f t="shared" si="18"/>
        <v>993957</v>
      </c>
      <c r="L75" s="20">
        <f t="shared" si="19"/>
        <v>26836839</v>
      </c>
      <c r="M75" s="18"/>
    </row>
    <row r="76" spans="1:13" x14ac:dyDescent="0.3">
      <c r="A76" s="18" t="s">
        <v>1033</v>
      </c>
      <c r="B76" s="18" t="s">
        <v>1034</v>
      </c>
      <c r="C76" s="19">
        <v>11</v>
      </c>
      <c r="D76" s="18" t="s">
        <v>193</v>
      </c>
      <c r="E76" s="19">
        <v>0</v>
      </c>
      <c r="F76" s="20">
        <f t="shared" si="15"/>
        <v>0</v>
      </c>
      <c r="G76" s="19">
        <v>0</v>
      </c>
      <c r="H76" s="20">
        <f t="shared" si="16"/>
        <v>0</v>
      </c>
      <c r="I76" s="19">
        <v>175404</v>
      </c>
      <c r="J76" s="20">
        <f t="shared" si="17"/>
        <v>1929444</v>
      </c>
      <c r="K76" s="20">
        <f t="shared" si="18"/>
        <v>175404</v>
      </c>
      <c r="L76" s="20">
        <f t="shared" si="19"/>
        <v>1929444</v>
      </c>
      <c r="M76" s="18"/>
    </row>
    <row r="77" spans="1:13" x14ac:dyDescent="0.3">
      <c r="A77" s="18" t="s">
        <v>1035</v>
      </c>
      <c r="B77" s="18" t="s">
        <v>1036</v>
      </c>
      <c r="C77" s="19">
        <v>3</v>
      </c>
      <c r="D77" s="18" t="s">
        <v>193</v>
      </c>
      <c r="E77" s="19">
        <v>0</v>
      </c>
      <c r="F77" s="20">
        <f t="shared" si="15"/>
        <v>0</v>
      </c>
      <c r="G77" s="19">
        <v>0</v>
      </c>
      <c r="H77" s="20">
        <f t="shared" si="16"/>
        <v>0</v>
      </c>
      <c r="I77" s="19">
        <v>140323</v>
      </c>
      <c r="J77" s="20">
        <f t="shared" si="17"/>
        <v>420969</v>
      </c>
      <c r="K77" s="20">
        <f t="shared" si="18"/>
        <v>140323</v>
      </c>
      <c r="L77" s="20">
        <f t="shared" si="19"/>
        <v>420969</v>
      </c>
      <c r="M77" s="18"/>
    </row>
    <row r="78" spans="1:13" x14ac:dyDescent="0.3">
      <c r="A78" s="18" t="s">
        <v>1037</v>
      </c>
      <c r="B78" s="18" t="s">
        <v>1038</v>
      </c>
      <c r="C78" s="19">
        <v>14</v>
      </c>
      <c r="D78" s="18" t="s">
        <v>193</v>
      </c>
      <c r="E78" s="19">
        <v>0</v>
      </c>
      <c r="F78" s="20">
        <f t="shared" si="15"/>
        <v>0</v>
      </c>
      <c r="G78" s="19">
        <v>0</v>
      </c>
      <c r="H78" s="20">
        <f t="shared" si="16"/>
        <v>0</v>
      </c>
      <c r="I78" s="19">
        <v>175404</v>
      </c>
      <c r="J78" s="20">
        <f t="shared" si="17"/>
        <v>2455656</v>
      </c>
      <c r="K78" s="20">
        <f t="shared" si="18"/>
        <v>175404</v>
      </c>
      <c r="L78" s="20">
        <f t="shared" si="19"/>
        <v>2455656</v>
      </c>
      <c r="M78" s="18"/>
    </row>
    <row r="79" spans="1:13" x14ac:dyDescent="0.3">
      <c r="A79" s="18" t="s">
        <v>1039</v>
      </c>
      <c r="B79" s="18" t="s">
        <v>1040</v>
      </c>
      <c r="C79" s="19">
        <v>5</v>
      </c>
      <c r="D79" s="18" t="s">
        <v>193</v>
      </c>
      <c r="E79" s="19">
        <v>0</v>
      </c>
      <c r="F79" s="20">
        <f t="shared" si="15"/>
        <v>0</v>
      </c>
      <c r="G79" s="19">
        <v>0</v>
      </c>
      <c r="H79" s="20">
        <f t="shared" si="16"/>
        <v>0</v>
      </c>
      <c r="I79" s="19">
        <v>140323</v>
      </c>
      <c r="J79" s="20">
        <f t="shared" si="17"/>
        <v>701615</v>
      </c>
      <c r="K79" s="20">
        <f t="shared" si="18"/>
        <v>140323</v>
      </c>
      <c r="L79" s="20">
        <f t="shared" si="19"/>
        <v>701615</v>
      </c>
      <c r="M79" s="18"/>
    </row>
    <row r="80" spans="1:13" x14ac:dyDescent="0.3">
      <c r="A80" s="18" t="s">
        <v>1041</v>
      </c>
      <c r="B80" s="18" t="s">
        <v>1040</v>
      </c>
      <c r="C80" s="19">
        <v>6</v>
      </c>
      <c r="D80" s="18" t="s">
        <v>193</v>
      </c>
      <c r="E80" s="19">
        <v>0</v>
      </c>
      <c r="F80" s="20">
        <f t="shared" si="15"/>
        <v>0</v>
      </c>
      <c r="G80" s="19">
        <v>0</v>
      </c>
      <c r="H80" s="20">
        <f t="shared" si="16"/>
        <v>0</v>
      </c>
      <c r="I80" s="19">
        <v>140323</v>
      </c>
      <c r="J80" s="20">
        <f t="shared" si="17"/>
        <v>841938</v>
      </c>
      <c r="K80" s="20">
        <f t="shared" si="18"/>
        <v>140323</v>
      </c>
      <c r="L80" s="20">
        <f t="shared" si="19"/>
        <v>841938</v>
      </c>
      <c r="M80" s="18"/>
    </row>
    <row r="81" spans="1:13" x14ac:dyDescent="0.3">
      <c r="A81" s="18" t="s">
        <v>1092</v>
      </c>
      <c r="B81" s="18" t="s">
        <v>1043</v>
      </c>
      <c r="C81" s="19">
        <v>6</v>
      </c>
      <c r="D81" s="18" t="s">
        <v>193</v>
      </c>
      <c r="E81" s="19">
        <v>0</v>
      </c>
      <c r="F81" s="20">
        <f t="shared" si="15"/>
        <v>0</v>
      </c>
      <c r="G81" s="19">
        <v>0</v>
      </c>
      <c r="H81" s="20">
        <f t="shared" si="16"/>
        <v>0</v>
      </c>
      <c r="I81" s="19">
        <v>175404</v>
      </c>
      <c r="J81" s="20">
        <f t="shared" si="17"/>
        <v>1052424</v>
      </c>
      <c r="K81" s="20">
        <f t="shared" si="18"/>
        <v>175404</v>
      </c>
      <c r="L81" s="20">
        <f t="shared" si="19"/>
        <v>1052424</v>
      </c>
      <c r="M81" s="18"/>
    </row>
    <row r="82" spans="1:13" x14ac:dyDescent="0.3">
      <c r="A82" s="18" t="s">
        <v>1093</v>
      </c>
      <c r="B82" s="18" t="s">
        <v>1043</v>
      </c>
      <c r="C82" s="19">
        <v>5</v>
      </c>
      <c r="D82" s="18" t="s">
        <v>193</v>
      </c>
      <c r="E82" s="19">
        <v>0</v>
      </c>
      <c r="F82" s="20">
        <f t="shared" si="15"/>
        <v>0</v>
      </c>
      <c r="G82" s="19">
        <v>0</v>
      </c>
      <c r="H82" s="20">
        <f t="shared" si="16"/>
        <v>0</v>
      </c>
      <c r="I82" s="19">
        <v>175404</v>
      </c>
      <c r="J82" s="20">
        <f t="shared" si="17"/>
        <v>877020</v>
      </c>
      <c r="K82" s="20">
        <f t="shared" si="18"/>
        <v>175404</v>
      </c>
      <c r="L82" s="20">
        <f t="shared" si="19"/>
        <v>877020</v>
      </c>
      <c r="M82" s="18"/>
    </row>
    <row r="83" spans="1:13" x14ac:dyDescent="0.3">
      <c r="A83" s="18" t="s">
        <v>1094</v>
      </c>
      <c r="B83" s="18" t="s">
        <v>1043</v>
      </c>
      <c r="C83" s="19">
        <v>5</v>
      </c>
      <c r="D83" s="18" t="s">
        <v>193</v>
      </c>
      <c r="E83" s="19">
        <v>0</v>
      </c>
      <c r="F83" s="20">
        <f t="shared" si="15"/>
        <v>0</v>
      </c>
      <c r="G83" s="19">
        <v>0</v>
      </c>
      <c r="H83" s="20">
        <f t="shared" si="16"/>
        <v>0</v>
      </c>
      <c r="I83" s="19">
        <v>175404</v>
      </c>
      <c r="J83" s="20">
        <f t="shared" si="17"/>
        <v>877020</v>
      </c>
      <c r="K83" s="20">
        <f t="shared" si="18"/>
        <v>175404</v>
      </c>
      <c r="L83" s="20">
        <f t="shared" si="19"/>
        <v>877020</v>
      </c>
      <c r="M83" s="18"/>
    </row>
    <row r="84" spans="1:13" x14ac:dyDescent="0.3">
      <c r="A84" s="18" t="s">
        <v>1095</v>
      </c>
      <c r="B84" s="18" t="s">
        <v>1045</v>
      </c>
      <c r="C84" s="19">
        <v>160</v>
      </c>
      <c r="D84" s="18" t="s">
        <v>193</v>
      </c>
      <c r="E84" s="19">
        <v>0</v>
      </c>
      <c r="F84" s="20">
        <f t="shared" si="15"/>
        <v>0</v>
      </c>
      <c r="G84" s="19">
        <v>0</v>
      </c>
      <c r="H84" s="20">
        <f t="shared" si="16"/>
        <v>0</v>
      </c>
      <c r="I84" s="19">
        <v>4093</v>
      </c>
      <c r="J84" s="20">
        <f t="shared" si="17"/>
        <v>654880</v>
      </c>
      <c r="K84" s="20">
        <f t="shared" si="18"/>
        <v>4093</v>
      </c>
      <c r="L84" s="20">
        <f t="shared" si="19"/>
        <v>654880</v>
      </c>
      <c r="M84" s="18"/>
    </row>
    <row r="85" spans="1:13" x14ac:dyDescent="0.3">
      <c r="A85" s="18" t="s">
        <v>1096</v>
      </c>
      <c r="B85" s="18" t="s">
        <v>1045</v>
      </c>
      <c r="C85" s="19">
        <v>800</v>
      </c>
      <c r="D85" s="18" t="s">
        <v>193</v>
      </c>
      <c r="E85" s="19">
        <v>0</v>
      </c>
      <c r="F85" s="20">
        <f t="shared" si="15"/>
        <v>0</v>
      </c>
      <c r="G85" s="19">
        <v>0</v>
      </c>
      <c r="H85" s="20">
        <f t="shared" si="16"/>
        <v>0</v>
      </c>
      <c r="I85" s="19">
        <v>4093</v>
      </c>
      <c r="J85" s="20">
        <f t="shared" si="17"/>
        <v>3274400</v>
      </c>
      <c r="K85" s="20">
        <f t="shared" si="18"/>
        <v>4093</v>
      </c>
      <c r="L85" s="20">
        <f t="shared" si="19"/>
        <v>3274400</v>
      </c>
      <c r="M85" s="18"/>
    </row>
    <row r="86" spans="1:13" x14ac:dyDescent="0.3">
      <c r="A86" s="18" t="s">
        <v>1097</v>
      </c>
      <c r="B86" s="18" t="s">
        <v>1045</v>
      </c>
      <c r="C86" s="19">
        <v>330</v>
      </c>
      <c r="D86" s="18" t="s">
        <v>193</v>
      </c>
      <c r="E86" s="19">
        <v>0</v>
      </c>
      <c r="F86" s="20">
        <f t="shared" si="15"/>
        <v>0</v>
      </c>
      <c r="G86" s="19">
        <v>0</v>
      </c>
      <c r="H86" s="20">
        <f t="shared" si="16"/>
        <v>0</v>
      </c>
      <c r="I86" s="19">
        <v>4093</v>
      </c>
      <c r="J86" s="20">
        <f t="shared" si="17"/>
        <v>1350690</v>
      </c>
      <c r="K86" s="20">
        <f t="shared" si="18"/>
        <v>4093</v>
      </c>
      <c r="L86" s="20">
        <f t="shared" si="19"/>
        <v>1350690</v>
      </c>
      <c r="M86" s="18"/>
    </row>
    <row r="87" spans="1:13" x14ac:dyDescent="0.3">
      <c r="A87" s="18" t="s">
        <v>1098</v>
      </c>
      <c r="B87" s="18" t="s">
        <v>1099</v>
      </c>
      <c r="C87" s="19">
        <v>720</v>
      </c>
      <c r="D87" s="18" t="s">
        <v>193</v>
      </c>
      <c r="E87" s="19">
        <v>0</v>
      </c>
      <c r="F87" s="20">
        <f t="shared" si="15"/>
        <v>0</v>
      </c>
      <c r="G87" s="19">
        <v>0</v>
      </c>
      <c r="H87" s="20">
        <f t="shared" si="16"/>
        <v>0</v>
      </c>
      <c r="I87" s="19">
        <v>4093</v>
      </c>
      <c r="J87" s="20">
        <f t="shared" si="17"/>
        <v>2946960</v>
      </c>
      <c r="K87" s="20">
        <f t="shared" si="18"/>
        <v>4093</v>
      </c>
      <c r="L87" s="20">
        <f t="shared" si="19"/>
        <v>2946960</v>
      </c>
      <c r="M87" s="18"/>
    </row>
    <row r="88" spans="1:13" x14ac:dyDescent="0.3">
      <c r="A88" s="18" t="s">
        <v>1100</v>
      </c>
      <c r="B88" s="18" t="s">
        <v>1048</v>
      </c>
      <c r="C88" s="19">
        <v>1100</v>
      </c>
      <c r="D88" s="18" t="s">
        <v>950</v>
      </c>
      <c r="E88" s="19">
        <v>0</v>
      </c>
      <c r="F88" s="20">
        <f t="shared" si="15"/>
        <v>0</v>
      </c>
      <c r="G88" s="19">
        <v>0</v>
      </c>
      <c r="H88" s="20">
        <f t="shared" si="16"/>
        <v>0</v>
      </c>
      <c r="I88" s="19">
        <v>19880</v>
      </c>
      <c r="J88" s="20">
        <f t="shared" si="17"/>
        <v>21868000</v>
      </c>
      <c r="K88" s="20">
        <f t="shared" si="18"/>
        <v>19880</v>
      </c>
      <c r="L88" s="20">
        <f t="shared" si="19"/>
        <v>21868000</v>
      </c>
      <c r="M88" s="18"/>
    </row>
    <row r="89" spans="1:13" x14ac:dyDescent="0.3">
      <c r="A89" s="18" t="s">
        <v>1049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x14ac:dyDescent="0.3">
      <c r="A90" s="18" t="s">
        <v>1101</v>
      </c>
      <c r="B90" s="18" t="s">
        <v>1102</v>
      </c>
      <c r="C90" s="19">
        <v>1</v>
      </c>
      <c r="D90" s="18" t="s">
        <v>1052</v>
      </c>
      <c r="E90" s="19">
        <v>0</v>
      </c>
      <c r="F90" s="20">
        <f t="shared" ref="F90:F97" si="20">E90*C90</f>
        <v>0</v>
      </c>
      <c r="G90" s="19">
        <v>0</v>
      </c>
      <c r="H90" s="20">
        <f t="shared" ref="H90:H97" si="21">G90*C90</f>
        <v>0</v>
      </c>
      <c r="I90" s="19">
        <v>4092763</v>
      </c>
      <c r="J90" s="20">
        <f t="shared" ref="J90:J97" si="22">I90*C90</f>
        <v>4092763</v>
      </c>
      <c r="K90" s="20">
        <f t="shared" ref="K90:L97" si="23">E90+G90+I90</f>
        <v>4092763</v>
      </c>
      <c r="L90" s="20">
        <f t="shared" si="23"/>
        <v>4092763</v>
      </c>
      <c r="M90" s="18"/>
    </row>
    <row r="91" spans="1:13" x14ac:dyDescent="0.3">
      <c r="A91" s="18" t="s">
        <v>1103</v>
      </c>
      <c r="B91" s="18" t="s">
        <v>1104</v>
      </c>
      <c r="C91" s="19">
        <v>1</v>
      </c>
      <c r="D91" s="18" t="s">
        <v>1052</v>
      </c>
      <c r="E91" s="19">
        <v>0</v>
      </c>
      <c r="F91" s="20">
        <f t="shared" si="20"/>
        <v>0</v>
      </c>
      <c r="G91" s="19">
        <v>0</v>
      </c>
      <c r="H91" s="20">
        <f t="shared" si="21"/>
        <v>0</v>
      </c>
      <c r="I91" s="19">
        <v>4677443</v>
      </c>
      <c r="J91" s="20">
        <f t="shared" si="22"/>
        <v>4677443</v>
      </c>
      <c r="K91" s="20">
        <f t="shared" si="23"/>
        <v>4677443</v>
      </c>
      <c r="L91" s="20">
        <f t="shared" si="23"/>
        <v>4677443</v>
      </c>
      <c r="M91" s="18"/>
    </row>
    <row r="92" spans="1:13" x14ac:dyDescent="0.3">
      <c r="A92" s="18" t="s">
        <v>1105</v>
      </c>
      <c r="B92" s="18" t="s">
        <v>1106</v>
      </c>
      <c r="C92" s="19">
        <v>1</v>
      </c>
      <c r="D92" s="18" t="s">
        <v>1052</v>
      </c>
      <c r="E92" s="19">
        <v>0</v>
      </c>
      <c r="F92" s="20">
        <f t="shared" si="20"/>
        <v>0</v>
      </c>
      <c r="G92" s="19">
        <v>0</v>
      </c>
      <c r="H92" s="20">
        <f t="shared" si="21"/>
        <v>0</v>
      </c>
      <c r="I92" s="19">
        <v>4092763</v>
      </c>
      <c r="J92" s="20">
        <f t="shared" si="22"/>
        <v>4092763</v>
      </c>
      <c r="K92" s="20">
        <f t="shared" si="23"/>
        <v>4092763</v>
      </c>
      <c r="L92" s="20">
        <f t="shared" si="23"/>
        <v>4092763</v>
      </c>
      <c r="M92" s="18"/>
    </row>
    <row r="93" spans="1:13" x14ac:dyDescent="0.3">
      <c r="A93" s="18" t="s">
        <v>1107</v>
      </c>
      <c r="B93" s="18" t="s">
        <v>1108</v>
      </c>
      <c r="C93" s="19">
        <v>1</v>
      </c>
      <c r="D93" s="18" t="s">
        <v>204</v>
      </c>
      <c r="E93" s="19">
        <v>0</v>
      </c>
      <c r="F93" s="20">
        <f t="shared" si="20"/>
        <v>0</v>
      </c>
      <c r="G93" s="19">
        <v>0</v>
      </c>
      <c r="H93" s="20">
        <f t="shared" si="21"/>
        <v>0</v>
      </c>
      <c r="I93" s="19">
        <v>14617010</v>
      </c>
      <c r="J93" s="20">
        <f t="shared" si="22"/>
        <v>14617010</v>
      </c>
      <c r="K93" s="20">
        <f t="shared" si="23"/>
        <v>14617010</v>
      </c>
      <c r="L93" s="20">
        <f t="shared" si="23"/>
        <v>14617010</v>
      </c>
      <c r="M93" s="18"/>
    </row>
    <row r="94" spans="1:13" x14ac:dyDescent="0.3">
      <c r="A94" s="18" t="s">
        <v>1109</v>
      </c>
      <c r="B94" s="18" t="s">
        <v>1110</v>
      </c>
      <c r="C94" s="19">
        <v>3</v>
      </c>
      <c r="D94" s="18" t="s">
        <v>1052</v>
      </c>
      <c r="E94" s="19">
        <v>0</v>
      </c>
      <c r="F94" s="20">
        <f t="shared" si="20"/>
        <v>0</v>
      </c>
      <c r="G94" s="19">
        <v>0</v>
      </c>
      <c r="H94" s="20">
        <f t="shared" si="21"/>
        <v>0</v>
      </c>
      <c r="I94" s="19">
        <v>1578637</v>
      </c>
      <c r="J94" s="20">
        <f t="shared" si="22"/>
        <v>4735911</v>
      </c>
      <c r="K94" s="20">
        <f t="shared" si="23"/>
        <v>1578637</v>
      </c>
      <c r="L94" s="20">
        <f t="shared" si="23"/>
        <v>4735911</v>
      </c>
      <c r="M94" s="18"/>
    </row>
    <row r="95" spans="1:13" x14ac:dyDescent="0.3">
      <c r="A95" s="18" t="s">
        <v>1061</v>
      </c>
      <c r="B95" s="18" t="s">
        <v>1062</v>
      </c>
      <c r="C95" s="19">
        <v>4</v>
      </c>
      <c r="D95" s="18" t="s">
        <v>1052</v>
      </c>
      <c r="E95" s="19">
        <v>0</v>
      </c>
      <c r="F95" s="20">
        <f t="shared" si="20"/>
        <v>0</v>
      </c>
      <c r="G95" s="19">
        <v>0</v>
      </c>
      <c r="H95" s="20">
        <f t="shared" si="21"/>
        <v>0</v>
      </c>
      <c r="I95" s="19">
        <v>1578637</v>
      </c>
      <c r="J95" s="20">
        <f t="shared" si="22"/>
        <v>6314548</v>
      </c>
      <c r="K95" s="20">
        <f t="shared" si="23"/>
        <v>1578637</v>
      </c>
      <c r="L95" s="20">
        <f t="shared" si="23"/>
        <v>6314548</v>
      </c>
      <c r="M95" s="18"/>
    </row>
    <row r="96" spans="1:13" x14ac:dyDescent="0.3">
      <c r="A96" s="18" t="s">
        <v>1063</v>
      </c>
      <c r="B96" s="18" t="s">
        <v>1064</v>
      </c>
      <c r="C96" s="19">
        <v>3</v>
      </c>
      <c r="D96" s="18" t="s">
        <v>1052</v>
      </c>
      <c r="E96" s="19">
        <v>0</v>
      </c>
      <c r="F96" s="20">
        <f t="shared" si="20"/>
        <v>0</v>
      </c>
      <c r="G96" s="19">
        <v>0</v>
      </c>
      <c r="H96" s="20">
        <f t="shared" si="21"/>
        <v>0</v>
      </c>
      <c r="I96" s="19">
        <v>2455657</v>
      </c>
      <c r="J96" s="20">
        <f t="shared" si="22"/>
        <v>7366971</v>
      </c>
      <c r="K96" s="20">
        <f t="shared" si="23"/>
        <v>2455657</v>
      </c>
      <c r="L96" s="20">
        <f t="shared" si="23"/>
        <v>7366971</v>
      </c>
      <c r="M96" s="18"/>
    </row>
    <row r="97" spans="1:13" x14ac:dyDescent="0.3">
      <c r="A97" s="18" t="s">
        <v>1111</v>
      </c>
      <c r="B97" s="18" t="s">
        <v>1064</v>
      </c>
      <c r="C97" s="19">
        <v>23</v>
      </c>
      <c r="D97" s="18" t="s">
        <v>1112</v>
      </c>
      <c r="E97" s="19">
        <v>0</v>
      </c>
      <c r="F97" s="20">
        <f t="shared" si="20"/>
        <v>0</v>
      </c>
      <c r="G97" s="19">
        <v>0</v>
      </c>
      <c r="H97" s="20">
        <f t="shared" si="21"/>
        <v>0</v>
      </c>
      <c r="I97" s="19">
        <v>55545</v>
      </c>
      <c r="J97" s="20">
        <f t="shared" si="22"/>
        <v>1277535</v>
      </c>
      <c r="K97" s="20">
        <f t="shared" si="23"/>
        <v>55545</v>
      </c>
      <c r="L97" s="20">
        <f t="shared" si="23"/>
        <v>1277535</v>
      </c>
      <c r="M97" s="18"/>
    </row>
    <row r="98" spans="1:13" x14ac:dyDescent="0.3">
      <c r="A98" s="18" t="s">
        <v>1065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1:13" x14ac:dyDescent="0.3">
      <c r="A99" s="18" t="s">
        <v>1066</v>
      </c>
      <c r="B99" s="18" t="s">
        <v>1067</v>
      </c>
      <c r="C99" s="19">
        <v>122</v>
      </c>
      <c r="D99" s="18" t="s">
        <v>950</v>
      </c>
      <c r="E99" s="19">
        <v>0</v>
      </c>
      <c r="F99" s="20">
        <f t="shared" ref="F99:F104" si="24">E99*C99</f>
        <v>0</v>
      </c>
      <c r="G99" s="19">
        <v>0</v>
      </c>
      <c r="H99" s="20">
        <f t="shared" ref="H99:H104" si="25">G99*C99</f>
        <v>0</v>
      </c>
      <c r="I99" s="19">
        <v>22803</v>
      </c>
      <c r="J99" s="20">
        <f t="shared" ref="J99:J104" si="26">I99*C99</f>
        <v>2781966</v>
      </c>
      <c r="K99" s="20">
        <f t="shared" ref="K99:L104" si="27">E99+G99+I99</f>
        <v>22803</v>
      </c>
      <c r="L99" s="20">
        <f t="shared" si="27"/>
        <v>2781966</v>
      </c>
      <c r="M99" s="18"/>
    </row>
    <row r="100" spans="1:13" x14ac:dyDescent="0.3">
      <c r="A100" s="18" t="s">
        <v>1068</v>
      </c>
      <c r="B100" s="18" t="s">
        <v>1069</v>
      </c>
      <c r="C100" s="19">
        <v>21</v>
      </c>
      <c r="D100" s="18" t="s">
        <v>950</v>
      </c>
      <c r="E100" s="19">
        <v>0</v>
      </c>
      <c r="F100" s="20">
        <f t="shared" si="24"/>
        <v>0</v>
      </c>
      <c r="G100" s="19">
        <v>0</v>
      </c>
      <c r="H100" s="20">
        <f t="shared" si="25"/>
        <v>0</v>
      </c>
      <c r="I100" s="19">
        <v>34496</v>
      </c>
      <c r="J100" s="20">
        <f t="shared" si="26"/>
        <v>724416</v>
      </c>
      <c r="K100" s="20">
        <f t="shared" si="27"/>
        <v>34496</v>
      </c>
      <c r="L100" s="20">
        <f t="shared" si="27"/>
        <v>724416</v>
      </c>
      <c r="M100" s="18"/>
    </row>
    <row r="101" spans="1:13" x14ac:dyDescent="0.3">
      <c r="A101" s="18" t="s">
        <v>1070</v>
      </c>
      <c r="B101" s="18" t="s">
        <v>1071</v>
      </c>
      <c r="C101" s="19">
        <v>169</v>
      </c>
      <c r="D101" s="18" t="s">
        <v>950</v>
      </c>
      <c r="E101" s="19">
        <v>0</v>
      </c>
      <c r="F101" s="20">
        <f t="shared" si="24"/>
        <v>0</v>
      </c>
      <c r="G101" s="19">
        <v>0</v>
      </c>
      <c r="H101" s="20">
        <f t="shared" si="25"/>
        <v>0</v>
      </c>
      <c r="I101" s="19">
        <v>49114</v>
      </c>
      <c r="J101" s="20">
        <f t="shared" si="26"/>
        <v>8300266</v>
      </c>
      <c r="K101" s="20">
        <f t="shared" si="27"/>
        <v>49114</v>
      </c>
      <c r="L101" s="20">
        <f t="shared" si="27"/>
        <v>8300266</v>
      </c>
      <c r="M101" s="18"/>
    </row>
    <row r="102" spans="1:13" x14ac:dyDescent="0.3">
      <c r="A102" s="18" t="s">
        <v>1072</v>
      </c>
      <c r="B102" s="18" t="s">
        <v>1073</v>
      </c>
      <c r="C102" s="19">
        <v>225</v>
      </c>
      <c r="D102" s="18" t="s">
        <v>234</v>
      </c>
      <c r="E102" s="19">
        <v>0</v>
      </c>
      <c r="F102" s="20">
        <f t="shared" si="24"/>
        <v>0</v>
      </c>
      <c r="G102" s="19">
        <v>0</v>
      </c>
      <c r="H102" s="20">
        <f t="shared" si="25"/>
        <v>0</v>
      </c>
      <c r="I102" s="19">
        <v>29234</v>
      </c>
      <c r="J102" s="20">
        <f t="shared" si="26"/>
        <v>6577650</v>
      </c>
      <c r="K102" s="20">
        <f t="shared" si="27"/>
        <v>29234</v>
      </c>
      <c r="L102" s="20">
        <f t="shared" si="27"/>
        <v>6577650</v>
      </c>
      <c r="M102" s="18"/>
    </row>
    <row r="103" spans="1:13" x14ac:dyDescent="0.3">
      <c r="A103" s="18" t="s">
        <v>1113</v>
      </c>
      <c r="B103" s="18" t="s">
        <v>1077</v>
      </c>
      <c r="C103" s="19">
        <v>243</v>
      </c>
      <c r="D103" s="18" t="s">
        <v>234</v>
      </c>
      <c r="E103" s="19">
        <v>0</v>
      </c>
      <c r="F103" s="20">
        <f t="shared" si="24"/>
        <v>0</v>
      </c>
      <c r="G103" s="19">
        <v>0</v>
      </c>
      <c r="H103" s="20">
        <f t="shared" si="25"/>
        <v>0</v>
      </c>
      <c r="I103" s="19">
        <v>22217</v>
      </c>
      <c r="J103" s="20">
        <f t="shared" si="26"/>
        <v>5398731</v>
      </c>
      <c r="K103" s="20">
        <f t="shared" si="27"/>
        <v>22217</v>
      </c>
      <c r="L103" s="20">
        <f t="shared" si="27"/>
        <v>5398731</v>
      </c>
      <c r="M103" s="18"/>
    </row>
    <row r="104" spans="1:13" x14ac:dyDescent="0.3">
      <c r="A104" s="18" t="s">
        <v>1114</v>
      </c>
      <c r="B104" s="18" t="s">
        <v>1079</v>
      </c>
      <c r="C104" s="19">
        <v>29</v>
      </c>
      <c r="D104" s="18" t="s">
        <v>234</v>
      </c>
      <c r="E104" s="19">
        <v>0</v>
      </c>
      <c r="F104" s="20">
        <f t="shared" si="24"/>
        <v>0</v>
      </c>
      <c r="G104" s="19">
        <v>0</v>
      </c>
      <c r="H104" s="20">
        <f t="shared" si="25"/>
        <v>0</v>
      </c>
      <c r="I104" s="19">
        <v>19880</v>
      </c>
      <c r="J104" s="20">
        <f t="shared" si="26"/>
        <v>576520</v>
      </c>
      <c r="K104" s="20">
        <f t="shared" si="27"/>
        <v>19880</v>
      </c>
      <c r="L104" s="20">
        <f t="shared" si="27"/>
        <v>576520</v>
      </c>
      <c r="M104" s="18"/>
    </row>
    <row r="105" spans="1:13" x14ac:dyDescent="0.3">
      <c r="A105" s="18" t="s">
        <v>1080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3" x14ac:dyDescent="0.3">
      <c r="A106" s="18" t="s">
        <v>1081</v>
      </c>
      <c r="B106" s="18" t="s">
        <v>1082</v>
      </c>
      <c r="C106" s="19">
        <v>8</v>
      </c>
      <c r="D106" s="18" t="s">
        <v>1052</v>
      </c>
      <c r="E106" s="19">
        <v>0</v>
      </c>
      <c r="F106" s="20">
        <f>E106*C106</f>
        <v>0</v>
      </c>
      <c r="G106" s="19">
        <v>0</v>
      </c>
      <c r="H106" s="20">
        <f>G106*C106</f>
        <v>0</v>
      </c>
      <c r="I106" s="19">
        <v>409276</v>
      </c>
      <c r="J106" s="20">
        <f>I106*C106</f>
        <v>3274208</v>
      </c>
      <c r="K106" s="20">
        <f t="shared" ref="K106:L109" si="28">E106+G106+I106</f>
        <v>409276</v>
      </c>
      <c r="L106" s="20">
        <f t="shared" si="28"/>
        <v>3274208</v>
      </c>
      <c r="M106" s="18"/>
    </row>
    <row r="107" spans="1:13" x14ac:dyDescent="0.3">
      <c r="A107" s="18" t="s">
        <v>1083</v>
      </c>
      <c r="B107" s="18" t="s">
        <v>1084</v>
      </c>
      <c r="C107" s="19">
        <v>20</v>
      </c>
      <c r="D107" s="18" t="s">
        <v>1085</v>
      </c>
      <c r="E107" s="19">
        <v>0</v>
      </c>
      <c r="F107" s="20">
        <f>E107*C107</f>
        <v>0</v>
      </c>
      <c r="G107" s="19">
        <v>0</v>
      </c>
      <c r="H107" s="20">
        <f>G107*C107</f>
        <v>0</v>
      </c>
      <c r="I107" s="19">
        <v>18710</v>
      </c>
      <c r="J107" s="20">
        <f>I107*C107</f>
        <v>374200</v>
      </c>
      <c r="K107" s="20">
        <f t="shared" si="28"/>
        <v>18710</v>
      </c>
      <c r="L107" s="20">
        <f t="shared" si="28"/>
        <v>374200</v>
      </c>
      <c r="M107" s="18"/>
    </row>
    <row r="108" spans="1:13" x14ac:dyDescent="0.3">
      <c r="A108" s="18" t="s">
        <v>1086</v>
      </c>
      <c r="B108" s="18" t="s">
        <v>1087</v>
      </c>
      <c r="C108" s="19">
        <v>82</v>
      </c>
      <c r="D108" s="18" t="s">
        <v>1085</v>
      </c>
      <c r="E108" s="19">
        <v>0</v>
      </c>
      <c r="F108" s="20">
        <f>E108*C108</f>
        <v>0</v>
      </c>
      <c r="G108" s="19">
        <v>0</v>
      </c>
      <c r="H108" s="20">
        <f>G108*C108</f>
        <v>0</v>
      </c>
      <c r="I108" s="19">
        <v>15202</v>
      </c>
      <c r="J108" s="20">
        <f>I108*C108</f>
        <v>1246564</v>
      </c>
      <c r="K108" s="20">
        <f t="shared" si="28"/>
        <v>15202</v>
      </c>
      <c r="L108" s="20">
        <f t="shared" si="28"/>
        <v>1246564</v>
      </c>
      <c r="M108" s="18"/>
    </row>
    <row r="109" spans="1:13" x14ac:dyDescent="0.3">
      <c r="A109" s="18" t="s">
        <v>1088</v>
      </c>
      <c r="B109" s="18" t="s">
        <v>1084</v>
      </c>
      <c r="C109" s="19">
        <v>88</v>
      </c>
      <c r="D109" s="18" t="s">
        <v>234</v>
      </c>
      <c r="E109" s="19">
        <v>0</v>
      </c>
      <c r="F109" s="20">
        <f>E109*C109</f>
        <v>0</v>
      </c>
      <c r="G109" s="19">
        <v>0</v>
      </c>
      <c r="H109" s="20">
        <f>G109*C109</f>
        <v>0</v>
      </c>
      <c r="I109" s="19">
        <v>40927</v>
      </c>
      <c r="J109" s="20">
        <f>I109*C109</f>
        <v>3601576</v>
      </c>
      <c r="K109" s="20">
        <f t="shared" si="28"/>
        <v>40927</v>
      </c>
      <c r="L109" s="20">
        <f t="shared" si="28"/>
        <v>3601576</v>
      </c>
      <c r="M109" s="18"/>
    </row>
    <row r="110" spans="1:13" x14ac:dyDescent="0.3">
      <c r="A110" s="18" t="s">
        <v>1115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 x14ac:dyDescent="0.3">
      <c r="A111" s="18" t="s">
        <v>1028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1:13" x14ac:dyDescent="0.3">
      <c r="A112" s="18" t="s">
        <v>1116</v>
      </c>
      <c r="B112" s="18" t="s">
        <v>1117</v>
      </c>
      <c r="C112" s="19">
        <v>55</v>
      </c>
      <c r="D112" s="18" t="s">
        <v>193</v>
      </c>
      <c r="E112" s="19">
        <v>152126</v>
      </c>
      <c r="F112" s="20">
        <f t="shared" ref="F112:F118" si="29">E112*C112</f>
        <v>8366930</v>
      </c>
      <c r="G112" s="19">
        <v>141413</v>
      </c>
      <c r="H112" s="20">
        <f t="shared" ref="H112:H118" si="30">G112*C112</f>
        <v>7777715</v>
      </c>
      <c r="I112" s="19">
        <v>24556</v>
      </c>
      <c r="J112" s="20">
        <f t="shared" ref="J112:J118" si="31">I112*C112</f>
        <v>1350580</v>
      </c>
      <c r="K112" s="20">
        <f t="shared" ref="K112:L118" si="32">E112+G112+I112</f>
        <v>318095</v>
      </c>
      <c r="L112" s="20">
        <f t="shared" si="32"/>
        <v>17495225</v>
      </c>
      <c r="M112" s="18"/>
    </row>
    <row r="113" spans="1:13" x14ac:dyDescent="0.3">
      <c r="A113" s="18" t="s">
        <v>1118</v>
      </c>
      <c r="B113" s="18" t="s">
        <v>1119</v>
      </c>
      <c r="C113" s="19">
        <v>5</v>
      </c>
      <c r="D113" s="18" t="s">
        <v>193</v>
      </c>
      <c r="E113" s="19">
        <v>257114</v>
      </c>
      <c r="F113" s="20">
        <f t="shared" si="29"/>
        <v>1285570</v>
      </c>
      <c r="G113" s="19">
        <v>267827</v>
      </c>
      <c r="H113" s="20">
        <f t="shared" si="30"/>
        <v>1339135</v>
      </c>
      <c r="I113" s="19">
        <v>70162</v>
      </c>
      <c r="J113" s="20">
        <f t="shared" si="31"/>
        <v>350810</v>
      </c>
      <c r="K113" s="20">
        <f t="shared" si="32"/>
        <v>595103</v>
      </c>
      <c r="L113" s="20">
        <f t="shared" si="32"/>
        <v>2975515</v>
      </c>
      <c r="M113" s="18"/>
    </row>
    <row r="114" spans="1:13" x14ac:dyDescent="0.3">
      <c r="A114" s="18" t="s">
        <v>1120</v>
      </c>
      <c r="B114" s="18" t="s">
        <v>1032</v>
      </c>
      <c r="C114" s="19">
        <v>45</v>
      </c>
      <c r="D114" s="18" t="s">
        <v>193</v>
      </c>
      <c r="E114" s="19">
        <v>0</v>
      </c>
      <c r="F114" s="20">
        <f t="shared" si="29"/>
        <v>0</v>
      </c>
      <c r="G114" s="19">
        <v>0</v>
      </c>
      <c r="H114" s="20">
        <f t="shared" si="30"/>
        <v>0</v>
      </c>
      <c r="I114" s="19">
        <v>993957</v>
      </c>
      <c r="J114" s="20">
        <f t="shared" si="31"/>
        <v>44728065</v>
      </c>
      <c r="K114" s="20">
        <f t="shared" si="32"/>
        <v>993957</v>
      </c>
      <c r="L114" s="20">
        <f t="shared" si="32"/>
        <v>44728065</v>
      </c>
      <c r="M114" s="18"/>
    </row>
    <row r="115" spans="1:13" x14ac:dyDescent="0.3">
      <c r="A115" s="18" t="s">
        <v>1121</v>
      </c>
      <c r="B115" s="18" t="s">
        <v>1043</v>
      </c>
      <c r="C115" s="19">
        <v>35</v>
      </c>
      <c r="D115" s="18" t="s">
        <v>193</v>
      </c>
      <c r="E115" s="19">
        <v>0</v>
      </c>
      <c r="F115" s="20">
        <f t="shared" si="29"/>
        <v>0</v>
      </c>
      <c r="G115" s="19">
        <v>0</v>
      </c>
      <c r="H115" s="20">
        <f t="shared" si="30"/>
        <v>0</v>
      </c>
      <c r="I115" s="19">
        <v>175404</v>
      </c>
      <c r="J115" s="20">
        <f t="shared" si="31"/>
        <v>6139140</v>
      </c>
      <c r="K115" s="20">
        <f t="shared" si="32"/>
        <v>175404</v>
      </c>
      <c r="L115" s="20">
        <f t="shared" si="32"/>
        <v>6139140</v>
      </c>
      <c r="M115" s="18"/>
    </row>
    <row r="116" spans="1:13" x14ac:dyDescent="0.3">
      <c r="A116" s="18" t="s">
        <v>1122</v>
      </c>
      <c r="B116" s="18" t="s">
        <v>1040</v>
      </c>
      <c r="C116" s="19">
        <v>35</v>
      </c>
      <c r="D116" s="18" t="s">
        <v>193</v>
      </c>
      <c r="E116" s="19">
        <v>0</v>
      </c>
      <c r="F116" s="20">
        <f t="shared" si="29"/>
        <v>0</v>
      </c>
      <c r="G116" s="19">
        <v>0</v>
      </c>
      <c r="H116" s="20">
        <f t="shared" si="30"/>
        <v>0</v>
      </c>
      <c r="I116" s="19">
        <v>175404</v>
      </c>
      <c r="J116" s="20">
        <f t="shared" si="31"/>
        <v>6139140</v>
      </c>
      <c r="K116" s="20">
        <f t="shared" si="32"/>
        <v>175404</v>
      </c>
      <c r="L116" s="20">
        <f t="shared" si="32"/>
        <v>6139140</v>
      </c>
      <c r="M116" s="18"/>
    </row>
    <row r="117" spans="1:13" x14ac:dyDescent="0.3">
      <c r="A117" s="18" t="s">
        <v>1123</v>
      </c>
      <c r="B117" s="18" t="s">
        <v>1045</v>
      </c>
      <c r="C117" s="19">
        <v>1470</v>
      </c>
      <c r="D117" s="18" t="s">
        <v>193</v>
      </c>
      <c r="E117" s="19">
        <v>0</v>
      </c>
      <c r="F117" s="20">
        <f t="shared" si="29"/>
        <v>0</v>
      </c>
      <c r="G117" s="19">
        <v>0</v>
      </c>
      <c r="H117" s="20">
        <f t="shared" si="30"/>
        <v>0</v>
      </c>
      <c r="I117" s="19">
        <v>4093</v>
      </c>
      <c r="J117" s="20">
        <f t="shared" si="31"/>
        <v>6016710</v>
      </c>
      <c r="K117" s="20">
        <f t="shared" si="32"/>
        <v>4093</v>
      </c>
      <c r="L117" s="20">
        <f t="shared" si="32"/>
        <v>6016710</v>
      </c>
      <c r="M117" s="18"/>
    </row>
    <row r="118" spans="1:13" x14ac:dyDescent="0.3">
      <c r="A118" s="18" t="s">
        <v>1124</v>
      </c>
      <c r="B118" s="18" t="s">
        <v>116</v>
      </c>
      <c r="C118" s="19">
        <v>2900</v>
      </c>
      <c r="D118" s="18" t="s">
        <v>97</v>
      </c>
      <c r="E118" s="19">
        <v>0</v>
      </c>
      <c r="F118" s="20">
        <f t="shared" si="29"/>
        <v>0</v>
      </c>
      <c r="G118" s="19">
        <v>0</v>
      </c>
      <c r="H118" s="20">
        <f t="shared" si="30"/>
        <v>0</v>
      </c>
      <c r="I118" s="19">
        <v>8770</v>
      </c>
      <c r="J118" s="20">
        <f t="shared" si="31"/>
        <v>25433000</v>
      </c>
      <c r="K118" s="20">
        <f t="shared" si="32"/>
        <v>8770</v>
      </c>
      <c r="L118" s="20">
        <f t="shared" si="32"/>
        <v>25433000</v>
      </c>
      <c r="M118" s="18"/>
    </row>
    <row r="119" spans="1:13" x14ac:dyDescent="0.3">
      <c r="A119" s="18" t="s">
        <v>1125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x14ac:dyDescent="0.3">
      <c r="A120" s="18" t="s">
        <v>1028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1:13" x14ac:dyDescent="0.3">
      <c r="A121" s="18" t="s">
        <v>1116</v>
      </c>
      <c r="B121" s="18" t="s">
        <v>1126</v>
      </c>
      <c r="C121" s="19">
        <v>300</v>
      </c>
      <c r="D121" s="18" t="s">
        <v>193</v>
      </c>
      <c r="E121" s="19">
        <v>152126</v>
      </c>
      <c r="F121" s="20">
        <f t="shared" ref="F121:F128" si="33">E121*C121</f>
        <v>45637800</v>
      </c>
      <c r="G121" s="19">
        <v>141413</v>
      </c>
      <c r="H121" s="20">
        <f t="shared" ref="H121:H128" si="34">G121*C121</f>
        <v>42423900</v>
      </c>
      <c r="I121" s="19">
        <v>24556</v>
      </c>
      <c r="J121" s="20">
        <f t="shared" ref="J121:J128" si="35">I121*C121</f>
        <v>7366800</v>
      </c>
      <c r="K121" s="20">
        <f t="shared" ref="K121:L128" si="36">E121+G121+I121</f>
        <v>318095</v>
      </c>
      <c r="L121" s="20">
        <f t="shared" si="36"/>
        <v>95428500</v>
      </c>
      <c r="M121" s="18"/>
    </row>
    <row r="122" spans="1:13" x14ac:dyDescent="0.3">
      <c r="A122" s="18" t="s">
        <v>1127</v>
      </c>
      <c r="B122" s="18" t="s">
        <v>1119</v>
      </c>
      <c r="C122" s="19">
        <v>26</v>
      </c>
      <c r="D122" s="18" t="s">
        <v>193</v>
      </c>
      <c r="E122" s="19">
        <v>152126</v>
      </c>
      <c r="F122" s="20">
        <f t="shared" si="33"/>
        <v>3955276</v>
      </c>
      <c r="G122" s="19">
        <v>141413</v>
      </c>
      <c r="H122" s="20">
        <f t="shared" si="34"/>
        <v>3676738</v>
      </c>
      <c r="I122" s="19">
        <v>24556</v>
      </c>
      <c r="J122" s="20">
        <f t="shared" si="35"/>
        <v>638456</v>
      </c>
      <c r="K122" s="20">
        <f t="shared" si="36"/>
        <v>318095</v>
      </c>
      <c r="L122" s="20">
        <f t="shared" si="36"/>
        <v>8270470</v>
      </c>
      <c r="M122" s="18"/>
    </row>
    <row r="123" spans="1:13" x14ac:dyDescent="0.3">
      <c r="A123" s="18" t="s">
        <v>1128</v>
      </c>
      <c r="B123" s="18" t="s">
        <v>1129</v>
      </c>
      <c r="C123" s="19">
        <v>5</v>
      </c>
      <c r="D123" s="18" t="s">
        <v>193</v>
      </c>
      <c r="E123" s="19">
        <v>257114</v>
      </c>
      <c r="F123" s="20">
        <f t="shared" si="33"/>
        <v>1285570</v>
      </c>
      <c r="G123" s="19">
        <v>267827</v>
      </c>
      <c r="H123" s="20">
        <f t="shared" si="34"/>
        <v>1339135</v>
      </c>
      <c r="I123" s="19">
        <v>70162</v>
      </c>
      <c r="J123" s="20">
        <f t="shared" si="35"/>
        <v>350810</v>
      </c>
      <c r="K123" s="20">
        <f t="shared" si="36"/>
        <v>595103</v>
      </c>
      <c r="L123" s="20">
        <f t="shared" si="36"/>
        <v>2975515</v>
      </c>
      <c r="M123" s="18"/>
    </row>
    <row r="124" spans="1:13" x14ac:dyDescent="0.3">
      <c r="A124" s="18" t="s">
        <v>1130</v>
      </c>
      <c r="B124" s="18" t="s">
        <v>1032</v>
      </c>
      <c r="C124" s="19">
        <v>141</v>
      </c>
      <c r="D124" s="18" t="s">
        <v>193</v>
      </c>
      <c r="E124" s="19">
        <v>0</v>
      </c>
      <c r="F124" s="20">
        <f t="shared" si="33"/>
        <v>0</v>
      </c>
      <c r="G124" s="19">
        <v>0</v>
      </c>
      <c r="H124" s="20">
        <f t="shared" si="34"/>
        <v>0</v>
      </c>
      <c r="I124" s="19">
        <v>993957</v>
      </c>
      <c r="J124" s="20">
        <f t="shared" si="35"/>
        <v>140147937</v>
      </c>
      <c r="K124" s="20">
        <f t="shared" si="36"/>
        <v>993957</v>
      </c>
      <c r="L124" s="20">
        <f t="shared" si="36"/>
        <v>140147937</v>
      </c>
      <c r="M124" s="18"/>
    </row>
    <row r="125" spans="1:13" x14ac:dyDescent="0.3">
      <c r="A125" s="18" t="s">
        <v>1131</v>
      </c>
      <c r="B125" s="18" t="s">
        <v>1043</v>
      </c>
      <c r="C125" s="19">
        <v>50</v>
      </c>
      <c r="D125" s="18" t="s">
        <v>193</v>
      </c>
      <c r="E125" s="19">
        <v>0</v>
      </c>
      <c r="F125" s="20">
        <f t="shared" si="33"/>
        <v>0</v>
      </c>
      <c r="G125" s="19">
        <v>0</v>
      </c>
      <c r="H125" s="20">
        <f t="shared" si="34"/>
        <v>0</v>
      </c>
      <c r="I125" s="19">
        <v>175404</v>
      </c>
      <c r="J125" s="20">
        <f t="shared" si="35"/>
        <v>8770200</v>
      </c>
      <c r="K125" s="20">
        <f t="shared" si="36"/>
        <v>175404</v>
      </c>
      <c r="L125" s="20">
        <f t="shared" si="36"/>
        <v>8770200</v>
      </c>
      <c r="M125" s="18"/>
    </row>
    <row r="126" spans="1:13" x14ac:dyDescent="0.3">
      <c r="A126" s="18" t="s">
        <v>1039</v>
      </c>
      <c r="B126" s="18" t="s">
        <v>1040</v>
      </c>
      <c r="C126" s="19">
        <v>45</v>
      </c>
      <c r="D126" s="18" t="s">
        <v>193</v>
      </c>
      <c r="E126" s="19">
        <v>0</v>
      </c>
      <c r="F126" s="20">
        <f t="shared" si="33"/>
        <v>0</v>
      </c>
      <c r="G126" s="19">
        <v>0</v>
      </c>
      <c r="H126" s="20">
        <f t="shared" si="34"/>
        <v>0</v>
      </c>
      <c r="I126" s="19">
        <v>175404</v>
      </c>
      <c r="J126" s="20">
        <f t="shared" si="35"/>
        <v>7893180</v>
      </c>
      <c r="K126" s="20">
        <f t="shared" si="36"/>
        <v>175404</v>
      </c>
      <c r="L126" s="20">
        <f t="shared" si="36"/>
        <v>7893180</v>
      </c>
      <c r="M126" s="18"/>
    </row>
    <row r="127" spans="1:13" x14ac:dyDescent="0.3">
      <c r="A127" s="18" t="s">
        <v>1132</v>
      </c>
      <c r="B127" s="18" t="s">
        <v>1045</v>
      </c>
      <c r="C127" s="19">
        <v>2670</v>
      </c>
      <c r="D127" s="18" t="s">
        <v>193</v>
      </c>
      <c r="E127" s="19">
        <v>0</v>
      </c>
      <c r="F127" s="20">
        <f t="shared" si="33"/>
        <v>0</v>
      </c>
      <c r="G127" s="19">
        <v>0</v>
      </c>
      <c r="H127" s="20">
        <f t="shared" si="34"/>
        <v>0</v>
      </c>
      <c r="I127" s="19">
        <v>4093</v>
      </c>
      <c r="J127" s="20">
        <f t="shared" si="35"/>
        <v>10928310</v>
      </c>
      <c r="K127" s="20">
        <f t="shared" si="36"/>
        <v>4093</v>
      </c>
      <c r="L127" s="20">
        <f t="shared" si="36"/>
        <v>10928310</v>
      </c>
      <c r="M127" s="18"/>
    </row>
    <row r="128" spans="1:13" x14ac:dyDescent="0.3">
      <c r="A128" s="18" t="s">
        <v>1133</v>
      </c>
      <c r="B128" s="18" t="s">
        <v>116</v>
      </c>
      <c r="C128" s="19">
        <v>7300</v>
      </c>
      <c r="D128" s="18" t="s">
        <v>97</v>
      </c>
      <c r="E128" s="19">
        <v>0</v>
      </c>
      <c r="F128" s="20">
        <f t="shared" si="33"/>
        <v>0</v>
      </c>
      <c r="G128" s="19">
        <v>0</v>
      </c>
      <c r="H128" s="20">
        <f t="shared" si="34"/>
        <v>0</v>
      </c>
      <c r="I128" s="19">
        <v>8770</v>
      </c>
      <c r="J128" s="20">
        <f t="shared" si="35"/>
        <v>64021000</v>
      </c>
      <c r="K128" s="20">
        <f t="shared" si="36"/>
        <v>8770</v>
      </c>
      <c r="L128" s="20">
        <f t="shared" si="36"/>
        <v>64021000</v>
      </c>
      <c r="M128" s="18"/>
    </row>
    <row r="129" spans="1:13" x14ac:dyDescent="0.3">
      <c r="A129" s="18" t="s">
        <v>1134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 x14ac:dyDescent="0.3">
      <c r="A130" s="18" t="s">
        <v>1028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1:13" x14ac:dyDescent="0.3">
      <c r="A131" s="18" t="s">
        <v>1135</v>
      </c>
      <c r="B131" s="18" t="s">
        <v>1136</v>
      </c>
      <c r="C131" s="19">
        <v>144</v>
      </c>
      <c r="D131" s="18" t="s">
        <v>193</v>
      </c>
      <c r="E131" s="19">
        <v>0</v>
      </c>
      <c r="F131" s="20">
        <f>E131*C131</f>
        <v>0</v>
      </c>
      <c r="G131" s="19">
        <v>0</v>
      </c>
      <c r="H131" s="20">
        <f>G131*C131</f>
        <v>0</v>
      </c>
      <c r="I131" s="19">
        <v>4093</v>
      </c>
      <c r="J131" s="20">
        <f>I131*C131</f>
        <v>589392</v>
      </c>
      <c r="K131" s="20">
        <f>E131+G131+I131</f>
        <v>4093</v>
      </c>
      <c r="L131" s="20">
        <f>F131+H131+J131</f>
        <v>589392</v>
      </c>
      <c r="M131" s="18"/>
    </row>
    <row r="132" spans="1:13" x14ac:dyDescent="0.3">
      <c r="A132" s="18" t="s">
        <v>1049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x14ac:dyDescent="0.3">
      <c r="A133" s="18" t="s">
        <v>1137</v>
      </c>
      <c r="B133" s="18" t="s">
        <v>1138</v>
      </c>
      <c r="C133" s="19">
        <v>144</v>
      </c>
      <c r="D133" s="18" t="s">
        <v>1052</v>
      </c>
      <c r="E133" s="19">
        <v>117844</v>
      </c>
      <c r="F133" s="20">
        <f>E133*C133</f>
        <v>16969536</v>
      </c>
      <c r="G133" s="19">
        <v>3214</v>
      </c>
      <c r="H133" s="20">
        <f>G133*C133</f>
        <v>462816</v>
      </c>
      <c r="I133" s="19">
        <v>0</v>
      </c>
      <c r="J133" s="20">
        <f>I133*C133</f>
        <v>0</v>
      </c>
      <c r="K133" s="20">
        <f t="shared" ref="K133:L136" si="37">E133+G133+I133</f>
        <v>121058</v>
      </c>
      <c r="L133" s="20">
        <f t="shared" si="37"/>
        <v>17432352</v>
      </c>
      <c r="M133" s="18"/>
    </row>
    <row r="134" spans="1:13" x14ac:dyDescent="0.3">
      <c r="A134" s="18" t="s">
        <v>1139</v>
      </c>
      <c r="B134" s="18"/>
      <c r="C134" s="19">
        <v>1</v>
      </c>
      <c r="D134" s="18" t="s">
        <v>1140</v>
      </c>
      <c r="E134" s="19">
        <v>0</v>
      </c>
      <c r="F134" s="20">
        <f>E134*C134</f>
        <v>0</v>
      </c>
      <c r="G134" s="19">
        <v>0</v>
      </c>
      <c r="H134" s="20">
        <f>G134*C134</f>
        <v>0</v>
      </c>
      <c r="I134" s="19">
        <v>0</v>
      </c>
      <c r="J134" s="20">
        <f>I134*C134</f>
        <v>0</v>
      </c>
      <c r="K134" s="20">
        <f t="shared" si="37"/>
        <v>0</v>
      </c>
      <c r="L134" s="20">
        <f t="shared" si="37"/>
        <v>0</v>
      </c>
      <c r="M134" s="18"/>
    </row>
    <row r="135" spans="1:13" x14ac:dyDescent="0.3">
      <c r="A135" s="18" t="s">
        <v>1141</v>
      </c>
      <c r="B135" s="18"/>
      <c r="C135" s="19">
        <v>1</v>
      </c>
      <c r="D135" s="18" t="s">
        <v>1140</v>
      </c>
      <c r="E135" s="19">
        <v>0</v>
      </c>
      <c r="F135" s="20">
        <f>E135*C135</f>
        <v>0</v>
      </c>
      <c r="G135" s="19">
        <v>0</v>
      </c>
      <c r="H135" s="20">
        <f>G135*C135</f>
        <v>0</v>
      </c>
      <c r="I135" s="19">
        <v>0</v>
      </c>
      <c r="J135" s="20">
        <f>I135*C135</f>
        <v>0</v>
      </c>
      <c r="K135" s="20">
        <f t="shared" si="37"/>
        <v>0</v>
      </c>
      <c r="L135" s="20">
        <f t="shared" si="37"/>
        <v>0</v>
      </c>
      <c r="M135" s="18"/>
    </row>
    <row r="136" spans="1:13" x14ac:dyDescent="0.3">
      <c r="A136" s="18" t="s">
        <v>1142</v>
      </c>
      <c r="B136" s="18"/>
      <c r="C136" s="19">
        <v>1</v>
      </c>
      <c r="D136" s="18" t="s">
        <v>1143</v>
      </c>
      <c r="E136" s="19">
        <v>0</v>
      </c>
      <c r="F136" s="20">
        <f>E136*C136</f>
        <v>0</v>
      </c>
      <c r="G136" s="19">
        <v>0</v>
      </c>
      <c r="H136" s="20">
        <f>G136*C136</f>
        <v>0</v>
      </c>
      <c r="I136" s="19">
        <v>0</v>
      </c>
      <c r="J136" s="20">
        <f>I136*C136</f>
        <v>0</v>
      </c>
      <c r="K136" s="20">
        <f t="shared" si="37"/>
        <v>0</v>
      </c>
      <c r="L136" s="20">
        <f t="shared" si="37"/>
        <v>0</v>
      </c>
      <c r="M136" s="18"/>
    </row>
    <row r="137" spans="1:13" x14ac:dyDescent="0.3">
      <c r="A137" s="18" t="s">
        <v>1144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1:13" x14ac:dyDescent="0.3">
      <c r="A138" s="18" t="s">
        <v>1145</v>
      </c>
      <c r="B138" s="18" t="s">
        <v>1146</v>
      </c>
      <c r="C138" s="19">
        <v>14</v>
      </c>
      <c r="D138" s="18" t="s">
        <v>1147</v>
      </c>
      <c r="E138" s="19">
        <v>0</v>
      </c>
      <c r="F138" s="20">
        <f>E138*C138</f>
        <v>0</v>
      </c>
      <c r="G138" s="19">
        <v>0</v>
      </c>
      <c r="H138" s="20">
        <f>G138*C138</f>
        <v>0</v>
      </c>
      <c r="I138" s="19">
        <v>0</v>
      </c>
      <c r="J138" s="20">
        <f>I138*C138</f>
        <v>0</v>
      </c>
      <c r="K138" s="20">
        <f>E138+G138+I138</f>
        <v>0</v>
      </c>
      <c r="L138" s="20">
        <f>F138+H138+J138</f>
        <v>0</v>
      </c>
      <c r="M138" s="18"/>
    </row>
    <row r="139" spans="1:13" x14ac:dyDescent="0.3">
      <c r="A139" s="18" t="s">
        <v>1148</v>
      </c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1:13" x14ac:dyDescent="0.3">
      <c r="A140" s="18" t="s">
        <v>1149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1:13" x14ac:dyDescent="0.3">
      <c r="A141" s="18" t="s">
        <v>1148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 x14ac:dyDescent="0.3">
      <c r="A142" s="18" t="s">
        <v>1150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1:13" x14ac:dyDescent="0.3">
      <c r="A143" s="18" t="s">
        <v>1149</v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</sheetData>
  <mergeCells count="11">
    <mergeCell ref="A1:M1"/>
    <mergeCell ref="C4:C5"/>
    <mergeCell ref="A4:A5"/>
    <mergeCell ref="D4:D5"/>
    <mergeCell ref="K4:L4"/>
    <mergeCell ref="A2:M2"/>
    <mergeCell ref="G4:H4"/>
    <mergeCell ref="E4:F4"/>
    <mergeCell ref="I4:J4"/>
    <mergeCell ref="M4:M5"/>
    <mergeCell ref="B4:B5"/>
  </mergeCells>
  <phoneticPr fontId="1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21"/>
  <sheetViews>
    <sheetView workbookViewId="0">
      <pane ySplit="5" topLeftCell="A6" activePane="bottomLeft" state="frozen"/>
      <selection pane="bottomLeft" activeCell="Q36" sqref="Q36"/>
    </sheetView>
  </sheetViews>
  <sheetFormatPr defaultRowHeight="16.5" x14ac:dyDescent="0.3"/>
  <cols>
    <col min="1" max="1" width="30" customWidth="1"/>
    <col min="2" max="2" width="24" customWidth="1"/>
    <col min="3" max="3" width="8" customWidth="1"/>
    <col min="4" max="4" width="6" customWidth="1"/>
    <col min="5" max="5" width="12" customWidth="1"/>
    <col min="6" max="6" width="14" customWidth="1"/>
    <col min="7" max="7" width="12" customWidth="1"/>
    <col min="8" max="8" width="14" customWidth="1"/>
    <col min="9" max="9" width="12" customWidth="1"/>
    <col min="10" max="10" width="14" customWidth="1"/>
    <col min="11" max="11" width="12" customWidth="1"/>
    <col min="12" max="12" width="15" customWidth="1"/>
    <col min="13" max="13" width="12" customWidth="1"/>
  </cols>
  <sheetData>
    <row r="1" spans="1:13" ht="20.25" x14ac:dyDescent="0.3">
      <c r="A1" s="129" t="s">
        <v>1151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</row>
    <row r="2" spans="1:13" x14ac:dyDescent="0.3">
      <c r="A2" s="127" t="s">
        <v>1152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4" spans="1:13" x14ac:dyDescent="0.3">
      <c r="A4" s="123" t="s">
        <v>44</v>
      </c>
      <c r="B4" s="123" t="s">
        <v>45</v>
      </c>
      <c r="C4" s="123" t="s">
        <v>46</v>
      </c>
      <c r="D4" s="123" t="s">
        <v>47</v>
      </c>
      <c r="E4" s="123" t="s">
        <v>23</v>
      </c>
      <c r="F4" s="126"/>
      <c r="G4" s="123" t="s">
        <v>24</v>
      </c>
      <c r="H4" s="126"/>
      <c r="I4" s="123" t="s">
        <v>25</v>
      </c>
      <c r="J4" s="126"/>
      <c r="K4" s="123" t="s">
        <v>48</v>
      </c>
      <c r="L4" s="126"/>
      <c r="M4" s="123" t="s">
        <v>49</v>
      </c>
    </row>
    <row r="5" spans="1:13" x14ac:dyDescent="0.3">
      <c r="A5" s="130"/>
      <c r="B5" s="130"/>
      <c r="C5" s="130"/>
      <c r="D5" s="130"/>
      <c r="E5" s="1" t="s">
        <v>50</v>
      </c>
      <c r="F5" s="1" t="s">
        <v>51</v>
      </c>
      <c r="G5" s="1" t="s">
        <v>50</v>
      </c>
      <c r="H5" s="1" t="s">
        <v>51</v>
      </c>
      <c r="I5" s="1" t="s">
        <v>50</v>
      </c>
      <c r="J5" s="1" t="s">
        <v>51</v>
      </c>
      <c r="K5" s="1" t="s">
        <v>50</v>
      </c>
      <c r="L5" s="1" t="s">
        <v>51</v>
      </c>
      <c r="M5" s="130"/>
    </row>
    <row r="6" spans="1:13" x14ac:dyDescent="0.3">
      <c r="A6" s="6" t="s">
        <v>31</v>
      </c>
      <c r="B6" s="9" t="s">
        <v>52</v>
      </c>
      <c r="C6" s="9">
        <v>1</v>
      </c>
      <c r="D6" s="9" t="s">
        <v>53</v>
      </c>
      <c r="E6" s="2">
        <v>431599487</v>
      </c>
      <c r="F6" s="2">
        <v>431599487</v>
      </c>
      <c r="G6" s="2">
        <v>183064787</v>
      </c>
      <c r="H6" s="2">
        <v>183064787</v>
      </c>
      <c r="I6" s="2">
        <v>162607901</v>
      </c>
      <c r="J6" s="2">
        <v>162607901</v>
      </c>
      <c r="K6" s="2">
        <v>777272175</v>
      </c>
      <c r="L6" s="3">
        <v>777272175</v>
      </c>
    </row>
    <row r="7" spans="1:13" x14ac:dyDescent="0.3">
      <c r="A7" s="6" t="s">
        <v>32</v>
      </c>
      <c r="B7" s="9" t="s">
        <v>52</v>
      </c>
      <c r="C7" s="9">
        <v>1</v>
      </c>
      <c r="D7" s="9" t="s">
        <v>53</v>
      </c>
      <c r="E7" s="2">
        <v>0</v>
      </c>
      <c r="F7" s="2">
        <v>0</v>
      </c>
      <c r="G7" s="2">
        <v>0</v>
      </c>
      <c r="H7" s="2">
        <v>0</v>
      </c>
      <c r="I7" s="2">
        <v>19830000</v>
      </c>
      <c r="J7" s="2">
        <v>19830000</v>
      </c>
      <c r="K7" s="2">
        <v>19830000</v>
      </c>
      <c r="L7" s="3">
        <v>19830000</v>
      </c>
    </row>
    <row r="8" spans="1:13" x14ac:dyDescent="0.3">
      <c r="A8" s="6" t="s">
        <v>33</v>
      </c>
      <c r="B8" s="9" t="s">
        <v>52</v>
      </c>
      <c r="C8" s="9">
        <v>1</v>
      </c>
      <c r="D8" s="9" t="s">
        <v>53</v>
      </c>
      <c r="E8" s="2">
        <v>581064018</v>
      </c>
      <c r="F8" s="2">
        <v>581064018</v>
      </c>
      <c r="G8" s="2">
        <v>245462914</v>
      </c>
      <c r="H8" s="2">
        <v>245462914</v>
      </c>
      <c r="I8" s="2">
        <v>170846672</v>
      </c>
      <c r="J8" s="2">
        <v>170846672</v>
      </c>
      <c r="K8" s="2">
        <v>997373604</v>
      </c>
      <c r="L8" s="3">
        <v>997373604</v>
      </c>
    </row>
    <row r="9" spans="1:13" x14ac:dyDescent="0.3">
      <c r="A9" s="10" t="s">
        <v>54</v>
      </c>
      <c r="F9" s="11">
        <f>F6+F7+F8</f>
        <v>1012663505</v>
      </c>
      <c r="H9" s="11">
        <f>H6+H7+H8</f>
        <v>428527701</v>
      </c>
      <c r="J9" s="11">
        <f>J6+J7+J8</f>
        <v>353284573</v>
      </c>
      <c r="L9" s="11">
        <f>L6+L7+L8</f>
        <v>1794475779</v>
      </c>
    </row>
    <row r="10" spans="1:13" x14ac:dyDescent="0.3">
      <c r="A10" s="12" t="s">
        <v>55</v>
      </c>
      <c r="B10" s="13" t="s">
        <v>56</v>
      </c>
    </row>
    <row r="11" spans="1:13" x14ac:dyDescent="0.3">
      <c r="A11" s="5" t="s">
        <v>57</v>
      </c>
      <c r="B11" s="14" t="s">
        <v>58</v>
      </c>
      <c r="J11" s="2">
        <f>ROUND(H9*0.197,0)</f>
        <v>84419957</v>
      </c>
      <c r="L11" s="2">
        <f t="shared" ref="L11:L22" si="0">J11</f>
        <v>84419957</v>
      </c>
    </row>
    <row r="12" spans="1:13" x14ac:dyDescent="0.3">
      <c r="A12" s="5" t="s">
        <v>59</v>
      </c>
      <c r="B12" s="14" t="s">
        <v>60</v>
      </c>
      <c r="J12" s="2">
        <f>ROUND((H9+J11)*0.0356,0)</f>
        <v>18260937</v>
      </c>
      <c r="L12" s="2">
        <f t="shared" si="0"/>
        <v>18260937</v>
      </c>
    </row>
    <row r="13" spans="1:13" x14ac:dyDescent="0.3">
      <c r="A13" s="5" t="s">
        <v>61</v>
      </c>
      <c r="B13" s="14" t="s">
        <v>62</v>
      </c>
      <c r="J13" s="2">
        <f>ROUND((H9+J11)*0.0115,0)</f>
        <v>5898898</v>
      </c>
      <c r="L13" s="2">
        <f t="shared" si="0"/>
        <v>5898898</v>
      </c>
    </row>
    <row r="14" spans="1:13" x14ac:dyDescent="0.3">
      <c r="A14" s="5" t="s">
        <v>63</v>
      </c>
      <c r="B14" s="14" t="s">
        <v>64</v>
      </c>
      <c r="J14" s="2">
        <f>ROUND(H9*0.03595,0)</f>
        <v>15405571</v>
      </c>
      <c r="L14" s="2">
        <f t="shared" si="0"/>
        <v>15405571</v>
      </c>
    </row>
    <row r="15" spans="1:13" x14ac:dyDescent="0.3">
      <c r="A15" s="5" t="s">
        <v>65</v>
      </c>
      <c r="B15" s="14" t="s">
        <v>66</v>
      </c>
      <c r="J15" s="2">
        <f>ROUND(H9*0.0475,0)</f>
        <v>20355066</v>
      </c>
      <c r="L15" s="2">
        <f t="shared" si="0"/>
        <v>20355066</v>
      </c>
    </row>
    <row r="16" spans="1:13" x14ac:dyDescent="0.3">
      <c r="A16" s="5" t="s">
        <v>67</v>
      </c>
      <c r="B16" s="14" t="s">
        <v>68</v>
      </c>
      <c r="J16" s="2">
        <f>ROUND(J14*0.1314,0)</f>
        <v>2024292</v>
      </c>
      <c r="L16" s="2">
        <f t="shared" si="0"/>
        <v>2024292</v>
      </c>
    </row>
    <row r="17" spans="1:12" x14ac:dyDescent="0.3">
      <c r="A17" s="5" t="s">
        <v>69</v>
      </c>
      <c r="B17" s="14" t="s">
        <v>70</v>
      </c>
      <c r="J17" s="2">
        <f>ROUND((F9+H9)*0.026,0)</f>
        <v>37470971</v>
      </c>
      <c r="L17" s="2">
        <f t="shared" si="0"/>
        <v>37470971</v>
      </c>
    </row>
    <row r="18" spans="1:12" x14ac:dyDescent="0.3">
      <c r="A18" s="5" t="s">
        <v>71</v>
      </c>
      <c r="B18" s="14" t="s">
        <v>72</v>
      </c>
      <c r="J18" s="2">
        <f>ROUND((F9+(H9+J11))*0.062,0)</f>
        <v>94587892</v>
      </c>
      <c r="L18" s="2">
        <f t="shared" si="0"/>
        <v>94587892</v>
      </c>
    </row>
    <row r="19" spans="1:12" x14ac:dyDescent="0.3">
      <c r="A19" s="5" t="s">
        <v>73</v>
      </c>
      <c r="B19" s="14" t="s">
        <v>74</v>
      </c>
      <c r="J19" s="2">
        <f>ROUND(L9*0.004,0)</f>
        <v>7177903</v>
      </c>
      <c r="L19" s="2">
        <f t="shared" si="0"/>
        <v>7177903</v>
      </c>
    </row>
    <row r="20" spans="1:12" x14ac:dyDescent="0.3">
      <c r="A20" s="5" t="s">
        <v>75</v>
      </c>
      <c r="B20" s="14" t="s">
        <v>76</v>
      </c>
      <c r="J20" s="2">
        <f>ROUND(L9*0.006,0)</f>
        <v>10766855</v>
      </c>
      <c r="L20" s="2">
        <f t="shared" si="0"/>
        <v>10766855</v>
      </c>
    </row>
    <row r="21" spans="1:12" x14ac:dyDescent="0.3">
      <c r="A21" s="5" t="s">
        <v>77</v>
      </c>
      <c r="B21" s="14" t="s">
        <v>78</v>
      </c>
      <c r="J21" s="2">
        <f>ROUND((L9+SUM(J11:J20))*0.05,0)</f>
        <v>104542206</v>
      </c>
      <c r="L21" s="2">
        <f t="shared" si="0"/>
        <v>104542206</v>
      </c>
    </row>
    <row r="22" spans="1:12" x14ac:dyDescent="0.3">
      <c r="A22" s="5" t="s">
        <v>79</v>
      </c>
      <c r="B22" s="14" t="s">
        <v>80</v>
      </c>
      <c r="J22" s="2">
        <f>ROUND(((H9+J11)+(J9+SUM(J11:J20)-J11)+J21)*0.07,0)</f>
        <v>82790598</v>
      </c>
      <c r="L22" s="2">
        <f t="shared" si="0"/>
        <v>82790598</v>
      </c>
    </row>
    <row r="23" spans="1:12" x14ac:dyDescent="0.3">
      <c r="A23" s="10" t="s">
        <v>81</v>
      </c>
      <c r="J23" s="11">
        <f>SUM(J11:J22)</f>
        <v>483701146</v>
      </c>
      <c r="L23" s="11">
        <f>SUM(L11:L22)</f>
        <v>483701146</v>
      </c>
    </row>
    <row r="24" spans="1:12" x14ac:dyDescent="0.3">
      <c r="A24" s="15" t="s">
        <v>82</v>
      </c>
      <c r="F24" s="4">
        <f>F9</f>
        <v>1012663505</v>
      </c>
      <c r="H24" s="4">
        <f>H9</f>
        <v>428527701</v>
      </c>
      <c r="J24" s="4">
        <f>J9+J23</f>
        <v>836985719</v>
      </c>
      <c r="L24" s="4">
        <f>L9+L23</f>
        <v>2278176925</v>
      </c>
    </row>
    <row r="25" spans="1:12" x14ac:dyDescent="0.3">
      <c r="A25" s="16" t="s">
        <v>40</v>
      </c>
      <c r="B25" s="14" t="s">
        <v>83</v>
      </c>
      <c r="J25" s="2">
        <f>ROUND(L24*0.1,0)</f>
        <v>227817693</v>
      </c>
      <c r="L25" s="2">
        <f>J25</f>
        <v>227817693</v>
      </c>
    </row>
    <row r="26" spans="1:12" x14ac:dyDescent="0.3">
      <c r="A26" s="10" t="s">
        <v>84</v>
      </c>
      <c r="L26" s="11">
        <f>L24+L25</f>
        <v>2505994618</v>
      </c>
    </row>
    <row r="28" spans="1:12" x14ac:dyDescent="0.3">
      <c r="A28" s="7" t="s">
        <v>85</v>
      </c>
    </row>
    <row r="29" spans="1:12" x14ac:dyDescent="0.3">
      <c r="A29" s="8" t="s">
        <v>39</v>
      </c>
      <c r="B29" s="8" t="s">
        <v>86</v>
      </c>
      <c r="F29" s="8" t="s">
        <v>87</v>
      </c>
      <c r="J29" s="8" t="s">
        <v>88</v>
      </c>
    </row>
    <row r="30" spans="1:12" x14ac:dyDescent="0.3">
      <c r="A30" s="5" t="s">
        <v>89</v>
      </c>
      <c r="B30" s="2">
        <v>1794475779</v>
      </c>
      <c r="F30" s="2">
        <f>L9</f>
        <v>1794475779</v>
      </c>
      <c r="J30" s="2">
        <f>F30-B30</f>
        <v>0</v>
      </c>
    </row>
    <row r="31" spans="1:12" x14ac:dyDescent="0.3">
      <c r="A31" s="5" t="s">
        <v>90</v>
      </c>
      <c r="B31" s="2">
        <v>483701146</v>
      </c>
      <c r="F31" s="2">
        <f>L23</f>
        <v>483701146</v>
      </c>
      <c r="J31" s="2">
        <f>F31-B31</f>
        <v>0</v>
      </c>
    </row>
    <row r="32" spans="1:12" x14ac:dyDescent="0.3">
      <c r="A32" s="5" t="s">
        <v>91</v>
      </c>
      <c r="B32" s="2">
        <v>2278176925</v>
      </c>
      <c r="F32" s="2">
        <f>L24</f>
        <v>2278176925</v>
      </c>
      <c r="J32" s="2">
        <f>F32-B32</f>
        <v>0</v>
      </c>
    </row>
    <row r="33" spans="1:13" x14ac:dyDescent="0.3">
      <c r="A33" s="5" t="s">
        <v>40</v>
      </c>
      <c r="B33" s="2">
        <v>227817693</v>
      </c>
      <c r="F33" s="2">
        <f>L25</f>
        <v>227817693</v>
      </c>
      <c r="J33" s="2">
        <f>F33-B33</f>
        <v>0</v>
      </c>
    </row>
    <row r="34" spans="1:13" x14ac:dyDescent="0.3">
      <c r="A34" s="5" t="s">
        <v>41</v>
      </c>
      <c r="B34" s="2">
        <v>2505994618</v>
      </c>
      <c r="F34" s="2">
        <f>L26</f>
        <v>2505994618</v>
      </c>
      <c r="J34" s="2">
        <f>F34-B34</f>
        <v>0</v>
      </c>
    </row>
    <row r="36" spans="1:13" ht="17.25" x14ac:dyDescent="0.3">
      <c r="A36" s="17" t="s">
        <v>92</v>
      </c>
    </row>
    <row r="37" spans="1:13" x14ac:dyDescent="0.3">
      <c r="A37" s="6" t="s">
        <v>31</v>
      </c>
    </row>
    <row r="38" spans="1:13" x14ac:dyDescent="0.3">
      <c r="A38" s="18" t="s">
        <v>93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x14ac:dyDescent="0.3">
      <c r="A39" s="18" t="s">
        <v>1153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x14ac:dyDescent="0.3">
      <c r="A40" s="18" t="s">
        <v>1154</v>
      </c>
      <c r="B40" s="18" t="s">
        <v>1155</v>
      </c>
      <c r="C40" s="19">
        <v>1418</v>
      </c>
      <c r="D40" s="18" t="s">
        <v>950</v>
      </c>
      <c r="E40" s="19">
        <v>0</v>
      </c>
      <c r="F40" s="20">
        <f>E40*C40</f>
        <v>0</v>
      </c>
      <c r="G40" s="19">
        <v>496</v>
      </c>
      <c r="H40" s="20">
        <f>G40*C40</f>
        <v>703328</v>
      </c>
      <c r="I40" s="19">
        <v>774</v>
      </c>
      <c r="J40" s="20">
        <f>I40*C40</f>
        <v>1097532</v>
      </c>
      <c r="K40" s="20">
        <f>E40+G40+I40</f>
        <v>1270</v>
      </c>
      <c r="L40" s="20">
        <f>F40+H40+J40</f>
        <v>1800860</v>
      </c>
      <c r="M40" s="18"/>
    </row>
    <row r="41" spans="1:13" x14ac:dyDescent="0.3">
      <c r="A41" s="18" t="s">
        <v>1156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x14ac:dyDescent="0.3">
      <c r="A42" s="18" t="s">
        <v>115</v>
      </c>
      <c r="B42" s="18" t="s">
        <v>116</v>
      </c>
      <c r="C42" s="19">
        <v>1640</v>
      </c>
      <c r="D42" s="18" t="s">
        <v>97</v>
      </c>
      <c r="E42" s="19">
        <v>4395</v>
      </c>
      <c r="F42" s="20">
        <f>E42*C42</f>
        <v>7207800</v>
      </c>
      <c r="G42" s="19">
        <v>922</v>
      </c>
      <c r="H42" s="20">
        <f>G42*C42</f>
        <v>1512080</v>
      </c>
      <c r="I42" s="19">
        <v>0</v>
      </c>
      <c r="J42" s="20">
        <f>I42*C42</f>
        <v>0</v>
      </c>
      <c r="K42" s="20">
        <f>E42+G42+I42</f>
        <v>5317</v>
      </c>
      <c r="L42" s="20">
        <f>F42+H42+J42</f>
        <v>8719880</v>
      </c>
      <c r="M42" s="18"/>
    </row>
    <row r="43" spans="1:13" x14ac:dyDescent="0.3">
      <c r="A43" s="18" t="s">
        <v>117</v>
      </c>
      <c r="B43" s="18" t="s">
        <v>118</v>
      </c>
      <c r="C43" s="19">
        <v>0</v>
      </c>
      <c r="D43" s="18" t="s">
        <v>97</v>
      </c>
      <c r="E43" s="18"/>
      <c r="F43" s="19">
        <v>0</v>
      </c>
      <c r="G43" s="18"/>
      <c r="H43" s="19">
        <v>0</v>
      </c>
      <c r="I43" s="18"/>
      <c r="J43" s="19">
        <v>0</v>
      </c>
      <c r="K43" s="18"/>
      <c r="L43" s="19">
        <v>0</v>
      </c>
      <c r="M43" s="18"/>
    </row>
    <row r="44" spans="1:13" x14ac:dyDescent="0.3">
      <c r="A44" s="18" t="s">
        <v>1157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x14ac:dyDescent="0.3">
      <c r="A45" s="18" t="s">
        <v>120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x14ac:dyDescent="0.3">
      <c r="A46" s="18" t="s">
        <v>123</v>
      </c>
      <c r="B46" s="18" t="s">
        <v>124</v>
      </c>
      <c r="C46" s="19">
        <v>725</v>
      </c>
      <c r="D46" s="18" t="s">
        <v>103</v>
      </c>
      <c r="E46" s="19">
        <v>0</v>
      </c>
      <c r="F46" s="20">
        <f>E46*C46</f>
        <v>0</v>
      </c>
      <c r="G46" s="19">
        <v>258</v>
      </c>
      <c r="H46" s="20">
        <f>G46*C46</f>
        <v>187050</v>
      </c>
      <c r="I46" s="19">
        <v>1445</v>
      </c>
      <c r="J46" s="20">
        <f>I46*C46</f>
        <v>1047625</v>
      </c>
      <c r="K46" s="20">
        <f>E46+G46+I46</f>
        <v>1703</v>
      </c>
      <c r="L46" s="20">
        <f>F46+H46+J46</f>
        <v>1234675</v>
      </c>
      <c r="M46" s="18"/>
    </row>
    <row r="47" spans="1:13" x14ac:dyDescent="0.3">
      <c r="A47" s="18" t="s">
        <v>1158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x14ac:dyDescent="0.3">
      <c r="A48" s="18" t="s">
        <v>139</v>
      </c>
      <c r="B48" s="18" t="s">
        <v>140</v>
      </c>
      <c r="C48" s="19">
        <v>142</v>
      </c>
      <c r="D48" s="18" t="s">
        <v>103</v>
      </c>
      <c r="E48" s="19">
        <v>0</v>
      </c>
      <c r="F48" s="20">
        <f>E48*C48</f>
        <v>0</v>
      </c>
      <c r="G48" s="19">
        <v>220</v>
      </c>
      <c r="H48" s="20">
        <f>G48*C48</f>
        <v>31240</v>
      </c>
      <c r="I48" s="19">
        <v>1230</v>
      </c>
      <c r="J48" s="20">
        <f>I48*C48</f>
        <v>174660</v>
      </c>
      <c r="K48" s="20">
        <f>E48+G48+I48</f>
        <v>1450</v>
      </c>
      <c r="L48" s="20">
        <f>F48+H48+J48</f>
        <v>205900</v>
      </c>
      <c r="M48" s="18"/>
    </row>
    <row r="49" spans="1:13" x14ac:dyDescent="0.3">
      <c r="A49" s="18" t="s">
        <v>1159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x14ac:dyDescent="0.3">
      <c r="A50" s="18" t="s">
        <v>1160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x14ac:dyDescent="0.3">
      <c r="A51" s="18" t="s">
        <v>147</v>
      </c>
      <c r="B51" s="18" t="s">
        <v>148</v>
      </c>
      <c r="C51" s="19">
        <v>1710</v>
      </c>
      <c r="D51" s="18" t="s">
        <v>103</v>
      </c>
      <c r="E51" s="19">
        <v>0</v>
      </c>
      <c r="F51" s="20">
        <f>E51*C51</f>
        <v>0</v>
      </c>
      <c r="G51" s="19">
        <v>340</v>
      </c>
      <c r="H51" s="20">
        <f>G51*C51</f>
        <v>581400</v>
      </c>
      <c r="I51" s="19">
        <v>2156</v>
      </c>
      <c r="J51" s="20">
        <f>I51*C51</f>
        <v>3686760</v>
      </c>
      <c r="K51" s="20">
        <f>E51+G51+I51</f>
        <v>2496</v>
      </c>
      <c r="L51" s="20">
        <f>F51+H51+J51</f>
        <v>4268160</v>
      </c>
      <c r="M51" s="18"/>
    </row>
    <row r="52" spans="1:13" x14ac:dyDescent="0.3">
      <c r="A52" s="18" t="s">
        <v>1161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x14ac:dyDescent="0.3">
      <c r="A53" s="18" t="s">
        <v>147</v>
      </c>
      <c r="B53" s="18" t="s">
        <v>150</v>
      </c>
      <c r="C53" s="19">
        <v>25732</v>
      </c>
      <c r="D53" s="18" t="s">
        <v>103</v>
      </c>
      <c r="E53" s="19">
        <v>0</v>
      </c>
      <c r="F53" s="20">
        <f>E53*C53</f>
        <v>0</v>
      </c>
      <c r="G53" s="19">
        <v>340</v>
      </c>
      <c r="H53" s="20">
        <f>G53*C53</f>
        <v>8748880</v>
      </c>
      <c r="I53" s="19">
        <v>1288</v>
      </c>
      <c r="J53" s="20">
        <f>I53*C53</f>
        <v>33142816</v>
      </c>
      <c r="K53" s="20">
        <f>E53+G53+I53</f>
        <v>1628</v>
      </c>
      <c r="L53" s="20">
        <f>F53+H53+J53</f>
        <v>41891696</v>
      </c>
      <c r="M53" s="18"/>
    </row>
    <row r="54" spans="1:13" x14ac:dyDescent="0.3">
      <c r="A54" s="18" t="s">
        <v>1162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x14ac:dyDescent="0.3">
      <c r="A55" s="18" t="s">
        <v>147</v>
      </c>
      <c r="B55" s="18" t="s">
        <v>150</v>
      </c>
      <c r="C55" s="19">
        <v>34</v>
      </c>
      <c r="D55" s="18" t="s">
        <v>103</v>
      </c>
      <c r="E55" s="19">
        <v>0</v>
      </c>
      <c r="F55" s="20">
        <f>E55*C55</f>
        <v>0</v>
      </c>
      <c r="G55" s="19">
        <v>340</v>
      </c>
      <c r="H55" s="20">
        <f>G55*C55</f>
        <v>11560</v>
      </c>
      <c r="I55" s="19">
        <v>1288</v>
      </c>
      <c r="J55" s="20">
        <f>I55*C55</f>
        <v>43792</v>
      </c>
      <c r="K55" s="20">
        <f>E55+G55+I55</f>
        <v>1628</v>
      </c>
      <c r="L55" s="20">
        <f>F55+H55+J55</f>
        <v>55352</v>
      </c>
      <c r="M55" s="18"/>
    </row>
    <row r="56" spans="1:13" x14ac:dyDescent="0.3">
      <c r="A56" s="18" t="s">
        <v>1163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x14ac:dyDescent="0.3">
      <c r="A57" s="18" t="s">
        <v>1164</v>
      </c>
      <c r="B57" s="18"/>
      <c r="C57" s="19">
        <v>774</v>
      </c>
      <c r="D57" s="18" t="s">
        <v>1014</v>
      </c>
      <c r="E57" s="19">
        <v>0</v>
      </c>
      <c r="F57" s="20">
        <f>E57*C57</f>
        <v>0</v>
      </c>
      <c r="G57" s="19">
        <v>242</v>
      </c>
      <c r="H57" s="20">
        <f>G57*C57</f>
        <v>187308</v>
      </c>
      <c r="I57" s="19">
        <v>1355</v>
      </c>
      <c r="J57" s="20">
        <f>I57*C57</f>
        <v>1048770</v>
      </c>
      <c r="K57" s="20">
        <f>E57+G57+I57</f>
        <v>1597</v>
      </c>
      <c r="L57" s="20">
        <f>F57+H57+J57</f>
        <v>1236078</v>
      </c>
      <c r="M57" s="18"/>
    </row>
    <row r="58" spans="1:13" x14ac:dyDescent="0.3">
      <c r="A58" s="18" t="s">
        <v>152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x14ac:dyDescent="0.3">
      <c r="A59" s="18" t="s">
        <v>153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x14ac:dyDescent="0.3">
      <c r="A60" s="18" t="s">
        <v>154</v>
      </c>
      <c r="B60" s="18"/>
      <c r="C60" s="19">
        <v>1266</v>
      </c>
      <c r="D60" s="18" t="s">
        <v>103</v>
      </c>
      <c r="E60" s="19">
        <v>0</v>
      </c>
      <c r="F60" s="20">
        <f>E60*C60</f>
        <v>0</v>
      </c>
      <c r="G60" s="19">
        <v>50</v>
      </c>
      <c r="H60" s="20">
        <f>G60*C60</f>
        <v>63300</v>
      </c>
      <c r="I60" s="19">
        <v>335</v>
      </c>
      <c r="J60" s="20">
        <f>I60*C60</f>
        <v>424110</v>
      </c>
      <c r="K60" s="20">
        <f>E60+G60+I60</f>
        <v>385</v>
      </c>
      <c r="L60" s="20">
        <f>F60+H60+J60</f>
        <v>487410</v>
      </c>
      <c r="M60" s="18"/>
    </row>
    <row r="61" spans="1:13" x14ac:dyDescent="0.3">
      <c r="A61" s="18" t="s">
        <v>155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x14ac:dyDescent="0.3">
      <c r="A62" s="18" t="s">
        <v>156</v>
      </c>
      <c r="B62" s="18" t="s">
        <v>1165</v>
      </c>
      <c r="C62" s="19">
        <v>185</v>
      </c>
      <c r="D62" s="18" t="s">
        <v>103</v>
      </c>
      <c r="E62" s="19">
        <v>0</v>
      </c>
      <c r="F62" s="20">
        <f>E62*C62</f>
        <v>0</v>
      </c>
      <c r="G62" s="19">
        <v>169</v>
      </c>
      <c r="H62" s="20">
        <f>G62*C62</f>
        <v>31265</v>
      </c>
      <c r="I62" s="19">
        <v>1147</v>
      </c>
      <c r="J62" s="20">
        <f>I62*C62</f>
        <v>212195</v>
      </c>
      <c r="K62" s="20">
        <f>E62+G62+I62</f>
        <v>1316</v>
      </c>
      <c r="L62" s="20">
        <f>F62+H62+J62</f>
        <v>243460</v>
      </c>
      <c r="M62" s="18"/>
    </row>
    <row r="63" spans="1:13" x14ac:dyDescent="0.3">
      <c r="A63" s="18" t="s">
        <v>160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ht="24" x14ac:dyDescent="0.3">
      <c r="A64" s="18" t="s">
        <v>161</v>
      </c>
      <c r="B64" s="18" t="s">
        <v>1166</v>
      </c>
      <c r="C64" s="19">
        <v>136</v>
      </c>
      <c r="D64" s="18" t="s">
        <v>103</v>
      </c>
      <c r="E64" s="19">
        <v>0</v>
      </c>
      <c r="F64" s="20">
        <f>E64*C64</f>
        <v>0</v>
      </c>
      <c r="G64" s="19">
        <v>458</v>
      </c>
      <c r="H64" s="20">
        <f>G64*C64</f>
        <v>62288</v>
      </c>
      <c r="I64" s="19">
        <v>2301</v>
      </c>
      <c r="J64" s="20">
        <f>I64*C64</f>
        <v>312936</v>
      </c>
      <c r="K64" s="20">
        <f>E64+G64+I64</f>
        <v>2759</v>
      </c>
      <c r="L64" s="20">
        <f>F64+H64+J64</f>
        <v>375224</v>
      </c>
      <c r="M64" s="18"/>
    </row>
    <row r="65" spans="1:13" x14ac:dyDescent="0.3">
      <c r="A65" s="18" t="s">
        <v>180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x14ac:dyDescent="0.3">
      <c r="A66" s="18" t="s">
        <v>181</v>
      </c>
      <c r="B66" s="18" t="s">
        <v>182</v>
      </c>
      <c r="C66" s="19">
        <v>36</v>
      </c>
      <c r="D66" s="18" t="s">
        <v>183</v>
      </c>
      <c r="E66" s="19">
        <v>7089</v>
      </c>
      <c r="F66" s="20">
        <f>E66*C66</f>
        <v>255204</v>
      </c>
      <c r="G66" s="19">
        <v>49908</v>
      </c>
      <c r="H66" s="20">
        <f>G66*C66</f>
        <v>1796688</v>
      </c>
      <c r="I66" s="19">
        <v>0</v>
      </c>
      <c r="J66" s="20">
        <f>I66*C66</f>
        <v>0</v>
      </c>
      <c r="K66" s="20">
        <f>E66+G66+I66</f>
        <v>56997</v>
      </c>
      <c r="L66" s="20">
        <f>F66+H66+J66</f>
        <v>2051892</v>
      </c>
      <c r="M66" s="18"/>
    </row>
    <row r="67" spans="1:13" x14ac:dyDescent="0.3">
      <c r="A67" s="18" t="s">
        <v>184</v>
      </c>
      <c r="B67" s="18" t="s">
        <v>185</v>
      </c>
      <c r="C67" s="19">
        <v>6</v>
      </c>
      <c r="D67" s="18" t="s">
        <v>183</v>
      </c>
      <c r="E67" s="19">
        <v>22686</v>
      </c>
      <c r="F67" s="20">
        <f>E67*C67</f>
        <v>136116</v>
      </c>
      <c r="G67" s="19">
        <v>66285</v>
      </c>
      <c r="H67" s="20">
        <f>G67*C67</f>
        <v>397710</v>
      </c>
      <c r="I67" s="19">
        <v>0</v>
      </c>
      <c r="J67" s="20">
        <f>I67*C67</f>
        <v>0</v>
      </c>
      <c r="K67" s="20">
        <f>E67+G67+I67</f>
        <v>88971</v>
      </c>
      <c r="L67" s="20">
        <f>F67+H67+J67</f>
        <v>533826</v>
      </c>
      <c r="M67" s="18"/>
    </row>
    <row r="68" spans="1:13" x14ac:dyDescent="0.3">
      <c r="A68" s="18" t="s">
        <v>1167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x14ac:dyDescent="0.3">
      <c r="A69" s="18" t="s">
        <v>206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x14ac:dyDescent="0.3">
      <c r="A70" s="18" t="s">
        <v>207</v>
      </c>
      <c r="B70" s="18" t="s">
        <v>208</v>
      </c>
      <c r="C70" s="19">
        <v>20</v>
      </c>
      <c r="D70" s="18" t="s">
        <v>103</v>
      </c>
      <c r="E70" s="19">
        <v>0</v>
      </c>
      <c r="F70" s="20">
        <f>E70*C70</f>
        <v>0</v>
      </c>
      <c r="G70" s="19">
        <v>6239</v>
      </c>
      <c r="H70" s="20">
        <f>G70*C70</f>
        <v>124780</v>
      </c>
      <c r="I70" s="19">
        <v>22595</v>
      </c>
      <c r="J70" s="20">
        <f>I70*C70</f>
        <v>451900</v>
      </c>
      <c r="K70" s="20">
        <f t="shared" ref="K70:L74" si="1">E70+G70+I70</f>
        <v>28834</v>
      </c>
      <c r="L70" s="20">
        <f t="shared" si="1"/>
        <v>576680</v>
      </c>
      <c r="M70" s="18"/>
    </row>
    <row r="71" spans="1:13" x14ac:dyDescent="0.3">
      <c r="A71" s="18" t="s">
        <v>209</v>
      </c>
      <c r="B71" s="18" t="s">
        <v>208</v>
      </c>
      <c r="C71" s="19">
        <v>10</v>
      </c>
      <c r="D71" s="18" t="s">
        <v>103</v>
      </c>
      <c r="E71" s="19">
        <v>0</v>
      </c>
      <c r="F71" s="20">
        <f>E71*C71</f>
        <v>0</v>
      </c>
      <c r="G71" s="19">
        <v>3119</v>
      </c>
      <c r="H71" s="20">
        <f>G71*C71</f>
        <v>31190</v>
      </c>
      <c r="I71" s="19">
        <v>18262</v>
      </c>
      <c r="J71" s="20">
        <f>I71*C71</f>
        <v>182620</v>
      </c>
      <c r="K71" s="20">
        <f t="shared" si="1"/>
        <v>21381</v>
      </c>
      <c r="L71" s="20">
        <f t="shared" si="1"/>
        <v>213810</v>
      </c>
      <c r="M71" s="18"/>
    </row>
    <row r="72" spans="1:13" x14ac:dyDescent="0.3">
      <c r="A72" s="18" t="s">
        <v>1168</v>
      </c>
      <c r="B72" s="18"/>
      <c r="C72" s="19">
        <v>30</v>
      </c>
      <c r="D72" s="18" t="s">
        <v>234</v>
      </c>
      <c r="E72" s="19">
        <v>2623</v>
      </c>
      <c r="F72" s="20">
        <f>E72*C72</f>
        <v>78690</v>
      </c>
      <c r="G72" s="19">
        <v>993</v>
      </c>
      <c r="H72" s="20">
        <f>G72*C72</f>
        <v>29790</v>
      </c>
      <c r="I72" s="19">
        <v>0</v>
      </c>
      <c r="J72" s="20">
        <f>I72*C72</f>
        <v>0</v>
      </c>
      <c r="K72" s="20">
        <f t="shared" si="1"/>
        <v>3616</v>
      </c>
      <c r="L72" s="20">
        <f t="shared" si="1"/>
        <v>108480</v>
      </c>
      <c r="M72" s="18"/>
    </row>
    <row r="73" spans="1:13" x14ac:dyDescent="0.3">
      <c r="A73" s="18" t="s">
        <v>1169</v>
      </c>
      <c r="B73" s="18" t="s">
        <v>1170</v>
      </c>
      <c r="C73" s="19">
        <v>162</v>
      </c>
      <c r="D73" s="18" t="s">
        <v>1014</v>
      </c>
      <c r="E73" s="19">
        <v>0</v>
      </c>
      <c r="F73" s="20">
        <f>E73*C73</f>
        <v>0</v>
      </c>
      <c r="G73" s="19">
        <v>1063</v>
      </c>
      <c r="H73" s="20">
        <f>G73*C73</f>
        <v>172206</v>
      </c>
      <c r="I73" s="19">
        <v>3869</v>
      </c>
      <c r="J73" s="20">
        <f>I73*C73</f>
        <v>626778</v>
      </c>
      <c r="K73" s="20">
        <f t="shared" si="1"/>
        <v>4932</v>
      </c>
      <c r="L73" s="20">
        <f t="shared" si="1"/>
        <v>798984</v>
      </c>
      <c r="M73" s="18"/>
    </row>
    <row r="74" spans="1:13" x14ac:dyDescent="0.3">
      <c r="A74" s="18" t="s">
        <v>1171</v>
      </c>
      <c r="B74" s="18" t="s">
        <v>1170</v>
      </c>
      <c r="C74" s="19">
        <v>22</v>
      </c>
      <c r="D74" s="18" t="s">
        <v>1014</v>
      </c>
      <c r="E74" s="19">
        <v>0</v>
      </c>
      <c r="F74" s="20">
        <f>E74*C74</f>
        <v>0</v>
      </c>
      <c r="G74" s="19">
        <v>1063</v>
      </c>
      <c r="H74" s="20">
        <f>G74*C74</f>
        <v>23386</v>
      </c>
      <c r="I74" s="19">
        <v>3095</v>
      </c>
      <c r="J74" s="20">
        <f>I74*C74</f>
        <v>68090</v>
      </c>
      <c r="K74" s="20">
        <f t="shared" si="1"/>
        <v>4158</v>
      </c>
      <c r="L74" s="20">
        <f t="shared" si="1"/>
        <v>91476</v>
      </c>
      <c r="M74" s="18"/>
    </row>
    <row r="75" spans="1:13" x14ac:dyDescent="0.3">
      <c r="A75" s="18" t="s">
        <v>210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 x14ac:dyDescent="0.3">
      <c r="A76" s="18" t="s">
        <v>211</v>
      </c>
      <c r="B76" s="18" t="s">
        <v>212</v>
      </c>
      <c r="C76" s="19">
        <v>214</v>
      </c>
      <c r="D76" s="18" t="s">
        <v>103</v>
      </c>
      <c r="E76" s="19">
        <v>0</v>
      </c>
      <c r="F76" s="20">
        <f>E76*C76</f>
        <v>0</v>
      </c>
      <c r="G76" s="19">
        <v>709</v>
      </c>
      <c r="H76" s="20">
        <f>G76*C76</f>
        <v>151726</v>
      </c>
      <c r="I76" s="19">
        <v>1548</v>
      </c>
      <c r="J76" s="20">
        <f>I76*C76</f>
        <v>331272</v>
      </c>
      <c r="K76" s="20">
        <f>E76+G76+I76</f>
        <v>2257</v>
      </c>
      <c r="L76" s="20">
        <f>F76+H76+J76</f>
        <v>482998</v>
      </c>
      <c r="M76" s="18"/>
    </row>
    <row r="77" spans="1:13" x14ac:dyDescent="0.3">
      <c r="A77" s="18" t="s">
        <v>213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x14ac:dyDescent="0.3">
      <c r="A78" s="18" t="s">
        <v>214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x14ac:dyDescent="0.3">
      <c r="A79" s="18" t="s">
        <v>215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x14ac:dyDescent="0.3">
      <c r="A80" s="18" t="s">
        <v>154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x14ac:dyDescent="0.3">
      <c r="A81" s="18" t="s">
        <v>216</v>
      </c>
      <c r="B81" s="18" t="s">
        <v>111</v>
      </c>
      <c r="C81" s="19">
        <v>2694</v>
      </c>
      <c r="D81" s="18" t="s">
        <v>103</v>
      </c>
      <c r="E81" s="19">
        <v>0</v>
      </c>
      <c r="F81" s="20">
        <f>E81*C81</f>
        <v>0</v>
      </c>
      <c r="G81" s="19">
        <v>1918</v>
      </c>
      <c r="H81" s="20">
        <f>G81*C81</f>
        <v>5167092</v>
      </c>
      <c r="I81" s="19">
        <v>4709</v>
      </c>
      <c r="J81" s="20">
        <f>I81*C81</f>
        <v>12686046</v>
      </c>
      <c r="K81" s="20">
        <f>E81+G81+I81</f>
        <v>6627</v>
      </c>
      <c r="L81" s="20">
        <f>F81+H81+J81</f>
        <v>17853138</v>
      </c>
      <c r="M81" s="18"/>
    </row>
    <row r="82" spans="1:13" x14ac:dyDescent="0.3">
      <c r="A82" s="18" t="s">
        <v>221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x14ac:dyDescent="0.3">
      <c r="A83" s="18" t="s">
        <v>222</v>
      </c>
      <c r="B83" s="18" t="s">
        <v>226</v>
      </c>
      <c r="C83" s="19">
        <v>2103</v>
      </c>
      <c r="D83" s="18" t="s">
        <v>103</v>
      </c>
      <c r="E83" s="19">
        <v>0</v>
      </c>
      <c r="F83" s="20">
        <f>E83*C83</f>
        <v>0</v>
      </c>
      <c r="G83" s="19">
        <v>1918</v>
      </c>
      <c r="H83" s="20">
        <f>G83*C83</f>
        <v>4033554</v>
      </c>
      <c r="I83" s="19">
        <v>5233</v>
      </c>
      <c r="J83" s="20">
        <f>I83*C83</f>
        <v>11004999</v>
      </c>
      <c r="K83" s="20">
        <f>E83+G83+I83</f>
        <v>7151</v>
      </c>
      <c r="L83" s="20">
        <f>F83+H83+J83</f>
        <v>15038553</v>
      </c>
      <c r="M83" s="18"/>
    </row>
    <row r="84" spans="1:13" x14ac:dyDescent="0.3">
      <c r="A84" s="18" t="s">
        <v>227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x14ac:dyDescent="0.3">
      <c r="A85" s="18" t="s">
        <v>228</v>
      </c>
      <c r="B85" s="18" t="s">
        <v>229</v>
      </c>
      <c r="C85" s="19">
        <v>591</v>
      </c>
      <c r="D85" s="18" t="s">
        <v>103</v>
      </c>
      <c r="E85" s="19">
        <v>0</v>
      </c>
      <c r="F85" s="20">
        <f>E85*C85</f>
        <v>0</v>
      </c>
      <c r="G85" s="19">
        <v>0</v>
      </c>
      <c r="H85" s="20">
        <f>G85*C85</f>
        <v>0</v>
      </c>
      <c r="I85" s="19">
        <v>10466</v>
      </c>
      <c r="J85" s="20">
        <f>I85*C85</f>
        <v>6185406</v>
      </c>
      <c r="K85" s="20">
        <f>E85+G85+I85</f>
        <v>10466</v>
      </c>
      <c r="L85" s="20">
        <f>F85+H85+J85</f>
        <v>6185406</v>
      </c>
      <c r="M85" s="18"/>
    </row>
    <row r="86" spans="1:13" x14ac:dyDescent="0.3">
      <c r="A86" s="18" t="s">
        <v>230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x14ac:dyDescent="0.3">
      <c r="A87" s="18" t="s">
        <v>231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ht="24" x14ac:dyDescent="0.3">
      <c r="A88" s="18" t="s">
        <v>232</v>
      </c>
      <c r="B88" s="18" t="s">
        <v>233</v>
      </c>
      <c r="C88" s="19">
        <v>107</v>
      </c>
      <c r="D88" s="18" t="s">
        <v>234</v>
      </c>
      <c r="E88" s="19">
        <v>0</v>
      </c>
      <c r="F88" s="20">
        <f>E88*C88</f>
        <v>0</v>
      </c>
      <c r="G88" s="19">
        <v>13174</v>
      </c>
      <c r="H88" s="20">
        <f>G88*C88</f>
        <v>1409618</v>
      </c>
      <c r="I88" s="19">
        <v>13209</v>
      </c>
      <c r="J88" s="20">
        <f>I88*C88</f>
        <v>1413363</v>
      </c>
      <c r="K88" s="20">
        <f>E88+G88+I88</f>
        <v>26383</v>
      </c>
      <c r="L88" s="20">
        <f>F88+H88+J88</f>
        <v>2822981</v>
      </c>
      <c r="M88" s="18"/>
    </row>
    <row r="89" spans="1:13" ht="24" x14ac:dyDescent="0.3">
      <c r="A89" s="18" t="s">
        <v>237</v>
      </c>
      <c r="B89" s="18" t="s">
        <v>238</v>
      </c>
      <c r="C89" s="19">
        <v>275</v>
      </c>
      <c r="D89" s="18" t="s">
        <v>234</v>
      </c>
      <c r="E89" s="19">
        <v>0</v>
      </c>
      <c r="F89" s="20">
        <f>E89*C89</f>
        <v>0</v>
      </c>
      <c r="G89" s="19">
        <v>17087</v>
      </c>
      <c r="H89" s="20">
        <f>G89*C89</f>
        <v>4698925</v>
      </c>
      <c r="I89" s="19">
        <v>17164</v>
      </c>
      <c r="J89" s="20">
        <f>I89*C89</f>
        <v>4720100</v>
      </c>
      <c r="K89" s="20">
        <f>E89+G89+I89</f>
        <v>34251</v>
      </c>
      <c r="L89" s="20">
        <f>F89+H89+J89</f>
        <v>9419025</v>
      </c>
      <c r="M89" s="18"/>
    </row>
    <row r="90" spans="1:13" x14ac:dyDescent="0.3">
      <c r="A90" s="18" t="s">
        <v>247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x14ac:dyDescent="0.3">
      <c r="A91" s="18" t="s">
        <v>248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x14ac:dyDescent="0.3">
      <c r="A92" s="18" t="s">
        <v>249</v>
      </c>
      <c r="B92" s="18" t="s">
        <v>250</v>
      </c>
      <c r="C92" s="19">
        <v>134</v>
      </c>
      <c r="D92" s="18" t="s">
        <v>103</v>
      </c>
      <c r="E92" s="19">
        <v>0</v>
      </c>
      <c r="F92" s="20">
        <f>E92*C92</f>
        <v>0</v>
      </c>
      <c r="G92" s="19">
        <v>9588</v>
      </c>
      <c r="H92" s="20">
        <f>G92*C92</f>
        <v>1284792</v>
      </c>
      <c r="I92" s="19">
        <v>18839</v>
      </c>
      <c r="J92" s="20">
        <f>I92*C92</f>
        <v>2524426</v>
      </c>
      <c r="K92" s="20">
        <f>E92+G92+I92</f>
        <v>28427</v>
      </c>
      <c r="L92" s="20">
        <f>F92+H92+J92</f>
        <v>3809218</v>
      </c>
      <c r="M92" s="18"/>
    </row>
    <row r="93" spans="1:13" x14ac:dyDescent="0.3">
      <c r="A93" s="18" t="s">
        <v>251</v>
      </c>
      <c r="B93" s="18" t="s">
        <v>252</v>
      </c>
      <c r="C93" s="19">
        <v>508</v>
      </c>
      <c r="D93" s="18" t="s">
        <v>97</v>
      </c>
      <c r="E93" s="19">
        <v>7191</v>
      </c>
      <c r="F93" s="20">
        <f>E93*C93</f>
        <v>3653028</v>
      </c>
      <c r="G93" s="19">
        <v>27327</v>
      </c>
      <c r="H93" s="20">
        <f>G93*C93</f>
        <v>13882116</v>
      </c>
      <c r="I93" s="19">
        <v>2094</v>
      </c>
      <c r="J93" s="20">
        <f>I93*C93</f>
        <v>1063752</v>
      </c>
      <c r="K93" s="20">
        <f>E93+G93+I93</f>
        <v>36612</v>
      </c>
      <c r="L93" s="20">
        <f>F93+H93+J93</f>
        <v>18598896</v>
      </c>
      <c r="M93" s="18"/>
    </row>
    <row r="94" spans="1:13" x14ac:dyDescent="0.3">
      <c r="A94" s="18" t="s">
        <v>253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x14ac:dyDescent="0.3">
      <c r="A95" s="18" t="s">
        <v>254</v>
      </c>
      <c r="B95" s="18" t="s">
        <v>257</v>
      </c>
      <c r="C95" s="19">
        <v>28</v>
      </c>
      <c r="D95" s="18" t="s">
        <v>204</v>
      </c>
      <c r="E95" s="19">
        <v>0</v>
      </c>
      <c r="F95" s="20">
        <f>E95*C95</f>
        <v>0</v>
      </c>
      <c r="G95" s="19">
        <v>56571</v>
      </c>
      <c r="H95" s="20">
        <f>G95*C95</f>
        <v>1583988</v>
      </c>
      <c r="I95" s="19">
        <v>28049</v>
      </c>
      <c r="J95" s="20">
        <f>I95*C95</f>
        <v>785372</v>
      </c>
      <c r="K95" s="20">
        <f>E95+G95+I95</f>
        <v>84620</v>
      </c>
      <c r="L95" s="20">
        <f>F95+H95+J95</f>
        <v>2369360</v>
      </c>
      <c r="M95" s="18"/>
    </row>
    <row r="96" spans="1:13" x14ac:dyDescent="0.3">
      <c r="A96" s="18" t="s">
        <v>262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x14ac:dyDescent="0.3">
      <c r="A97" s="18" t="s">
        <v>263</v>
      </c>
      <c r="B97" s="18" t="s">
        <v>264</v>
      </c>
      <c r="C97" s="19">
        <v>28</v>
      </c>
      <c r="D97" s="18" t="s">
        <v>204</v>
      </c>
      <c r="E97" s="19">
        <v>0</v>
      </c>
      <c r="F97" s="20">
        <f>E97*C97</f>
        <v>0</v>
      </c>
      <c r="G97" s="19">
        <v>36302</v>
      </c>
      <c r="H97" s="20">
        <f>G97*C97</f>
        <v>1016456</v>
      </c>
      <c r="I97" s="19">
        <v>18693</v>
      </c>
      <c r="J97" s="20">
        <f>I97*C97</f>
        <v>523404</v>
      </c>
      <c r="K97" s="20">
        <f>E97+G97+I97</f>
        <v>54995</v>
      </c>
      <c r="L97" s="20">
        <f>F97+H97+J97</f>
        <v>1539860</v>
      </c>
      <c r="M97" s="18"/>
    </row>
    <row r="98" spans="1:13" x14ac:dyDescent="0.3">
      <c r="A98" s="18" t="s">
        <v>265</v>
      </c>
      <c r="B98" s="18" t="s">
        <v>268</v>
      </c>
      <c r="C98" s="19">
        <v>5</v>
      </c>
      <c r="D98" s="18" t="s">
        <v>204</v>
      </c>
      <c r="E98" s="19">
        <v>0</v>
      </c>
      <c r="F98" s="20">
        <f>E98*C98</f>
        <v>0</v>
      </c>
      <c r="G98" s="19">
        <v>52736</v>
      </c>
      <c r="H98" s="20">
        <f>G98*C98</f>
        <v>263680</v>
      </c>
      <c r="I98" s="19">
        <v>26165</v>
      </c>
      <c r="J98" s="20">
        <f>I98*C98</f>
        <v>130825</v>
      </c>
      <c r="K98" s="20">
        <f>E98+G98+I98</f>
        <v>78901</v>
      </c>
      <c r="L98" s="20">
        <f>F98+H98+J98</f>
        <v>394505</v>
      </c>
      <c r="M98" s="18"/>
    </row>
    <row r="99" spans="1:13" x14ac:dyDescent="0.3">
      <c r="A99" s="18" t="s">
        <v>277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1:13" x14ac:dyDescent="0.3">
      <c r="A100" s="18" t="s">
        <v>1172</v>
      </c>
      <c r="B100" s="18" t="s">
        <v>281</v>
      </c>
      <c r="C100" s="19">
        <v>275</v>
      </c>
      <c r="D100" s="18" t="s">
        <v>234</v>
      </c>
      <c r="E100" s="19">
        <v>479</v>
      </c>
      <c r="F100" s="20">
        <f>E100*C100</f>
        <v>131725</v>
      </c>
      <c r="G100" s="19">
        <v>479</v>
      </c>
      <c r="H100" s="20">
        <f>G100*C100</f>
        <v>131725</v>
      </c>
      <c r="I100" s="19">
        <v>0</v>
      </c>
      <c r="J100" s="20">
        <f>I100*C100</f>
        <v>0</v>
      </c>
      <c r="K100" s="20">
        <f>E100+G100+I100</f>
        <v>958</v>
      </c>
      <c r="L100" s="20">
        <f>F100+H100+J100</f>
        <v>263450</v>
      </c>
      <c r="M100" s="18"/>
    </row>
    <row r="101" spans="1:13" x14ac:dyDescent="0.3">
      <c r="A101" s="18" t="s">
        <v>284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1:13" x14ac:dyDescent="0.3">
      <c r="A102" s="18" t="s">
        <v>285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1:13" x14ac:dyDescent="0.3">
      <c r="A103" s="18" t="s">
        <v>1173</v>
      </c>
      <c r="B103" s="18" t="s">
        <v>1174</v>
      </c>
      <c r="C103" s="19">
        <v>5</v>
      </c>
      <c r="D103" s="18" t="s">
        <v>204</v>
      </c>
      <c r="E103" s="19">
        <v>815008</v>
      </c>
      <c r="F103" s="20">
        <f>E103*C103</f>
        <v>4075040</v>
      </c>
      <c r="G103" s="19">
        <v>159166</v>
      </c>
      <c r="H103" s="20">
        <f>G103*C103</f>
        <v>795830</v>
      </c>
      <c r="I103" s="19">
        <v>180590</v>
      </c>
      <c r="J103" s="20">
        <f>I103*C103</f>
        <v>902950</v>
      </c>
      <c r="K103" s="20">
        <f>E103+G103+I103</f>
        <v>1154764</v>
      </c>
      <c r="L103" s="20">
        <f>F103+H103+J103</f>
        <v>5773820</v>
      </c>
      <c r="M103" s="18"/>
    </row>
    <row r="104" spans="1:13" x14ac:dyDescent="0.3">
      <c r="A104" s="18" t="s">
        <v>1175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1:13" x14ac:dyDescent="0.3">
      <c r="A105" s="18" t="s">
        <v>306</v>
      </c>
      <c r="B105" s="18" t="s">
        <v>307</v>
      </c>
      <c r="C105" s="21">
        <v>1.1579999999999999</v>
      </c>
      <c r="D105" s="18" t="s">
        <v>103</v>
      </c>
      <c r="E105" s="19">
        <v>0</v>
      </c>
      <c r="F105" s="20">
        <f>E105*C105</f>
        <v>0</v>
      </c>
      <c r="G105" s="19">
        <v>166549</v>
      </c>
      <c r="H105" s="20">
        <f>G105*C105</f>
        <v>192863.742</v>
      </c>
      <c r="I105" s="19">
        <v>0</v>
      </c>
      <c r="J105" s="20">
        <f>I105*C105</f>
        <v>0</v>
      </c>
      <c r="K105" s="20">
        <f>E105+G105+I105</f>
        <v>166549</v>
      </c>
      <c r="L105" s="20">
        <f>F105+H105+J105</f>
        <v>192863.742</v>
      </c>
      <c r="M105" s="18"/>
    </row>
    <row r="106" spans="1:13" x14ac:dyDescent="0.3">
      <c r="A106" s="18" t="s">
        <v>310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3" x14ac:dyDescent="0.3">
      <c r="A107" s="18" t="s">
        <v>311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1:13" x14ac:dyDescent="0.3">
      <c r="A108" s="18" t="s">
        <v>312</v>
      </c>
      <c r="B108" s="18" t="s">
        <v>313</v>
      </c>
      <c r="C108" s="19">
        <v>28</v>
      </c>
      <c r="D108" s="18" t="s">
        <v>204</v>
      </c>
      <c r="E108" s="19">
        <v>69995</v>
      </c>
      <c r="F108" s="20">
        <f>E108*C108</f>
        <v>1959860</v>
      </c>
      <c r="G108" s="19">
        <v>47942</v>
      </c>
      <c r="H108" s="20">
        <f>G108*C108</f>
        <v>1342376</v>
      </c>
      <c r="I108" s="19">
        <v>65412</v>
      </c>
      <c r="J108" s="20">
        <f>I108*C108</f>
        <v>1831536</v>
      </c>
      <c r="K108" s="20">
        <f>E108+G108+I108</f>
        <v>183349</v>
      </c>
      <c r="L108" s="20">
        <f>F108+H108+J108</f>
        <v>5133772</v>
      </c>
      <c r="M108" s="18"/>
    </row>
    <row r="109" spans="1:13" x14ac:dyDescent="0.3">
      <c r="A109" s="18" t="s">
        <v>314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1:13" x14ac:dyDescent="0.3">
      <c r="A110" s="18" t="s">
        <v>315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 x14ac:dyDescent="0.3">
      <c r="A111" s="18" t="s">
        <v>316</v>
      </c>
      <c r="B111" s="18" t="s">
        <v>317</v>
      </c>
      <c r="C111" s="19">
        <v>72</v>
      </c>
      <c r="D111" s="18" t="s">
        <v>234</v>
      </c>
      <c r="E111" s="19">
        <v>841855</v>
      </c>
      <c r="F111" s="20">
        <f>E111*C111</f>
        <v>60613560</v>
      </c>
      <c r="G111" s="19">
        <v>172590</v>
      </c>
      <c r="H111" s="20">
        <f>G111*C111</f>
        <v>12426480</v>
      </c>
      <c r="I111" s="19">
        <v>57563</v>
      </c>
      <c r="J111" s="20">
        <f>I111*C111</f>
        <v>4144536</v>
      </c>
      <c r="K111" s="20">
        <f>E111+G111+I111</f>
        <v>1072008</v>
      </c>
      <c r="L111" s="20">
        <f>F111+H111+J111</f>
        <v>77184576</v>
      </c>
      <c r="M111" s="18"/>
    </row>
    <row r="112" spans="1:13" x14ac:dyDescent="0.3">
      <c r="A112" s="18" t="s">
        <v>1176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1:13" x14ac:dyDescent="0.3">
      <c r="A113" s="18" t="s">
        <v>325</v>
      </c>
      <c r="B113" s="18" t="s">
        <v>250</v>
      </c>
      <c r="C113" s="19">
        <v>18</v>
      </c>
      <c r="D113" s="18" t="s">
        <v>103</v>
      </c>
      <c r="E113" s="19">
        <v>0</v>
      </c>
      <c r="F113" s="20">
        <f>E113*C113</f>
        <v>0</v>
      </c>
      <c r="G113" s="19">
        <v>12465</v>
      </c>
      <c r="H113" s="20">
        <f>G113*C113</f>
        <v>224370</v>
      </c>
      <c r="I113" s="19">
        <v>11513</v>
      </c>
      <c r="J113" s="20">
        <f>I113*C113</f>
        <v>207234</v>
      </c>
      <c r="K113" s="20">
        <f>E113+G113+I113</f>
        <v>23978</v>
      </c>
      <c r="L113" s="20">
        <f>F113+H113+J113</f>
        <v>431604</v>
      </c>
      <c r="M113" s="18"/>
    </row>
    <row r="114" spans="1:13" x14ac:dyDescent="0.3">
      <c r="A114" s="18" t="s">
        <v>326</v>
      </c>
      <c r="B114" s="18" t="s">
        <v>252</v>
      </c>
      <c r="C114" s="19">
        <v>30</v>
      </c>
      <c r="D114" s="18" t="s">
        <v>97</v>
      </c>
      <c r="E114" s="19">
        <v>7191</v>
      </c>
      <c r="F114" s="20">
        <f>E114*C114</f>
        <v>215730</v>
      </c>
      <c r="G114" s="19">
        <v>26847</v>
      </c>
      <c r="H114" s="20">
        <f>G114*C114</f>
        <v>805410</v>
      </c>
      <c r="I114" s="19">
        <v>1570</v>
      </c>
      <c r="J114" s="20">
        <f>I114*C114</f>
        <v>47100</v>
      </c>
      <c r="K114" s="20">
        <f>E114+G114+I114</f>
        <v>35608</v>
      </c>
      <c r="L114" s="20">
        <f>F114+H114+J114</f>
        <v>1068240</v>
      </c>
      <c r="M114" s="18"/>
    </row>
    <row r="115" spans="1:13" x14ac:dyDescent="0.3">
      <c r="A115" s="18" t="s">
        <v>499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1:13" x14ac:dyDescent="0.3">
      <c r="A116" s="18" t="s">
        <v>376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1:13" x14ac:dyDescent="0.3">
      <c r="A117" s="18" t="s">
        <v>377</v>
      </c>
      <c r="B117" s="18" t="s">
        <v>378</v>
      </c>
      <c r="C117" s="19">
        <v>17</v>
      </c>
      <c r="D117" s="18" t="s">
        <v>379</v>
      </c>
      <c r="E117" s="19">
        <v>6042</v>
      </c>
      <c r="F117" s="20">
        <f>E117*C117</f>
        <v>102714</v>
      </c>
      <c r="G117" s="19">
        <v>0</v>
      </c>
      <c r="H117" s="20">
        <f>G117*C117</f>
        <v>0</v>
      </c>
      <c r="I117" s="19">
        <v>0</v>
      </c>
      <c r="J117" s="20">
        <f>I117*C117</f>
        <v>0</v>
      </c>
      <c r="K117" s="20">
        <f>E117+G117+I117</f>
        <v>6042</v>
      </c>
      <c r="L117" s="20">
        <f>F117+H117+J117</f>
        <v>102714</v>
      </c>
      <c r="M117" s="18"/>
    </row>
    <row r="118" spans="1:13" x14ac:dyDescent="0.3">
      <c r="A118" s="18" t="s">
        <v>500</v>
      </c>
      <c r="B118" s="18" t="s">
        <v>383</v>
      </c>
      <c r="C118" s="19">
        <v>17</v>
      </c>
      <c r="D118" s="18" t="s">
        <v>379</v>
      </c>
      <c r="E118" s="19">
        <v>0</v>
      </c>
      <c r="F118" s="20">
        <f>E118*C118</f>
        <v>0</v>
      </c>
      <c r="G118" s="19">
        <v>0</v>
      </c>
      <c r="H118" s="20">
        <f>G118*C118</f>
        <v>0</v>
      </c>
      <c r="I118" s="19">
        <v>1118</v>
      </c>
      <c r="J118" s="20">
        <f>I118*C118</f>
        <v>19006</v>
      </c>
      <c r="K118" s="20">
        <f>E118+G118+I118</f>
        <v>1118</v>
      </c>
      <c r="L118" s="20">
        <f>F118+H118+J118</f>
        <v>19006</v>
      </c>
      <c r="M118" s="18"/>
    </row>
    <row r="119" spans="1:13" x14ac:dyDescent="0.3">
      <c r="A119" s="18" t="s">
        <v>384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x14ac:dyDescent="0.3">
      <c r="A120" s="18" t="s">
        <v>385</v>
      </c>
      <c r="B120" s="18" t="s">
        <v>386</v>
      </c>
      <c r="C120" s="19">
        <v>18</v>
      </c>
      <c r="D120" s="18" t="s">
        <v>103</v>
      </c>
      <c r="E120" s="19">
        <v>24930</v>
      </c>
      <c r="F120" s="20">
        <f>E120*C120</f>
        <v>448740</v>
      </c>
      <c r="G120" s="19">
        <v>0</v>
      </c>
      <c r="H120" s="20">
        <f>G120*C120</f>
        <v>0</v>
      </c>
      <c r="I120" s="19">
        <v>0</v>
      </c>
      <c r="J120" s="20">
        <f>I120*C120</f>
        <v>0</v>
      </c>
      <c r="K120" s="20">
        <f>E120+G120+I120</f>
        <v>24930</v>
      </c>
      <c r="L120" s="20">
        <f>F120+H120+J120</f>
        <v>448740</v>
      </c>
      <c r="M120" s="18"/>
    </row>
    <row r="121" spans="1:13" x14ac:dyDescent="0.3">
      <c r="A121" s="18" t="s">
        <v>1177</v>
      </c>
      <c r="B121" s="18" t="s">
        <v>390</v>
      </c>
      <c r="C121" s="19">
        <v>3</v>
      </c>
      <c r="D121" s="18" t="s">
        <v>103</v>
      </c>
      <c r="E121" s="19">
        <v>17259</v>
      </c>
      <c r="F121" s="20">
        <f>E121*C121</f>
        <v>51777</v>
      </c>
      <c r="G121" s="19">
        <v>0</v>
      </c>
      <c r="H121" s="20">
        <f>G121*C121</f>
        <v>0</v>
      </c>
      <c r="I121" s="19">
        <v>0</v>
      </c>
      <c r="J121" s="20">
        <f>I121*C121</f>
        <v>0</v>
      </c>
      <c r="K121" s="20">
        <f>E121+G121+I121</f>
        <v>17259</v>
      </c>
      <c r="L121" s="20">
        <f>F121+H121+J121</f>
        <v>51777</v>
      </c>
      <c r="M121" s="18"/>
    </row>
    <row r="122" spans="1:13" x14ac:dyDescent="0.3">
      <c r="A122" s="18" t="s">
        <v>919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1:13" x14ac:dyDescent="0.3">
      <c r="A123" s="18" t="s">
        <v>406</v>
      </c>
      <c r="B123" s="18" t="s">
        <v>407</v>
      </c>
      <c r="C123" s="19">
        <v>134</v>
      </c>
      <c r="D123" s="18" t="s">
        <v>103</v>
      </c>
      <c r="E123" s="19">
        <v>84377</v>
      </c>
      <c r="F123" s="20">
        <f>E123*C123</f>
        <v>11306518</v>
      </c>
      <c r="G123" s="19">
        <v>0</v>
      </c>
      <c r="H123" s="20">
        <f>G123*C123</f>
        <v>0</v>
      </c>
      <c r="I123" s="19">
        <v>0</v>
      </c>
      <c r="J123" s="20">
        <f>I123*C123</f>
        <v>0</v>
      </c>
      <c r="K123" s="20">
        <f>E123+G123+I123</f>
        <v>84377</v>
      </c>
      <c r="L123" s="20">
        <f>F123+H123+J123</f>
        <v>11306518</v>
      </c>
      <c r="M123" s="18"/>
    </row>
    <row r="124" spans="1:13" x14ac:dyDescent="0.3">
      <c r="A124" s="18" t="s">
        <v>408</v>
      </c>
      <c r="B124" s="18" t="s">
        <v>409</v>
      </c>
      <c r="C124" s="19">
        <v>18</v>
      </c>
      <c r="D124" s="18" t="s">
        <v>103</v>
      </c>
      <c r="E124" s="19">
        <v>82651</v>
      </c>
      <c r="F124" s="20">
        <f>E124*C124</f>
        <v>1487718</v>
      </c>
      <c r="G124" s="19">
        <v>0</v>
      </c>
      <c r="H124" s="20">
        <f>G124*C124</f>
        <v>0</v>
      </c>
      <c r="I124" s="19">
        <v>0</v>
      </c>
      <c r="J124" s="20">
        <f>I124*C124</f>
        <v>0</v>
      </c>
      <c r="K124" s="20">
        <f>E124+G124+I124</f>
        <v>82651</v>
      </c>
      <c r="L124" s="20">
        <f>F124+H124+J124</f>
        <v>1487718</v>
      </c>
      <c r="M124" s="18"/>
    </row>
    <row r="125" spans="1:13" x14ac:dyDescent="0.3">
      <c r="A125" s="18" t="s">
        <v>1178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x14ac:dyDescent="0.3">
      <c r="A126" s="18" t="s">
        <v>411</v>
      </c>
      <c r="B126" s="18" t="s">
        <v>412</v>
      </c>
      <c r="C126" s="19">
        <v>107</v>
      </c>
      <c r="D126" s="18" t="s">
        <v>413</v>
      </c>
      <c r="E126" s="19">
        <v>17779</v>
      </c>
      <c r="F126" s="20">
        <f>E126*C126</f>
        <v>1902353</v>
      </c>
      <c r="G126" s="19">
        <v>0</v>
      </c>
      <c r="H126" s="20">
        <f>G126*C126</f>
        <v>0</v>
      </c>
      <c r="I126" s="19">
        <v>4500</v>
      </c>
      <c r="J126" s="20">
        <f>I126*C126</f>
        <v>481500</v>
      </c>
      <c r="K126" s="20">
        <f t="shared" ref="K126:L129" si="2">E126+G126+I126</f>
        <v>22279</v>
      </c>
      <c r="L126" s="20">
        <f t="shared" si="2"/>
        <v>2383853</v>
      </c>
      <c r="M126" s="18"/>
    </row>
    <row r="127" spans="1:13" x14ac:dyDescent="0.3">
      <c r="A127" s="18" t="s">
        <v>414</v>
      </c>
      <c r="B127" s="18" t="s">
        <v>417</v>
      </c>
      <c r="C127" s="19">
        <v>275</v>
      </c>
      <c r="D127" s="18" t="s">
        <v>413</v>
      </c>
      <c r="E127" s="19">
        <v>45353</v>
      </c>
      <c r="F127" s="20">
        <f>E127*C127</f>
        <v>12472075</v>
      </c>
      <c r="G127" s="19">
        <v>0</v>
      </c>
      <c r="H127" s="20">
        <f>G127*C127</f>
        <v>0</v>
      </c>
      <c r="I127" s="19">
        <v>8582</v>
      </c>
      <c r="J127" s="20">
        <f>I127*C127</f>
        <v>2360050</v>
      </c>
      <c r="K127" s="20">
        <f t="shared" si="2"/>
        <v>53935</v>
      </c>
      <c r="L127" s="20">
        <f t="shared" si="2"/>
        <v>14832125</v>
      </c>
      <c r="M127" s="18"/>
    </row>
    <row r="128" spans="1:13" x14ac:dyDescent="0.3">
      <c r="A128" s="18" t="s">
        <v>1179</v>
      </c>
      <c r="B128" s="18" t="s">
        <v>427</v>
      </c>
      <c r="C128" s="19">
        <v>43</v>
      </c>
      <c r="D128" s="18" t="s">
        <v>371</v>
      </c>
      <c r="E128" s="19">
        <v>0</v>
      </c>
      <c r="F128" s="20">
        <f>E128*C128</f>
        <v>0</v>
      </c>
      <c r="G128" s="19">
        <v>0</v>
      </c>
      <c r="H128" s="20">
        <f>G128*C128</f>
        <v>0</v>
      </c>
      <c r="I128" s="19">
        <v>2198</v>
      </c>
      <c r="J128" s="20">
        <f>I128*C128</f>
        <v>94514</v>
      </c>
      <c r="K128" s="20">
        <f t="shared" si="2"/>
        <v>2198</v>
      </c>
      <c r="L128" s="20">
        <f t="shared" si="2"/>
        <v>94514</v>
      </c>
      <c r="M128" s="18"/>
    </row>
    <row r="129" spans="1:13" x14ac:dyDescent="0.3">
      <c r="A129" s="18" t="s">
        <v>1180</v>
      </c>
      <c r="B129" s="18" t="s">
        <v>431</v>
      </c>
      <c r="C129" s="19">
        <v>110</v>
      </c>
      <c r="D129" s="18" t="s">
        <v>371</v>
      </c>
      <c r="E129" s="19">
        <v>0</v>
      </c>
      <c r="F129" s="20">
        <f>E129*C129</f>
        <v>0</v>
      </c>
      <c r="G129" s="19">
        <v>0</v>
      </c>
      <c r="H129" s="20">
        <f>G129*C129</f>
        <v>0</v>
      </c>
      <c r="I129" s="19">
        <v>3422</v>
      </c>
      <c r="J129" s="20">
        <f>I129*C129</f>
        <v>376420</v>
      </c>
      <c r="K129" s="20">
        <f t="shared" si="2"/>
        <v>3422</v>
      </c>
      <c r="L129" s="20">
        <f t="shared" si="2"/>
        <v>376420</v>
      </c>
      <c r="M129" s="18"/>
    </row>
    <row r="130" spans="1:13" x14ac:dyDescent="0.3">
      <c r="A130" s="18" t="s">
        <v>1181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1:13" x14ac:dyDescent="0.3">
      <c r="A131" s="18" t="s">
        <v>441</v>
      </c>
      <c r="B131" s="18" t="s">
        <v>442</v>
      </c>
      <c r="C131" s="19">
        <v>5</v>
      </c>
      <c r="D131" s="18" t="s">
        <v>443</v>
      </c>
      <c r="E131" s="19">
        <v>306827</v>
      </c>
      <c r="F131" s="20">
        <f>E131*C131</f>
        <v>1534135</v>
      </c>
      <c r="G131" s="19">
        <v>0</v>
      </c>
      <c r="H131" s="20">
        <f>G131*C131</f>
        <v>0</v>
      </c>
      <c r="I131" s="19">
        <v>18839</v>
      </c>
      <c r="J131" s="20">
        <f>I131*C131</f>
        <v>94195</v>
      </c>
      <c r="K131" s="20">
        <f>E131+G131+I131</f>
        <v>325666</v>
      </c>
      <c r="L131" s="20">
        <f>F131+H131+J131</f>
        <v>1628330</v>
      </c>
      <c r="M131" s="18"/>
    </row>
    <row r="132" spans="1:13" x14ac:dyDescent="0.3">
      <c r="A132" s="18" t="s">
        <v>1182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x14ac:dyDescent="0.3">
      <c r="A133" s="18" t="s">
        <v>445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13" x14ac:dyDescent="0.3">
      <c r="A134" s="18" t="s">
        <v>215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1:13" x14ac:dyDescent="0.3">
      <c r="A135" s="18" t="s">
        <v>154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3" x14ac:dyDescent="0.3">
      <c r="A136" s="18" t="s">
        <v>216</v>
      </c>
      <c r="B136" s="18" t="s">
        <v>218</v>
      </c>
      <c r="C136" s="19">
        <v>328</v>
      </c>
      <c r="D136" s="18" t="s">
        <v>103</v>
      </c>
      <c r="E136" s="19">
        <v>789</v>
      </c>
      <c r="F136" s="20">
        <f>E136*C136</f>
        <v>258792</v>
      </c>
      <c r="G136" s="19">
        <v>4731</v>
      </c>
      <c r="H136" s="20">
        <f>G136*C136</f>
        <v>1551768</v>
      </c>
      <c r="I136" s="19">
        <v>861</v>
      </c>
      <c r="J136" s="20">
        <f>I136*C136</f>
        <v>282408</v>
      </c>
      <c r="K136" s="20">
        <f>E136+G136+I136</f>
        <v>6381</v>
      </c>
      <c r="L136" s="20">
        <f>F136+H136+J136</f>
        <v>2092968</v>
      </c>
      <c r="M136" s="18"/>
    </row>
    <row r="137" spans="1:13" x14ac:dyDescent="0.3">
      <c r="A137" s="18" t="s">
        <v>221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1:13" x14ac:dyDescent="0.3">
      <c r="A138" s="18" t="s">
        <v>447</v>
      </c>
      <c r="B138" s="18" t="s">
        <v>224</v>
      </c>
      <c r="C138" s="19">
        <v>320</v>
      </c>
      <c r="D138" s="18" t="s">
        <v>103</v>
      </c>
      <c r="E138" s="19">
        <v>789</v>
      </c>
      <c r="F138" s="20">
        <f>E138*C138</f>
        <v>252480</v>
      </c>
      <c r="G138" s="19">
        <v>2366</v>
      </c>
      <c r="H138" s="20">
        <f>G138*C138</f>
        <v>757120</v>
      </c>
      <c r="I138" s="19">
        <v>2582</v>
      </c>
      <c r="J138" s="20">
        <f>I138*C138</f>
        <v>826240</v>
      </c>
      <c r="K138" s="20">
        <f>E138+G138+I138</f>
        <v>5737</v>
      </c>
      <c r="L138" s="20">
        <f>F138+H138+J138</f>
        <v>1835840</v>
      </c>
      <c r="M138" s="18"/>
    </row>
    <row r="139" spans="1:13" x14ac:dyDescent="0.3">
      <c r="A139" s="18" t="s">
        <v>227</v>
      </c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1:13" x14ac:dyDescent="0.3">
      <c r="A140" s="18" t="s">
        <v>228</v>
      </c>
      <c r="B140" s="18" t="s">
        <v>448</v>
      </c>
      <c r="C140" s="19">
        <v>8</v>
      </c>
      <c r="D140" s="18" t="s">
        <v>103</v>
      </c>
      <c r="E140" s="19">
        <v>0</v>
      </c>
      <c r="F140" s="20">
        <f>E140*C140</f>
        <v>0</v>
      </c>
      <c r="G140" s="19">
        <v>0</v>
      </c>
      <c r="H140" s="20">
        <f>G140*C140</f>
        <v>0</v>
      </c>
      <c r="I140" s="19">
        <v>8607</v>
      </c>
      <c r="J140" s="20">
        <f>I140*C140</f>
        <v>68856</v>
      </c>
      <c r="K140" s="20">
        <f>E140+G140+I140</f>
        <v>8607</v>
      </c>
      <c r="L140" s="20">
        <f>F140+H140+J140</f>
        <v>68856</v>
      </c>
      <c r="M140" s="18"/>
    </row>
    <row r="141" spans="1:13" x14ac:dyDescent="0.3">
      <c r="A141" s="18" t="s">
        <v>513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 x14ac:dyDescent="0.3">
      <c r="A142" s="18" t="s">
        <v>514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1:13" x14ac:dyDescent="0.3">
      <c r="A143" s="18" t="s">
        <v>515</v>
      </c>
      <c r="B143" s="18" t="s">
        <v>516</v>
      </c>
      <c r="C143" s="19">
        <v>312</v>
      </c>
      <c r="D143" s="18" t="s">
        <v>234</v>
      </c>
      <c r="E143" s="19">
        <v>2366</v>
      </c>
      <c r="F143" s="20">
        <f>E143*C143</f>
        <v>738192</v>
      </c>
      <c r="G143" s="19">
        <v>12617</v>
      </c>
      <c r="H143" s="20">
        <f>G143*C143</f>
        <v>3936504</v>
      </c>
      <c r="I143" s="19">
        <v>861</v>
      </c>
      <c r="J143" s="20">
        <f>I143*C143</f>
        <v>268632</v>
      </c>
      <c r="K143" s="20">
        <f>E143+G143+I143</f>
        <v>15844</v>
      </c>
      <c r="L143" s="20">
        <f>F143+H143+J143</f>
        <v>4943328</v>
      </c>
      <c r="M143" s="18"/>
    </row>
    <row r="144" spans="1:13" x14ac:dyDescent="0.3">
      <c r="A144" s="18" t="s">
        <v>519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1:13" x14ac:dyDescent="0.3">
      <c r="A145" s="18" t="s">
        <v>520</v>
      </c>
      <c r="B145" s="18" t="s">
        <v>521</v>
      </c>
      <c r="C145" s="19">
        <v>6</v>
      </c>
      <c r="D145" s="18" t="s">
        <v>204</v>
      </c>
      <c r="E145" s="19">
        <v>13957</v>
      </c>
      <c r="F145" s="20">
        <f>E145*C145</f>
        <v>83742</v>
      </c>
      <c r="G145" s="19">
        <v>39427</v>
      </c>
      <c r="H145" s="20">
        <f>G145*C145</f>
        <v>236562</v>
      </c>
      <c r="I145" s="19">
        <v>0</v>
      </c>
      <c r="J145" s="20">
        <f>I145*C145</f>
        <v>0</v>
      </c>
      <c r="K145" s="20">
        <f>E145+G145+I145</f>
        <v>53384</v>
      </c>
      <c r="L145" s="20">
        <f>F145+H145+J145</f>
        <v>320304</v>
      </c>
      <c r="M145" s="18"/>
    </row>
    <row r="146" spans="1:13" x14ac:dyDescent="0.3">
      <c r="A146" s="18" t="s">
        <v>1183</v>
      </c>
      <c r="B146" s="18" t="s">
        <v>521</v>
      </c>
      <c r="C146" s="19">
        <v>6</v>
      </c>
      <c r="D146" s="18" t="s">
        <v>204</v>
      </c>
      <c r="E146" s="19">
        <v>20897</v>
      </c>
      <c r="F146" s="20">
        <f>E146*C146</f>
        <v>125382</v>
      </c>
      <c r="G146" s="19">
        <v>47313</v>
      </c>
      <c r="H146" s="20">
        <f>G146*C146</f>
        <v>283878</v>
      </c>
      <c r="I146" s="19">
        <v>0</v>
      </c>
      <c r="J146" s="20">
        <f>I146*C146</f>
        <v>0</v>
      </c>
      <c r="K146" s="20">
        <f>E146+G146+I146</f>
        <v>68210</v>
      </c>
      <c r="L146" s="20">
        <f>F146+H146+J146</f>
        <v>409260</v>
      </c>
      <c r="M146" s="18"/>
    </row>
    <row r="147" spans="1:13" x14ac:dyDescent="0.3">
      <c r="A147" s="18" t="s">
        <v>525</v>
      </c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1:13" x14ac:dyDescent="0.3">
      <c r="A148" s="18" t="s">
        <v>526</v>
      </c>
      <c r="B148" s="18" t="s">
        <v>521</v>
      </c>
      <c r="C148" s="19">
        <v>1</v>
      </c>
      <c r="D148" s="18" t="s">
        <v>204</v>
      </c>
      <c r="E148" s="19">
        <v>5599</v>
      </c>
      <c r="F148" s="20">
        <f>E148*C148</f>
        <v>5599</v>
      </c>
      <c r="G148" s="19">
        <v>15771</v>
      </c>
      <c r="H148" s="20">
        <f>G148*C148</f>
        <v>15771</v>
      </c>
      <c r="I148" s="19">
        <v>-1</v>
      </c>
      <c r="J148" s="20">
        <f>I148*C148</f>
        <v>-1</v>
      </c>
      <c r="K148" s="20">
        <f>E148+G148+I148</f>
        <v>21369</v>
      </c>
      <c r="L148" s="20">
        <f>F148+H148+J148</f>
        <v>21369</v>
      </c>
      <c r="M148" s="18"/>
    </row>
    <row r="149" spans="1:13" x14ac:dyDescent="0.3">
      <c r="A149" s="18" t="s">
        <v>528</v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3" x14ac:dyDescent="0.3">
      <c r="A150" s="18" t="s">
        <v>529</v>
      </c>
      <c r="B150" s="18" t="s">
        <v>521</v>
      </c>
      <c r="C150" s="19">
        <v>6</v>
      </c>
      <c r="D150" s="18" t="s">
        <v>204</v>
      </c>
      <c r="E150" s="19">
        <v>0</v>
      </c>
      <c r="F150" s="20">
        <f>E150*C150</f>
        <v>0</v>
      </c>
      <c r="G150" s="19">
        <v>15771</v>
      </c>
      <c r="H150" s="20">
        <f>G150*C150</f>
        <v>94626</v>
      </c>
      <c r="I150" s="19">
        <v>0</v>
      </c>
      <c r="J150" s="20">
        <f>I150*C150</f>
        <v>0</v>
      </c>
      <c r="K150" s="20">
        <f>E150+G150+I150</f>
        <v>15771</v>
      </c>
      <c r="L150" s="20">
        <f>F150+H150+J150</f>
        <v>94626</v>
      </c>
      <c r="M150" s="18"/>
    </row>
    <row r="151" spans="1:13" x14ac:dyDescent="0.3">
      <c r="A151" s="18" t="s">
        <v>550</v>
      </c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1:13" x14ac:dyDescent="0.3">
      <c r="A152" s="18" t="s">
        <v>1184</v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1:13" x14ac:dyDescent="0.3">
      <c r="A153" s="18" t="s">
        <v>557</v>
      </c>
      <c r="B153" s="18" t="s">
        <v>558</v>
      </c>
      <c r="C153" s="19">
        <v>2</v>
      </c>
      <c r="D153" s="18" t="s">
        <v>204</v>
      </c>
      <c r="E153" s="19">
        <v>7886</v>
      </c>
      <c r="F153" s="20">
        <f>E153*C153</f>
        <v>15772</v>
      </c>
      <c r="G153" s="19">
        <v>47313</v>
      </c>
      <c r="H153" s="20">
        <f>G153*C153</f>
        <v>94626</v>
      </c>
      <c r="I153" s="19">
        <v>8607</v>
      </c>
      <c r="J153" s="20">
        <f>I153*C153</f>
        <v>17214</v>
      </c>
      <c r="K153" s="20">
        <f>E153+G153+I153</f>
        <v>63806</v>
      </c>
      <c r="L153" s="20">
        <f>F153+H153+J153</f>
        <v>127612</v>
      </c>
      <c r="M153" s="18"/>
    </row>
    <row r="154" spans="1:13" x14ac:dyDescent="0.3">
      <c r="A154" s="18" t="s">
        <v>578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1:13" x14ac:dyDescent="0.3">
      <c r="A155" s="18" t="s">
        <v>579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1:13" x14ac:dyDescent="0.3">
      <c r="A156" s="18" t="s">
        <v>580</v>
      </c>
      <c r="B156" s="18" t="s">
        <v>581</v>
      </c>
      <c r="C156" s="19">
        <v>1</v>
      </c>
      <c r="D156" s="18" t="s">
        <v>204</v>
      </c>
      <c r="E156" s="19">
        <v>788544</v>
      </c>
      <c r="F156" s="20">
        <f>E156*C156</f>
        <v>788544</v>
      </c>
      <c r="G156" s="19">
        <v>3154177</v>
      </c>
      <c r="H156" s="20">
        <f>G156*C156</f>
        <v>3154177</v>
      </c>
      <c r="I156" s="19">
        <v>860717</v>
      </c>
      <c r="J156" s="20">
        <f>I156*C156</f>
        <v>860717</v>
      </c>
      <c r="K156" s="20">
        <f>E156+G156+I156</f>
        <v>4803438</v>
      </c>
      <c r="L156" s="20">
        <f>F156+H156+J156</f>
        <v>4803438</v>
      </c>
      <c r="M156" s="18"/>
    </row>
    <row r="157" spans="1:13" x14ac:dyDescent="0.3">
      <c r="A157" s="18" t="s">
        <v>582</v>
      </c>
      <c r="B157" s="18" t="s">
        <v>583</v>
      </c>
      <c r="C157" s="19">
        <v>2</v>
      </c>
      <c r="D157" s="18" t="s">
        <v>204</v>
      </c>
      <c r="E157" s="19">
        <v>236564</v>
      </c>
      <c r="F157" s="20">
        <f>E157*C157</f>
        <v>473128</v>
      </c>
      <c r="G157" s="19">
        <v>78855</v>
      </c>
      <c r="H157" s="20">
        <f>G157*C157</f>
        <v>157710</v>
      </c>
      <c r="I157" s="19">
        <v>86072</v>
      </c>
      <c r="J157" s="20">
        <f>I157*C157</f>
        <v>172144</v>
      </c>
      <c r="K157" s="20">
        <f>E157+G157+I157</f>
        <v>401491</v>
      </c>
      <c r="L157" s="20">
        <f>F157+H157+J157</f>
        <v>802982</v>
      </c>
      <c r="M157" s="18"/>
    </row>
    <row r="158" spans="1:13" x14ac:dyDescent="0.3">
      <c r="A158" s="18" t="s">
        <v>1185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spans="1:13" x14ac:dyDescent="0.3">
      <c r="A159" s="18" t="s">
        <v>600</v>
      </c>
      <c r="B159" s="18" t="s">
        <v>521</v>
      </c>
      <c r="C159" s="19">
        <v>2</v>
      </c>
      <c r="D159" s="18" t="s">
        <v>204</v>
      </c>
      <c r="E159" s="19">
        <v>13406</v>
      </c>
      <c r="F159" s="20">
        <f>E159*C159</f>
        <v>26812</v>
      </c>
      <c r="G159" s="19">
        <v>39427</v>
      </c>
      <c r="H159" s="20">
        <f>G159*C159</f>
        <v>78854</v>
      </c>
      <c r="I159" s="19">
        <v>8608</v>
      </c>
      <c r="J159" s="20">
        <f>I159*C159</f>
        <v>17216</v>
      </c>
      <c r="K159" s="20">
        <f>E159+G159+I159</f>
        <v>61441</v>
      </c>
      <c r="L159" s="20">
        <f>F159+H159+J159</f>
        <v>122882</v>
      </c>
      <c r="M159" s="18"/>
    </row>
    <row r="160" spans="1:13" x14ac:dyDescent="0.3">
      <c r="A160" s="18" t="s">
        <v>488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spans="1:13" x14ac:dyDescent="0.3">
      <c r="A161" s="18" t="s">
        <v>602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1:13" x14ac:dyDescent="0.3">
      <c r="A162" s="18" t="s">
        <v>1172</v>
      </c>
      <c r="B162" s="18" t="s">
        <v>281</v>
      </c>
      <c r="C162" s="19">
        <v>311</v>
      </c>
      <c r="D162" s="18" t="s">
        <v>234</v>
      </c>
      <c r="E162" s="19">
        <v>394</v>
      </c>
      <c r="F162" s="20">
        <f>E162*C162</f>
        <v>122534</v>
      </c>
      <c r="G162" s="19">
        <v>394</v>
      </c>
      <c r="H162" s="20">
        <f>G162*C162</f>
        <v>122534</v>
      </c>
      <c r="I162" s="19">
        <v>0</v>
      </c>
      <c r="J162" s="20">
        <f>I162*C162</f>
        <v>0</v>
      </c>
      <c r="K162" s="20">
        <f>E162+G162+I162</f>
        <v>788</v>
      </c>
      <c r="L162" s="20">
        <f>F162+H162+J162</f>
        <v>245068</v>
      </c>
      <c r="M162" s="18"/>
    </row>
    <row r="163" spans="1:13" x14ac:dyDescent="0.3">
      <c r="A163" s="18" t="s">
        <v>499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spans="1:13" x14ac:dyDescent="0.3">
      <c r="A164" s="18" t="s">
        <v>611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3" x14ac:dyDescent="0.3">
      <c r="A165" s="18" t="s">
        <v>406</v>
      </c>
      <c r="B165" s="18" t="s">
        <v>409</v>
      </c>
      <c r="C165" s="19">
        <v>1</v>
      </c>
      <c r="D165" s="18" t="s">
        <v>103</v>
      </c>
      <c r="E165" s="19">
        <v>72592</v>
      </c>
      <c r="F165" s="20">
        <f>E165*C165</f>
        <v>72592</v>
      </c>
      <c r="G165" s="19">
        <v>0</v>
      </c>
      <c r="H165" s="20">
        <f>G165*C165</f>
        <v>0</v>
      </c>
      <c r="I165" s="19">
        <v>0</v>
      </c>
      <c r="J165" s="20">
        <f>I165*C165</f>
        <v>0</v>
      </c>
      <c r="K165" s="20">
        <f>E165+G165+I165</f>
        <v>72592</v>
      </c>
      <c r="L165" s="20">
        <f>F165+H165+J165</f>
        <v>72592</v>
      </c>
      <c r="M165" s="18"/>
    </row>
    <row r="166" spans="1:13" x14ac:dyDescent="0.3">
      <c r="A166" s="18" t="s">
        <v>1186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spans="1:13" x14ac:dyDescent="0.3">
      <c r="A167" s="18" t="s">
        <v>623</v>
      </c>
      <c r="B167" s="18" t="s">
        <v>624</v>
      </c>
      <c r="C167" s="19">
        <v>54</v>
      </c>
      <c r="D167" s="18" t="s">
        <v>371</v>
      </c>
      <c r="E167" s="19">
        <v>186885</v>
      </c>
      <c r="F167" s="20">
        <f>E167*C167</f>
        <v>10091790</v>
      </c>
      <c r="G167" s="19">
        <v>0</v>
      </c>
      <c r="H167" s="20">
        <f>G167*C167</f>
        <v>0</v>
      </c>
      <c r="I167" s="19">
        <v>0</v>
      </c>
      <c r="J167" s="20">
        <f>I167*C167</f>
        <v>0</v>
      </c>
      <c r="K167" s="20">
        <f t="shared" ref="K167:L169" si="3">E167+G167+I167</f>
        <v>186885</v>
      </c>
      <c r="L167" s="20">
        <f t="shared" si="3"/>
        <v>10091790</v>
      </c>
      <c r="M167" s="18"/>
    </row>
    <row r="168" spans="1:13" x14ac:dyDescent="0.3">
      <c r="A168" s="18" t="s">
        <v>627</v>
      </c>
      <c r="B168" s="18" t="s">
        <v>628</v>
      </c>
      <c r="C168" s="19">
        <v>141</v>
      </c>
      <c r="D168" s="18" t="s">
        <v>629</v>
      </c>
      <c r="E168" s="19">
        <v>2760</v>
      </c>
      <c r="F168" s="20">
        <f>E168*C168</f>
        <v>389160</v>
      </c>
      <c r="G168" s="19">
        <v>0</v>
      </c>
      <c r="H168" s="20">
        <f>G168*C168</f>
        <v>0</v>
      </c>
      <c r="I168" s="19">
        <v>0</v>
      </c>
      <c r="J168" s="20">
        <f>I168*C168</f>
        <v>0</v>
      </c>
      <c r="K168" s="20">
        <f t="shared" si="3"/>
        <v>2760</v>
      </c>
      <c r="L168" s="20">
        <f t="shared" si="3"/>
        <v>389160</v>
      </c>
      <c r="M168" s="18"/>
    </row>
    <row r="169" spans="1:13" x14ac:dyDescent="0.3">
      <c r="A169" s="18" t="s">
        <v>630</v>
      </c>
      <c r="B169" s="18" t="s">
        <v>631</v>
      </c>
      <c r="C169" s="19">
        <v>7</v>
      </c>
      <c r="D169" s="18" t="s">
        <v>632</v>
      </c>
      <c r="E169" s="19">
        <v>0</v>
      </c>
      <c r="F169" s="20">
        <f>E169*C169</f>
        <v>0</v>
      </c>
      <c r="G169" s="19">
        <v>0</v>
      </c>
      <c r="H169" s="20">
        <f>G169*C169</f>
        <v>0</v>
      </c>
      <c r="I169" s="19">
        <v>17214</v>
      </c>
      <c r="J169" s="20">
        <f>I169*C169</f>
        <v>120498</v>
      </c>
      <c r="K169" s="20">
        <f t="shared" si="3"/>
        <v>17214</v>
      </c>
      <c r="L169" s="20">
        <f t="shared" si="3"/>
        <v>120498</v>
      </c>
      <c r="M169" s="18"/>
    </row>
    <row r="170" spans="1:13" x14ac:dyDescent="0.3">
      <c r="A170" s="18" t="s">
        <v>1187</v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x14ac:dyDescent="0.3">
      <c r="A171" s="18" t="s">
        <v>648</v>
      </c>
      <c r="B171" s="18" t="s">
        <v>558</v>
      </c>
      <c r="C171" s="19">
        <v>2</v>
      </c>
      <c r="D171" s="18" t="s">
        <v>368</v>
      </c>
      <c r="E171" s="19">
        <v>133264</v>
      </c>
      <c r="F171" s="20">
        <f>E171*C171</f>
        <v>266528</v>
      </c>
      <c r="G171" s="19">
        <v>0</v>
      </c>
      <c r="H171" s="20">
        <f>G171*C171</f>
        <v>0</v>
      </c>
      <c r="I171" s="19">
        <v>0</v>
      </c>
      <c r="J171" s="20">
        <f>I171*C171</f>
        <v>0</v>
      </c>
      <c r="K171" s="20">
        <f>E171+G171+I171</f>
        <v>133264</v>
      </c>
      <c r="L171" s="20">
        <f>F171+H171+J171</f>
        <v>266528</v>
      </c>
      <c r="M171" s="18"/>
    </row>
    <row r="172" spans="1:13" x14ac:dyDescent="0.3">
      <c r="A172" s="18" t="s">
        <v>1188</v>
      </c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x14ac:dyDescent="0.3">
      <c r="A173" s="18" t="s">
        <v>441</v>
      </c>
      <c r="B173" s="18" t="s">
        <v>653</v>
      </c>
      <c r="C173" s="19">
        <v>1</v>
      </c>
      <c r="D173" s="18" t="s">
        <v>443</v>
      </c>
      <c r="E173" s="19">
        <v>343017</v>
      </c>
      <c r="F173" s="20">
        <f>E173*C173</f>
        <v>343017</v>
      </c>
      <c r="G173" s="19">
        <v>0</v>
      </c>
      <c r="H173" s="20">
        <f>G173*C173</f>
        <v>0</v>
      </c>
      <c r="I173" s="19">
        <v>0</v>
      </c>
      <c r="J173" s="20">
        <f>I173*C173</f>
        <v>0</v>
      </c>
      <c r="K173" s="20">
        <f>E173+G173+I173</f>
        <v>343017</v>
      </c>
      <c r="L173" s="20">
        <f>F173+H173+J173</f>
        <v>343017</v>
      </c>
      <c r="M173" s="18"/>
    </row>
    <row r="174" spans="1:13" x14ac:dyDescent="0.3">
      <c r="A174" s="18" t="s">
        <v>1189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x14ac:dyDescent="0.3">
      <c r="A175" s="18" t="s">
        <v>1190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x14ac:dyDescent="0.3">
      <c r="A176" s="18" t="s">
        <v>658</v>
      </c>
      <c r="B176" s="18" t="s">
        <v>659</v>
      </c>
      <c r="C176" s="19">
        <v>2180</v>
      </c>
      <c r="D176" s="18" t="s">
        <v>97</v>
      </c>
      <c r="E176" s="19">
        <v>0</v>
      </c>
      <c r="F176" s="20">
        <f t="shared" ref="F176:F182" si="4">E176*C176</f>
        <v>0</v>
      </c>
      <c r="G176" s="19">
        <v>363</v>
      </c>
      <c r="H176" s="20">
        <f t="shared" ref="H176:H182" si="5">G176*C176</f>
        <v>791340</v>
      </c>
      <c r="I176" s="19">
        <v>2788</v>
      </c>
      <c r="J176" s="20">
        <f t="shared" ref="J176:J182" si="6">I176*C176</f>
        <v>6077840</v>
      </c>
      <c r="K176" s="20">
        <f t="shared" ref="K176:L182" si="7">E176+G176+I176</f>
        <v>3151</v>
      </c>
      <c r="L176" s="20">
        <f t="shared" si="7"/>
        <v>6869180</v>
      </c>
      <c r="M176" s="18"/>
    </row>
    <row r="177" spans="1:13" x14ac:dyDescent="0.3">
      <c r="A177" s="18" t="s">
        <v>660</v>
      </c>
      <c r="B177" s="18" t="s">
        <v>659</v>
      </c>
      <c r="C177" s="19">
        <v>2180</v>
      </c>
      <c r="D177" s="18" t="s">
        <v>97</v>
      </c>
      <c r="E177" s="19">
        <v>0</v>
      </c>
      <c r="F177" s="20">
        <f t="shared" si="4"/>
        <v>0</v>
      </c>
      <c r="G177" s="19">
        <v>363</v>
      </c>
      <c r="H177" s="20">
        <f t="shared" si="5"/>
        <v>791340</v>
      </c>
      <c r="I177" s="19">
        <v>2788</v>
      </c>
      <c r="J177" s="20">
        <f t="shared" si="6"/>
        <v>6077840</v>
      </c>
      <c r="K177" s="20">
        <f t="shared" si="7"/>
        <v>3151</v>
      </c>
      <c r="L177" s="20">
        <f t="shared" si="7"/>
        <v>6869180</v>
      </c>
      <c r="M177" s="18"/>
    </row>
    <row r="178" spans="1:13" x14ac:dyDescent="0.3">
      <c r="A178" s="18" t="s">
        <v>661</v>
      </c>
      <c r="B178" s="18" t="s">
        <v>662</v>
      </c>
      <c r="C178" s="19">
        <v>2180</v>
      </c>
      <c r="D178" s="18" t="s">
        <v>97</v>
      </c>
      <c r="E178" s="19">
        <v>0</v>
      </c>
      <c r="F178" s="20">
        <f t="shared" si="4"/>
        <v>0</v>
      </c>
      <c r="G178" s="19">
        <v>727</v>
      </c>
      <c r="H178" s="20">
        <f t="shared" si="5"/>
        <v>1584860</v>
      </c>
      <c r="I178" s="19">
        <v>5576</v>
      </c>
      <c r="J178" s="20">
        <f t="shared" si="6"/>
        <v>12155680</v>
      </c>
      <c r="K178" s="20">
        <f t="shared" si="7"/>
        <v>6303</v>
      </c>
      <c r="L178" s="20">
        <f t="shared" si="7"/>
        <v>13740540</v>
      </c>
      <c r="M178" s="18"/>
    </row>
    <row r="179" spans="1:13" x14ac:dyDescent="0.3">
      <c r="A179" s="18" t="s">
        <v>663</v>
      </c>
      <c r="B179" s="18" t="s">
        <v>664</v>
      </c>
      <c r="C179" s="19">
        <v>2180</v>
      </c>
      <c r="D179" s="18" t="s">
        <v>97</v>
      </c>
      <c r="E179" s="19">
        <v>0</v>
      </c>
      <c r="F179" s="20">
        <f t="shared" si="4"/>
        <v>0</v>
      </c>
      <c r="G179" s="19">
        <v>0</v>
      </c>
      <c r="H179" s="20">
        <f t="shared" si="5"/>
        <v>0</v>
      </c>
      <c r="I179" s="19">
        <v>215</v>
      </c>
      <c r="J179" s="20">
        <f t="shared" si="6"/>
        <v>468700</v>
      </c>
      <c r="K179" s="20">
        <f t="shared" si="7"/>
        <v>215</v>
      </c>
      <c r="L179" s="20">
        <f t="shared" si="7"/>
        <v>468700</v>
      </c>
      <c r="M179" s="18"/>
    </row>
    <row r="180" spans="1:13" x14ac:dyDescent="0.3">
      <c r="A180" s="18" t="s">
        <v>665</v>
      </c>
      <c r="B180" s="18" t="s">
        <v>666</v>
      </c>
      <c r="C180" s="19">
        <v>2180</v>
      </c>
      <c r="D180" s="18" t="s">
        <v>97</v>
      </c>
      <c r="E180" s="19">
        <v>0</v>
      </c>
      <c r="F180" s="20">
        <f t="shared" si="4"/>
        <v>0</v>
      </c>
      <c r="G180" s="19">
        <v>0</v>
      </c>
      <c r="H180" s="20">
        <f t="shared" si="5"/>
        <v>0</v>
      </c>
      <c r="I180" s="19">
        <v>215</v>
      </c>
      <c r="J180" s="20">
        <f t="shared" si="6"/>
        <v>468700</v>
      </c>
      <c r="K180" s="20">
        <f t="shared" si="7"/>
        <v>215</v>
      </c>
      <c r="L180" s="20">
        <f t="shared" si="7"/>
        <v>468700</v>
      </c>
      <c r="M180" s="18"/>
    </row>
    <row r="181" spans="1:13" x14ac:dyDescent="0.3">
      <c r="A181" s="18" t="s">
        <v>667</v>
      </c>
      <c r="B181" s="18" t="s">
        <v>668</v>
      </c>
      <c r="C181" s="19">
        <v>4360</v>
      </c>
      <c r="D181" s="18" t="s">
        <v>97</v>
      </c>
      <c r="E181" s="19">
        <v>0</v>
      </c>
      <c r="F181" s="20">
        <f t="shared" si="4"/>
        <v>0</v>
      </c>
      <c r="G181" s="19">
        <v>0</v>
      </c>
      <c r="H181" s="20">
        <f t="shared" si="5"/>
        <v>0</v>
      </c>
      <c r="I181" s="19">
        <v>321</v>
      </c>
      <c r="J181" s="20">
        <f t="shared" si="6"/>
        <v>1399560</v>
      </c>
      <c r="K181" s="20">
        <f t="shared" si="7"/>
        <v>321</v>
      </c>
      <c r="L181" s="20">
        <f t="shared" si="7"/>
        <v>1399560</v>
      </c>
      <c r="M181" s="18"/>
    </row>
    <row r="182" spans="1:13" x14ac:dyDescent="0.3">
      <c r="A182" s="18" t="s">
        <v>669</v>
      </c>
      <c r="B182" s="18" t="s">
        <v>670</v>
      </c>
      <c r="C182" s="19">
        <v>678</v>
      </c>
      <c r="D182" s="18" t="s">
        <v>103</v>
      </c>
      <c r="E182" s="19">
        <v>0</v>
      </c>
      <c r="F182" s="20">
        <f t="shared" si="4"/>
        <v>0</v>
      </c>
      <c r="G182" s="19">
        <v>1474</v>
      </c>
      <c r="H182" s="20">
        <f t="shared" si="5"/>
        <v>999372</v>
      </c>
      <c r="I182" s="19">
        <v>4847</v>
      </c>
      <c r="J182" s="20">
        <f t="shared" si="6"/>
        <v>3286266</v>
      </c>
      <c r="K182" s="20">
        <f t="shared" si="7"/>
        <v>6321</v>
      </c>
      <c r="L182" s="20">
        <f t="shared" si="7"/>
        <v>4285638</v>
      </c>
      <c r="M182" s="18"/>
    </row>
    <row r="183" spans="1:13" x14ac:dyDescent="0.3">
      <c r="A183" s="18" t="s">
        <v>671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x14ac:dyDescent="0.3">
      <c r="A184" s="18" t="s">
        <v>672</v>
      </c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1:13" x14ac:dyDescent="0.3">
      <c r="A185" s="18" t="s">
        <v>673</v>
      </c>
      <c r="B185" s="18" t="s">
        <v>674</v>
      </c>
      <c r="C185" s="19">
        <v>840</v>
      </c>
      <c r="D185" s="18" t="s">
        <v>97</v>
      </c>
      <c r="E185" s="19">
        <v>0</v>
      </c>
      <c r="F185" s="20">
        <f>E185*C185</f>
        <v>0</v>
      </c>
      <c r="G185" s="19">
        <v>14735</v>
      </c>
      <c r="H185" s="20">
        <f>G185*C185</f>
        <v>12377400</v>
      </c>
      <c r="I185" s="19">
        <v>3067</v>
      </c>
      <c r="J185" s="20">
        <f>I185*C185</f>
        <v>2576280</v>
      </c>
      <c r="K185" s="20">
        <f>E185+G185+I185</f>
        <v>17802</v>
      </c>
      <c r="L185" s="20">
        <f>F185+H185+J185</f>
        <v>14953680</v>
      </c>
      <c r="M185" s="18"/>
    </row>
    <row r="186" spans="1:13" x14ac:dyDescent="0.3">
      <c r="A186" s="18" t="s">
        <v>675</v>
      </c>
      <c r="B186" s="18" t="s">
        <v>676</v>
      </c>
      <c r="C186" s="19">
        <v>84</v>
      </c>
      <c r="D186" s="18" t="s">
        <v>103</v>
      </c>
      <c r="E186" s="19">
        <v>0</v>
      </c>
      <c r="F186" s="20">
        <f>E186*C186</f>
        <v>0</v>
      </c>
      <c r="G186" s="19">
        <v>1474</v>
      </c>
      <c r="H186" s="20">
        <f>G186*C186</f>
        <v>123816</v>
      </c>
      <c r="I186" s="19">
        <v>4847</v>
      </c>
      <c r="J186" s="20">
        <f>I186*C186</f>
        <v>407148</v>
      </c>
      <c r="K186" s="20">
        <f>E186+G186+I186</f>
        <v>6321</v>
      </c>
      <c r="L186" s="20">
        <f>F186+H186+J186</f>
        <v>530964</v>
      </c>
      <c r="M186" s="18"/>
    </row>
    <row r="187" spans="1:13" x14ac:dyDescent="0.3">
      <c r="A187" s="18" t="s">
        <v>677</v>
      </c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1:13" x14ac:dyDescent="0.3">
      <c r="A188" s="18" t="s">
        <v>678</v>
      </c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spans="1:13" x14ac:dyDescent="0.3">
      <c r="A189" s="18" t="s">
        <v>679</v>
      </c>
      <c r="B189" s="18" t="s">
        <v>680</v>
      </c>
      <c r="C189" s="19">
        <v>184</v>
      </c>
      <c r="D189" s="18" t="s">
        <v>97</v>
      </c>
      <c r="E189" s="19">
        <v>0</v>
      </c>
      <c r="F189" s="20">
        <f>E189*C189</f>
        <v>0</v>
      </c>
      <c r="G189" s="19">
        <v>12771</v>
      </c>
      <c r="H189" s="20">
        <f>G189*C189</f>
        <v>2349864</v>
      </c>
      <c r="I189" s="19">
        <v>4665</v>
      </c>
      <c r="J189" s="20">
        <f>I189*C189</f>
        <v>858360</v>
      </c>
      <c r="K189" s="20">
        <f t="shared" ref="K189:L191" si="8">E189+G189+I189</f>
        <v>17436</v>
      </c>
      <c r="L189" s="20">
        <f t="shared" si="8"/>
        <v>3208224</v>
      </c>
      <c r="M189" s="18"/>
    </row>
    <row r="190" spans="1:13" x14ac:dyDescent="0.3">
      <c r="A190" s="18" t="s">
        <v>681</v>
      </c>
      <c r="B190" s="18" t="s">
        <v>680</v>
      </c>
      <c r="C190" s="19">
        <v>11</v>
      </c>
      <c r="D190" s="18" t="s">
        <v>97</v>
      </c>
      <c r="E190" s="19">
        <v>0</v>
      </c>
      <c r="F190" s="20">
        <f>E190*C190</f>
        <v>0</v>
      </c>
      <c r="G190" s="19">
        <v>12771</v>
      </c>
      <c r="H190" s="20">
        <f>G190*C190</f>
        <v>140481</v>
      </c>
      <c r="I190" s="19">
        <v>4665</v>
      </c>
      <c r="J190" s="20">
        <f>I190*C190</f>
        <v>51315</v>
      </c>
      <c r="K190" s="20">
        <f t="shared" si="8"/>
        <v>17436</v>
      </c>
      <c r="L190" s="20">
        <f t="shared" si="8"/>
        <v>191796</v>
      </c>
      <c r="M190" s="18"/>
    </row>
    <row r="191" spans="1:13" x14ac:dyDescent="0.3">
      <c r="A191" s="18" t="s">
        <v>682</v>
      </c>
      <c r="B191" s="18" t="s">
        <v>683</v>
      </c>
      <c r="C191" s="19">
        <v>20</v>
      </c>
      <c r="D191" s="18" t="s">
        <v>103</v>
      </c>
      <c r="E191" s="19">
        <v>0</v>
      </c>
      <c r="F191" s="20">
        <f>E191*C191</f>
        <v>0</v>
      </c>
      <c r="G191" s="19">
        <v>1474</v>
      </c>
      <c r="H191" s="20">
        <f>G191*C191</f>
        <v>29480</v>
      </c>
      <c r="I191" s="19">
        <v>4847</v>
      </c>
      <c r="J191" s="20">
        <f>I191*C191</f>
        <v>96940</v>
      </c>
      <c r="K191" s="20">
        <f t="shared" si="8"/>
        <v>6321</v>
      </c>
      <c r="L191" s="20">
        <f t="shared" si="8"/>
        <v>126420</v>
      </c>
      <c r="M191" s="18"/>
    </row>
    <row r="192" spans="1:13" x14ac:dyDescent="0.3">
      <c r="A192" s="18" t="s">
        <v>684</v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13" x14ac:dyDescent="0.3">
      <c r="A193" s="18" t="s">
        <v>685</v>
      </c>
      <c r="B193" s="18" t="s">
        <v>686</v>
      </c>
      <c r="C193" s="19">
        <v>420</v>
      </c>
      <c r="D193" s="18" t="s">
        <v>97</v>
      </c>
      <c r="E193" s="19">
        <v>5894</v>
      </c>
      <c r="F193" s="20">
        <f>E193*C193</f>
        <v>2475480</v>
      </c>
      <c r="G193" s="19">
        <v>13753</v>
      </c>
      <c r="H193" s="20">
        <f>G193*C193</f>
        <v>5776260</v>
      </c>
      <c r="I193" s="19">
        <v>4289</v>
      </c>
      <c r="J193" s="20">
        <f>I193*C193</f>
        <v>1801380</v>
      </c>
      <c r="K193" s="20">
        <f>E193+G193+I193</f>
        <v>23936</v>
      </c>
      <c r="L193" s="20">
        <f>F193+H193+J193</f>
        <v>10053120</v>
      </c>
      <c r="M193" s="18"/>
    </row>
    <row r="194" spans="1:13" x14ac:dyDescent="0.3">
      <c r="A194" s="18" t="s">
        <v>687</v>
      </c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13" x14ac:dyDescent="0.3">
      <c r="A195" s="18" t="s">
        <v>658</v>
      </c>
      <c r="B195" s="18" t="s">
        <v>688</v>
      </c>
      <c r="C195" s="19">
        <v>76</v>
      </c>
      <c r="D195" s="18" t="s">
        <v>97</v>
      </c>
      <c r="E195" s="19">
        <v>0</v>
      </c>
      <c r="F195" s="20">
        <f>E195*C195</f>
        <v>0</v>
      </c>
      <c r="G195" s="19">
        <v>4912</v>
      </c>
      <c r="H195" s="20">
        <f>G195*C195</f>
        <v>373312</v>
      </c>
      <c r="I195" s="19">
        <v>31096</v>
      </c>
      <c r="J195" s="20">
        <f>I195*C195</f>
        <v>2363296</v>
      </c>
      <c r="K195" s="20">
        <f t="shared" ref="K195:L199" si="9">E195+G195+I195</f>
        <v>36008</v>
      </c>
      <c r="L195" s="20">
        <f t="shared" si="9"/>
        <v>2736608</v>
      </c>
      <c r="M195" s="18"/>
    </row>
    <row r="196" spans="1:13" x14ac:dyDescent="0.3">
      <c r="A196" s="18" t="s">
        <v>689</v>
      </c>
      <c r="B196" s="18" t="s">
        <v>666</v>
      </c>
      <c r="C196" s="19">
        <v>152</v>
      </c>
      <c r="D196" s="18" t="s">
        <v>97</v>
      </c>
      <c r="E196" s="19">
        <v>0</v>
      </c>
      <c r="F196" s="20">
        <f>E196*C196</f>
        <v>0</v>
      </c>
      <c r="G196" s="19">
        <v>0</v>
      </c>
      <c r="H196" s="20">
        <f>G196*C196</f>
        <v>0</v>
      </c>
      <c r="I196" s="19">
        <v>536</v>
      </c>
      <c r="J196" s="20">
        <f>I196*C196</f>
        <v>81472</v>
      </c>
      <c r="K196" s="20">
        <f t="shared" si="9"/>
        <v>536</v>
      </c>
      <c r="L196" s="20">
        <f t="shared" si="9"/>
        <v>81472</v>
      </c>
      <c r="M196" s="18"/>
    </row>
    <row r="197" spans="1:13" x14ac:dyDescent="0.3">
      <c r="A197" s="18" t="s">
        <v>690</v>
      </c>
      <c r="B197" s="18" t="s">
        <v>691</v>
      </c>
      <c r="C197" s="19">
        <v>38</v>
      </c>
      <c r="D197" s="18" t="s">
        <v>97</v>
      </c>
      <c r="E197" s="19">
        <v>6385</v>
      </c>
      <c r="F197" s="20">
        <f>E197*C197</f>
        <v>242630</v>
      </c>
      <c r="G197" s="19">
        <v>9332</v>
      </c>
      <c r="H197" s="20">
        <f>G197*C197</f>
        <v>354616</v>
      </c>
      <c r="I197" s="19">
        <v>2145</v>
      </c>
      <c r="J197" s="20">
        <f>I197*C197</f>
        <v>81510</v>
      </c>
      <c r="K197" s="20">
        <f t="shared" si="9"/>
        <v>17862</v>
      </c>
      <c r="L197" s="20">
        <f t="shared" si="9"/>
        <v>678756</v>
      </c>
      <c r="M197" s="18"/>
    </row>
    <row r="198" spans="1:13" x14ac:dyDescent="0.3">
      <c r="A198" s="18" t="s">
        <v>692</v>
      </c>
      <c r="B198" s="18" t="s">
        <v>693</v>
      </c>
      <c r="C198" s="19">
        <v>38</v>
      </c>
      <c r="D198" s="18" t="s">
        <v>97</v>
      </c>
      <c r="E198" s="19">
        <v>6385</v>
      </c>
      <c r="F198" s="20">
        <f>E198*C198</f>
        <v>242630</v>
      </c>
      <c r="G198" s="19">
        <v>9332</v>
      </c>
      <c r="H198" s="20">
        <f>G198*C198</f>
        <v>354616</v>
      </c>
      <c r="I198" s="19">
        <v>2145</v>
      </c>
      <c r="J198" s="20">
        <f>I198*C198</f>
        <v>81510</v>
      </c>
      <c r="K198" s="20">
        <f t="shared" si="9"/>
        <v>17862</v>
      </c>
      <c r="L198" s="20">
        <f t="shared" si="9"/>
        <v>678756</v>
      </c>
      <c r="M198" s="18"/>
    </row>
    <row r="199" spans="1:13" x14ac:dyDescent="0.3">
      <c r="A199" s="18" t="s">
        <v>694</v>
      </c>
      <c r="B199" s="18" t="s">
        <v>695</v>
      </c>
      <c r="C199" s="19">
        <v>76</v>
      </c>
      <c r="D199" s="18" t="s">
        <v>97</v>
      </c>
      <c r="E199" s="19">
        <v>0</v>
      </c>
      <c r="F199" s="20">
        <f>E199*C199</f>
        <v>0</v>
      </c>
      <c r="G199" s="19">
        <v>0</v>
      </c>
      <c r="H199" s="20">
        <f>G199*C199</f>
        <v>0</v>
      </c>
      <c r="I199" s="19">
        <v>5361</v>
      </c>
      <c r="J199" s="20">
        <f>I199*C199</f>
        <v>407436</v>
      </c>
      <c r="K199" s="20">
        <f t="shared" si="9"/>
        <v>5361</v>
      </c>
      <c r="L199" s="20">
        <f t="shared" si="9"/>
        <v>407436</v>
      </c>
      <c r="M199" s="18"/>
    </row>
    <row r="200" spans="1:13" x14ac:dyDescent="0.3">
      <c r="A200" s="18" t="s">
        <v>1191</v>
      </c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spans="1:13" x14ac:dyDescent="0.3">
      <c r="A201" s="18" t="s">
        <v>704</v>
      </c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spans="1:13" ht="24" x14ac:dyDescent="0.3">
      <c r="A202" s="18" t="s">
        <v>705</v>
      </c>
      <c r="B202" s="18" t="s">
        <v>706</v>
      </c>
      <c r="C202" s="19">
        <v>623</v>
      </c>
      <c r="D202" s="18" t="s">
        <v>234</v>
      </c>
      <c r="E202" s="19">
        <v>0</v>
      </c>
      <c r="F202" s="20">
        <f>E202*C202</f>
        <v>0</v>
      </c>
      <c r="G202" s="19">
        <v>12771</v>
      </c>
      <c r="H202" s="20">
        <f>G202*C202</f>
        <v>7956333</v>
      </c>
      <c r="I202" s="19">
        <v>5619</v>
      </c>
      <c r="J202" s="20">
        <f>I202*C202</f>
        <v>3500637</v>
      </c>
      <c r="K202" s="20">
        <f t="shared" ref="K202:L204" si="10">E202+G202+I202</f>
        <v>18390</v>
      </c>
      <c r="L202" s="20">
        <f t="shared" si="10"/>
        <v>11456970</v>
      </c>
      <c r="M202" s="18"/>
    </row>
    <row r="203" spans="1:13" ht="24" x14ac:dyDescent="0.3">
      <c r="A203" s="18" t="s">
        <v>1192</v>
      </c>
      <c r="B203" s="18" t="s">
        <v>710</v>
      </c>
      <c r="C203" s="19">
        <v>11</v>
      </c>
      <c r="D203" s="18" t="s">
        <v>234</v>
      </c>
      <c r="E203" s="19">
        <v>0</v>
      </c>
      <c r="F203" s="20">
        <f>E203*C203</f>
        <v>0</v>
      </c>
      <c r="G203" s="19">
        <v>12771</v>
      </c>
      <c r="H203" s="20">
        <f>G203*C203</f>
        <v>140481</v>
      </c>
      <c r="I203" s="19">
        <v>5619</v>
      </c>
      <c r="J203" s="20">
        <f>I203*C203</f>
        <v>61809</v>
      </c>
      <c r="K203" s="20">
        <f t="shared" si="10"/>
        <v>18390</v>
      </c>
      <c r="L203" s="20">
        <f t="shared" si="10"/>
        <v>202290</v>
      </c>
      <c r="M203" s="18"/>
    </row>
    <row r="204" spans="1:13" ht="24" x14ac:dyDescent="0.3">
      <c r="A204" s="18" t="s">
        <v>1193</v>
      </c>
      <c r="B204" s="18" t="s">
        <v>712</v>
      </c>
      <c r="C204" s="19">
        <v>26</v>
      </c>
      <c r="D204" s="18" t="s">
        <v>234</v>
      </c>
      <c r="E204" s="19">
        <v>0</v>
      </c>
      <c r="F204" s="20">
        <f>E204*C204</f>
        <v>0</v>
      </c>
      <c r="G204" s="19">
        <v>12771</v>
      </c>
      <c r="H204" s="20">
        <f>G204*C204</f>
        <v>332046</v>
      </c>
      <c r="I204" s="19">
        <v>5619</v>
      </c>
      <c r="J204" s="20">
        <f>I204*C204</f>
        <v>146094</v>
      </c>
      <c r="K204" s="20">
        <f t="shared" si="10"/>
        <v>18390</v>
      </c>
      <c r="L204" s="20">
        <f t="shared" si="10"/>
        <v>478140</v>
      </c>
      <c r="M204" s="18"/>
    </row>
    <row r="205" spans="1:13" x14ac:dyDescent="0.3">
      <c r="A205" s="18" t="s">
        <v>713</v>
      </c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spans="1:13" ht="24" x14ac:dyDescent="0.3">
      <c r="A206" s="18" t="s">
        <v>714</v>
      </c>
      <c r="B206" s="18" t="s">
        <v>715</v>
      </c>
      <c r="C206" s="19">
        <v>385</v>
      </c>
      <c r="D206" s="18" t="s">
        <v>234</v>
      </c>
      <c r="E206" s="19">
        <v>0</v>
      </c>
      <c r="F206" s="20">
        <f>E206*C206</f>
        <v>0</v>
      </c>
      <c r="G206" s="19">
        <v>11788</v>
      </c>
      <c r="H206" s="20">
        <f>G206*C206</f>
        <v>4538380</v>
      </c>
      <c r="I206" s="19">
        <v>4504</v>
      </c>
      <c r="J206" s="20">
        <f>I206*C206</f>
        <v>1734040</v>
      </c>
      <c r="K206" s="20">
        <f>E206+G206+I206</f>
        <v>16292</v>
      </c>
      <c r="L206" s="20">
        <f>F206+H206+J206</f>
        <v>6272420</v>
      </c>
      <c r="M206" s="18"/>
    </row>
    <row r="207" spans="1:13" x14ac:dyDescent="0.3">
      <c r="A207" s="18" t="s">
        <v>1194</v>
      </c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3" x14ac:dyDescent="0.3">
      <c r="A208" s="18" t="s">
        <v>1195</v>
      </c>
      <c r="B208" s="18"/>
      <c r="C208" s="19">
        <v>552</v>
      </c>
      <c r="D208" s="18" t="s">
        <v>950</v>
      </c>
      <c r="E208" s="19">
        <v>0</v>
      </c>
      <c r="F208" s="20">
        <f>E208*C208</f>
        <v>0</v>
      </c>
      <c r="G208" s="19">
        <v>1965</v>
      </c>
      <c r="H208" s="20">
        <f>G208*C208</f>
        <v>1084680</v>
      </c>
      <c r="I208" s="19">
        <v>15012</v>
      </c>
      <c r="J208" s="20">
        <f>I208*C208</f>
        <v>8286624</v>
      </c>
      <c r="K208" s="20">
        <f>E208+G208+I208</f>
        <v>16977</v>
      </c>
      <c r="L208" s="20">
        <f>F208+H208+J208</f>
        <v>9371304</v>
      </c>
      <c r="M208" s="18"/>
    </row>
    <row r="209" spans="1:13" x14ac:dyDescent="0.3">
      <c r="A209" s="18" t="s">
        <v>716</v>
      </c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spans="1:13" x14ac:dyDescent="0.3">
      <c r="A210" s="18" t="s">
        <v>717</v>
      </c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spans="1:13" x14ac:dyDescent="0.3">
      <c r="A211" s="18" t="s">
        <v>718</v>
      </c>
      <c r="B211" s="18" t="s">
        <v>719</v>
      </c>
      <c r="C211" s="19">
        <v>4</v>
      </c>
      <c r="D211" s="18" t="s">
        <v>183</v>
      </c>
      <c r="E211" s="19">
        <v>86447</v>
      </c>
      <c r="F211" s="20">
        <f>E211*C211</f>
        <v>345788</v>
      </c>
      <c r="G211" s="19">
        <v>49118</v>
      </c>
      <c r="H211" s="20">
        <f>G211*C211</f>
        <v>196472</v>
      </c>
      <c r="I211" s="19">
        <v>0</v>
      </c>
      <c r="J211" s="20">
        <f>I211*C211</f>
        <v>0</v>
      </c>
      <c r="K211" s="20">
        <f t="shared" ref="K211:L213" si="11">E211+G211+I211</f>
        <v>135565</v>
      </c>
      <c r="L211" s="20">
        <f t="shared" si="11"/>
        <v>542260</v>
      </c>
      <c r="M211" s="18"/>
    </row>
    <row r="212" spans="1:13" x14ac:dyDescent="0.3">
      <c r="A212" s="18" t="s">
        <v>720</v>
      </c>
      <c r="B212" s="18" t="s">
        <v>721</v>
      </c>
      <c r="C212" s="19">
        <v>2</v>
      </c>
      <c r="D212" s="18" t="s">
        <v>183</v>
      </c>
      <c r="E212" s="19">
        <v>86448</v>
      </c>
      <c r="F212" s="20">
        <f>E212*C212</f>
        <v>172896</v>
      </c>
      <c r="G212" s="19">
        <v>49118</v>
      </c>
      <c r="H212" s="20">
        <f>G212*C212</f>
        <v>98236</v>
      </c>
      <c r="I212" s="19">
        <v>0</v>
      </c>
      <c r="J212" s="20">
        <f>I212*C212</f>
        <v>0</v>
      </c>
      <c r="K212" s="20">
        <f t="shared" si="11"/>
        <v>135566</v>
      </c>
      <c r="L212" s="20">
        <f t="shared" si="11"/>
        <v>271132</v>
      </c>
      <c r="M212" s="18"/>
    </row>
    <row r="213" spans="1:13" x14ac:dyDescent="0.3">
      <c r="A213" s="18" t="s">
        <v>1196</v>
      </c>
      <c r="B213" s="18" t="s">
        <v>1197</v>
      </c>
      <c r="C213" s="19">
        <v>2</v>
      </c>
      <c r="D213" s="18" t="s">
        <v>183</v>
      </c>
      <c r="E213" s="19">
        <v>86448</v>
      </c>
      <c r="F213" s="20">
        <f>E213*C213</f>
        <v>172896</v>
      </c>
      <c r="G213" s="19">
        <v>49118</v>
      </c>
      <c r="H213" s="20">
        <f>G213*C213</f>
        <v>98236</v>
      </c>
      <c r="I213" s="19">
        <v>0</v>
      </c>
      <c r="J213" s="20">
        <f>I213*C213</f>
        <v>0</v>
      </c>
      <c r="K213" s="20">
        <f t="shared" si="11"/>
        <v>135566</v>
      </c>
      <c r="L213" s="20">
        <f t="shared" si="11"/>
        <v>271132</v>
      </c>
      <c r="M213" s="18"/>
    </row>
    <row r="214" spans="1:13" x14ac:dyDescent="0.3">
      <c r="A214" s="18" t="s">
        <v>733</v>
      </c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spans="1:13" x14ac:dyDescent="0.3">
      <c r="A215" s="18" t="s">
        <v>734</v>
      </c>
      <c r="B215" s="18" t="s">
        <v>693</v>
      </c>
      <c r="C215" s="19">
        <v>149</v>
      </c>
      <c r="D215" s="18" t="s">
        <v>97</v>
      </c>
      <c r="E215" s="19">
        <v>6385</v>
      </c>
      <c r="F215" s="20">
        <f t="shared" ref="F215:F222" si="12">E215*C215</f>
        <v>951365</v>
      </c>
      <c r="G215" s="19">
        <v>9332</v>
      </c>
      <c r="H215" s="20">
        <f t="shared" ref="H215:H222" si="13">G215*C215</f>
        <v>1390468</v>
      </c>
      <c r="I215" s="19">
        <v>2145</v>
      </c>
      <c r="J215" s="20">
        <f t="shared" ref="J215:J222" si="14">I215*C215</f>
        <v>319605</v>
      </c>
      <c r="K215" s="20">
        <f t="shared" ref="K215:L222" si="15">E215+G215+I215</f>
        <v>17862</v>
      </c>
      <c r="L215" s="20">
        <f t="shared" si="15"/>
        <v>2661438</v>
      </c>
      <c r="M215" s="18"/>
    </row>
    <row r="216" spans="1:13" x14ac:dyDescent="0.3">
      <c r="A216" s="18" t="s">
        <v>735</v>
      </c>
      <c r="B216" s="18" t="s">
        <v>1198</v>
      </c>
      <c r="C216" s="19">
        <v>2</v>
      </c>
      <c r="D216" s="18" t="s">
        <v>97</v>
      </c>
      <c r="E216" s="19">
        <v>6386</v>
      </c>
      <c r="F216" s="20">
        <f t="shared" si="12"/>
        <v>12772</v>
      </c>
      <c r="G216" s="19">
        <v>9333</v>
      </c>
      <c r="H216" s="20">
        <f t="shared" si="13"/>
        <v>18666</v>
      </c>
      <c r="I216" s="19">
        <v>2145</v>
      </c>
      <c r="J216" s="20">
        <f t="shared" si="14"/>
        <v>4290</v>
      </c>
      <c r="K216" s="20">
        <f t="shared" si="15"/>
        <v>17864</v>
      </c>
      <c r="L216" s="20">
        <f t="shared" si="15"/>
        <v>35728</v>
      </c>
      <c r="M216" s="18"/>
    </row>
    <row r="217" spans="1:13" x14ac:dyDescent="0.3">
      <c r="A217" s="18" t="s">
        <v>1199</v>
      </c>
      <c r="B217" s="18" t="s">
        <v>698</v>
      </c>
      <c r="C217" s="19">
        <v>59</v>
      </c>
      <c r="D217" s="18" t="s">
        <v>97</v>
      </c>
      <c r="E217" s="19">
        <v>6385</v>
      </c>
      <c r="F217" s="20">
        <f t="shared" si="12"/>
        <v>376715</v>
      </c>
      <c r="G217" s="19">
        <v>9332</v>
      </c>
      <c r="H217" s="20">
        <f t="shared" si="13"/>
        <v>550588</v>
      </c>
      <c r="I217" s="19">
        <v>2145</v>
      </c>
      <c r="J217" s="20">
        <f t="shared" si="14"/>
        <v>126555</v>
      </c>
      <c r="K217" s="20">
        <f t="shared" si="15"/>
        <v>17862</v>
      </c>
      <c r="L217" s="20">
        <f t="shared" si="15"/>
        <v>1053858</v>
      </c>
      <c r="M217" s="18"/>
    </row>
    <row r="218" spans="1:13" x14ac:dyDescent="0.3">
      <c r="A218" s="18" t="s">
        <v>738</v>
      </c>
      <c r="B218" s="18" t="s">
        <v>700</v>
      </c>
      <c r="C218" s="19">
        <v>7</v>
      </c>
      <c r="D218" s="18" t="s">
        <v>97</v>
      </c>
      <c r="E218" s="19">
        <v>6385</v>
      </c>
      <c r="F218" s="20">
        <f t="shared" si="12"/>
        <v>44695</v>
      </c>
      <c r="G218" s="19">
        <v>9332</v>
      </c>
      <c r="H218" s="20">
        <f t="shared" si="13"/>
        <v>65324</v>
      </c>
      <c r="I218" s="19">
        <v>2145</v>
      </c>
      <c r="J218" s="20">
        <f t="shared" si="14"/>
        <v>15015</v>
      </c>
      <c r="K218" s="20">
        <f t="shared" si="15"/>
        <v>17862</v>
      </c>
      <c r="L218" s="20">
        <f t="shared" si="15"/>
        <v>125034</v>
      </c>
      <c r="M218" s="18"/>
    </row>
    <row r="219" spans="1:13" x14ac:dyDescent="0.3">
      <c r="A219" s="18" t="s">
        <v>1200</v>
      </c>
      <c r="B219" s="18" t="s">
        <v>695</v>
      </c>
      <c r="C219" s="19">
        <v>149</v>
      </c>
      <c r="D219" s="18" t="s">
        <v>97</v>
      </c>
      <c r="E219" s="19">
        <v>6385</v>
      </c>
      <c r="F219" s="20">
        <f t="shared" si="12"/>
        <v>951365</v>
      </c>
      <c r="G219" s="19">
        <v>9332</v>
      </c>
      <c r="H219" s="20">
        <f t="shared" si="13"/>
        <v>1390468</v>
      </c>
      <c r="I219" s="19">
        <v>2145</v>
      </c>
      <c r="J219" s="20">
        <f t="shared" si="14"/>
        <v>319605</v>
      </c>
      <c r="K219" s="20">
        <f t="shared" si="15"/>
        <v>17862</v>
      </c>
      <c r="L219" s="20">
        <f t="shared" si="15"/>
        <v>2661438</v>
      </c>
      <c r="M219" s="18"/>
    </row>
    <row r="220" spans="1:13" x14ac:dyDescent="0.3">
      <c r="A220" s="18" t="s">
        <v>740</v>
      </c>
      <c r="B220" s="18" t="s">
        <v>742</v>
      </c>
      <c r="C220" s="19">
        <v>2</v>
      </c>
      <c r="D220" s="18" t="s">
        <v>97</v>
      </c>
      <c r="E220" s="19">
        <v>6386</v>
      </c>
      <c r="F220" s="20">
        <f t="shared" si="12"/>
        <v>12772</v>
      </c>
      <c r="G220" s="19">
        <v>9333</v>
      </c>
      <c r="H220" s="20">
        <f t="shared" si="13"/>
        <v>18666</v>
      </c>
      <c r="I220" s="19">
        <v>2145</v>
      </c>
      <c r="J220" s="20">
        <f t="shared" si="14"/>
        <v>4290</v>
      </c>
      <c r="K220" s="20">
        <f t="shared" si="15"/>
        <v>17864</v>
      </c>
      <c r="L220" s="20">
        <f t="shared" si="15"/>
        <v>35728</v>
      </c>
      <c r="M220" s="18"/>
    </row>
    <row r="221" spans="1:13" x14ac:dyDescent="0.3">
      <c r="A221" s="18" t="s">
        <v>741</v>
      </c>
      <c r="B221" s="18" t="s">
        <v>698</v>
      </c>
      <c r="C221" s="19">
        <v>59</v>
      </c>
      <c r="D221" s="18" t="s">
        <v>97</v>
      </c>
      <c r="E221" s="19">
        <v>6385</v>
      </c>
      <c r="F221" s="20">
        <f t="shared" si="12"/>
        <v>376715</v>
      </c>
      <c r="G221" s="19">
        <v>9332</v>
      </c>
      <c r="H221" s="20">
        <f t="shared" si="13"/>
        <v>550588</v>
      </c>
      <c r="I221" s="19">
        <v>2145</v>
      </c>
      <c r="J221" s="20">
        <f t="shared" si="14"/>
        <v>126555</v>
      </c>
      <c r="K221" s="20">
        <f t="shared" si="15"/>
        <v>17862</v>
      </c>
      <c r="L221" s="20">
        <f t="shared" si="15"/>
        <v>1053858</v>
      </c>
      <c r="M221" s="18"/>
    </row>
    <row r="222" spans="1:13" x14ac:dyDescent="0.3">
      <c r="A222" s="18" t="s">
        <v>743</v>
      </c>
      <c r="B222" s="18" t="s">
        <v>700</v>
      </c>
      <c r="C222" s="19">
        <v>7</v>
      </c>
      <c r="D222" s="18" t="s">
        <v>97</v>
      </c>
      <c r="E222" s="19">
        <v>6385</v>
      </c>
      <c r="F222" s="20">
        <f t="shared" si="12"/>
        <v>44695</v>
      </c>
      <c r="G222" s="19">
        <v>9332</v>
      </c>
      <c r="H222" s="20">
        <f t="shared" si="13"/>
        <v>65324</v>
      </c>
      <c r="I222" s="19">
        <v>2145</v>
      </c>
      <c r="J222" s="20">
        <f t="shared" si="14"/>
        <v>15015</v>
      </c>
      <c r="K222" s="20">
        <f t="shared" si="15"/>
        <v>17862</v>
      </c>
      <c r="L222" s="20">
        <f t="shared" si="15"/>
        <v>125034</v>
      </c>
      <c r="M222" s="18"/>
    </row>
    <row r="223" spans="1:13" x14ac:dyDescent="0.3">
      <c r="A223" s="18" t="s">
        <v>745</v>
      </c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spans="1:13" x14ac:dyDescent="0.3">
      <c r="A224" s="18" t="s">
        <v>746</v>
      </c>
      <c r="B224" s="18" t="s">
        <v>747</v>
      </c>
      <c r="C224" s="19">
        <v>36</v>
      </c>
      <c r="D224" s="18" t="s">
        <v>183</v>
      </c>
      <c r="E224" s="19">
        <v>63853</v>
      </c>
      <c r="F224" s="20">
        <f>E224*C224</f>
        <v>2298708</v>
      </c>
      <c r="G224" s="19">
        <v>14735</v>
      </c>
      <c r="H224" s="20">
        <f>G224*C224</f>
        <v>530460</v>
      </c>
      <c r="I224" s="19">
        <v>0</v>
      </c>
      <c r="J224" s="20">
        <f>I224*C224</f>
        <v>0</v>
      </c>
      <c r="K224" s="20">
        <f t="shared" ref="K224:L227" si="16">E224+G224+I224</f>
        <v>78588</v>
      </c>
      <c r="L224" s="20">
        <f t="shared" si="16"/>
        <v>2829168</v>
      </c>
      <c r="M224" s="18"/>
    </row>
    <row r="225" spans="1:13" x14ac:dyDescent="0.3">
      <c r="A225" s="18" t="s">
        <v>748</v>
      </c>
      <c r="B225" s="18" t="s">
        <v>749</v>
      </c>
      <c r="C225" s="19">
        <v>1</v>
      </c>
      <c r="D225" s="18" t="s">
        <v>183</v>
      </c>
      <c r="E225" s="19">
        <v>176824</v>
      </c>
      <c r="F225" s="20">
        <f>E225*C225</f>
        <v>176824</v>
      </c>
      <c r="G225" s="19">
        <v>51082</v>
      </c>
      <c r="H225" s="20">
        <f>G225*C225</f>
        <v>51082</v>
      </c>
      <c r="I225" s="19">
        <v>1</v>
      </c>
      <c r="J225" s="20">
        <f>I225*C225</f>
        <v>1</v>
      </c>
      <c r="K225" s="20">
        <f t="shared" si="16"/>
        <v>227907</v>
      </c>
      <c r="L225" s="20">
        <f t="shared" si="16"/>
        <v>227907</v>
      </c>
      <c r="M225" s="18"/>
    </row>
    <row r="226" spans="1:13" x14ac:dyDescent="0.3">
      <c r="A226" s="18" t="s">
        <v>750</v>
      </c>
      <c r="B226" s="18" t="s">
        <v>751</v>
      </c>
      <c r="C226" s="19">
        <v>20</v>
      </c>
      <c r="D226" s="18" t="s">
        <v>204</v>
      </c>
      <c r="E226" s="19">
        <v>314354</v>
      </c>
      <c r="F226" s="20">
        <f>E226*C226</f>
        <v>6287080</v>
      </c>
      <c r="G226" s="19">
        <v>98236</v>
      </c>
      <c r="H226" s="20">
        <f>G226*C226</f>
        <v>1964720</v>
      </c>
      <c r="I226" s="19">
        <v>53614</v>
      </c>
      <c r="J226" s="20">
        <f>I226*C226</f>
        <v>1072280</v>
      </c>
      <c r="K226" s="20">
        <f t="shared" si="16"/>
        <v>466204</v>
      </c>
      <c r="L226" s="20">
        <f t="shared" si="16"/>
        <v>9324080</v>
      </c>
      <c r="M226" s="18"/>
    </row>
    <row r="227" spans="1:13" x14ac:dyDescent="0.3">
      <c r="A227" s="18" t="s">
        <v>752</v>
      </c>
      <c r="B227" s="18" t="s">
        <v>383</v>
      </c>
      <c r="C227" s="19">
        <v>21</v>
      </c>
      <c r="D227" s="18" t="s">
        <v>379</v>
      </c>
      <c r="E227" s="19">
        <v>0</v>
      </c>
      <c r="F227" s="20">
        <f>E227*C227</f>
        <v>0</v>
      </c>
      <c r="G227" s="19">
        <v>0</v>
      </c>
      <c r="H227" s="20">
        <f>G227*C227</f>
        <v>0</v>
      </c>
      <c r="I227" s="19">
        <v>1145</v>
      </c>
      <c r="J227" s="20">
        <f>I227*C227</f>
        <v>24045</v>
      </c>
      <c r="K227" s="20">
        <f t="shared" si="16"/>
        <v>1145</v>
      </c>
      <c r="L227" s="20">
        <f t="shared" si="16"/>
        <v>24045</v>
      </c>
      <c r="M227" s="18"/>
    </row>
    <row r="228" spans="1:13" x14ac:dyDescent="0.3">
      <c r="A228" s="18" t="s">
        <v>1201</v>
      </c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spans="1:13" x14ac:dyDescent="0.3">
      <c r="A229" s="18" t="s">
        <v>1202</v>
      </c>
      <c r="B229" s="18" t="s">
        <v>1203</v>
      </c>
      <c r="C229" s="19">
        <v>63</v>
      </c>
      <c r="D229" s="18" t="s">
        <v>1112</v>
      </c>
      <c r="E229" s="19">
        <v>289795</v>
      </c>
      <c r="F229" s="20">
        <f>E229*C229</f>
        <v>18257085</v>
      </c>
      <c r="G229" s="19">
        <v>54030</v>
      </c>
      <c r="H229" s="20">
        <f>G229*C229</f>
        <v>3403890</v>
      </c>
      <c r="I229" s="19">
        <v>30560</v>
      </c>
      <c r="J229" s="20">
        <f>I229*C229</f>
        <v>1925280</v>
      </c>
      <c r="K229" s="20">
        <f>E229+G229+I229</f>
        <v>374385</v>
      </c>
      <c r="L229" s="20">
        <f>F229+H229+J229</f>
        <v>23586255</v>
      </c>
      <c r="M229" s="18"/>
    </row>
    <row r="230" spans="1:13" x14ac:dyDescent="0.3">
      <c r="A230" s="18" t="s">
        <v>753</v>
      </c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1:13" x14ac:dyDescent="0.3">
      <c r="A231" s="18" t="s">
        <v>611</v>
      </c>
      <c r="B231" s="18" t="s">
        <v>407</v>
      </c>
      <c r="C231" s="19">
        <v>66</v>
      </c>
      <c r="D231" s="18" t="s">
        <v>103</v>
      </c>
      <c r="E231" s="19">
        <v>92322</v>
      </c>
      <c r="F231" s="20">
        <f t="shared" ref="F231:F247" si="17">E231*C231</f>
        <v>6093252</v>
      </c>
      <c r="G231" s="19">
        <v>0</v>
      </c>
      <c r="H231" s="20">
        <f t="shared" ref="H231:H247" si="18">G231*C231</f>
        <v>0</v>
      </c>
      <c r="I231" s="19">
        <v>0</v>
      </c>
      <c r="J231" s="20">
        <f t="shared" ref="J231:J247" si="19">I231*C231</f>
        <v>0</v>
      </c>
      <c r="K231" s="20">
        <f t="shared" ref="K231:K247" si="20">E231+G231+I231</f>
        <v>92322</v>
      </c>
      <c r="L231" s="20">
        <f t="shared" ref="L231:L247" si="21">F231+H231+J231</f>
        <v>6093252</v>
      </c>
      <c r="M231" s="18"/>
    </row>
    <row r="232" spans="1:13" x14ac:dyDescent="0.3">
      <c r="A232" s="18" t="s">
        <v>754</v>
      </c>
      <c r="B232" s="18" t="s">
        <v>755</v>
      </c>
      <c r="C232" s="19">
        <v>46</v>
      </c>
      <c r="D232" s="18" t="s">
        <v>103</v>
      </c>
      <c r="E232" s="19">
        <v>90434</v>
      </c>
      <c r="F232" s="20">
        <f t="shared" si="17"/>
        <v>4159964</v>
      </c>
      <c r="G232" s="19">
        <v>0</v>
      </c>
      <c r="H232" s="20">
        <f t="shared" si="18"/>
        <v>0</v>
      </c>
      <c r="I232" s="19">
        <v>0</v>
      </c>
      <c r="J232" s="20">
        <f t="shared" si="19"/>
        <v>0</v>
      </c>
      <c r="K232" s="20">
        <f t="shared" si="20"/>
        <v>90434</v>
      </c>
      <c r="L232" s="20">
        <f t="shared" si="21"/>
        <v>4159964</v>
      </c>
      <c r="M232" s="18"/>
    </row>
    <row r="233" spans="1:13" x14ac:dyDescent="0.3">
      <c r="A233" s="18" t="s">
        <v>756</v>
      </c>
      <c r="B233" s="18" t="s">
        <v>378</v>
      </c>
      <c r="C233" s="19">
        <v>5</v>
      </c>
      <c r="D233" s="18" t="s">
        <v>379</v>
      </c>
      <c r="E233" s="19">
        <v>6190</v>
      </c>
      <c r="F233" s="20">
        <f t="shared" si="17"/>
        <v>30950</v>
      </c>
      <c r="G233" s="19">
        <v>0</v>
      </c>
      <c r="H233" s="20">
        <f t="shared" si="18"/>
        <v>0</v>
      </c>
      <c r="I233" s="19">
        <v>0</v>
      </c>
      <c r="J233" s="20">
        <f t="shared" si="19"/>
        <v>0</v>
      </c>
      <c r="K233" s="20">
        <f t="shared" si="20"/>
        <v>6190</v>
      </c>
      <c r="L233" s="20">
        <f t="shared" si="21"/>
        <v>30950</v>
      </c>
      <c r="M233" s="18"/>
    </row>
    <row r="234" spans="1:13" x14ac:dyDescent="0.3">
      <c r="A234" s="18" t="s">
        <v>757</v>
      </c>
      <c r="B234" s="18" t="s">
        <v>386</v>
      </c>
      <c r="C234" s="19">
        <v>42</v>
      </c>
      <c r="D234" s="18" t="s">
        <v>103</v>
      </c>
      <c r="E234" s="19">
        <v>25541</v>
      </c>
      <c r="F234" s="20">
        <f t="shared" si="17"/>
        <v>1072722</v>
      </c>
      <c r="G234" s="19">
        <v>0</v>
      </c>
      <c r="H234" s="20">
        <f t="shared" si="18"/>
        <v>0</v>
      </c>
      <c r="I234" s="19">
        <v>0</v>
      </c>
      <c r="J234" s="20">
        <f t="shared" si="19"/>
        <v>0</v>
      </c>
      <c r="K234" s="20">
        <f t="shared" si="20"/>
        <v>25541</v>
      </c>
      <c r="L234" s="20">
        <f t="shared" si="21"/>
        <v>1072722</v>
      </c>
      <c r="M234" s="18"/>
    </row>
    <row r="235" spans="1:13" x14ac:dyDescent="0.3">
      <c r="A235" s="18" t="s">
        <v>758</v>
      </c>
      <c r="B235" s="18" t="s">
        <v>618</v>
      </c>
      <c r="C235" s="19">
        <v>1004</v>
      </c>
      <c r="D235" s="18" t="s">
        <v>103</v>
      </c>
      <c r="E235" s="19">
        <v>17682</v>
      </c>
      <c r="F235" s="20">
        <f t="shared" si="17"/>
        <v>17752728</v>
      </c>
      <c r="G235" s="19">
        <v>0</v>
      </c>
      <c r="H235" s="20">
        <f t="shared" si="18"/>
        <v>0</v>
      </c>
      <c r="I235" s="19">
        <v>0</v>
      </c>
      <c r="J235" s="20">
        <f t="shared" si="19"/>
        <v>0</v>
      </c>
      <c r="K235" s="20">
        <f t="shared" si="20"/>
        <v>17682</v>
      </c>
      <c r="L235" s="20">
        <f t="shared" si="21"/>
        <v>17752728</v>
      </c>
      <c r="M235" s="18"/>
    </row>
    <row r="236" spans="1:13" x14ac:dyDescent="0.3">
      <c r="A236" s="18" t="s">
        <v>1204</v>
      </c>
      <c r="B236" s="18" t="s">
        <v>763</v>
      </c>
      <c r="C236" s="19">
        <v>9</v>
      </c>
      <c r="D236" s="18" t="s">
        <v>764</v>
      </c>
      <c r="E236" s="19">
        <v>265236</v>
      </c>
      <c r="F236" s="20">
        <f t="shared" si="17"/>
        <v>2387124</v>
      </c>
      <c r="G236" s="19">
        <v>0</v>
      </c>
      <c r="H236" s="20">
        <f t="shared" si="18"/>
        <v>0</v>
      </c>
      <c r="I236" s="19">
        <v>0</v>
      </c>
      <c r="J236" s="20">
        <f t="shared" si="19"/>
        <v>0</v>
      </c>
      <c r="K236" s="20">
        <f t="shared" si="20"/>
        <v>265236</v>
      </c>
      <c r="L236" s="20">
        <f t="shared" si="21"/>
        <v>2387124</v>
      </c>
      <c r="M236" s="18"/>
    </row>
    <row r="237" spans="1:13" x14ac:dyDescent="0.3">
      <c r="A237" s="18" t="s">
        <v>1205</v>
      </c>
      <c r="B237" s="18" t="s">
        <v>766</v>
      </c>
      <c r="C237" s="19">
        <v>8</v>
      </c>
      <c r="D237" s="18" t="s">
        <v>764</v>
      </c>
      <c r="E237" s="19">
        <v>265236</v>
      </c>
      <c r="F237" s="20">
        <f t="shared" si="17"/>
        <v>2121888</v>
      </c>
      <c r="G237" s="19">
        <v>0</v>
      </c>
      <c r="H237" s="20">
        <f t="shared" si="18"/>
        <v>0</v>
      </c>
      <c r="I237" s="19">
        <v>0</v>
      </c>
      <c r="J237" s="20">
        <f t="shared" si="19"/>
        <v>0</v>
      </c>
      <c r="K237" s="20">
        <f t="shared" si="20"/>
        <v>265236</v>
      </c>
      <c r="L237" s="20">
        <f t="shared" si="21"/>
        <v>2121888</v>
      </c>
      <c r="M237" s="18"/>
    </row>
    <row r="238" spans="1:13" x14ac:dyDescent="0.3">
      <c r="A238" s="18" t="s">
        <v>1206</v>
      </c>
      <c r="B238" s="18" t="s">
        <v>768</v>
      </c>
      <c r="C238" s="19">
        <v>339</v>
      </c>
      <c r="D238" s="18" t="s">
        <v>394</v>
      </c>
      <c r="E238" s="19">
        <v>105961</v>
      </c>
      <c r="F238" s="20">
        <f t="shared" si="17"/>
        <v>35920779</v>
      </c>
      <c r="G238" s="19">
        <v>0</v>
      </c>
      <c r="H238" s="20">
        <f t="shared" si="18"/>
        <v>0</v>
      </c>
      <c r="I238" s="19">
        <v>0</v>
      </c>
      <c r="J238" s="20">
        <f t="shared" si="19"/>
        <v>0</v>
      </c>
      <c r="K238" s="20">
        <f t="shared" si="20"/>
        <v>105961</v>
      </c>
      <c r="L238" s="20">
        <f t="shared" si="21"/>
        <v>35920779</v>
      </c>
      <c r="M238" s="18"/>
    </row>
    <row r="239" spans="1:13" x14ac:dyDescent="0.3">
      <c r="A239" s="18" t="s">
        <v>1207</v>
      </c>
      <c r="B239" s="18" t="s">
        <v>770</v>
      </c>
      <c r="C239" s="19">
        <v>339</v>
      </c>
      <c r="D239" s="18" t="s">
        <v>394</v>
      </c>
      <c r="E239" s="19">
        <v>99666</v>
      </c>
      <c r="F239" s="20">
        <f t="shared" si="17"/>
        <v>33786774</v>
      </c>
      <c r="G239" s="19">
        <v>0</v>
      </c>
      <c r="H239" s="20">
        <f t="shared" si="18"/>
        <v>0</v>
      </c>
      <c r="I239" s="19">
        <v>0</v>
      </c>
      <c r="J239" s="20">
        <f t="shared" si="19"/>
        <v>0</v>
      </c>
      <c r="K239" s="20">
        <f t="shared" si="20"/>
        <v>99666</v>
      </c>
      <c r="L239" s="20">
        <f t="shared" si="21"/>
        <v>33786774</v>
      </c>
      <c r="M239" s="18"/>
    </row>
    <row r="240" spans="1:13" x14ac:dyDescent="0.3">
      <c r="A240" s="18" t="s">
        <v>767</v>
      </c>
      <c r="B240" s="18" t="s">
        <v>772</v>
      </c>
      <c r="C240" s="19">
        <v>774</v>
      </c>
      <c r="D240" s="18" t="s">
        <v>394</v>
      </c>
      <c r="E240" s="19">
        <v>95470</v>
      </c>
      <c r="F240" s="20">
        <f t="shared" si="17"/>
        <v>73893780</v>
      </c>
      <c r="G240" s="19">
        <v>0</v>
      </c>
      <c r="H240" s="20">
        <f t="shared" si="18"/>
        <v>0</v>
      </c>
      <c r="I240" s="19">
        <v>0</v>
      </c>
      <c r="J240" s="20">
        <f t="shared" si="19"/>
        <v>0</v>
      </c>
      <c r="K240" s="20">
        <f t="shared" si="20"/>
        <v>95470</v>
      </c>
      <c r="L240" s="20">
        <f t="shared" si="21"/>
        <v>73893780</v>
      </c>
      <c r="M240" s="18"/>
    </row>
    <row r="241" spans="1:13" x14ac:dyDescent="0.3">
      <c r="A241" s="18" t="s">
        <v>1208</v>
      </c>
      <c r="B241" s="18" t="s">
        <v>776</v>
      </c>
      <c r="C241" s="19">
        <v>642</v>
      </c>
      <c r="D241" s="18" t="s">
        <v>368</v>
      </c>
      <c r="E241" s="19">
        <v>17682</v>
      </c>
      <c r="F241" s="20">
        <f t="shared" si="17"/>
        <v>11351844</v>
      </c>
      <c r="G241" s="19">
        <v>0</v>
      </c>
      <c r="H241" s="20">
        <f t="shared" si="18"/>
        <v>0</v>
      </c>
      <c r="I241" s="19">
        <v>0</v>
      </c>
      <c r="J241" s="20">
        <f t="shared" si="19"/>
        <v>0</v>
      </c>
      <c r="K241" s="20">
        <f t="shared" si="20"/>
        <v>17682</v>
      </c>
      <c r="L241" s="20">
        <f t="shared" si="21"/>
        <v>11351844</v>
      </c>
      <c r="M241" s="18"/>
    </row>
    <row r="242" spans="1:13" x14ac:dyDescent="0.3">
      <c r="A242" s="18" t="s">
        <v>1209</v>
      </c>
      <c r="B242" s="18" t="s">
        <v>780</v>
      </c>
      <c r="C242" s="19">
        <v>11</v>
      </c>
      <c r="D242" s="18" t="s">
        <v>368</v>
      </c>
      <c r="E242" s="19">
        <v>26524</v>
      </c>
      <c r="F242" s="20">
        <f t="shared" si="17"/>
        <v>291764</v>
      </c>
      <c r="G242" s="19">
        <v>0</v>
      </c>
      <c r="H242" s="20">
        <f t="shared" si="18"/>
        <v>0</v>
      </c>
      <c r="I242" s="19">
        <v>0</v>
      </c>
      <c r="J242" s="20">
        <f t="shared" si="19"/>
        <v>0</v>
      </c>
      <c r="K242" s="20">
        <f t="shared" si="20"/>
        <v>26524</v>
      </c>
      <c r="L242" s="20">
        <f t="shared" si="21"/>
        <v>291764</v>
      </c>
      <c r="M242" s="18"/>
    </row>
    <row r="243" spans="1:13" x14ac:dyDescent="0.3">
      <c r="A243" s="18" t="s">
        <v>1210</v>
      </c>
      <c r="B243" s="18" t="s">
        <v>782</v>
      </c>
      <c r="C243" s="19">
        <v>30</v>
      </c>
      <c r="D243" s="18" t="s">
        <v>368</v>
      </c>
      <c r="E243" s="19">
        <v>28488</v>
      </c>
      <c r="F243" s="20">
        <f t="shared" si="17"/>
        <v>854640</v>
      </c>
      <c r="G243" s="19">
        <v>0</v>
      </c>
      <c r="H243" s="20">
        <f t="shared" si="18"/>
        <v>0</v>
      </c>
      <c r="I243" s="19">
        <v>0</v>
      </c>
      <c r="J243" s="20">
        <f t="shared" si="19"/>
        <v>0</v>
      </c>
      <c r="K243" s="20">
        <f t="shared" si="20"/>
        <v>28488</v>
      </c>
      <c r="L243" s="20">
        <f t="shared" si="21"/>
        <v>854640</v>
      </c>
      <c r="M243" s="18"/>
    </row>
    <row r="244" spans="1:13" x14ac:dyDescent="0.3">
      <c r="A244" s="18" t="s">
        <v>1211</v>
      </c>
      <c r="B244" s="18" t="s">
        <v>784</v>
      </c>
      <c r="C244" s="19">
        <v>397</v>
      </c>
      <c r="D244" s="18" t="s">
        <v>368</v>
      </c>
      <c r="E244" s="19">
        <v>8350</v>
      </c>
      <c r="F244" s="20">
        <f t="shared" si="17"/>
        <v>3314950</v>
      </c>
      <c r="G244" s="19">
        <v>0</v>
      </c>
      <c r="H244" s="20">
        <f t="shared" si="18"/>
        <v>0</v>
      </c>
      <c r="I244" s="19">
        <v>0</v>
      </c>
      <c r="J244" s="20">
        <f t="shared" si="19"/>
        <v>0</v>
      </c>
      <c r="K244" s="20">
        <f t="shared" si="20"/>
        <v>8350</v>
      </c>
      <c r="L244" s="20">
        <f t="shared" si="21"/>
        <v>3314950</v>
      </c>
      <c r="M244" s="18"/>
    </row>
    <row r="245" spans="1:13" x14ac:dyDescent="0.3">
      <c r="A245" s="18" t="s">
        <v>1212</v>
      </c>
      <c r="B245" s="18" t="s">
        <v>786</v>
      </c>
      <c r="C245" s="19">
        <v>865</v>
      </c>
      <c r="D245" s="18" t="s">
        <v>97</v>
      </c>
      <c r="E245" s="19">
        <v>12378</v>
      </c>
      <c r="F245" s="20">
        <f t="shared" si="17"/>
        <v>10706970</v>
      </c>
      <c r="G245" s="19">
        <v>0</v>
      </c>
      <c r="H245" s="20">
        <f t="shared" si="18"/>
        <v>0</v>
      </c>
      <c r="I245" s="19">
        <v>0</v>
      </c>
      <c r="J245" s="20">
        <f t="shared" si="19"/>
        <v>0</v>
      </c>
      <c r="K245" s="20">
        <f t="shared" si="20"/>
        <v>12378</v>
      </c>
      <c r="L245" s="20">
        <f t="shared" si="21"/>
        <v>10706970</v>
      </c>
      <c r="M245" s="18"/>
    </row>
    <row r="246" spans="1:13" x14ac:dyDescent="0.3">
      <c r="A246" s="18" t="s">
        <v>1213</v>
      </c>
      <c r="B246" s="18" t="s">
        <v>788</v>
      </c>
      <c r="C246" s="19">
        <v>190</v>
      </c>
      <c r="D246" s="18" t="s">
        <v>368</v>
      </c>
      <c r="E246" s="19">
        <v>3733</v>
      </c>
      <c r="F246" s="20">
        <f t="shared" si="17"/>
        <v>709270</v>
      </c>
      <c r="G246" s="19">
        <v>0</v>
      </c>
      <c r="H246" s="20">
        <f t="shared" si="18"/>
        <v>0</v>
      </c>
      <c r="I246" s="19">
        <v>0</v>
      </c>
      <c r="J246" s="20">
        <f t="shared" si="19"/>
        <v>0</v>
      </c>
      <c r="K246" s="20">
        <f t="shared" si="20"/>
        <v>3733</v>
      </c>
      <c r="L246" s="20">
        <f t="shared" si="21"/>
        <v>709270</v>
      </c>
      <c r="M246" s="18"/>
    </row>
    <row r="247" spans="1:13" x14ac:dyDescent="0.3">
      <c r="A247" s="18" t="s">
        <v>1214</v>
      </c>
      <c r="B247" s="18" t="s">
        <v>788</v>
      </c>
      <c r="C247" s="19">
        <v>11</v>
      </c>
      <c r="D247" s="18" t="s">
        <v>368</v>
      </c>
      <c r="E247" s="19">
        <v>3733</v>
      </c>
      <c r="F247" s="20">
        <f t="shared" si="17"/>
        <v>41063</v>
      </c>
      <c r="G247" s="19">
        <v>0</v>
      </c>
      <c r="H247" s="20">
        <f t="shared" si="18"/>
        <v>0</v>
      </c>
      <c r="I247" s="19">
        <v>0</v>
      </c>
      <c r="J247" s="20">
        <f t="shared" si="19"/>
        <v>0</v>
      </c>
      <c r="K247" s="20">
        <f t="shared" si="20"/>
        <v>3733</v>
      </c>
      <c r="L247" s="20">
        <f t="shared" si="21"/>
        <v>41063</v>
      </c>
      <c r="M247" s="18"/>
    </row>
    <row r="248" spans="1:13" x14ac:dyDescent="0.3">
      <c r="A248" s="18" t="s">
        <v>1215</v>
      </c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1:13" x14ac:dyDescent="0.3">
      <c r="A249" s="18" t="s">
        <v>1216</v>
      </c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1:13" x14ac:dyDescent="0.3">
      <c r="A250" s="18" t="s">
        <v>792</v>
      </c>
      <c r="B250" s="18" t="s">
        <v>347</v>
      </c>
      <c r="C250" s="19">
        <v>247</v>
      </c>
      <c r="D250" s="18" t="s">
        <v>103</v>
      </c>
      <c r="E250" s="19">
        <v>0</v>
      </c>
      <c r="F250" s="20">
        <f t="shared" ref="F250:F265" si="22">E250*C250</f>
        <v>0</v>
      </c>
      <c r="G250" s="19">
        <v>12451</v>
      </c>
      <c r="H250" s="20">
        <f t="shared" ref="H250:H265" si="23">G250*C250</f>
        <v>3075397</v>
      </c>
      <c r="I250" s="19">
        <v>11941</v>
      </c>
      <c r="J250" s="20">
        <f t="shared" ref="J250:J265" si="24">I250*C250</f>
        <v>2949427</v>
      </c>
      <c r="K250" s="20">
        <f t="shared" ref="K250:K265" si="25">E250+G250+I250</f>
        <v>24392</v>
      </c>
      <c r="L250" s="20">
        <f t="shared" ref="L250:L265" si="26">F250+H250+J250</f>
        <v>6024824</v>
      </c>
      <c r="M250" s="18"/>
    </row>
    <row r="251" spans="1:13" x14ac:dyDescent="0.3">
      <c r="A251" s="18" t="s">
        <v>793</v>
      </c>
      <c r="B251" s="18" t="s">
        <v>250</v>
      </c>
      <c r="C251" s="19">
        <v>36</v>
      </c>
      <c r="D251" s="18" t="s">
        <v>103</v>
      </c>
      <c r="E251" s="19">
        <v>0</v>
      </c>
      <c r="F251" s="20">
        <f t="shared" si="22"/>
        <v>0</v>
      </c>
      <c r="G251" s="19">
        <v>11562</v>
      </c>
      <c r="H251" s="20">
        <f t="shared" si="23"/>
        <v>416232</v>
      </c>
      <c r="I251" s="19">
        <v>10678</v>
      </c>
      <c r="J251" s="20">
        <f t="shared" si="24"/>
        <v>384408</v>
      </c>
      <c r="K251" s="20">
        <f t="shared" si="25"/>
        <v>22240</v>
      </c>
      <c r="L251" s="20">
        <f t="shared" si="26"/>
        <v>800640</v>
      </c>
      <c r="M251" s="18"/>
    </row>
    <row r="252" spans="1:13" x14ac:dyDescent="0.3">
      <c r="A252" s="18" t="s">
        <v>794</v>
      </c>
      <c r="B252" s="18" t="s">
        <v>795</v>
      </c>
      <c r="C252" s="21">
        <v>22.33</v>
      </c>
      <c r="D252" s="18" t="s">
        <v>632</v>
      </c>
      <c r="E252" s="19">
        <v>75595</v>
      </c>
      <c r="F252" s="20">
        <f t="shared" si="22"/>
        <v>1688036.3499999999</v>
      </c>
      <c r="G252" s="19">
        <v>480253</v>
      </c>
      <c r="H252" s="20">
        <f t="shared" si="23"/>
        <v>10724049.489999998</v>
      </c>
      <c r="I252" s="19">
        <v>92222</v>
      </c>
      <c r="J252" s="20">
        <f t="shared" si="24"/>
        <v>2059317.2599999998</v>
      </c>
      <c r="K252" s="20">
        <f t="shared" si="25"/>
        <v>648070</v>
      </c>
      <c r="L252" s="20">
        <f t="shared" si="26"/>
        <v>14471403.099999998</v>
      </c>
      <c r="M252" s="18"/>
    </row>
    <row r="253" spans="1:13" x14ac:dyDescent="0.3">
      <c r="A253" s="18" t="s">
        <v>796</v>
      </c>
      <c r="B253" s="18" t="s">
        <v>797</v>
      </c>
      <c r="C253" s="19">
        <v>370</v>
      </c>
      <c r="D253" s="18" t="s">
        <v>97</v>
      </c>
      <c r="E253" s="19">
        <v>5781</v>
      </c>
      <c r="F253" s="20">
        <f t="shared" si="22"/>
        <v>2138970</v>
      </c>
      <c r="G253" s="19">
        <v>13340</v>
      </c>
      <c r="H253" s="20">
        <f t="shared" si="23"/>
        <v>4935800</v>
      </c>
      <c r="I253" s="19">
        <v>1942</v>
      </c>
      <c r="J253" s="20">
        <f t="shared" si="24"/>
        <v>718540</v>
      </c>
      <c r="K253" s="20">
        <f t="shared" si="25"/>
        <v>21063</v>
      </c>
      <c r="L253" s="20">
        <f t="shared" si="26"/>
        <v>7793310</v>
      </c>
      <c r="M253" s="18"/>
    </row>
    <row r="254" spans="1:13" x14ac:dyDescent="0.3">
      <c r="A254" s="18" t="s">
        <v>798</v>
      </c>
      <c r="B254" s="18" t="s">
        <v>475</v>
      </c>
      <c r="C254" s="19">
        <v>727</v>
      </c>
      <c r="D254" s="18" t="s">
        <v>97</v>
      </c>
      <c r="E254" s="19">
        <v>8449</v>
      </c>
      <c r="F254" s="20">
        <f t="shared" si="22"/>
        <v>6142423</v>
      </c>
      <c r="G254" s="19">
        <v>28459</v>
      </c>
      <c r="H254" s="20">
        <f t="shared" si="23"/>
        <v>20689693</v>
      </c>
      <c r="I254" s="19">
        <v>1456</v>
      </c>
      <c r="J254" s="20">
        <f t="shared" si="24"/>
        <v>1058512</v>
      </c>
      <c r="K254" s="20">
        <f t="shared" si="25"/>
        <v>38364</v>
      </c>
      <c r="L254" s="20">
        <f t="shared" si="26"/>
        <v>27890628</v>
      </c>
      <c r="M254" s="18"/>
    </row>
    <row r="255" spans="1:13" x14ac:dyDescent="0.3">
      <c r="A255" s="18" t="s">
        <v>799</v>
      </c>
      <c r="B255" s="18" t="s">
        <v>252</v>
      </c>
      <c r="C255" s="19">
        <v>35</v>
      </c>
      <c r="D255" s="18" t="s">
        <v>97</v>
      </c>
      <c r="E255" s="19">
        <v>6670</v>
      </c>
      <c r="F255" s="20">
        <f t="shared" si="22"/>
        <v>233450</v>
      </c>
      <c r="G255" s="19">
        <v>24902</v>
      </c>
      <c r="H255" s="20">
        <f t="shared" si="23"/>
        <v>871570</v>
      </c>
      <c r="I255" s="19">
        <v>1456</v>
      </c>
      <c r="J255" s="20">
        <f t="shared" si="24"/>
        <v>50960</v>
      </c>
      <c r="K255" s="20">
        <f t="shared" si="25"/>
        <v>33028</v>
      </c>
      <c r="L255" s="20">
        <f t="shared" si="26"/>
        <v>1155980</v>
      </c>
      <c r="M255" s="18"/>
    </row>
    <row r="256" spans="1:13" x14ac:dyDescent="0.3">
      <c r="A256" s="18" t="s">
        <v>800</v>
      </c>
      <c r="B256" s="18" t="s">
        <v>801</v>
      </c>
      <c r="C256" s="19">
        <v>281</v>
      </c>
      <c r="D256" s="18" t="s">
        <v>97</v>
      </c>
      <c r="E256" s="19">
        <v>6670</v>
      </c>
      <c r="F256" s="20">
        <f t="shared" si="22"/>
        <v>1874270</v>
      </c>
      <c r="G256" s="19">
        <v>13340</v>
      </c>
      <c r="H256" s="20">
        <f t="shared" si="23"/>
        <v>3748540</v>
      </c>
      <c r="I256" s="19">
        <v>1942</v>
      </c>
      <c r="J256" s="20">
        <f t="shared" si="24"/>
        <v>545702</v>
      </c>
      <c r="K256" s="20">
        <f t="shared" si="25"/>
        <v>21952</v>
      </c>
      <c r="L256" s="20">
        <f t="shared" si="26"/>
        <v>6168512</v>
      </c>
      <c r="M256" s="18"/>
    </row>
    <row r="257" spans="1:13" x14ac:dyDescent="0.3">
      <c r="A257" s="18" t="s">
        <v>802</v>
      </c>
      <c r="B257" s="18" t="s">
        <v>803</v>
      </c>
      <c r="C257" s="19">
        <v>2802</v>
      </c>
      <c r="D257" s="18" t="s">
        <v>97</v>
      </c>
      <c r="E257" s="19">
        <v>445</v>
      </c>
      <c r="F257" s="20">
        <f t="shared" si="22"/>
        <v>1246890</v>
      </c>
      <c r="G257" s="19">
        <v>889</v>
      </c>
      <c r="H257" s="20">
        <f t="shared" si="23"/>
        <v>2490978</v>
      </c>
      <c r="I257" s="19">
        <v>0</v>
      </c>
      <c r="J257" s="20">
        <f t="shared" si="24"/>
        <v>0</v>
      </c>
      <c r="K257" s="20">
        <f t="shared" si="25"/>
        <v>1334</v>
      </c>
      <c r="L257" s="20">
        <f t="shared" si="26"/>
        <v>3737868</v>
      </c>
      <c r="M257" s="18"/>
    </row>
    <row r="258" spans="1:13" x14ac:dyDescent="0.3">
      <c r="A258" s="18" t="s">
        <v>804</v>
      </c>
      <c r="B258" s="18" t="s">
        <v>805</v>
      </c>
      <c r="C258" s="19">
        <v>2000</v>
      </c>
      <c r="D258" s="18" t="s">
        <v>97</v>
      </c>
      <c r="E258" s="19">
        <v>445</v>
      </c>
      <c r="F258" s="20">
        <f t="shared" si="22"/>
        <v>890000</v>
      </c>
      <c r="G258" s="19">
        <v>889</v>
      </c>
      <c r="H258" s="20">
        <f t="shared" si="23"/>
        <v>1778000</v>
      </c>
      <c r="I258" s="19">
        <v>0</v>
      </c>
      <c r="J258" s="20">
        <f t="shared" si="24"/>
        <v>0</v>
      </c>
      <c r="K258" s="20">
        <f t="shared" si="25"/>
        <v>1334</v>
      </c>
      <c r="L258" s="20">
        <f t="shared" si="26"/>
        <v>2668000</v>
      </c>
      <c r="M258" s="18"/>
    </row>
    <row r="259" spans="1:13" x14ac:dyDescent="0.3">
      <c r="A259" s="18" t="s">
        <v>806</v>
      </c>
      <c r="B259" s="18" t="s">
        <v>807</v>
      </c>
      <c r="C259" s="19">
        <v>23</v>
      </c>
      <c r="D259" s="18" t="s">
        <v>234</v>
      </c>
      <c r="E259" s="19">
        <v>8894</v>
      </c>
      <c r="F259" s="20">
        <f t="shared" si="22"/>
        <v>204562</v>
      </c>
      <c r="G259" s="19">
        <v>4625</v>
      </c>
      <c r="H259" s="20">
        <f t="shared" si="23"/>
        <v>106375</v>
      </c>
      <c r="I259" s="19">
        <v>0</v>
      </c>
      <c r="J259" s="20">
        <f t="shared" si="24"/>
        <v>0</v>
      </c>
      <c r="K259" s="20">
        <f t="shared" si="25"/>
        <v>13519</v>
      </c>
      <c r="L259" s="20">
        <f t="shared" si="26"/>
        <v>310937</v>
      </c>
      <c r="M259" s="18"/>
    </row>
    <row r="260" spans="1:13" x14ac:dyDescent="0.3">
      <c r="A260" s="18" t="s">
        <v>808</v>
      </c>
      <c r="B260" s="18" t="s">
        <v>809</v>
      </c>
      <c r="C260" s="19">
        <v>254</v>
      </c>
      <c r="D260" s="18" t="s">
        <v>97</v>
      </c>
      <c r="E260" s="19">
        <v>3059</v>
      </c>
      <c r="F260" s="20">
        <f t="shared" si="22"/>
        <v>776986</v>
      </c>
      <c r="G260" s="19">
        <v>7560</v>
      </c>
      <c r="H260" s="20">
        <f t="shared" si="23"/>
        <v>1920240</v>
      </c>
      <c r="I260" s="19">
        <v>291</v>
      </c>
      <c r="J260" s="20">
        <f t="shared" si="24"/>
        <v>73914</v>
      </c>
      <c r="K260" s="20">
        <f t="shared" si="25"/>
        <v>10910</v>
      </c>
      <c r="L260" s="20">
        <f t="shared" si="26"/>
        <v>2771140</v>
      </c>
      <c r="M260" s="18"/>
    </row>
    <row r="261" spans="1:13" x14ac:dyDescent="0.3">
      <c r="A261" s="18" t="s">
        <v>810</v>
      </c>
      <c r="B261" s="18"/>
      <c r="C261" s="19">
        <v>254</v>
      </c>
      <c r="D261" s="18" t="s">
        <v>97</v>
      </c>
      <c r="E261" s="19">
        <v>1023</v>
      </c>
      <c r="F261" s="20">
        <f t="shared" si="22"/>
        <v>259842</v>
      </c>
      <c r="G261" s="19">
        <v>889</v>
      </c>
      <c r="H261" s="20">
        <f t="shared" si="23"/>
        <v>225806</v>
      </c>
      <c r="I261" s="19">
        <v>485</v>
      </c>
      <c r="J261" s="20">
        <f t="shared" si="24"/>
        <v>123190</v>
      </c>
      <c r="K261" s="20">
        <f t="shared" si="25"/>
        <v>2397</v>
      </c>
      <c r="L261" s="20">
        <f t="shared" si="26"/>
        <v>608838</v>
      </c>
      <c r="M261" s="18"/>
    </row>
    <row r="262" spans="1:13" x14ac:dyDescent="0.3">
      <c r="A262" s="18" t="s">
        <v>811</v>
      </c>
      <c r="B262" s="18" t="s">
        <v>812</v>
      </c>
      <c r="C262" s="19">
        <v>39</v>
      </c>
      <c r="D262" s="18" t="s">
        <v>97</v>
      </c>
      <c r="E262" s="19">
        <v>8004</v>
      </c>
      <c r="F262" s="20">
        <f t="shared" si="22"/>
        <v>312156</v>
      </c>
      <c r="G262" s="19">
        <v>10672</v>
      </c>
      <c r="H262" s="20">
        <f t="shared" si="23"/>
        <v>416208</v>
      </c>
      <c r="I262" s="19">
        <v>0</v>
      </c>
      <c r="J262" s="20">
        <f t="shared" si="24"/>
        <v>0</v>
      </c>
      <c r="K262" s="20">
        <f t="shared" si="25"/>
        <v>18676</v>
      </c>
      <c r="L262" s="20">
        <f t="shared" si="26"/>
        <v>728364</v>
      </c>
      <c r="M262" s="18"/>
    </row>
    <row r="263" spans="1:13" x14ac:dyDescent="0.3">
      <c r="A263" s="18" t="s">
        <v>813</v>
      </c>
      <c r="B263" s="18" t="s">
        <v>814</v>
      </c>
      <c r="C263" s="19">
        <v>795</v>
      </c>
      <c r="D263" s="18" t="s">
        <v>368</v>
      </c>
      <c r="E263" s="19">
        <v>12273</v>
      </c>
      <c r="F263" s="20">
        <f t="shared" si="22"/>
        <v>9757035</v>
      </c>
      <c r="G263" s="19">
        <v>4732</v>
      </c>
      <c r="H263" s="20">
        <f t="shared" si="23"/>
        <v>3761940</v>
      </c>
      <c r="I263" s="19">
        <v>0</v>
      </c>
      <c r="J263" s="20">
        <f t="shared" si="24"/>
        <v>0</v>
      </c>
      <c r="K263" s="20">
        <f t="shared" si="25"/>
        <v>17005</v>
      </c>
      <c r="L263" s="20">
        <f t="shared" si="26"/>
        <v>13518975</v>
      </c>
      <c r="M263" s="18"/>
    </row>
    <row r="264" spans="1:13" x14ac:dyDescent="0.3">
      <c r="A264" s="18" t="s">
        <v>815</v>
      </c>
      <c r="B264" s="18" t="s">
        <v>816</v>
      </c>
      <c r="C264" s="19">
        <v>322</v>
      </c>
      <c r="D264" s="18" t="s">
        <v>234</v>
      </c>
      <c r="E264" s="19">
        <v>1779</v>
      </c>
      <c r="F264" s="20">
        <f t="shared" si="22"/>
        <v>572838</v>
      </c>
      <c r="G264" s="19">
        <v>4447</v>
      </c>
      <c r="H264" s="20">
        <f t="shared" si="23"/>
        <v>1431934</v>
      </c>
      <c r="I264" s="19">
        <v>0</v>
      </c>
      <c r="J264" s="20">
        <f t="shared" si="24"/>
        <v>0</v>
      </c>
      <c r="K264" s="20">
        <f t="shared" si="25"/>
        <v>6226</v>
      </c>
      <c r="L264" s="20">
        <f t="shared" si="26"/>
        <v>2004772</v>
      </c>
      <c r="M264" s="18"/>
    </row>
    <row r="265" spans="1:13" x14ac:dyDescent="0.3">
      <c r="A265" s="18" t="s">
        <v>817</v>
      </c>
      <c r="B265" s="18" t="s">
        <v>818</v>
      </c>
      <c r="C265" s="19">
        <v>70</v>
      </c>
      <c r="D265" s="18" t="s">
        <v>103</v>
      </c>
      <c r="E265" s="19">
        <v>0</v>
      </c>
      <c r="F265" s="20">
        <f t="shared" si="22"/>
        <v>0</v>
      </c>
      <c r="G265" s="19">
        <v>1779</v>
      </c>
      <c r="H265" s="20">
        <f t="shared" si="23"/>
        <v>124530</v>
      </c>
      <c r="I265" s="19">
        <v>3786</v>
      </c>
      <c r="J265" s="20">
        <f t="shared" si="24"/>
        <v>265020</v>
      </c>
      <c r="K265" s="20">
        <f t="shared" si="25"/>
        <v>5565</v>
      </c>
      <c r="L265" s="20">
        <f t="shared" si="26"/>
        <v>389550</v>
      </c>
      <c r="M265" s="18"/>
    </row>
    <row r="266" spans="1:13" x14ac:dyDescent="0.3">
      <c r="A266" s="18" t="s">
        <v>819</v>
      </c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1:13" x14ac:dyDescent="0.3">
      <c r="A267" s="18" t="s">
        <v>820</v>
      </c>
      <c r="B267" s="18" t="s">
        <v>402</v>
      </c>
      <c r="C267" s="19">
        <v>23</v>
      </c>
      <c r="D267" s="18" t="s">
        <v>394</v>
      </c>
      <c r="E267" s="19">
        <v>0</v>
      </c>
      <c r="F267" s="20">
        <f>E267*C267</f>
        <v>0</v>
      </c>
      <c r="G267" s="19">
        <v>0</v>
      </c>
      <c r="H267" s="20">
        <f>G267*C267</f>
        <v>0</v>
      </c>
      <c r="I267" s="19">
        <v>19415</v>
      </c>
      <c r="J267" s="20">
        <f>I267*C267</f>
        <v>446545</v>
      </c>
      <c r="K267" s="20">
        <f>E267+G267+I267</f>
        <v>19415</v>
      </c>
      <c r="L267" s="20">
        <f>F267+H267+J267</f>
        <v>446545</v>
      </c>
      <c r="M267" s="18"/>
    </row>
    <row r="268" spans="1:13" x14ac:dyDescent="0.3">
      <c r="A268" s="18" t="s">
        <v>821</v>
      </c>
      <c r="B268" s="18" t="s">
        <v>404</v>
      </c>
      <c r="C268" s="21">
        <v>0.46899999999999997</v>
      </c>
      <c r="D268" s="18" t="s">
        <v>394</v>
      </c>
      <c r="E268" s="19">
        <v>-379919</v>
      </c>
      <c r="F268" s="20">
        <f>E268*C268</f>
        <v>-178182.011</v>
      </c>
      <c r="G268" s="19">
        <v>0</v>
      </c>
      <c r="H268" s="20">
        <f>G268*C268</f>
        <v>0</v>
      </c>
      <c r="I268" s="19">
        <v>0</v>
      </c>
      <c r="J268" s="20">
        <f>I268*C268</f>
        <v>0</v>
      </c>
      <c r="K268" s="20">
        <f>E268+G268+I268</f>
        <v>-379919</v>
      </c>
      <c r="L268" s="20">
        <f>F268+H268+J268</f>
        <v>-178182.011</v>
      </c>
      <c r="M268" s="18"/>
    </row>
    <row r="269" spans="1:13" x14ac:dyDescent="0.3">
      <c r="A269" s="18" t="s">
        <v>822</v>
      </c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 x14ac:dyDescent="0.3">
      <c r="A270" s="18" t="s">
        <v>406</v>
      </c>
      <c r="B270" s="18" t="s">
        <v>823</v>
      </c>
      <c r="C270" s="19">
        <v>250</v>
      </c>
      <c r="D270" s="18" t="s">
        <v>103</v>
      </c>
      <c r="E270" s="19">
        <v>89756</v>
      </c>
      <c r="F270" s="20">
        <f>E270*C270</f>
        <v>22439000</v>
      </c>
      <c r="G270" s="19">
        <v>0</v>
      </c>
      <c r="H270" s="20">
        <f>G270*C270</f>
        <v>0</v>
      </c>
      <c r="I270" s="19">
        <v>0</v>
      </c>
      <c r="J270" s="20">
        <f>I270*C270</f>
        <v>0</v>
      </c>
      <c r="K270" s="20">
        <f t="shared" ref="K270:L273" si="27">E270+G270+I270</f>
        <v>89756</v>
      </c>
      <c r="L270" s="20">
        <f t="shared" si="27"/>
        <v>22439000</v>
      </c>
      <c r="M270" s="18"/>
    </row>
    <row r="271" spans="1:13" x14ac:dyDescent="0.3">
      <c r="A271" s="18" t="s">
        <v>408</v>
      </c>
      <c r="B271" s="18" t="s">
        <v>824</v>
      </c>
      <c r="C271" s="19">
        <v>36</v>
      </c>
      <c r="D271" s="18" t="s">
        <v>103</v>
      </c>
      <c r="E271" s="19">
        <v>83582</v>
      </c>
      <c r="F271" s="20">
        <f>E271*C271</f>
        <v>3008952</v>
      </c>
      <c r="G271" s="19">
        <v>0</v>
      </c>
      <c r="H271" s="20">
        <f>G271*C271</f>
        <v>0</v>
      </c>
      <c r="I271" s="19">
        <v>0</v>
      </c>
      <c r="J271" s="20">
        <f>I271*C271</f>
        <v>0</v>
      </c>
      <c r="K271" s="20">
        <f t="shared" si="27"/>
        <v>83582</v>
      </c>
      <c r="L271" s="20">
        <f t="shared" si="27"/>
        <v>3008952</v>
      </c>
      <c r="M271" s="18"/>
    </row>
    <row r="272" spans="1:13" x14ac:dyDescent="0.3">
      <c r="A272" s="18" t="s">
        <v>389</v>
      </c>
      <c r="B272" s="18" t="s">
        <v>760</v>
      </c>
      <c r="C272" s="19">
        <v>73</v>
      </c>
      <c r="D272" s="18" t="s">
        <v>103</v>
      </c>
      <c r="E272" s="19">
        <v>16008</v>
      </c>
      <c r="F272" s="20">
        <f>E272*C272</f>
        <v>1168584</v>
      </c>
      <c r="G272" s="19">
        <v>0</v>
      </c>
      <c r="H272" s="20">
        <f>G272*C272</f>
        <v>0</v>
      </c>
      <c r="I272" s="19">
        <v>0</v>
      </c>
      <c r="J272" s="20">
        <f>I272*C272</f>
        <v>0</v>
      </c>
      <c r="K272" s="20">
        <f t="shared" si="27"/>
        <v>16008</v>
      </c>
      <c r="L272" s="20">
        <f t="shared" si="27"/>
        <v>1168584</v>
      </c>
      <c r="M272" s="18"/>
    </row>
    <row r="273" spans="1:13" x14ac:dyDescent="0.3">
      <c r="A273" s="18" t="s">
        <v>399</v>
      </c>
      <c r="B273" s="18" t="s">
        <v>825</v>
      </c>
      <c r="C273" s="19">
        <v>23</v>
      </c>
      <c r="D273" s="18" t="s">
        <v>826</v>
      </c>
      <c r="E273" s="19">
        <v>845370</v>
      </c>
      <c r="F273" s="20">
        <f>E273*C273</f>
        <v>19443510</v>
      </c>
      <c r="G273" s="19">
        <v>0</v>
      </c>
      <c r="H273" s="20">
        <f>G273*C273</f>
        <v>0</v>
      </c>
      <c r="I273" s="19">
        <v>0</v>
      </c>
      <c r="J273" s="20">
        <f>I273*C273</f>
        <v>0</v>
      </c>
      <c r="K273" s="20">
        <f t="shared" si="27"/>
        <v>845370</v>
      </c>
      <c r="L273" s="20">
        <f t="shared" si="27"/>
        <v>19443510</v>
      </c>
      <c r="M273" s="18"/>
    </row>
    <row r="274" spans="1:13" x14ac:dyDescent="0.3">
      <c r="A274" s="18" t="s">
        <v>827</v>
      </c>
      <c r="B274" s="18" t="s">
        <v>828</v>
      </c>
      <c r="C274" s="19">
        <v>0</v>
      </c>
      <c r="D274" s="18" t="s">
        <v>826</v>
      </c>
      <c r="E274" s="18"/>
      <c r="F274" s="19">
        <v>0</v>
      </c>
      <c r="G274" s="18"/>
      <c r="H274" s="19">
        <v>0</v>
      </c>
      <c r="I274" s="18"/>
      <c r="J274" s="19">
        <v>0</v>
      </c>
      <c r="K274" s="18"/>
      <c r="L274" s="19">
        <v>0</v>
      </c>
      <c r="M274" s="18"/>
    </row>
    <row r="275" spans="1:13" x14ac:dyDescent="0.3">
      <c r="A275" s="18" t="s">
        <v>829</v>
      </c>
      <c r="B275" s="18" t="s">
        <v>830</v>
      </c>
      <c r="C275" s="19">
        <v>0</v>
      </c>
      <c r="D275" s="18" t="s">
        <v>826</v>
      </c>
      <c r="E275" s="18"/>
      <c r="F275" s="19">
        <v>0</v>
      </c>
      <c r="G275" s="18"/>
      <c r="H275" s="19">
        <v>0</v>
      </c>
      <c r="I275" s="18"/>
      <c r="J275" s="19">
        <v>0</v>
      </c>
      <c r="K275" s="18"/>
      <c r="L275" s="19">
        <v>0</v>
      </c>
      <c r="M275" s="18"/>
    </row>
    <row r="276" spans="1:13" x14ac:dyDescent="0.3">
      <c r="A276" s="18" t="s">
        <v>831</v>
      </c>
      <c r="B276" s="18" t="s">
        <v>832</v>
      </c>
      <c r="C276" s="19">
        <v>0</v>
      </c>
      <c r="D276" s="18" t="s">
        <v>826</v>
      </c>
      <c r="E276" s="18"/>
      <c r="F276" s="19">
        <v>0</v>
      </c>
      <c r="G276" s="18"/>
      <c r="H276" s="19">
        <v>0</v>
      </c>
      <c r="I276" s="18"/>
      <c r="J276" s="19">
        <v>0</v>
      </c>
      <c r="K276" s="18"/>
      <c r="L276" s="19">
        <v>0</v>
      </c>
      <c r="M276" s="18"/>
    </row>
    <row r="277" spans="1:13" x14ac:dyDescent="0.3">
      <c r="A277" s="18" t="s">
        <v>1217</v>
      </c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 x14ac:dyDescent="0.3">
      <c r="A278" s="18" t="s">
        <v>861</v>
      </c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1:13" x14ac:dyDescent="0.3">
      <c r="A279" s="18" t="s">
        <v>215</v>
      </c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1:13" x14ac:dyDescent="0.3">
      <c r="A280" s="18" t="s">
        <v>835</v>
      </c>
      <c r="B280" s="18" t="s">
        <v>220</v>
      </c>
      <c r="C280" s="19">
        <v>19</v>
      </c>
      <c r="D280" s="18" t="s">
        <v>103</v>
      </c>
      <c r="E280" s="19">
        <v>0</v>
      </c>
      <c r="F280" s="20">
        <f>E280*C280</f>
        <v>0</v>
      </c>
      <c r="G280" s="19">
        <v>40225</v>
      </c>
      <c r="H280" s="20">
        <f>G280*C280</f>
        <v>764275</v>
      </c>
      <c r="I280" s="19">
        <v>11708</v>
      </c>
      <c r="J280" s="20">
        <f>I280*C280</f>
        <v>222452</v>
      </c>
      <c r="K280" s="20">
        <f>E280+G280+I280</f>
        <v>51933</v>
      </c>
      <c r="L280" s="20">
        <f>F280+H280+J280</f>
        <v>986727</v>
      </c>
      <c r="M280" s="18"/>
    </row>
    <row r="281" spans="1:13" x14ac:dyDescent="0.3">
      <c r="A281" s="18" t="s">
        <v>221</v>
      </c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 x14ac:dyDescent="0.3">
      <c r="A282" s="18" t="s">
        <v>862</v>
      </c>
      <c r="B282" s="18" t="s">
        <v>220</v>
      </c>
      <c r="C282" s="19">
        <v>14</v>
      </c>
      <c r="D282" s="18" t="s">
        <v>103</v>
      </c>
      <c r="E282" s="19">
        <v>0</v>
      </c>
      <c r="F282" s="20">
        <f>E282*C282</f>
        <v>0</v>
      </c>
      <c r="G282" s="19">
        <v>35755</v>
      </c>
      <c r="H282" s="20">
        <f>G282*C282</f>
        <v>500570</v>
      </c>
      <c r="I282" s="19">
        <v>11708</v>
      </c>
      <c r="J282" s="20">
        <f>I282*C282</f>
        <v>163912</v>
      </c>
      <c r="K282" s="20">
        <f>E282+G282+I282</f>
        <v>47463</v>
      </c>
      <c r="L282" s="20">
        <f>F282+H282+J282</f>
        <v>664482</v>
      </c>
      <c r="M282" s="18"/>
    </row>
    <row r="283" spans="1:13" x14ac:dyDescent="0.3">
      <c r="A283" s="18" t="s">
        <v>227</v>
      </c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1:13" x14ac:dyDescent="0.3">
      <c r="A284" s="18" t="s">
        <v>228</v>
      </c>
      <c r="B284" s="18" t="s">
        <v>448</v>
      </c>
      <c r="C284" s="19">
        <v>5</v>
      </c>
      <c r="D284" s="18" t="s">
        <v>103</v>
      </c>
      <c r="E284" s="19">
        <v>0</v>
      </c>
      <c r="F284" s="20">
        <f>E284*C284</f>
        <v>0</v>
      </c>
      <c r="G284" s="19">
        <v>0</v>
      </c>
      <c r="H284" s="20">
        <f>G284*C284</f>
        <v>0</v>
      </c>
      <c r="I284" s="19">
        <v>9757</v>
      </c>
      <c r="J284" s="20">
        <f>I284*C284</f>
        <v>48785</v>
      </c>
      <c r="K284" s="20">
        <f>E284+G284+I284</f>
        <v>9757</v>
      </c>
      <c r="L284" s="20">
        <f>F284+H284+J284</f>
        <v>48785</v>
      </c>
      <c r="M284" s="18"/>
    </row>
    <row r="285" spans="1:13" x14ac:dyDescent="0.3">
      <c r="A285" s="18" t="s">
        <v>1218</v>
      </c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 x14ac:dyDescent="0.3">
      <c r="A286" s="18" t="s">
        <v>1139</v>
      </c>
      <c r="B286" s="18"/>
      <c r="C286" s="19">
        <v>1</v>
      </c>
      <c r="D286" s="18" t="s">
        <v>1140</v>
      </c>
      <c r="E286" s="19">
        <v>0</v>
      </c>
      <c r="F286" s="20">
        <f>E286*C286</f>
        <v>0</v>
      </c>
      <c r="G286" s="19">
        <v>0</v>
      </c>
      <c r="H286" s="20">
        <f>G286*C286</f>
        <v>0</v>
      </c>
      <c r="I286" s="19">
        <v>0</v>
      </c>
      <c r="J286" s="20">
        <f>I286*C286</f>
        <v>0</v>
      </c>
      <c r="K286" s="20">
        <f t="shared" ref="K286:L288" si="28">E286+G286+I286</f>
        <v>0</v>
      </c>
      <c r="L286" s="20">
        <f t="shared" si="28"/>
        <v>0</v>
      </c>
      <c r="M286" s="18"/>
    </row>
    <row r="287" spans="1:13" x14ac:dyDescent="0.3">
      <c r="A287" s="18" t="s">
        <v>1141</v>
      </c>
      <c r="B287" s="18"/>
      <c r="C287" s="19">
        <v>1</v>
      </c>
      <c r="D287" s="18" t="s">
        <v>1140</v>
      </c>
      <c r="E287" s="19">
        <v>0</v>
      </c>
      <c r="F287" s="20">
        <f>E287*C287</f>
        <v>0</v>
      </c>
      <c r="G287" s="19">
        <v>0</v>
      </c>
      <c r="H287" s="20">
        <f>G287*C287</f>
        <v>0</v>
      </c>
      <c r="I287" s="19">
        <v>0</v>
      </c>
      <c r="J287" s="20">
        <f>I287*C287</f>
        <v>0</v>
      </c>
      <c r="K287" s="20">
        <f t="shared" si="28"/>
        <v>0</v>
      </c>
      <c r="L287" s="20">
        <f t="shared" si="28"/>
        <v>0</v>
      </c>
      <c r="M287" s="18"/>
    </row>
    <row r="288" spans="1:13" x14ac:dyDescent="0.3">
      <c r="A288" s="18" t="s">
        <v>1142</v>
      </c>
      <c r="B288" s="18"/>
      <c r="C288" s="19">
        <v>1</v>
      </c>
      <c r="D288" s="18" t="s">
        <v>1143</v>
      </c>
      <c r="E288" s="19">
        <v>0</v>
      </c>
      <c r="F288" s="20">
        <f>E288*C288</f>
        <v>0</v>
      </c>
      <c r="G288" s="19">
        <v>0</v>
      </c>
      <c r="H288" s="20">
        <f>G288*C288</f>
        <v>0</v>
      </c>
      <c r="I288" s="19">
        <v>0</v>
      </c>
      <c r="J288" s="20">
        <f>I288*C288</f>
        <v>0</v>
      </c>
      <c r="K288" s="20">
        <f t="shared" si="28"/>
        <v>0</v>
      </c>
      <c r="L288" s="20">
        <f t="shared" si="28"/>
        <v>0</v>
      </c>
      <c r="M288" s="18"/>
    </row>
    <row r="289" spans="1:13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2" spans="1:13" x14ac:dyDescent="0.3">
      <c r="A292" s="6" t="s">
        <v>32</v>
      </c>
    </row>
    <row r="293" spans="1:13" x14ac:dyDescent="0.3">
      <c r="A293" s="18" t="s">
        <v>1219</v>
      </c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3" x14ac:dyDescent="0.3">
      <c r="A294" s="18" t="s">
        <v>1220</v>
      </c>
      <c r="B294" s="18" t="s">
        <v>1221</v>
      </c>
      <c r="C294" s="19">
        <v>661</v>
      </c>
      <c r="D294" s="18" t="s">
        <v>394</v>
      </c>
      <c r="E294" s="19">
        <v>0</v>
      </c>
      <c r="F294" s="20">
        <f>E294*C294</f>
        <v>0</v>
      </c>
      <c r="G294" s="19">
        <v>0</v>
      </c>
      <c r="H294" s="20">
        <f>G294*C294</f>
        <v>0</v>
      </c>
      <c r="I294" s="19">
        <v>10370</v>
      </c>
      <c r="J294" s="20">
        <f>I294*C294</f>
        <v>6854570</v>
      </c>
      <c r="K294" s="20">
        <f>E294+G294+I294</f>
        <v>10370</v>
      </c>
      <c r="L294" s="20">
        <f>F294+H294+J294</f>
        <v>6854570</v>
      </c>
      <c r="M294" s="18"/>
    </row>
    <row r="295" spans="1:13" x14ac:dyDescent="0.3">
      <c r="A295" s="18" t="s">
        <v>1222</v>
      </c>
      <c r="B295" s="18"/>
      <c r="C295" s="19">
        <v>661</v>
      </c>
      <c r="D295" s="18" t="s">
        <v>394</v>
      </c>
      <c r="E295" s="19">
        <v>0</v>
      </c>
      <c r="F295" s="20">
        <f>E295*C295</f>
        <v>0</v>
      </c>
      <c r="G295" s="19">
        <v>0</v>
      </c>
      <c r="H295" s="20">
        <f>G295*C295</f>
        <v>0</v>
      </c>
      <c r="I295" s="19">
        <v>19630</v>
      </c>
      <c r="J295" s="20">
        <f>I295*C295</f>
        <v>12975430</v>
      </c>
      <c r="K295" s="20">
        <f>E295+G295+I295</f>
        <v>19630</v>
      </c>
      <c r="L295" s="20">
        <f>F295+H295+J295</f>
        <v>12975430</v>
      </c>
      <c r="M295" s="18"/>
    </row>
    <row r="297" spans="1:13" x14ac:dyDescent="0.3">
      <c r="A297" s="6" t="s">
        <v>33</v>
      </c>
    </row>
    <row r="298" spans="1:13" x14ac:dyDescent="0.3">
      <c r="A298" s="18" t="s">
        <v>93</v>
      </c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1:13" x14ac:dyDescent="0.3">
      <c r="A299" s="18" t="s">
        <v>1153</v>
      </c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1:13" x14ac:dyDescent="0.3">
      <c r="A300" s="18" t="s">
        <v>1154</v>
      </c>
      <c r="B300" s="18" t="s">
        <v>1155</v>
      </c>
      <c r="C300" s="19">
        <v>3022</v>
      </c>
      <c r="D300" s="18" t="s">
        <v>950</v>
      </c>
      <c r="E300" s="19">
        <v>0</v>
      </c>
      <c r="F300" s="20">
        <f>E300*C300</f>
        <v>0</v>
      </c>
      <c r="G300" s="19">
        <v>207</v>
      </c>
      <c r="H300" s="20">
        <f>G300*C300</f>
        <v>625554</v>
      </c>
      <c r="I300" s="19">
        <v>1160</v>
      </c>
      <c r="J300" s="20">
        <f>I300*C300</f>
        <v>3505520</v>
      </c>
      <c r="K300" s="20">
        <f>E300+G300+I300</f>
        <v>1367</v>
      </c>
      <c r="L300" s="20">
        <f>F300+H300+J300</f>
        <v>4131074</v>
      </c>
      <c r="M300" s="18"/>
    </row>
    <row r="301" spans="1:13" x14ac:dyDescent="0.3">
      <c r="A301" s="18" t="s">
        <v>1156</v>
      </c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1:13" x14ac:dyDescent="0.3">
      <c r="A302" s="18" t="s">
        <v>115</v>
      </c>
      <c r="B302" s="18" t="s">
        <v>116</v>
      </c>
      <c r="C302" s="19">
        <v>245</v>
      </c>
      <c r="D302" s="18" t="s">
        <v>97</v>
      </c>
      <c r="E302" s="19">
        <v>4903</v>
      </c>
      <c r="F302" s="20">
        <f>E302*C302</f>
        <v>1201235</v>
      </c>
      <c r="G302" s="19">
        <v>1028</v>
      </c>
      <c r="H302" s="20">
        <f>G302*C302</f>
        <v>251860</v>
      </c>
      <c r="I302" s="19">
        <v>0</v>
      </c>
      <c r="J302" s="20">
        <f>I302*C302</f>
        <v>0</v>
      </c>
      <c r="K302" s="20">
        <f>E302+G302+I302</f>
        <v>5931</v>
      </c>
      <c r="L302" s="20">
        <f>F302+H302+J302</f>
        <v>1453095</v>
      </c>
      <c r="M302" s="18"/>
    </row>
    <row r="303" spans="1:13" x14ac:dyDescent="0.3">
      <c r="A303" s="18" t="s">
        <v>1157</v>
      </c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1:13" x14ac:dyDescent="0.3">
      <c r="A304" s="18" t="s">
        <v>120</v>
      </c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1:13" x14ac:dyDescent="0.3">
      <c r="A305" s="18" t="s">
        <v>123</v>
      </c>
      <c r="B305" s="18" t="s">
        <v>124</v>
      </c>
      <c r="C305" s="19">
        <v>578</v>
      </c>
      <c r="D305" s="18" t="s">
        <v>103</v>
      </c>
      <c r="E305" s="19">
        <v>0</v>
      </c>
      <c r="F305" s="20">
        <f>E305*C305</f>
        <v>0</v>
      </c>
      <c r="G305" s="19">
        <v>240</v>
      </c>
      <c r="H305" s="20">
        <f>G305*C305</f>
        <v>138720</v>
      </c>
      <c r="I305" s="19">
        <v>1349</v>
      </c>
      <c r="J305" s="20">
        <f>I305*C305</f>
        <v>779722</v>
      </c>
      <c r="K305" s="20">
        <f>E305+G305+I305</f>
        <v>1589</v>
      </c>
      <c r="L305" s="20">
        <f>F305+H305+J305</f>
        <v>918442</v>
      </c>
      <c r="M305" s="18"/>
    </row>
    <row r="306" spans="1:13" x14ac:dyDescent="0.3">
      <c r="A306" s="18" t="s">
        <v>1158</v>
      </c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1:13" x14ac:dyDescent="0.3">
      <c r="A307" s="18" t="s">
        <v>139</v>
      </c>
      <c r="B307" s="18" t="s">
        <v>140</v>
      </c>
      <c r="C307" s="19">
        <v>2132</v>
      </c>
      <c r="D307" s="18" t="s">
        <v>103</v>
      </c>
      <c r="E307" s="19">
        <v>0</v>
      </c>
      <c r="F307" s="20">
        <f>E307*C307</f>
        <v>0</v>
      </c>
      <c r="G307" s="19">
        <v>490</v>
      </c>
      <c r="H307" s="20">
        <f>G307*C307</f>
        <v>1044680</v>
      </c>
      <c r="I307" s="19">
        <v>2744</v>
      </c>
      <c r="J307" s="20">
        <f>I307*C307</f>
        <v>5850208</v>
      </c>
      <c r="K307" s="20">
        <f>E307+G307+I307</f>
        <v>3234</v>
      </c>
      <c r="L307" s="20">
        <f>F307+H307+J307</f>
        <v>6894888</v>
      </c>
      <c r="M307" s="18"/>
    </row>
    <row r="308" spans="1:13" x14ac:dyDescent="0.3">
      <c r="A308" s="18" t="s">
        <v>1159</v>
      </c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1:13" x14ac:dyDescent="0.3">
      <c r="A309" s="18" t="s">
        <v>1160</v>
      </c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1:13" x14ac:dyDescent="0.3">
      <c r="A310" s="18" t="s">
        <v>147</v>
      </c>
      <c r="B310" s="18" t="s">
        <v>148</v>
      </c>
      <c r="C310" s="19">
        <v>1216</v>
      </c>
      <c r="D310" s="18" t="s">
        <v>103</v>
      </c>
      <c r="E310" s="19">
        <v>0</v>
      </c>
      <c r="F310" s="20">
        <f>E310*C310</f>
        <v>0</v>
      </c>
      <c r="G310" s="19">
        <v>475</v>
      </c>
      <c r="H310" s="20">
        <f>G310*C310</f>
        <v>577600</v>
      </c>
      <c r="I310" s="19">
        <v>2705</v>
      </c>
      <c r="J310" s="20">
        <f>I310*C310</f>
        <v>3289280</v>
      </c>
      <c r="K310" s="20">
        <f>E310+G310+I310</f>
        <v>3180</v>
      </c>
      <c r="L310" s="20">
        <f>F310+H310+J310</f>
        <v>3866880</v>
      </c>
      <c r="M310" s="18"/>
    </row>
    <row r="311" spans="1:13" x14ac:dyDescent="0.3">
      <c r="A311" s="18" t="s">
        <v>1161</v>
      </c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x14ac:dyDescent="0.3">
      <c r="A312" s="18" t="s">
        <v>147</v>
      </c>
      <c r="B312" s="18" t="s">
        <v>150</v>
      </c>
      <c r="C312" s="19">
        <v>1406</v>
      </c>
      <c r="D312" s="18" t="s">
        <v>103</v>
      </c>
      <c r="E312" s="19">
        <v>0</v>
      </c>
      <c r="F312" s="20">
        <f>E312*C312</f>
        <v>0</v>
      </c>
      <c r="G312" s="19">
        <v>475</v>
      </c>
      <c r="H312" s="20">
        <f>G312*C312</f>
        <v>667850</v>
      </c>
      <c r="I312" s="19">
        <v>1545</v>
      </c>
      <c r="J312" s="20">
        <f>I312*C312</f>
        <v>2172270</v>
      </c>
      <c r="K312" s="20">
        <f>E312+G312+I312</f>
        <v>2020</v>
      </c>
      <c r="L312" s="20">
        <f>F312+H312+J312</f>
        <v>2840120</v>
      </c>
      <c r="M312" s="18"/>
    </row>
    <row r="313" spans="1:13" x14ac:dyDescent="0.3">
      <c r="A313" s="18" t="s">
        <v>1162</v>
      </c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x14ac:dyDescent="0.3">
      <c r="A314" s="18" t="s">
        <v>147</v>
      </c>
      <c r="B314" s="18" t="s">
        <v>150</v>
      </c>
      <c r="C314" s="19">
        <v>1787</v>
      </c>
      <c r="D314" s="18" t="s">
        <v>103</v>
      </c>
      <c r="E314" s="19">
        <v>0</v>
      </c>
      <c r="F314" s="20">
        <f>E314*C314</f>
        <v>0</v>
      </c>
      <c r="G314" s="19">
        <v>475</v>
      </c>
      <c r="H314" s="20">
        <f>G314*C314</f>
        <v>848825</v>
      </c>
      <c r="I314" s="19">
        <v>1545</v>
      </c>
      <c r="J314" s="20">
        <f>I314*C314</f>
        <v>2760915</v>
      </c>
      <c r="K314" s="20">
        <f>E314+G314+I314</f>
        <v>2020</v>
      </c>
      <c r="L314" s="20">
        <f>F314+H314+J314</f>
        <v>3609740</v>
      </c>
      <c r="M314" s="18"/>
    </row>
    <row r="315" spans="1:13" x14ac:dyDescent="0.3">
      <c r="A315" s="18" t="s">
        <v>1163</v>
      </c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 x14ac:dyDescent="0.3">
      <c r="A316" s="18" t="s">
        <v>1164</v>
      </c>
      <c r="B316" s="18"/>
      <c r="C316" s="19">
        <v>161</v>
      </c>
      <c r="D316" s="18" t="s">
        <v>1014</v>
      </c>
      <c r="E316" s="19">
        <v>0</v>
      </c>
      <c r="F316" s="20">
        <f>E316*C316</f>
        <v>0</v>
      </c>
      <c r="G316" s="19">
        <v>433</v>
      </c>
      <c r="H316" s="20">
        <f>G316*C316</f>
        <v>69713</v>
      </c>
      <c r="I316" s="19">
        <v>2420</v>
      </c>
      <c r="J316" s="20">
        <f>I316*C316</f>
        <v>389620</v>
      </c>
      <c r="K316" s="20">
        <f>E316+G316+I316</f>
        <v>2853</v>
      </c>
      <c r="L316" s="20">
        <f>F316+H316+J316</f>
        <v>459333</v>
      </c>
      <c r="M316" s="18"/>
    </row>
    <row r="317" spans="1:13" x14ac:dyDescent="0.3">
      <c r="A317" s="18" t="s">
        <v>152</v>
      </c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 x14ac:dyDescent="0.3">
      <c r="A318" s="18" t="s">
        <v>153</v>
      </c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 x14ac:dyDescent="0.3">
      <c r="A319" s="18" t="s">
        <v>154</v>
      </c>
      <c r="B319" s="18"/>
      <c r="C319" s="19">
        <v>2720</v>
      </c>
      <c r="D319" s="18" t="s">
        <v>103</v>
      </c>
      <c r="E319" s="19">
        <v>0</v>
      </c>
      <c r="F319" s="20">
        <f>E319*C319</f>
        <v>0</v>
      </c>
      <c r="G319" s="19">
        <v>77</v>
      </c>
      <c r="H319" s="20">
        <f>G319*C319</f>
        <v>209440</v>
      </c>
      <c r="I319" s="19">
        <v>522</v>
      </c>
      <c r="J319" s="20">
        <f>I319*C319</f>
        <v>1419840</v>
      </c>
      <c r="K319" s="20">
        <f>E319+G319+I319</f>
        <v>599</v>
      </c>
      <c r="L319" s="20">
        <f>F319+H319+J319</f>
        <v>1629280</v>
      </c>
      <c r="M319" s="18"/>
    </row>
    <row r="320" spans="1:13" x14ac:dyDescent="0.3">
      <c r="A320" s="18" t="s">
        <v>155</v>
      </c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x14ac:dyDescent="0.3">
      <c r="A321" s="18" t="s">
        <v>156</v>
      </c>
      <c r="B321" s="18" t="s">
        <v>1223</v>
      </c>
      <c r="C321" s="19">
        <v>206</v>
      </c>
      <c r="D321" s="18" t="s">
        <v>103</v>
      </c>
      <c r="E321" s="19">
        <v>0</v>
      </c>
      <c r="F321" s="20">
        <f>E321*C321</f>
        <v>0</v>
      </c>
      <c r="G321" s="19">
        <v>87</v>
      </c>
      <c r="H321" s="20">
        <f>G321*C321</f>
        <v>17922</v>
      </c>
      <c r="I321" s="19">
        <v>518</v>
      </c>
      <c r="J321" s="20">
        <f>I321*C321</f>
        <v>106708</v>
      </c>
      <c r="K321" s="20">
        <f>E321+G321+I321</f>
        <v>605</v>
      </c>
      <c r="L321" s="20">
        <f>F321+H321+J321</f>
        <v>124630</v>
      </c>
      <c r="M321" s="18"/>
    </row>
    <row r="322" spans="1:13" x14ac:dyDescent="0.3">
      <c r="A322" s="18" t="s">
        <v>160</v>
      </c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ht="24" x14ac:dyDescent="0.3">
      <c r="A323" s="18" t="s">
        <v>161</v>
      </c>
      <c r="B323" s="18" t="s">
        <v>1224</v>
      </c>
      <c r="C323" s="19">
        <v>136</v>
      </c>
      <c r="D323" s="18" t="s">
        <v>103</v>
      </c>
      <c r="E323" s="19">
        <v>0</v>
      </c>
      <c r="F323" s="20">
        <f>E323*C323</f>
        <v>0</v>
      </c>
      <c r="G323" s="19">
        <v>514</v>
      </c>
      <c r="H323" s="20">
        <f>G323*C323</f>
        <v>69904</v>
      </c>
      <c r="I323" s="19">
        <v>2599</v>
      </c>
      <c r="J323" s="20">
        <f>I323*C323</f>
        <v>353464</v>
      </c>
      <c r="K323" s="20">
        <f>E323+G323+I323</f>
        <v>3113</v>
      </c>
      <c r="L323" s="20">
        <f>F323+H323+J323</f>
        <v>423368</v>
      </c>
      <c r="M323" s="18"/>
    </row>
    <row r="324" spans="1:13" x14ac:dyDescent="0.3">
      <c r="A324" s="18" t="s">
        <v>180</v>
      </c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x14ac:dyDescent="0.3">
      <c r="A325" s="18" t="s">
        <v>181</v>
      </c>
      <c r="B325" s="18" t="s">
        <v>182</v>
      </c>
      <c r="C325" s="19">
        <v>44</v>
      </c>
      <c r="D325" s="18" t="s">
        <v>183</v>
      </c>
      <c r="E325" s="19">
        <v>7909</v>
      </c>
      <c r="F325" s="20">
        <f>E325*C325</f>
        <v>347996</v>
      </c>
      <c r="G325" s="19">
        <v>55678</v>
      </c>
      <c r="H325" s="20">
        <f>G325*C325</f>
        <v>2449832</v>
      </c>
      <c r="I325" s="19">
        <v>0</v>
      </c>
      <c r="J325" s="20">
        <f>I325*C325</f>
        <v>0</v>
      </c>
      <c r="K325" s="20">
        <f>E325+G325+I325</f>
        <v>63587</v>
      </c>
      <c r="L325" s="20">
        <f>F325+H325+J325</f>
        <v>2797828</v>
      </c>
      <c r="M325" s="18"/>
    </row>
    <row r="326" spans="1:13" x14ac:dyDescent="0.3">
      <c r="A326" s="18" t="s">
        <v>184</v>
      </c>
      <c r="B326" s="18" t="s">
        <v>185</v>
      </c>
      <c r="C326" s="19">
        <v>4</v>
      </c>
      <c r="D326" s="18" t="s">
        <v>183</v>
      </c>
      <c r="E326" s="19">
        <v>25308</v>
      </c>
      <c r="F326" s="20">
        <f>E326*C326</f>
        <v>101232</v>
      </c>
      <c r="G326" s="19">
        <v>73947</v>
      </c>
      <c r="H326" s="20">
        <f>G326*C326</f>
        <v>295788</v>
      </c>
      <c r="I326" s="19">
        <v>0</v>
      </c>
      <c r="J326" s="20">
        <f>I326*C326</f>
        <v>0</v>
      </c>
      <c r="K326" s="20">
        <f>E326+G326+I326</f>
        <v>99255</v>
      </c>
      <c r="L326" s="20">
        <f>F326+H326+J326</f>
        <v>397020</v>
      </c>
      <c r="M326" s="18"/>
    </row>
    <row r="327" spans="1:13" x14ac:dyDescent="0.3">
      <c r="A327" s="18" t="s">
        <v>1167</v>
      </c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x14ac:dyDescent="0.3">
      <c r="A328" s="18" t="s">
        <v>206</v>
      </c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x14ac:dyDescent="0.3">
      <c r="A329" s="18" t="s">
        <v>207</v>
      </c>
      <c r="B329" s="18" t="s">
        <v>208</v>
      </c>
      <c r="C329" s="19">
        <v>13</v>
      </c>
      <c r="D329" s="18" t="s">
        <v>103</v>
      </c>
      <c r="E329" s="19">
        <v>0</v>
      </c>
      <c r="F329" s="20">
        <f t="shared" ref="F329:F335" si="29">E329*C329</f>
        <v>0</v>
      </c>
      <c r="G329" s="19">
        <v>10756</v>
      </c>
      <c r="H329" s="20">
        <f t="shared" ref="H329:H335" si="30">G329*C329</f>
        <v>139828</v>
      </c>
      <c r="I329" s="19">
        <v>21063</v>
      </c>
      <c r="J329" s="20">
        <f t="shared" ref="J329:J335" si="31">I329*C329</f>
        <v>273819</v>
      </c>
      <c r="K329" s="20">
        <f t="shared" ref="K329:L335" si="32">E329+G329+I329</f>
        <v>31819</v>
      </c>
      <c r="L329" s="20">
        <f t="shared" si="32"/>
        <v>413647</v>
      </c>
      <c r="M329" s="18"/>
    </row>
    <row r="330" spans="1:13" x14ac:dyDescent="0.3">
      <c r="A330" s="18" t="s">
        <v>209</v>
      </c>
      <c r="B330" s="18" t="s">
        <v>208</v>
      </c>
      <c r="C330" s="19">
        <v>72</v>
      </c>
      <c r="D330" s="18" t="s">
        <v>103</v>
      </c>
      <c r="E330" s="19">
        <v>0</v>
      </c>
      <c r="F330" s="20">
        <f t="shared" si="29"/>
        <v>0</v>
      </c>
      <c r="G330" s="19">
        <v>3875</v>
      </c>
      <c r="H330" s="20">
        <f t="shared" si="30"/>
        <v>279000</v>
      </c>
      <c r="I330" s="19">
        <v>19941</v>
      </c>
      <c r="J330" s="20">
        <f t="shared" si="31"/>
        <v>1435752</v>
      </c>
      <c r="K330" s="20">
        <f t="shared" si="32"/>
        <v>23816</v>
      </c>
      <c r="L330" s="20">
        <f t="shared" si="32"/>
        <v>1714752</v>
      </c>
      <c r="M330" s="18"/>
    </row>
    <row r="331" spans="1:13" x14ac:dyDescent="0.3">
      <c r="A331" s="18" t="s">
        <v>1168</v>
      </c>
      <c r="B331" s="18"/>
      <c r="C331" s="19">
        <v>30</v>
      </c>
      <c r="D331" s="18" t="s">
        <v>234</v>
      </c>
      <c r="E331" s="19">
        <v>3954</v>
      </c>
      <c r="F331" s="20">
        <f t="shared" si="29"/>
        <v>118620</v>
      </c>
      <c r="G331" s="19">
        <v>1107</v>
      </c>
      <c r="H331" s="20">
        <f t="shared" si="30"/>
        <v>33210</v>
      </c>
      <c r="I331" s="19">
        <v>0</v>
      </c>
      <c r="J331" s="20">
        <f t="shared" si="31"/>
        <v>0</v>
      </c>
      <c r="K331" s="20">
        <f t="shared" si="32"/>
        <v>5061</v>
      </c>
      <c r="L331" s="20">
        <f t="shared" si="32"/>
        <v>151830</v>
      </c>
      <c r="M331" s="18"/>
    </row>
    <row r="332" spans="1:13" x14ac:dyDescent="0.3">
      <c r="A332" s="18" t="s">
        <v>1225</v>
      </c>
      <c r="B332" s="18"/>
      <c r="C332" s="19">
        <v>17</v>
      </c>
      <c r="D332" s="18" t="s">
        <v>234</v>
      </c>
      <c r="E332" s="19">
        <v>3954</v>
      </c>
      <c r="F332" s="20">
        <f t="shared" si="29"/>
        <v>67218</v>
      </c>
      <c r="G332" s="19">
        <v>1107</v>
      </c>
      <c r="H332" s="20">
        <f t="shared" si="30"/>
        <v>18819</v>
      </c>
      <c r="I332" s="19">
        <v>0</v>
      </c>
      <c r="J332" s="20">
        <f t="shared" si="31"/>
        <v>0</v>
      </c>
      <c r="K332" s="20">
        <f t="shared" si="32"/>
        <v>5061</v>
      </c>
      <c r="L332" s="20">
        <f t="shared" si="32"/>
        <v>86037</v>
      </c>
      <c r="M332" s="18"/>
    </row>
    <row r="333" spans="1:13" x14ac:dyDescent="0.3">
      <c r="A333" s="18" t="s">
        <v>1226</v>
      </c>
      <c r="B333" s="18" t="s">
        <v>1170</v>
      </c>
      <c r="C333" s="19">
        <v>631</v>
      </c>
      <c r="D333" s="18" t="s">
        <v>1014</v>
      </c>
      <c r="E333" s="19">
        <v>0</v>
      </c>
      <c r="F333" s="20">
        <f t="shared" si="29"/>
        <v>0</v>
      </c>
      <c r="G333" s="19">
        <v>1186</v>
      </c>
      <c r="H333" s="20">
        <f t="shared" si="30"/>
        <v>748366</v>
      </c>
      <c r="I333" s="19">
        <v>4316</v>
      </c>
      <c r="J333" s="20">
        <f t="shared" si="31"/>
        <v>2723396</v>
      </c>
      <c r="K333" s="20">
        <f t="shared" si="32"/>
        <v>5502</v>
      </c>
      <c r="L333" s="20">
        <f t="shared" si="32"/>
        <v>3471762</v>
      </c>
      <c r="M333" s="18"/>
    </row>
    <row r="334" spans="1:13" x14ac:dyDescent="0.3">
      <c r="A334" s="18" t="s">
        <v>1227</v>
      </c>
      <c r="B334" s="18" t="s">
        <v>1170</v>
      </c>
      <c r="C334" s="19">
        <v>11</v>
      </c>
      <c r="D334" s="18" t="s">
        <v>1014</v>
      </c>
      <c r="E334" s="19">
        <v>0</v>
      </c>
      <c r="F334" s="20">
        <f t="shared" si="29"/>
        <v>0</v>
      </c>
      <c r="G334" s="19">
        <v>1186</v>
      </c>
      <c r="H334" s="20">
        <f t="shared" si="30"/>
        <v>13046</v>
      </c>
      <c r="I334" s="19">
        <v>4316</v>
      </c>
      <c r="J334" s="20">
        <f t="shared" si="31"/>
        <v>47476</v>
      </c>
      <c r="K334" s="20">
        <f t="shared" si="32"/>
        <v>5502</v>
      </c>
      <c r="L334" s="20">
        <f t="shared" si="32"/>
        <v>60522</v>
      </c>
      <c r="M334" s="18"/>
    </row>
    <row r="335" spans="1:13" x14ac:dyDescent="0.3">
      <c r="A335" s="18" t="s">
        <v>1228</v>
      </c>
      <c r="B335" s="18" t="s">
        <v>1229</v>
      </c>
      <c r="C335" s="19">
        <v>249</v>
      </c>
      <c r="D335" s="18" t="s">
        <v>234</v>
      </c>
      <c r="E335" s="19">
        <v>0</v>
      </c>
      <c r="F335" s="20">
        <f t="shared" si="29"/>
        <v>0</v>
      </c>
      <c r="G335" s="19">
        <v>4508</v>
      </c>
      <c r="H335" s="20">
        <f t="shared" si="30"/>
        <v>1122492</v>
      </c>
      <c r="I335" s="19">
        <v>7683</v>
      </c>
      <c r="J335" s="20">
        <f t="shared" si="31"/>
        <v>1913067</v>
      </c>
      <c r="K335" s="20">
        <f t="shared" si="32"/>
        <v>12191</v>
      </c>
      <c r="L335" s="20">
        <f t="shared" si="32"/>
        <v>3035559</v>
      </c>
      <c r="M335" s="18"/>
    </row>
    <row r="336" spans="1:13" x14ac:dyDescent="0.3">
      <c r="A336" s="18" t="s">
        <v>210</v>
      </c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13" x14ac:dyDescent="0.3">
      <c r="A337" s="18" t="s">
        <v>211</v>
      </c>
      <c r="B337" s="18" t="s">
        <v>212</v>
      </c>
      <c r="C337" s="19">
        <v>728</v>
      </c>
      <c r="D337" s="18" t="s">
        <v>103</v>
      </c>
      <c r="E337" s="19">
        <v>0</v>
      </c>
      <c r="F337" s="20">
        <f>E337*C337</f>
        <v>0</v>
      </c>
      <c r="G337" s="19">
        <v>791</v>
      </c>
      <c r="H337" s="20">
        <f>G337*C337</f>
        <v>575848</v>
      </c>
      <c r="I337" s="19">
        <v>1726</v>
      </c>
      <c r="J337" s="20">
        <f>I337*C337</f>
        <v>1256528</v>
      </c>
      <c r="K337" s="20">
        <f>E337+G337+I337</f>
        <v>2517</v>
      </c>
      <c r="L337" s="20">
        <f>F337+H337+J337</f>
        <v>1832376</v>
      </c>
      <c r="M337" s="18"/>
    </row>
    <row r="338" spans="1:13" x14ac:dyDescent="0.3">
      <c r="A338" s="18" t="s">
        <v>213</v>
      </c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13" x14ac:dyDescent="0.3">
      <c r="A339" s="18" t="s">
        <v>214</v>
      </c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x14ac:dyDescent="0.3">
      <c r="A340" s="18" t="s">
        <v>215</v>
      </c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13" x14ac:dyDescent="0.3">
      <c r="A341" s="18" t="s">
        <v>154</v>
      </c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13" x14ac:dyDescent="0.3">
      <c r="A342" s="18" t="s">
        <v>216</v>
      </c>
      <c r="B342" s="18" t="s">
        <v>111</v>
      </c>
      <c r="C342" s="19">
        <v>1711</v>
      </c>
      <c r="D342" s="18" t="s">
        <v>103</v>
      </c>
      <c r="E342" s="19">
        <v>0</v>
      </c>
      <c r="F342" s="20">
        <f>E342*C342</f>
        <v>0</v>
      </c>
      <c r="G342" s="19">
        <v>0</v>
      </c>
      <c r="H342" s="20">
        <f>G342*C342</f>
        <v>0</v>
      </c>
      <c r="I342" s="19">
        <v>1558</v>
      </c>
      <c r="J342" s="20">
        <f>I342*C342</f>
        <v>2665738</v>
      </c>
      <c r="K342" s="20">
        <f>E342+G342+I342</f>
        <v>1558</v>
      </c>
      <c r="L342" s="20">
        <f>F342+H342+J342</f>
        <v>2665738</v>
      </c>
      <c r="M342" s="18"/>
    </row>
    <row r="343" spans="1:13" x14ac:dyDescent="0.3">
      <c r="A343" s="18" t="s">
        <v>221</v>
      </c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1:13" x14ac:dyDescent="0.3">
      <c r="A344" s="18" t="s">
        <v>222</v>
      </c>
      <c r="B344" s="18" t="s">
        <v>226</v>
      </c>
      <c r="C344" s="19">
        <v>1504</v>
      </c>
      <c r="D344" s="18" t="s">
        <v>103</v>
      </c>
      <c r="E344" s="19">
        <v>0</v>
      </c>
      <c r="F344" s="20">
        <f>E344*C344</f>
        <v>0</v>
      </c>
      <c r="G344" s="19">
        <v>2230</v>
      </c>
      <c r="H344" s="20">
        <f>G344*C344</f>
        <v>3353920</v>
      </c>
      <c r="I344" s="19">
        <v>4381</v>
      </c>
      <c r="J344" s="20">
        <f>I344*C344</f>
        <v>6589024</v>
      </c>
      <c r="K344" s="20">
        <f>E344+G344+I344</f>
        <v>6611</v>
      </c>
      <c r="L344" s="20">
        <f>F344+H344+J344</f>
        <v>9942944</v>
      </c>
      <c r="M344" s="18"/>
    </row>
    <row r="345" spans="1:13" x14ac:dyDescent="0.3">
      <c r="A345" s="18" t="s">
        <v>227</v>
      </c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1:13" x14ac:dyDescent="0.3">
      <c r="A346" s="18" t="s">
        <v>228</v>
      </c>
      <c r="B346" s="18" t="s">
        <v>229</v>
      </c>
      <c r="C346" s="19">
        <v>207</v>
      </c>
      <c r="D346" s="18" t="s">
        <v>103</v>
      </c>
      <c r="E346" s="19">
        <v>0</v>
      </c>
      <c r="F346" s="20">
        <f>E346*C346</f>
        <v>0</v>
      </c>
      <c r="G346" s="19">
        <v>0</v>
      </c>
      <c r="H346" s="20">
        <f>G346*C346</f>
        <v>0</v>
      </c>
      <c r="I346" s="19">
        <v>9736</v>
      </c>
      <c r="J346" s="20">
        <f>I346*C346</f>
        <v>2015352</v>
      </c>
      <c r="K346" s="20">
        <f>E346+G346+I346</f>
        <v>9736</v>
      </c>
      <c r="L346" s="20">
        <f>F346+H346+J346</f>
        <v>2015352</v>
      </c>
      <c r="M346" s="18"/>
    </row>
    <row r="347" spans="1:13" x14ac:dyDescent="0.3">
      <c r="A347" s="18" t="s">
        <v>230</v>
      </c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1:13" x14ac:dyDescent="0.3">
      <c r="A348" s="18" t="s">
        <v>231</v>
      </c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1:13" ht="24" x14ac:dyDescent="0.3">
      <c r="A349" s="18" t="s">
        <v>232</v>
      </c>
      <c r="B349" s="18" t="s">
        <v>233</v>
      </c>
      <c r="C349" s="19">
        <v>145</v>
      </c>
      <c r="D349" s="18" t="s">
        <v>234</v>
      </c>
      <c r="E349" s="19">
        <v>0</v>
      </c>
      <c r="F349" s="20">
        <f>E349*C349</f>
        <v>0</v>
      </c>
      <c r="G349" s="19">
        <v>27828</v>
      </c>
      <c r="H349" s="20">
        <f>G349*C349</f>
        <v>4035060</v>
      </c>
      <c r="I349" s="19">
        <v>33588</v>
      </c>
      <c r="J349" s="20">
        <f>I349*C349</f>
        <v>4870260</v>
      </c>
      <c r="K349" s="20">
        <f>E349+G349+I349</f>
        <v>61416</v>
      </c>
      <c r="L349" s="20">
        <f>F349+H349+J349</f>
        <v>8905320</v>
      </c>
      <c r="M349" s="18"/>
    </row>
    <row r="350" spans="1:13" ht="24" x14ac:dyDescent="0.3">
      <c r="A350" s="18" t="s">
        <v>237</v>
      </c>
      <c r="B350" s="18" t="s">
        <v>238</v>
      </c>
      <c r="C350" s="19">
        <v>177</v>
      </c>
      <c r="D350" s="18" t="s">
        <v>234</v>
      </c>
      <c r="E350" s="19">
        <v>0</v>
      </c>
      <c r="F350" s="20">
        <f>E350*C350</f>
        <v>0</v>
      </c>
      <c r="G350" s="19">
        <v>33358</v>
      </c>
      <c r="H350" s="20">
        <f>G350*C350</f>
        <v>5904366</v>
      </c>
      <c r="I350" s="19">
        <v>36957</v>
      </c>
      <c r="J350" s="20">
        <f>I350*C350</f>
        <v>6541389</v>
      </c>
      <c r="K350" s="20">
        <f>E350+G350+I350</f>
        <v>70315</v>
      </c>
      <c r="L350" s="20">
        <f>F350+H350+J350</f>
        <v>12445755</v>
      </c>
      <c r="M350" s="18"/>
    </row>
    <row r="351" spans="1:13" x14ac:dyDescent="0.3">
      <c r="A351" s="18" t="s">
        <v>247</v>
      </c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1:13" x14ac:dyDescent="0.3">
      <c r="A352" s="18" t="s">
        <v>248</v>
      </c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1:13" x14ac:dyDescent="0.3">
      <c r="A353" s="18" t="s">
        <v>249</v>
      </c>
      <c r="B353" s="18" t="s">
        <v>250</v>
      </c>
      <c r="C353" s="19">
        <v>71</v>
      </c>
      <c r="D353" s="18" t="s">
        <v>103</v>
      </c>
      <c r="E353" s="19">
        <v>0</v>
      </c>
      <c r="F353" s="20">
        <f>E353*C353</f>
        <v>0</v>
      </c>
      <c r="G353" s="19">
        <v>9811</v>
      </c>
      <c r="H353" s="20">
        <f>G353*C353</f>
        <v>696581</v>
      </c>
      <c r="I353" s="19">
        <v>17524</v>
      </c>
      <c r="J353" s="20">
        <f>I353*C353</f>
        <v>1244204</v>
      </c>
      <c r="K353" s="20">
        <f>E353+G353+I353</f>
        <v>27335</v>
      </c>
      <c r="L353" s="20">
        <f>F353+H353+J353</f>
        <v>1940785</v>
      </c>
      <c r="M353" s="18"/>
    </row>
    <row r="354" spans="1:13" x14ac:dyDescent="0.3">
      <c r="A354" s="18" t="s">
        <v>251</v>
      </c>
      <c r="B354" s="18" t="s">
        <v>252</v>
      </c>
      <c r="C354" s="19">
        <v>230</v>
      </c>
      <c r="D354" s="18" t="s">
        <v>97</v>
      </c>
      <c r="E354" s="19">
        <v>6690</v>
      </c>
      <c r="F354" s="20">
        <f>E354*C354</f>
        <v>1538700</v>
      </c>
      <c r="G354" s="19">
        <v>17839</v>
      </c>
      <c r="H354" s="20">
        <f>G354*C354</f>
        <v>4102970</v>
      </c>
      <c r="I354" s="19">
        <v>3408</v>
      </c>
      <c r="J354" s="20">
        <f>I354*C354</f>
        <v>783840</v>
      </c>
      <c r="K354" s="20">
        <f>E354+G354+I354</f>
        <v>27937</v>
      </c>
      <c r="L354" s="20">
        <f>F354+H354+J354</f>
        <v>6425510</v>
      </c>
      <c r="M354" s="18"/>
    </row>
    <row r="355" spans="1:13" x14ac:dyDescent="0.3">
      <c r="A355" s="18" t="s">
        <v>253</v>
      </c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1:13" x14ac:dyDescent="0.3">
      <c r="A356" s="18" t="s">
        <v>254</v>
      </c>
      <c r="B356" s="18" t="s">
        <v>257</v>
      </c>
      <c r="C356" s="19">
        <v>22</v>
      </c>
      <c r="D356" s="18" t="s">
        <v>204</v>
      </c>
      <c r="E356" s="19">
        <v>0</v>
      </c>
      <c r="F356" s="20">
        <f>E356*C356</f>
        <v>0</v>
      </c>
      <c r="G356" s="19">
        <v>53516</v>
      </c>
      <c r="H356" s="20">
        <f>G356*C356</f>
        <v>1177352</v>
      </c>
      <c r="I356" s="19">
        <v>17524</v>
      </c>
      <c r="J356" s="20">
        <f>I356*C356</f>
        <v>385528</v>
      </c>
      <c r="K356" s="20">
        <f>E356+G356+I356</f>
        <v>71040</v>
      </c>
      <c r="L356" s="20">
        <f>F356+H356+J356</f>
        <v>1562880</v>
      </c>
      <c r="M356" s="18"/>
    </row>
    <row r="357" spans="1:13" x14ac:dyDescent="0.3">
      <c r="A357" s="18" t="s">
        <v>262</v>
      </c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1:13" x14ac:dyDescent="0.3">
      <c r="A358" s="18" t="s">
        <v>263</v>
      </c>
      <c r="B358" s="18" t="s">
        <v>264</v>
      </c>
      <c r="C358" s="19">
        <v>22</v>
      </c>
      <c r="D358" s="18" t="s">
        <v>204</v>
      </c>
      <c r="E358" s="19">
        <v>0</v>
      </c>
      <c r="F358" s="20">
        <f>E358*C358</f>
        <v>0</v>
      </c>
      <c r="G358" s="19">
        <v>57039</v>
      </c>
      <c r="H358" s="20">
        <f>G358*C358</f>
        <v>1254858</v>
      </c>
      <c r="I358" s="19">
        <v>18693</v>
      </c>
      <c r="J358" s="20">
        <f>I358*C358</f>
        <v>411246</v>
      </c>
      <c r="K358" s="20">
        <f>E358+G358+I358</f>
        <v>75732</v>
      </c>
      <c r="L358" s="20">
        <f>F358+H358+J358</f>
        <v>1666104</v>
      </c>
      <c r="M358" s="18"/>
    </row>
    <row r="359" spans="1:13" x14ac:dyDescent="0.3">
      <c r="A359" s="18" t="s">
        <v>265</v>
      </c>
      <c r="B359" s="18" t="s">
        <v>268</v>
      </c>
      <c r="C359" s="19">
        <v>4</v>
      </c>
      <c r="D359" s="18" t="s">
        <v>204</v>
      </c>
      <c r="E359" s="19">
        <v>0</v>
      </c>
      <c r="F359" s="20">
        <f>E359*C359</f>
        <v>0</v>
      </c>
      <c r="G359" s="19">
        <v>57039</v>
      </c>
      <c r="H359" s="20">
        <f>G359*C359</f>
        <v>228156</v>
      </c>
      <c r="I359" s="19">
        <v>18693</v>
      </c>
      <c r="J359" s="20">
        <f>I359*C359</f>
        <v>74772</v>
      </c>
      <c r="K359" s="20">
        <f>E359+G359+I359</f>
        <v>75732</v>
      </c>
      <c r="L359" s="20">
        <f>F359+H359+J359</f>
        <v>302928</v>
      </c>
      <c r="M359" s="18"/>
    </row>
    <row r="360" spans="1:13" x14ac:dyDescent="0.3">
      <c r="A360" s="18" t="s">
        <v>277</v>
      </c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1:13" x14ac:dyDescent="0.3">
      <c r="A361" s="18" t="s">
        <v>1172</v>
      </c>
      <c r="B361" s="18" t="s">
        <v>281</v>
      </c>
      <c r="C361" s="19">
        <v>177</v>
      </c>
      <c r="D361" s="18" t="s">
        <v>234</v>
      </c>
      <c r="E361" s="19">
        <v>446</v>
      </c>
      <c r="F361" s="20">
        <f>E361*C361</f>
        <v>78942</v>
      </c>
      <c r="G361" s="19">
        <v>446</v>
      </c>
      <c r="H361" s="20">
        <f>G361*C361</f>
        <v>78942</v>
      </c>
      <c r="I361" s="19">
        <v>0</v>
      </c>
      <c r="J361" s="20">
        <f>I361*C361</f>
        <v>0</v>
      </c>
      <c r="K361" s="20">
        <f>E361+G361+I361</f>
        <v>892</v>
      </c>
      <c r="L361" s="20">
        <f>F361+H361+J361</f>
        <v>157884</v>
      </c>
      <c r="M361" s="18"/>
    </row>
    <row r="362" spans="1:13" x14ac:dyDescent="0.3">
      <c r="A362" s="18" t="s">
        <v>284</v>
      </c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1:13" x14ac:dyDescent="0.3">
      <c r="A363" s="18" t="s">
        <v>285</v>
      </c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1:13" x14ac:dyDescent="0.3">
      <c r="A364" s="18" t="s">
        <v>1173</v>
      </c>
      <c r="B364" s="18" t="s">
        <v>1174</v>
      </c>
      <c r="C364" s="19">
        <v>4</v>
      </c>
      <c r="D364" s="18" t="s">
        <v>204</v>
      </c>
      <c r="E364" s="19">
        <v>758143</v>
      </c>
      <c r="F364" s="20">
        <f>E364*C364</f>
        <v>3032572</v>
      </c>
      <c r="G364" s="19">
        <v>185076</v>
      </c>
      <c r="H364" s="20">
        <f>G364*C364</f>
        <v>740304</v>
      </c>
      <c r="I364" s="19">
        <v>231223</v>
      </c>
      <c r="J364" s="20">
        <f>I364*C364</f>
        <v>924892</v>
      </c>
      <c r="K364" s="20">
        <f>E364+G364+I364</f>
        <v>1174442</v>
      </c>
      <c r="L364" s="20">
        <f>F364+H364+J364</f>
        <v>4697768</v>
      </c>
      <c r="M364" s="18"/>
    </row>
    <row r="365" spans="1:13" x14ac:dyDescent="0.3">
      <c r="A365" s="18" t="s">
        <v>1175</v>
      </c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1:13" x14ac:dyDescent="0.3">
      <c r="A366" s="18" t="s">
        <v>306</v>
      </c>
      <c r="B366" s="18" t="s">
        <v>307</v>
      </c>
      <c r="C366" s="21">
        <v>0.92600000000000005</v>
      </c>
      <c r="D366" s="18" t="s">
        <v>103</v>
      </c>
      <c r="E366" s="19">
        <v>0</v>
      </c>
      <c r="F366" s="20">
        <f>E366*C366</f>
        <v>0</v>
      </c>
      <c r="G366" s="19">
        <v>165186</v>
      </c>
      <c r="H366" s="20">
        <f>G366*C366</f>
        <v>152962.236</v>
      </c>
      <c r="I366" s="19">
        <v>0</v>
      </c>
      <c r="J366" s="20">
        <f>I366*C366</f>
        <v>0</v>
      </c>
      <c r="K366" s="20">
        <f>E366+G366+I366</f>
        <v>165186</v>
      </c>
      <c r="L366" s="20">
        <f>F366+H366+J366</f>
        <v>152962.236</v>
      </c>
      <c r="M366" s="18"/>
    </row>
    <row r="367" spans="1:13" x14ac:dyDescent="0.3">
      <c r="A367" s="18" t="s">
        <v>310</v>
      </c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 spans="1:13" x14ac:dyDescent="0.3">
      <c r="A368" s="18" t="s">
        <v>311</v>
      </c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 spans="1:13" x14ac:dyDescent="0.3">
      <c r="A369" s="18" t="s">
        <v>312</v>
      </c>
      <c r="B369" s="18" t="s">
        <v>313</v>
      </c>
      <c r="C369" s="19">
        <v>22</v>
      </c>
      <c r="D369" s="18" t="s">
        <v>204</v>
      </c>
      <c r="E369" s="19">
        <v>65111</v>
      </c>
      <c r="F369" s="20">
        <f>E369*C369</f>
        <v>1432442</v>
      </c>
      <c r="G369" s="19">
        <v>48164</v>
      </c>
      <c r="H369" s="20">
        <f>G369*C369</f>
        <v>1059608</v>
      </c>
      <c r="I369" s="19">
        <v>65190</v>
      </c>
      <c r="J369" s="20">
        <f>I369*C369</f>
        <v>1434180</v>
      </c>
      <c r="K369" s="20">
        <f>E369+G369+I369</f>
        <v>178465</v>
      </c>
      <c r="L369" s="20">
        <f>F369+H369+J369</f>
        <v>3926230</v>
      </c>
      <c r="M369" s="18"/>
    </row>
    <row r="370" spans="1:13" x14ac:dyDescent="0.3">
      <c r="A370" s="18" t="s">
        <v>1230</v>
      </c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 spans="1:13" x14ac:dyDescent="0.3">
      <c r="A371" s="18" t="s">
        <v>1231</v>
      </c>
      <c r="B371" s="18" t="s">
        <v>1232</v>
      </c>
      <c r="C371" s="19">
        <v>54</v>
      </c>
      <c r="D371" s="18" t="s">
        <v>234</v>
      </c>
      <c r="E371" s="19">
        <v>84734</v>
      </c>
      <c r="F371" s="20">
        <f>E371*C371</f>
        <v>4575636</v>
      </c>
      <c r="G371" s="19">
        <v>20604</v>
      </c>
      <c r="H371" s="20">
        <f>G371*C371</f>
        <v>1112616</v>
      </c>
      <c r="I371" s="19">
        <v>33821</v>
      </c>
      <c r="J371" s="20">
        <f>I371*C371</f>
        <v>1826334</v>
      </c>
      <c r="K371" s="20">
        <f>E371+G371+I371</f>
        <v>139159</v>
      </c>
      <c r="L371" s="20">
        <f>F371+H371+J371</f>
        <v>7514586</v>
      </c>
      <c r="M371" s="18"/>
    </row>
    <row r="372" spans="1:13" x14ac:dyDescent="0.3">
      <c r="A372" s="18" t="s">
        <v>1233</v>
      </c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 spans="1:13" x14ac:dyDescent="0.3">
      <c r="A373" s="18" t="s">
        <v>792</v>
      </c>
      <c r="B373" s="18" t="s">
        <v>347</v>
      </c>
      <c r="C373" s="19">
        <v>10</v>
      </c>
      <c r="D373" s="18" t="s">
        <v>103</v>
      </c>
      <c r="E373" s="19">
        <v>0</v>
      </c>
      <c r="F373" s="20">
        <f t="shared" ref="F373:F383" si="33">E373*C373</f>
        <v>0</v>
      </c>
      <c r="G373" s="19">
        <v>12487</v>
      </c>
      <c r="H373" s="20">
        <f t="shared" ref="H373:H383" si="34">G373*C373</f>
        <v>124870</v>
      </c>
      <c r="I373" s="19">
        <v>11975</v>
      </c>
      <c r="J373" s="20">
        <f t="shared" ref="J373:J383" si="35">I373*C373</f>
        <v>119750</v>
      </c>
      <c r="K373" s="20">
        <f t="shared" ref="K373:K383" si="36">E373+G373+I373</f>
        <v>24462</v>
      </c>
      <c r="L373" s="20">
        <f t="shared" ref="L373:L383" si="37">F373+H373+J373</f>
        <v>244620</v>
      </c>
      <c r="M373" s="18"/>
    </row>
    <row r="374" spans="1:13" x14ac:dyDescent="0.3">
      <c r="A374" s="18" t="s">
        <v>793</v>
      </c>
      <c r="B374" s="18" t="s">
        <v>250</v>
      </c>
      <c r="C374" s="19">
        <v>1</v>
      </c>
      <c r="D374" s="18" t="s">
        <v>103</v>
      </c>
      <c r="E374" s="19">
        <v>0</v>
      </c>
      <c r="F374" s="20">
        <f t="shared" si="33"/>
        <v>0</v>
      </c>
      <c r="G374" s="19">
        <v>11595</v>
      </c>
      <c r="H374" s="20">
        <f t="shared" si="34"/>
        <v>11595</v>
      </c>
      <c r="I374" s="19">
        <v>10709</v>
      </c>
      <c r="J374" s="20">
        <f t="shared" si="35"/>
        <v>10709</v>
      </c>
      <c r="K374" s="20">
        <f t="shared" si="36"/>
        <v>22304</v>
      </c>
      <c r="L374" s="20">
        <f t="shared" si="37"/>
        <v>22304</v>
      </c>
      <c r="M374" s="18"/>
    </row>
    <row r="375" spans="1:13" x14ac:dyDescent="0.3">
      <c r="A375" s="18" t="s">
        <v>794</v>
      </c>
      <c r="B375" s="18" t="s">
        <v>795</v>
      </c>
      <c r="C375" s="21">
        <v>1.167</v>
      </c>
      <c r="D375" s="18" t="s">
        <v>632</v>
      </c>
      <c r="E375" s="19">
        <v>66895</v>
      </c>
      <c r="F375" s="20">
        <f t="shared" si="33"/>
        <v>78066.464999999997</v>
      </c>
      <c r="G375" s="19">
        <v>490563</v>
      </c>
      <c r="H375" s="20">
        <f t="shared" si="34"/>
        <v>572487.02100000007</v>
      </c>
      <c r="I375" s="19">
        <v>82753</v>
      </c>
      <c r="J375" s="20">
        <f t="shared" si="35"/>
        <v>96572.751000000004</v>
      </c>
      <c r="K375" s="20">
        <f t="shared" si="36"/>
        <v>640211</v>
      </c>
      <c r="L375" s="20">
        <f t="shared" si="37"/>
        <v>747126.23700000008</v>
      </c>
      <c r="M375" s="18"/>
    </row>
    <row r="376" spans="1:13" x14ac:dyDescent="0.3">
      <c r="A376" s="18" t="s">
        <v>1234</v>
      </c>
      <c r="B376" s="18" t="s">
        <v>475</v>
      </c>
      <c r="C376" s="19">
        <v>97</v>
      </c>
      <c r="D376" s="18" t="s">
        <v>97</v>
      </c>
      <c r="E376" s="19">
        <v>8473</v>
      </c>
      <c r="F376" s="20">
        <f t="shared" si="33"/>
        <v>821881</v>
      </c>
      <c r="G376" s="19">
        <v>28542</v>
      </c>
      <c r="H376" s="20">
        <f t="shared" si="34"/>
        <v>2768574</v>
      </c>
      <c r="I376" s="19">
        <v>1947</v>
      </c>
      <c r="J376" s="20">
        <f t="shared" si="35"/>
        <v>188859</v>
      </c>
      <c r="K376" s="20">
        <f t="shared" si="36"/>
        <v>38962</v>
      </c>
      <c r="L376" s="20">
        <f t="shared" si="37"/>
        <v>3779314</v>
      </c>
      <c r="M376" s="18"/>
    </row>
    <row r="377" spans="1:13" x14ac:dyDescent="0.3">
      <c r="A377" s="18" t="s">
        <v>798</v>
      </c>
      <c r="B377" s="18" t="s">
        <v>252</v>
      </c>
      <c r="C377" s="19">
        <v>1</v>
      </c>
      <c r="D377" s="18" t="s">
        <v>97</v>
      </c>
      <c r="E377" s="19">
        <v>6690</v>
      </c>
      <c r="F377" s="20">
        <f t="shared" si="33"/>
        <v>6690</v>
      </c>
      <c r="G377" s="19">
        <v>17839</v>
      </c>
      <c r="H377" s="20">
        <f t="shared" si="34"/>
        <v>17839</v>
      </c>
      <c r="I377" s="19">
        <v>3408</v>
      </c>
      <c r="J377" s="20">
        <f t="shared" si="35"/>
        <v>3408</v>
      </c>
      <c r="K377" s="20">
        <f t="shared" si="36"/>
        <v>27937</v>
      </c>
      <c r="L377" s="20">
        <f t="shared" si="37"/>
        <v>27937</v>
      </c>
      <c r="M377" s="18"/>
    </row>
    <row r="378" spans="1:13" x14ac:dyDescent="0.3">
      <c r="A378" s="18" t="s">
        <v>1235</v>
      </c>
      <c r="B378" s="18" t="s">
        <v>803</v>
      </c>
      <c r="C378" s="19">
        <v>88</v>
      </c>
      <c r="D378" s="18" t="s">
        <v>97</v>
      </c>
      <c r="E378" s="19">
        <v>446</v>
      </c>
      <c r="F378" s="20">
        <f t="shared" si="33"/>
        <v>39248</v>
      </c>
      <c r="G378" s="19">
        <v>892</v>
      </c>
      <c r="H378" s="20">
        <f t="shared" si="34"/>
        <v>78496</v>
      </c>
      <c r="I378" s="19">
        <v>0</v>
      </c>
      <c r="J378" s="20">
        <f t="shared" si="35"/>
        <v>0</v>
      </c>
      <c r="K378" s="20">
        <f t="shared" si="36"/>
        <v>1338</v>
      </c>
      <c r="L378" s="20">
        <f t="shared" si="37"/>
        <v>117744</v>
      </c>
      <c r="M378" s="18"/>
    </row>
    <row r="379" spans="1:13" x14ac:dyDescent="0.3">
      <c r="A379" s="18" t="s">
        <v>1236</v>
      </c>
      <c r="B379" s="18" t="s">
        <v>805</v>
      </c>
      <c r="C379" s="19">
        <v>15</v>
      </c>
      <c r="D379" s="18" t="s">
        <v>97</v>
      </c>
      <c r="E379" s="19">
        <v>446</v>
      </c>
      <c r="F379" s="20">
        <f t="shared" si="33"/>
        <v>6690</v>
      </c>
      <c r="G379" s="19">
        <v>892</v>
      </c>
      <c r="H379" s="20">
        <f t="shared" si="34"/>
        <v>13380</v>
      </c>
      <c r="I379" s="19">
        <v>0</v>
      </c>
      <c r="J379" s="20">
        <f t="shared" si="35"/>
        <v>0</v>
      </c>
      <c r="K379" s="20">
        <f t="shared" si="36"/>
        <v>1338</v>
      </c>
      <c r="L379" s="20">
        <f t="shared" si="37"/>
        <v>20070</v>
      </c>
      <c r="M379" s="18"/>
    </row>
    <row r="380" spans="1:13" x14ac:dyDescent="0.3">
      <c r="A380" s="18" t="s">
        <v>1237</v>
      </c>
      <c r="B380" s="18" t="s">
        <v>812</v>
      </c>
      <c r="C380" s="19">
        <v>5</v>
      </c>
      <c r="D380" s="18" t="s">
        <v>97</v>
      </c>
      <c r="E380" s="19">
        <v>11149</v>
      </c>
      <c r="F380" s="20">
        <f t="shared" si="33"/>
        <v>55745</v>
      </c>
      <c r="G380" s="19">
        <v>8919</v>
      </c>
      <c r="H380" s="20">
        <f t="shared" si="34"/>
        <v>44595</v>
      </c>
      <c r="I380" s="19">
        <v>0</v>
      </c>
      <c r="J380" s="20">
        <f t="shared" si="35"/>
        <v>0</v>
      </c>
      <c r="K380" s="20">
        <f t="shared" si="36"/>
        <v>20068</v>
      </c>
      <c r="L380" s="20">
        <f t="shared" si="37"/>
        <v>100340</v>
      </c>
      <c r="M380" s="18"/>
    </row>
    <row r="381" spans="1:13" x14ac:dyDescent="0.3">
      <c r="A381" s="18" t="s">
        <v>1238</v>
      </c>
      <c r="B381" s="18" t="s">
        <v>814</v>
      </c>
      <c r="C381" s="19">
        <v>72</v>
      </c>
      <c r="D381" s="18" t="s">
        <v>368</v>
      </c>
      <c r="E381" s="19">
        <v>11417</v>
      </c>
      <c r="F381" s="20">
        <f t="shared" si="33"/>
        <v>822024</v>
      </c>
      <c r="G381" s="19">
        <v>2230</v>
      </c>
      <c r="H381" s="20">
        <f t="shared" si="34"/>
        <v>160560</v>
      </c>
      <c r="I381" s="19">
        <v>0</v>
      </c>
      <c r="J381" s="20">
        <f t="shared" si="35"/>
        <v>0</v>
      </c>
      <c r="K381" s="20">
        <f t="shared" si="36"/>
        <v>13647</v>
      </c>
      <c r="L381" s="20">
        <f t="shared" si="37"/>
        <v>982584</v>
      </c>
      <c r="M381" s="18"/>
    </row>
    <row r="382" spans="1:13" x14ac:dyDescent="0.3">
      <c r="A382" s="18" t="s">
        <v>815</v>
      </c>
      <c r="B382" s="18" t="s">
        <v>816</v>
      </c>
      <c r="C382" s="19">
        <v>22</v>
      </c>
      <c r="D382" s="18" t="s">
        <v>234</v>
      </c>
      <c r="E382" s="19">
        <v>2854</v>
      </c>
      <c r="F382" s="20">
        <f t="shared" si="33"/>
        <v>62788</v>
      </c>
      <c r="G382" s="19">
        <v>5798</v>
      </c>
      <c r="H382" s="20">
        <f t="shared" si="34"/>
        <v>127556</v>
      </c>
      <c r="I382" s="19">
        <v>0</v>
      </c>
      <c r="J382" s="20">
        <f t="shared" si="35"/>
        <v>0</v>
      </c>
      <c r="K382" s="20">
        <f t="shared" si="36"/>
        <v>8652</v>
      </c>
      <c r="L382" s="20">
        <f t="shared" si="37"/>
        <v>190344</v>
      </c>
      <c r="M382" s="18"/>
    </row>
    <row r="383" spans="1:13" x14ac:dyDescent="0.3">
      <c r="A383" s="18" t="s">
        <v>817</v>
      </c>
      <c r="B383" s="18" t="s">
        <v>818</v>
      </c>
      <c r="C383" s="19">
        <v>11</v>
      </c>
      <c r="D383" s="18" t="s">
        <v>103</v>
      </c>
      <c r="E383" s="19">
        <v>0</v>
      </c>
      <c r="F383" s="20">
        <f t="shared" si="33"/>
        <v>0</v>
      </c>
      <c r="G383" s="19">
        <v>2230</v>
      </c>
      <c r="H383" s="20">
        <f t="shared" si="34"/>
        <v>24530</v>
      </c>
      <c r="I383" s="19">
        <v>3038</v>
      </c>
      <c r="J383" s="20">
        <f t="shared" si="35"/>
        <v>33418</v>
      </c>
      <c r="K383" s="20">
        <f t="shared" si="36"/>
        <v>5268</v>
      </c>
      <c r="L383" s="20">
        <f t="shared" si="37"/>
        <v>57948</v>
      </c>
      <c r="M383" s="18"/>
    </row>
    <row r="384" spans="1:13" x14ac:dyDescent="0.3">
      <c r="A384" s="18" t="s">
        <v>819</v>
      </c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spans="1:13" x14ac:dyDescent="0.3">
      <c r="A385" s="18" t="s">
        <v>820</v>
      </c>
      <c r="B385" s="18" t="s">
        <v>402</v>
      </c>
      <c r="C385" s="21">
        <v>1.2070000000000001</v>
      </c>
      <c r="D385" s="18" t="s">
        <v>394</v>
      </c>
      <c r="E385" s="19">
        <v>0</v>
      </c>
      <c r="F385" s="20">
        <f>E385*C385</f>
        <v>0</v>
      </c>
      <c r="G385" s="19">
        <v>0</v>
      </c>
      <c r="H385" s="20">
        <f>G385*C385</f>
        <v>0</v>
      </c>
      <c r="I385" s="19">
        <v>19471</v>
      </c>
      <c r="J385" s="20">
        <f>I385*C385</f>
        <v>23501.497000000003</v>
      </c>
      <c r="K385" s="20">
        <f>E385+G385+I385</f>
        <v>19471</v>
      </c>
      <c r="L385" s="20">
        <f>F385+H385+J385</f>
        <v>23501.497000000003</v>
      </c>
      <c r="M385" s="18"/>
    </row>
    <row r="386" spans="1:13" x14ac:dyDescent="0.3">
      <c r="A386" s="18" t="s">
        <v>821</v>
      </c>
      <c r="B386" s="18" t="s">
        <v>404</v>
      </c>
      <c r="C386" s="21">
        <v>2.8000000000000001E-2</v>
      </c>
      <c r="D386" s="18" t="s">
        <v>394</v>
      </c>
      <c r="E386" s="19">
        <v>-336571</v>
      </c>
      <c r="F386" s="20">
        <f>E386*C386</f>
        <v>-9423.9879999999994</v>
      </c>
      <c r="G386" s="19">
        <v>0</v>
      </c>
      <c r="H386" s="20">
        <f>G386*C386</f>
        <v>0</v>
      </c>
      <c r="I386" s="19">
        <v>0</v>
      </c>
      <c r="J386" s="20">
        <f>I386*C386</f>
        <v>0</v>
      </c>
      <c r="K386" s="20">
        <f>E386+G386+I386</f>
        <v>-336571</v>
      </c>
      <c r="L386" s="20">
        <f>F386+H386+J386</f>
        <v>-9423.9879999999994</v>
      </c>
      <c r="M386" s="18"/>
    </row>
    <row r="387" spans="1:13" x14ac:dyDescent="0.3">
      <c r="A387" s="18" t="s">
        <v>499</v>
      </c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spans="1:13" x14ac:dyDescent="0.3">
      <c r="A388" s="18" t="s">
        <v>376</v>
      </c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spans="1:13" x14ac:dyDescent="0.3">
      <c r="A389" s="18" t="s">
        <v>377</v>
      </c>
      <c r="B389" s="18" t="s">
        <v>378</v>
      </c>
      <c r="C389" s="19">
        <v>17</v>
      </c>
      <c r="D389" s="18" t="s">
        <v>379</v>
      </c>
      <c r="E389" s="19">
        <v>5461</v>
      </c>
      <c r="F389" s="20">
        <f>E389*C389</f>
        <v>92837</v>
      </c>
      <c r="G389" s="19">
        <v>0</v>
      </c>
      <c r="H389" s="20">
        <f>G389*C389</f>
        <v>0</v>
      </c>
      <c r="I389" s="19">
        <v>0</v>
      </c>
      <c r="J389" s="20">
        <f>I389*C389</f>
        <v>0</v>
      </c>
      <c r="K389" s="20">
        <f>E389+G389+I389</f>
        <v>5461</v>
      </c>
      <c r="L389" s="20">
        <f>F389+H389+J389</f>
        <v>92837</v>
      </c>
      <c r="M389" s="18"/>
    </row>
    <row r="390" spans="1:13" x14ac:dyDescent="0.3">
      <c r="A390" s="18" t="s">
        <v>500</v>
      </c>
      <c r="B390" s="18" t="s">
        <v>383</v>
      </c>
      <c r="C390" s="19">
        <v>17</v>
      </c>
      <c r="D390" s="18" t="s">
        <v>379</v>
      </c>
      <c r="E390" s="19">
        <v>0</v>
      </c>
      <c r="F390" s="20">
        <f>E390*C390</f>
        <v>0</v>
      </c>
      <c r="G390" s="19">
        <v>0</v>
      </c>
      <c r="H390" s="20">
        <f>G390*C390</f>
        <v>0</v>
      </c>
      <c r="I390" s="19">
        <v>1011</v>
      </c>
      <c r="J390" s="20">
        <f>I390*C390</f>
        <v>17187</v>
      </c>
      <c r="K390" s="20">
        <f>E390+G390+I390</f>
        <v>1011</v>
      </c>
      <c r="L390" s="20">
        <f>F390+H390+J390</f>
        <v>17187</v>
      </c>
      <c r="M390" s="18"/>
    </row>
    <row r="391" spans="1:13" x14ac:dyDescent="0.3">
      <c r="A391" s="18" t="s">
        <v>384</v>
      </c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spans="1:13" x14ac:dyDescent="0.3">
      <c r="A392" s="18" t="s">
        <v>385</v>
      </c>
      <c r="B392" s="18" t="s">
        <v>386</v>
      </c>
      <c r="C392" s="19">
        <v>22</v>
      </c>
      <c r="D392" s="18" t="s">
        <v>103</v>
      </c>
      <c r="E392" s="19">
        <v>23190</v>
      </c>
      <c r="F392" s="20">
        <f>E392*C392</f>
        <v>510180</v>
      </c>
      <c r="G392" s="19">
        <v>0</v>
      </c>
      <c r="H392" s="20">
        <f>G392*C392</f>
        <v>0</v>
      </c>
      <c r="I392" s="19">
        <v>0</v>
      </c>
      <c r="J392" s="20">
        <f>I392*C392</f>
        <v>0</v>
      </c>
      <c r="K392" s="20">
        <f>E392+G392+I392</f>
        <v>23190</v>
      </c>
      <c r="L392" s="20">
        <f>F392+H392+J392</f>
        <v>510180</v>
      </c>
      <c r="M392" s="18"/>
    </row>
    <row r="393" spans="1:13" x14ac:dyDescent="0.3">
      <c r="A393" s="18" t="s">
        <v>1177</v>
      </c>
      <c r="B393" s="18" t="s">
        <v>390</v>
      </c>
      <c r="C393" s="19">
        <v>2</v>
      </c>
      <c r="D393" s="18" t="s">
        <v>103</v>
      </c>
      <c r="E393" s="19">
        <v>16055</v>
      </c>
      <c r="F393" s="20">
        <f>E393*C393</f>
        <v>32110</v>
      </c>
      <c r="G393" s="19">
        <v>0</v>
      </c>
      <c r="H393" s="20">
        <f>G393*C393</f>
        <v>0</v>
      </c>
      <c r="I393" s="19">
        <v>0</v>
      </c>
      <c r="J393" s="20">
        <f>I393*C393</f>
        <v>0</v>
      </c>
      <c r="K393" s="20">
        <f>E393+G393+I393</f>
        <v>16055</v>
      </c>
      <c r="L393" s="20">
        <f>F393+H393+J393</f>
        <v>32110</v>
      </c>
      <c r="M393" s="18"/>
    </row>
    <row r="394" spans="1:13" x14ac:dyDescent="0.3">
      <c r="A394" s="18" t="s">
        <v>919</v>
      </c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spans="1:13" x14ac:dyDescent="0.3">
      <c r="A395" s="18" t="s">
        <v>406</v>
      </c>
      <c r="B395" s="18" t="s">
        <v>407</v>
      </c>
      <c r="C395" s="19">
        <v>71</v>
      </c>
      <c r="D395" s="18" t="s">
        <v>103</v>
      </c>
      <c r="E395" s="19">
        <v>81452</v>
      </c>
      <c r="F395" s="20">
        <f>E395*C395</f>
        <v>5783092</v>
      </c>
      <c r="G395" s="19">
        <v>0</v>
      </c>
      <c r="H395" s="20">
        <f>G395*C395</f>
        <v>0</v>
      </c>
      <c r="I395" s="19">
        <v>0</v>
      </c>
      <c r="J395" s="20">
        <f>I395*C395</f>
        <v>0</v>
      </c>
      <c r="K395" s="20">
        <f t="shared" ref="K395:L397" si="38">E395+G395+I395</f>
        <v>81452</v>
      </c>
      <c r="L395" s="20">
        <f t="shared" si="38"/>
        <v>5783092</v>
      </c>
      <c r="M395" s="18"/>
    </row>
    <row r="396" spans="1:13" x14ac:dyDescent="0.3">
      <c r="A396" s="18" t="s">
        <v>408</v>
      </c>
      <c r="B396" s="18" t="s">
        <v>409</v>
      </c>
      <c r="C396" s="19">
        <v>1</v>
      </c>
      <c r="D396" s="18" t="s">
        <v>103</v>
      </c>
      <c r="E396" s="19">
        <v>79786</v>
      </c>
      <c r="F396" s="20">
        <f>E396*C396</f>
        <v>79786</v>
      </c>
      <c r="G396" s="19">
        <v>0</v>
      </c>
      <c r="H396" s="20">
        <f>G396*C396</f>
        <v>0</v>
      </c>
      <c r="I396" s="19">
        <v>0</v>
      </c>
      <c r="J396" s="20">
        <f>I396*C396</f>
        <v>0</v>
      </c>
      <c r="K396" s="20">
        <f t="shared" si="38"/>
        <v>79786</v>
      </c>
      <c r="L396" s="20">
        <f t="shared" si="38"/>
        <v>79786</v>
      </c>
      <c r="M396" s="18"/>
    </row>
    <row r="397" spans="1:13" x14ac:dyDescent="0.3">
      <c r="A397" s="18" t="s">
        <v>613</v>
      </c>
      <c r="B397" s="18" t="s">
        <v>823</v>
      </c>
      <c r="C397" s="19">
        <v>10</v>
      </c>
      <c r="D397" s="18" t="s">
        <v>103</v>
      </c>
      <c r="E397" s="19">
        <v>87468</v>
      </c>
      <c r="F397" s="20">
        <f>E397*C397</f>
        <v>874680</v>
      </c>
      <c r="G397" s="19">
        <v>0</v>
      </c>
      <c r="H397" s="20">
        <f>G397*C397</f>
        <v>0</v>
      </c>
      <c r="I397" s="19">
        <v>0</v>
      </c>
      <c r="J397" s="20">
        <f>I397*C397</f>
        <v>0</v>
      </c>
      <c r="K397" s="20">
        <f t="shared" si="38"/>
        <v>87468</v>
      </c>
      <c r="L397" s="20">
        <f t="shared" si="38"/>
        <v>874680</v>
      </c>
      <c r="M397" s="18"/>
    </row>
    <row r="398" spans="1:13" x14ac:dyDescent="0.3">
      <c r="A398" s="18" t="s">
        <v>1178</v>
      </c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spans="1:13" x14ac:dyDescent="0.3">
      <c r="A399" s="18" t="s">
        <v>411</v>
      </c>
      <c r="B399" s="18" t="s">
        <v>412</v>
      </c>
      <c r="C399" s="19">
        <v>145</v>
      </c>
      <c r="D399" s="18" t="s">
        <v>413</v>
      </c>
      <c r="E399" s="19">
        <v>16539</v>
      </c>
      <c r="F399" s="20">
        <f>E399*C399</f>
        <v>2398155</v>
      </c>
      <c r="G399" s="19">
        <v>0</v>
      </c>
      <c r="H399" s="20">
        <f>G399*C399</f>
        <v>0</v>
      </c>
      <c r="I399" s="19">
        <v>0</v>
      </c>
      <c r="J399" s="20">
        <f>I399*C399</f>
        <v>0</v>
      </c>
      <c r="K399" s="20">
        <f t="shared" ref="K399:L402" si="39">E399+G399+I399</f>
        <v>16539</v>
      </c>
      <c r="L399" s="20">
        <f t="shared" si="39"/>
        <v>2398155</v>
      </c>
      <c r="M399" s="18"/>
    </row>
    <row r="400" spans="1:13" x14ac:dyDescent="0.3">
      <c r="A400" s="18" t="s">
        <v>414</v>
      </c>
      <c r="B400" s="18" t="s">
        <v>417</v>
      </c>
      <c r="C400" s="19">
        <v>177</v>
      </c>
      <c r="D400" s="18" t="s">
        <v>413</v>
      </c>
      <c r="E400" s="19">
        <v>42188</v>
      </c>
      <c r="F400" s="20">
        <f>E400*C400</f>
        <v>7467276</v>
      </c>
      <c r="G400" s="19">
        <v>0</v>
      </c>
      <c r="H400" s="20">
        <f>G400*C400</f>
        <v>0</v>
      </c>
      <c r="I400" s="19">
        <v>0</v>
      </c>
      <c r="J400" s="20">
        <f>I400*C400</f>
        <v>0</v>
      </c>
      <c r="K400" s="20">
        <f t="shared" si="39"/>
        <v>42188</v>
      </c>
      <c r="L400" s="20">
        <f t="shared" si="39"/>
        <v>7467276</v>
      </c>
      <c r="M400" s="18"/>
    </row>
    <row r="401" spans="1:13" x14ac:dyDescent="0.3">
      <c r="A401" s="18" t="s">
        <v>1179</v>
      </c>
      <c r="B401" s="18" t="s">
        <v>427</v>
      </c>
      <c r="C401" s="19">
        <v>58</v>
      </c>
      <c r="D401" s="18" t="s">
        <v>371</v>
      </c>
      <c r="E401" s="19">
        <v>0</v>
      </c>
      <c r="F401" s="20">
        <f>E401*C401</f>
        <v>0</v>
      </c>
      <c r="G401" s="19">
        <v>0</v>
      </c>
      <c r="H401" s="20">
        <f>G401*C401</f>
        <v>0</v>
      </c>
      <c r="I401" s="19">
        <v>2015</v>
      </c>
      <c r="J401" s="20">
        <f>I401*C401</f>
        <v>116870</v>
      </c>
      <c r="K401" s="20">
        <f t="shared" si="39"/>
        <v>2015</v>
      </c>
      <c r="L401" s="20">
        <f t="shared" si="39"/>
        <v>116870</v>
      </c>
      <c r="M401" s="18"/>
    </row>
    <row r="402" spans="1:13" x14ac:dyDescent="0.3">
      <c r="A402" s="18" t="s">
        <v>1180</v>
      </c>
      <c r="B402" s="18" t="s">
        <v>431</v>
      </c>
      <c r="C402" s="19">
        <v>71</v>
      </c>
      <c r="D402" s="18" t="s">
        <v>371</v>
      </c>
      <c r="E402" s="19">
        <v>0</v>
      </c>
      <c r="F402" s="20">
        <f>E402*C402</f>
        <v>0</v>
      </c>
      <c r="G402" s="19">
        <v>0</v>
      </c>
      <c r="H402" s="20">
        <f>G402*C402</f>
        <v>0</v>
      </c>
      <c r="I402" s="19">
        <v>2015</v>
      </c>
      <c r="J402" s="20">
        <f>I402*C402</f>
        <v>143065</v>
      </c>
      <c r="K402" s="20">
        <f t="shared" si="39"/>
        <v>2015</v>
      </c>
      <c r="L402" s="20">
        <f t="shared" si="39"/>
        <v>143065</v>
      </c>
      <c r="M402" s="18"/>
    </row>
    <row r="403" spans="1:13" x14ac:dyDescent="0.3">
      <c r="A403" s="18" t="s">
        <v>1181</v>
      </c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spans="1:13" x14ac:dyDescent="0.3">
      <c r="A404" s="18" t="s">
        <v>441</v>
      </c>
      <c r="B404" s="18" t="s">
        <v>442</v>
      </c>
      <c r="C404" s="19">
        <v>4</v>
      </c>
      <c r="D404" s="18" t="s">
        <v>443</v>
      </c>
      <c r="E404" s="19">
        <v>285419</v>
      </c>
      <c r="F404" s="20">
        <f>E404*C404</f>
        <v>1141676</v>
      </c>
      <c r="G404" s="19">
        <v>0</v>
      </c>
      <c r="H404" s="20">
        <f>G404*C404</f>
        <v>0</v>
      </c>
      <c r="I404" s="19">
        <v>0</v>
      </c>
      <c r="J404" s="20">
        <f>I404*C404</f>
        <v>0</v>
      </c>
      <c r="K404" s="20">
        <f>E404+G404+I404</f>
        <v>285419</v>
      </c>
      <c r="L404" s="20">
        <f>F404+H404+J404</f>
        <v>1141676</v>
      </c>
      <c r="M404" s="18"/>
    </row>
    <row r="405" spans="1:13" x14ac:dyDescent="0.3">
      <c r="A405" s="18" t="s">
        <v>1239</v>
      </c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spans="1:13" x14ac:dyDescent="0.3">
      <c r="A406" s="18" t="s">
        <v>399</v>
      </c>
      <c r="B406" s="18" t="s">
        <v>825</v>
      </c>
      <c r="C406" s="21">
        <v>1.0249999999999999</v>
      </c>
      <c r="D406" s="18" t="s">
        <v>826</v>
      </c>
      <c r="E406" s="19">
        <v>823824</v>
      </c>
      <c r="F406" s="20">
        <f>E406*C406</f>
        <v>844419.6</v>
      </c>
      <c r="G406" s="19">
        <v>0</v>
      </c>
      <c r="H406" s="20">
        <f>G406*C406</f>
        <v>0</v>
      </c>
      <c r="I406" s="19">
        <v>0</v>
      </c>
      <c r="J406" s="20">
        <f>I406*C406</f>
        <v>0</v>
      </c>
      <c r="K406" s="20">
        <f>E406+G406+I406</f>
        <v>823824</v>
      </c>
      <c r="L406" s="20">
        <f>F406+H406+J406</f>
        <v>844419.6</v>
      </c>
      <c r="M406" s="18"/>
    </row>
    <row r="407" spans="1:13" x14ac:dyDescent="0.3">
      <c r="A407" s="18" t="s">
        <v>831</v>
      </c>
      <c r="B407" s="18" t="s">
        <v>1240</v>
      </c>
      <c r="C407" s="21">
        <v>0.182</v>
      </c>
      <c r="D407" s="18" t="s">
        <v>826</v>
      </c>
      <c r="E407" s="19">
        <v>823852</v>
      </c>
      <c r="F407" s="20">
        <f>E407*C407</f>
        <v>149941.06399999998</v>
      </c>
      <c r="G407" s="19">
        <v>0</v>
      </c>
      <c r="H407" s="20">
        <f>G407*C407</f>
        <v>0</v>
      </c>
      <c r="I407" s="19">
        <v>0</v>
      </c>
      <c r="J407" s="20">
        <f>I407*C407</f>
        <v>0</v>
      </c>
      <c r="K407" s="20">
        <f>E407+G407+I407</f>
        <v>823852</v>
      </c>
      <c r="L407" s="20">
        <f>F407+H407+J407</f>
        <v>149941.06399999998</v>
      </c>
      <c r="M407" s="18"/>
    </row>
    <row r="408" spans="1:13" x14ac:dyDescent="0.3">
      <c r="A408" s="18" t="s">
        <v>1241</v>
      </c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spans="1:13" x14ac:dyDescent="0.3">
      <c r="A409" s="18" t="s">
        <v>1190</v>
      </c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spans="1:13" x14ac:dyDescent="0.3">
      <c r="A410" s="18" t="s">
        <v>658</v>
      </c>
      <c r="B410" s="18" t="s">
        <v>659</v>
      </c>
      <c r="C410" s="19">
        <v>3270</v>
      </c>
      <c r="D410" s="18" t="s">
        <v>97</v>
      </c>
      <c r="E410" s="19">
        <v>0</v>
      </c>
      <c r="F410" s="20">
        <f t="shared" ref="F410:F416" si="40">E410*C410</f>
        <v>0</v>
      </c>
      <c r="G410" s="19">
        <v>464</v>
      </c>
      <c r="H410" s="20">
        <f t="shared" ref="H410:H416" si="41">G410*C410</f>
        <v>1517280</v>
      </c>
      <c r="I410" s="19">
        <v>2430</v>
      </c>
      <c r="J410" s="20">
        <f t="shared" ref="J410:J416" si="42">I410*C410</f>
        <v>7946100</v>
      </c>
      <c r="K410" s="20">
        <f t="shared" ref="K410:L416" si="43">E410+G410+I410</f>
        <v>2894</v>
      </c>
      <c r="L410" s="20">
        <f t="shared" si="43"/>
        <v>9463380</v>
      </c>
      <c r="M410" s="18"/>
    </row>
    <row r="411" spans="1:13" x14ac:dyDescent="0.3">
      <c r="A411" s="18" t="s">
        <v>660</v>
      </c>
      <c r="B411" s="18" t="s">
        <v>659</v>
      </c>
      <c r="C411" s="19">
        <v>3270</v>
      </c>
      <c r="D411" s="18" t="s">
        <v>97</v>
      </c>
      <c r="E411" s="19">
        <v>0</v>
      </c>
      <c r="F411" s="20">
        <f t="shared" si="40"/>
        <v>0</v>
      </c>
      <c r="G411" s="19">
        <v>464</v>
      </c>
      <c r="H411" s="20">
        <f t="shared" si="41"/>
        <v>1517280</v>
      </c>
      <c r="I411" s="19">
        <v>2430</v>
      </c>
      <c r="J411" s="20">
        <f t="shared" si="42"/>
        <v>7946100</v>
      </c>
      <c r="K411" s="20">
        <f t="shared" si="43"/>
        <v>2894</v>
      </c>
      <c r="L411" s="20">
        <f t="shared" si="43"/>
        <v>9463380</v>
      </c>
      <c r="M411" s="18"/>
    </row>
    <row r="412" spans="1:13" x14ac:dyDescent="0.3">
      <c r="A412" s="18" t="s">
        <v>661</v>
      </c>
      <c r="B412" s="18" t="s">
        <v>662</v>
      </c>
      <c r="C412" s="19">
        <v>3270</v>
      </c>
      <c r="D412" s="18" t="s">
        <v>97</v>
      </c>
      <c r="E412" s="19">
        <v>0</v>
      </c>
      <c r="F412" s="20">
        <f t="shared" si="40"/>
        <v>0</v>
      </c>
      <c r="G412" s="19">
        <v>927</v>
      </c>
      <c r="H412" s="20">
        <f t="shared" si="41"/>
        <v>3031290</v>
      </c>
      <c r="I412" s="19">
        <v>3037</v>
      </c>
      <c r="J412" s="20">
        <f t="shared" si="42"/>
        <v>9930990</v>
      </c>
      <c r="K412" s="20">
        <f t="shared" si="43"/>
        <v>3964</v>
      </c>
      <c r="L412" s="20">
        <f t="shared" si="43"/>
        <v>12962280</v>
      </c>
      <c r="M412" s="18"/>
    </row>
    <row r="413" spans="1:13" x14ac:dyDescent="0.3">
      <c r="A413" s="18" t="s">
        <v>663</v>
      </c>
      <c r="B413" s="18" t="s">
        <v>664</v>
      </c>
      <c r="C413" s="19">
        <v>3270</v>
      </c>
      <c r="D413" s="18" t="s">
        <v>97</v>
      </c>
      <c r="E413" s="19">
        <v>0</v>
      </c>
      <c r="F413" s="20">
        <f t="shared" si="40"/>
        <v>0</v>
      </c>
      <c r="G413" s="19">
        <v>0</v>
      </c>
      <c r="H413" s="20">
        <f t="shared" si="41"/>
        <v>0</v>
      </c>
      <c r="I413" s="19">
        <v>507</v>
      </c>
      <c r="J413" s="20">
        <f t="shared" si="42"/>
        <v>1657890</v>
      </c>
      <c r="K413" s="20">
        <f t="shared" si="43"/>
        <v>507</v>
      </c>
      <c r="L413" s="20">
        <f t="shared" si="43"/>
        <v>1657890</v>
      </c>
      <c r="M413" s="18"/>
    </row>
    <row r="414" spans="1:13" x14ac:dyDescent="0.3">
      <c r="A414" s="18" t="s">
        <v>665</v>
      </c>
      <c r="B414" s="18" t="s">
        <v>666</v>
      </c>
      <c r="C414" s="19">
        <v>3270</v>
      </c>
      <c r="D414" s="18" t="s">
        <v>97</v>
      </c>
      <c r="E414" s="19">
        <v>0</v>
      </c>
      <c r="F414" s="20">
        <f t="shared" si="40"/>
        <v>0</v>
      </c>
      <c r="G414" s="19">
        <v>0</v>
      </c>
      <c r="H414" s="20">
        <f t="shared" si="41"/>
        <v>0</v>
      </c>
      <c r="I414" s="19">
        <v>507</v>
      </c>
      <c r="J414" s="20">
        <f t="shared" si="42"/>
        <v>1657890</v>
      </c>
      <c r="K414" s="20">
        <f t="shared" si="43"/>
        <v>507</v>
      </c>
      <c r="L414" s="20">
        <f t="shared" si="43"/>
        <v>1657890</v>
      </c>
      <c r="M414" s="18"/>
    </row>
    <row r="415" spans="1:13" x14ac:dyDescent="0.3">
      <c r="A415" s="18" t="s">
        <v>667</v>
      </c>
      <c r="B415" s="18" t="s">
        <v>668</v>
      </c>
      <c r="C415" s="19">
        <v>6540</v>
      </c>
      <c r="D415" s="18" t="s">
        <v>97</v>
      </c>
      <c r="E415" s="19">
        <v>0</v>
      </c>
      <c r="F415" s="20">
        <f t="shared" si="40"/>
        <v>0</v>
      </c>
      <c r="G415" s="19">
        <v>0</v>
      </c>
      <c r="H415" s="20">
        <f t="shared" si="41"/>
        <v>0</v>
      </c>
      <c r="I415" s="19">
        <v>507</v>
      </c>
      <c r="J415" s="20">
        <f t="shared" si="42"/>
        <v>3315780</v>
      </c>
      <c r="K415" s="20">
        <f t="shared" si="43"/>
        <v>507</v>
      </c>
      <c r="L415" s="20">
        <f t="shared" si="43"/>
        <v>3315780</v>
      </c>
      <c r="M415" s="18"/>
    </row>
    <row r="416" spans="1:13" x14ac:dyDescent="0.3">
      <c r="A416" s="18" t="s">
        <v>669</v>
      </c>
      <c r="B416" s="18" t="s">
        <v>670</v>
      </c>
      <c r="C416" s="19">
        <v>818</v>
      </c>
      <c r="D416" s="18" t="s">
        <v>103</v>
      </c>
      <c r="E416" s="19">
        <v>0</v>
      </c>
      <c r="F416" s="20">
        <f t="shared" si="40"/>
        <v>0</v>
      </c>
      <c r="G416" s="19">
        <v>1391</v>
      </c>
      <c r="H416" s="20">
        <f t="shared" si="41"/>
        <v>1137838</v>
      </c>
      <c r="I416" s="19">
        <v>4556</v>
      </c>
      <c r="J416" s="20">
        <f t="shared" si="42"/>
        <v>3726808</v>
      </c>
      <c r="K416" s="20">
        <f t="shared" si="43"/>
        <v>5947</v>
      </c>
      <c r="L416" s="20">
        <f t="shared" si="43"/>
        <v>4864646</v>
      </c>
      <c r="M416" s="18"/>
    </row>
    <row r="417" spans="1:13" x14ac:dyDescent="0.3">
      <c r="A417" s="18" t="s">
        <v>671</v>
      </c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spans="1:13" x14ac:dyDescent="0.3">
      <c r="A418" s="18" t="s">
        <v>672</v>
      </c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spans="1:13" x14ac:dyDescent="0.3">
      <c r="A419" s="18" t="s">
        <v>673</v>
      </c>
      <c r="B419" s="18" t="s">
        <v>674</v>
      </c>
      <c r="C419" s="19">
        <v>1126</v>
      </c>
      <c r="D419" s="18" t="s">
        <v>97</v>
      </c>
      <c r="E419" s="19">
        <v>0</v>
      </c>
      <c r="F419" s="20">
        <f>E419*C419</f>
        <v>0</v>
      </c>
      <c r="G419" s="19">
        <v>13911</v>
      </c>
      <c r="H419" s="20">
        <f>G419*C419</f>
        <v>15663786</v>
      </c>
      <c r="I419" s="19">
        <v>2733</v>
      </c>
      <c r="J419" s="20">
        <f>I419*C419</f>
        <v>3077358</v>
      </c>
      <c r="K419" s="20">
        <f>E419+G419+I419</f>
        <v>16644</v>
      </c>
      <c r="L419" s="20">
        <f>F419+H419+J419</f>
        <v>18741144</v>
      </c>
      <c r="M419" s="18"/>
    </row>
    <row r="420" spans="1:13" x14ac:dyDescent="0.3">
      <c r="A420" s="18" t="s">
        <v>675</v>
      </c>
      <c r="B420" s="18" t="s">
        <v>676</v>
      </c>
      <c r="C420" s="19">
        <v>113</v>
      </c>
      <c r="D420" s="18" t="s">
        <v>103</v>
      </c>
      <c r="E420" s="19">
        <v>0</v>
      </c>
      <c r="F420" s="20">
        <f>E420*C420</f>
        <v>0</v>
      </c>
      <c r="G420" s="19">
        <v>1391</v>
      </c>
      <c r="H420" s="20">
        <f>G420*C420</f>
        <v>157183</v>
      </c>
      <c r="I420" s="19">
        <v>4556</v>
      </c>
      <c r="J420" s="20">
        <f>I420*C420</f>
        <v>514828</v>
      </c>
      <c r="K420" s="20">
        <f>E420+G420+I420</f>
        <v>5947</v>
      </c>
      <c r="L420" s="20">
        <f>F420+H420+J420</f>
        <v>672011</v>
      </c>
      <c r="M420" s="18"/>
    </row>
    <row r="421" spans="1:13" x14ac:dyDescent="0.3">
      <c r="A421" s="18" t="s">
        <v>677</v>
      </c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spans="1:13" x14ac:dyDescent="0.3">
      <c r="A422" s="18" t="s">
        <v>678</v>
      </c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spans="1:13" x14ac:dyDescent="0.3">
      <c r="A423" s="18" t="s">
        <v>679</v>
      </c>
      <c r="B423" s="18" t="s">
        <v>680</v>
      </c>
      <c r="C423" s="19">
        <v>184</v>
      </c>
      <c r="D423" s="18" t="s">
        <v>97</v>
      </c>
      <c r="E423" s="19">
        <v>0</v>
      </c>
      <c r="F423" s="20">
        <f>E423*C423</f>
        <v>0</v>
      </c>
      <c r="G423" s="19">
        <v>12056</v>
      </c>
      <c r="H423" s="20">
        <f>G423*C423</f>
        <v>2218304</v>
      </c>
      <c r="I423" s="19">
        <v>2297</v>
      </c>
      <c r="J423" s="20">
        <f>I423*C423</f>
        <v>422648</v>
      </c>
      <c r="K423" s="20">
        <f t="shared" ref="K423:L425" si="44">E423+G423+I423</f>
        <v>14353</v>
      </c>
      <c r="L423" s="20">
        <f t="shared" si="44"/>
        <v>2640952</v>
      </c>
      <c r="M423" s="18"/>
    </row>
    <row r="424" spans="1:13" x14ac:dyDescent="0.3">
      <c r="A424" s="18" t="s">
        <v>681</v>
      </c>
      <c r="B424" s="18" t="s">
        <v>680</v>
      </c>
      <c r="C424" s="19">
        <v>11</v>
      </c>
      <c r="D424" s="18" t="s">
        <v>97</v>
      </c>
      <c r="E424" s="19">
        <v>0</v>
      </c>
      <c r="F424" s="20">
        <f>E424*C424</f>
        <v>0</v>
      </c>
      <c r="G424" s="19">
        <v>12056</v>
      </c>
      <c r="H424" s="20">
        <f>G424*C424</f>
        <v>132616</v>
      </c>
      <c r="I424" s="19">
        <v>2297</v>
      </c>
      <c r="J424" s="20">
        <f>I424*C424</f>
        <v>25267</v>
      </c>
      <c r="K424" s="20">
        <f t="shared" si="44"/>
        <v>14353</v>
      </c>
      <c r="L424" s="20">
        <f t="shared" si="44"/>
        <v>157883</v>
      </c>
      <c r="M424" s="18"/>
    </row>
    <row r="425" spans="1:13" x14ac:dyDescent="0.3">
      <c r="A425" s="18" t="s">
        <v>682</v>
      </c>
      <c r="B425" s="18" t="s">
        <v>683</v>
      </c>
      <c r="C425" s="19">
        <v>20</v>
      </c>
      <c r="D425" s="18" t="s">
        <v>103</v>
      </c>
      <c r="E425" s="19">
        <v>0</v>
      </c>
      <c r="F425" s="20">
        <f>E425*C425</f>
        <v>0</v>
      </c>
      <c r="G425" s="19">
        <v>1391</v>
      </c>
      <c r="H425" s="20">
        <f>G425*C425</f>
        <v>27820</v>
      </c>
      <c r="I425" s="19">
        <v>4556</v>
      </c>
      <c r="J425" s="20">
        <f>I425*C425</f>
        <v>91120</v>
      </c>
      <c r="K425" s="20">
        <f t="shared" si="44"/>
        <v>5947</v>
      </c>
      <c r="L425" s="20">
        <f t="shared" si="44"/>
        <v>118940</v>
      </c>
      <c r="M425" s="18"/>
    </row>
    <row r="426" spans="1:13" x14ac:dyDescent="0.3">
      <c r="A426" s="18" t="s">
        <v>684</v>
      </c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spans="1:13" x14ac:dyDescent="0.3">
      <c r="A427" s="18" t="s">
        <v>685</v>
      </c>
      <c r="B427" s="18" t="s">
        <v>686</v>
      </c>
      <c r="C427" s="19">
        <v>1271</v>
      </c>
      <c r="D427" s="18" t="s">
        <v>97</v>
      </c>
      <c r="E427" s="19">
        <v>6028</v>
      </c>
      <c r="F427" s="20">
        <f>E427*C427</f>
        <v>7661588</v>
      </c>
      <c r="G427" s="19">
        <v>12984</v>
      </c>
      <c r="H427" s="20">
        <f>G427*C427</f>
        <v>16502664</v>
      </c>
      <c r="I427" s="19">
        <v>3037</v>
      </c>
      <c r="J427" s="20">
        <f>I427*C427</f>
        <v>3860027</v>
      </c>
      <c r="K427" s="20">
        <f>E427+G427+I427</f>
        <v>22049</v>
      </c>
      <c r="L427" s="20">
        <f>F427+H427+J427</f>
        <v>28024279</v>
      </c>
      <c r="M427" s="18"/>
    </row>
    <row r="428" spans="1:13" x14ac:dyDescent="0.3">
      <c r="A428" s="18" t="s">
        <v>1242</v>
      </c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spans="1:13" x14ac:dyDescent="0.3">
      <c r="A429" s="18" t="s">
        <v>704</v>
      </c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1:13" ht="24" x14ac:dyDescent="0.3">
      <c r="A430" s="18" t="s">
        <v>705</v>
      </c>
      <c r="B430" s="18" t="s">
        <v>706</v>
      </c>
      <c r="C430" s="19">
        <v>475</v>
      </c>
      <c r="D430" s="18" t="s">
        <v>234</v>
      </c>
      <c r="E430" s="19">
        <v>0</v>
      </c>
      <c r="F430" s="20">
        <f>E430*C430</f>
        <v>0</v>
      </c>
      <c r="G430" s="19">
        <v>12984</v>
      </c>
      <c r="H430" s="20">
        <f>G430*C430</f>
        <v>6167400</v>
      </c>
      <c r="I430" s="19">
        <v>4920</v>
      </c>
      <c r="J430" s="20">
        <f>I430*C430</f>
        <v>2337000</v>
      </c>
      <c r="K430" s="20">
        <f t="shared" ref="K430:L432" si="45">E430+G430+I430</f>
        <v>17904</v>
      </c>
      <c r="L430" s="20">
        <f t="shared" si="45"/>
        <v>8504400</v>
      </c>
      <c r="M430" s="18"/>
    </row>
    <row r="431" spans="1:13" ht="24" x14ac:dyDescent="0.3">
      <c r="A431" s="18" t="s">
        <v>1192</v>
      </c>
      <c r="B431" s="18" t="s">
        <v>710</v>
      </c>
      <c r="C431" s="19">
        <v>9</v>
      </c>
      <c r="D431" s="18" t="s">
        <v>234</v>
      </c>
      <c r="E431" s="19">
        <v>0</v>
      </c>
      <c r="F431" s="20">
        <f>E431*C431</f>
        <v>0</v>
      </c>
      <c r="G431" s="19">
        <v>12984</v>
      </c>
      <c r="H431" s="20">
        <f>G431*C431</f>
        <v>116856</v>
      </c>
      <c r="I431" s="19">
        <v>4920</v>
      </c>
      <c r="J431" s="20">
        <f>I431*C431</f>
        <v>44280</v>
      </c>
      <c r="K431" s="20">
        <f t="shared" si="45"/>
        <v>17904</v>
      </c>
      <c r="L431" s="20">
        <f t="shared" si="45"/>
        <v>161136</v>
      </c>
      <c r="M431" s="18"/>
    </row>
    <row r="432" spans="1:13" ht="24" x14ac:dyDescent="0.3">
      <c r="A432" s="18" t="s">
        <v>1193</v>
      </c>
      <c r="B432" s="18" t="s">
        <v>712</v>
      </c>
      <c r="C432" s="19">
        <v>26</v>
      </c>
      <c r="D432" s="18" t="s">
        <v>234</v>
      </c>
      <c r="E432" s="19">
        <v>0</v>
      </c>
      <c r="F432" s="20">
        <f>E432*C432</f>
        <v>0</v>
      </c>
      <c r="G432" s="19">
        <v>12984</v>
      </c>
      <c r="H432" s="20">
        <f>G432*C432</f>
        <v>337584</v>
      </c>
      <c r="I432" s="19">
        <v>4920</v>
      </c>
      <c r="J432" s="20">
        <f>I432*C432</f>
        <v>127920</v>
      </c>
      <c r="K432" s="20">
        <f t="shared" si="45"/>
        <v>17904</v>
      </c>
      <c r="L432" s="20">
        <f t="shared" si="45"/>
        <v>465504</v>
      </c>
      <c r="M432" s="18"/>
    </row>
    <row r="433" spans="1:13" x14ac:dyDescent="0.3">
      <c r="A433" s="18" t="s">
        <v>713</v>
      </c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spans="1:13" ht="24" x14ac:dyDescent="0.3">
      <c r="A434" s="18" t="s">
        <v>714</v>
      </c>
      <c r="B434" s="18" t="s">
        <v>715</v>
      </c>
      <c r="C434" s="19">
        <v>220</v>
      </c>
      <c r="D434" s="18" t="s">
        <v>234</v>
      </c>
      <c r="E434" s="19">
        <v>0</v>
      </c>
      <c r="F434" s="20">
        <f>E434*C434</f>
        <v>0</v>
      </c>
      <c r="G434" s="19">
        <v>11129</v>
      </c>
      <c r="H434" s="20">
        <f>G434*C434</f>
        <v>2448380</v>
      </c>
      <c r="I434" s="19">
        <v>3543</v>
      </c>
      <c r="J434" s="20">
        <f>I434*C434</f>
        <v>779460</v>
      </c>
      <c r="K434" s="20">
        <f>E434+G434+I434</f>
        <v>14672</v>
      </c>
      <c r="L434" s="20">
        <f>F434+H434+J434</f>
        <v>3227840</v>
      </c>
      <c r="M434" s="18"/>
    </row>
    <row r="435" spans="1:13" x14ac:dyDescent="0.3">
      <c r="A435" s="18" t="s">
        <v>1243</v>
      </c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spans="1:13" x14ac:dyDescent="0.3">
      <c r="A436" s="18" t="s">
        <v>1195</v>
      </c>
      <c r="B436" s="18"/>
      <c r="C436" s="19">
        <v>1350</v>
      </c>
      <c r="D436" s="18" t="s">
        <v>950</v>
      </c>
      <c r="E436" s="19">
        <v>0</v>
      </c>
      <c r="F436" s="20">
        <f>E436*C436</f>
        <v>0</v>
      </c>
      <c r="G436" s="19">
        <v>2782</v>
      </c>
      <c r="H436" s="20">
        <f>G436*C436</f>
        <v>3755700</v>
      </c>
      <c r="I436" s="19">
        <v>11641</v>
      </c>
      <c r="J436" s="20">
        <f>I436*C436</f>
        <v>15715350</v>
      </c>
      <c r="K436" s="20">
        <f>E436+G436+I436</f>
        <v>14423</v>
      </c>
      <c r="L436" s="20">
        <f>F436+H436+J436</f>
        <v>19471050</v>
      </c>
      <c r="M436" s="18"/>
    </row>
    <row r="437" spans="1:13" x14ac:dyDescent="0.3">
      <c r="A437" s="18" t="s">
        <v>1244</v>
      </c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1:13" x14ac:dyDescent="0.3">
      <c r="A438" s="18" t="s">
        <v>717</v>
      </c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spans="1:13" x14ac:dyDescent="0.3">
      <c r="A439" s="18" t="s">
        <v>1245</v>
      </c>
      <c r="B439" s="18" t="s">
        <v>719</v>
      </c>
      <c r="C439" s="19">
        <v>13</v>
      </c>
      <c r="D439" s="18" t="s">
        <v>183</v>
      </c>
      <c r="E439" s="19">
        <v>81611</v>
      </c>
      <c r="F439" s="20">
        <f>E439*C439</f>
        <v>1060943</v>
      </c>
      <c r="G439" s="19">
        <v>46370</v>
      </c>
      <c r="H439" s="20">
        <f>G439*C439</f>
        <v>602810</v>
      </c>
      <c r="I439" s="19">
        <v>0</v>
      </c>
      <c r="J439" s="20">
        <f>I439*C439</f>
        <v>0</v>
      </c>
      <c r="K439" s="20">
        <f t="shared" ref="K439:L441" si="46">E439+G439+I439</f>
        <v>127981</v>
      </c>
      <c r="L439" s="20">
        <f t="shared" si="46"/>
        <v>1663753</v>
      </c>
      <c r="M439" s="18"/>
    </row>
    <row r="440" spans="1:13" x14ac:dyDescent="0.3">
      <c r="A440" s="18" t="s">
        <v>720</v>
      </c>
      <c r="B440" s="18" t="s">
        <v>721</v>
      </c>
      <c r="C440" s="19">
        <v>3</v>
      </c>
      <c r="D440" s="18" t="s">
        <v>183</v>
      </c>
      <c r="E440" s="19">
        <v>81611</v>
      </c>
      <c r="F440" s="20">
        <f>E440*C440</f>
        <v>244833</v>
      </c>
      <c r="G440" s="19">
        <v>46370</v>
      </c>
      <c r="H440" s="20">
        <f>G440*C440</f>
        <v>139110</v>
      </c>
      <c r="I440" s="19">
        <v>0</v>
      </c>
      <c r="J440" s="20">
        <f>I440*C440</f>
        <v>0</v>
      </c>
      <c r="K440" s="20">
        <f t="shared" si="46"/>
        <v>127981</v>
      </c>
      <c r="L440" s="20">
        <f t="shared" si="46"/>
        <v>383943</v>
      </c>
      <c r="M440" s="18"/>
    </row>
    <row r="441" spans="1:13" x14ac:dyDescent="0.3">
      <c r="A441" s="18" t="s">
        <v>1196</v>
      </c>
      <c r="B441" s="18" t="s">
        <v>1197</v>
      </c>
      <c r="C441" s="19">
        <v>7</v>
      </c>
      <c r="D441" s="18" t="s">
        <v>183</v>
      </c>
      <c r="E441" s="19">
        <v>81611</v>
      </c>
      <c r="F441" s="20">
        <f>E441*C441</f>
        <v>571277</v>
      </c>
      <c r="G441" s="19">
        <v>46370</v>
      </c>
      <c r="H441" s="20">
        <f>G441*C441</f>
        <v>324590</v>
      </c>
      <c r="I441" s="19">
        <v>0</v>
      </c>
      <c r="J441" s="20">
        <f>I441*C441</f>
        <v>0</v>
      </c>
      <c r="K441" s="20">
        <f t="shared" si="46"/>
        <v>127981</v>
      </c>
      <c r="L441" s="20">
        <f t="shared" si="46"/>
        <v>895867</v>
      </c>
      <c r="M441" s="18"/>
    </row>
    <row r="442" spans="1:13" x14ac:dyDescent="0.3">
      <c r="A442" s="18" t="s">
        <v>733</v>
      </c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spans="1:13" x14ac:dyDescent="0.3">
      <c r="A443" s="18" t="s">
        <v>734</v>
      </c>
      <c r="B443" s="18" t="s">
        <v>691</v>
      </c>
      <c r="C443" s="19">
        <v>7</v>
      </c>
      <c r="D443" s="18" t="s">
        <v>97</v>
      </c>
      <c r="E443" s="19">
        <v>6028</v>
      </c>
      <c r="F443" s="20">
        <f t="shared" ref="F443:F452" si="47">E443*C443</f>
        <v>42196</v>
      </c>
      <c r="G443" s="19">
        <v>7883</v>
      </c>
      <c r="H443" s="20">
        <f t="shared" ref="H443:H452" si="48">G443*C443</f>
        <v>55181</v>
      </c>
      <c r="I443" s="19">
        <v>1012</v>
      </c>
      <c r="J443" s="20">
        <f t="shared" ref="J443:J452" si="49">I443*C443</f>
        <v>7084</v>
      </c>
      <c r="K443" s="20">
        <f t="shared" ref="K443:K452" si="50">E443+G443+I443</f>
        <v>14923</v>
      </c>
      <c r="L443" s="20">
        <f t="shared" ref="L443:L452" si="51">F443+H443+J443</f>
        <v>104461</v>
      </c>
      <c r="M443" s="18"/>
    </row>
    <row r="444" spans="1:13" x14ac:dyDescent="0.3">
      <c r="A444" s="18" t="s">
        <v>735</v>
      </c>
      <c r="B444" s="18" t="s">
        <v>737</v>
      </c>
      <c r="C444" s="19">
        <v>16</v>
      </c>
      <c r="D444" s="18" t="s">
        <v>97</v>
      </c>
      <c r="E444" s="19">
        <v>6028</v>
      </c>
      <c r="F444" s="20">
        <f t="shared" si="47"/>
        <v>96448</v>
      </c>
      <c r="G444" s="19">
        <v>7883</v>
      </c>
      <c r="H444" s="20">
        <f t="shared" si="48"/>
        <v>126128</v>
      </c>
      <c r="I444" s="19">
        <v>1012</v>
      </c>
      <c r="J444" s="20">
        <f t="shared" si="49"/>
        <v>16192</v>
      </c>
      <c r="K444" s="20">
        <f t="shared" si="50"/>
        <v>14923</v>
      </c>
      <c r="L444" s="20">
        <f t="shared" si="51"/>
        <v>238768</v>
      </c>
      <c r="M444" s="18"/>
    </row>
    <row r="445" spans="1:13" x14ac:dyDescent="0.3">
      <c r="A445" s="18" t="s">
        <v>736</v>
      </c>
      <c r="B445" s="18" t="s">
        <v>693</v>
      </c>
      <c r="C445" s="19">
        <v>260</v>
      </c>
      <c r="D445" s="18" t="s">
        <v>97</v>
      </c>
      <c r="E445" s="19">
        <v>6028</v>
      </c>
      <c r="F445" s="20">
        <f t="shared" si="47"/>
        <v>1567280</v>
      </c>
      <c r="G445" s="19">
        <v>7883</v>
      </c>
      <c r="H445" s="20">
        <f t="shared" si="48"/>
        <v>2049580</v>
      </c>
      <c r="I445" s="19">
        <v>1012</v>
      </c>
      <c r="J445" s="20">
        <f t="shared" si="49"/>
        <v>263120</v>
      </c>
      <c r="K445" s="20">
        <f t="shared" si="50"/>
        <v>14923</v>
      </c>
      <c r="L445" s="20">
        <f t="shared" si="51"/>
        <v>3879980</v>
      </c>
      <c r="M445" s="18"/>
    </row>
    <row r="446" spans="1:13" x14ac:dyDescent="0.3">
      <c r="A446" s="18" t="s">
        <v>1246</v>
      </c>
      <c r="B446" s="18" t="s">
        <v>1198</v>
      </c>
      <c r="C446" s="19">
        <v>6</v>
      </c>
      <c r="D446" s="18" t="s">
        <v>97</v>
      </c>
      <c r="E446" s="19">
        <v>6028</v>
      </c>
      <c r="F446" s="20">
        <f t="shared" si="47"/>
        <v>36168</v>
      </c>
      <c r="G446" s="19">
        <v>7883</v>
      </c>
      <c r="H446" s="20">
        <f t="shared" si="48"/>
        <v>47298</v>
      </c>
      <c r="I446" s="19">
        <v>1012</v>
      </c>
      <c r="J446" s="20">
        <f t="shared" si="49"/>
        <v>6072</v>
      </c>
      <c r="K446" s="20">
        <f t="shared" si="50"/>
        <v>14923</v>
      </c>
      <c r="L446" s="20">
        <f t="shared" si="51"/>
        <v>89538</v>
      </c>
      <c r="M446" s="18"/>
    </row>
    <row r="447" spans="1:13" x14ac:dyDescent="0.3">
      <c r="A447" s="18" t="s">
        <v>739</v>
      </c>
      <c r="B447" s="18" t="s">
        <v>698</v>
      </c>
      <c r="C447" s="19">
        <v>119</v>
      </c>
      <c r="D447" s="18" t="s">
        <v>97</v>
      </c>
      <c r="E447" s="19">
        <v>6028</v>
      </c>
      <c r="F447" s="20">
        <f t="shared" si="47"/>
        <v>717332</v>
      </c>
      <c r="G447" s="19">
        <v>7883</v>
      </c>
      <c r="H447" s="20">
        <f t="shared" si="48"/>
        <v>938077</v>
      </c>
      <c r="I447" s="19">
        <v>1012</v>
      </c>
      <c r="J447" s="20">
        <f t="shared" si="49"/>
        <v>120428</v>
      </c>
      <c r="K447" s="20">
        <f t="shared" si="50"/>
        <v>14923</v>
      </c>
      <c r="L447" s="20">
        <f t="shared" si="51"/>
        <v>1775837</v>
      </c>
      <c r="M447" s="18"/>
    </row>
    <row r="448" spans="1:13" x14ac:dyDescent="0.3">
      <c r="A448" s="18" t="s">
        <v>1247</v>
      </c>
      <c r="B448" s="18" t="s">
        <v>700</v>
      </c>
      <c r="C448" s="19">
        <v>36</v>
      </c>
      <c r="D448" s="18" t="s">
        <v>97</v>
      </c>
      <c r="E448" s="19">
        <v>6028</v>
      </c>
      <c r="F448" s="20">
        <f t="shared" si="47"/>
        <v>217008</v>
      </c>
      <c r="G448" s="19">
        <v>10201</v>
      </c>
      <c r="H448" s="20">
        <f t="shared" si="48"/>
        <v>367236</v>
      </c>
      <c r="I448" s="19">
        <v>1012</v>
      </c>
      <c r="J448" s="20">
        <f t="shared" si="49"/>
        <v>36432</v>
      </c>
      <c r="K448" s="20">
        <f t="shared" si="50"/>
        <v>17241</v>
      </c>
      <c r="L448" s="20">
        <f t="shared" si="51"/>
        <v>620676</v>
      </c>
      <c r="M448" s="18"/>
    </row>
    <row r="449" spans="1:13" x14ac:dyDescent="0.3">
      <c r="A449" s="18" t="s">
        <v>741</v>
      </c>
      <c r="B449" s="18" t="s">
        <v>695</v>
      </c>
      <c r="C449" s="19">
        <v>267</v>
      </c>
      <c r="D449" s="18" t="s">
        <v>97</v>
      </c>
      <c r="E449" s="19">
        <v>0</v>
      </c>
      <c r="F449" s="20">
        <f t="shared" si="47"/>
        <v>0</v>
      </c>
      <c r="G449" s="19">
        <v>4173</v>
      </c>
      <c r="H449" s="20">
        <f t="shared" si="48"/>
        <v>1114191</v>
      </c>
      <c r="I449" s="19">
        <v>0</v>
      </c>
      <c r="J449" s="20">
        <f t="shared" si="49"/>
        <v>0</v>
      </c>
      <c r="K449" s="20">
        <f t="shared" si="50"/>
        <v>4173</v>
      </c>
      <c r="L449" s="20">
        <f t="shared" si="51"/>
        <v>1114191</v>
      </c>
      <c r="M449" s="18"/>
    </row>
    <row r="450" spans="1:13" x14ac:dyDescent="0.3">
      <c r="A450" s="18" t="s">
        <v>743</v>
      </c>
      <c r="B450" s="18" t="s">
        <v>742</v>
      </c>
      <c r="C450" s="19">
        <v>22</v>
      </c>
      <c r="D450" s="18" t="s">
        <v>97</v>
      </c>
      <c r="E450" s="19">
        <v>0</v>
      </c>
      <c r="F450" s="20">
        <f t="shared" si="47"/>
        <v>0</v>
      </c>
      <c r="G450" s="19">
        <v>4173</v>
      </c>
      <c r="H450" s="20">
        <f t="shared" si="48"/>
        <v>91806</v>
      </c>
      <c r="I450" s="19">
        <v>0</v>
      </c>
      <c r="J450" s="20">
        <f t="shared" si="49"/>
        <v>0</v>
      </c>
      <c r="K450" s="20">
        <f t="shared" si="50"/>
        <v>4173</v>
      </c>
      <c r="L450" s="20">
        <f t="shared" si="51"/>
        <v>91806</v>
      </c>
      <c r="M450" s="18"/>
    </row>
    <row r="451" spans="1:13" x14ac:dyDescent="0.3">
      <c r="A451" s="18" t="s">
        <v>744</v>
      </c>
      <c r="B451" s="18" t="s">
        <v>698</v>
      </c>
      <c r="C451" s="19">
        <v>119</v>
      </c>
      <c r="D451" s="18" t="s">
        <v>97</v>
      </c>
      <c r="E451" s="19">
        <v>0</v>
      </c>
      <c r="F451" s="20">
        <f t="shared" si="47"/>
        <v>0</v>
      </c>
      <c r="G451" s="19">
        <v>4173</v>
      </c>
      <c r="H451" s="20">
        <f t="shared" si="48"/>
        <v>496587</v>
      </c>
      <c r="I451" s="19">
        <v>0</v>
      </c>
      <c r="J451" s="20">
        <f t="shared" si="49"/>
        <v>0</v>
      </c>
      <c r="K451" s="20">
        <f t="shared" si="50"/>
        <v>4173</v>
      </c>
      <c r="L451" s="20">
        <f t="shared" si="51"/>
        <v>496587</v>
      </c>
      <c r="M451" s="18"/>
    </row>
    <row r="452" spans="1:13" x14ac:dyDescent="0.3">
      <c r="A452" s="18" t="s">
        <v>1248</v>
      </c>
      <c r="B452" s="18" t="s">
        <v>700</v>
      </c>
      <c r="C452" s="19">
        <v>36</v>
      </c>
      <c r="D452" s="18" t="s">
        <v>97</v>
      </c>
      <c r="E452" s="19">
        <v>0</v>
      </c>
      <c r="F452" s="20">
        <f t="shared" si="47"/>
        <v>0</v>
      </c>
      <c r="G452" s="19">
        <v>4173</v>
      </c>
      <c r="H452" s="20">
        <f t="shared" si="48"/>
        <v>150228</v>
      </c>
      <c r="I452" s="19">
        <v>0</v>
      </c>
      <c r="J452" s="20">
        <f t="shared" si="49"/>
        <v>0</v>
      </c>
      <c r="K452" s="20">
        <f t="shared" si="50"/>
        <v>4173</v>
      </c>
      <c r="L452" s="20">
        <f t="shared" si="51"/>
        <v>150228</v>
      </c>
      <c r="M452" s="18"/>
    </row>
    <row r="453" spans="1:13" x14ac:dyDescent="0.3">
      <c r="A453" s="18" t="s">
        <v>745</v>
      </c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1:13" x14ac:dyDescent="0.3">
      <c r="A454" s="18" t="s">
        <v>746</v>
      </c>
      <c r="B454" s="18" t="s">
        <v>747</v>
      </c>
      <c r="C454" s="19">
        <v>40</v>
      </c>
      <c r="D454" s="18" t="s">
        <v>183</v>
      </c>
      <c r="E454" s="19">
        <v>41733</v>
      </c>
      <c r="F454" s="20">
        <f>E454*C454</f>
        <v>1669320</v>
      </c>
      <c r="G454" s="19">
        <v>32459</v>
      </c>
      <c r="H454" s="20">
        <f>G454*C454</f>
        <v>1298360</v>
      </c>
      <c r="I454" s="19">
        <v>5061</v>
      </c>
      <c r="J454" s="20">
        <f>I454*C454</f>
        <v>202440</v>
      </c>
      <c r="K454" s="20">
        <f t="shared" ref="K454:L456" si="52">E454+G454+I454</f>
        <v>79253</v>
      </c>
      <c r="L454" s="20">
        <f t="shared" si="52"/>
        <v>3170120</v>
      </c>
      <c r="M454" s="18"/>
    </row>
    <row r="455" spans="1:13" x14ac:dyDescent="0.3">
      <c r="A455" s="18" t="s">
        <v>1249</v>
      </c>
      <c r="B455" s="18" t="s">
        <v>751</v>
      </c>
      <c r="C455" s="19">
        <v>8</v>
      </c>
      <c r="D455" s="18" t="s">
        <v>204</v>
      </c>
      <c r="E455" s="19">
        <v>231849</v>
      </c>
      <c r="F455" s="20">
        <f>E455*C455</f>
        <v>1854792</v>
      </c>
      <c r="G455" s="19">
        <v>92740</v>
      </c>
      <c r="H455" s="20">
        <f>G455*C455</f>
        <v>741920</v>
      </c>
      <c r="I455" s="19">
        <v>50614</v>
      </c>
      <c r="J455" s="20">
        <f>I455*C455</f>
        <v>404912</v>
      </c>
      <c r="K455" s="20">
        <f t="shared" si="52"/>
        <v>375203</v>
      </c>
      <c r="L455" s="20">
        <f t="shared" si="52"/>
        <v>3001624</v>
      </c>
      <c r="M455" s="18"/>
    </row>
    <row r="456" spans="1:13" x14ac:dyDescent="0.3">
      <c r="A456" s="18" t="s">
        <v>382</v>
      </c>
      <c r="B456" s="18" t="s">
        <v>383</v>
      </c>
      <c r="C456" s="19">
        <v>21</v>
      </c>
      <c r="D456" s="18" t="s">
        <v>379</v>
      </c>
      <c r="E456" s="19">
        <v>0</v>
      </c>
      <c r="F456" s="20">
        <f>E456*C456</f>
        <v>0</v>
      </c>
      <c r="G456" s="19">
        <v>0</v>
      </c>
      <c r="H456" s="20">
        <f>G456*C456</f>
        <v>0</v>
      </c>
      <c r="I456" s="19">
        <v>455525</v>
      </c>
      <c r="J456" s="20">
        <f>I456*C456</f>
        <v>9566025</v>
      </c>
      <c r="K456" s="20">
        <f t="shared" si="52"/>
        <v>455525</v>
      </c>
      <c r="L456" s="20">
        <f t="shared" si="52"/>
        <v>9566025</v>
      </c>
      <c r="M456" s="18"/>
    </row>
    <row r="457" spans="1:13" x14ac:dyDescent="0.3">
      <c r="A457" s="18" t="s">
        <v>1201</v>
      </c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spans="1:13" x14ac:dyDescent="0.3">
      <c r="A458" s="18" t="s">
        <v>1202</v>
      </c>
      <c r="B458" s="18" t="s">
        <v>1203</v>
      </c>
      <c r="C458" s="19">
        <v>306</v>
      </c>
      <c r="D458" s="18" t="s">
        <v>1112</v>
      </c>
      <c r="E458" s="19">
        <v>273582</v>
      </c>
      <c r="F458" s="20">
        <f>E458*C458</f>
        <v>83716092</v>
      </c>
      <c r="G458" s="19">
        <v>51007</v>
      </c>
      <c r="H458" s="20">
        <f>G458*C458</f>
        <v>15608142</v>
      </c>
      <c r="I458" s="19">
        <v>28850</v>
      </c>
      <c r="J458" s="20">
        <f>I458*C458</f>
        <v>8828100</v>
      </c>
      <c r="K458" s="20">
        <f>E458+G458+I458</f>
        <v>353439</v>
      </c>
      <c r="L458" s="20">
        <f>F458+H458+J458</f>
        <v>108152334</v>
      </c>
      <c r="M458" s="18"/>
    </row>
    <row r="459" spans="1:13" x14ac:dyDescent="0.3">
      <c r="A459" s="18" t="s">
        <v>1250</v>
      </c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spans="1:13" x14ac:dyDescent="0.3">
      <c r="A460" s="18" t="s">
        <v>1251</v>
      </c>
      <c r="B460" s="18" t="s">
        <v>1252</v>
      </c>
      <c r="C460" s="19">
        <v>218</v>
      </c>
      <c r="D460" s="18" t="s">
        <v>1112</v>
      </c>
      <c r="E460" s="19">
        <v>185479</v>
      </c>
      <c r="F460" s="20">
        <f>E460*C460</f>
        <v>40434422</v>
      </c>
      <c r="G460" s="19">
        <v>51007</v>
      </c>
      <c r="H460" s="20">
        <f>G460*C460</f>
        <v>11119526</v>
      </c>
      <c r="I460" s="19">
        <v>28850</v>
      </c>
      <c r="J460" s="20">
        <f>I460*C460</f>
        <v>6289300</v>
      </c>
      <c r="K460" s="20">
        <f>E460+G460+I460</f>
        <v>265336</v>
      </c>
      <c r="L460" s="20">
        <f>F460+H460+J460</f>
        <v>57843248</v>
      </c>
      <c r="M460" s="18"/>
    </row>
    <row r="461" spans="1:13" x14ac:dyDescent="0.3">
      <c r="A461" s="18" t="s">
        <v>1253</v>
      </c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spans="1:13" x14ac:dyDescent="0.3">
      <c r="A462" s="18" t="s">
        <v>611</v>
      </c>
      <c r="B462" s="18" t="s">
        <v>407</v>
      </c>
      <c r="C462" s="19">
        <v>29</v>
      </c>
      <c r="D462" s="18" t="s">
        <v>103</v>
      </c>
      <c r="E462" s="19">
        <v>84690</v>
      </c>
      <c r="F462" s="20">
        <f t="shared" ref="F462:F478" si="53">E462*C462</f>
        <v>2456010</v>
      </c>
      <c r="G462" s="19">
        <v>0</v>
      </c>
      <c r="H462" s="20">
        <f t="shared" ref="H462:H478" si="54">G462*C462</f>
        <v>0</v>
      </c>
      <c r="I462" s="19">
        <v>0</v>
      </c>
      <c r="J462" s="20">
        <f t="shared" ref="J462:J478" si="55">I462*C462</f>
        <v>0</v>
      </c>
      <c r="K462" s="20">
        <f t="shared" ref="K462:K478" si="56">E462+G462+I462</f>
        <v>84690</v>
      </c>
      <c r="L462" s="20">
        <f t="shared" ref="L462:L478" si="57">F462+H462+J462</f>
        <v>2456010</v>
      </c>
      <c r="M462" s="18"/>
    </row>
    <row r="463" spans="1:13" x14ac:dyDescent="0.3">
      <c r="A463" s="18" t="s">
        <v>754</v>
      </c>
      <c r="B463" s="18" t="s">
        <v>755</v>
      </c>
      <c r="C463" s="19">
        <v>48</v>
      </c>
      <c r="D463" s="18" t="s">
        <v>103</v>
      </c>
      <c r="E463" s="19">
        <v>82958</v>
      </c>
      <c r="F463" s="20">
        <f t="shared" si="53"/>
        <v>3981984</v>
      </c>
      <c r="G463" s="19">
        <v>0</v>
      </c>
      <c r="H463" s="20">
        <f t="shared" si="54"/>
        <v>0</v>
      </c>
      <c r="I463" s="19">
        <v>0</v>
      </c>
      <c r="J463" s="20">
        <f t="shared" si="55"/>
        <v>0</v>
      </c>
      <c r="K463" s="20">
        <f t="shared" si="56"/>
        <v>82958</v>
      </c>
      <c r="L463" s="20">
        <f t="shared" si="57"/>
        <v>3981984</v>
      </c>
      <c r="M463" s="18"/>
    </row>
    <row r="464" spans="1:13" x14ac:dyDescent="0.3">
      <c r="A464" s="18" t="s">
        <v>756</v>
      </c>
      <c r="B464" s="18" t="s">
        <v>378</v>
      </c>
      <c r="C464" s="19">
        <v>5</v>
      </c>
      <c r="D464" s="18" t="s">
        <v>379</v>
      </c>
      <c r="E464" s="19">
        <v>5678</v>
      </c>
      <c r="F464" s="20">
        <f t="shared" si="53"/>
        <v>28390</v>
      </c>
      <c r="G464" s="19">
        <v>0</v>
      </c>
      <c r="H464" s="20">
        <f t="shared" si="54"/>
        <v>0</v>
      </c>
      <c r="I464" s="19">
        <v>0</v>
      </c>
      <c r="J464" s="20">
        <f t="shared" si="55"/>
        <v>0</v>
      </c>
      <c r="K464" s="20">
        <f t="shared" si="56"/>
        <v>5678</v>
      </c>
      <c r="L464" s="20">
        <f t="shared" si="57"/>
        <v>28390</v>
      </c>
      <c r="M464" s="18"/>
    </row>
    <row r="465" spans="1:13" x14ac:dyDescent="0.3">
      <c r="A465" s="18" t="s">
        <v>757</v>
      </c>
      <c r="B465" s="18" t="s">
        <v>386</v>
      </c>
      <c r="C465" s="19">
        <v>45</v>
      </c>
      <c r="D465" s="18" t="s">
        <v>103</v>
      </c>
      <c r="E465" s="19">
        <v>24112</v>
      </c>
      <c r="F465" s="20">
        <f t="shared" si="53"/>
        <v>1085040</v>
      </c>
      <c r="G465" s="19">
        <v>0</v>
      </c>
      <c r="H465" s="20">
        <f t="shared" si="54"/>
        <v>0</v>
      </c>
      <c r="I465" s="19">
        <v>0</v>
      </c>
      <c r="J465" s="20">
        <f t="shared" si="55"/>
        <v>0</v>
      </c>
      <c r="K465" s="20">
        <f t="shared" si="56"/>
        <v>24112</v>
      </c>
      <c r="L465" s="20">
        <f t="shared" si="57"/>
        <v>1085040</v>
      </c>
      <c r="M465" s="18"/>
    </row>
    <row r="466" spans="1:13" x14ac:dyDescent="0.3">
      <c r="A466" s="18" t="s">
        <v>758</v>
      </c>
      <c r="B466" s="18" t="s">
        <v>618</v>
      </c>
      <c r="C466" s="19">
        <v>1033</v>
      </c>
      <c r="D466" s="18" t="s">
        <v>103</v>
      </c>
      <c r="E466" s="19">
        <v>16693</v>
      </c>
      <c r="F466" s="20">
        <f t="shared" si="53"/>
        <v>17243869</v>
      </c>
      <c r="G466" s="19">
        <v>0</v>
      </c>
      <c r="H466" s="20">
        <f t="shared" si="54"/>
        <v>0</v>
      </c>
      <c r="I466" s="19">
        <v>0</v>
      </c>
      <c r="J466" s="20">
        <f t="shared" si="55"/>
        <v>0</v>
      </c>
      <c r="K466" s="20">
        <f t="shared" si="56"/>
        <v>16693</v>
      </c>
      <c r="L466" s="20">
        <f t="shared" si="57"/>
        <v>17243869</v>
      </c>
      <c r="M466" s="18"/>
    </row>
    <row r="467" spans="1:13" x14ac:dyDescent="0.3">
      <c r="A467" s="18" t="s">
        <v>1204</v>
      </c>
      <c r="B467" s="18" t="s">
        <v>763</v>
      </c>
      <c r="C467" s="19">
        <v>12</v>
      </c>
      <c r="D467" s="18" t="s">
        <v>764</v>
      </c>
      <c r="E467" s="19">
        <v>231849</v>
      </c>
      <c r="F467" s="20">
        <f t="shared" si="53"/>
        <v>2782188</v>
      </c>
      <c r="G467" s="19">
        <v>0</v>
      </c>
      <c r="H467" s="20">
        <f t="shared" si="54"/>
        <v>0</v>
      </c>
      <c r="I467" s="19">
        <v>0</v>
      </c>
      <c r="J467" s="20">
        <f t="shared" si="55"/>
        <v>0</v>
      </c>
      <c r="K467" s="20">
        <f t="shared" si="56"/>
        <v>231849</v>
      </c>
      <c r="L467" s="20">
        <f t="shared" si="57"/>
        <v>2782188</v>
      </c>
      <c r="M467" s="18"/>
    </row>
    <row r="468" spans="1:13" x14ac:dyDescent="0.3">
      <c r="A468" s="18" t="s">
        <v>1205</v>
      </c>
      <c r="B468" s="18" t="s">
        <v>766</v>
      </c>
      <c r="C468" s="19">
        <v>13</v>
      </c>
      <c r="D468" s="18" t="s">
        <v>764</v>
      </c>
      <c r="E468" s="19">
        <v>231849</v>
      </c>
      <c r="F468" s="20">
        <f t="shared" si="53"/>
        <v>3014037</v>
      </c>
      <c r="G468" s="19">
        <v>0</v>
      </c>
      <c r="H468" s="20">
        <f t="shared" si="54"/>
        <v>0</v>
      </c>
      <c r="I468" s="19">
        <v>0</v>
      </c>
      <c r="J468" s="20">
        <f t="shared" si="55"/>
        <v>0</v>
      </c>
      <c r="K468" s="20">
        <f t="shared" si="56"/>
        <v>231849</v>
      </c>
      <c r="L468" s="20">
        <f t="shared" si="57"/>
        <v>3014037</v>
      </c>
      <c r="M468" s="18"/>
    </row>
    <row r="469" spans="1:13" x14ac:dyDescent="0.3">
      <c r="A469" s="18" t="s">
        <v>1206</v>
      </c>
      <c r="B469" s="18" t="s">
        <v>768</v>
      </c>
      <c r="C469" s="19">
        <v>543</v>
      </c>
      <c r="D469" s="18" t="s">
        <v>394</v>
      </c>
      <c r="E469" s="19">
        <v>97202</v>
      </c>
      <c r="F469" s="20">
        <f t="shared" si="53"/>
        <v>52780686</v>
      </c>
      <c r="G469" s="19">
        <v>0</v>
      </c>
      <c r="H469" s="20">
        <f t="shared" si="54"/>
        <v>0</v>
      </c>
      <c r="I469" s="19">
        <v>0</v>
      </c>
      <c r="J469" s="20">
        <f t="shared" si="55"/>
        <v>0</v>
      </c>
      <c r="K469" s="20">
        <f t="shared" si="56"/>
        <v>97202</v>
      </c>
      <c r="L469" s="20">
        <f t="shared" si="57"/>
        <v>52780686</v>
      </c>
      <c r="M469" s="18"/>
    </row>
    <row r="470" spans="1:13" x14ac:dyDescent="0.3">
      <c r="A470" s="18" t="s">
        <v>1207</v>
      </c>
      <c r="B470" s="18" t="s">
        <v>770</v>
      </c>
      <c r="C470" s="19">
        <v>543</v>
      </c>
      <c r="D470" s="18" t="s">
        <v>394</v>
      </c>
      <c r="E470" s="19">
        <v>91427</v>
      </c>
      <c r="F470" s="20">
        <f t="shared" si="53"/>
        <v>49644861</v>
      </c>
      <c r="G470" s="19">
        <v>0</v>
      </c>
      <c r="H470" s="20">
        <f t="shared" si="54"/>
        <v>0</v>
      </c>
      <c r="I470" s="19">
        <v>0</v>
      </c>
      <c r="J470" s="20">
        <f t="shared" si="55"/>
        <v>0</v>
      </c>
      <c r="K470" s="20">
        <f t="shared" si="56"/>
        <v>91427</v>
      </c>
      <c r="L470" s="20">
        <f t="shared" si="57"/>
        <v>49644861</v>
      </c>
      <c r="M470" s="18"/>
    </row>
    <row r="471" spans="1:13" x14ac:dyDescent="0.3">
      <c r="A471" s="18" t="s">
        <v>767</v>
      </c>
      <c r="B471" s="18" t="s">
        <v>772</v>
      </c>
      <c r="C471" s="19">
        <v>1161</v>
      </c>
      <c r="D471" s="18" t="s">
        <v>394</v>
      </c>
      <c r="E471" s="19">
        <v>87578</v>
      </c>
      <c r="F471" s="20">
        <f t="shared" si="53"/>
        <v>101678058</v>
      </c>
      <c r="G471" s="19">
        <v>0</v>
      </c>
      <c r="H471" s="20">
        <f t="shared" si="54"/>
        <v>0</v>
      </c>
      <c r="I471" s="19">
        <v>0</v>
      </c>
      <c r="J471" s="20">
        <f t="shared" si="55"/>
        <v>0</v>
      </c>
      <c r="K471" s="20">
        <f t="shared" si="56"/>
        <v>87578</v>
      </c>
      <c r="L471" s="20">
        <f t="shared" si="57"/>
        <v>101678058</v>
      </c>
      <c r="M471" s="18"/>
    </row>
    <row r="472" spans="1:13" x14ac:dyDescent="0.3">
      <c r="A472" s="18" t="s">
        <v>1208</v>
      </c>
      <c r="B472" s="18" t="s">
        <v>776</v>
      </c>
      <c r="C472" s="19">
        <v>475</v>
      </c>
      <c r="D472" s="18" t="s">
        <v>368</v>
      </c>
      <c r="E472" s="19">
        <v>16693</v>
      </c>
      <c r="F472" s="20">
        <f t="shared" si="53"/>
        <v>7929175</v>
      </c>
      <c r="G472" s="19">
        <v>0</v>
      </c>
      <c r="H472" s="20">
        <f t="shared" si="54"/>
        <v>0</v>
      </c>
      <c r="I472" s="19">
        <v>1792</v>
      </c>
      <c r="J472" s="20">
        <f t="shared" si="55"/>
        <v>851200</v>
      </c>
      <c r="K472" s="20">
        <f t="shared" si="56"/>
        <v>18485</v>
      </c>
      <c r="L472" s="20">
        <f t="shared" si="57"/>
        <v>8780375</v>
      </c>
      <c r="M472" s="18"/>
    </row>
    <row r="473" spans="1:13" x14ac:dyDescent="0.3">
      <c r="A473" s="18" t="s">
        <v>1209</v>
      </c>
      <c r="B473" s="18" t="s">
        <v>780</v>
      </c>
      <c r="C473" s="19">
        <v>9</v>
      </c>
      <c r="D473" s="18" t="s">
        <v>368</v>
      </c>
      <c r="E473" s="19">
        <v>26894</v>
      </c>
      <c r="F473" s="20">
        <f t="shared" si="53"/>
        <v>242046</v>
      </c>
      <c r="G473" s="19">
        <v>0</v>
      </c>
      <c r="H473" s="20">
        <f t="shared" si="54"/>
        <v>0</v>
      </c>
      <c r="I473" s="19">
        <v>1792</v>
      </c>
      <c r="J473" s="20">
        <f t="shared" si="55"/>
        <v>16128</v>
      </c>
      <c r="K473" s="20">
        <f t="shared" si="56"/>
        <v>28686</v>
      </c>
      <c r="L473" s="20">
        <f t="shared" si="57"/>
        <v>258174</v>
      </c>
      <c r="M473" s="18"/>
    </row>
    <row r="474" spans="1:13" x14ac:dyDescent="0.3">
      <c r="A474" s="18" t="s">
        <v>1210</v>
      </c>
      <c r="B474" s="18" t="s">
        <v>782</v>
      </c>
      <c r="C474" s="19">
        <v>26</v>
      </c>
      <c r="D474" s="18" t="s">
        <v>368</v>
      </c>
      <c r="E474" s="19">
        <v>15766</v>
      </c>
      <c r="F474" s="20">
        <f t="shared" si="53"/>
        <v>409916</v>
      </c>
      <c r="G474" s="19">
        <v>0</v>
      </c>
      <c r="H474" s="20">
        <f t="shared" si="54"/>
        <v>0</v>
      </c>
      <c r="I474" s="19">
        <v>1792</v>
      </c>
      <c r="J474" s="20">
        <f t="shared" si="55"/>
        <v>46592</v>
      </c>
      <c r="K474" s="20">
        <f t="shared" si="56"/>
        <v>17558</v>
      </c>
      <c r="L474" s="20">
        <f t="shared" si="57"/>
        <v>456508</v>
      </c>
      <c r="M474" s="18"/>
    </row>
    <row r="475" spans="1:13" x14ac:dyDescent="0.3">
      <c r="A475" s="18" t="s">
        <v>1211</v>
      </c>
      <c r="B475" s="18" t="s">
        <v>784</v>
      </c>
      <c r="C475" s="19">
        <v>220</v>
      </c>
      <c r="D475" s="18" t="s">
        <v>368</v>
      </c>
      <c r="E475" s="19">
        <v>7883</v>
      </c>
      <c r="F475" s="20">
        <f t="shared" si="53"/>
        <v>1734260</v>
      </c>
      <c r="G475" s="19">
        <v>0</v>
      </c>
      <c r="H475" s="20">
        <f t="shared" si="54"/>
        <v>0</v>
      </c>
      <c r="I475" s="19">
        <v>689</v>
      </c>
      <c r="J475" s="20">
        <f t="shared" si="55"/>
        <v>151580</v>
      </c>
      <c r="K475" s="20">
        <f t="shared" si="56"/>
        <v>8572</v>
      </c>
      <c r="L475" s="20">
        <f t="shared" si="57"/>
        <v>1885840</v>
      </c>
      <c r="M475" s="18"/>
    </row>
    <row r="476" spans="1:13" x14ac:dyDescent="0.3">
      <c r="A476" s="18" t="s">
        <v>1212</v>
      </c>
      <c r="B476" s="18" t="s">
        <v>786</v>
      </c>
      <c r="C476" s="19">
        <v>1126</v>
      </c>
      <c r="D476" s="18" t="s">
        <v>97</v>
      </c>
      <c r="E476" s="19">
        <v>12798</v>
      </c>
      <c r="F476" s="20">
        <f t="shared" si="53"/>
        <v>14410548</v>
      </c>
      <c r="G476" s="19">
        <v>0</v>
      </c>
      <c r="H476" s="20">
        <f t="shared" si="54"/>
        <v>0</v>
      </c>
      <c r="I476" s="19">
        <v>2399</v>
      </c>
      <c r="J476" s="20">
        <f t="shared" si="55"/>
        <v>2701274</v>
      </c>
      <c r="K476" s="20">
        <f t="shared" si="56"/>
        <v>15197</v>
      </c>
      <c r="L476" s="20">
        <f t="shared" si="57"/>
        <v>17111822</v>
      </c>
      <c r="M476" s="18"/>
    </row>
    <row r="477" spans="1:13" x14ac:dyDescent="0.3">
      <c r="A477" s="18" t="s">
        <v>1213</v>
      </c>
      <c r="B477" s="18" t="s">
        <v>788</v>
      </c>
      <c r="C477" s="19">
        <v>190</v>
      </c>
      <c r="D477" s="18" t="s">
        <v>368</v>
      </c>
      <c r="E477" s="19">
        <v>3524</v>
      </c>
      <c r="F477" s="20">
        <f t="shared" si="53"/>
        <v>669560</v>
      </c>
      <c r="G477" s="19">
        <v>0</v>
      </c>
      <c r="H477" s="20">
        <f t="shared" si="54"/>
        <v>0</v>
      </c>
      <c r="I477" s="19">
        <v>2399</v>
      </c>
      <c r="J477" s="20">
        <f t="shared" si="55"/>
        <v>455810</v>
      </c>
      <c r="K477" s="20">
        <f t="shared" si="56"/>
        <v>5923</v>
      </c>
      <c r="L477" s="20">
        <f t="shared" si="57"/>
        <v>1125370</v>
      </c>
      <c r="M477" s="18"/>
    </row>
    <row r="478" spans="1:13" x14ac:dyDescent="0.3">
      <c r="A478" s="18" t="s">
        <v>1214</v>
      </c>
      <c r="B478" s="18" t="s">
        <v>788</v>
      </c>
      <c r="C478" s="19">
        <v>11</v>
      </c>
      <c r="D478" s="18" t="s">
        <v>368</v>
      </c>
      <c r="E478" s="19">
        <v>3524</v>
      </c>
      <c r="F478" s="20">
        <f t="shared" si="53"/>
        <v>38764</v>
      </c>
      <c r="G478" s="19">
        <v>0</v>
      </c>
      <c r="H478" s="20">
        <f t="shared" si="54"/>
        <v>0</v>
      </c>
      <c r="I478" s="19">
        <v>2399</v>
      </c>
      <c r="J478" s="20">
        <f t="shared" si="55"/>
        <v>26389</v>
      </c>
      <c r="K478" s="20">
        <f t="shared" si="56"/>
        <v>5923</v>
      </c>
      <c r="L478" s="20">
        <f t="shared" si="57"/>
        <v>65153</v>
      </c>
      <c r="M478" s="18"/>
    </row>
    <row r="479" spans="1:13" x14ac:dyDescent="0.3">
      <c r="A479" s="18" t="s">
        <v>1254</v>
      </c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spans="1:13" x14ac:dyDescent="0.3">
      <c r="A480" s="18" t="s">
        <v>1216</v>
      </c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spans="1:13" x14ac:dyDescent="0.3">
      <c r="A481" s="18" t="s">
        <v>792</v>
      </c>
      <c r="B481" s="18" t="s">
        <v>347</v>
      </c>
      <c r="C481" s="19">
        <v>507</v>
      </c>
      <c r="D481" s="18" t="s">
        <v>103</v>
      </c>
      <c r="E481" s="19">
        <v>0</v>
      </c>
      <c r="F481" s="20">
        <f t="shared" ref="F481:F496" si="58">E481*C481</f>
        <v>0</v>
      </c>
      <c r="G481" s="19">
        <v>13204</v>
      </c>
      <c r="H481" s="20">
        <f t="shared" ref="H481:H496" si="59">G481*C481</f>
        <v>6694428</v>
      </c>
      <c r="I481" s="19">
        <v>12662</v>
      </c>
      <c r="J481" s="20">
        <f t="shared" ref="J481:J496" si="60">I481*C481</f>
        <v>6419634</v>
      </c>
      <c r="K481" s="20">
        <f t="shared" ref="K481:K496" si="61">E481+G481+I481</f>
        <v>25866</v>
      </c>
      <c r="L481" s="20">
        <f t="shared" ref="L481:L496" si="62">F481+H481+J481</f>
        <v>13114062</v>
      </c>
      <c r="M481" s="18"/>
    </row>
    <row r="482" spans="1:13" x14ac:dyDescent="0.3">
      <c r="A482" s="18" t="s">
        <v>793</v>
      </c>
      <c r="B482" s="18" t="s">
        <v>250</v>
      </c>
      <c r="C482" s="19">
        <v>71</v>
      </c>
      <c r="D482" s="18" t="s">
        <v>103</v>
      </c>
      <c r="E482" s="19">
        <v>0</v>
      </c>
      <c r="F482" s="20">
        <f t="shared" si="58"/>
        <v>0</v>
      </c>
      <c r="G482" s="19">
        <v>12260</v>
      </c>
      <c r="H482" s="20">
        <f t="shared" si="59"/>
        <v>870460</v>
      </c>
      <c r="I482" s="19">
        <v>11324</v>
      </c>
      <c r="J482" s="20">
        <f t="shared" si="60"/>
        <v>804004</v>
      </c>
      <c r="K482" s="20">
        <f t="shared" si="61"/>
        <v>23584</v>
      </c>
      <c r="L482" s="20">
        <f t="shared" si="62"/>
        <v>1674464</v>
      </c>
      <c r="M482" s="18"/>
    </row>
    <row r="483" spans="1:13" x14ac:dyDescent="0.3">
      <c r="A483" s="18" t="s">
        <v>794</v>
      </c>
      <c r="B483" s="18" t="s">
        <v>795</v>
      </c>
      <c r="C483" s="21">
        <v>43.957999999999998</v>
      </c>
      <c r="D483" s="18" t="s">
        <v>632</v>
      </c>
      <c r="E483" s="19">
        <v>70734</v>
      </c>
      <c r="F483" s="20">
        <f t="shared" si="58"/>
        <v>3109325.1719999998</v>
      </c>
      <c r="G483" s="19">
        <v>518713</v>
      </c>
      <c r="H483" s="20">
        <f t="shared" si="59"/>
        <v>22801586.053999998</v>
      </c>
      <c r="I483" s="19">
        <v>87502</v>
      </c>
      <c r="J483" s="20">
        <f t="shared" si="60"/>
        <v>3846412.9159999997</v>
      </c>
      <c r="K483" s="20">
        <f t="shared" si="61"/>
        <v>676949</v>
      </c>
      <c r="L483" s="20">
        <f t="shared" si="62"/>
        <v>29757324.141999997</v>
      </c>
      <c r="M483" s="18"/>
    </row>
    <row r="484" spans="1:13" x14ac:dyDescent="0.3">
      <c r="A484" s="18" t="s">
        <v>796</v>
      </c>
      <c r="B484" s="18" t="s">
        <v>797</v>
      </c>
      <c r="C484" s="19">
        <v>845</v>
      </c>
      <c r="D484" s="18" t="s">
        <v>97</v>
      </c>
      <c r="E484" s="19">
        <v>4999</v>
      </c>
      <c r="F484" s="20">
        <f t="shared" si="58"/>
        <v>4224155</v>
      </c>
      <c r="G484" s="19">
        <v>16976</v>
      </c>
      <c r="H484" s="20">
        <f t="shared" si="59"/>
        <v>14344720</v>
      </c>
      <c r="I484" s="19">
        <v>2059</v>
      </c>
      <c r="J484" s="20">
        <f t="shared" si="60"/>
        <v>1739855</v>
      </c>
      <c r="K484" s="20">
        <f t="shared" si="61"/>
        <v>24034</v>
      </c>
      <c r="L484" s="20">
        <f t="shared" si="62"/>
        <v>20308730</v>
      </c>
      <c r="M484" s="18"/>
    </row>
    <row r="485" spans="1:13" x14ac:dyDescent="0.3">
      <c r="A485" s="18" t="s">
        <v>798</v>
      </c>
      <c r="B485" s="18" t="s">
        <v>475</v>
      </c>
      <c r="C485" s="19">
        <v>1267</v>
      </c>
      <c r="D485" s="18" t="s">
        <v>97</v>
      </c>
      <c r="E485" s="19">
        <v>8960</v>
      </c>
      <c r="F485" s="20">
        <f t="shared" si="58"/>
        <v>11352320</v>
      </c>
      <c r="G485" s="19">
        <v>30180</v>
      </c>
      <c r="H485" s="20">
        <f t="shared" si="59"/>
        <v>38238060</v>
      </c>
      <c r="I485" s="19">
        <v>2059</v>
      </c>
      <c r="J485" s="20">
        <f t="shared" si="60"/>
        <v>2608753</v>
      </c>
      <c r="K485" s="20">
        <f t="shared" si="61"/>
        <v>41199</v>
      </c>
      <c r="L485" s="20">
        <f t="shared" si="62"/>
        <v>52199133</v>
      </c>
      <c r="M485" s="18"/>
    </row>
    <row r="486" spans="1:13" x14ac:dyDescent="0.3">
      <c r="A486" s="18" t="s">
        <v>799</v>
      </c>
      <c r="B486" s="18" t="s">
        <v>252</v>
      </c>
      <c r="C486" s="19">
        <v>43</v>
      </c>
      <c r="D486" s="18" t="s">
        <v>97</v>
      </c>
      <c r="E486" s="19">
        <v>7073</v>
      </c>
      <c r="F486" s="20">
        <f t="shared" si="58"/>
        <v>304139</v>
      </c>
      <c r="G486" s="19">
        <v>18862</v>
      </c>
      <c r="H486" s="20">
        <f t="shared" si="59"/>
        <v>811066</v>
      </c>
      <c r="I486" s="19">
        <v>3603</v>
      </c>
      <c r="J486" s="20">
        <f t="shared" si="60"/>
        <v>154929</v>
      </c>
      <c r="K486" s="20">
        <f t="shared" si="61"/>
        <v>29538</v>
      </c>
      <c r="L486" s="20">
        <f t="shared" si="62"/>
        <v>1270134</v>
      </c>
      <c r="M486" s="18"/>
    </row>
    <row r="487" spans="1:13" x14ac:dyDescent="0.3">
      <c r="A487" s="18" t="s">
        <v>800</v>
      </c>
      <c r="B487" s="18" t="s">
        <v>801</v>
      </c>
      <c r="C487" s="19">
        <v>688</v>
      </c>
      <c r="D487" s="18" t="s">
        <v>97</v>
      </c>
      <c r="E487" s="19">
        <v>4244</v>
      </c>
      <c r="F487" s="20">
        <f t="shared" si="58"/>
        <v>2919872</v>
      </c>
      <c r="G487" s="19">
        <v>11317</v>
      </c>
      <c r="H487" s="20">
        <f t="shared" si="59"/>
        <v>7786096</v>
      </c>
      <c r="I487" s="19">
        <v>2059</v>
      </c>
      <c r="J487" s="20">
        <f t="shared" si="60"/>
        <v>1416592</v>
      </c>
      <c r="K487" s="20">
        <f t="shared" si="61"/>
        <v>17620</v>
      </c>
      <c r="L487" s="20">
        <f t="shared" si="62"/>
        <v>12122560</v>
      </c>
      <c r="M487" s="18"/>
    </row>
    <row r="488" spans="1:13" x14ac:dyDescent="0.3">
      <c r="A488" s="18" t="s">
        <v>802</v>
      </c>
      <c r="B488" s="18" t="s">
        <v>803</v>
      </c>
      <c r="C488" s="19">
        <v>5040</v>
      </c>
      <c r="D488" s="18" t="s">
        <v>97</v>
      </c>
      <c r="E488" s="19">
        <v>472</v>
      </c>
      <c r="F488" s="20">
        <f t="shared" si="58"/>
        <v>2378880</v>
      </c>
      <c r="G488" s="19">
        <v>943</v>
      </c>
      <c r="H488" s="20">
        <f t="shared" si="59"/>
        <v>4752720</v>
      </c>
      <c r="I488" s="19">
        <v>0</v>
      </c>
      <c r="J488" s="20">
        <f t="shared" si="60"/>
        <v>0</v>
      </c>
      <c r="K488" s="20">
        <f t="shared" si="61"/>
        <v>1415</v>
      </c>
      <c r="L488" s="20">
        <f t="shared" si="62"/>
        <v>7131600</v>
      </c>
      <c r="M488" s="18"/>
    </row>
    <row r="489" spans="1:13" x14ac:dyDescent="0.3">
      <c r="A489" s="18" t="s">
        <v>804</v>
      </c>
      <c r="B489" s="18" t="s">
        <v>805</v>
      </c>
      <c r="C489" s="19">
        <v>4362</v>
      </c>
      <c r="D489" s="18" t="s">
        <v>97</v>
      </c>
      <c r="E489" s="19">
        <v>472</v>
      </c>
      <c r="F489" s="20">
        <f t="shared" si="58"/>
        <v>2058864</v>
      </c>
      <c r="G489" s="19">
        <v>943</v>
      </c>
      <c r="H489" s="20">
        <f t="shared" si="59"/>
        <v>4113366</v>
      </c>
      <c r="I489" s="19">
        <v>0</v>
      </c>
      <c r="J489" s="20">
        <f t="shared" si="60"/>
        <v>0</v>
      </c>
      <c r="K489" s="20">
        <f t="shared" si="61"/>
        <v>1415</v>
      </c>
      <c r="L489" s="20">
        <f t="shared" si="62"/>
        <v>6172230</v>
      </c>
      <c r="M489" s="18"/>
    </row>
    <row r="490" spans="1:13" x14ac:dyDescent="0.3">
      <c r="A490" s="18" t="s">
        <v>806</v>
      </c>
      <c r="B490" s="18" t="s">
        <v>807</v>
      </c>
      <c r="C490" s="19">
        <v>33</v>
      </c>
      <c r="D490" s="18" t="s">
        <v>234</v>
      </c>
      <c r="E490" s="19">
        <v>9431</v>
      </c>
      <c r="F490" s="20">
        <f t="shared" si="58"/>
        <v>311223</v>
      </c>
      <c r="G490" s="19">
        <v>4904</v>
      </c>
      <c r="H490" s="20">
        <f t="shared" si="59"/>
        <v>161832</v>
      </c>
      <c r="I490" s="19">
        <v>0</v>
      </c>
      <c r="J490" s="20">
        <f t="shared" si="60"/>
        <v>0</v>
      </c>
      <c r="K490" s="20">
        <f t="shared" si="61"/>
        <v>14335</v>
      </c>
      <c r="L490" s="20">
        <f t="shared" si="62"/>
        <v>473055</v>
      </c>
      <c r="M490" s="18"/>
    </row>
    <row r="491" spans="1:13" x14ac:dyDescent="0.3">
      <c r="A491" s="18" t="s">
        <v>808</v>
      </c>
      <c r="B491" s="18" t="s">
        <v>809</v>
      </c>
      <c r="C491" s="19">
        <v>681</v>
      </c>
      <c r="D491" s="18" t="s">
        <v>97</v>
      </c>
      <c r="E491" s="19">
        <v>4329</v>
      </c>
      <c r="F491" s="20">
        <f t="shared" si="58"/>
        <v>2948049</v>
      </c>
      <c r="G491" s="19">
        <v>8677</v>
      </c>
      <c r="H491" s="20">
        <f t="shared" si="59"/>
        <v>5909037</v>
      </c>
      <c r="I491" s="19">
        <v>617</v>
      </c>
      <c r="J491" s="20">
        <f t="shared" si="60"/>
        <v>420177</v>
      </c>
      <c r="K491" s="20">
        <f t="shared" si="61"/>
        <v>13623</v>
      </c>
      <c r="L491" s="20">
        <f t="shared" si="62"/>
        <v>9277263</v>
      </c>
      <c r="M491" s="18"/>
    </row>
    <row r="492" spans="1:13" x14ac:dyDescent="0.3">
      <c r="A492" s="18" t="s">
        <v>810</v>
      </c>
      <c r="B492" s="18"/>
      <c r="C492" s="19">
        <v>681</v>
      </c>
      <c r="D492" s="18" t="s">
        <v>97</v>
      </c>
      <c r="E492" s="19">
        <v>1132</v>
      </c>
      <c r="F492" s="20">
        <f t="shared" si="58"/>
        <v>770892</v>
      </c>
      <c r="G492" s="19">
        <v>943</v>
      </c>
      <c r="H492" s="20">
        <f t="shared" si="59"/>
        <v>642183</v>
      </c>
      <c r="I492" s="19">
        <v>0</v>
      </c>
      <c r="J492" s="20">
        <f t="shared" si="60"/>
        <v>0</v>
      </c>
      <c r="K492" s="20">
        <f t="shared" si="61"/>
        <v>2075</v>
      </c>
      <c r="L492" s="20">
        <f t="shared" si="62"/>
        <v>1413075</v>
      </c>
      <c r="M492" s="18"/>
    </row>
    <row r="493" spans="1:13" x14ac:dyDescent="0.3">
      <c r="A493" s="18" t="s">
        <v>811</v>
      </c>
      <c r="B493" s="18" t="s">
        <v>812</v>
      </c>
      <c r="C493" s="19">
        <v>76</v>
      </c>
      <c r="D493" s="18" t="s">
        <v>97</v>
      </c>
      <c r="E493" s="19">
        <v>11789</v>
      </c>
      <c r="F493" s="20">
        <f t="shared" si="58"/>
        <v>895964</v>
      </c>
      <c r="G493" s="19">
        <v>9431</v>
      </c>
      <c r="H493" s="20">
        <f t="shared" si="59"/>
        <v>716756</v>
      </c>
      <c r="I493" s="19">
        <v>0</v>
      </c>
      <c r="J493" s="20">
        <f t="shared" si="60"/>
        <v>0</v>
      </c>
      <c r="K493" s="20">
        <f t="shared" si="61"/>
        <v>21220</v>
      </c>
      <c r="L493" s="20">
        <f t="shared" si="62"/>
        <v>1612720</v>
      </c>
      <c r="M493" s="18"/>
    </row>
    <row r="494" spans="1:13" x14ac:dyDescent="0.3">
      <c r="A494" s="18" t="s">
        <v>813</v>
      </c>
      <c r="B494" s="18" t="s">
        <v>814</v>
      </c>
      <c r="C494" s="19">
        <v>1561</v>
      </c>
      <c r="D494" s="18" t="s">
        <v>368</v>
      </c>
      <c r="E494" s="19">
        <v>12072</v>
      </c>
      <c r="F494" s="20">
        <f t="shared" si="58"/>
        <v>18844392</v>
      </c>
      <c r="G494" s="19">
        <v>2358</v>
      </c>
      <c r="H494" s="20">
        <f t="shared" si="59"/>
        <v>3680838</v>
      </c>
      <c r="I494" s="19">
        <v>0</v>
      </c>
      <c r="J494" s="20">
        <f t="shared" si="60"/>
        <v>0</v>
      </c>
      <c r="K494" s="20">
        <f t="shared" si="61"/>
        <v>14430</v>
      </c>
      <c r="L494" s="20">
        <f t="shared" si="62"/>
        <v>22525230</v>
      </c>
      <c r="M494" s="18"/>
    </row>
    <row r="495" spans="1:13" x14ac:dyDescent="0.3">
      <c r="A495" s="18" t="s">
        <v>815</v>
      </c>
      <c r="B495" s="18" t="s">
        <v>816</v>
      </c>
      <c r="C495" s="19">
        <v>635</v>
      </c>
      <c r="D495" s="18" t="s">
        <v>234</v>
      </c>
      <c r="E495" s="19">
        <v>3018</v>
      </c>
      <c r="F495" s="20">
        <f t="shared" si="58"/>
        <v>1916430</v>
      </c>
      <c r="G495" s="19">
        <v>6130</v>
      </c>
      <c r="H495" s="20">
        <f t="shared" si="59"/>
        <v>3892550</v>
      </c>
      <c r="I495" s="19">
        <v>0</v>
      </c>
      <c r="J495" s="20">
        <f t="shared" si="60"/>
        <v>0</v>
      </c>
      <c r="K495" s="20">
        <f t="shared" si="61"/>
        <v>9148</v>
      </c>
      <c r="L495" s="20">
        <f t="shared" si="62"/>
        <v>5808980</v>
      </c>
      <c r="M495" s="18"/>
    </row>
    <row r="496" spans="1:13" x14ac:dyDescent="0.3">
      <c r="A496" s="18" t="s">
        <v>817</v>
      </c>
      <c r="B496" s="18" t="s">
        <v>818</v>
      </c>
      <c r="C496" s="19">
        <v>153</v>
      </c>
      <c r="D496" s="18" t="s">
        <v>103</v>
      </c>
      <c r="E496" s="19">
        <v>0</v>
      </c>
      <c r="F496" s="20">
        <f t="shared" si="58"/>
        <v>0</v>
      </c>
      <c r="G496" s="19">
        <v>2358</v>
      </c>
      <c r="H496" s="20">
        <f t="shared" si="59"/>
        <v>360774</v>
      </c>
      <c r="I496" s="19">
        <v>3212</v>
      </c>
      <c r="J496" s="20">
        <f t="shared" si="60"/>
        <v>491436</v>
      </c>
      <c r="K496" s="20">
        <f t="shared" si="61"/>
        <v>5570</v>
      </c>
      <c r="L496" s="20">
        <f t="shared" si="62"/>
        <v>852210</v>
      </c>
      <c r="M496" s="18"/>
    </row>
    <row r="497" spans="1:13" x14ac:dyDescent="0.3">
      <c r="A497" s="18" t="s">
        <v>819</v>
      </c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spans="1:13" x14ac:dyDescent="0.3">
      <c r="A498" s="18" t="s">
        <v>820</v>
      </c>
      <c r="B498" s="18" t="s">
        <v>402</v>
      </c>
      <c r="C498" s="21">
        <v>45.277000000000001</v>
      </c>
      <c r="D498" s="18" t="s">
        <v>394</v>
      </c>
      <c r="E498" s="19">
        <v>0</v>
      </c>
      <c r="F498" s="20">
        <f>E498*C498</f>
        <v>0</v>
      </c>
      <c r="G498" s="19">
        <v>0</v>
      </c>
      <c r="H498" s="20">
        <f>G498*C498</f>
        <v>0</v>
      </c>
      <c r="I498" s="19">
        <v>20588</v>
      </c>
      <c r="J498" s="20">
        <f>I498*C498</f>
        <v>932162.87600000005</v>
      </c>
      <c r="K498" s="20">
        <f>E498+G498+I498</f>
        <v>20588</v>
      </c>
      <c r="L498" s="20">
        <f>F498+H498+J498</f>
        <v>932162.87600000005</v>
      </c>
      <c r="M498" s="18"/>
    </row>
    <row r="499" spans="1:13" x14ac:dyDescent="0.3">
      <c r="A499" s="18" t="s">
        <v>821</v>
      </c>
      <c r="B499" s="18" t="s">
        <v>404</v>
      </c>
      <c r="C499" s="21">
        <v>0.92300000000000004</v>
      </c>
      <c r="D499" s="18" t="s">
        <v>394</v>
      </c>
      <c r="E499" s="19">
        <v>-391481</v>
      </c>
      <c r="F499" s="20">
        <f>E499*C499</f>
        <v>-361336.96299999999</v>
      </c>
      <c r="G499" s="19">
        <v>0</v>
      </c>
      <c r="H499" s="20">
        <f>G499*C499</f>
        <v>0</v>
      </c>
      <c r="I499" s="19">
        <v>0</v>
      </c>
      <c r="J499" s="20">
        <f>I499*C499</f>
        <v>0</v>
      </c>
      <c r="K499" s="20">
        <f>E499+G499+I499</f>
        <v>-391481</v>
      </c>
      <c r="L499" s="20">
        <f>F499+H499+J499</f>
        <v>-361336.96299999999</v>
      </c>
      <c r="M499" s="18"/>
    </row>
    <row r="500" spans="1:13" x14ac:dyDescent="0.3">
      <c r="A500" s="18" t="s">
        <v>822</v>
      </c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spans="1:13" x14ac:dyDescent="0.3">
      <c r="A501" s="18" t="s">
        <v>406</v>
      </c>
      <c r="B501" s="18" t="s">
        <v>823</v>
      </c>
      <c r="C501" s="19">
        <v>512</v>
      </c>
      <c r="D501" s="18" t="s">
        <v>103</v>
      </c>
      <c r="E501" s="19">
        <v>92487</v>
      </c>
      <c r="F501" s="20">
        <f>E501*C501</f>
        <v>47353344</v>
      </c>
      <c r="G501" s="19">
        <v>0</v>
      </c>
      <c r="H501" s="20">
        <f>G501*C501</f>
        <v>0</v>
      </c>
      <c r="I501" s="19">
        <v>0</v>
      </c>
      <c r="J501" s="20">
        <f>I501*C501</f>
        <v>0</v>
      </c>
      <c r="K501" s="20">
        <f t="shared" ref="K501:L505" si="63">E501+G501+I501</f>
        <v>92487</v>
      </c>
      <c r="L501" s="20">
        <f t="shared" si="63"/>
        <v>47353344</v>
      </c>
      <c r="M501" s="18"/>
    </row>
    <row r="502" spans="1:13" x14ac:dyDescent="0.3">
      <c r="A502" s="18" t="s">
        <v>408</v>
      </c>
      <c r="B502" s="18" t="s">
        <v>824</v>
      </c>
      <c r="C502" s="19">
        <v>71</v>
      </c>
      <c r="D502" s="18" t="s">
        <v>103</v>
      </c>
      <c r="E502" s="19">
        <v>86126</v>
      </c>
      <c r="F502" s="20">
        <f>E502*C502</f>
        <v>6114946</v>
      </c>
      <c r="G502" s="19">
        <v>0</v>
      </c>
      <c r="H502" s="20">
        <f>G502*C502</f>
        <v>0</v>
      </c>
      <c r="I502" s="19">
        <v>0</v>
      </c>
      <c r="J502" s="20">
        <f>I502*C502</f>
        <v>0</v>
      </c>
      <c r="K502" s="20">
        <f t="shared" si="63"/>
        <v>86126</v>
      </c>
      <c r="L502" s="20">
        <f t="shared" si="63"/>
        <v>6114946</v>
      </c>
      <c r="M502" s="18"/>
    </row>
    <row r="503" spans="1:13" x14ac:dyDescent="0.3">
      <c r="A503" s="18" t="s">
        <v>389</v>
      </c>
      <c r="B503" s="18" t="s">
        <v>760</v>
      </c>
      <c r="C503" s="19">
        <v>160</v>
      </c>
      <c r="D503" s="18" t="s">
        <v>103</v>
      </c>
      <c r="E503" s="19">
        <v>16976</v>
      </c>
      <c r="F503" s="20">
        <f>E503*C503</f>
        <v>2716160</v>
      </c>
      <c r="G503" s="19">
        <v>0</v>
      </c>
      <c r="H503" s="20">
        <f>G503*C503</f>
        <v>0</v>
      </c>
      <c r="I503" s="19">
        <v>0</v>
      </c>
      <c r="J503" s="20">
        <f>I503*C503</f>
        <v>0</v>
      </c>
      <c r="K503" s="20">
        <f t="shared" si="63"/>
        <v>16976</v>
      </c>
      <c r="L503" s="20">
        <f t="shared" si="63"/>
        <v>2716160</v>
      </c>
      <c r="M503" s="18"/>
    </row>
    <row r="504" spans="1:13" x14ac:dyDescent="0.3">
      <c r="A504" s="18" t="s">
        <v>399</v>
      </c>
      <c r="B504" s="18" t="s">
        <v>825</v>
      </c>
      <c r="C504" s="21">
        <v>43.046999999999997</v>
      </c>
      <c r="D504" s="18" t="s">
        <v>826</v>
      </c>
      <c r="E504" s="19">
        <v>871096</v>
      </c>
      <c r="F504" s="20">
        <f>E504*C504</f>
        <v>37498069.511999995</v>
      </c>
      <c r="G504" s="19">
        <v>0</v>
      </c>
      <c r="H504" s="20">
        <f>G504*C504</f>
        <v>0</v>
      </c>
      <c r="I504" s="19">
        <v>0</v>
      </c>
      <c r="J504" s="20">
        <f>I504*C504</f>
        <v>0</v>
      </c>
      <c r="K504" s="20">
        <f t="shared" si="63"/>
        <v>871096</v>
      </c>
      <c r="L504" s="20">
        <f t="shared" si="63"/>
        <v>37498069.511999995</v>
      </c>
      <c r="M504" s="18"/>
    </row>
    <row r="505" spans="1:13" x14ac:dyDescent="0.3">
      <c r="A505" s="18" t="s">
        <v>827</v>
      </c>
      <c r="B505" s="18" t="s">
        <v>828</v>
      </c>
      <c r="C505" s="21">
        <v>2.23</v>
      </c>
      <c r="D505" s="18" t="s">
        <v>826</v>
      </c>
      <c r="E505" s="19">
        <v>871108</v>
      </c>
      <c r="F505" s="20">
        <f>E505*C505</f>
        <v>1942570.84</v>
      </c>
      <c r="G505" s="19">
        <v>0</v>
      </c>
      <c r="H505" s="20">
        <f>G505*C505</f>
        <v>0</v>
      </c>
      <c r="I505" s="19">
        <v>0</v>
      </c>
      <c r="J505" s="20">
        <f>I505*C505</f>
        <v>0</v>
      </c>
      <c r="K505" s="20">
        <f t="shared" si="63"/>
        <v>871108</v>
      </c>
      <c r="L505" s="20">
        <f t="shared" si="63"/>
        <v>1942570.84</v>
      </c>
      <c r="M505" s="18"/>
    </row>
    <row r="506" spans="1:13" x14ac:dyDescent="0.3">
      <c r="A506" s="18" t="s">
        <v>829</v>
      </c>
      <c r="B506" s="18" t="s">
        <v>830</v>
      </c>
      <c r="C506" s="19">
        <v>0</v>
      </c>
      <c r="D506" s="18" t="s">
        <v>826</v>
      </c>
      <c r="E506" s="18"/>
      <c r="F506" s="19">
        <v>0</v>
      </c>
      <c r="G506" s="18"/>
      <c r="H506" s="19">
        <v>0</v>
      </c>
      <c r="I506" s="18"/>
      <c r="J506" s="19">
        <v>0</v>
      </c>
      <c r="K506" s="18"/>
      <c r="L506" s="19">
        <v>0</v>
      </c>
      <c r="M506" s="18"/>
    </row>
    <row r="507" spans="1:13" x14ac:dyDescent="0.3">
      <c r="A507" s="18" t="s">
        <v>831</v>
      </c>
      <c r="B507" s="18" t="s">
        <v>832</v>
      </c>
      <c r="C507" s="19">
        <v>0</v>
      </c>
      <c r="D507" s="18" t="s">
        <v>826</v>
      </c>
      <c r="E507" s="18"/>
      <c r="F507" s="19">
        <v>0</v>
      </c>
      <c r="G507" s="18"/>
      <c r="H507" s="19">
        <v>0</v>
      </c>
      <c r="I507" s="18"/>
      <c r="J507" s="19">
        <v>0</v>
      </c>
      <c r="K507" s="18"/>
      <c r="L507" s="19">
        <v>0</v>
      </c>
      <c r="M507" s="18"/>
    </row>
    <row r="508" spans="1:13" x14ac:dyDescent="0.3">
      <c r="A508" s="18" t="s">
        <v>1255</v>
      </c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spans="1:13" x14ac:dyDescent="0.3">
      <c r="A509" s="18" t="s">
        <v>861</v>
      </c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spans="1:13" x14ac:dyDescent="0.3">
      <c r="A510" s="18" t="s">
        <v>215</v>
      </c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spans="1:13" x14ac:dyDescent="0.3">
      <c r="A511" s="18" t="s">
        <v>835</v>
      </c>
      <c r="B511" s="18" t="s">
        <v>220</v>
      </c>
      <c r="C511" s="19">
        <v>19</v>
      </c>
      <c r="D511" s="18" t="s">
        <v>103</v>
      </c>
      <c r="E511" s="19">
        <v>0</v>
      </c>
      <c r="F511" s="20">
        <f>E511*C511</f>
        <v>0</v>
      </c>
      <c r="G511" s="19">
        <v>65538</v>
      </c>
      <c r="H511" s="20">
        <f>G511*C511</f>
        <v>1245222</v>
      </c>
      <c r="I511" s="19">
        <v>0</v>
      </c>
      <c r="J511" s="20">
        <f>I511*C511</f>
        <v>0</v>
      </c>
      <c r="K511" s="20">
        <f>E511+G511+I511</f>
        <v>65538</v>
      </c>
      <c r="L511" s="20">
        <f>F511+H511+J511</f>
        <v>1245222</v>
      </c>
      <c r="M511" s="18"/>
    </row>
    <row r="512" spans="1:13" x14ac:dyDescent="0.3">
      <c r="A512" s="18" t="s">
        <v>221</v>
      </c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spans="1:13" x14ac:dyDescent="0.3">
      <c r="A513" s="18" t="s">
        <v>862</v>
      </c>
      <c r="B513" s="18" t="s">
        <v>220</v>
      </c>
      <c r="C513" s="19">
        <v>14</v>
      </c>
      <c r="D513" s="18" t="s">
        <v>103</v>
      </c>
      <c r="E513" s="19">
        <v>0</v>
      </c>
      <c r="F513" s="20">
        <f>E513*C513</f>
        <v>0</v>
      </c>
      <c r="G513" s="19">
        <v>28554</v>
      </c>
      <c r="H513" s="20">
        <f>G513*C513</f>
        <v>399756</v>
      </c>
      <c r="I513" s="19">
        <v>0</v>
      </c>
      <c r="J513" s="20">
        <f>I513*C513</f>
        <v>0</v>
      </c>
      <c r="K513" s="20">
        <f>E513+G513+I513</f>
        <v>28554</v>
      </c>
      <c r="L513" s="20">
        <f>F513+H513+J513</f>
        <v>399756</v>
      </c>
      <c r="M513" s="18"/>
    </row>
    <row r="514" spans="1:13" x14ac:dyDescent="0.3">
      <c r="A514" s="18" t="s">
        <v>227</v>
      </c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1:13" x14ac:dyDescent="0.3">
      <c r="A515" s="18" t="s">
        <v>228</v>
      </c>
      <c r="B515" s="18" t="s">
        <v>448</v>
      </c>
      <c r="C515" s="19">
        <v>5</v>
      </c>
      <c r="D515" s="18" t="s">
        <v>103</v>
      </c>
      <c r="E515" s="19">
        <v>0</v>
      </c>
      <c r="F515" s="20">
        <f>E515*C515</f>
        <v>0</v>
      </c>
      <c r="G515" s="19">
        <v>0</v>
      </c>
      <c r="H515" s="20">
        <f>G515*C515</f>
        <v>0</v>
      </c>
      <c r="I515" s="19">
        <v>11005</v>
      </c>
      <c r="J515" s="20">
        <f>I515*C515</f>
        <v>55025</v>
      </c>
      <c r="K515" s="20">
        <f>E515+G515+I515</f>
        <v>11005</v>
      </c>
      <c r="L515" s="20">
        <f>F515+H515+J515</f>
        <v>55025</v>
      </c>
      <c r="M515" s="18"/>
    </row>
    <row r="516" spans="1:13" x14ac:dyDescent="0.3">
      <c r="A516" s="18" t="s">
        <v>1218</v>
      </c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spans="1:13" x14ac:dyDescent="0.3">
      <c r="A517" s="18" t="s">
        <v>1139</v>
      </c>
      <c r="B517" s="18"/>
      <c r="C517" s="19">
        <v>1</v>
      </c>
      <c r="D517" s="18" t="s">
        <v>1140</v>
      </c>
      <c r="E517" s="19">
        <v>0</v>
      </c>
      <c r="F517" s="20">
        <f>E517*C517</f>
        <v>0</v>
      </c>
      <c r="G517" s="19">
        <v>0</v>
      </c>
      <c r="H517" s="20">
        <f>G517*C517</f>
        <v>0</v>
      </c>
      <c r="I517" s="19">
        <v>0</v>
      </c>
      <c r="J517" s="20">
        <f>I517*C517</f>
        <v>0</v>
      </c>
      <c r="K517" s="20">
        <f t="shared" ref="K517:L519" si="64">E517+G517+I517</f>
        <v>0</v>
      </c>
      <c r="L517" s="20">
        <f t="shared" si="64"/>
        <v>0</v>
      </c>
      <c r="M517" s="18"/>
    </row>
    <row r="518" spans="1:13" x14ac:dyDescent="0.3">
      <c r="A518" s="18" t="s">
        <v>1141</v>
      </c>
      <c r="B518" s="18"/>
      <c r="C518" s="19">
        <v>1</v>
      </c>
      <c r="D518" s="18" t="s">
        <v>1140</v>
      </c>
      <c r="E518" s="19">
        <v>0</v>
      </c>
      <c r="F518" s="20">
        <f>E518*C518</f>
        <v>0</v>
      </c>
      <c r="G518" s="19">
        <v>0</v>
      </c>
      <c r="H518" s="20">
        <f>G518*C518</f>
        <v>0</v>
      </c>
      <c r="I518" s="19">
        <v>0</v>
      </c>
      <c r="J518" s="20">
        <f>I518*C518</f>
        <v>0</v>
      </c>
      <c r="K518" s="20">
        <f t="shared" si="64"/>
        <v>0</v>
      </c>
      <c r="L518" s="20">
        <f t="shared" si="64"/>
        <v>0</v>
      </c>
      <c r="M518" s="18"/>
    </row>
    <row r="519" spans="1:13" x14ac:dyDescent="0.3">
      <c r="A519" s="18" t="s">
        <v>1142</v>
      </c>
      <c r="B519" s="18"/>
      <c r="C519" s="19">
        <v>1</v>
      </c>
      <c r="D519" s="18" t="s">
        <v>1143</v>
      </c>
      <c r="E519" s="19">
        <v>0</v>
      </c>
      <c r="F519" s="20">
        <f>E519*C519</f>
        <v>0</v>
      </c>
      <c r="G519" s="19">
        <v>0</v>
      </c>
      <c r="H519" s="20">
        <f>G519*C519</f>
        <v>0</v>
      </c>
      <c r="I519" s="19">
        <v>0</v>
      </c>
      <c r="J519" s="20">
        <f>I519*C519</f>
        <v>0</v>
      </c>
      <c r="K519" s="20">
        <f t="shared" si="64"/>
        <v>0</v>
      </c>
      <c r="L519" s="20">
        <f t="shared" si="64"/>
        <v>0</v>
      </c>
      <c r="M519" s="18"/>
    </row>
    <row r="520" spans="1:13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1:13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</sheetData>
  <mergeCells count="11">
    <mergeCell ref="A1:M1"/>
    <mergeCell ref="C4:C5"/>
    <mergeCell ref="A4:A5"/>
    <mergeCell ref="D4:D5"/>
    <mergeCell ref="K4:L4"/>
    <mergeCell ref="A2:M2"/>
    <mergeCell ref="G4:H4"/>
    <mergeCell ref="E4:F4"/>
    <mergeCell ref="I4:J4"/>
    <mergeCell ref="M4:M5"/>
    <mergeCell ref="B4:B5"/>
  </mergeCells>
  <phoneticPr fontId="1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5"/>
  <sheetViews>
    <sheetView workbookViewId="0">
      <pane ySplit="5" topLeftCell="A6" activePane="bottomLeft" state="frozen"/>
      <selection pane="bottomLeft"/>
    </sheetView>
  </sheetViews>
  <sheetFormatPr defaultRowHeight="16.5" x14ac:dyDescent="0.3"/>
  <cols>
    <col min="1" max="1" width="30" customWidth="1"/>
    <col min="2" max="2" width="24" customWidth="1"/>
    <col min="3" max="3" width="8" customWidth="1"/>
    <col min="4" max="4" width="6" customWidth="1"/>
    <col min="5" max="5" width="12" customWidth="1"/>
    <col min="6" max="6" width="14" customWidth="1"/>
    <col min="7" max="7" width="12" customWidth="1"/>
    <col min="8" max="8" width="14" customWidth="1"/>
    <col min="9" max="9" width="12" customWidth="1"/>
    <col min="10" max="10" width="14" customWidth="1"/>
    <col min="11" max="11" width="12" customWidth="1"/>
    <col min="12" max="12" width="15" customWidth="1"/>
    <col min="13" max="13" width="12" customWidth="1"/>
  </cols>
  <sheetData>
    <row r="1" spans="1:13" ht="20.25" x14ac:dyDescent="0.3">
      <c r="A1" s="129" t="s">
        <v>1256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</row>
    <row r="2" spans="1:13" x14ac:dyDescent="0.3">
      <c r="A2" s="127" t="s">
        <v>1257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4" spans="1:13" x14ac:dyDescent="0.3">
      <c r="A4" s="123" t="s">
        <v>44</v>
      </c>
      <c r="B4" s="123" t="s">
        <v>45</v>
      </c>
      <c r="C4" s="123" t="s">
        <v>46</v>
      </c>
      <c r="D4" s="123" t="s">
        <v>47</v>
      </c>
      <c r="E4" s="123" t="s">
        <v>23</v>
      </c>
      <c r="F4" s="126"/>
      <c r="G4" s="123" t="s">
        <v>24</v>
      </c>
      <c r="H4" s="126"/>
      <c r="I4" s="123" t="s">
        <v>25</v>
      </c>
      <c r="J4" s="126"/>
      <c r="K4" s="123" t="s">
        <v>48</v>
      </c>
      <c r="L4" s="126"/>
      <c r="M4" s="123" t="s">
        <v>49</v>
      </c>
    </row>
    <row r="5" spans="1:13" x14ac:dyDescent="0.3">
      <c r="A5" s="130"/>
      <c r="B5" s="130"/>
      <c r="C5" s="130"/>
      <c r="D5" s="130"/>
      <c r="E5" s="1" t="s">
        <v>50</v>
      </c>
      <c r="F5" s="1" t="s">
        <v>51</v>
      </c>
      <c r="G5" s="1" t="s">
        <v>50</v>
      </c>
      <c r="H5" s="1" t="s">
        <v>51</v>
      </c>
      <c r="I5" s="1" t="s">
        <v>50</v>
      </c>
      <c r="J5" s="1" t="s">
        <v>51</v>
      </c>
      <c r="K5" s="1" t="s">
        <v>50</v>
      </c>
      <c r="L5" s="1" t="s">
        <v>51</v>
      </c>
      <c r="M5" s="130"/>
    </row>
    <row r="6" spans="1:13" x14ac:dyDescent="0.3">
      <c r="A6" s="6" t="s">
        <v>35</v>
      </c>
      <c r="B6" s="9" t="s">
        <v>52</v>
      </c>
      <c r="C6" s="9">
        <v>1</v>
      </c>
      <c r="D6" s="9" t="s">
        <v>53</v>
      </c>
      <c r="E6" s="2">
        <v>431545080</v>
      </c>
      <c r="F6" s="2">
        <v>431545080</v>
      </c>
      <c r="G6" s="2">
        <v>366771499</v>
      </c>
      <c r="H6" s="2">
        <v>366771499</v>
      </c>
      <c r="I6" s="2">
        <v>1723831624</v>
      </c>
      <c r="J6" s="2">
        <v>1723831624</v>
      </c>
      <c r="K6" s="2">
        <v>2522148203</v>
      </c>
      <c r="L6" s="3">
        <v>2522148203</v>
      </c>
    </row>
    <row r="7" spans="1:13" x14ac:dyDescent="0.3">
      <c r="A7" s="10" t="s">
        <v>54</v>
      </c>
      <c r="F7" s="11">
        <f>F6</f>
        <v>431545080</v>
      </c>
      <c r="H7" s="11">
        <f>H6</f>
        <v>366771499</v>
      </c>
      <c r="J7" s="11">
        <f>J6</f>
        <v>1723831624</v>
      </c>
      <c r="L7" s="11">
        <f>L6</f>
        <v>2522148203</v>
      </c>
    </row>
    <row r="8" spans="1:13" x14ac:dyDescent="0.3">
      <c r="A8" s="12" t="s">
        <v>55</v>
      </c>
      <c r="B8" s="13" t="s">
        <v>56</v>
      </c>
    </row>
    <row r="9" spans="1:13" x14ac:dyDescent="0.3">
      <c r="A9" s="5" t="s">
        <v>57</v>
      </c>
      <c r="B9" s="14" t="s">
        <v>58</v>
      </c>
      <c r="J9" s="2">
        <f>ROUND(H7*0.197,0)</f>
        <v>72253985</v>
      </c>
      <c r="L9" s="2">
        <f t="shared" ref="L9:L20" si="0">J9</f>
        <v>72253985</v>
      </c>
    </row>
    <row r="10" spans="1:13" x14ac:dyDescent="0.3">
      <c r="A10" s="5" t="s">
        <v>59</v>
      </c>
      <c r="B10" s="14" t="s">
        <v>60</v>
      </c>
      <c r="J10" s="2">
        <f>ROUND((H7+J9)*0.0356,0)</f>
        <v>15629307</v>
      </c>
      <c r="L10" s="2">
        <f t="shared" si="0"/>
        <v>15629307</v>
      </c>
    </row>
    <row r="11" spans="1:13" x14ac:dyDescent="0.3">
      <c r="A11" s="5" t="s">
        <v>61</v>
      </c>
      <c r="B11" s="14" t="s">
        <v>62</v>
      </c>
      <c r="J11" s="2">
        <f>ROUND((H7+J9)*0.0115,0)</f>
        <v>5048793</v>
      </c>
      <c r="L11" s="2">
        <f t="shared" si="0"/>
        <v>5048793</v>
      </c>
    </row>
    <row r="12" spans="1:13" x14ac:dyDescent="0.3">
      <c r="A12" s="5" t="s">
        <v>63</v>
      </c>
      <c r="B12" s="14" t="s">
        <v>64</v>
      </c>
      <c r="J12" s="2">
        <f>ROUND(H7*0.03595,0)</f>
        <v>13185435</v>
      </c>
      <c r="L12" s="2">
        <f t="shared" si="0"/>
        <v>13185435</v>
      </c>
    </row>
    <row r="13" spans="1:13" x14ac:dyDescent="0.3">
      <c r="A13" s="5" t="s">
        <v>65</v>
      </c>
      <c r="B13" s="14" t="s">
        <v>66</v>
      </c>
      <c r="J13" s="2">
        <f>ROUND(H7*0.0475,0)</f>
        <v>17421646</v>
      </c>
      <c r="L13" s="2">
        <f t="shared" si="0"/>
        <v>17421646</v>
      </c>
    </row>
    <row r="14" spans="1:13" x14ac:dyDescent="0.3">
      <c r="A14" s="5" t="s">
        <v>67</v>
      </c>
      <c r="B14" s="14" t="s">
        <v>68</v>
      </c>
      <c r="J14" s="2">
        <f>ROUND(J12*0.1314,0)</f>
        <v>1732566</v>
      </c>
      <c r="L14" s="2">
        <f t="shared" si="0"/>
        <v>1732566</v>
      </c>
    </row>
    <row r="15" spans="1:13" x14ac:dyDescent="0.3">
      <c r="A15" s="5" t="s">
        <v>69</v>
      </c>
      <c r="B15" s="14" t="s">
        <v>70</v>
      </c>
      <c r="J15" s="2">
        <f>ROUND((F7+H7)*0.026,0)</f>
        <v>20756231</v>
      </c>
      <c r="L15" s="2">
        <f t="shared" si="0"/>
        <v>20756231</v>
      </c>
    </row>
    <row r="16" spans="1:13" x14ac:dyDescent="0.3">
      <c r="A16" s="5" t="s">
        <v>71</v>
      </c>
      <c r="B16" s="14" t="s">
        <v>72</v>
      </c>
      <c r="J16" s="2">
        <f>ROUND((F7+(H7+J9))*0.062,0)</f>
        <v>53975375</v>
      </c>
      <c r="L16" s="2">
        <f t="shared" si="0"/>
        <v>53975375</v>
      </c>
    </row>
    <row r="17" spans="1:12" x14ac:dyDescent="0.3">
      <c r="A17" s="5" t="s">
        <v>73</v>
      </c>
      <c r="B17" s="14" t="s">
        <v>74</v>
      </c>
      <c r="J17" s="2">
        <f>ROUND(L7*0.004,0)</f>
        <v>10088593</v>
      </c>
      <c r="L17" s="2">
        <f t="shared" si="0"/>
        <v>10088593</v>
      </c>
    </row>
    <row r="18" spans="1:12" x14ac:dyDescent="0.3">
      <c r="A18" s="5" t="s">
        <v>75</v>
      </c>
      <c r="B18" s="14" t="s">
        <v>76</v>
      </c>
      <c r="J18" s="2">
        <f>ROUND(L7*0.006,0)</f>
        <v>15132889</v>
      </c>
      <c r="L18" s="2">
        <f t="shared" si="0"/>
        <v>15132889</v>
      </c>
    </row>
    <row r="19" spans="1:12" x14ac:dyDescent="0.3">
      <c r="A19" s="5" t="s">
        <v>77</v>
      </c>
      <c r="B19" s="14" t="s">
        <v>78</v>
      </c>
      <c r="J19" s="2">
        <f>ROUND((L7+SUM(J9:J18))*0.05,0)</f>
        <v>137368651</v>
      </c>
      <c r="L19" s="2">
        <f t="shared" si="0"/>
        <v>137368651</v>
      </c>
    </row>
    <row r="20" spans="1:12" x14ac:dyDescent="0.3">
      <c r="A20" s="5" t="s">
        <v>79</v>
      </c>
      <c r="B20" s="14" t="s">
        <v>80</v>
      </c>
      <c r="J20" s="2">
        <f>ROUND(((H7+J9)+(J7+SUM(J9:J18)-J9)+J19)*0.07,0)</f>
        <v>171723762</v>
      </c>
      <c r="L20" s="2">
        <f t="shared" si="0"/>
        <v>171723762</v>
      </c>
    </row>
    <row r="21" spans="1:12" x14ac:dyDescent="0.3">
      <c r="A21" s="10" t="s">
        <v>81</v>
      </c>
      <c r="J21" s="11">
        <f>SUM(J9:J20)</f>
        <v>534317233</v>
      </c>
      <c r="L21" s="11">
        <f>SUM(L9:L20)</f>
        <v>534317233</v>
      </c>
    </row>
    <row r="22" spans="1:12" x14ac:dyDescent="0.3">
      <c r="A22" s="15" t="s">
        <v>82</v>
      </c>
      <c r="F22" s="4">
        <f>F7</f>
        <v>431545080</v>
      </c>
      <c r="H22" s="4">
        <f>H7</f>
        <v>366771499</v>
      </c>
      <c r="J22" s="4">
        <f>J7+J21</f>
        <v>2258148857</v>
      </c>
      <c r="L22" s="4">
        <f>L7+L21</f>
        <v>3056465436</v>
      </c>
    </row>
    <row r="23" spans="1:12" x14ac:dyDescent="0.3">
      <c r="A23" s="16" t="s">
        <v>40</v>
      </c>
      <c r="B23" s="14" t="s">
        <v>83</v>
      </c>
      <c r="J23" s="2">
        <f>ROUND(L22*0.1,0)</f>
        <v>305646544</v>
      </c>
      <c r="L23" s="2">
        <f>J23</f>
        <v>305646544</v>
      </c>
    </row>
    <row r="24" spans="1:12" x14ac:dyDescent="0.3">
      <c r="A24" s="10" t="s">
        <v>84</v>
      </c>
      <c r="L24" s="11">
        <f>L22+L23</f>
        <v>3362111980</v>
      </c>
    </row>
    <row r="26" spans="1:12" x14ac:dyDescent="0.3">
      <c r="A26" s="7" t="s">
        <v>85</v>
      </c>
    </row>
    <row r="27" spans="1:12" x14ac:dyDescent="0.3">
      <c r="A27" s="8" t="s">
        <v>39</v>
      </c>
      <c r="B27" s="8" t="s">
        <v>86</v>
      </c>
      <c r="F27" s="8" t="s">
        <v>87</v>
      </c>
      <c r="J27" s="8" t="s">
        <v>88</v>
      </c>
    </row>
    <row r="28" spans="1:12" x14ac:dyDescent="0.3">
      <c r="A28" s="5" t="s">
        <v>89</v>
      </c>
      <c r="B28" s="2">
        <v>2522148203</v>
      </c>
      <c r="F28" s="2">
        <f>L7</f>
        <v>2522148203</v>
      </c>
      <c r="J28" s="2">
        <f>F28-B28</f>
        <v>0</v>
      </c>
    </row>
    <row r="29" spans="1:12" x14ac:dyDescent="0.3">
      <c r="A29" s="5" t="s">
        <v>90</v>
      </c>
      <c r="B29" s="2">
        <v>534317233</v>
      </c>
      <c r="F29" s="2">
        <f>L21</f>
        <v>534317233</v>
      </c>
      <c r="J29" s="2">
        <f>F29-B29</f>
        <v>0</v>
      </c>
    </row>
    <row r="30" spans="1:12" x14ac:dyDescent="0.3">
      <c r="A30" s="5" t="s">
        <v>91</v>
      </c>
      <c r="B30" s="2">
        <v>3056465436</v>
      </c>
      <c r="F30" s="2">
        <f>L22</f>
        <v>3056465436</v>
      </c>
      <c r="J30" s="2">
        <f>F30-B30</f>
        <v>0</v>
      </c>
    </row>
    <row r="31" spans="1:12" x14ac:dyDescent="0.3">
      <c r="A31" s="5" t="s">
        <v>40</v>
      </c>
      <c r="B31" s="2">
        <v>305646544</v>
      </c>
      <c r="F31" s="2">
        <f>L23</f>
        <v>305646544</v>
      </c>
      <c r="J31" s="2">
        <f>F31-B31</f>
        <v>0</v>
      </c>
    </row>
    <row r="32" spans="1:12" x14ac:dyDescent="0.3">
      <c r="A32" s="5" t="s">
        <v>41</v>
      </c>
      <c r="B32" s="2">
        <v>3362111980</v>
      </c>
      <c r="F32" s="2">
        <f>L24</f>
        <v>3362111980</v>
      </c>
      <c r="J32" s="2">
        <f>F32-B32</f>
        <v>0</v>
      </c>
    </row>
    <row r="34" spans="1:13" ht="17.25" x14ac:dyDescent="0.3">
      <c r="A34" s="17" t="s">
        <v>92</v>
      </c>
    </row>
    <row r="35" spans="1:13" x14ac:dyDescent="0.3">
      <c r="A35" s="6" t="s">
        <v>35</v>
      </c>
    </row>
    <row r="36" spans="1:13" x14ac:dyDescent="0.3">
      <c r="A36" s="18" t="s">
        <v>93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x14ac:dyDescent="0.3">
      <c r="A37" s="18" t="s">
        <v>1258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x14ac:dyDescent="0.3">
      <c r="A38" s="18" t="s">
        <v>120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x14ac:dyDescent="0.3">
      <c r="A39" s="18" t="s">
        <v>121</v>
      </c>
      <c r="B39" s="18" t="s">
        <v>122</v>
      </c>
      <c r="C39" s="19">
        <v>140244</v>
      </c>
      <c r="D39" s="18" t="s">
        <v>103</v>
      </c>
      <c r="E39" s="19">
        <v>0</v>
      </c>
      <c r="F39" s="20">
        <f>E39*C39</f>
        <v>0</v>
      </c>
      <c r="G39" s="19">
        <v>186</v>
      </c>
      <c r="H39" s="20">
        <f>G39*C39</f>
        <v>26085384</v>
      </c>
      <c r="I39" s="19">
        <v>1136</v>
      </c>
      <c r="J39" s="20">
        <f>I39*C39</f>
        <v>159317184</v>
      </c>
      <c r="K39" s="20">
        <f>E39+G39+I39</f>
        <v>1322</v>
      </c>
      <c r="L39" s="20">
        <f>F39+H39+J39</f>
        <v>185402568</v>
      </c>
      <c r="M39" s="18"/>
    </row>
    <row r="40" spans="1:13" x14ac:dyDescent="0.3">
      <c r="A40" s="18" t="s">
        <v>123</v>
      </c>
      <c r="B40" s="18" t="s">
        <v>124</v>
      </c>
      <c r="C40" s="19">
        <v>0</v>
      </c>
      <c r="D40" s="18" t="s">
        <v>103</v>
      </c>
      <c r="E40" s="18"/>
      <c r="F40" s="19">
        <v>0</v>
      </c>
      <c r="G40" s="18"/>
      <c r="H40" s="19">
        <v>0</v>
      </c>
      <c r="I40" s="18"/>
      <c r="J40" s="19">
        <v>0</v>
      </c>
      <c r="K40" s="18"/>
      <c r="L40" s="19">
        <v>0</v>
      </c>
      <c r="M40" s="18"/>
    </row>
    <row r="41" spans="1:13" x14ac:dyDescent="0.3">
      <c r="A41" s="18" t="s">
        <v>125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x14ac:dyDescent="0.3">
      <c r="A42" s="18" t="s">
        <v>126</v>
      </c>
      <c r="B42" s="18" t="s">
        <v>127</v>
      </c>
      <c r="C42" s="19">
        <v>20870</v>
      </c>
      <c r="D42" s="18" t="s">
        <v>103</v>
      </c>
      <c r="E42" s="19">
        <v>0</v>
      </c>
      <c r="F42" s="20">
        <f>E42*C42</f>
        <v>0</v>
      </c>
      <c r="G42" s="19">
        <v>185</v>
      </c>
      <c r="H42" s="20">
        <f>G42*C42</f>
        <v>3860950</v>
      </c>
      <c r="I42" s="19">
        <v>1575</v>
      </c>
      <c r="J42" s="20">
        <f>I42*C42</f>
        <v>32870250</v>
      </c>
      <c r="K42" s="20">
        <f>E42+G42+I42</f>
        <v>1760</v>
      </c>
      <c r="L42" s="20">
        <f>F42+H42+J42</f>
        <v>36731200</v>
      </c>
      <c r="M42" s="18"/>
    </row>
    <row r="43" spans="1:13" x14ac:dyDescent="0.3">
      <c r="A43" s="18" t="s">
        <v>128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x14ac:dyDescent="0.3">
      <c r="A44" s="18" t="s">
        <v>129</v>
      </c>
      <c r="B44" s="18" t="s">
        <v>130</v>
      </c>
      <c r="C44" s="19">
        <v>11485</v>
      </c>
      <c r="D44" s="18" t="s">
        <v>103</v>
      </c>
      <c r="E44" s="19">
        <v>0</v>
      </c>
      <c r="F44" s="20">
        <f>E44*C44</f>
        <v>0</v>
      </c>
      <c r="G44" s="19">
        <v>328</v>
      </c>
      <c r="H44" s="20">
        <f>G44*C44</f>
        <v>3767080</v>
      </c>
      <c r="I44" s="19">
        <v>10475</v>
      </c>
      <c r="J44" s="20">
        <f>I44*C44</f>
        <v>120305375</v>
      </c>
      <c r="K44" s="20">
        <f>E44+G44+I44</f>
        <v>10803</v>
      </c>
      <c r="L44" s="20">
        <f>F44+H44+J44</f>
        <v>124072455</v>
      </c>
      <c r="M44" s="18"/>
    </row>
    <row r="45" spans="1:13" x14ac:dyDescent="0.3">
      <c r="A45" s="18" t="s">
        <v>131</v>
      </c>
      <c r="B45" s="18" t="s">
        <v>132</v>
      </c>
      <c r="C45" s="19">
        <v>0</v>
      </c>
      <c r="D45" s="18" t="s">
        <v>103</v>
      </c>
      <c r="E45" s="18"/>
      <c r="F45" s="19">
        <v>0</v>
      </c>
      <c r="G45" s="18"/>
      <c r="H45" s="19">
        <v>0</v>
      </c>
      <c r="I45" s="18"/>
      <c r="J45" s="19">
        <v>0</v>
      </c>
      <c r="K45" s="18"/>
      <c r="L45" s="19">
        <v>0</v>
      </c>
      <c r="M45" s="18"/>
    </row>
    <row r="46" spans="1:13" x14ac:dyDescent="0.3">
      <c r="A46" s="18" t="s">
        <v>133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x14ac:dyDescent="0.3">
      <c r="A47" s="18" t="s">
        <v>129</v>
      </c>
      <c r="B47" s="18" t="s">
        <v>134</v>
      </c>
      <c r="C47" s="19">
        <v>8203</v>
      </c>
      <c r="D47" s="18" t="s">
        <v>103</v>
      </c>
      <c r="E47" s="19">
        <v>0</v>
      </c>
      <c r="F47" s="20">
        <f>E47*C47</f>
        <v>0</v>
      </c>
      <c r="G47" s="19">
        <v>328</v>
      </c>
      <c r="H47" s="20">
        <f>G47*C47</f>
        <v>2690584</v>
      </c>
      <c r="I47" s="19">
        <v>6482</v>
      </c>
      <c r="J47" s="20">
        <f>I47*C47</f>
        <v>53171846</v>
      </c>
      <c r="K47" s="20">
        <f>E47+G47+I47</f>
        <v>6810</v>
      </c>
      <c r="L47" s="20">
        <f>F47+H47+J47</f>
        <v>55862430</v>
      </c>
      <c r="M47" s="18"/>
    </row>
    <row r="48" spans="1:13" x14ac:dyDescent="0.3">
      <c r="A48" s="18" t="s">
        <v>1259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x14ac:dyDescent="0.3">
      <c r="A49" s="18" t="s">
        <v>142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x14ac:dyDescent="0.3">
      <c r="A50" s="18" t="s">
        <v>143</v>
      </c>
      <c r="B50" s="18" t="s">
        <v>144</v>
      </c>
      <c r="C50" s="19">
        <v>72163</v>
      </c>
      <c r="D50" s="18" t="s">
        <v>103</v>
      </c>
      <c r="E50" s="19">
        <v>0</v>
      </c>
      <c r="F50" s="20">
        <f>E50*C50</f>
        <v>0</v>
      </c>
      <c r="G50" s="19">
        <v>128</v>
      </c>
      <c r="H50" s="20">
        <f>G50*C50</f>
        <v>9236864</v>
      </c>
      <c r="I50" s="19">
        <v>769</v>
      </c>
      <c r="J50" s="20">
        <f>I50*C50</f>
        <v>55493347</v>
      </c>
      <c r="K50" s="20">
        <f>E50+G50+I50</f>
        <v>897</v>
      </c>
      <c r="L50" s="20">
        <f>F50+H50+J50</f>
        <v>64730211</v>
      </c>
      <c r="M50" s="18"/>
    </row>
    <row r="51" spans="1:13" x14ac:dyDescent="0.3">
      <c r="A51" s="18" t="s">
        <v>1260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x14ac:dyDescent="0.3">
      <c r="A52" s="18" t="s">
        <v>1261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ht="24" x14ac:dyDescent="0.3">
      <c r="A53" s="18" t="s">
        <v>1262</v>
      </c>
      <c r="B53" s="18" t="s">
        <v>170</v>
      </c>
      <c r="C53" s="19">
        <v>60064</v>
      </c>
      <c r="D53" s="18" t="s">
        <v>103</v>
      </c>
      <c r="E53" s="19">
        <v>0</v>
      </c>
      <c r="F53" s="20">
        <f>E53*C53</f>
        <v>0</v>
      </c>
      <c r="G53" s="19">
        <v>383</v>
      </c>
      <c r="H53" s="20">
        <f>G53*C53</f>
        <v>23004512</v>
      </c>
      <c r="I53" s="19">
        <v>3002</v>
      </c>
      <c r="J53" s="20">
        <f>I53*C53</f>
        <v>180312128</v>
      </c>
      <c r="K53" s="20">
        <f t="shared" ref="K53:L56" si="1">E53+G53+I53</f>
        <v>3385</v>
      </c>
      <c r="L53" s="20">
        <f t="shared" si="1"/>
        <v>203316640</v>
      </c>
      <c r="M53" s="18"/>
    </row>
    <row r="54" spans="1:13" ht="24" x14ac:dyDescent="0.3">
      <c r="A54" s="18" t="s">
        <v>1263</v>
      </c>
      <c r="B54" s="18" t="s">
        <v>172</v>
      </c>
      <c r="C54" s="19">
        <v>25508</v>
      </c>
      <c r="D54" s="18" t="s">
        <v>103</v>
      </c>
      <c r="E54" s="19">
        <v>0</v>
      </c>
      <c r="F54" s="20">
        <f>E54*C54</f>
        <v>0</v>
      </c>
      <c r="G54" s="19">
        <v>385</v>
      </c>
      <c r="H54" s="20">
        <f>G54*C54</f>
        <v>9820580</v>
      </c>
      <c r="I54" s="19">
        <v>3002</v>
      </c>
      <c r="J54" s="20">
        <f>I54*C54</f>
        <v>76575016</v>
      </c>
      <c r="K54" s="20">
        <f t="shared" si="1"/>
        <v>3387</v>
      </c>
      <c r="L54" s="20">
        <f t="shared" si="1"/>
        <v>86395596</v>
      </c>
      <c r="M54" s="18"/>
    </row>
    <row r="55" spans="1:13" ht="24" x14ac:dyDescent="0.3">
      <c r="A55" s="18" t="s">
        <v>1264</v>
      </c>
      <c r="B55" s="18" t="s">
        <v>174</v>
      </c>
      <c r="C55" s="19">
        <v>14675</v>
      </c>
      <c r="D55" s="18" t="s">
        <v>103</v>
      </c>
      <c r="E55" s="19">
        <v>0</v>
      </c>
      <c r="F55" s="20">
        <f>E55*C55</f>
        <v>0</v>
      </c>
      <c r="G55" s="19">
        <v>384</v>
      </c>
      <c r="H55" s="20">
        <f>G55*C55</f>
        <v>5635200</v>
      </c>
      <c r="I55" s="19">
        <v>3008</v>
      </c>
      <c r="J55" s="20">
        <f>I55*C55</f>
        <v>44142400</v>
      </c>
      <c r="K55" s="20">
        <f t="shared" si="1"/>
        <v>3392</v>
      </c>
      <c r="L55" s="20">
        <f t="shared" si="1"/>
        <v>49777600</v>
      </c>
      <c r="M55" s="18"/>
    </row>
    <row r="56" spans="1:13" ht="24" x14ac:dyDescent="0.3">
      <c r="A56" s="18" t="s">
        <v>1265</v>
      </c>
      <c r="B56" s="18" t="s">
        <v>176</v>
      </c>
      <c r="C56" s="19">
        <v>11848</v>
      </c>
      <c r="D56" s="18" t="s">
        <v>103</v>
      </c>
      <c r="E56" s="19">
        <v>0</v>
      </c>
      <c r="F56" s="20">
        <f>E56*C56</f>
        <v>0</v>
      </c>
      <c r="G56" s="19">
        <v>394</v>
      </c>
      <c r="H56" s="20">
        <f>G56*C56</f>
        <v>4668112</v>
      </c>
      <c r="I56" s="19">
        <v>3087</v>
      </c>
      <c r="J56" s="20">
        <f>I56*C56</f>
        <v>36574776</v>
      </c>
      <c r="K56" s="20">
        <f t="shared" si="1"/>
        <v>3481</v>
      </c>
      <c r="L56" s="20">
        <f t="shared" si="1"/>
        <v>41242888</v>
      </c>
      <c r="M56" s="18"/>
    </row>
    <row r="57" spans="1:13" x14ac:dyDescent="0.3">
      <c r="A57" s="18" t="s">
        <v>1266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x14ac:dyDescent="0.3">
      <c r="A58" s="18" t="s">
        <v>1267</v>
      </c>
      <c r="B58" s="18" t="s">
        <v>1268</v>
      </c>
      <c r="C58" s="19">
        <v>1</v>
      </c>
      <c r="D58" s="18" t="s">
        <v>204</v>
      </c>
      <c r="E58" s="19">
        <v>602212</v>
      </c>
      <c r="F58" s="20">
        <f t="shared" ref="F58:F71" si="2">E58*C58</f>
        <v>602212</v>
      </c>
      <c r="G58" s="19">
        <v>102426</v>
      </c>
      <c r="H58" s="20">
        <f t="shared" ref="H58:H71" si="3">G58*C58</f>
        <v>102426</v>
      </c>
      <c r="I58" s="19">
        <v>114495</v>
      </c>
      <c r="J58" s="20">
        <f t="shared" ref="J58:J71" si="4">I58*C58</f>
        <v>114495</v>
      </c>
      <c r="K58" s="20">
        <f t="shared" ref="K58:K71" si="5">E58+G58+I58</f>
        <v>819133</v>
      </c>
      <c r="L58" s="20">
        <f t="shared" ref="L58:L71" si="6">F58+H58+J58</f>
        <v>819133</v>
      </c>
      <c r="M58" s="18"/>
    </row>
    <row r="59" spans="1:13" x14ac:dyDescent="0.3">
      <c r="A59" s="18" t="s">
        <v>1269</v>
      </c>
      <c r="B59" s="18" t="s">
        <v>1270</v>
      </c>
      <c r="C59" s="19">
        <v>7</v>
      </c>
      <c r="D59" s="18" t="s">
        <v>204</v>
      </c>
      <c r="E59" s="19">
        <v>166842</v>
      </c>
      <c r="F59" s="20">
        <f t="shared" si="2"/>
        <v>1167894</v>
      </c>
      <c r="G59" s="19">
        <v>81803</v>
      </c>
      <c r="H59" s="20">
        <f t="shared" si="3"/>
        <v>572621</v>
      </c>
      <c r="I59" s="19">
        <v>130851</v>
      </c>
      <c r="J59" s="20">
        <f t="shared" si="4"/>
        <v>915957</v>
      </c>
      <c r="K59" s="20">
        <f t="shared" si="5"/>
        <v>379496</v>
      </c>
      <c r="L59" s="20">
        <f t="shared" si="6"/>
        <v>2656472</v>
      </c>
      <c r="M59" s="18"/>
    </row>
    <row r="60" spans="1:13" x14ac:dyDescent="0.3">
      <c r="A60" s="18" t="s">
        <v>1271</v>
      </c>
      <c r="B60" s="18"/>
      <c r="C60" s="19">
        <v>1</v>
      </c>
      <c r="D60" s="18" t="s">
        <v>204</v>
      </c>
      <c r="E60" s="19">
        <v>37515</v>
      </c>
      <c r="F60" s="20">
        <f t="shared" si="2"/>
        <v>37515</v>
      </c>
      <c r="G60" s="19">
        <v>83915</v>
      </c>
      <c r="H60" s="20">
        <f t="shared" si="3"/>
        <v>83915</v>
      </c>
      <c r="I60" s="19">
        <v>0</v>
      </c>
      <c r="J60" s="20">
        <f t="shared" si="4"/>
        <v>0</v>
      </c>
      <c r="K60" s="20">
        <f t="shared" si="5"/>
        <v>121430</v>
      </c>
      <c r="L60" s="20">
        <f t="shared" si="6"/>
        <v>121430</v>
      </c>
      <c r="M60" s="18"/>
    </row>
    <row r="61" spans="1:13" x14ac:dyDescent="0.3">
      <c r="A61" s="18" t="s">
        <v>1272</v>
      </c>
      <c r="B61" s="18" t="s">
        <v>452</v>
      </c>
      <c r="C61" s="19">
        <v>15</v>
      </c>
      <c r="D61" s="18" t="s">
        <v>234</v>
      </c>
      <c r="E61" s="19">
        <v>4146</v>
      </c>
      <c r="F61" s="20">
        <f t="shared" si="2"/>
        <v>62190</v>
      </c>
      <c r="G61" s="19">
        <v>18955</v>
      </c>
      <c r="H61" s="20">
        <f t="shared" si="3"/>
        <v>284325</v>
      </c>
      <c r="I61" s="19">
        <v>0</v>
      </c>
      <c r="J61" s="20">
        <f t="shared" si="4"/>
        <v>0</v>
      </c>
      <c r="K61" s="20">
        <f t="shared" si="5"/>
        <v>23101</v>
      </c>
      <c r="L61" s="20">
        <f t="shared" si="6"/>
        <v>346515</v>
      </c>
      <c r="M61" s="18"/>
    </row>
    <row r="62" spans="1:13" x14ac:dyDescent="0.3">
      <c r="A62" s="18" t="s">
        <v>1273</v>
      </c>
      <c r="B62" s="18" t="s">
        <v>1274</v>
      </c>
      <c r="C62" s="19">
        <v>154</v>
      </c>
      <c r="D62" s="18" t="s">
        <v>234</v>
      </c>
      <c r="E62" s="19">
        <v>4146</v>
      </c>
      <c r="F62" s="20">
        <f t="shared" si="2"/>
        <v>638484</v>
      </c>
      <c r="G62" s="19">
        <v>21324</v>
      </c>
      <c r="H62" s="20">
        <f t="shared" si="3"/>
        <v>3283896</v>
      </c>
      <c r="I62" s="19">
        <v>6466</v>
      </c>
      <c r="J62" s="20">
        <f t="shared" si="4"/>
        <v>995764</v>
      </c>
      <c r="K62" s="20">
        <f t="shared" si="5"/>
        <v>31936</v>
      </c>
      <c r="L62" s="20">
        <f t="shared" si="6"/>
        <v>4918144</v>
      </c>
      <c r="M62" s="18"/>
    </row>
    <row r="63" spans="1:13" x14ac:dyDescent="0.3">
      <c r="A63" s="18" t="s">
        <v>1275</v>
      </c>
      <c r="B63" s="18" t="s">
        <v>507</v>
      </c>
      <c r="C63" s="19">
        <v>3</v>
      </c>
      <c r="D63" s="18" t="s">
        <v>371</v>
      </c>
      <c r="E63" s="19">
        <v>71081</v>
      </c>
      <c r="F63" s="20">
        <f t="shared" si="2"/>
        <v>213243</v>
      </c>
      <c r="G63" s="19">
        <v>0</v>
      </c>
      <c r="H63" s="20">
        <f t="shared" si="3"/>
        <v>0</v>
      </c>
      <c r="I63" s="19">
        <v>0</v>
      </c>
      <c r="J63" s="20">
        <f t="shared" si="4"/>
        <v>0</v>
      </c>
      <c r="K63" s="20">
        <f t="shared" si="5"/>
        <v>71081</v>
      </c>
      <c r="L63" s="20">
        <f t="shared" si="6"/>
        <v>213243</v>
      </c>
      <c r="M63" s="18"/>
    </row>
    <row r="64" spans="1:13" x14ac:dyDescent="0.3">
      <c r="A64" s="18" t="s">
        <v>1276</v>
      </c>
      <c r="B64" s="18" t="s">
        <v>1277</v>
      </c>
      <c r="C64" s="19">
        <v>26</v>
      </c>
      <c r="D64" s="18" t="s">
        <v>371</v>
      </c>
      <c r="E64" s="19">
        <v>513362</v>
      </c>
      <c r="F64" s="20">
        <f t="shared" si="2"/>
        <v>13347412</v>
      </c>
      <c r="G64" s="19">
        <v>0</v>
      </c>
      <c r="H64" s="20">
        <f t="shared" si="3"/>
        <v>0</v>
      </c>
      <c r="I64" s="19">
        <v>0</v>
      </c>
      <c r="J64" s="20">
        <f t="shared" si="4"/>
        <v>0</v>
      </c>
      <c r="K64" s="20">
        <f t="shared" si="5"/>
        <v>513362</v>
      </c>
      <c r="L64" s="20">
        <f t="shared" si="6"/>
        <v>13347412</v>
      </c>
      <c r="M64" s="18"/>
    </row>
    <row r="65" spans="1:13" ht="24" x14ac:dyDescent="0.3">
      <c r="A65" s="18" t="s">
        <v>1278</v>
      </c>
      <c r="B65" s="18" t="s">
        <v>238</v>
      </c>
      <c r="C65" s="19">
        <v>11</v>
      </c>
      <c r="D65" s="18" t="s">
        <v>234</v>
      </c>
      <c r="E65" s="19">
        <v>70094</v>
      </c>
      <c r="F65" s="20">
        <f t="shared" si="2"/>
        <v>771034</v>
      </c>
      <c r="G65" s="19">
        <v>37248</v>
      </c>
      <c r="H65" s="20">
        <f t="shared" si="3"/>
        <v>409728</v>
      </c>
      <c r="I65" s="19">
        <v>41638</v>
      </c>
      <c r="J65" s="20">
        <f t="shared" si="4"/>
        <v>458018</v>
      </c>
      <c r="K65" s="20">
        <f t="shared" si="5"/>
        <v>148980</v>
      </c>
      <c r="L65" s="20">
        <f t="shared" si="6"/>
        <v>1638780</v>
      </c>
      <c r="M65" s="18"/>
    </row>
    <row r="66" spans="1:13" x14ac:dyDescent="0.3">
      <c r="A66" s="18" t="s">
        <v>1279</v>
      </c>
      <c r="B66" s="18" t="s">
        <v>1280</v>
      </c>
      <c r="C66" s="19">
        <v>15</v>
      </c>
      <c r="D66" s="18" t="s">
        <v>234</v>
      </c>
      <c r="E66" s="19">
        <v>109494</v>
      </c>
      <c r="F66" s="20">
        <f t="shared" si="2"/>
        <v>1642410</v>
      </c>
      <c r="G66" s="19">
        <v>44426</v>
      </c>
      <c r="H66" s="20">
        <f t="shared" si="3"/>
        <v>666390</v>
      </c>
      <c r="I66" s="19">
        <v>45259</v>
      </c>
      <c r="J66" s="20">
        <f t="shared" si="4"/>
        <v>678885</v>
      </c>
      <c r="K66" s="20">
        <f t="shared" si="5"/>
        <v>199179</v>
      </c>
      <c r="L66" s="20">
        <f t="shared" si="6"/>
        <v>2987685</v>
      </c>
      <c r="M66" s="18"/>
    </row>
    <row r="67" spans="1:13" x14ac:dyDescent="0.3">
      <c r="A67" s="18" t="s">
        <v>1281</v>
      </c>
      <c r="B67" s="18" t="s">
        <v>1282</v>
      </c>
      <c r="C67" s="19">
        <v>35</v>
      </c>
      <c r="D67" s="18" t="s">
        <v>1283</v>
      </c>
      <c r="E67" s="19">
        <v>0</v>
      </c>
      <c r="F67" s="20">
        <f t="shared" si="2"/>
        <v>0</v>
      </c>
      <c r="G67" s="19">
        <v>0</v>
      </c>
      <c r="H67" s="20">
        <f t="shared" si="3"/>
        <v>0</v>
      </c>
      <c r="I67" s="19">
        <v>563335</v>
      </c>
      <c r="J67" s="20">
        <f t="shared" si="4"/>
        <v>19716725</v>
      </c>
      <c r="K67" s="20">
        <f t="shared" si="5"/>
        <v>563335</v>
      </c>
      <c r="L67" s="20">
        <f t="shared" si="6"/>
        <v>19716725</v>
      </c>
      <c r="M67" s="18"/>
    </row>
    <row r="68" spans="1:13" x14ac:dyDescent="0.3">
      <c r="A68" s="18" t="s">
        <v>1284</v>
      </c>
      <c r="B68" s="18" t="s">
        <v>1285</v>
      </c>
      <c r="C68" s="19">
        <v>74</v>
      </c>
      <c r="D68" s="18" t="s">
        <v>234</v>
      </c>
      <c r="E68" s="19">
        <v>18757</v>
      </c>
      <c r="F68" s="20">
        <f t="shared" si="2"/>
        <v>1388018</v>
      </c>
      <c r="G68" s="19">
        <v>15796</v>
      </c>
      <c r="H68" s="20">
        <f t="shared" si="3"/>
        <v>1168904</v>
      </c>
      <c r="I68" s="19">
        <v>3664</v>
      </c>
      <c r="J68" s="20">
        <f t="shared" si="4"/>
        <v>271136</v>
      </c>
      <c r="K68" s="20">
        <f t="shared" si="5"/>
        <v>38217</v>
      </c>
      <c r="L68" s="20">
        <f t="shared" si="6"/>
        <v>2828058</v>
      </c>
      <c r="M68" s="18"/>
    </row>
    <row r="69" spans="1:13" x14ac:dyDescent="0.3">
      <c r="A69" s="18" t="s">
        <v>1286</v>
      </c>
      <c r="B69" s="18" t="s">
        <v>1287</v>
      </c>
      <c r="C69" s="19">
        <v>2284</v>
      </c>
      <c r="D69" s="18" t="s">
        <v>97</v>
      </c>
      <c r="E69" s="19">
        <v>6585</v>
      </c>
      <c r="F69" s="20">
        <f t="shared" si="2"/>
        <v>15040140</v>
      </c>
      <c r="G69" s="19">
        <v>8391</v>
      </c>
      <c r="H69" s="20">
        <f t="shared" si="3"/>
        <v>19165044</v>
      </c>
      <c r="I69" s="19">
        <v>5388</v>
      </c>
      <c r="J69" s="20">
        <f t="shared" si="4"/>
        <v>12306192</v>
      </c>
      <c r="K69" s="20">
        <f t="shared" si="5"/>
        <v>20364</v>
      </c>
      <c r="L69" s="20">
        <f t="shared" si="6"/>
        <v>46511376</v>
      </c>
      <c r="M69" s="18"/>
    </row>
    <row r="70" spans="1:13" x14ac:dyDescent="0.3">
      <c r="A70" s="18" t="s">
        <v>1288</v>
      </c>
      <c r="B70" s="18" t="s">
        <v>1045</v>
      </c>
      <c r="C70" s="19">
        <v>6750</v>
      </c>
      <c r="D70" s="18" t="s">
        <v>193</v>
      </c>
      <c r="E70" s="19">
        <v>0</v>
      </c>
      <c r="F70" s="20">
        <f t="shared" si="2"/>
        <v>0</v>
      </c>
      <c r="G70" s="19">
        <v>0</v>
      </c>
      <c r="H70" s="20">
        <f t="shared" si="3"/>
        <v>0</v>
      </c>
      <c r="I70" s="19">
        <v>6788</v>
      </c>
      <c r="J70" s="20">
        <f t="shared" si="4"/>
        <v>45819000</v>
      </c>
      <c r="K70" s="20">
        <f t="shared" si="5"/>
        <v>6788</v>
      </c>
      <c r="L70" s="20">
        <f t="shared" si="6"/>
        <v>45819000</v>
      </c>
      <c r="M70" s="18"/>
    </row>
    <row r="71" spans="1:13" x14ac:dyDescent="0.3">
      <c r="A71" s="18" t="s">
        <v>1289</v>
      </c>
      <c r="B71" s="18" t="s">
        <v>116</v>
      </c>
      <c r="C71" s="19">
        <v>83</v>
      </c>
      <c r="D71" s="18" t="s">
        <v>97</v>
      </c>
      <c r="E71" s="19">
        <v>6121</v>
      </c>
      <c r="F71" s="20">
        <f t="shared" si="2"/>
        <v>508043</v>
      </c>
      <c r="G71" s="19">
        <v>6911</v>
      </c>
      <c r="H71" s="20">
        <f t="shared" si="3"/>
        <v>573613</v>
      </c>
      <c r="I71" s="19">
        <v>1077</v>
      </c>
      <c r="J71" s="20">
        <f t="shared" si="4"/>
        <v>89391</v>
      </c>
      <c r="K71" s="20">
        <f t="shared" si="5"/>
        <v>14109</v>
      </c>
      <c r="L71" s="20">
        <f t="shared" si="6"/>
        <v>1171047</v>
      </c>
      <c r="M71" s="18"/>
    </row>
    <row r="72" spans="1:13" x14ac:dyDescent="0.3">
      <c r="A72" s="18" t="s">
        <v>1290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x14ac:dyDescent="0.3">
      <c r="A73" s="18" t="s">
        <v>1267</v>
      </c>
      <c r="B73" s="18" t="s">
        <v>1268</v>
      </c>
      <c r="C73" s="19">
        <v>1</v>
      </c>
      <c r="D73" s="18" t="s">
        <v>204</v>
      </c>
      <c r="E73" s="19">
        <v>587783</v>
      </c>
      <c r="F73" s="20">
        <f t="shared" ref="F73:F89" si="7">E73*C73</f>
        <v>587783</v>
      </c>
      <c r="G73" s="19">
        <v>99972</v>
      </c>
      <c r="H73" s="20">
        <f t="shared" ref="H73:H89" si="8">G73*C73</f>
        <v>99972</v>
      </c>
      <c r="I73" s="19">
        <v>111751</v>
      </c>
      <c r="J73" s="20">
        <f t="shared" ref="J73:J89" si="9">I73*C73</f>
        <v>111751</v>
      </c>
      <c r="K73" s="20">
        <f t="shared" ref="K73:K89" si="10">E73+G73+I73</f>
        <v>799506</v>
      </c>
      <c r="L73" s="20">
        <f t="shared" ref="L73:L89" si="11">F73+H73+J73</f>
        <v>799506</v>
      </c>
      <c r="M73" s="18"/>
    </row>
    <row r="74" spans="1:13" x14ac:dyDescent="0.3">
      <c r="A74" s="18" t="s">
        <v>1269</v>
      </c>
      <c r="B74" s="18" t="s">
        <v>1270</v>
      </c>
      <c r="C74" s="19">
        <v>7</v>
      </c>
      <c r="D74" s="18" t="s">
        <v>204</v>
      </c>
      <c r="E74" s="19">
        <v>162845</v>
      </c>
      <c r="F74" s="20">
        <f t="shared" si="7"/>
        <v>1139915</v>
      </c>
      <c r="G74" s="19">
        <v>79842</v>
      </c>
      <c r="H74" s="20">
        <f t="shared" si="8"/>
        <v>558894</v>
      </c>
      <c r="I74" s="19">
        <v>127716</v>
      </c>
      <c r="J74" s="20">
        <f t="shared" si="9"/>
        <v>894012</v>
      </c>
      <c r="K74" s="20">
        <f t="shared" si="10"/>
        <v>370403</v>
      </c>
      <c r="L74" s="20">
        <f t="shared" si="11"/>
        <v>2592821</v>
      </c>
      <c r="M74" s="18"/>
    </row>
    <row r="75" spans="1:13" x14ac:dyDescent="0.3">
      <c r="A75" s="18" t="s">
        <v>1271</v>
      </c>
      <c r="B75" s="18"/>
      <c r="C75" s="19">
        <v>1</v>
      </c>
      <c r="D75" s="18" t="s">
        <v>204</v>
      </c>
      <c r="E75" s="19">
        <v>36616</v>
      </c>
      <c r="F75" s="20">
        <f t="shared" si="7"/>
        <v>36616</v>
      </c>
      <c r="G75" s="19">
        <v>81904</v>
      </c>
      <c r="H75" s="20">
        <f t="shared" si="8"/>
        <v>81904</v>
      </c>
      <c r="I75" s="19">
        <v>0</v>
      </c>
      <c r="J75" s="20">
        <f t="shared" si="9"/>
        <v>0</v>
      </c>
      <c r="K75" s="20">
        <f t="shared" si="10"/>
        <v>118520</v>
      </c>
      <c r="L75" s="20">
        <f t="shared" si="11"/>
        <v>118520</v>
      </c>
      <c r="M75" s="18"/>
    </row>
    <row r="76" spans="1:13" x14ac:dyDescent="0.3">
      <c r="A76" s="18" t="s">
        <v>1272</v>
      </c>
      <c r="B76" s="18" t="s">
        <v>452</v>
      </c>
      <c r="C76" s="19">
        <v>22</v>
      </c>
      <c r="D76" s="18" t="s">
        <v>234</v>
      </c>
      <c r="E76" s="19">
        <v>4047</v>
      </c>
      <c r="F76" s="20">
        <f t="shared" si="7"/>
        <v>89034</v>
      </c>
      <c r="G76" s="19">
        <v>18501</v>
      </c>
      <c r="H76" s="20">
        <f t="shared" si="8"/>
        <v>407022</v>
      </c>
      <c r="I76" s="19">
        <v>0</v>
      </c>
      <c r="J76" s="20">
        <f t="shared" si="9"/>
        <v>0</v>
      </c>
      <c r="K76" s="20">
        <f t="shared" si="10"/>
        <v>22548</v>
      </c>
      <c r="L76" s="20">
        <f t="shared" si="11"/>
        <v>496056</v>
      </c>
      <c r="M76" s="18"/>
    </row>
    <row r="77" spans="1:13" x14ac:dyDescent="0.3">
      <c r="A77" s="18" t="s">
        <v>1273</v>
      </c>
      <c r="B77" s="18" t="s">
        <v>1274</v>
      </c>
      <c r="C77" s="19">
        <v>152</v>
      </c>
      <c r="D77" s="18" t="s">
        <v>234</v>
      </c>
      <c r="E77" s="19">
        <v>4047</v>
      </c>
      <c r="F77" s="20">
        <f t="shared" si="7"/>
        <v>615144</v>
      </c>
      <c r="G77" s="19">
        <v>20813</v>
      </c>
      <c r="H77" s="20">
        <f t="shared" si="8"/>
        <v>3163576</v>
      </c>
      <c r="I77" s="19">
        <v>6311</v>
      </c>
      <c r="J77" s="20">
        <f t="shared" si="9"/>
        <v>959272</v>
      </c>
      <c r="K77" s="20">
        <f t="shared" si="10"/>
        <v>31171</v>
      </c>
      <c r="L77" s="20">
        <f t="shared" si="11"/>
        <v>4737992</v>
      </c>
      <c r="M77" s="18"/>
    </row>
    <row r="78" spans="1:13" x14ac:dyDescent="0.3">
      <c r="A78" s="18" t="s">
        <v>1275</v>
      </c>
      <c r="B78" s="18" t="s">
        <v>507</v>
      </c>
      <c r="C78" s="19">
        <v>4</v>
      </c>
      <c r="D78" s="18" t="s">
        <v>371</v>
      </c>
      <c r="E78" s="19">
        <v>69378</v>
      </c>
      <c r="F78" s="20">
        <f t="shared" si="7"/>
        <v>277512</v>
      </c>
      <c r="G78" s="19">
        <v>0</v>
      </c>
      <c r="H78" s="20">
        <f t="shared" si="8"/>
        <v>0</v>
      </c>
      <c r="I78" s="19">
        <v>0</v>
      </c>
      <c r="J78" s="20">
        <f t="shared" si="9"/>
        <v>0</v>
      </c>
      <c r="K78" s="20">
        <f t="shared" si="10"/>
        <v>69378</v>
      </c>
      <c r="L78" s="20">
        <f t="shared" si="11"/>
        <v>277512</v>
      </c>
      <c r="M78" s="18"/>
    </row>
    <row r="79" spans="1:13" x14ac:dyDescent="0.3">
      <c r="A79" s="18" t="s">
        <v>1276</v>
      </c>
      <c r="B79" s="18" t="s">
        <v>1277</v>
      </c>
      <c r="C79" s="19">
        <v>26</v>
      </c>
      <c r="D79" s="18" t="s">
        <v>371</v>
      </c>
      <c r="E79" s="19">
        <v>501061</v>
      </c>
      <c r="F79" s="20">
        <f t="shared" si="7"/>
        <v>13027586</v>
      </c>
      <c r="G79" s="19">
        <v>0</v>
      </c>
      <c r="H79" s="20">
        <f t="shared" si="8"/>
        <v>0</v>
      </c>
      <c r="I79" s="19">
        <v>0</v>
      </c>
      <c r="J79" s="20">
        <f t="shared" si="9"/>
        <v>0</v>
      </c>
      <c r="K79" s="20">
        <f t="shared" si="10"/>
        <v>501061</v>
      </c>
      <c r="L79" s="20">
        <f t="shared" si="11"/>
        <v>13027586</v>
      </c>
      <c r="M79" s="18"/>
    </row>
    <row r="80" spans="1:13" ht="24" x14ac:dyDescent="0.3">
      <c r="A80" s="18" t="s">
        <v>1278</v>
      </c>
      <c r="B80" s="18" t="s">
        <v>238</v>
      </c>
      <c r="C80" s="19">
        <v>10</v>
      </c>
      <c r="D80" s="18" t="s">
        <v>234</v>
      </c>
      <c r="E80" s="19">
        <v>68414</v>
      </c>
      <c r="F80" s="20">
        <f t="shared" si="7"/>
        <v>684140</v>
      </c>
      <c r="G80" s="19">
        <v>36356</v>
      </c>
      <c r="H80" s="20">
        <f t="shared" si="8"/>
        <v>363560</v>
      </c>
      <c r="I80" s="19">
        <v>40640</v>
      </c>
      <c r="J80" s="20">
        <f t="shared" si="9"/>
        <v>406400</v>
      </c>
      <c r="K80" s="20">
        <f t="shared" si="10"/>
        <v>145410</v>
      </c>
      <c r="L80" s="20">
        <f t="shared" si="11"/>
        <v>1454100</v>
      </c>
      <c r="M80" s="18"/>
    </row>
    <row r="81" spans="1:13" x14ac:dyDescent="0.3">
      <c r="A81" s="18" t="s">
        <v>1279</v>
      </c>
      <c r="B81" s="18" t="s">
        <v>1280</v>
      </c>
      <c r="C81" s="19">
        <v>15</v>
      </c>
      <c r="D81" s="18" t="s">
        <v>234</v>
      </c>
      <c r="E81" s="19">
        <v>106870</v>
      </c>
      <c r="F81" s="20">
        <f t="shared" si="7"/>
        <v>1603050</v>
      </c>
      <c r="G81" s="19">
        <v>43361</v>
      </c>
      <c r="H81" s="20">
        <f t="shared" si="8"/>
        <v>650415</v>
      </c>
      <c r="I81" s="19">
        <v>44175</v>
      </c>
      <c r="J81" s="20">
        <f t="shared" si="9"/>
        <v>662625</v>
      </c>
      <c r="K81" s="20">
        <f t="shared" si="10"/>
        <v>194406</v>
      </c>
      <c r="L81" s="20">
        <f t="shared" si="11"/>
        <v>2916090</v>
      </c>
      <c r="M81" s="18"/>
    </row>
    <row r="82" spans="1:13" x14ac:dyDescent="0.3">
      <c r="A82" s="18" t="s">
        <v>1281</v>
      </c>
      <c r="B82" s="18" t="s">
        <v>1282</v>
      </c>
      <c r="C82" s="19">
        <v>117</v>
      </c>
      <c r="D82" s="18" t="s">
        <v>1283</v>
      </c>
      <c r="E82" s="19">
        <v>0</v>
      </c>
      <c r="F82" s="20">
        <f t="shared" si="7"/>
        <v>0</v>
      </c>
      <c r="G82" s="19">
        <v>0</v>
      </c>
      <c r="H82" s="20">
        <f t="shared" si="8"/>
        <v>0</v>
      </c>
      <c r="I82" s="19">
        <v>549837</v>
      </c>
      <c r="J82" s="20">
        <f t="shared" si="9"/>
        <v>64330929</v>
      </c>
      <c r="K82" s="20">
        <f t="shared" si="10"/>
        <v>549837</v>
      </c>
      <c r="L82" s="20">
        <f t="shared" si="11"/>
        <v>64330929</v>
      </c>
      <c r="M82" s="18"/>
    </row>
    <row r="83" spans="1:13" x14ac:dyDescent="0.3">
      <c r="A83" s="18" t="s">
        <v>1291</v>
      </c>
      <c r="B83" s="18" t="s">
        <v>1292</v>
      </c>
      <c r="C83" s="19">
        <v>420</v>
      </c>
      <c r="D83" s="18" t="s">
        <v>1283</v>
      </c>
      <c r="E83" s="19">
        <v>0</v>
      </c>
      <c r="F83" s="20">
        <f t="shared" si="7"/>
        <v>0</v>
      </c>
      <c r="G83" s="19">
        <v>0</v>
      </c>
      <c r="H83" s="20">
        <f t="shared" si="8"/>
        <v>0</v>
      </c>
      <c r="I83" s="19">
        <v>549837</v>
      </c>
      <c r="J83" s="20">
        <f t="shared" si="9"/>
        <v>230931540</v>
      </c>
      <c r="K83" s="20">
        <f t="shared" si="10"/>
        <v>549837</v>
      </c>
      <c r="L83" s="20">
        <f t="shared" si="11"/>
        <v>230931540</v>
      </c>
      <c r="M83" s="18"/>
    </row>
    <row r="84" spans="1:13" x14ac:dyDescent="0.3">
      <c r="A84" s="18" t="s">
        <v>1293</v>
      </c>
      <c r="B84" s="18" t="s">
        <v>1294</v>
      </c>
      <c r="C84" s="19">
        <v>40</v>
      </c>
      <c r="D84" s="18" t="s">
        <v>97</v>
      </c>
      <c r="E84" s="19">
        <v>77086</v>
      </c>
      <c r="F84" s="20">
        <f t="shared" si="7"/>
        <v>3083440</v>
      </c>
      <c r="G84" s="19">
        <v>52997</v>
      </c>
      <c r="H84" s="20">
        <f t="shared" si="8"/>
        <v>2119880</v>
      </c>
      <c r="I84" s="19">
        <v>68365</v>
      </c>
      <c r="J84" s="20">
        <f t="shared" si="9"/>
        <v>2734600</v>
      </c>
      <c r="K84" s="20">
        <f t="shared" si="10"/>
        <v>198448</v>
      </c>
      <c r="L84" s="20">
        <f t="shared" si="11"/>
        <v>7937920</v>
      </c>
      <c r="M84" s="18"/>
    </row>
    <row r="85" spans="1:13" x14ac:dyDescent="0.3">
      <c r="A85" s="18" t="s">
        <v>1295</v>
      </c>
      <c r="B85" s="18" t="s">
        <v>1296</v>
      </c>
      <c r="C85" s="19">
        <v>182</v>
      </c>
      <c r="D85" s="18" t="s">
        <v>97</v>
      </c>
      <c r="E85" s="19">
        <v>77086</v>
      </c>
      <c r="F85" s="20">
        <f t="shared" si="7"/>
        <v>14029652</v>
      </c>
      <c r="G85" s="19">
        <v>52997</v>
      </c>
      <c r="H85" s="20">
        <f t="shared" si="8"/>
        <v>9645454</v>
      </c>
      <c r="I85" s="19">
        <v>68365</v>
      </c>
      <c r="J85" s="20">
        <f t="shared" si="9"/>
        <v>12442430</v>
      </c>
      <c r="K85" s="20">
        <f t="shared" si="10"/>
        <v>198448</v>
      </c>
      <c r="L85" s="20">
        <f t="shared" si="11"/>
        <v>36117536</v>
      </c>
      <c r="M85" s="18"/>
    </row>
    <row r="86" spans="1:13" x14ac:dyDescent="0.3">
      <c r="A86" s="18" t="s">
        <v>1297</v>
      </c>
      <c r="B86" s="18" t="s">
        <v>1285</v>
      </c>
      <c r="C86" s="19">
        <v>170</v>
      </c>
      <c r="D86" s="18" t="s">
        <v>234</v>
      </c>
      <c r="E86" s="19">
        <v>24089</v>
      </c>
      <c r="F86" s="20">
        <f t="shared" si="7"/>
        <v>4095130</v>
      </c>
      <c r="G86" s="19">
        <v>12527</v>
      </c>
      <c r="H86" s="20">
        <f t="shared" si="8"/>
        <v>2129590</v>
      </c>
      <c r="I86" s="19">
        <v>0</v>
      </c>
      <c r="J86" s="20">
        <f t="shared" si="9"/>
        <v>0</v>
      </c>
      <c r="K86" s="20">
        <f t="shared" si="10"/>
        <v>36616</v>
      </c>
      <c r="L86" s="20">
        <f t="shared" si="11"/>
        <v>6224720</v>
      </c>
      <c r="M86" s="18"/>
    </row>
    <row r="87" spans="1:13" x14ac:dyDescent="0.3">
      <c r="A87" s="18" t="s">
        <v>1286</v>
      </c>
      <c r="B87" s="18" t="s">
        <v>1287</v>
      </c>
      <c r="C87" s="19">
        <v>2823</v>
      </c>
      <c r="D87" s="18" t="s">
        <v>97</v>
      </c>
      <c r="E87" s="19">
        <v>6427</v>
      </c>
      <c r="F87" s="20">
        <f t="shared" si="7"/>
        <v>18143421</v>
      </c>
      <c r="G87" s="19">
        <v>6745</v>
      </c>
      <c r="H87" s="20">
        <f t="shared" si="8"/>
        <v>19041135</v>
      </c>
      <c r="I87" s="19">
        <v>5259</v>
      </c>
      <c r="J87" s="20">
        <f t="shared" si="9"/>
        <v>14846157</v>
      </c>
      <c r="K87" s="20">
        <f t="shared" si="10"/>
        <v>18431</v>
      </c>
      <c r="L87" s="20">
        <f t="shared" si="11"/>
        <v>52030713</v>
      </c>
      <c r="M87" s="18"/>
    </row>
    <row r="88" spans="1:13" x14ac:dyDescent="0.3">
      <c r="A88" s="18" t="s">
        <v>1288</v>
      </c>
      <c r="B88" s="18" t="s">
        <v>1045</v>
      </c>
      <c r="C88" s="19">
        <v>12357</v>
      </c>
      <c r="D88" s="18" t="s">
        <v>193</v>
      </c>
      <c r="E88" s="19">
        <v>0</v>
      </c>
      <c r="F88" s="20">
        <f t="shared" si="7"/>
        <v>0</v>
      </c>
      <c r="G88" s="19">
        <v>0</v>
      </c>
      <c r="H88" s="20">
        <f t="shared" si="8"/>
        <v>0</v>
      </c>
      <c r="I88" s="19">
        <v>6626</v>
      </c>
      <c r="J88" s="20">
        <f t="shared" si="9"/>
        <v>81877482</v>
      </c>
      <c r="K88" s="20">
        <f t="shared" si="10"/>
        <v>6626</v>
      </c>
      <c r="L88" s="20">
        <f t="shared" si="11"/>
        <v>81877482</v>
      </c>
      <c r="M88" s="18"/>
    </row>
    <row r="89" spans="1:13" x14ac:dyDescent="0.3">
      <c r="A89" s="18" t="s">
        <v>1289</v>
      </c>
      <c r="B89" s="18" t="s">
        <v>116</v>
      </c>
      <c r="C89" s="19">
        <v>1250</v>
      </c>
      <c r="D89" s="18" t="s">
        <v>97</v>
      </c>
      <c r="E89" s="19">
        <v>5974</v>
      </c>
      <c r="F89" s="20">
        <f t="shared" si="7"/>
        <v>7467500</v>
      </c>
      <c r="G89" s="19">
        <v>6745</v>
      </c>
      <c r="H89" s="20">
        <f t="shared" si="8"/>
        <v>8431250</v>
      </c>
      <c r="I89" s="19">
        <v>1051</v>
      </c>
      <c r="J89" s="20">
        <f t="shared" si="9"/>
        <v>1313750</v>
      </c>
      <c r="K89" s="20">
        <f t="shared" si="10"/>
        <v>13770</v>
      </c>
      <c r="L89" s="20">
        <f t="shared" si="11"/>
        <v>17212500</v>
      </c>
      <c r="M89" s="18"/>
    </row>
    <row r="90" spans="1:13" x14ac:dyDescent="0.3">
      <c r="A90" s="18" t="s">
        <v>1298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x14ac:dyDescent="0.3">
      <c r="A91" s="18" t="s">
        <v>1267</v>
      </c>
      <c r="B91" s="18" t="s">
        <v>1268</v>
      </c>
      <c r="C91" s="19">
        <v>1</v>
      </c>
      <c r="D91" s="18" t="s">
        <v>204</v>
      </c>
      <c r="E91" s="19">
        <v>574434</v>
      </c>
      <c r="F91" s="20">
        <f t="shared" ref="F91:F107" si="12">E91*C91</f>
        <v>574434</v>
      </c>
      <c r="G91" s="19">
        <v>97702</v>
      </c>
      <c r="H91" s="20">
        <f t="shared" ref="H91:H107" si="13">G91*C91</f>
        <v>97702</v>
      </c>
      <c r="I91" s="19">
        <v>109213</v>
      </c>
      <c r="J91" s="20">
        <f t="shared" ref="J91:J107" si="14">I91*C91</f>
        <v>109213</v>
      </c>
      <c r="K91" s="20">
        <f t="shared" ref="K91:K107" si="15">E91+G91+I91</f>
        <v>781349</v>
      </c>
      <c r="L91" s="20">
        <f t="shared" ref="L91:L107" si="16">F91+H91+J91</f>
        <v>781349</v>
      </c>
      <c r="M91" s="18"/>
    </row>
    <row r="92" spans="1:13" x14ac:dyDescent="0.3">
      <c r="A92" s="18" t="s">
        <v>1269</v>
      </c>
      <c r="B92" s="18" t="s">
        <v>1270</v>
      </c>
      <c r="C92" s="19">
        <v>3</v>
      </c>
      <c r="D92" s="18" t="s">
        <v>204</v>
      </c>
      <c r="E92" s="19">
        <v>159147</v>
      </c>
      <c r="F92" s="20">
        <f t="shared" si="12"/>
        <v>477441</v>
      </c>
      <c r="G92" s="19">
        <v>78029</v>
      </c>
      <c r="H92" s="20">
        <f t="shared" si="13"/>
        <v>234087</v>
      </c>
      <c r="I92" s="19">
        <v>124816</v>
      </c>
      <c r="J92" s="20">
        <f t="shared" si="14"/>
        <v>374448</v>
      </c>
      <c r="K92" s="20">
        <f t="shared" si="15"/>
        <v>361992</v>
      </c>
      <c r="L92" s="20">
        <f t="shared" si="16"/>
        <v>1085976</v>
      </c>
      <c r="M92" s="18"/>
    </row>
    <row r="93" spans="1:13" x14ac:dyDescent="0.3">
      <c r="A93" s="18" t="s">
        <v>1271</v>
      </c>
      <c r="B93" s="18"/>
      <c r="C93" s="19">
        <v>1</v>
      </c>
      <c r="D93" s="18" t="s">
        <v>204</v>
      </c>
      <c r="E93" s="19">
        <v>35785</v>
      </c>
      <c r="F93" s="20">
        <f t="shared" si="12"/>
        <v>35785</v>
      </c>
      <c r="G93" s="19">
        <v>80044</v>
      </c>
      <c r="H93" s="20">
        <f t="shared" si="13"/>
        <v>80044</v>
      </c>
      <c r="I93" s="19">
        <v>0</v>
      </c>
      <c r="J93" s="20">
        <f t="shared" si="14"/>
        <v>0</v>
      </c>
      <c r="K93" s="20">
        <f t="shared" si="15"/>
        <v>115829</v>
      </c>
      <c r="L93" s="20">
        <f t="shared" si="16"/>
        <v>115829</v>
      </c>
      <c r="M93" s="18"/>
    </row>
    <row r="94" spans="1:13" x14ac:dyDescent="0.3">
      <c r="A94" s="18" t="s">
        <v>1272</v>
      </c>
      <c r="B94" s="18" t="s">
        <v>452</v>
      </c>
      <c r="C94" s="19">
        <v>36</v>
      </c>
      <c r="D94" s="18" t="s">
        <v>234</v>
      </c>
      <c r="E94" s="19">
        <v>3955</v>
      </c>
      <c r="F94" s="20">
        <f t="shared" si="12"/>
        <v>142380</v>
      </c>
      <c r="G94" s="19">
        <v>18081</v>
      </c>
      <c r="H94" s="20">
        <f t="shared" si="13"/>
        <v>650916</v>
      </c>
      <c r="I94" s="19">
        <v>0</v>
      </c>
      <c r="J94" s="20">
        <f t="shared" si="14"/>
        <v>0</v>
      </c>
      <c r="K94" s="20">
        <f t="shared" si="15"/>
        <v>22036</v>
      </c>
      <c r="L94" s="20">
        <f t="shared" si="16"/>
        <v>793296</v>
      </c>
      <c r="M94" s="18"/>
    </row>
    <row r="95" spans="1:13" x14ac:dyDescent="0.3">
      <c r="A95" s="18" t="s">
        <v>1273</v>
      </c>
      <c r="B95" s="18" t="s">
        <v>1274</v>
      </c>
      <c r="C95" s="19">
        <v>70</v>
      </c>
      <c r="D95" s="18" t="s">
        <v>234</v>
      </c>
      <c r="E95" s="19">
        <v>3955</v>
      </c>
      <c r="F95" s="20">
        <f t="shared" si="12"/>
        <v>276850</v>
      </c>
      <c r="G95" s="19">
        <v>20341</v>
      </c>
      <c r="H95" s="20">
        <f t="shared" si="13"/>
        <v>1423870</v>
      </c>
      <c r="I95" s="19">
        <v>6168</v>
      </c>
      <c r="J95" s="20">
        <f t="shared" si="14"/>
        <v>431760</v>
      </c>
      <c r="K95" s="20">
        <f t="shared" si="15"/>
        <v>30464</v>
      </c>
      <c r="L95" s="20">
        <f t="shared" si="16"/>
        <v>2132480</v>
      </c>
      <c r="M95" s="18"/>
    </row>
    <row r="96" spans="1:13" x14ac:dyDescent="0.3">
      <c r="A96" s="18" t="s">
        <v>1275</v>
      </c>
      <c r="B96" s="18" t="s">
        <v>507</v>
      </c>
      <c r="C96" s="19">
        <v>6</v>
      </c>
      <c r="D96" s="18" t="s">
        <v>371</v>
      </c>
      <c r="E96" s="19">
        <v>67802</v>
      </c>
      <c r="F96" s="20">
        <f t="shared" si="12"/>
        <v>406812</v>
      </c>
      <c r="G96" s="19">
        <v>0</v>
      </c>
      <c r="H96" s="20">
        <f t="shared" si="13"/>
        <v>0</v>
      </c>
      <c r="I96" s="19">
        <v>0</v>
      </c>
      <c r="J96" s="20">
        <f t="shared" si="14"/>
        <v>0</v>
      </c>
      <c r="K96" s="20">
        <f t="shared" si="15"/>
        <v>67802</v>
      </c>
      <c r="L96" s="20">
        <f t="shared" si="16"/>
        <v>406812</v>
      </c>
      <c r="M96" s="18"/>
    </row>
    <row r="97" spans="1:13" x14ac:dyDescent="0.3">
      <c r="A97" s="18" t="s">
        <v>1276</v>
      </c>
      <c r="B97" s="18" t="s">
        <v>1277</v>
      </c>
      <c r="C97" s="19">
        <v>12</v>
      </c>
      <c r="D97" s="18" t="s">
        <v>371</v>
      </c>
      <c r="E97" s="19">
        <v>489681</v>
      </c>
      <c r="F97" s="20">
        <f t="shared" si="12"/>
        <v>5876172</v>
      </c>
      <c r="G97" s="19">
        <v>0</v>
      </c>
      <c r="H97" s="20">
        <f t="shared" si="13"/>
        <v>0</v>
      </c>
      <c r="I97" s="19">
        <v>0</v>
      </c>
      <c r="J97" s="20">
        <f t="shared" si="14"/>
        <v>0</v>
      </c>
      <c r="K97" s="20">
        <f t="shared" si="15"/>
        <v>489681</v>
      </c>
      <c r="L97" s="20">
        <f t="shared" si="16"/>
        <v>5876172</v>
      </c>
      <c r="M97" s="18"/>
    </row>
    <row r="98" spans="1:13" ht="24" x14ac:dyDescent="0.3">
      <c r="A98" s="18" t="s">
        <v>1278</v>
      </c>
      <c r="B98" s="18" t="s">
        <v>238</v>
      </c>
      <c r="C98" s="19">
        <v>12</v>
      </c>
      <c r="D98" s="18" t="s">
        <v>234</v>
      </c>
      <c r="E98" s="19">
        <v>66860</v>
      </c>
      <c r="F98" s="20">
        <f t="shared" si="12"/>
        <v>802320</v>
      </c>
      <c r="G98" s="19">
        <v>35530</v>
      </c>
      <c r="H98" s="20">
        <f t="shared" si="13"/>
        <v>426360</v>
      </c>
      <c r="I98" s="19">
        <v>39717</v>
      </c>
      <c r="J98" s="20">
        <f t="shared" si="14"/>
        <v>476604</v>
      </c>
      <c r="K98" s="20">
        <f t="shared" si="15"/>
        <v>142107</v>
      </c>
      <c r="L98" s="20">
        <f t="shared" si="16"/>
        <v>1705284</v>
      </c>
      <c r="M98" s="18"/>
    </row>
    <row r="99" spans="1:13" x14ac:dyDescent="0.3">
      <c r="A99" s="18" t="s">
        <v>1279</v>
      </c>
      <c r="B99" s="18" t="s">
        <v>1280</v>
      </c>
      <c r="C99" s="19">
        <v>8</v>
      </c>
      <c r="D99" s="18" t="s">
        <v>234</v>
      </c>
      <c r="E99" s="19">
        <v>104443</v>
      </c>
      <c r="F99" s="20">
        <f t="shared" si="12"/>
        <v>835544</v>
      </c>
      <c r="G99" s="19">
        <v>42376</v>
      </c>
      <c r="H99" s="20">
        <f t="shared" si="13"/>
        <v>339008</v>
      </c>
      <c r="I99" s="19">
        <v>43172</v>
      </c>
      <c r="J99" s="20">
        <f t="shared" si="14"/>
        <v>345376</v>
      </c>
      <c r="K99" s="20">
        <f t="shared" si="15"/>
        <v>189991</v>
      </c>
      <c r="L99" s="20">
        <f t="shared" si="16"/>
        <v>1519928</v>
      </c>
      <c r="M99" s="18"/>
    </row>
    <row r="100" spans="1:13" x14ac:dyDescent="0.3">
      <c r="A100" s="18" t="s">
        <v>1299</v>
      </c>
      <c r="B100" s="18" t="s">
        <v>1300</v>
      </c>
      <c r="C100" s="19">
        <v>120</v>
      </c>
      <c r="D100" s="18" t="s">
        <v>97</v>
      </c>
      <c r="E100" s="19">
        <v>75336</v>
      </c>
      <c r="F100" s="20">
        <f t="shared" si="12"/>
        <v>9040320</v>
      </c>
      <c r="G100" s="19">
        <v>51793</v>
      </c>
      <c r="H100" s="20">
        <f t="shared" si="13"/>
        <v>6215160</v>
      </c>
      <c r="I100" s="19">
        <v>66813</v>
      </c>
      <c r="J100" s="20">
        <f t="shared" si="14"/>
        <v>8017560</v>
      </c>
      <c r="K100" s="20">
        <f t="shared" si="15"/>
        <v>193942</v>
      </c>
      <c r="L100" s="20">
        <f t="shared" si="16"/>
        <v>23273040</v>
      </c>
      <c r="M100" s="18"/>
    </row>
    <row r="101" spans="1:13" x14ac:dyDescent="0.3">
      <c r="A101" s="18" t="s">
        <v>1301</v>
      </c>
      <c r="B101" s="18" t="s">
        <v>1302</v>
      </c>
      <c r="C101" s="19">
        <v>38</v>
      </c>
      <c r="D101" s="18" t="s">
        <v>97</v>
      </c>
      <c r="E101" s="19">
        <v>75336</v>
      </c>
      <c r="F101" s="20">
        <f t="shared" si="12"/>
        <v>2862768</v>
      </c>
      <c r="G101" s="19">
        <v>51793</v>
      </c>
      <c r="H101" s="20">
        <f t="shared" si="13"/>
        <v>1968134</v>
      </c>
      <c r="I101" s="19">
        <v>66813</v>
      </c>
      <c r="J101" s="20">
        <f t="shared" si="14"/>
        <v>2538894</v>
      </c>
      <c r="K101" s="20">
        <f t="shared" si="15"/>
        <v>193942</v>
      </c>
      <c r="L101" s="20">
        <f t="shared" si="16"/>
        <v>7369796</v>
      </c>
      <c r="M101" s="18"/>
    </row>
    <row r="102" spans="1:13" x14ac:dyDescent="0.3">
      <c r="A102" s="18" t="s">
        <v>1293</v>
      </c>
      <c r="B102" s="18" t="s">
        <v>1303</v>
      </c>
      <c r="C102" s="19">
        <v>175</v>
      </c>
      <c r="D102" s="18" t="s">
        <v>97</v>
      </c>
      <c r="E102" s="19">
        <v>75336</v>
      </c>
      <c r="F102" s="20">
        <f t="shared" si="12"/>
        <v>13183800</v>
      </c>
      <c r="G102" s="19">
        <v>51793</v>
      </c>
      <c r="H102" s="20">
        <f t="shared" si="13"/>
        <v>9063775</v>
      </c>
      <c r="I102" s="19">
        <v>66813</v>
      </c>
      <c r="J102" s="20">
        <f t="shared" si="14"/>
        <v>11692275</v>
      </c>
      <c r="K102" s="20">
        <f t="shared" si="15"/>
        <v>193942</v>
      </c>
      <c r="L102" s="20">
        <f t="shared" si="16"/>
        <v>33939850</v>
      </c>
      <c r="M102" s="18"/>
    </row>
    <row r="103" spans="1:13" x14ac:dyDescent="0.3">
      <c r="A103" s="18" t="s">
        <v>1304</v>
      </c>
      <c r="B103" s="18" t="s">
        <v>1285</v>
      </c>
      <c r="C103" s="19">
        <v>167</v>
      </c>
      <c r="D103" s="18" t="s">
        <v>234</v>
      </c>
      <c r="E103" s="19">
        <v>23542</v>
      </c>
      <c r="F103" s="20">
        <f t="shared" si="12"/>
        <v>3931514</v>
      </c>
      <c r="G103" s="19">
        <v>12242</v>
      </c>
      <c r="H103" s="20">
        <f t="shared" si="13"/>
        <v>2044414</v>
      </c>
      <c r="I103" s="19">
        <v>0</v>
      </c>
      <c r="J103" s="20">
        <f t="shared" si="14"/>
        <v>0</v>
      </c>
      <c r="K103" s="20">
        <f t="shared" si="15"/>
        <v>35784</v>
      </c>
      <c r="L103" s="20">
        <f t="shared" si="16"/>
        <v>5975928</v>
      </c>
      <c r="M103" s="18"/>
    </row>
    <row r="104" spans="1:13" x14ac:dyDescent="0.3">
      <c r="A104" s="18" t="s">
        <v>1305</v>
      </c>
      <c r="B104" s="18" t="s">
        <v>1203</v>
      </c>
      <c r="C104" s="19">
        <v>24</v>
      </c>
      <c r="D104" s="18" t="s">
        <v>1112</v>
      </c>
      <c r="E104" s="19">
        <v>277800</v>
      </c>
      <c r="F104" s="20">
        <f t="shared" si="12"/>
        <v>6667200</v>
      </c>
      <c r="G104" s="19">
        <v>51793</v>
      </c>
      <c r="H104" s="20">
        <f t="shared" si="13"/>
        <v>1243032</v>
      </c>
      <c r="I104" s="19">
        <v>29295</v>
      </c>
      <c r="J104" s="20">
        <f t="shared" si="14"/>
        <v>703080</v>
      </c>
      <c r="K104" s="20">
        <f t="shared" si="15"/>
        <v>358888</v>
      </c>
      <c r="L104" s="20">
        <f t="shared" si="16"/>
        <v>8613312</v>
      </c>
      <c r="M104" s="18"/>
    </row>
    <row r="105" spans="1:13" x14ac:dyDescent="0.3">
      <c r="A105" s="18" t="s">
        <v>1306</v>
      </c>
      <c r="B105" s="18" t="s">
        <v>1287</v>
      </c>
      <c r="C105" s="19">
        <v>1888</v>
      </c>
      <c r="D105" s="18" t="s">
        <v>97</v>
      </c>
      <c r="E105" s="19">
        <v>6281</v>
      </c>
      <c r="F105" s="20">
        <f t="shared" si="12"/>
        <v>11858528</v>
      </c>
      <c r="G105" s="19">
        <v>6592</v>
      </c>
      <c r="H105" s="20">
        <f t="shared" si="13"/>
        <v>12445696</v>
      </c>
      <c r="I105" s="19">
        <v>5139</v>
      </c>
      <c r="J105" s="20">
        <f t="shared" si="14"/>
        <v>9702432</v>
      </c>
      <c r="K105" s="20">
        <f t="shared" si="15"/>
        <v>18012</v>
      </c>
      <c r="L105" s="20">
        <f t="shared" si="16"/>
        <v>34006656</v>
      </c>
      <c r="M105" s="18"/>
    </row>
    <row r="106" spans="1:13" x14ac:dyDescent="0.3">
      <c r="A106" s="18" t="s">
        <v>1288</v>
      </c>
      <c r="B106" s="18" t="s">
        <v>1045</v>
      </c>
      <c r="C106" s="19">
        <v>10791</v>
      </c>
      <c r="D106" s="18" t="s">
        <v>193</v>
      </c>
      <c r="E106" s="19">
        <v>0</v>
      </c>
      <c r="F106" s="20">
        <f t="shared" si="12"/>
        <v>0</v>
      </c>
      <c r="G106" s="19">
        <v>0</v>
      </c>
      <c r="H106" s="20">
        <f t="shared" si="13"/>
        <v>0</v>
      </c>
      <c r="I106" s="19">
        <v>6475</v>
      </c>
      <c r="J106" s="20">
        <f t="shared" si="14"/>
        <v>69871725</v>
      </c>
      <c r="K106" s="20">
        <f t="shared" si="15"/>
        <v>6475</v>
      </c>
      <c r="L106" s="20">
        <f t="shared" si="16"/>
        <v>69871725</v>
      </c>
      <c r="M106" s="18"/>
    </row>
    <row r="107" spans="1:13" x14ac:dyDescent="0.3">
      <c r="A107" s="18" t="s">
        <v>1289</v>
      </c>
      <c r="B107" s="18" t="s">
        <v>116</v>
      </c>
      <c r="C107" s="19">
        <v>1060</v>
      </c>
      <c r="D107" s="18" t="s">
        <v>97</v>
      </c>
      <c r="E107" s="19">
        <v>5839</v>
      </c>
      <c r="F107" s="20">
        <f t="shared" si="12"/>
        <v>6189340</v>
      </c>
      <c r="G107" s="19">
        <v>6592</v>
      </c>
      <c r="H107" s="20">
        <f t="shared" si="13"/>
        <v>6987520</v>
      </c>
      <c r="I107" s="19">
        <v>1027</v>
      </c>
      <c r="J107" s="20">
        <f t="shared" si="14"/>
        <v>1088620</v>
      </c>
      <c r="K107" s="20">
        <f t="shared" si="15"/>
        <v>13458</v>
      </c>
      <c r="L107" s="20">
        <f t="shared" si="16"/>
        <v>14265480</v>
      </c>
      <c r="M107" s="18"/>
    </row>
    <row r="108" spans="1:13" x14ac:dyDescent="0.3">
      <c r="A108" s="18" t="s">
        <v>1307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1:13" x14ac:dyDescent="0.3">
      <c r="A109" s="18" t="s">
        <v>1267</v>
      </c>
      <c r="B109" s="18" t="s">
        <v>1268</v>
      </c>
      <c r="C109" s="19">
        <v>1</v>
      </c>
      <c r="D109" s="18" t="s">
        <v>204</v>
      </c>
      <c r="E109" s="19">
        <v>580940</v>
      </c>
      <c r="F109" s="20">
        <f t="shared" ref="F109:F123" si="17">E109*C109</f>
        <v>580940</v>
      </c>
      <c r="G109" s="19">
        <v>98808</v>
      </c>
      <c r="H109" s="20">
        <f t="shared" ref="H109:H123" si="18">G109*C109</f>
        <v>98808</v>
      </c>
      <c r="I109" s="19">
        <v>110451</v>
      </c>
      <c r="J109" s="20">
        <f t="shared" ref="J109:J123" si="19">I109*C109</f>
        <v>110451</v>
      </c>
      <c r="K109" s="20">
        <f t="shared" ref="K109:K123" si="20">E109+G109+I109</f>
        <v>790199</v>
      </c>
      <c r="L109" s="20">
        <f t="shared" ref="L109:L123" si="21">F109+H109+J109</f>
        <v>790199</v>
      </c>
      <c r="M109" s="18"/>
    </row>
    <row r="110" spans="1:13" x14ac:dyDescent="0.3">
      <c r="A110" s="18" t="s">
        <v>1269</v>
      </c>
      <c r="B110" s="18" t="s">
        <v>1270</v>
      </c>
      <c r="C110" s="19">
        <v>4</v>
      </c>
      <c r="D110" s="18" t="s">
        <v>204</v>
      </c>
      <c r="E110" s="19">
        <v>160949</v>
      </c>
      <c r="F110" s="20">
        <f t="shared" si="17"/>
        <v>643796</v>
      </c>
      <c r="G110" s="19">
        <v>78913</v>
      </c>
      <c r="H110" s="20">
        <f t="shared" si="18"/>
        <v>315652</v>
      </c>
      <c r="I110" s="19">
        <v>126229</v>
      </c>
      <c r="J110" s="20">
        <f t="shared" si="19"/>
        <v>504916</v>
      </c>
      <c r="K110" s="20">
        <f t="shared" si="20"/>
        <v>366091</v>
      </c>
      <c r="L110" s="20">
        <f t="shared" si="21"/>
        <v>1464364</v>
      </c>
      <c r="M110" s="18"/>
    </row>
    <row r="111" spans="1:13" x14ac:dyDescent="0.3">
      <c r="A111" s="18" t="s">
        <v>1271</v>
      </c>
      <c r="B111" s="18"/>
      <c r="C111" s="19">
        <v>1</v>
      </c>
      <c r="D111" s="18" t="s">
        <v>204</v>
      </c>
      <c r="E111" s="19">
        <v>36190</v>
      </c>
      <c r="F111" s="20">
        <f t="shared" si="17"/>
        <v>36190</v>
      </c>
      <c r="G111" s="19">
        <v>80951</v>
      </c>
      <c r="H111" s="20">
        <f t="shared" si="18"/>
        <v>80951</v>
      </c>
      <c r="I111" s="19">
        <v>0</v>
      </c>
      <c r="J111" s="20">
        <f t="shared" si="19"/>
        <v>0</v>
      </c>
      <c r="K111" s="20">
        <f t="shared" si="20"/>
        <v>117141</v>
      </c>
      <c r="L111" s="20">
        <f t="shared" si="21"/>
        <v>117141</v>
      </c>
      <c r="M111" s="18"/>
    </row>
    <row r="112" spans="1:13" x14ac:dyDescent="0.3">
      <c r="A112" s="18" t="s">
        <v>1272</v>
      </c>
      <c r="B112" s="18" t="s">
        <v>452</v>
      </c>
      <c r="C112" s="19">
        <v>20</v>
      </c>
      <c r="D112" s="18" t="s">
        <v>234</v>
      </c>
      <c r="E112" s="19">
        <v>4000</v>
      </c>
      <c r="F112" s="20">
        <f t="shared" si="17"/>
        <v>80000</v>
      </c>
      <c r="G112" s="19">
        <v>18285</v>
      </c>
      <c r="H112" s="20">
        <f t="shared" si="18"/>
        <v>365700</v>
      </c>
      <c r="I112" s="19">
        <v>0</v>
      </c>
      <c r="J112" s="20">
        <f t="shared" si="19"/>
        <v>0</v>
      </c>
      <c r="K112" s="20">
        <f t="shared" si="20"/>
        <v>22285</v>
      </c>
      <c r="L112" s="20">
        <f t="shared" si="21"/>
        <v>445700</v>
      </c>
      <c r="M112" s="18"/>
    </row>
    <row r="113" spans="1:13" x14ac:dyDescent="0.3">
      <c r="A113" s="18" t="s">
        <v>1273</v>
      </c>
      <c r="B113" s="18" t="s">
        <v>1274</v>
      </c>
      <c r="C113" s="19">
        <v>85</v>
      </c>
      <c r="D113" s="18" t="s">
        <v>234</v>
      </c>
      <c r="E113" s="19">
        <v>4000</v>
      </c>
      <c r="F113" s="20">
        <f t="shared" si="17"/>
        <v>340000</v>
      </c>
      <c r="G113" s="19">
        <v>20571</v>
      </c>
      <c r="H113" s="20">
        <f t="shared" si="18"/>
        <v>1748535</v>
      </c>
      <c r="I113" s="19">
        <v>6238</v>
      </c>
      <c r="J113" s="20">
        <f t="shared" si="19"/>
        <v>530230</v>
      </c>
      <c r="K113" s="20">
        <f t="shared" si="20"/>
        <v>30809</v>
      </c>
      <c r="L113" s="20">
        <f t="shared" si="21"/>
        <v>2618765</v>
      </c>
      <c r="M113" s="18"/>
    </row>
    <row r="114" spans="1:13" x14ac:dyDescent="0.3">
      <c r="A114" s="18" t="s">
        <v>1275</v>
      </c>
      <c r="B114" s="18" t="s">
        <v>507</v>
      </c>
      <c r="C114" s="19">
        <v>4</v>
      </c>
      <c r="D114" s="18" t="s">
        <v>371</v>
      </c>
      <c r="E114" s="19">
        <v>68570</v>
      </c>
      <c r="F114" s="20">
        <f t="shared" si="17"/>
        <v>274280</v>
      </c>
      <c r="G114" s="19">
        <v>0</v>
      </c>
      <c r="H114" s="20">
        <f t="shared" si="18"/>
        <v>0</v>
      </c>
      <c r="I114" s="19">
        <v>0</v>
      </c>
      <c r="J114" s="20">
        <f t="shared" si="19"/>
        <v>0</v>
      </c>
      <c r="K114" s="20">
        <f t="shared" si="20"/>
        <v>68570</v>
      </c>
      <c r="L114" s="20">
        <f t="shared" si="21"/>
        <v>274280</v>
      </c>
      <c r="M114" s="18"/>
    </row>
    <row r="115" spans="1:13" x14ac:dyDescent="0.3">
      <c r="A115" s="18" t="s">
        <v>1276</v>
      </c>
      <c r="B115" s="18" t="s">
        <v>1277</v>
      </c>
      <c r="C115" s="19">
        <v>15</v>
      </c>
      <c r="D115" s="18" t="s">
        <v>371</v>
      </c>
      <c r="E115" s="19">
        <v>495228</v>
      </c>
      <c r="F115" s="20">
        <f t="shared" si="17"/>
        <v>7428420</v>
      </c>
      <c r="G115" s="19">
        <v>0</v>
      </c>
      <c r="H115" s="20">
        <f t="shared" si="18"/>
        <v>0</v>
      </c>
      <c r="I115" s="19">
        <v>0</v>
      </c>
      <c r="J115" s="20">
        <f t="shared" si="19"/>
        <v>0</v>
      </c>
      <c r="K115" s="20">
        <f t="shared" si="20"/>
        <v>495228</v>
      </c>
      <c r="L115" s="20">
        <f t="shared" si="21"/>
        <v>7428420</v>
      </c>
      <c r="M115" s="18"/>
    </row>
    <row r="116" spans="1:13" ht="24" x14ac:dyDescent="0.3">
      <c r="A116" s="18" t="s">
        <v>1278</v>
      </c>
      <c r="B116" s="18" t="s">
        <v>238</v>
      </c>
      <c r="C116" s="19">
        <v>13</v>
      </c>
      <c r="D116" s="18" t="s">
        <v>234</v>
      </c>
      <c r="E116" s="19">
        <v>67618</v>
      </c>
      <c r="F116" s="20">
        <f t="shared" si="17"/>
        <v>879034</v>
      </c>
      <c r="G116" s="19">
        <v>35932</v>
      </c>
      <c r="H116" s="20">
        <f t="shared" si="18"/>
        <v>467116</v>
      </c>
      <c r="I116" s="19">
        <v>40167</v>
      </c>
      <c r="J116" s="20">
        <f t="shared" si="19"/>
        <v>522171</v>
      </c>
      <c r="K116" s="20">
        <f t="shared" si="20"/>
        <v>143717</v>
      </c>
      <c r="L116" s="20">
        <f t="shared" si="21"/>
        <v>1868321</v>
      </c>
      <c r="M116" s="18"/>
    </row>
    <row r="117" spans="1:13" x14ac:dyDescent="0.3">
      <c r="A117" s="18" t="s">
        <v>1279</v>
      </c>
      <c r="B117" s="18" t="s">
        <v>1280</v>
      </c>
      <c r="C117" s="19">
        <v>8</v>
      </c>
      <c r="D117" s="18" t="s">
        <v>234</v>
      </c>
      <c r="E117" s="19">
        <v>105626</v>
      </c>
      <c r="F117" s="20">
        <f t="shared" si="17"/>
        <v>845008</v>
      </c>
      <c r="G117" s="19">
        <v>42856</v>
      </c>
      <c r="H117" s="20">
        <f t="shared" si="18"/>
        <v>342848</v>
      </c>
      <c r="I117" s="19">
        <v>43661</v>
      </c>
      <c r="J117" s="20">
        <f t="shared" si="19"/>
        <v>349288</v>
      </c>
      <c r="K117" s="20">
        <f t="shared" si="20"/>
        <v>192143</v>
      </c>
      <c r="L117" s="20">
        <f t="shared" si="21"/>
        <v>1537144</v>
      </c>
      <c r="M117" s="18"/>
    </row>
    <row r="118" spans="1:13" x14ac:dyDescent="0.3">
      <c r="A118" s="18" t="s">
        <v>1299</v>
      </c>
      <c r="B118" s="18" t="s">
        <v>1308</v>
      </c>
      <c r="C118" s="19">
        <v>276</v>
      </c>
      <c r="D118" s="18" t="s">
        <v>97</v>
      </c>
      <c r="E118" s="19">
        <v>76189</v>
      </c>
      <c r="F118" s="20">
        <f t="shared" si="17"/>
        <v>21028164</v>
      </c>
      <c r="G118" s="19">
        <v>52380</v>
      </c>
      <c r="H118" s="20">
        <f t="shared" si="18"/>
        <v>14456880</v>
      </c>
      <c r="I118" s="19">
        <v>67570</v>
      </c>
      <c r="J118" s="20">
        <f t="shared" si="19"/>
        <v>18649320</v>
      </c>
      <c r="K118" s="20">
        <f t="shared" si="20"/>
        <v>196139</v>
      </c>
      <c r="L118" s="20">
        <f t="shared" si="21"/>
        <v>54134364</v>
      </c>
      <c r="M118" s="18"/>
    </row>
    <row r="119" spans="1:13" x14ac:dyDescent="0.3">
      <c r="A119" s="18" t="s">
        <v>1284</v>
      </c>
      <c r="B119" s="18" t="s">
        <v>1285</v>
      </c>
      <c r="C119" s="19">
        <v>200</v>
      </c>
      <c r="D119" s="18" t="s">
        <v>234</v>
      </c>
      <c r="E119" s="19">
        <v>23809</v>
      </c>
      <c r="F119" s="20">
        <f t="shared" si="17"/>
        <v>4761800</v>
      </c>
      <c r="G119" s="19">
        <v>12381</v>
      </c>
      <c r="H119" s="20">
        <f t="shared" si="18"/>
        <v>2476200</v>
      </c>
      <c r="I119" s="19">
        <v>0</v>
      </c>
      <c r="J119" s="20">
        <f t="shared" si="19"/>
        <v>0</v>
      </c>
      <c r="K119" s="20">
        <f t="shared" si="20"/>
        <v>36190</v>
      </c>
      <c r="L119" s="20">
        <f t="shared" si="21"/>
        <v>7238000</v>
      </c>
      <c r="M119" s="18"/>
    </row>
    <row r="120" spans="1:13" x14ac:dyDescent="0.3">
      <c r="A120" s="18" t="s">
        <v>1309</v>
      </c>
      <c r="B120" s="18" t="s">
        <v>1203</v>
      </c>
      <c r="C120" s="19">
        <v>17</v>
      </c>
      <c r="D120" s="18" t="s">
        <v>1112</v>
      </c>
      <c r="E120" s="19">
        <v>280947</v>
      </c>
      <c r="F120" s="20">
        <f t="shared" si="17"/>
        <v>4776099</v>
      </c>
      <c r="G120" s="19">
        <v>52380</v>
      </c>
      <c r="H120" s="20">
        <f t="shared" si="18"/>
        <v>890460</v>
      </c>
      <c r="I120" s="19">
        <v>29627</v>
      </c>
      <c r="J120" s="20">
        <f t="shared" si="19"/>
        <v>503659</v>
      </c>
      <c r="K120" s="20">
        <f t="shared" si="20"/>
        <v>362954</v>
      </c>
      <c r="L120" s="20">
        <f t="shared" si="21"/>
        <v>6170218</v>
      </c>
      <c r="M120" s="18"/>
    </row>
    <row r="121" spans="1:13" x14ac:dyDescent="0.3">
      <c r="A121" s="18" t="s">
        <v>1310</v>
      </c>
      <c r="B121" s="18" t="s">
        <v>1287</v>
      </c>
      <c r="C121" s="19">
        <v>1855</v>
      </c>
      <c r="D121" s="18" t="s">
        <v>97</v>
      </c>
      <c r="E121" s="19">
        <v>6353</v>
      </c>
      <c r="F121" s="20">
        <f t="shared" si="17"/>
        <v>11784815</v>
      </c>
      <c r="G121" s="19">
        <v>6667</v>
      </c>
      <c r="H121" s="20">
        <f t="shared" si="18"/>
        <v>12367285</v>
      </c>
      <c r="I121" s="19">
        <v>5197</v>
      </c>
      <c r="J121" s="20">
        <f t="shared" si="19"/>
        <v>9640435</v>
      </c>
      <c r="K121" s="20">
        <f t="shared" si="20"/>
        <v>18217</v>
      </c>
      <c r="L121" s="20">
        <f t="shared" si="21"/>
        <v>33792535</v>
      </c>
      <c r="M121" s="18"/>
    </row>
    <row r="122" spans="1:13" x14ac:dyDescent="0.3">
      <c r="A122" s="18" t="s">
        <v>1311</v>
      </c>
      <c r="B122" s="18" t="s">
        <v>1045</v>
      </c>
      <c r="C122" s="19">
        <v>7038</v>
      </c>
      <c r="D122" s="18" t="s">
        <v>193</v>
      </c>
      <c r="E122" s="19">
        <v>0</v>
      </c>
      <c r="F122" s="20">
        <f t="shared" si="17"/>
        <v>0</v>
      </c>
      <c r="G122" s="19">
        <v>0</v>
      </c>
      <c r="H122" s="20">
        <f t="shared" si="18"/>
        <v>0</v>
      </c>
      <c r="I122" s="19">
        <v>6549</v>
      </c>
      <c r="J122" s="20">
        <f t="shared" si="19"/>
        <v>46091862</v>
      </c>
      <c r="K122" s="20">
        <f t="shared" si="20"/>
        <v>6549</v>
      </c>
      <c r="L122" s="20">
        <f t="shared" si="21"/>
        <v>46091862</v>
      </c>
      <c r="M122" s="18"/>
    </row>
    <row r="123" spans="1:13" x14ac:dyDescent="0.3">
      <c r="A123" s="18" t="s">
        <v>1312</v>
      </c>
      <c r="B123" s="18" t="s">
        <v>116</v>
      </c>
      <c r="C123" s="19">
        <v>710</v>
      </c>
      <c r="D123" s="18" t="s">
        <v>97</v>
      </c>
      <c r="E123" s="19">
        <v>5905</v>
      </c>
      <c r="F123" s="20">
        <f t="shared" si="17"/>
        <v>4192550</v>
      </c>
      <c r="G123" s="19">
        <v>6667</v>
      </c>
      <c r="H123" s="20">
        <f t="shared" si="18"/>
        <v>4733570</v>
      </c>
      <c r="I123" s="19">
        <v>1039</v>
      </c>
      <c r="J123" s="20">
        <f t="shared" si="19"/>
        <v>737690</v>
      </c>
      <c r="K123" s="20">
        <f t="shared" si="20"/>
        <v>13611</v>
      </c>
      <c r="L123" s="20">
        <f t="shared" si="21"/>
        <v>9663810</v>
      </c>
      <c r="M123" s="18"/>
    </row>
    <row r="124" spans="1:13" x14ac:dyDescent="0.3">
      <c r="A124" s="18" t="s">
        <v>1313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 x14ac:dyDescent="0.3">
      <c r="A125" s="18" t="s">
        <v>1267</v>
      </c>
      <c r="B125" s="18" t="s">
        <v>1268</v>
      </c>
      <c r="C125" s="19">
        <v>1</v>
      </c>
      <c r="D125" s="18" t="s">
        <v>204</v>
      </c>
      <c r="E125" s="19">
        <v>570955</v>
      </c>
      <c r="F125" s="20">
        <f t="shared" ref="F125:F139" si="22">E125*C125</f>
        <v>570955</v>
      </c>
      <c r="G125" s="19">
        <v>97110</v>
      </c>
      <c r="H125" s="20">
        <f t="shared" ref="H125:H139" si="23">G125*C125</f>
        <v>97110</v>
      </c>
      <c r="I125" s="19">
        <v>108552</v>
      </c>
      <c r="J125" s="20">
        <f t="shared" ref="J125:J139" si="24">I125*C125</f>
        <v>108552</v>
      </c>
      <c r="K125" s="20">
        <f t="shared" ref="K125:K139" si="25">E125+G125+I125</f>
        <v>776617</v>
      </c>
      <c r="L125" s="20">
        <f t="shared" ref="L125:L139" si="26">F125+H125+J125</f>
        <v>776617</v>
      </c>
      <c r="M125" s="18"/>
    </row>
    <row r="126" spans="1:13" x14ac:dyDescent="0.3">
      <c r="A126" s="18" t="s">
        <v>1269</v>
      </c>
      <c r="B126" s="18" t="s">
        <v>1270</v>
      </c>
      <c r="C126" s="19">
        <v>3</v>
      </c>
      <c r="D126" s="18" t="s">
        <v>204</v>
      </c>
      <c r="E126" s="19">
        <v>158183</v>
      </c>
      <c r="F126" s="20">
        <f t="shared" si="22"/>
        <v>474549</v>
      </c>
      <c r="G126" s="19">
        <v>77557</v>
      </c>
      <c r="H126" s="20">
        <f t="shared" si="23"/>
        <v>232671</v>
      </c>
      <c r="I126" s="19">
        <v>124060</v>
      </c>
      <c r="J126" s="20">
        <f t="shared" si="24"/>
        <v>372180</v>
      </c>
      <c r="K126" s="20">
        <f t="shared" si="25"/>
        <v>359800</v>
      </c>
      <c r="L126" s="20">
        <f t="shared" si="26"/>
        <v>1079400</v>
      </c>
      <c r="M126" s="18"/>
    </row>
    <row r="127" spans="1:13" x14ac:dyDescent="0.3">
      <c r="A127" s="18" t="s">
        <v>1271</v>
      </c>
      <c r="B127" s="18"/>
      <c r="C127" s="19">
        <v>1</v>
      </c>
      <c r="D127" s="18" t="s">
        <v>204</v>
      </c>
      <c r="E127" s="19">
        <v>35568</v>
      </c>
      <c r="F127" s="20">
        <f t="shared" si="22"/>
        <v>35568</v>
      </c>
      <c r="G127" s="19">
        <v>79559</v>
      </c>
      <c r="H127" s="20">
        <f t="shared" si="23"/>
        <v>79559</v>
      </c>
      <c r="I127" s="19">
        <v>0</v>
      </c>
      <c r="J127" s="20">
        <f t="shared" si="24"/>
        <v>0</v>
      </c>
      <c r="K127" s="20">
        <f t="shared" si="25"/>
        <v>115127</v>
      </c>
      <c r="L127" s="20">
        <f t="shared" si="26"/>
        <v>115127</v>
      </c>
      <c r="M127" s="18"/>
    </row>
    <row r="128" spans="1:13" x14ac:dyDescent="0.3">
      <c r="A128" s="18" t="s">
        <v>1272</v>
      </c>
      <c r="B128" s="18" t="s">
        <v>452</v>
      </c>
      <c r="C128" s="19">
        <v>15</v>
      </c>
      <c r="D128" s="18" t="s">
        <v>234</v>
      </c>
      <c r="E128" s="19">
        <v>3931</v>
      </c>
      <c r="F128" s="20">
        <f t="shared" si="22"/>
        <v>58965</v>
      </c>
      <c r="G128" s="19">
        <v>17971</v>
      </c>
      <c r="H128" s="20">
        <f t="shared" si="23"/>
        <v>269565</v>
      </c>
      <c r="I128" s="19">
        <v>0</v>
      </c>
      <c r="J128" s="20">
        <f t="shared" si="24"/>
        <v>0</v>
      </c>
      <c r="K128" s="20">
        <f t="shared" si="25"/>
        <v>21902</v>
      </c>
      <c r="L128" s="20">
        <f t="shared" si="26"/>
        <v>328530</v>
      </c>
      <c r="M128" s="18"/>
    </row>
    <row r="129" spans="1:13" x14ac:dyDescent="0.3">
      <c r="A129" s="18" t="s">
        <v>1273</v>
      </c>
      <c r="B129" s="18" t="s">
        <v>1274</v>
      </c>
      <c r="C129" s="19">
        <v>72</v>
      </c>
      <c r="D129" s="18" t="s">
        <v>234</v>
      </c>
      <c r="E129" s="19">
        <v>3931</v>
      </c>
      <c r="F129" s="20">
        <f t="shared" si="22"/>
        <v>283032</v>
      </c>
      <c r="G129" s="19">
        <v>20217</v>
      </c>
      <c r="H129" s="20">
        <f t="shared" si="23"/>
        <v>1455624</v>
      </c>
      <c r="I129" s="19">
        <v>6130</v>
      </c>
      <c r="J129" s="20">
        <f t="shared" si="24"/>
        <v>441360</v>
      </c>
      <c r="K129" s="20">
        <f t="shared" si="25"/>
        <v>30278</v>
      </c>
      <c r="L129" s="20">
        <f t="shared" si="26"/>
        <v>2180016</v>
      </c>
      <c r="M129" s="18"/>
    </row>
    <row r="130" spans="1:13" x14ac:dyDescent="0.3">
      <c r="A130" s="18" t="s">
        <v>1275</v>
      </c>
      <c r="B130" s="18" t="s">
        <v>507</v>
      </c>
      <c r="C130" s="19">
        <v>3</v>
      </c>
      <c r="D130" s="18" t="s">
        <v>371</v>
      </c>
      <c r="E130" s="19">
        <v>67391</v>
      </c>
      <c r="F130" s="20">
        <f t="shared" si="22"/>
        <v>202173</v>
      </c>
      <c r="G130" s="19">
        <v>0</v>
      </c>
      <c r="H130" s="20">
        <f t="shared" si="23"/>
        <v>0</v>
      </c>
      <c r="I130" s="19">
        <v>0</v>
      </c>
      <c r="J130" s="20">
        <f t="shared" si="24"/>
        <v>0</v>
      </c>
      <c r="K130" s="20">
        <f t="shared" si="25"/>
        <v>67391</v>
      </c>
      <c r="L130" s="20">
        <f t="shared" si="26"/>
        <v>202173</v>
      </c>
      <c r="M130" s="18"/>
    </row>
    <row r="131" spans="1:13" x14ac:dyDescent="0.3">
      <c r="A131" s="18" t="s">
        <v>1276</v>
      </c>
      <c r="B131" s="18" t="s">
        <v>1277</v>
      </c>
      <c r="C131" s="19">
        <v>12</v>
      </c>
      <c r="D131" s="18" t="s">
        <v>371</v>
      </c>
      <c r="E131" s="19">
        <v>486716</v>
      </c>
      <c r="F131" s="20">
        <f t="shared" si="22"/>
        <v>5840592</v>
      </c>
      <c r="G131" s="19">
        <v>0</v>
      </c>
      <c r="H131" s="20">
        <f t="shared" si="23"/>
        <v>0</v>
      </c>
      <c r="I131" s="19">
        <v>0</v>
      </c>
      <c r="J131" s="20">
        <f t="shared" si="24"/>
        <v>0</v>
      </c>
      <c r="K131" s="20">
        <f t="shared" si="25"/>
        <v>486716</v>
      </c>
      <c r="L131" s="20">
        <f t="shared" si="26"/>
        <v>5840592</v>
      </c>
      <c r="M131" s="18"/>
    </row>
    <row r="132" spans="1:13" ht="24" x14ac:dyDescent="0.3">
      <c r="A132" s="18" t="s">
        <v>1278</v>
      </c>
      <c r="B132" s="18" t="s">
        <v>238</v>
      </c>
      <c r="C132" s="19">
        <v>7</v>
      </c>
      <c r="D132" s="18" t="s">
        <v>234</v>
      </c>
      <c r="E132" s="19">
        <v>66456</v>
      </c>
      <c r="F132" s="20">
        <f t="shared" si="22"/>
        <v>465192</v>
      </c>
      <c r="G132" s="19">
        <v>35315</v>
      </c>
      <c r="H132" s="20">
        <f t="shared" si="23"/>
        <v>247205</v>
      </c>
      <c r="I132" s="19">
        <v>39477</v>
      </c>
      <c r="J132" s="20">
        <f t="shared" si="24"/>
        <v>276339</v>
      </c>
      <c r="K132" s="20">
        <f t="shared" si="25"/>
        <v>141248</v>
      </c>
      <c r="L132" s="20">
        <f t="shared" si="26"/>
        <v>988736</v>
      </c>
      <c r="M132" s="18"/>
    </row>
    <row r="133" spans="1:13" x14ac:dyDescent="0.3">
      <c r="A133" s="18" t="s">
        <v>1279</v>
      </c>
      <c r="B133" s="18" t="s">
        <v>1280</v>
      </c>
      <c r="C133" s="19">
        <v>7</v>
      </c>
      <c r="D133" s="18" t="s">
        <v>234</v>
      </c>
      <c r="E133" s="19">
        <v>103811</v>
      </c>
      <c r="F133" s="20">
        <f t="shared" si="22"/>
        <v>726677</v>
      </c>
      <c r="G133" s="19">
        <v>42120</v>
      </c>
      <c r="H133" s="20">
        <f t="shared" si="23"/>
        <v>294840</v>
      </c>
      <c r="I133" s="19">
        <v>42910</v>
      </c>
      <c r="J133" s="20">
        <f t="shared" si="24"/>
        <v>300370</v>
      </c>
      <c r="K133" s="20">
        <f t="shared" si="25"/>
        <v>188841</v>
      </c>
      <c r="L133" s="20">
        <f t="shared" si="26"/>
        <v>1321887</v>
      </c>
      <c r="M133" s="18"/>
    </row>
    <row r="134" spans="1:13" x14ac:dyDescent="0.3">
      <c r="A134" s="18" t="s">
        <v>1299</v>
      </c>
      <c r="B134" s="18" t="s">
        <v>1314</v>
      </c>
      <c r="C134" s="19">
        <v>264</v>
      </c>
      <c r="D134" s="18" t="s">
        <v>97</v>
      </c>
      <c r="E134" s="19">
        <v>74879</v>
      </c>
      <c r="F134" s="20">
        <f t="shared" si="22"/>
        <v>19768056</v>
      </c>
      <c r="G134" s="19">
        <v>51480</v>
      </c>
      <c r="H134" s="20">
        <f t="shared" si="23"/>
        <v>13590720</v>
      </c>
      <c r="I134" s="19">
        <v>66408</v>
      </c>
      <c r="J134" s="20">
        <f t="shared" si="24"/>
        <v>17531712</v>
      </c>
      <c r="K134" s="20">
        <f t="shared" si="25"/>
        <v>192767</v>
      </c>
      <c r="L134" s="20">
        <f t="shared" si="26"/>
        <v>50890488</v>
      </c>
      <c r="M134" s="18"/>
    </row>
    <row r="135" spans="1:13" x14ac:dyDescent="0.3">
      <c r="A135" s="18" t="s">
        <v>1301</v>
      </c>
      <c r="B135" s="18" t="s">
        <v>1315</v>
      </c>
      <c r="C135" s="19">
        <v>80</v>
      </c>
      <c r="D135" s="18" t="s">
        <v>97</v>
      </c>
      <c r="E135" s="19">
        <v>74879</v>
      </c>
      <c r="F135" s="20">
        <f t="shared" si="22"/>
        <v>5990320</v>
      </c>
      <c r="G135" s="19">
        <v>51480</v>
      </c>
      <c r="H135" s="20">
        <f t="shared" si="23"/>
        <v>4118400</v>
      </c>
      <c r="I135" s="19">
        <v>66408</v>
      </c>
      <c r="J135" s="20">
        <f t="shared" si="24"/>
        <v>5312640</v>
      </c>
      <c r="K135" s="20">
        <f t="shared" si="25"/>
        <v>192767</v>
      </c>
      <c r="L135" s="20">
        <f t="shared" si="26"/>
        <v>15421360</v>
      </c>
      <c r="M135" s="18"/>
    </row>
    <row r="136" spans="1:13" x14ac:dyDescent="0.3">
      <c r="A136" s="18" t="s">
        <v>1309</v>
      </c>
      <c r="B136" s="18" t="s">
        <v>1203</v>
      </c>
      <c r="C136" s="19">
        <v>24</v>
      </c>
      <c r="D136" s="18" t="s">
        <v>1112</v>
      </c>
      <c r="E136" s="19">
        <v>276118</v>
      </c>
      <c r="F136" s="20">
        <f t="shared" si="22"/>
        <v>6626832</v>
      </c>
      <c r="G136" s="19">
        <v>51480</v>
      </c>
      <c r="H136" s="20">
        <f t="shared" si="23"/>
        <v>1235520</v>
      </c>
      <c r="I136" s="19">
        <v>29118</v>
      </c>
      <c r="J136" s="20">
        <f t="shared" si="24"/>
        <v>698832</v>
      </c>
      <c r="K136" s="20">
        <f t="shared" si="25"/>
        <v>356716</v>
      </c>
      <c r="L136" s="20">
        <f t="shared" si="26"/>
        <v>8561184</v>
      </c>
      <c r="M136" s="18"/>
    </row>
    <row r="137" spans="1:13" x14ac:dyDescent="0.3">
      <c r="A137" s="18" t="s">
        <v>1310</v>
      </c>
      <c r="B137" s="18" t="s">
        <v>1287</v>
      </c>
      <c r="C137" s="19">
        <v>1089</v>
      </c>
      <c r="D137" s="18" t="s">
        <v>97</v>
      </c>
      <c r="E137" s="19">
        <v>6243</v>
      </c>
      <c r="F137" s="20">
        <f t="shared" si="22"/>
        <v>6798627</v>
      </c>
      <c r="G137" s="19">
        <v>6552</v>
      </c>
      <c r="H137" s="20">
        <f t="shared" si="23"/>
        <v>7135128</v>
      </c>
      <c r="I137" s="19">
        <v>5108</v>
      </c>
      <c r="J137" s="20">
        <f t="shared" si="24"/>
        <v>5562612</v>
      </c>
      <c r="K137" s="20">
        <f t="shared" si="25"/>
        <v>17903</v>
      </c>
      <c r="L137" s="20">
        <f t="shared" si="26"/>
        <v>19496367</v>
      </c>
      <c r="M137" s="18"/>
    </row>
    <row r="138" spans="1:13" x14ac:dyDescent="0.3">
      <c r="A138" s="18" t="s">
        <v>1311</v>
      </c>
      <c r="B138" s="18" t="s">
        <v>1045</v>
      </c>
      <c r="C138" s="19">
        <v>5382</v>
      </c>
      <c r="D138" s="18" t="s">
        <v>193</v>
      </c>
      <c r="E138" s="19">
        <v>0</v>
      </c>
      <c r="F138" s="20">
        <f t="shared" si="22"/>
        <v>0</v>
      </c>
      <c r="G138" s="19">
        <v>0</v>
      </c>
      <c r="H138" s="20">
        <f t="shared" si="23"/>
        <v>0</v>
      </c>
      <c r="I138" s="19">
        <v>6436</v>
      </c>
      <c r="J138" s="20">
        <f t="shared" si="24"/>
        <v>34638552</v>
      </c>
      <c r="K138" s="20">
        <f t="shared" si="25"/>
        <v>6436</v>
      </c>
      <c r="L138" s="20">
        <f t="shared" si="26"/>
        <v>34638552</v>
      </c>
      <c r="M138" s="18"/>
    </row>
    <row r="139" spans="1:13" x14ac:dyDescent="0.3">
      <c r="A139" s="18" t="s">
        <v>1312</v>
      </c>
      <c r="B139" s="18" t="s">
        <v>116</v>
      </c>
      <c r="C139" s="19">
        <v>106</v>
      </c>
      <c r="D139" s="18" t="s">
        <v>97</v>
      </c>
      <c r="E139" s="19">
        <v>5803</v>
      </c>
      <c r="F139" s="20">
        <f t="shared" si="22"/>
        <v>615118</v>
      </c>
      <c r="G139" s="19">
        <v>6552</v>
      </c>
      <c r="H139" s="20">
        <f t="shared" si="23"/>
        <v>694512</v>
      </c>
      <c r="I139" s="19">
        <v>1021</v>
      </c>
      <c r="J139" s="20">
        <f t="shared" si="24"/>
        <v>108226</v>
      </c>
      <c r="K139" s="20">
        <f t="shared" si="25"/>
        <v>13376</v>
      </c>
      <c r="L139" s="20">
        <f t="shared" si="26"/>
        <v>1417856</v>
      </c>
      <c r="M139" s="18"/>
    </row>
    <row r="140" spans="1:13" x14ac:dyDescent="0.3">
      <c r="A140" s="18" t="s">
        <v>1316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1:13" x14ac:dyDescent="0.3">
      <c r="A141" s="18" t="s">
        <v>1267</v>
      </c>
      <c r="B141" s="18" t="s">
        <v>1268</v>
      </c>
      <c r="C141" s="19">
        <v>1</v>
      </c>
      <c r="D141" s="18" t="s">
        <v>204</v>
      </c>
      <c r="E141" s="19">
        <v>588733</v>
      </c>
      <c r="F141" s="20">
        <f t="shared" ref="F141:F154" si="27">E141*C141</f>
        <v>588733</v>
      </c>
      <c r="G141" s="19">
        <v>100134</v>
      </c>
      <c r="H141" s="20">
        <f t="shared" ref="H141:H154" si="28">G141*C141</f>
        <v>100134</v>
      </c>
      <c r="I141" s="19">
        <v>111931</v>
      </c>
      <c r="J141" s="20">
        <f t="shared" ref="J141:J154" si="29">I141*C141</f>
        <v>111931</v>
      </c>
      <c r="K141" s="20">
        <f t="shared" ref="K141:K154" si="30">E141+G141+I141</f>
        <v>800798</v>
      </c>
      <c r="L141" s="20">
        <f t="shared" ref="L141:L154" si="31">F141+H141+J141</f>
        <v>800798</v>
      </c>
      <c r="M141" s="18"/>
    </row>
    <row r="142" spans="1:13" x14ac:dyDescent="0.3">
      <c r="A142" s="18" t="s">
        <v>1269</v>
      </c>
      <c r="B142" s="18" t="s">
        <v>1270</v>
      </c>
      <c r="C142" s="19">
        <v>6</v>
      </c>
      <c r="D142" s="18" t="s">
        <v>204</v>
      </c>
      <c r="E142" s="19">
        <v>163108</v>
      </c>
      <c r="F142" s="20">
        <f t="shared" si="27"/>
        <v>978648</v>
      </c>
      <c r="G142" s="19">
        <v>79972</v>
      </c>
      <c r="H142" s="20">
        <f t="shared" si="28"/>
        <v>479832</v>
      </c>
      <c r="I142" s="19">
        <v>127923</v>
      </c>
      <c r="J142" s="20">
        <f t="shared" si="29"/>
        <v>767538</v>
      </c>
      <c r="K142" s="20">
        <f t="shared" si="30"/>
        <v>371003</v>
      </c>
      <c r="L142" s="20">
        <f t="shared" si="31"/>
        <v>2226018</v>
      </c>
      <c r="M142" s="18"/>
    </row>
    <row r="143" spans="1:13" x14ac:dyDescent="0.3">
      <c r="A143" s="18" t="s">
        <v>1271</v>
      </c>
      <c r="B143" s="18"/>
      <c r="C143" s="19">
        <v>1</v>
      </c>
      <c r="D143" s="18" t="s">
        <v>204</v>
      </c>
      <c r="E143" s="19">
        <v>36675</v>
      </c>
      <c r="F143" s="20">
        <f t="shared" si="27"/>
        <v>36675</v>
      </c>
      <c r="G143" s="19">
        <v>82036</v>
      </c>
      <c r="H143" s="20">
        <f t="shared" si="28"/>
        <v>82036</v>
      </c>
      <c r="I143" s="19">
        <v>1</v>
      </c>
      <c r="J143" s="20">
        <f t="shared" si="29"/>
        <v>1</v>
      </c>
      <c r="K143" s="20">
        <f t="shared" si="30"/>
        <v>118712</v>
      </c>
      <c r="L143" s="20">
        <f t="shared" si="31"/>
        <v>118712</v>
      </c>
      <c r="M143" s="18"/>
    </row>
    <row r="144" spans="1:13" x14ac:dyDescent="0.3">
      <c r="A144" s="18" t="s">
        <v>1272</v>
      </c>
      <c r="B144" s="18" t="s">
        <v>452</v>
      </c>
      <c r="C144" s="19">
        <v>22</v>
      </c>
      <c r="D144" s="18" t="s">
        <v>234</v>
      </c>
      <c r="E144" s="19">
        <v>4054</v>
      </c>
      <c r="F144" s="20">
        <f t="shared" si="27"/>
        <v>89188</v>
      </c>
      <c r="G144" s="19">
        <v>18531</v>
      </c>
      <c r="H144" s="20">
        <f t="shared" si="28"/>
        <v>407682</v>
      </c>
      <c r="I144" s="19">
        <v>0</v>
      </c>
      <c r="J144" s="20">
        <f t="shared" si="29"/>
        <v>0</v>
      </c>
      <c r="K144" s="20">
        <f t="shared" si="30"/>
        <v>22585</v>
      </c>
      <c r="L144" s="20">
        <f t="shared" si="31"/>
        <v>496870</v>
      </c>
      <c r="M144" s="18"/>
    </row>
    <row r="145" spans="1:13" x14ac:dyDescent="0.3">
      <c r="A145" s="18" t="s">
        <v>1273</v>
      </c>
      <c r="B145" s="18" t="s">
        <v>1274</v>
      </c>
      <c r="C145" s="19">
        <v>119</v>
      </c>
      <c r="D145" s="18" t="s">
        <v>234</v>
      </c>
      <c r="E145" s="19">
        <v>4054</v>
      </c>
      <c r="F145" s="20">
        <f t="shared" si="27"/>
        <v>482426</v>
      </c>
      <c r="G145" s="19">
        <v>20847</v>
      </c>
      <c r="H145" s="20">
        <f t="shared" si="28"/>
        <v>2480793</v>
      </c>
      <c r="I145" s="19">
        <v>6321</v>
      </c>
      <c r="J145" s="20">
        <f t="shared" si="29"/>
        <v>752199</v>
      </c>
      <c r="K145" s="20">
        <f t="shared" si="30"/>
        <v>31222</v>
      </c>
      <c r="L145" s="20">
        <f t="shared" si="31"/>
        <v>3715418</v>
      </c>
      <c r="M145" s="18"/>
    </row>
    <row r="146" spans="1:13" x14ac:dyDescent="0.3">
      <c r="A146" s="18" t="s">
        <v>1275</v>
      </c>
      <c r="B146" s="18" t="s">
        <v>507</v>
      </c>
      <c r="C146" s="19">
        <v>4</v>
      </c>
      <c r="D146" s="18" t="s">
        <v>371</v>
      </c>
      <c r="E146" s="19">
        <v>69490</v>
      </c>
      <c r="F146" s="20">
        <f t="shared" si="27"/>
        <v>277960</v>
      </c>
      <c r="G146" s="19">
        <v>0</v>
      </c>
      <c r="H146" s="20">
        <f t="shared" si="28"/>
        <v>0</v>
      </c>
      <c r="I146" s="19">
        <v>0</v>
      </c>
      <c r="J146" s="20">
        <f t="shared" si="29"/>
        <v>0</v>
      </c>
      <c r="K146" s="20">
        <f t="shared" si="30"/>
        <v>69490</v>
      </c>
      <c r="L146" s="20">
        <f t="shared" si="31"/>
        <v>277960</v>
      </c>
      <c r="M146" s="18"/>
    </row>
    <row r="147" spans="1:13" x14ac:dyDescent="0.3">
      <c r="A147" s="18" t="s">
        <v>1276</v>
      </c>
      <c r="B147" s="18" t="s">
        <v>1277</v>
      </c>
      <c r="C147" s="19">
        <v>20</v>
      </c>
      <c r="D147" s="18" t="s">
        <v>371</v>
      </c>
      <c r="E147" s="19">
        <v>501871</v>
      </c>
      <c r="F147" s="20">
        <f t="shared" si="27"/>
        <v>10037420</v>
      </c>
      <c r="G147" s="19">
        <v>0</v>
      </c>
      <c r="H147" s="20">
        <f t="shared" si="28"/>
        <v>0</v>
      </c>
      <c r="I147" s="19">
        <v>0</v>
      </c>
      <c r="J147" s="20">
        <f t="shared" si="29"/>
        <v>0</v>
      </c>
      <c r="K147" s="20">
        <f t="shared" si="30"/>
        <v>501871</v>
      </c>
      <c r="L147" s="20">
        <f t="shared" si="31"/>
        <v>10037420</v>
      </c>
      <c r="M147" s="18"/>
    </row>
    <row r="148" spans="1:13" ht="24" x14ac:dyDescent="0.3">
      <c r="A148" s="18" t="s">
        <v>1278</v>
      </c>
      <c r="B148" s="18" t="s">
        <v>238</v>
      </c>
      <c r="C148" s="19">
        <v>12</v>
      </c>
      <c r="D148" s="18" t="s">
        <v>234</v>
      </c>
      <c r="E148" s="19">
        <v>68525</v>
      </c>
      <c r="F148" s="20">
        <f t="shared" si="27"/>
        <v>822300</v>
      </c>
      <c r="G148" s="19">
        <v>36414</v>
      </c>
      <c r="H148" s="20">
        <f t="shared" si="28"/>
        <v>436968</v>
      </c>
      <c r="I148" s="19">
        <v>40706</v>
      </c>
      <c r="J148" s="20">
        <f t="shared" si="29"/>
        <v>488472</v>
      </c>
      <c r="K148" s="20">
        <f t="shared" si="30"/>
        <v>145645</v>
      </c>
      <c r="L148" s="20">
        <f t="shared" si="31"/>
        <v>1747740</v>
      </c>
      <c r="M148" s="18"/>
    </row>
    <row r="149" spans="1:13" x14ac:dyDescent="0.3">
      <c r="A149" s="18" t="s">
        <v>1279</v>
      </c>
      <c r="B149" s="18" t="s">
        <v>1280</v>
      </c>
      <c r="C149" s="19">
        <v>8</v>
      </c>
      <c r="D149" s="18" t="s">
        <v>234</v>
      </c>
      <c r="E149" s="19">
        <v>107043</v>
      </c>
      <c r="F149" s="20">
        <f t="shared" si="27"/>
        <v>856344</v>
      </c>
      <c r="G149" s="19">
        <v>43431</v>
      </c>
      <c r="H149" s="20">
        <f t="shared" si="28"/>
        <v>347448</v>
      </c>
      <c r="I149" s="19">
        <v>44246</v>
      </c>
      <c r="J149" s="20">
        <f t="shared" si="29"/>
        <v>353968</v>
      </c>
      <c r="K149" s="20">
        <f t="shared" si="30"/>
        <v>194720</v>
      </c>
      <c r="L149" s="20">
        <f t="shared" si="31"/>
        <v>1557760</v>
      </c>
      <c r="M149" s="18"/>
    </row>
    <row r="150" spans="1:13" x14ac:dyDescent="0.3">
      <c r="A150" s="18" t="s">
        <v>1317</v>
      </c>
      <c r="B150" s="18" t="s">
        <v>1285</v>
      </c>
      <c r="C150" s="19">
        <v>127</v>
      </c>
      <c r="D150" s="18" t="s">
        <v>234</v>
      </c>
      <c r="E150" s="19">
        <v>24128</v>
      </c>
      <c r="F150" s="20">
        <f t="shared" si="27"/>
        <v>3064256</v>
      </c>
      <c r="G150" s="19">
        <v>12547</v>
      </c>
      <c r="H150" s="20">
        <f t="shared" si="28"/>
        <v>1593469</v>
      </c>
      <c r="I150" s="19">
        <v>0</v>
      </c>
      <c r="J150" s="20">
        <f t="shared" si="29"/>
        <v>0</v>
      </c>
      <c r="K150" s="20">
        <f t="shared" si="30"/>
        <v>36675</v>
      </c>
      <c r="L150" s="20">
        <f t="shared" si="31"/>
        <v>4657725</v>
      </c>
      <c r="M150" s="18"/>
    </row>
    <row r="151" spans="1:13" x14ac:dyDescent="0.3">
      <c r="A151" s="18" t="s">
        <v>1318</v>
      </c>
      <c r="B151" s="18" t="s">
        <v>1203</v>
      </c>
      <c r="C151" s="19">
        <v>75</v>
      </c>
      <c r="D151" s="18" t="s">
        <v>1112</v>
      </c>
      <c r="E151" s="19">
        <v>284715</v>
      </c>
      <c r="F151" s="20">
        <f t="shared" si="27"/>
        <v>21353625</v>
      </c>
      <c r="G151" s="19">
        <v>53082</v>
      </c>
      <c r="H151" s="20">
        <f t="shared" si="28"/>
        <v>3981150</v>
      </c>
      <c r="I151" s="19">
        <v>30024</v>
      </c>
      <c r="J151" s="20">
        <f t="shared" si="29"/>
        <v>2251800</v>
      </c>
      <c r="K151" s="20">
        <f t="shared" si="30"/>
        <v>367821</v>
      </c>
      <c r="L151" s="20">
        <f t="shared" si="31"/>
        <v>27586575</v>
      </c>
      <c r="M151" s="18"/>
    </row>
    <row r="152" spans="1:13" x14ac:dyDescent="0.3">
      <c r="A152" s="18" t="s">
        <v>1286</v>
      </c>
      <c r="B152" s="18" t="s">
        <v>1287</v>
      </c>
      <c r="C152" s="19">
        <v>2718</v>
      </c>
      <c r="D152" s="18" t="s">
        <v>97</v>
      </c>
      <c r="E152" s="19">
        <v>6438</v>
      </c>
      <c r="F152" s="20">
        <f t="shared" si="27"/>
        <v>17498484</v>
      </c>
      <c r="G152" s="19">
        <v>6756</v>
      </c>
      <c r="H152" s="20">
        <f t="shared" si="28"/>
        <v>18362808</v>
      </c>
      <c r="I152" s="19">
        <v>5267</v>
      </c>
      <c r="J152" s="20">
        <f t="shared" si="29"/>
        <v>14315706</v>
      </c>
      <c r="K152" s="20">
        <f t="shared" si="30"/>
        <v>18461</v>
      </c>
      <c r="L152" s="20">
        <f t="shared" si="31"/>
        <v>50176998</v>
      </c>
      <c r="M152" s="18"/>
    </row>
    <row r="153" spans="1:13" x14ac:dyDescent="0.3">
      <c r="A153" s="18" t="s">
        <v>1288</v>
      </c>
      <c r="B153" s="18" t="s">
        <v>1045</v>
      </c>
      <c r="C153" s="19">
        <v>12096</v>
      </c>
      <c r="D153" s="18" t="s">
        <v>193</v>
      </c>
      <c r="E153" s="19">
        <v>0</v>
      </c>
      <c r="F153" s="20">
        <f t="shared" si="27"/>
        <v>0</v>
      </c>
      <c r="G153" s="19">
        <v>0</v>
      </c>
      <c r="H153" s="20">
        <f t="shared" si="28"/>
        <v>0</v>
      </c>
      <c r="I153" s="19">
        <v>6637</v>
      </c>
      <c r="J153" s="20">
        <f t="shared" si="29"/>
        <v>80281152</v>
      </c>
      <c r="K153" s="20">
        <f t="shared" si="30"/>
        <v>6637</v>
      </c>
      <c r="L153" s="20">
        <f t="shared" si="31"/>
        <v>80281152</v>
      </c>
      <c r="M153" s="18"/>
    </row>
    <row r="154" spans="1:13" x14ac:dyDescent="0.3">
      <c r="A154" s="18" t="s">
        <v>1312</v>
      </c>
      <c r="B154" s="18" t="s">
        <v>116</v>
      </c>
      <c r="C154" s="19">
        <v>1553</v>
      </c>
      <c r="D154" s="18" t="s">
        <v>97</v>
      </c>
      <c r="E154" s="19">
        <v>5984</v>
      </c>
      <c r="F154" s="20">
        <f t="shared" si="27"/>
        <v>9293152</v>
      </c>
      <c r="G154" s="19">
        <v>6756</v>
      </c>
      <c r="H154" s="20">
        <f t="shared" si="28"/>
        <v>10492068</v>
      </c>
      <c r="I154" s="19">
        <v>1053</v>
      </c>
      <c r="J154" s="20">
        <f t="shared" si="29"/>
        <v>1635309</v>
      </c>
      <c r="K154" s="20">
        <f t="shared" si="30"/>
        <v>13793</v>
      </c>
      <c r="L154" s="20">
        <f t="shared" si="31"/>
        <v>21420529</v>
      </c>
      <c r="M154" s="18"/>
    </row>
    <row r="155" spans="1:13" x14ac:dyDescent="0.3">
      <c r="A155" s="18" t="s">
        <v>1319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1:13" x14ac:dyDescent="0.3">
      <c r="A156" s="18" t="s">
        <v>1267</v>
      </c>
      <c r="B156" s="18" t="s">
        <v>1268</v>
      </c>
      <c r="C156" s="19">
        <v>1</v>
      </c>
      <c r="D156" s="18" t="s">
        <v>204</v>
      </c>
      <c r="E156" s="19">
        <v>601966</v>
      </c>
      <c r="F156" s="20">
        <f t="shared" ref="F156:F169" si="32">E156*C156</f>
        <v>601966</v>
      </c>
      <c r="G156" s="19">
        <v>102384</v>
      </c>
      <c r="H156" s="20">
        <f t="shared" ref="H156:H169" si="33">G156*C156</f>
        <v>102384</v>
      </c>
      <c r="I156" s="19">
        <v>114448</v>
      </c>
      <c r="J156" s="20">
        <f t="shared" ref="J156:J169" si="34">I156*C156</f>
        <v>114448</v>
      </c>
      <c r="K156" s="20">
        <f t="shared" ref="K156:K169" si="35">E156+G156+I156</f>
        <v>818798</v>
      </c>
      <c r="L156" s="20">
        <f t="shared" ref="L156:L169" si="36">F156+H156+J156</f>
        <v>818798</v>
      </c>
      <c r="M156" s="18"/>
    </row>
    <row r="157" spans="1:13" x14ac:dyDescent="0.3">
      <c r="A157" s="18" t="s">
        <v>1269</v>
      </c>
      <c r="B157" s="18" t="s">
        <v>1270</v>
      </c>
      <c r="C157" s="19">
        <v>8</v>
      </c>
      <c r="D157" s="18" t="s">
        <v>204</v>
      </c>
      <c r="E157" s="19">
        <v>166774</v>
      </c>
      <c r="F157" s="20">
        <f t="shared" si="32"/>
        <v>1334192</v>
      </c>
      <c r="G157" s="19">
        <v>81769</v>
      </c>
      <c r="H157" s="20">
        <f t="shared" si="33"/>
        <v>654152</v>
      </c>
      <c r="I157" s="19">
        <v>130798</v>
      </c>
      <c r="J157" s="20">
        <f t="shared" si="34"/>
        <v>1046384</v>
      </c>
      <c r="K157" s="20">
        <f t="shared" si="35"/>
        <v>379341</v>
      </c>
      <c r="L157" s="20">
        <f t="shared" si="36"/>
        <v>3034728</v>
      </c>
      <c r="M157" s="18"/>
    </row>
    <row r="158" spans="1:13" x14ac:dyDescent="0.3">
      <c r="A158" s="18" t="s">
        <v>1271</v>
      </c>
      <c r="B158" s="18"/>
      <c r="C158" s="19">
        <v>1</v>
      </c>
      <c r="D158" s="18" t="s">
        <v>204</v>
      </c>
      <c r="E158" s="19">
        <v>37500</v>
      </c>
      <c r="F158" s="20">
        <f t="shared" si="32"/>
        <v>37500</v>
      </c>
      <c r="G158" s="19">
        <v>83880</v>
      </c>
      <c r="H158" s="20">
        <f t="shared" si="33"/>
        <v>83880</v>
      </c>
      <c r="I158" s="19">
        <v>0</v>
      </c>
      <c r="J158" s="20">
        <f t="shared" si="34"/>
        <v>0</v>
      </c>
      <c r="K158" s="20">
        <f t="shared" si="35"/>
        <v>121380</v>
      </c>
      <c r="L158" s="20">
        <f t="shared" si="36"/>
        <v>121380</v>
      </c>
      <c r="M158" s="18"/>
    </row>
    <row r="159" spans="1:13" x14ac:dyDescent="0.3">
      <c r="A159" s="18" t="s">
        <v>1272</v>
      </c>
      <c r="B159" s="18" t="s">
        <v>452</v>
      </c>
      <c r="C159" s="19">
        <v>26</v>
      </c>
      <c r="D159" s="18" t="s">
        <v>234</v>
      </c>
      <c r="E159" s="19">
        <v>4145</v>
      </c>
      <c r="F159" s="20">
        <f t="shared" si="32"/>
        <v>107770</v>
      </c>
      <c r="G159" s="19">
        <v>18947</v>
      </c>
      <c r="H159" s="20">
        <f t="shared" si="33"/>
        <v>492622</v>
      </c>
      <c r="I159" s="19">
        <v>0</v>
      </c>
      <c r="J159" s="20">
        <f t="shared" si="34"/>
        <v>0</v>
      </c>
      <c r="K159" s="20">
        <f t="shared" si="35"/>
        <v>23092</v>
      </c>
      <c r="L159" s="20">
        <f t="shared" si="36"/>
        <v>600392</v>
      </c>
      <c r="M159" s="18"/>
    </row>
    <row r="160" spans="1:13" x14ac:dyDescent="0.3">
      <c r="A160" s="18" t="s">
        <v>1273</v>
      </c>
      <c r="B160" s="18" t="s">
        <v>1274</v>
      </c>
      <c r="C160" s="19">
        <v>142</v>
      </c>
      <c r="D160" s="18" t="s">
        <v>234</v>
      </c>
      <c r="E160" s="19">
        <v>4145</v>
      </c>
      <c r="F160" s="20">
        <f t="shared" si="32"/>
        <v>588590</v>
      </c>
      <c r="G160" s="19">
        <v>21316</v>
      </c>
      <c r="H160" s="20">
        <f t="shared" si="33"/>
        <v>3026872</v>
      </c>
      <c r="I160" s="19">
        <v>6463</v>
      </c>
      <c r="J160" s="20">
        <f t="shared" si="34"/>
        <v>917746</v>
      </c>
      <c r="K160" s="20">
        <f t="shared" si="35"/>
        <v>31924</v>
      </c>
      <c r="L160" s="20">
        <f t="shared" si="36"/>
        <v>4533208</v>
      </c>
      <c r="M160" s="18"/>
    </row>
    <row r="161" spans="1:13" x14ac:dyDescent="0.3">
      <c r="A161" s="18" t="s">
        <v>1275</v>
      </c>
      <c r="B161" s="18" t="s">
        <v>507</v>
      </c>
      <c r="C161" s="19">
        <v>5</v>
      </c>
      <c r="D161" s="18" t="s">
        <v>371</v>
      </c>
      <c r="E161" s="19">
        <v>71052</v>
      </c>
      <c r="F161" s="20">
        <f t="shared" si="32"/>
        <v>355260</v>
      </c>
      <c r="G161" s="19">
        <v>0</v>
      </c>
      <c r="H161" s="20">
        <f t="shared" si="33"/>
        <v>0</v>
      </c>
      <c r="I161" s="19">
        <v>0</v>
      </c>
      <c r="J161" s="20">
        <f t="shared" si="34"/>
        <v>0</v>
      </c>
      <c r="K161" s="20">
        <f t="shared" si="35"/>
        <v>71052</v>
      </c>
      <c r="L161" s="20">
        <f t="shared" si="36"/>
        <v>355260</v>
      </c>
      <c r="M161" s="18"/>
    </row>
    <row r="162" spans="1:13" x14ac:dyDescent="0.3">
      <c r="A162" s="18" t="s">
        <v>1276</v>
      </c>
      <c r="B162" s="18" t="s">
        <v>1277</v>
      </c>
      <c r="C162" s="19">
        <v>24</v>
      </c>
      <c r="D162" s="18" t="s">
        <v>371</v>
      </c>
      <c r="E162" s="19">
        <v>513152</v>
      </c>
      <c r="F162" s="20">
        <f t="shared" si="32"/>
        <v>12315648</v>
      </c>
      <c r="G162" s="19">
        <v>0</v>
      </c>
      <c r="H162" s="20">
        <f t="shared" si="33"/>
        <v>0</v>
      </c>
      <c r="I162" s="19">
        <v>0</v>
      </c>
      <c r="J162" s="20">
        <f t="shared" si="34"/>
        <v>0</v>
      </c>
      <c r="K162" s="20">
        <f t="shared" si="35"/>
        <v>513152</v>
      </c>
      <c r="L162" s="20">
        <f t="shared" si="36"/>
        <v>12315648</v>
      </c>
      <c r="M162" s="18"/>
    </row>
    <row r="163" spans="1:13" ht="24" x14ac:dyDescent="0.3">
      <c r="A163" s="18" t="s">
        <v>1278</v>
      </c>
      <c r="B163" s="18" t="s">
        <v>238</v>
      </c>
      <c r="C163" s="19">
        <v>13</v>
      </c>
      <c r="D163" s="18" t="s">
        <v>234</v>
      </c>
      <c r="E163" s="19">
        <v>70065</v>
      </c>
      <c r="F163" s="20">
        <f t="shared" si="32"/>
        <v>910845</v>
      </c>
      <c r="G163" s="19">
        <v>37233</v>
      </c>
      <c r="H163" s="20">
        <f t="shared" si="33"/>
        <v>484029</v>
      </c>
      <c r="I163" s="19">
        <v>41621</v>
      </c>
      <c r="J163" s="20">
        <f t="shared" si="34"/>
        <v>541073</v>
      </c>
      <c r="K163" s="20">
        <f t="shared" si="35"/>
        <v>148919</v>
      </c>
      <c r="L163" s="20">
        <f t="shared" si="36"/>
        <v>1935947</v>
      </c>
      <c r="M163" s="18"/>
    </row>
    <row r="164" spans="1:13" x14ac:dyDescent="0.3">
      <c r="A164" s="18" t="s">
        <v>1279</v>
      </c>
      <c r="B164" s="18" t="s">
        <v>1280</v>
      </c>
      <c r="C164" s="19">
        <v>8</v>
      </c>
      <c r="D164" s="18" t="s">
        <v>234</v>
      </c>
      <c r="E164" s="19">
        <v>109449</v>
      </c>
      <c r="F164" s="20">
        <f t="shared" si="32"/>
        <v>875592</v>
      </c>
      <c r="G164" s="19">
        <v>44407</v>
      </c>
      <c r="H164" s="20">
        <f t="shared" si="33"/>
        <v>355256</v>
      </c>
      <c r="I164" s="19">
        <v>45241</v>
      </c>
      <c r="J164" s="20">
        <f t="shared" si="34"/>
        <v>361928</v>
      </c>
      <c r="K164" s="20">
        <f t="shared" si="35"/>
        <v>199097</v>
      </c>
      <c r="L164" s="20">
        <f t="shared" si="36"/>
        <v>1592776</v>
      </c>
      <c r="M164" s="18"/>
    </row>
    <row r="165" spans="1:13" x14ac:dyDescent="0.3">
      <c r="A165" s="18" t="s">
        <v>1317</v>
      </c>
      <c r="B165" s="18" t="s">
        <v>1285</v>
      </c>
      <c r="C165" s="19">
        <v>136</v>
      </c>
      <c r="D165" s="18" t="s">
        <v>234</v>
      </c>
      <c r="E165" s="19">
        <v>24671</v>
      </c>
      <c r="F165" s="20">
        <f t="shared" si="32"/>
        <v>3355256</v>
      </c>
      <c r="G165" s="19">
        <v>12829</v>
      </c>
      <c r="H165" s="20">
        <f t="shared" si="33"/>
        <v>1744744</v>
      </c>
      <c r="I165" s="19">
        <v>0</v>
      </c>
      <c r="J165" s="20">
        <f t="shared" si="34"/>
        <v>0</v>
      </c>
      <c r="K165" s="20">
        <f t="shared" si="35"/>
        <v>37500</v>
      </c>
      <c r="L165" s="20">
        <f t="shared" si="36"/>
        <v>5100000</v>
      </c>
      <c r="M165" s="18"/>
    </row>
    <row r="166" spans="1:13" x14ac:dyDescent="0.3">
      <c r="A166" s="18" t="s">
        <v>1318</v>
      </c>
      <c r="B166" s="18" t="s">
        <v>1203</v>
      </c>
      <c r="C166" s="19">
        <v>47</v>
      </c>
      <c r="D166" s="18" t="s">
        <v>1112</v>
      </c>
      <c r="E166" s="19">
        <v>291115</v>
      </c>
      <c r="F166" s="20">
        <f t="shared" si="32"/>
        <v>13682405</v>
      </c>
      <c r="G166" s="19">
        <v>54276</v>
      </c>
      <c r="H166" s="20">
        <f t="shared" si="33"/>
        <v>2550972</v>
      </c>
      <c r="I166" s="19">
        <v>30699</v>
      </c>
      <c r="J166" s="20">
        <f t="shared" si="34"/>
        <v>1442853</v>
      </c>
      <c r="K166" s="20">
        <f t="shared" si="35"/>
        <v>376090</v>
      </c>
      <c r="L166" s="20">
        <f t="shared" si="36"/>
        <v>17676230</v>
      </c>
      <c r="M166" s="18"/>
    </row>
    <row r="167" spans="1:13" x14ac:dyDescent="0.3">
      <c r="A167" s="18" t="s">
        <v>1286</v>
      </c>
      <c r="B167" s="18" t="s">
        <v>1287</v>
      </c>
      <c r="C167" s="19">
        <v>3586</v>
      </c>
      <c r="D167" s="18" t="s">
        <v>97</v>
      </c>
      <c r="E167" s="19">
        <v>6582</v>
      </c>
      <c r="F167" s="20">
        <f t="shared" si="32"/>
        <v>23603052</v>
      </c>
      <c r="G167" s="19">
        <v>6908</v>
      </c>
      <c r="H167" s="20">
        <f t="shared" si="33"/>
        <v>24772088</v>
      </c>
      <c r="I167" s="19">
        <v>5386</v>
      </c>
      <c r="J167" s="20">
        <f t="shared" si="34"/>
        <v>19314196</v>
      </c>
      <c r="K167" s="20">
        <f t="shared" si="35"/>
        <v>18876</v>
      </c>
      <c r="L167" s="20">
        <f t="shared" si="36"/>
        <v>67689336</v>
      </c>
      <c r="M167" s="18"/>
    </row>
    <row r="168" spans="1:13" x14ac:dyDescent="0.3">
      <c r="A168" s="18" t="s">
        <v>1288</v>
      </c>
      <c r="B168" s="18" t="s">
        <v>1045</v>
      </c>
      <c r="C168" s="19">
        <v>11430</v>
      </c>
      <c r="D168" s="18" t="s">
        <v>193</v>
      </c>
      <c r="E168" s="19">
        <v>0</v>
      </c>
      <c r="F168" s="20">
        <f t="shared" si="32"/>
        <v>0</v>
      </c>
      <c r="G168" s="19">
        <v>0</v>
      </c>
      <c r="H168" s="20">
        <f t="shared" si="33"/>
        <v>0</v>
      </c>
      <c r="I168" s="19">
        <v>6786</v>
      </c>
      <c r="J168" s="20">
        <f t="shared" si="34"/>
        <v>77563980</v>
      </c>
      <c r="K168" s="20">
        <f t="shared" si="35"/>
        <v>6786</v>
      </c>
      <c r="L168" s="20">
        <f t="shared" si="36"/>
        <v>77563980</v>
      </c>
      <c r="M168" s="18"/>
    </row>
    <row r="169" spans="1:13" x14ac:dyDescent="0.3">
      <c r="A169" s="18" t="s">
        <v>1312</v>
      </c>
      <c r="B169" s="18" t="s">
        <v>116</v>
      </c>
      <c r="C169" s="19">
        <v>834</v>
      </c>
      <c r="D169" s="18" t="s">
        <v>97</v>
      </c>
      <c r="E169" s="19">
        <v>6118</v>
      </c>
      <c r="F169" s="20">
        <f t="shared" si="32"/>
        <v>5102412</v>
      </c>
      <c r="G169" s="19">
        <v>6908</v>
      </c>
      <c r="H169" s="20">
        <f t="shared" si="33"/>
        <v>5761272</v>
      </c>
      <c r="I169" s="19">
        <v>1077</v>
      </c>
      <c r="J169" s="20">
        <f t="shared" si="34"/>
        <v>898218</v>
      </c>
      <c r="K169" s="20">
        <f t="shared" si="35"/>
        <v>14103</v>
      </c>
      <c r="L169" s="20">
        <f t="shared" si="36"/>
        <v>11761902</v>
      </c>
      <c r="M169" s="18"/>
    </row>
    <row r="170" spans="1:13" x14ac:dyDescent="0.3">
      <c r="A170" s="18" t="s">
        <v>1320</v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x14ac:dyDescent="0.3">
      <c r="A171" s="18" t="s">
        <v>329</v>
      </c>
      <c r="B171" s="18" t="s">
        <v>1270</v>
      </c>
      <c r="C171" s="19">
        <v>3</v>
      </c>
      <c r="D171" s="18" t="s">
        <v>204</v>
      </c>
      <c r="E171" s="19">
        <v>164125</v>
      </c>
      <c r="F171" s="20">
        <f t="shared" ref="F171:F182" si="37">E171*C171</f>
        <v>492375</v>
      </c>
      <c r="G171" s="19">
        <v>80470</v>
      </c>
      <c r="H171" s="20">
        <f t="shared" ref="H171:H182" si="38">G171*C171</f>
        <v>241410</v>
      </c>
      <c r="I171" s="19">
        <v>128720</v>
      </c>
      <c r="J171" s="20">
        <f t="shared" ref="J171:J182" si="39">I171*C171</f>
        <v>386160</v>
      </c>
      <c r="K171" s="20">
        <f t="shared" ref="K171:K182" si="40">E171+G171+I171</f>
        <v>373315</v>
      </c>
      <c r="L171" s="20">
        <f t="shared" ref="L171:L182" si="41">F171+H171+J171</f>
        <v>1119945</v>
      </c>
      <c r="M171" s="18"/>
    </row>
    <row r="172" spans="1:13" x14ac:dyDescent="0.3">
      <c r="A172" s="18" t="s">
        <v>1321</v>
      </c>
      <c r="B172" s="18"/>
      <c r="C172" s="19">
        <v>1</v>
      </c>
      <c r="D172" s="18" t="s">
        <v>204</v>
      </c>
      <c r="E172" s="19">
        <v>36904</v>
      </c>
      <c r="F172" s="20">
        <f t="shared" si="37"/>
        <v>36904</v>
      </c>
      <c r="G172" s="19">
        <v>82548</v>
      </c>
      <c r="H172" s="20">
        <f t="shared" si="38"/>
        <v>82548</v>
      </c>
      <c r="I172" s="19">
        <v>0</v>
      </c>
      <c r="J172" s="20">
        <f t="shared" si="39"/>
        <v>0</v>
      </c>
      <c r="K172" s="20">
        <f t="shared" si="40"/>
        <v>119452</v>
      </c>
      <c r="L172" s="20">
        <f t="shared" si="41"/>
        <v>119452</v>
      </c>
      <c r="M172" s="18"/>
    </row>
    <row r="173" spans="1:13" x14ac:dyDescent="0.3">
      <c r="A173" s="18" t="s">
        <v>1322</v>
      </c>
      <c r="B173" s="18" t="s">
        <v>452</v>
      </c>
      <c r="C173" s="19">
        <v>22</v>
      </c>
      <c r="D173" s="18" t="s">
        <v>234</v>
      </c>
      <c r="E173" s="19">
        <v>4079</v>
      </c>
      <c r="F173" s="20">
        <f t="shared" si="37"/>
        <v>89738</v>
      </c>
      <c r="G173" s="19">
        <v>18646</v>
      </c>
      <c r="H173" s="20">
        <f t="shared" si="38"/>
        <v>410212</v>
      </c>
      <c r="I173" s="19">
        <v>0</v>
      </c>
      <c r="J173" s="20">
        <f t="shared" si="39"/>
        <v>0</v>
      </c>
      <c r="K173" s="20">
        <f t="shared" si="40"/>
        <v>22725</v>
      </c>
      <c r="L173" s="20">
        <f t="shared" si="41"/>
        <v>499950</v>
      </c>
      <c r="M173" s="18"/>
    </row>
    <row r="174" spans="1:13" x14ac:dyDescent="0.3">
      <c r="A174" s="18" t="s">
        <v>1272</v>
      </c>
      <c r="B174" s="18" t="s">
        <v>454</v>
      </c>
      <c r="C174" s="19">
        <v>3</v>
      </c>
      <c r="D174" s="18" t="s">
        <v>234</v>
      </c>
      <c r="E174" s="19">
        <v>4079</v>
      </c>
      <c r="F174" s="20">
        <f t="shared" si="37"/>
        <v>12237</v>
      </c>
      <c r="G174" s="19">
        <v>20055</v>
      </c>
      <c r="H174" s="20">
        <f t="shared" si="38"/>
        <v>60165</v>
      </c>
      <c r="I174" s="19">
        <v>6361</v>
      </c>
      <c r="J174" s="20">
        <f t="shared" si="39"/>
        <v>19083</v>
      </c>
      <c r="K174" s="20">
        <f t="shared" si="40"/>
        <v>30495</v>
      </c>
      <c r="L174" s="20">
        <f t="shared" si="41"/>
        <v>91485</v>
      </c>
      <c r="M174" s="18"/>
    </row>
    <row r="175" spans="1:13" x14ac:dyDescent="0.3">
      <c r="A175" s="18" t="s">
        <v>1273</v>
      </c>
      <c r="B175" s="18" t="s">
        <v>1274</v>
      </c>
      <c r="C175" s="19">
        <v>29</v>
      </c>
      <c r="D175" s="18" t="s">
        <v>234</v>
      </c>
      <c r="E175" s="19">
        <v>4079</v>
      </c>
      <c r="F175" s="20">
        <f t="shared" si="37"/>
        <v>118291</v>
      </c>
      <c r="G175" s="19">
        <v>20977</v>
      </c>
      <c r="H175" s="20">
        <f t="shared" si="38"/>
        <v>608333</v>
      </c>
      <c r="I175" s="19">
        <v>6361</v>
      </c>
      <c r="J175" s="20">
        <f t="shared" si="39"/>
        <v>184469</v>
      </c>
      <c r="K175" s="20">
        <f t="shared" si="40"/>
        <v>31417</v>
      </c>
      <c r="L175" s="20">
        <f t="shared" si="41"/>
        <v>911093</v>
      </c>
      <c r="M175" s="18"/>
    </row>
    <row r="176" spans="1:13" x14ac:dyDescent="0.3">
      <c r="A176" s="18" t="s">
        <v>1275</v>
      </c>
      <c r="B176" s="18" t="s">
        <v>507</v>
      </c>
      <c r="C176" s="19">
        <v>4</v>
      </c>
      <c r="D176" s="18" t="s">
        <v>371</v>
      </c>
      <c r="E176" s="19">
        <v>69923</v>
      </c>
      <c r="F176" s="20">
        <f t="shared" si="37"/>
        <v>279692</v>
      </c>
      <c r="G176" s="19">
        <v>0</v>
      </c>
      <c r="H176" s="20">
        <f t="shared" si="38"/>
        <v>0</v>
      </c>
      <c r="I176" s="19">
        <v>0</v>
      </c>
      <c r="J176" s="20">
        <f t="shared" si="39"/>
        <v>0</v>
      </c>
      <c r="K176" s="20">
        <f t="shared" si="40"/>
        <v>69923</v>
      </c>
      <c r="L176" s="20">
        <f t="shared" si="41"/>
        <v>279692</v>
      </c>
      <c r="M176" s="18"/>
    </row>
    <row r="177" spans="1:13" x14ac:dyDescent="0.3">
      <c r="A177" s="18" t="s">
        <v>1276</v>
      </c>
      <c r="B177" s="18" t="s">
        <v>370</v>
      </c>
      <c r="C177" s="19">
        <v>1</v>
      </c>
      <c r="D177" s="18" t="s">
        <v>371</v>
      </c>
      <c r="E177" s="19">
        <v>215596</v>
      </c>
      <c r="F177" s="20">
        <f t="shared" si="37"/>
        <v>215596</v>
      </c>
      <c r="G177" s="19">
        <v>0</v>
      </c>
      <c r="H177" s="20">
        <f t="shared" si="38"/>
        <v>0</v>
      </c>
      <c r="I177" s="19">
        <v>0</v>
      </c>
      <c r="J177" s="20">
        <f t="shared" si="39"/>
        <v>0</v>
      </c>
      <c r="K177" s="20">
        <f t="shared" si="40"/>
        <v>215596</v>
      </c>
      <c r="L177" s="20">
        <f t="shared" si="41"/>
        <v>215596</v>
      </c>
      <c r="M177" s="18"/>
    </row>
    <row r="178" spans="1:13" x14ac:dyDescent="0.3">
      <c r="A178" s="18" t="s">
        <v>1323</v>
      </c>
      <c r="B178" s="18" t="s">
        <v>1277</v>
      </c>
      <c r="C178" s="19">
        <v>5</v>
      </c>
      <c r="D178" s="18" t="s">
        <v>371</v>
      </c>
      <c r="E178" s="19">
        <v>505000</v>
      </c>
      <c r="F178" s="20">
        <f t="shared" si="37"/>
        <v>2525000</v>
      </c>
      <c r="G178" s="19">
        <v>0</v>
      </c>
      <c r="H178" s="20">
        <f t="shared" si="38"/>
        <v>0</v>
      </c>
      <c r="I178" s="19">
        <v>0</v>
      </c>
      <c r="J178" s="20">
        <f t="shared" si="39"/>
        <v>0</v>
      </c>
      <c r="K178" s="20">
        <f t="shared" si="40"/>
        <v>505000</v>
      </c>
      <c r="L178" s="20">
        <f t="shared" si="41"/>
        <v>2525000</v>
      </c>
      <c r="M178" s="18"/>
    </row>
    <row r="179" spans="1:13" x14ac:dyDescent="0.3">
      <c r="A179" s="18" t="s">
        <v>1279</v>
      </c>
      <c r="B179" s="18" t="s">
        <v>1280</v>
      </c>
      <c r="C179" s="19">
        <v>6</v>
      </c>
      <c r="D179" s="18" t="s">
        <v>234</v>
      </c>
      <c r="E179" s="19">
        <v>53414</v>
      </c>
      <c r="F179" s="20">
        <f t="shared" si="37"/>
        <v>320484</v>
      </c>
      <c r="G179" s="19">
        <v>24279</v>
      </c>
      <c r="H179" s="20">
        <f t="shared" si="38"/>
        <v>145674</v>
      </c>
      <c r="I179" s="19">
        <v>18868</v>
      </c>
      <c r="J179" s="20">
        <f t="shared" si="39"/>
        <v>113208</v>
      </c>
      <c r="K179" s="20">
        <f t="shared" si="40"/>
        <v>96561</v>
      </c>
      <c r="L179" s="20">
        <f t="shared" si="41"/>
        <v>579366</v>
      </c>
      <c r="M179" s="18"/>
    </row>
    <row r="180" spans="1:13" x14ac:dyDescent="0.3">
      <c r="A180" s="18" t="s">
        <v>1324</v>
      </c>
      <c r="B180" s="18" t="s">
        <v>1203</v>
      </c>
      <c r="C180" s="19">
        <v>42</v>
      </c>
      <c r="D180" s="18" t="s">
        <v>1112</v>
      </c>
      <c r="E180" s="19">
        <v>286491</v>
      </c>
      <c r="F180" s="20">
        <f t="shared" si="37"/>
        <v>12032622</v>
      </c>
      <c r="G180" s="19">
        <v>53414</v>
      </c>
      <c r="H180" s="20">
        <f t="shared" si="38"/>
        <v>2243388</v>
      </c>
      <c r="I180" s="19">
        <v>30212</v>
      </c>
      <c r="J180" s="20">
        <f t="shared" si="39"/>
        <v>1268904</v>
      </c>
      <c r="K180" s="20">
        <f t="shared" si="40"/>
        <v>370117</v>
      </c>
      <c r="L180" s="20">
        <f t="shared" si="41"/>
        <v>15544914</v>
      </c>
      <c r="M180" s="18"/>
    </row>
    <row r="181" spans="1:13" x14ac:dyDescent="0.3">
      <c r="A181" s="18" t="s">
        <v>1325</v>
      </c>
      <c r="B181" s="18" t="s">
        <v>1287</v>
      </c>
      <c r="C181" s="19">
        <v>519</v>
      </c>
      <c r="D181" s="18" t="s">
        <v>97</v>
      </c>
      <c r="E181" s="19">
        <v>6478</v>
      </c>
      <c r="F181" s="20">
        <f t="shared" si="37"/>
        <v>3362082</v>
      </c>
      <c r="G181" s="19">
        <v>6798</v>
      </c>
      <c r="H181" s="20">
        <f t="shared" si="38"/>
        <v>3528162</v>
      </c>
      <c r="I181" s="19">
        <v>5300</v>
      </c>
      <c r="J181" s="20">
        <f t="shared" si="39"/>
        <v>2750700</v>
      </c>
      <c r="K181" s="20">
        <f t="shared" si="40"/>
        <v>18576</v>
      </c>
      <c r="L181" s="20">
        <f t="shared" si="41"/>
        <v>9640944</v>
      </c>
      <c r="M181" s="18"/>
    </row>
    <row r="182" spans="1:13" x14ac:dyDescent="0.3">
      <c r="A182" s="18" t="s">
        <v>1326</v>
      </c>
      <c r="B182" s="18" t="s">
        <v>1045</v>
      </c>
      <c r="C182" s="19">
        <v>1647</v>
      </c>
      <c r="D182" s="18" t="s">
        <v>193</v>
      </c>
      <c r="E182" s="19">
        <v>0</v>
      </c>
      <c r="F182" s="20">
        <f t="shared" si="37"/>
        <v>0</v>
      </c>
      <c r="G182" s="19">
        <v>0</v>
      </c>
      <c r="H182" s="20">
        <f t="shared" si="38"/>
        <v>0</v>
      </c>
      <c r="I182" s="19">
        <v>6678</v>
      </c>
      <c r="J182" s="20">
        <f t="shared" si="39"/>
        <v>10998666</v>
      </c>
      <c r="K182" s="20">
        <f t="shared" si="40"/>
        <v>6678</v>
      </c>
      <c r="L182" s="20">
        <f t="shared" si="41"/>
        <v>10998666</v>
      </c>
      <c r="M182" s="18"/>
    </row>
    <row r="183" spans="1:13" x14ac:dyDescent="0.3">
      <c r="A183" s="18" t="s">
        <v>1327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x14ac:dyDescent="0.3">
      <c r="A184" s="18" t="s">
        <v>329</v>
      </c>
      <c r="B184" s="18" t="s">
        <v>1270</v>
      </c>
      <c r="C184" s="19">
        <v>4</v>
      </c>
      <c r="D184" s="18" t="s">
        <v>204</v>
      </c>
      <c r="E184" s="19">
        <v>167124</v>
      </c>
      <c r="F184" s="20">
        <f t="shared" ref="F184:F193" si="42">E184*C184</f>
        <v>668496</v>
      </c>
      <c r="G184" s="19">
        <v>81941</v>
      </c>
      <c r="H184" s="20">
        <f t="shared" ref="H184:H193" si="43">G184*C184</f>
        <v>327764</v>
      </c>
      <c r="I184" s="19">
        <v>131072</v>
      </c>
      <c r="J184" s="20">
        <f t="shared" ref="J184:J193" si="44">I184*C184</f>
        <v>524288</v>
      </c>
      <c r="K184" s="20">
        <f t="shared" ref="K184:K193" si="45">E184+G184+I184</f>
        <v>380137</v>
      </c>
      <c r="L184" s="20">
        <f t="shared" ref="L184:L193" si="46">F184+H184+J184</f>
        <v>1520548</v>
      </c>
      <c r="M184" s="18"/>
    </row>
    <row r="185" spans="1:13" x14ac:dyDescent="0.3">
      <c r="A185" s="18" t="s">
        <v>1328</v>
      </c>
      <c r="B185" s="18" t="s">
        <v>454</v>
      </c>
      <c r="C185" s="19">
        <v>55</v>
      </c>
      <c r="D185" s="18" t="s">
        <v>234</v>
      </c>
      <c r="E185" s="19">
        <v>4153</v>
      </c>
      <c r="F185" s="20">
        <f t="shared" si="42"/>
        <v>228415</v>
      </c>
      <c r="G185" s="19">
        <v>20421</v>
      </c>
      <c r="H185" s="20">
        <f t="shared" si="43"/>
        <v>1123155</v>
      </c>
      <c r="I185" s="19">
        <v>6477</v>
      </c>
      <c r="J185" s="20">
        <f t="shared" si="44"/>
        <v>356235</v>
      </c>
      <c r="K185" s="20">
        <f t="shared" si="45"/>
        <v>31051</v>
      </c>
      <c r="L185" s="20">
        <f t="shared" si="46"/>
        <v>1707805</v>
      </c>
      <c r="M185" s="18"/>
    </row>
    <row r="186" spans="1:13" x14ac:dyDescent="0.3">
      <c r="A186" s="18" t="s">
        <v>1322</v>
      </c>
      <c r="B186" s="18" t="s">
        <v>1274</v>
      </c>
      <c r="C186" s="19">
        <v>10</v>
      </c>
      <c r="D186" s="18" t="s">
        <v>234</v>
      </c>
      <c r="E186" s="19">
        <v>4153</v>
      </c>
      <c r="F186" s="20">
        <f t="shared" si="42"/>
        <v>41530</v>
      </c>
      <c r="G186" s="19">
        <v>21360</v>
      </c>
      <c r="H186" s="20">
        <f t="shared" si="43"/>
        <v>213600</v>
      </c>
      <c r="I186" s="19">
        <v>6477</v>
      </c>
      <c r="J186" s="20">
        <f t="shared" si="44"/>
        <v>64770</v>
      </c>
      <c r="K186" s="20">
        <f t="shared" si="45"/>
        <v>31990</v>
      </c>
      <c r="L186" s="20">
        <f t="shared" si="46"/>
        <v>319900</v>
      </c>
      <c r="M186" s="18"/>
    </row>
    <row r="187" spans="1:13" x14ac:dyDescent="0.3">
      <c r="A187" s="18" t="s">
        <v>1329</v>
      </c>
      <c r="B187" s="18" t="s">
        <v>370</v>
      </c>
      <c r="C187" s="19">
        <v>10</v>
      </c>
      <c r="D187" s="18" t="s">
        <v>371</v>
      </c>
      <c r="E187" s="19">
        <v>219536</v>
      </c>
      <c r="F187" s="20">
        <f t="shared" si="42"/>
        <v>2195360</v>
      </c>
      <c r="G187" s="19">
        <v>0</v>
      </c>
      <c r="H187" s="20">
        <f t="shared" si="43"/>
        <v>0</v>
      </c>
      <c r="I187" s="19">
        <v>0</v>
      </c>
      <c r="J187" s="20">
        <f t="shared" si="44"/>
        <v>0</v>
      </c>
      <c r="K187" s="20">
        <f t="shared" si="45"/>
        <v>219536</v>
      </c>
      <c r="L187" s="20">
        <f t="shared" si="46"/>
        <v>2195360</v>
      </c>
      <c r="M187" s="18"/>
    </row>
    <row r="188" spans="1:13" x14ac:dyDescent="0.3">
      <c r="A188" s="18" t="s">
        <v>1330</v>
      </c>
      <c r="B188" s="18" t="s">
        <v>1277</v>
      </c>
      <c r="C188" s="19">
        <v>2</v>
      </c>
      <c r="D188" s="18" t="s">
        <v>371</v>
      </c>
      <c r="E188" s="19">
        <v>514228</v>
      </c>
      <c r="F188" s="20">
        <f t="shared" si="42"/>
        <v>1028456</v>
      </c>
      <c r="G188" s="19">
        <v>0</v>
      </c>
      <c r="H188" s="20">
        <f t="shared" si="43"/>
        <v>0</v>
      </c>
      <c r="I188" s="19">
        <v>0</v>
      </c>
      <c r="J188" s="20">
        <f t="shared" si="44"/>
        <v>0</v>
      </c>
      <c r="K188" s="20">
        <f t="shared" si="45"/>
        <v>514228</v>
      </c>
      <c r="L188" s="20">
        <f t="shared" si="46"/>
        <v>1028456</v>
      </c>
      <c r="M188" s="18"/>
    </row>
    <row r="189" spans="1:13" x14ac:dyDescent="0.3">
      <c r="A189" s="18" t="s">
        <v>1331</v>
      </c>
      <c r="B189" s="18" t="s">
        <v>1280</v>
      </c>
      <c r="C189" s="19">
        <v>6</v>
      </c>
      <c r="D189" s="18" t="s">
        <v>234</v>
      </c>
      <c r="E189" s="19">
        <v>54389</v>
      </c>
      <c r="F189" s="20">
        <f t="shared" si="42"/>
        <v>326334</v>
      </c>
      <c r="G189" s="19">
        <v>24723</v>
      </c>
      <c r="H189" s="20">
        <f t="shared" si="43"/>
        <v>148338</v>
      </c>
      <c r="I189" s="19">
        <v>19213</v>
      </c>
      <c r="J189" s="20">
        <f t="shared" si="44"/>
        <v>115278</v>
      </c>
      <c r="K189" s="20">
        <f t="shared" si="45"/>
        <v>98325</v>
      </c>
      <c r="L189" s="20">
        <f t="shared" si="46"/>
        <v>589950</v>
      </c>
      <c r="M189" s="18"/>
    </row>
    <row r="190" spans="1:13" x14ac:dyDescent="0.3">
      <c r="A190" s="18" t="s">
        <v>1332</v>
      </c>
      <c r="B190" s="18" t="s">
        <v>1285</v>
      </c>
      <c r="C190" s="19">
        <v>45</v>
      </c>
      <c r="D190" s="18" t="s">
        <v>234</v>
      </c>
      <c r="E190" s="19">
        <v>24722</v>
      </c>
      <c r="F190" s="20">
        <f t="shared" si="42"/>
        <v>1112490</v>
      </c>
      <c r="G190" s="19">
        <v>12856</v>
      </c>
      <c r="H190" s="20">
        <f t="shared" si="43"/>
        <v>578520</v>
      </c>
      <c r="I190" s="19">
        <v>0</v>
      </c>
      <c r="J190" s="20">
        <f t="shared" si="44"/>
        <v>0</v>
      </c>
      <c r="K190" s="20">
        <f t="shared" si="45"/>
        <v>37578</v>
      </c>
      <c r="L190" s="20">
        <f t="shared" si="46"/>
        <v>1691010</v>
      </c>
      <c r="M190" s="18"/>
    </row>
    <row r="191" spans="1:13" x14ac:dyDescent="0.3">
      <c r="A191" s="18" t="s">
        <v>1333</v>
      </c>
      <c r="B191" s="18" t="s">
        <v>1203</v>
      </c>
      <c r="C191" s="19">
        <v>14</v>
      </c>
      <c r="D191" s="18" t="s">
        <v>1112</v>
      </c>
      <c r="E191" s="19">
        <v>291725</v>
      </c>
      <c r="F191" s="20">
        <f t="shared" si="42"/>
        <v>4084150</v>
      </c>
      <c r="G191" s="19">
        <v>54389</v>
      </c>
      <c r="H191" s="20">
        <f t="shared" si="43"/>
        <v>761446</v>
      </c>
      <c r="I191" s="19">
        <v>30764</v>
      </c>
      <c r="J191" s="20">
        <f t="shared" si="44"/>
        <v>430696</v>
      </c>
      <c r="K191" s="20">
        <f t="shared" si="45"/>
        <v>376878</v>
      </c>
      <c r="L191" s="20">
        <f t="shared" si="46"/>
        <v>5276292</v>
      </c>
      <c r="M191" s="18"/>
    </row>
    <row r="192" spans="1:13" x14ac:dyDescent="0.3">
      <c r="A192" s="18" t="s">
        <v>1334</v>
      </c>
      <c r="B192" s="18" t="s">
        <v>1287</v>
      </c>
      <c r="C192" s="19">
        <v>633</v>
      </c>
      <c r="D192" s="18" t="s">
        <v>97</v>
      </c>
      <c r="E192" s="19">
        <v>6596</v>
      </c>
      <c r="F192" s="20">
        <f t="shared" si="42"/>
        <v>4175268</v>
      </c>
      <c r="G192" s="19">
        <v>6922</v>
      </c>
      <c r="H192" s="20">
        <f t="shared" si="43"/>
        <v>4381626</v>
      </c>
      <c r="I192" s="19">
        <v>5397</v>
      </c>
      <c r="J192" s="20">
        <f t="shared" si="44"/>
        <v>3416301</v>
      </c>
      <c r="K192" s="20">
        <f t="shared" si="45"/>
        <v>18915</v>
      </c>
      <c r="L192" s="20">
        <f t="shared" si="46"/>
        <v>11973195</v>
      </c>
      <c r="M192" s="18"/>
    </row>
    <row r="193" spans="1:13" x14ac:dyDescent="0.3">
      <c r="A193" s="18" t="s">
        <v>1335</v>
      </c>
      <c r="B193" s="18" t="s">
        <v>116</v>
      </c>
      <c r="C193" s="19">
        <v>62</v>
      </c>
      <c r="D193" s="18" t="s">
        <v>97</v>
      </c>
      <c r="E193" s="19">
        <v>6131</v>
      </c>
      <c r="F193" s="20">
        <f t="shared" si="42"/>
        <v>380122</v>
      </c>
      <c r="G193" s="19">
        <v>6922</v>
      </c>
      <c r="H193" s="20">
        <f t="shared" si="43"/>
        <v>429164</v>
      </c>
      <c r="I193" s="19">
        <v>1079</v>
      </c>
      <c r="J193" s="20">
        <f t="shared" si="44"/>
        <v>66898</v>
      </c>
      <c r="K193" s="20">
        <f t="shared" si="45"/>
        <v>14132</v>
      </c>
      <c r="L193" s="20">
        <f t="shared" si="46"/>
        <v>876184</v>
      </c>
      <c r="M193" s="18"/>
    </row>
    <row r="194" spans="1:13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13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</sheetData>
  <mergeCells count="11">
    <mergeCell ref="A1:M1"/>
    <mergeCell ref="C4:C5"/>
    <mergeCell ref="A4:A5"/>
    <mergeCell ref="D4:D5"/>
    <mergeCell ref="K4:L4"/>
    <mergeCell ref="A2:M2"/>
    <mergeCell ref="G4:H4"/>
    <mergeCell ref="E4:F4"/>
    <mergeCell ref="I4:J4"/>
    <mergeCell ref="M4:M5"/>
    <mergeCell ref="B4:B5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표지</vt:lpstr>
      <vt:lpstr>대공정별집계표</vt:lpstr>
      <vt:lpstr>토목</vt:lpstr>
      <vt:lpstr>조경</vt:lpstr>
      <vt:lpstr>회전진입</vt:lpstr>
      <vt:lpstr>지구단위</vt:lpstr>
      <vt:lpstr>토목!Print_Titles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cp:lastPrinted>2026-07-09T07:19:26Z</cp:lastPrinted>
  <dcterms:created xsi:type="dcterms:W3CDTF">2026-07-09T05:48:23Z</dcterms:created>
  <dcterms:modified xsi:type="dcterms:W3CDTF">2026-07-09T07:19:28Z</dcterms:modified>
</cp:coreProperties>
</file>