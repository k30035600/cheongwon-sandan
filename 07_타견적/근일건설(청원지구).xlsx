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총공사비" sheetId="1" state="visible" r:id="rId1"/>
    <sheet xmlns:r="http://schemas.openxmlformats.org/officeDocument/2006/relationships" name="내역집계" sheetId="2" state="visible" r:id="rId2"/>
    <sheet xmlns:r="http://schemas.openxmlformats.org/officeDocument/2006/relationships" name="회전교차로" sheetId="3" state="visible" r:id="rId3"/>
    <sheet xmlns:r="http://schemas.openxmlformats.org/officeDocument/2006/relationships" name="진입도로" sheetId="4" state="visible" r:id="rId4"/>
    <sheet xmlns:r="http://schemas.openxmlformats.org/officeDocument/2006/relationships" name="토목(조경)" sheetId="5" state="visible" r:id="rId5"/>
    <sheet xmlns:r="http://schemas.openxmlformats.org/officeDocument/2006/relationships" name="지구단위" sheetId="6" state="visible" r:id="rId6"/>
    <sheet xmlns:r="http://schemas.openxmlformats.org/officeDocument/2006/relationships" name="폐기물" sheetId="7" state="visible" r:id="rId7"/>
  </sheets>
  <definedNames>
    <definedName name="_xlnm.Print_Area" localSheetId="2">'회전교차로'!$A$1:$O$173</definedName>
    <definedName name="_xlnm.Print_Area" localSheetId="3">'진입도로'!$A$1:$O$180</definedName>
    <definedName name="_xlnm.Print_Area" localSheetId="4">'토목(조경)'!$A$1:$O$606</definedName>
    <definedName name="_xlnm.Print_Area" localSheetId="5">'지구단위'!$A$1:$O$167</definedName>
    <definedName name="_xlnm.Print_Area" localSheetId="6">'폐기물'!$A$1:$O$15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_-* #,##0_-;\-* #,##0_-;_-* &quot;-&quot;_-;_-@_-"/>
  </numFmts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4" fillId="0" borderId="0"/>
    <xf numFmtId="41" fontId="4" fillId="0" borderId="0" applyAlignment="1">
      <alignment vertical="center"/>
    </xf>
  </cellStyleXfs>
  <cellXfs count="7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4" borderId="0" pivotButton="0" quotePrefix="0" xfId="0"/>
    <xf numFmtId="3" fontId="1" fillId="4" borderId="0" pivotButton="0" quotePrefix="0" xfId="0"/>
    <xf numFmtId="164" fontId="0" fillId="0" borderId="0" pivotButton="0" quotePrefix="0" xfId="0"/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2" fontId="1" fillId="3" borderId="0" pivotButton="0" quotePrefix="0" xfId="0"/>
    <xf numFmtId="0" fontId="1" fillId="5" borderId="0" pivotButton="0" quotePrefix="0" xfId="0"/>
    <xf numFmtId="3" fontId="1" fillId="5" borderId="0" pivotButton="0" quotePrefix="0" xfId="0"/>
    <xf numFmtId="2" fontId="1" fillId="5" borderId="0" pivotButton="0" quotePrefix="0" xfId="0"/>
    <xf numFmtId="165" fontId="1" fillId="4" borderId="0" pivotButton="0" quotePrefix="0" xfId="0"/>
    <xf numFmtId="2" fontId="1" fillId="4" borderId="0" pivotButton="0" quotePrefix="0" xfId="0"/>
    <xf numFmtId="165" fontId="1" fillId="3" borderId="0" pivotButton="0" quotePrefix="0" xfId="0"/>
    <xf numFmtId="0" fontId="0" fillId="6" borderId="0" pivotButton="0" quotePrefix="0" xfId="0"/>
    <xf numFmtId="166" fontId="0" fillId="0" borderId="0" pivotButton="0" quotePrefix="0" xfId="1"/>
    <xf numFmtId="166" fontId="1" fillId="2" borderId="0" applyAlignment="1" pivotButton="0" quotePrefix="0" xfId="1">
      <alignment horizontal="center" vertical="center" wrapText="1"/>
    </xf>
    <xf numFmtId="166" fontId="1" fillId="3" borderId="0" pivotButton="0" quotePrefix="0" xfId="1"/>
    <xf numFmtId="166" fontId="1" fillId="4" borderId="0" pivotButton="0" quotePrefix="0" xfId="1"/>
    <xf numFmtId="166" fontId="0" fillId="6" borderId="0" pivotButton="0" quotePrefix="0" xfId="1"/>
    <xf numFmtId="0" fontId="5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3" fontId="0" fillId="0" borderId="5" pivotButton="0" quotePrefix="0" xfId="0"/>
    <xf numFmtId="3" fontId="0" fillId="0" borderId="6" pivotButton="0" quotePrefix="0" xfId="0"/>
    <xf numFmtId="0" fontId="1" fillId="3" borderId="4" pivotButton="0" quotePrefix="0" xfId="0"/>
    <xf numFmtId="0" fontId="1" fillId="3" borderId="5" pivotButton="0" quotePrefix="0" xfId="0"/>
    <xf numFmtId="3" fontId="1" fillId="3" borderId="5" pivotButton="0" quotePrefix="0" xfId="0"/>
    <xf numFmtId="3" fontId="1" fillId="3" borderId="6" pivotButton="0" quotePrefix="0" xfId="0"/>
    <xf numFmtId="0" fontId="6" fillId="0" borderId="5" pivotButton="0" quotePrefix="0" xfId="0"/>
    <xf numFmtId="0" fontId="1" fillId="4" borderId="7" pivotButton="0" quotePrefix="0" xfId="0"/>
    <xf numFmtId="0" fontId="1" fillId="4" borderId="8" pivotButton="0" quotePrefix="0" xfId="0"/>
    <xf numFmtId="3" fontId="1" fillId="4" borderId="8" pivotButton="0" quotePrefix="0" xfId="0"/>
    <xf numFmtId="3" fontId="1" fillId="4" borderId="9" pivotButton="0" quotePrefix="0" xfId="0"/>
    <xf numFmtId="0" fontId="0" fillId="0" borderId="10" pivotButton="0" quotePrefix="0" xfId="0"/>
    <xf numFmtId="0" fontId="0" fillId="0" borderId="11" pivotButton="0" quotePrefix="0" xfId="0"/>
    <xf numFmtId="3" fontId="0" fillId="0" borderId="11" pivotButton="0" quotePrefix="0" xfId="0"/>
    <xf numFmtId="3" fontId="0" fillId="0" borderId="12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1" fillId="3" borderId="0" pivotButton="0" quotePrefix="0" xfId="0"/>
    <xf numFmtId="166" fontId="0" fillId="0" borderId="0" pivotButton="0" quotePrefix="0" xfId="1"/>
    <xf numFmtId="166" fontId="1" fillId="2" borderId="0" applyAlignment="1" pivotButton="0" quotePrefix="0" xfId="1">
      <alignment horizontal="center" vertical="center" wrapText="1"/>
    </xf>
    <xf numFmtId="166" fontId="1" fillId="3" borderId="0" pivotButton="0" quotePrefix="0" xfId="1"/>
    <xf numFmtId="166" fontId="1" fillId="4" borderId="0" pivotButton="0" quotePrefix="0" xfId="1"/>
    <xf numFmtId="0" fontId="9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8" fillId="8" borderId="0" pivotButton="0" quotePrefix="0" xfId="0"/>
    <xf numFmtId="3" fontId="8" fillId="8" borderId="0" pivotButton="0" quotePrefix="0" xfId="0"/>
    <xf numFmtId="0" fontId="8" fillId="8" borderId="0" applyAlignment="1" pivotButton="0" quotePrefix="0" xfId="0">
      <alignment vertical="top" wrapText="1"/>
    </xf>
    <xf numFmtId="3" fontId="8" fillId="8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3" fontId="8" fillId="9" borderId="0" applyAlignment="1" pivotButton="0" quotePrefix="0" xfId="0">
      <alignment vertical="top" wrapTex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style="34" min="1" max="1"/>
    <col width="27" customWidth="1" style="34" min="2" max="2"/>
    <col width="20" customWidth="1" style="34" min="3" max="3"/>
    <col width="30" customWidth="1" style="34" min="4" max="4"/>
    <col width="15" customWidth="1" style="34" min="5" max="5"/>
    <col width="25" customWidth="1" style="34" min="6" max="6"/>
    <col width="15" customWidth="1" style="34" min="7" max="7"/>
    <col width="26" customWidth="1" style="34" min="8" max="8"/>
  </cols>
  <sheetData>
    <row r="1" ht="24" customHeight="1" s="34">
      <c r="A1" s="68" t="inlineStr">
        <is>
          <t>화성 청원지구 — 총공사비 (도급액·간접비 포함)</t>
        </is>
      </c>
    </row>
    <row r="2" ht="24" customHeight="1" s="34"/>
    <row r="3" ht="24" customHeight="1" s="34">
      <c r="A3" t="inlineStr">
        <is>
          <t>【1. 내역서별 요약】</t>
        </is>
      </c>
    </row>
    <row r="4" ht="24" customHeight="1" s="34">
      <c r="A4" t="inlineStr">
        <is>
          <t>① 직접공사비 (재·노·경)</t>
        </is>
      </c>
    </row>
    <row r="5" ht="24" customHeight="1" s="34">
      <c r="A5" s="69" t="inlineStr">
        <is>
          <t>구분</t>
        </is>
      </c>
      <c r="B5" s="69" t="inlineStr">
        <is>
          <t>No</t>
        </is>
      </c>
      <c r="C5" s="69" t="inlineStr">
        <is>
          <t>내역서</t>
        </is>
      </c>
      <c r="D5" s="69" t="inlineStr">
        <is>
          <t>재료비</t>
        </is>
      </c>
      <c r="E5" s="69" t="inlineStr">
        <is>
          <t>노무비</t>
        </is>
      </c>
      <c r="F5" s="69" t="inlineStr">
        <is>
          <t>경비</t>
        </is>
      </c>
      <c r="G5" s="69" t="inlineStr">
        <is>
          <t>직접공사비</t>
        </is>
      </c>
      <c r="H5" s="69" t="inlineStr">
        <is>
          <t>비고</t>
        </is>
      </c>
    </row>
    <row r="6" ht="24" customHeight="1" s="34">
      <c r="A6" t="inlineStr">
        <is>
          <t>회전교차로</t>
        </is>
      </c>
      <c r="B6" t="inlineStr">
        <is>
          <t>05</t>
        </is>
      </c>
      <c r="C6" t="inlineStr">
        <is>
          <t>05 회전교차로</t>
        </is>
      </c>
      <c r="D6" s="3" t="n">
        <v>115856514</v>
      </c>
      <c r="E6" s="3" t="n">
        <v>519405822</v>
      </c>
      <c r="F6" s="3" t="n">
        <v>35734886</v>
      </c>
      <c r="G6" s="3" t="n">
        <v>670997222</v>
      </c>
      <c r="H6" t="inlineStr"/>
    </row>
    <row r="7" ht="24" customHeight="1" s="34">
      <c r="A7" t="inlineStr">
        <is>
          <t>진입도로</t>
        </is>
      </c>
      <c r="B7" t="inlineStr">
        <is>
          <t>04</t>
        </is>
      </c>
      <c r="C7" t="inlineStr">
        <is>
          <t>04 진입도로</t>
        </is>
      </c>
      <c r="D7" s="3" t="n">
        <v>84435224</v>
      </c>
      <c r="E7" s="3" t="n">
        <v>401743339</v>
      </c>
      <c r="F7" s="3" t="n">
        <v>46174874</v>
      </c>
      <c r="G7" s="3" t="n">
        <v>532353437</v>
      </c>
      <c r="H7" t="inlineStr"/>
    </row>
    <row r="8" ht="24" customHeight="1" s="34">
      <c r="A8" t="inlineStr">
        <is>
          <t>토목(조경)</t>
        </is>
      </c>
      <c r="B8" t="inlineStr">
        <is>
          <t>01</t>
        </is>
      </c>
      <c r="C8" t="inlineStr">
        <is>
          <t>01 토목</t>
        </is>
      </c>
      <c r="D8" s="3" t="n">
        <v>381224824</v>
      </c>
      <c r="E8" s="3" t="n">
        <v>1741229079</v>
      </c>
      <c r="F8" s="3" t="n">
        <v>347578180</v>
      </c>
      <c r="G8" s="3" t="n">
        <v>2470032083</v>
      </c>
      <c r="H8" t="inlineStr"/>
    </row>
    <row r="9" ht="24" customHeight="1" s="34">
      <c r="A9" t="inlineStr">
        <is>
          <t>토목(조경)</t>
        </is>
      </c>
      <c r="B9" t="inlineStr">
        <is>
          <t>01</t>
        </is>
      </c>
      <c r="C9" t="inlineStr">
        <is>
          <t>01 조경</t>
        </is>
      </c>
      <c r="D9" s="3" t="n">
        <v>600710000</v>
      </c>
      <c r="E9" s="3" t="n">
        <v>386951000</v>
      </c>
      <c r="F9" s="3" t="n">
        <v>30172000</v>
      </c>
      <c r="G9" s="3" t="n">
        <v>1017833000</v>
      </c>
      <c r="H9" t="inlineStr">
        <is>
          <t>푸른조경 내역(순공사비)·토목요율</t>
        </is>
      </c>
    </row>
    <row r="10" ht="24" customHeight="1" s="34">
      <c r="A10" t="inlineStr">
        <is>
          <t>지구단위</t>
        </is>
      </c>
      <c r="B10" t="inlineStr">
        <is>
          <t>06</t>
        </is>
      </c>
      <c r="C10" t="inlineStr">
        <is>
          <t>06 개발행위</t>
        </is>
      </c>
      <c r="D10" s="3" t="n">
        <v>341175859</v>
      </c>
      <c r="E10" s="3" t="n">
        <v>1079591249</v>
      </c>
      <c r="F10" s="3" t="n">
        <v>302642322</v>
      </c>
      <c r="G10" s="3" t="n">
        <v>1723409430</v>
      </c>
      <c r="H10" t="inlineStr"/>
    </row>
    <row r="11" ht="24" customHeight="1" s="34">
      <c r="A11" t="inlineStr">
        <is>
          <t>폐기물</t>
        </is>
      </c>
      <c r="B11" t="inlineStr">
        <is>
          <t>07</t>
        </is>
      </c>
      <c r="C11" t="inlineStr">
        <is>
          <t>07 건설폐기물</t>
        </is>
      </c>
      <c r="D11" s="3" t="n">
        <v>0</v>
      </c>
      <c r="E11" s="3" t="n">
        <v>0</v>
      </c>
      <c r="F11" s="3" t="n">
        <v>31458312</v>
      </c>
      <c r="G11" s="3" t="n">
        <v>31458312</v>
      </c>
      <c r="H11" t="inlineStr"/>
    </row>
    <row r="12" ht="24" customHeight="1" s="34">
      <c r="A12" s="70" t="inlineStr">
        <is>
          <t>합계</t>
        </is>
      </c>
      <c r="B12" s="70" t="inlineStr"/>
      <c r="C12" s="70" t="inlineStr">
        <is>
          <t>★ 01·04~07</t>
        </is>
      </c>
      <c r="D12" s="71" t="n">
        <v>1523402421</v>
      </c>
      <c r="E12" s="71" t="n">
        <v>4128920489</v>
      </c>
      <c r="F12" s="71" t="n">
        <v>793760574</v>
      </c>
      <c r="G12" s="71" t="n">
        <v>6446083484</v>
      </c>
      <c r="H12" s="70" t="inlineStr">
        <is>
          <t>구분 시트 ★소계 합</t>
        </is>
      </c>
    </row>
    <row r="13" ht="24" customHeight="1" s="34"/>
    <row r="14" ht="24" customHeight="1" s="34">
      <c r="A14" t="inlineStr">
        <is>
          <t>② 간접비·도급액</t>
        </is>
      </c>
    </row>
    <row r="15" ht="24" customHeight="1" s="34">
      <c r="A15" s="69" t="inlineStr">
        <is>
          <t>항목</t>
        </is>
      </c>
      <c r="B15" s="69" t="inlineStr">
        <is>
          <t>05 회전교차로</t>
        </is>
      </c>
      <c r="C15" s="69" t="inlineStr">
        <is>
          <t>04 진입도로</t>
        </is>
      </c>
      <c r="D15" s="69" t="inlineStr">
        <is>
          <t>01 토목</t>
        </is>
      </c>
      <c r="E15" s="69" t="inlineStr">
        <is>
          <t>01 조경</t>
        </is>
      </c>
      <c r="F15" s="69" t="inlineStr">
        <is>
          <t>06 개발행위</t>
        </is>
      </c>
      <c r="G15" s="69" t="inlineStr">
        <is>
          <t>07 건설폐기물</t>
        </is>
      </c>
      <c r="H15" s="69" t="inlineStr">
        <is>
          <t>합계</t>
        </is>
      </c>
    </row>
    <row r="16" ht="24" customHeight="1" s="34">
      <c r="A16" t="inlineStr">
        <is>
          <t>간접노무비</t>
        </is>
      </c>
      <c r="B16" s="3" t="n">
        <v>102322947</v>
      </c>
      <c r="C16" s="3" t="n">
        <v>79143438</v>
      </c>
      <c r="D16" s="3" t="n">
        <v>343022129</v>
      </c>
      <c r="E16" s="3" t="n">
        <v>76229347</v>
      </c>
      <c r="F16" s="3" t="n">
        <v>212679476</v>
      </c>
      <c r="G16" s="3" t="n">
        <v>0</v>
      </c>
      <c r="H16" s="3">
        <f>B16+C16+D16+E16+F16+G16</f>
        <v/>
      </c>
    </row>
    <row r="17" ht="24" customHeight="1" s="34">
      <c r="A17" t="inlineStr">
        <is>
          <t>순공사원가</t>
        </is>
      </c>
      <c r="B17" s="3" t="n">
        <v>926519661</v>
      </c>
      <c r="C17" s="3" t="n">
        <v>730139087</v>
      </c>
      <c r="D17" s="3" t="n">
        <v>3321061676</v>
      </c>
      <c r="E17" s="3" t="n">
        <v>1264276727</v>
      </c>
      <c r="F17" s="3" t="n">
        <v>2264694918</v>
      </c>
      <c r="G17" s="3" t="n">
        <v>31867270</v>
      </c>
      <c r="H17" s="3">
        <f>B17+C17+D17+E17+F17+G17</f>
        <v/>
      </c>
    </row>
    <row r="18" ht="24" customHeight="1" s="34">
      <c r="A18" t="inlineStr">
        <is>
          <t>일반관리비</t>
        </is>
      </c>
      <c r="B18" s="3" t="n">
        <v>74121573</v>
      </c>
      <c r="C18" s="3" t="n">
        <v>58411127</v>
      </c>
      <c r="D18" s="3" t="n">
        <v>265684934</v>
      </c>
      <c r="E18" s="3" t="n">
        <v>101142138</v>
      </c>
      <c r="F18" s="3" t="n">
        <v>181175593</v>
      </c>
      <c r="G18" s="3" t="n">
        <v>2549382</v>
      </c>
      <c r="H18" s="3">
        <f>B18+C18+D18+E18+F18+G18</f>
        <v/>
      </c>
    </row>
    <row r="19" ht="24" customHeight="1" s="34">
      <c r="A19" t="inlineStr">
        <is>
          <t>이윤</t>
        </is>
      </c>
      <c r="B19" s="3" t="n">
        <v>132717708</v>
      </c>
      <c r="C19" s="3" t="n">
        <v>105617249</v>
      </c>
      <c r="D19" s="3" t="n">
        <v>480828268</v>
      </c>
      <c r="E19" s="3" t="n">
        <v>114706330</v>
      </c>
      <c r="F19" s="3" t="n">
        <v>315704198</v>
      </c>
      <c r="G19" s="3" t="n">
        <v>5162498</v>
      </c>
      <c r="H19" s="3">
        <f>B19+C19+D19+E19+F19+G19</f>
        <v/>
      </c>
    </row>
    <row r="20" ht="24" customHeight="1" s="34">
      <c r="A20" t="inlineStr">
        <is>
          <t>부가세</t>
        </is>
      </c>
      <c r="B20" s="3" t="n">
        <v>118315823</v>
      </c>
      <c r="C20" s="3" t="n">
        <v>93353978</v>
      </c>
      <c r="D20" s="3" t="n">
        <v>424856086</v>
      </c>
      <c r="E20" s="3" t="n">
        <v>155020931</v>
      </c>
      <c r="F20" s="3" t="n">
        <v>288602477</v>
      </c>
      <c r="G20" s="3" t="n">
        <v>4158539</v>
      </c>
      <c r="H20" s="3">
        <f>B20+C20+D20+E20+F20+G20</f>
        <v/>
      </c>
    </row>
    <row r="21" ht="24" customHeight="1" s="34">
      <c r="A21" s="70" t="inlineStr">
        <is>
          <t>도급액</t>
        </is>
      </c>
      <c r="B21" s="71" t="n">
        <v>1301474051</v>
      </c>
      <c r="C21" s="71" t="n">
        <v>1026893755</v>
      </c>
      <c r="D21" s="71" t="n">
        <v>4673416942</v>
      </c>
      <c r="E21" s="71" t="n">
        <v>1705230242</v>
      </c>
      <c r="F21" s="71" t="n">
        <v>3174627245</v>
      </c>
      <c r="G21" s="71" t="n">
        <v>45743924</v>
      </c>
      <c r="H21" s="71">
        <f>B21+C21+D21+E21+F21+G21</f>
        <v/>
      </c>
    </row>
    <row r="22" ht="24" customHeight="1" s="34">
      <c r="A22" t="inlineStr">
        <is>
          <t>배율</t>
        </is>
      </c>
      <c r="B22" s="60">
        <f>IF(G6=0,0,B21/G6)</f>
        <v/>
      </c>
      <c r="C22" s="60">
        <f>IF(G7=0,0,C21/G7)</f>
        <v/>
      </c>
      <c r="D22" s="60">
        <f>IF(G8=0,0,D21/G8)</f>
        <v/>
      </c>
      <c r="E22" s="60">
        <f>IF(G9=0,0,E21/G9)</f>
        <v/>
      </c>
      <c r="F22" s="60">
        <f>IF(G10=0,0,F21/G10)</f>
        <v/>
      </c>
      <c r="G22" s="60">
        <f>IF(G11=0,0,G21/G11)</f>
        <v/>
      </c>
      <c r="H22" s="60">
        <f>IF(G12=0,0,H21/G12)</f>
        <v/>
      </c>
    </row>
    <row r="23" ht="24" customHeight="1" s="34"/>
    <row r="24" ht="24" customHeight="1" s="34">
      <c r="A24" t="inlineStr">
        <is>
          <t>【2. 간접비·원가계산 (내역서별 합산)】</t>
        </is>
      </c>
    </row>
    <row r="25" ht="24" customHeight="1" s="34">
      <c r="A25" s="69" t="inlineStr">
        <is>
          <t>단계</t>
        </is>
      </c>
      <c r="B25" s="69" t="inlineStr">
        <is>
          <t>항목</t>
        </is>
      </c>
      <c r="C25" s="69" t="inlineStr">
        <is>
          <t>금액(원)</t>
        </is>
      </c>
      <c r="D25" s="69" t="inlineStr">
        <is>
          <t>산식</t>
        </is>
      </c>
      <c r="E25" s="69" t="n"/>
      <c r="F25" s="69" t="inlineStr">
        <is>
          <t>비고</t>
        </is>
      </c>
      <c r="G25" s="69" t="n"/>
    </row>
    <row r="26" ht="24" customHeight="1" s="34">
      <c r="A26" s="72" t="inlineStr">
        <is>
          <t>①</t>
        </is>
      </c>
      <c r="B26" s="72" t="inlineStr">
        <is>
          <t>직접공사비</t>
        </is>
      </c>
      <c r="C26" s="73" t="n">
        <v>6446083486</v>
      </c>
      <c r="D26" s="72" t="inlineStr">
        <is>
          <t>재료비+직접노무비+직접경비</t>
        </is>
      </c>
      <c r="E26" s="72" t="n"/>
      <c r="F26" s="72" t="inlineStr">
        <is>
          <t>01·04~07 내역서별 합산</t>
        </is>
      </c>
      <c r="G26" s="72" t="n"/>
    </row>
    <row r="27" ht="24" customHeight="1" s="34">
      <c r="A27" s="35" t="inlineStr"/>
      <c r="B27" s="35" t="inlineStr">
        <is>
          <t xml:space="preserve">· 재료비</t>
        </is>
      </c>
      <c r="C27" s="10" t="n">
        <v>1523402421</v>
      </c>
      <c r="D27" s="35" t="inlineStr"/>
      <c r="E27" s="35" t="n"/>
      <c r="F27" s="35" t="inlineStr"/>
      <c r="G27" s="35" t="n"/>
    </row>
    <row r="28" ht="24" customHeight="1" s="34">
      <c r="A28" s="35" t="inlineStr"/>
      <c r="B28" s="35" t="inlineStr">
        <is>
          <t xml:space="preserve">· 직접노무비</t>
        </is>
      </c>
      <c r="C28" s="10" t="n">
        <v>4128920489</v>
      </c>
      <c r="D28" s="35" t="inlineStr"/>
      <c r="E28" s="35" t="n"/>
      <c r="F28" s="35" t="inlineStr"/>
      <c r="G28" s="35" t="n"/>
    </row>
    <row r="29" ht="24" customHeight="1" s="34">
      <c r="A29" s="35" t="inlineStr"/>
      <c r="B29" s="35" t="inlineStr">
        <is>
          <t xml:space="preserve">· 직접경비</t>
        </is>
      </c>
      <c r="C29" s="10" t="n">
        <v>793760574</v>
      </c>
      <c r="D29" s="35" t="inlineStr"/>
      <c r="E29" s="35" t="n"/>
      <c r="F29" s="35" t="inlineStr"/>
      <c r="G29" s="35" t="n"/>
    </row>
    <row r="30" ht="24" customHeight="1" s="34">
      <c r="A30" s="35" t="inlineStr">
        <is>
          <t>②</t>
        </is>
      </c>
      <c r="B30" s="35" t="inlineStr">
        <is>
          <t>간접노무비</t>
        </is>
      </c>
      <c r="C30" s="10" t="n">
        <v>813397337</v>
      </c>
      <c r="D30" s="35" t="inlineStr">
        <is>
          <t>직접노무비 × 19.7%</t>
        </is>
      </c>
      <c r="E30" s="35" t="n"/>
      <c r="F30" s="35" t="inlineStr">
        <is>
          <t>01·04~07 내역서별 합산</t>
        </is>
      </c>
      <c r="G30" s="35" t="n"/>
    </row>
    <row r="31" ht="24" customHeight="1" s="34">
      <c r="A31" s="74" t="inlineStr"/>
      <c r="B31" s="74" t="inlineStr">
        <is>
          <t>노무비계(직접+간접)</t>
        </is>
      </c>
      <c r="C31" s="75" t="n">
        <v>4942317826</v>
      </c>
      <c r="D31" s="74" t="inlineStr"/>
      <c r="E31" s="74" t="n"/>
      <c r="F31" s="74" t="inlineStr">
        <is>
          <t>01·04~07 내역서별 합산</t>
        </is>
      </c>
      <c r="G31" s="74" t="n"/>
    </row>
    <row r="32" ht="24" customHeight="1" s="34">
      <c r="A32" s="35" t="inlineStr">
        <is>
          <t>③</t>
        </is>
      </c>
      <c r="B32" s="35" t="inlineStr">
        <is>
          <t>산재보험료</t>
        </is>
      </c>
      <c r="C32" s="10" t="n">
        <v>175946514</v>
      </c>
      <c r="D32" s="35" t="inlineStr">
        <is>
          <t>노무비계 × 3.56%</t>
        </is>
      </c>
      <c r="E32" s="35" t="n"/>
      <c r="F32" s="35" t="inlineStr">
        <is>
          <t>01·04~07 내역서별 합산</t>
        </is>
      </c>
      <c r="G32" s="35" t="n"/>
    </row>
    <row r="33" ht="24" customHeight="1" s="34">
      <c r="A33" s="35" t="inlineStr">
        <is>
          <t>③</t>
        </is>
      </c>
      <c r="B33" s="35" t="inlineStr">
        <is>
          <t>고용보험료</t>
        </is>
      </c>
      <c r="C33" s="10" t="n">
        <v>49917410</v>
      </c>
      <c r="D33" s="35" t="inlineStr">
        <is>
          <t>노무비계 × 1.01%</t>
        </is>
      </c>
      <c r="E33" s="35" t="n"/>
      <c r="F33" s="35" t="inlineStr">
        <is>
          <t>01·04~07 내역서별 합산</t>
        </is>
      </c>
      <c r="G33" s="35" t="n"/>
    </row>
    <row r="34" ht="24" customHeight="1" s="34">
      <c r="A34" s="35" t="inlineStr">
        <is>
          <t>③</t>
        </is>
      </c>
      <c r="B34" s="35" t="inlineStr">
        <is>
          <t>국민건강보험료</t>
        </is>
      </c>
      <c r="C34" s="10" t="n">
        <v>148434690</v>
      </c>
      <c r="D34" s="35" t="inlineStr">
        <is>
          <t>직접노무비 × 3.595%</t>
        </is>
      </c>
      <c r="E34" s="35" t="n"/>
      <c r="F34" s="35" t="inlineStr">
        <is>
          <t>01·04~07 내역서별 합산</t>
        </is>
      </c>
      <c r="G34" s="35" t="n"/>
    </row>
    <row r="35" ht="24" customHeight="1" s="34">
      <c r="A35" s="35" t="inlineStr">
        <is>
          <t>③</t>
        </is>
      </c>
      <c r="B35" s="35" t="inlineStr">
        <is>
          <t>국민연금보험료</t>
        </is>
      </c>
      <c r="C35" s="10" t="n">
        <v>196123723</v>
      </c>
      <c r="D35" s="35" t="inlineStr">
        <is>
          <t>직접노무비 × 4.75%</t>
        </is>
      </c>
      <c r="E35" s="35" t="n"/>
      <c r="F35" s="35" t="inlineStr">
        <is>
          <t>01·04~07 내역서별 합산</t>
        </is>
      </c>
      <c r="G35" s="35" t="n"/>
    </row>
    <row r="36" ht="24" customHeight="1" s="34">
      <c r="A36" s="35" t="inlineStr">
        <is>
          <t>③</t>
        </is>
      </c>
      <c r="B36" s="35" t="inlineStr">
        <is>
          <t>노인장기요양보험료</t>
        </is>
      </c>
      <c r="C36" s="10" t="n">
        <v>19504319</v>
      </c>
      <c r="D36" s="35" t="inlineStr">
        <is>
          <t>건강보험료 × 13.14%</t>
        </is>
      </c>
      <c r="E36" s="35" t="n"/>
      <c r="F36" s="35" t="inlineStr">
        <is>
          <t>01·04~07 내역서별 합산</t>
        </is>
      </c>
      <c r="G36" s="35" t="n"/>
    </row>
    <row r="37" ht="24" customHeight="1" s="34">
      <c r="A37" s="35" t="inlineStr">
        <is>
          <t>③</t>
        </is>
      </c>
      <c r="B37" s="35" t="inlineStr">
        <is>
          <t>산업안전보건관리비</t>
        </is>
      </c>
      <c r="C37" s="10" t="n">
        <v>159218077</v>
      </c>
      <c r="D37" s="35" t="inlineStr">
        <is>
          <t>(재료비+직접노무비) × 2.53% + 기초액 3,300,000원</t>
        </is>
      </c>
      <c r="E37" s="35" t="n"/>
      <c r="F37" s="35" t="inlineStr">
        <is>
          <t>01·04~07 내역서별 합산</t>
        </is>
      </c>
      <c r="G37" s="35" t="n"/>
    </row>
    <row r="38" ht="24" customHeight="1" s="34">
      <c r="A38" s="35" t="inlineStr">
        <is>
          <t>③</t>
        </is>
      </c>
      <c r="B38" s="35" t="inlineStr">
        <is>
          <t>기타경비</t>
        </is>
      </c>
      <c r="C38" s="10" t="n">
        <v>446134697</v>
      </c>
      <c r="D38" s="35" t="inlineStr">
        <is>
          <t>(재료비+노무비계) × 6.9%</t>
        </is>
      </c>
      <c r="E38" s="35" t="n"/>
      <c r="F38" s="35" t="inlineStr">
        <is>
          <t>01·04~07 내역서별 합산</t>
        </is>
      </c>
      <c r="G38" s="35" t="n"/>
    </row>
    <row r="39" ht="24" customHeight="1" s="34">
      <c r="A39" s="35" t="inlineStr">
        <is>
          <t>③</t>
        </is>
      </c>
      <c r="B39" s="35" t="inlineStr">
        <is>
          <t>건설기계대여대금 지급보증</t>
        </is>
      </c>
      <c r="C39" s="10" t="n">
        <v>25784334</v>
      </c>
      <c r="D39" s="35" t="inlineStr">
        <is>
          <t>직접공사비 × 0.4% (법정부담금)</t>
        </is>
      </c>
      <c r="E39" s="35" t="n"/>
      <c r="F39" s="35" t="inlineStr">
        <is>
          <t>01·04~07 내역서별 합산</t>
        </is>
      </c>
      <c r="G39" s="35" t="n"/>
    </row>
    <row r="40" ht="24" customHeight="1" s="34">
      <c r="A40" s="35" t="inlineStr">
        <is>
          <t>③</t>
        </is>
      </c>
      <c r="B40" s="35" t="inlineStr">
        <is>
          <t>환경보전비</t>
        </is>
      </c>
      <c r="C40" s="10" t="n">
        <v>58014752</v>
      </c>
      <c r="D40" s="35" t="inlineStr">
        <is>
          <t>직접공사비 × 0.9%</t>
        </is>
      </c>
      <c r="E40" s="35" t="n"/>
      <c r="F40" s="35" t="inlineStr">
        <is>
          <t>01·04~07 내역서별 합산</t>
        </is>
      </c>
      <c r="G40" s="35" t="n"/>
    </row>
    <row r="41" ht="24" customHeight="1" s="34">
      <c r="A41" s="74" t="inlineStr"/>
      <c r="B41" s="74" t="inlineStr">
        <is>
          <t>경비계(직접경비+산출경비)</t>
        </is>
      </c>
      <c r="C41" s="75" t="n">
        <v>2072839091</v>
      </c>
      <c r="D41" s="74" t="inlineStr"/>
      <c r="E41" s="74" t="n"/>
      <c r="F41" s="74" t="inlineStr">
        <is>
          <t>01·04~07 내역서별 합산</t>
        </is>
      </c>
      <c r="G41" s="74" t="n"/>
    </row>
    <row r="42" ht="24" customHeight="1" s="34">
      <c r="A42" s="72" t="inlineStr">
        <is>
          <t>⑥</t>
        </is>
      </c>
      <c r="B42" s="72" t="inlineStr">
        <is>
          <t>순공사원가</t>
        </is>
      </c>
      <c r="C42" s="73" t="n">
        <v>8538559339</v>
      </c>
      <c r="D42" s="72" t="inlineStr">
        <is>
          <t>재료비+노무비계+경비계</t>
        </is>
      </c>
      <c r="E42" s="72" t="n"/>
      <c r="F42" s="72" t="inlineStr">
        <is>
          <t>01·04~07 내역서별 합산</t>
        </is>
      </c>
      <c r="G42" s="72" t="n"/>
    </row>
    <row r="43" ht="24" customHeight="1" s="34">
      <c r="A43" s="35" t="inlineStr">
        <is>
          <t>⑦</t>
        </is>
      </c>
      <c r="B43" s="35" t="inlineStr">
        <is>
          <t>일반관리비</t>
        </is>
      </c>
      <c r="C43" s="10" t="n">
        <v>683084747</v>
      </c>
      <c r="D43" s="35" t="inlineStr">
        <is>
          <t>순공사원가 × 8% (추정가격 구간)</t>
        </is>
      </c>
      <c r="E43" s="35" t="n"/>
      <c r="F43" s="35" t="inlineStr">
        <is>
          <t>01·04~07 내역서별 합산</t>
        </is>
      </c>
      <c r="G43" s="35" t="n"/>
    </row>
    <row r="44" ht="24" customHeight="1" s="34">
      <c r="A44" s="35" t="inlineStr">
        <is>
          <t>⑧</t>
        </is>
      </c>
      <c r="B44" s="35" t="inlineStr">
        <is>
          <t>이윤</t>
        </is>
      </c>
      <c r="C44" s="10" t="n">
        <v>1154736251</v>
      </c>
      <c r="D44" s="35" t="inlineStr">
        <is>
          <t>(노무비계+경비계+일반관리비) × 15% (추정가격 구간)</t>
        </is>
      </c>
      <c r="E44" s="35" t="n"/>
      <c r="F44" s="35" t="inlineStr">
        <is>
          <t>01·04~07 내역서별 합산</t>
        </is>
      </c>
      <c r="G44" s="35" t="n"/>
    </row>
    <row r="45" ht="24" customHeight="1" s="34">
      <c r="A45" s="35" t="inlineStr">
        <is>
          <t>⑨</t>
        </is>
      </c>
      <c r="B45" s="35" t="inlineStr">
        <is>
          <t>이행(준공)보증보험료</t>
        </is>
      </c>
      <c r="C45" s="10" t="n">
        <v>31129141</v>
      </c>
      <c r="D45" s="35" t="inlineStr">
        <is>
          <t>공급가액(이윤까지) × 0.3% (PF·책임준공)</t>
        </is>
      </c>
      <c r="E45" s="35" t="n"/>
      <c r="F45" s="35" t="inlineStr">
        <is>
          <t>01·04~07 내역서별 합산</t>
        </is>
      </c>
      <c r="G45" s="35" t="n"/>
    </row>
    <row r="46" ht="24" customHeight="1" s="34">
      <c r="A46" s="35" t="inlineStr">
        <is>
          <t>⑨</t>
        </is>
      </c>
      <c r="B46" s="35" t="inlineStr">
        <is>
          <t>PF·신용 리스크 프리미엄</t>
        </is>
      </c>
      <c r="C46" s="10" t="n">
        <v>435568849</v>
      </c>
      <c r="D46" s="35" t="inlineStr">
        <is>
          <t>(직접공사비+간접노무비) × 6% (책임준공·미확정)</t>
        </is>
      </c>
      <c r="E46" s="35" t="n"/>
      <c r="F46" s="35" t="inlineStr">
        <is>
          <t>01·04~07 내역서별 합산</t>
        </is>
      </c>
      <c r="G46" s="35" t="n"/>
    </row>
    <row r="47" ht="24" customHeight="1" s="34">
      <c r="A47" s="74" t="inlineStr"/>
      <c r="B47" s="74" t="inlineStr">
        <is>
          <t>공급가액</t>
        </is>
      </c>
      <c r="C47" s="75" t="n">
        <v>10843078326</v>
      </c>
      <c r="D47" s="74" t="inlineStr">
        <is>
          <t>순공사원가+일반관리비+이윤+PF협의항목</t>
        </is>
      </c>
      <c r="E47" s="74" t="n"/>
      <c r="F47" s="74" t="inlineStr">
        <is>
          <t>01·04~07 내역서별 합산</t>
        </is>
      </c>
      <c r="G47" s="74" t="n"/>
    </row>
    <row r="48" ht="24" customHeight="1" s="34">
      <c r="A48" s="35" t="inlineStr"/>
      <c r="B48" s="35" t="inlineStr">
        <is>
          <t>부가가치세</t>
        </is>
      </c>
      <c r="C48" s="10" t="n">
        <v>1084307834</v>
      </c>
      <c r="D48" s="35" t="inlineStr">
        <is>
          <t>공급가액 × 10%</t>
        </is>
      </c>
      <c r="E48" s="35" t="n"/>
      <c r="F48" s="35" t="inlineStr">
        <is>
          <t>01·04~07 내역서별 합산</t>
        </is>
      </c>
      <c r="G48" s="35" t="n"/>
    </row>
    <row r="49" ht="24" customHeight="1" s="34">
      <c r="A49" s="72" t="inlineStr">
        <is>
          <t>★</t>
        </is>
      </c>
      <c r="B49" s="72" t="inlineStr">
        <is>
          <t>도급액(총공사비)</t>
        </is>
      </c>
      <c r="C49" s="73" t="n">
        <v>11927386159</v>
      </c>
      <c r="D49" s="72" t="inlineStr">
        <is>
          <t>공급가액 + 부가세 (직접비의 1.850배·통합)</t>
        </is>
      </c>
      <c r="E49" s="72" t="n"/>
      <c r="F49" s="72" t="inlineStr">
        <is>
          <t>01·04~07 내역서별 합산</t>
        </is>
      </c>
      <c r="G49" s="72" t="n"/>
    </row>
  </sheetData>
  <mergeCells count="50">
    <mergeCell ref="F29:G29"/>
    <mergeCell ref="D34:E34"/>
    <mergeCell ref="F25:G25"/>
    <mergeCell ref="F34:G34"/>
    <mergeCell ref="D46:E46"/>
    <mergeCell ref="D40:E40"/>
    <mergeCell ref="D36:E36"/>
    <mergeCell ref="D31:E31"/>
    <mergeCell ref="F40:G40"/>
    <mergeCell ref="D45:E45"/>
    <mergeCell ref="F30:G30"/>
    <mergeCell ref="D49:E49"/>
    <mergeCell ref="D27:E27"/>
    <mergeCell ref="F33:G33"/>
    <mergeCell ref="F45:G45"/>
    <mergeCell ref="D32:E32"/>
    <mergeCell ref="F36:G36"/>
    <mergeCell ref="F42:G42"/>
    <mergeCell ref="F32:G32"/>
    <mergeCell ref="D41:E41"/>
    <mergeCell ref="F26:G26"/>
    <mergeCell ref="F41:G41"/>
    <mergeCell ref="D48:E48"/>
    <mergeCell ref="F35:G35"/>
    <mergeCell ref="D47:E47"/>
    <mergeCell ref="F47:G47"/>
    <mergeCell ref="F38:G38"/>
    <mergeCell ref="D43:E43"/>
    <mergeCell ref="D37:E37"/>
    <mergeCell ref="F31:G31"/>
    <mergeCell ref="D28:E28"/>
    <mergeCell ref="F46:G46"/>
    <mergeCell ref="F28:G28"/>
    <mergeCell ref="F27:G27"/>
    <mergeCell ref="D39:E39"/>
    <mergeCell ref="D25:E25"/>
    <mergeCell ref="F43:G43"/>
    <mergeCell ref="F37:G37"/>
    <mergeCell ref="F39:G39"/>
    <mergeCell ref="D30:E30"/>
    <mergeCell ref="D42:E42"/>
    <mergeCell ref="F48:G48"/>
    <mergeCell ref="D33:E33"/>
    <mergeCell ref="D29:E29"/>
    <mergeCell ref="D38:E38"/>
    <mergeCell ref="F49:G49"/>
    <mergeCell ref="F44:G44"/>
    <mergeCell ref="D26:E26"/>
    <mergeCell ref="D44:E44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topLeftCell="A7" workbookViewId="0">
      <selection activeCell="L15" sqref="L15"/>
    </sheetView>
  </sheetViews>
  <sheetFormatPr baseColWidth="8" defaultRowHeight="16.5"/>
  <cols>
    <col width="20" bestFit="1" customWidth="1" style="34" min="1" max="1"/>
    <col width="6" bestFit="1" customWidth="1" style="34" min="2" max="2"/>
    <col width="15" bestFit="1" customWidth="1" style="34" min="3" max="3"/>
    <col width="20" bestFit="1" customWidth="1" style="34" min="4" max="4"/>
    <col width="10" bestFit="1" customWidth="1" style="34" min="5" max="5"/>
    <col width="10" bestFit="1" customWidth="1" style="34" min="6" max="6"/>
    <col width="10" bestFit="1" customWidth="1" style="34" min="7" max="7"/>
    <col width="15" customWidth="1" style="34" min="8" max="9"/>
    <col width="15" customWidth="1" style="34" min="9" max="9"/>
    <col width="15" bestFit="1" customWidth="1" style="34" min="10" max="10"/>
    <col width="15" customWidth="1" style="34" min="11" max="11"/>
    <col width="19" bestFit="1" customWidth="1" style="34" min="12" max="12"/>
  </cols>
  <sheetData>
    <row r="1" ht="24" customHeight="1" s="34">
      <c r="A1" s="39" t="inlineStr">
        <is>
          <t>화성 청원지구 — 내역 집계 (01·04~07, 02 전기 제외)</t>
        </is>
      </c>
    </row>
    <row r="2" ht="24" customHeight="1" s="34"/>
    <row r="3" ht="24" customHeight="1" s="34">
      <c r="A3" s="38" t="inlineStr">
        <is>
          <t>구분</t>
        </is>
      </c>
      <c r="B3" s="38" t="inlineStr">
        <is>
          <t>No</t>
        </is>
      </c>
      <c r="C3" s="38" t="inlineStr">
        <is>
          <t>내역서</t>
        </is>
      </c>
      <c r="D3" s="38" t="inlineStr">
        <is>
          <t>공종</t>
        </is>
      </c>
      <c r="E3" s="38" t="inlineStr">
        <is>
          <t>매칭</t>
        </is>
      </c>
      <c r="F3" s="38" t="inlineStr">
        <is>
          <t>전체</t>
        </is>
      </c>
      <c r="G3" s="38" t="inlineStr">
        <is>
          <t>매칭률</t>
        </is>
      </c>
      <c r="H3" s="38" t="inlineStr">
        <is>
          <t>재료비</t>
        </is>
      </c>
      <c r="I3" s="38" t="inlineStr">
        <is>
          <t>노무비</t>
        </is>
      </c>
      <c r="J3" s="38" t="inlineStr">
        <is>
          <t>경비</t>
        </is>
      </c>
      <c r="K3" s="38" t="inlineStr">
        <is>
          <t>합계</t>
        </is>
      </c>
      <c r="L3" s="38" t="inlineStr">
        <is>
          <t>합계(억)</t>
        </is>
      </c>
    </row>
    <row r="4" ht="24" customHeight="1" s="34">
      <c r="A4" t="inlineStr">
        <is>
          <t>회전교차로</t>
        </is>
      </c>
      <c r="B4" t="inlineStr">
        <is>
          <t>05</t>
        </is>
      </c>
      <c r="C4" t="inlineStr">
        <is>
          <t>05 회전교차로</t>
        </is>
      </c>
      <c r="D4" t="inlineStr">
        <is>
          <t>9. 산업안전보건관리비</t>
        </is>
      </c>
      <c r="E4" t="n">
        <v>0</v>
      </c>
      <c r="F4" t="n">
        <v>1</v>
      </c>
      <c r="G4" s="61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4" t="n">
        <v>0</v>
      </c>
    </row>
    <row r="5" ht="24" customHeight="1" s="34">
      <c r="A5" t="inlineStr">
        <is>
          <t>회전교차로</t>
        </is>
      </c>
      <c r="B5" t="inlineStr">
        <is>
          <t>05</t>
        </is>
      </c>
      <c r="C5" t="inlineStr">
        <is>
          <t>05 회전교차로</t>
        </is>
      </c>
      <c r="D5" t="inlineStr">
        <is>
          <t>1. 토 공</t>
        </is>
      </c>
      <c r="E5" t="n">
        <v>21</v>
      </c>
      <c r="F5" t="n">
        <v>21</v>
      </c>
      <c r="G5" s="61" t="n">
        <v>1</v>
      </c>
      <c r="H5" s="3" t="n">
        <v>10163806</v>
      </c>
      <c r="I5" s="3" t="n">
        <v>30847384</v>
      </c>
      <c r="J5" s="3" t="n">
        <v>12145548</v>
      </c>
      <c r="K5" s="3" t="n">
        <v>53156738</v>
      </c>
      <c r="L5" s="14" t="n">
        <v>0.53156738</v>
      </c>
    </row>
    <row r="6" ht="24" customHeight="1" s="34">
      <c r="A6" t="inlineStr">
        <is>
          <t>회전교차로</t>
        </is>
      </c>
      <c r="B6" t="inlineStr">
        <is>
          <t>05</t>
        </is>
      </c>
      <c r="C6" t="inlineStr">
        <is>
          <t>05 회전교차로</t>
        </is>
      </c>
      <c r="D6" t="inlineStr">
        <is>
          <t>2. 우 수 공</t>
        </is>
      </c>
      <c r="E6" t="n">
        <v>38</v>
      </c>
      <c r="F6" t="n">
        <v>42</v>
      </c>
      <c r="G6" s="61" t="n">
        <v>0.9047619047619048</v>
      </c>
      <c r="H6" s="3" t="n">
        <v>10110091.836</v>
      </c>
      <c r="I6" s="3" t="n">
        <v>57050724.279</v>
      </c>
      <c r="J6" s="3" t="n">
        <v>5814386</v>
      </c>
      <c r="K6" s="3" t="n">
        <v>72975202.11500001</v>
      </c>
      <c r="L6" s="14" t="n">
        <v>0.72975202115</v>
      </c>
    </row>
    <row r="7" ht="24" customHeight="1" s="34">
      <c r="A7" t="inlineStr">
        <is>
          <t>회전교차로</t>
        </is>
      </c>
      <c r="B7" t="inlineStr">
        <is>
          <t>05</t>
        </is>
      </c>
      <c r="C7" t="inlineStr">
        <is>
          <t>05 회전교차로</t>
        </is>
      </c>
      <c r="D7" t="inlineStr">
        <is>
          <t>3. 포 장 공</t>
        </is>
      </c>
      <c r="E7" t="n">
        <v>46</v>
      </c>
      <c r="F7" t="n">
        <v>53</v>
      </c>
      <c r="G7" s="61" t="n">
        <v>0.8679245283018868</v>
      </c>
      <c r="H7" s="3" t="n">
        <v>25531309</v>
      </c>
      <c r="I7" s="3" t="n">
        <v>181022224</v>
      </c>
      <c r="J7" s="3" t="n">
        <v>14034229</v>
      </c>
      <c r="K7" s="3" t="n">
        <v>220587762</v>
      </c>
      <c r="L7" s="14" t="n">
        <v>2.20587762</v>
      </c>
    </row>
    <row r="8" ht="24" customHeight="1" s="34">
      <c r="A8" t="inlineStr">
        <is>
          <t>회전교차로</t>
        </is>
      </c>
      <c r="B8" t="inlineStr">
        <is>
          <t>05</t>
        </is>
      </c>
      <c r="C8" t="inlineStr">
        <is>
          <t>05 회전교차로</t>
        </is>
      </c>
      <c r="D8" t="inlineStr">
        <is>
          <t>4. 구조물공</t>
        </is>
      </c>
      <c r="E8" t="n">
        <v>21</v>
      </c>
      <c r="F8" t="n">
        <v>23</v>
      </c>
      <c r="G8" s="61" t="n">
        <v>0.9130434782608695</v>
      </c>
      <c r="H8" s="3" t="n">
        <v>70040560.664</v>
      </c>
      <c r="I8" s="3" t="n">
        <v>249705349.846</v>
      </c>
      <c r="J8" s="3" t="n">
        <v>3732883</v>
      </c>
      <c r="K8" s="3" t="n">
        <v>323478793.51</v>
      </c>
      <c r="L8" s="14" t="n">
        <v>3.2347879351</v>
      </c>
    </row>
    <row r="9" ht="24" customHeight="1" s="34">
      <c r="A9" t="inlineStr">
        <is>
          <t>회전교차로</t>
        </is>
      </c>
      <c r="B9" t="inlineStr">
        <is>
          <t>05</t>
        </is>
      </c>
      <c r="C9" t="inlineStr">
        <is>
          <t>05 회전교차로</t>
        </is>
      </c>
      <c r="D9" t="inlineStr">
        <is>
          <t>5. 부 대 공</t>
        </is>
      </c>
      <c r="E9" t="n">
        <v>3</v>
      </c>
      <c r="F9" t="n">
        <v>3</v>
      </c>
      <c r="G9" s="61" t="n">
        <v>1</v>
      </c>
      <c r="H9" s="3" t="n">
        <v>10747</v>
      </c>
      <c r="I9" s="3" t="n">
        <v>780140</v>
      </c>
      <c r="J9" s="3" t="n">
        <v>7840</v>
      </c>
      <c r="K9" s="3" t="n">
        <v>798727</v>
      </c>
      <c r="L9" s="14" t="n">
        <v>0.007987269999999999</v>
      </c>
    </row>
    <row r="10" ht="24" customHeight="1" s="34">
      <c r="A10" t="inlineStr">
        <is>
          <t>회전교차로</t>
        </is>
      </c>
      <c r="B10" t="inlineStr">
        <is>
          <t>05</t>
        </is>
      </c>
      <c r="C10" t="inlineStr">
        <is>
          <t>05 회전교차로</t>
        </is>
      </c>
      <c r="D10" t="inlineStr">
        <is>
          <t>가). 중기운반비</t>
        </is>
      </c>
      <c r="E10" t="n">
        <v>0</v>
      </c>
      <c r="F10" t="n">
        <v>3</v>
      </c>
      <c r="G10" s="61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14" t="n">
        <v>0</v>
      </c>
    </row>
    <row r="11" ht="24" customHeight="1" s="34">
      <c r="A11" t="inlineStr">
        <is>
          <t>회전교차로</t>
        </is>
      </c>
      <c r="B11" t="inlineStr">
        <is>
          <t>05</t>
        </is>
      </c>
      <c r="C11" t="inlineStr">
        <is>
          <t>05 회전교차로</t>
        </is>
      </c>
      <c r="D11" t="inlineStr">
        <is>
          <t>▣ 품질관리비</t>
        </is>
      </c>
      <c r="E11" t="n">
        <v>0</v>
      </c>
      <c r="F11" t="n">
        <v>1</v>
      </c>
      <c r="G11" s="61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14" t="n">
        <v>0</v>
      </c>
    </row>
    <row r="12" ht="24" customHeight="1" s="34">
      <c r="A12" s="15" t="inlineStr">
        <is>
          <t>회전교차로</t>
        </is>
      </c>
      <c r="B12" s="15" t="inlineStr">
        <is>
          <t>05</t>
        </is>
      </c>
      <c r="C12" s="15" t="inlineStr">
        <is>
          <t>05 회전교차로</t>
        </is>
      </c>
      <c r="D12" s="15" t="inlineStr">
        <is>
          <t>★ 05 회전교차로 소계</t>
        </is>
      </c>
      <c r="E12" s="15">
        <f>회전교차로!D12</f>
        <v/>
      </c>
      <c r="F12" s="15">
        <f>회전교차로!E12</f>
        <v/>
      </c>
      <c r="G12" s="15">
        <f>회전교차로!F12</f>
        <v/>
      </c>
      <c r="H12" s="16">
        <f>회전교차로!G12</f>
        <v/>
      </c>
      <c r="I12" s="16">
        <f>회전교차로!H12</f>
        <v/>
      </c>
      <c r="J12" s="16">
        <f>회전교차로!I12</f>
        <v/>
      </c>
      <c r="K12" s="16">
        <f>회전교차로!J12</f>
        <v/>
      </c>
      <c r="L12" s="17">
        <f>회전교차로!K12</f>
        <v/>
      </c>
    </row>
    <row r="13" ht="24" customHeight="1" s="34">
      <c r="A13" s="18" t="inlineStr">
        <is>
          <t>회전교차로</t>
        </is>
      </c>
      <c r="B13" s="18" t="n"/>
      <c r="C13" s="18" t="inlineStr">
        <is>
          <t>회전교차로</t>
        </is>
      </c>
      <c r="D13" s="18" t="inlineStr">
        <is>
          <t>★ 회전교차로 소계</t>
        </is>
      </c>
      <c r="E13" s="18">
        <f>회전교차로!D13</f>
        <v/>
      </c>
      <c r="F13" s="18">
        <f>회전교차로!E13</f>
        <v/>
      </c>
      <c r="G13" s="18">
        <f>회전교차로!F13</f>
        <v/>
      </c>
      <c r="H13" s="19">
        <f>회전교차로!G13</f>
        <v/>
      </c>
      <c r="I13" s="19">
        <f>회전교차로!H13</f>
        <v/>
      </c>
      <c r="J13" s="19">
        <f>회전교차로!I13</f>
        <v/>
      </c>
      <c r="K13" s="19">
        <f>회전교차로!J13</f>
        <v/>
      </c>
      <c r="L13" s="20">
        <f>회전교차로!K13</f>
        <v/>
      </c>
    </row>
    <row r="14" ht="24" customHeight="1" s="34">
      <c r="A14" t="inlineStr">
        <is>
          <t>진입도로</t>
        </is>
      </c>
      <c r="B14" t="inlineStr">
        <is>
          <t>04</t>
        </is>
      </c>
      <c r="C14" t="inlineStr">
        <is>
          <t>04 진입도로</t>
        </is>
      </c>
      <c r="D14" t="inlineStr">
        <is>
          <t>9. 산업안전보건관리비</t>
        </is>
      </c>
      <c r="E14" t="n">
        <v>0</v>
      </c>
      <c r="F14" t="n">
        <v>1</v>
      </c>
      <c r="G14" s="61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4" t="n">
        <v>0</v>
      </c>
    </row>
    <row r="15" ht="24" customHeight="1" s="34">
      <c r="A15" t="inlineStr">
        <is>
          <t>진입도로</t>
        </is>
      </c>
      <c r="B15" t="inlineStr">
        <is>
          <t>04</t>
        </is>
      </c>
      <c r="C15" t="inlineStr">
        <is>
          <t>04 진입도로</t>
        </is>
      </c>
      <c r="D15" t="inlineStr">
        <is>
          <t>1. 토 공</t>
        </is>
      </c>
      <c r="E15" t="n">
        <v>19</v>
      </c>
      <c r="F15" t="n">
        <v>19</v>
      </c>
      <c r="G15" s="61" t="n">
        <v>1</v>
      </c>
      <c r="H15" s="3" t="n">
        <v>20465208</v>
      </c>
      <c r="I15" s="3" t="n">
        <v>65102573</v>
      </c>
      <c r="J15" s="3" t="n">
        <v>25173284</v>
      </c>
      <c r="K15" s="3" t="n">
        <v>110741065</v>
      </c>
      <c r="L15" s="14" t="n">
        <v>1.10741065</v>
      </c>
    </row>
    <row r="16" ht="24" customHeight="1" s="34">
      <c r="A16" t="inlineStr">
        <is>
          <t>진입도로</t>
        </is>
      </c>
      <c r="B16" t="inlineStr">
        <is>
          <t>04</t>
        </is>
      </c>
      <c r="C16" t="inlineStr">
        <is>
          <t>04 진입도로</t>
        </is>
      </c>
      <c r="D16" t="inlineStr">
        <is>
          <t>2. 우 수 공</t>
        </is>
      </c>
      <c r="E16" t="n">
        <v>26</v>
      </c>
      <c r="F16" t="n">
        <v>28</v>
      </c>
      <c r="G16" s="61" t="n">
        <v>0.9285714285714286</v>
      </c>
      <c r="H16" s="3" t="n">
        <v>11851285</v>
      </c>
      <c r="I16" s="3" t="n">
        <v>79191767</v>
      </c>
      <c r="J16" s="3" t="n">
        <v>8862011</v>
      </c>
      <c r="K16" s="3" t="n">
        <v>99905063</v>
      </c>
      <c r="L16" s="14" t="n">
        <v>0.9990506300000001</v>
      </c>
    </row>
    <row r="17" ht="24" customHeight="1" s="34">
      <c r="A17" t="inlineStr">
        <is>
          <t>진입도로</t>
        </is>
      </c>
      <c r="B17" t="inlineStr">
        <is>
          <t>04</t>
        </is>
      </c>
      <c r="C17" t="inlineStr">
        <is>
          <t>04 진입도로</t>
        </is>
      </c>
      <c r="D17" t="inlineStr">
        <is>
          <t>3. 상 수 공</t>
        </is>
      </c>
      <c r="E17" t="n">
        <v>17</v>
      </c>
      <c r="F17" t="n">
        <v>19</v>
      </c>
      <c r="G17" s="61" t="n">
        <v>0.8947368421052632</v>
      </c>
      <c r="H17" s="3" t="n">
        <v>885328</v>
      </c>
      <c r="I17" s="3" t="n">
        <v>20516305</v>
      </c>
      <c r="J17" s="3" t="n">
        <v>467412</v>
      </c>
      <c r="K17" s="3" t="n">
        <v>21869045</v>
      </c>
      <c r="L17" s="14" t="n">
        <v>0.21869045</v>
      </c>
    </row>
    <row r="18" ht="24" customHeight="1" s="34">
      <c r="A18" t="inlineStr">
        <is>
          <t>진입도로</t>
        </is>
      </c>
      <c r="B18" t="inlineStr">
        <is>
          <t>04</t>
        </is>
      </c>
      <c r="C18" t="inlineStr">
        <is>
          <t>04 진입도로</t>
        </is>
      </c>
      <c r="D18" t="inlineStr">
        <is>
          <t>4. 포 장 공</t>
        </is>
      </c>
      <c r="E18" t="n">
        <v>50</v>
      </c>
      <c r="F18" t="n">
        <v>56</v>
      </c>
      <c r="G18" s="61" t="n">
        <v>0.8928571428571429</v>
      </c>
      <c r="H18" s="3" t="n">
        <v>16880940</v>
      </c>
      <c r="I18" s="3" t="n">
        <v>108358542</v>
      </c>
      <c r="J18" s="3" t="n">
        <v>9375195</v>
      </c>
      <c r="K18" s="3" t="n">
        <v>134614677</v>
      </c>
      <c r="L18" s="14" t="n">
        <v>1.34614677</v>
      </c>
    </row>
    <row r="19" ht="24" customHeight="1" s="34">
      <c r="A19" t="inlineStr">
        <is>
          <t>진입도로</t>
        </is>
      </c>
      <c r="B19" t="inlineStr">
        <is>
          <t>04</t>
        </is>
      </c>
      <c r="C19" t="inlineStr">
        <is>
          <t>04 진입도로</t>
        </is>
      </c>
      <c r="D19" t="inlineStr">
        <is>
          <t>5. 구조물공</t>
        </is>
      </c>
      <c r="E19" t="n">
        <v>20</v>
      </c>
      <c r="F19" t="n">
        <v>22</v>
      </c>
      <c r="G19" s="61" t="n">
        <v>0.9090909090909091</v>
      </c>
      <c r="H19" s="3" t="n">
        <v>34341715.64</v>
      </c>
      <c r="I19" s="3" t="n">
        <v>127794012.21</v>
      </c>
      <c r="J19" s="3" t="n">
        <v>2289132</v>
      </c>
      <c r="K19" s="3" t="n">
        <v>164424859.85</v>
      </c>
      <c r="L19" s="14" t="n">
        <v>1.6442485985</v>
      </c>
    </row>
    <row r="20" ht="24" customHeight="1" s="34">
      <c r="A20" t="inlineStr">
        <is>
          <t>진입도로</t>
        </is>
      </c>
      <c r="B20" t="inlineStr">
        <is>
          <t>04</t>
        </is>
      </c>
      <c r="C20" t="inlineStr">
        <is>
          <t>04 진입도로</t>
        </is>
      </c>
      <c r="D20" t="inlineStr">
        <is>
          <t>6. 부 대 공</t>
        </is>
      </c>
      <c r="E20" t="n">
        <v>3</v>
      </c>
      <c r="F20" t="n">
        <v>3</v>
      </c>
      <c r="G20" s="61" t="n">
        <v>1</v>
      </c>
      <c r="H20" s="3" t="n">
        <v>10747</v>
      </c>
      <c r="I20" s="3" t="n">
        <v>780140</v>
      </c>
      <c r="J20" s="3" t="n">
        <v>7840</v>
      </c>
      <c r="K20" s="3" t="n">
        <v>798727</v>
      </c>
      <c r="L20" s="14" t="n">
        <v>0.007987269999999999</v>
      </c>
    </row>
    <row r="21" ht="24" customHeight="1" s="34">
      <c r="A21" t="inlineStr">
        <is>
          <t>진입도로</t>
        </is>
      </c>
      <c r="B21" t="inlineStr">
        <is>
          <t>04</t>
        </is>
      </c>
      <c r="C21" t="inlineStr">
        <is>
          <t>04 진입도로</t>
        </is>
      </c>
      <c r="D21" t="inlineStr">
        <is>
          <t>가). 중기운반비</t>
        </is>
      </c>
      <c r="E21" t="n">
        <v>0</v>
      </c>
      <c r="F21" t="n">
        <v>3</v>
      </c>
      <c r="G21" s="61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4" t="n">
        <v>0</v>
      </c>
    </row>
    <row r="22" ht="24" customHeight="1" s="34">
      <c r="A22" t="inlineStr">
        <is>
          <t>진입도로</t>
        </is>
      </c>
      <c r="B22" t="inlineStr">
        <is>
          <t>04</t>
        </is>
      </c>
      <c r="C22" t="inlineStr">
        <is>
          <t>04 진입도로</t>
        </is>
      </c>
      <c r="D22" t="inlineStr">
        <is>
          <t>▣ 품질관리비</t>
        </is>
      </c>
      <c r="E22" t="n">
        <v>0</v>
      </c>
      <c r="F22" t="n">
        <v>1</v>
      </c>
      <c r="G22" s="61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4" t="n">
        <v>0</v>
      </c>
    </row>
    <row r="23" ht="24" customHeight="1" s="34">
      <c r="A23" s="15" t="inlineStr">
        <is>
          <t>진입도로</t>
        </is>
      </c>
      <c r="B23" s="15" t="inlineStr">
        <is>
          <t>04</t>
        </is>
      </c>
      <c r="C23" s="15" t="inlineStr">
        <is>
          <t>04 진입도로</t>
        </is>
      </c>
      <c r="D23" s="15" t="inlineStr">
        <is>
          <t>★ 04 진입도로 소계</t>
        </is>
      </c>
      <c r="E23" s="15">
        <f>진입도로!D13</f>
        <v/>
      </c>
      <c r="F23" s="15">
        <f>진입도로!E13</f>
        <v/>
      </c>
      <c r="G23" s="15">
        <f>진입도로!F13</f>
        <v/>
      </c>
      <c r="H23" s="16">
        <f>진입도로!G13</f>
        <v/>
      </c>
      <c r="I23" s="16">
        <f>진입도로!H13</f>
        <v/>
      </c>
      <c r="J23" s="16">
        <f>진입도로!I13</f>
        <v/>
      </c>
      <c r="K23" s="16">
        <f>진입도로!J13</f>
        <v/>
      </c>
      <c r="L23" s="17">
        <f>진입도로!K13</f>
        <v/>
      </c>
    </row>
    <row r="24" ht="24" customHeight="1" s="34">
      <c r="A24" s="18" t="inlineStr">
        <is>
          <t>진입도로</t>
        </is>
      </c>
      <c r="B24" s="18" t="n"/>
      <c r="C24" s="18" t="inlineStr">
        <is>
          <t>진입도로</t>
        </is>
      </c>
      <c r="D24" s="18" t="inlineStr">
        <is>
          <t>★ 진입도로 소계</t>
        </is>
      </c>
      <c r="E24" s="18">
        <f>진입도로!D14</f>
        <v/>
      </c>
      <c r="F24" s="18">
        <f>진입도로!E14</f>
        <v/>
      </c>
      <c r="G24" s="18">
        <f>진입도로!F14</f>
        <v/>
      </c>
      <c r="H24" s="19">
        <f>진입도로!G14</f>
        <v/>
      </c>
      <c r="I24" s="19">
        <f>진입도로!H14</f>
        <v/>
      </c>
      <c r="J24" s="19">
        <f>진입도로!I14</f>
        <v/>
      </c>
      <c r="K24" s="19">
        <f>진입도로!J14</f>
        <v/>
      </c>
      <c r="L24" s="20">
        <f>진입도로!K14</f>
        <v/>
      </c>
    </row>
    <row r="25" ht="24" customHeight="1" s="34">
      <c r="A25" t="inlineStr">
        <is>
          <t>토목(조경)</t>
        </is>
      </c>
      <c r="B25" t="inlineStr">
        <is>
          <t>01</t>
        </is>
      </c>
      <c r="C25" t="inlineStr">
        <is>
          <t>01 토목</t>
        </is>
      </c>
      <c r="D25" t="inlineStr">
        <is>
          <t>1. 토 공</t>
        </is>
      </c>
      <c r="E25" t="n">
        <v>41</v>
      </c>
      <c r="F25" t="n">
        <v>45</v>
      </c>
      <c r="G25" s="61" t="n">
        <v>0.9111111111111111</v>
      </c>
      <c r="H25" s="3" t="n">
        <v>193864804.08</v>
      </c>
      <c r="I25" s="3" t="n">
        <v>375830828.64</v>
      </c>
      <c r="J25" s="3" t="n">
        <v>248626066</v>
      </c>
      <c r="K25" s="3" t="n">
        <v>818321698.72</v>
      </c>
      <c r="L25" s="14" t="n">
        <v>8.1832169872</v>
      </c>
    </row>
    <row r="26" ht="24" customHeight="1" s="34">
      <c r="A26" t="inlineStr">
        <is>
          <t>토목(조경)</t>
        </is>
      </c>
      <c r="B26" t="inlineStr">
        <is>
          <t>01</t>
        </is>
      </c>
      <c r="C26" t="inlineStr">
        <is>
          <t>01 토목</t>
        </is>
      </c>
      <c r="D26" t="inlineStr">
        <is>
          <t>2. 우 수 공</t>
        </is>
      </c>
      <c r="E26" t="n">
        <v>81</v>
      </c>
      <c r="F26" t="n">
        <v>99</v>
      </c>
      <c r="G26" s="61" t="n">
        <v>0.8181818181818182</v>
      </c>
      <c r="H26" s="3" t="n">
        <v>45773359.87</v>
      </c>
      <c r="I26" s="3" t="n">
        <v>412651288.28</v>
      </c>
      <c r="J26" s="3" t="n">
        <v>30187164.21</v>
      </c>
      <c r="K26" s="3" t="n">
        <v>488611812.36</v>
      </c>
      <c r="L26" s="14" t="n">
        <v>4.8861181236</v>
      </c>
    </row>
    <row r="27" ht="24" customHeight="1" s="34">
      <c r="A27" t="inlineStr">
        <is>
          <t>토목(조경)</t>
        </is>
      </c>
      <c r="B27" t="inlineStr">
        <is>
          <t>01</t>
        </is>
      </c>
      <c r="C27" t="inlineStr">
        <is>
          <t>01 토목</t>
        </is>
      </c>
      <c r="D27" t="inlineStr">
        <is>
          <t>3. 오 수 공</t>
        </is>
      </c>
      <c r="E27" t="n">
        <v>36</v>
      </c>
      <c r="F27" t="n">
        <v>44</v>
      </c>
      <c r="G27" s="61" t="n">
        <v>0.8181818181818182</v>
      </c>
      <c r="H27" s="3" t="n">
        <v>8139274.2</v>
      </c>
      <c r="I27" s="3" t="n">
        <v>91589701.7</v>
      </c>
      <c r="J27" s="3" t="n">
        <v>6281483</v>
      </c>
      <c r="K27" s="3" t="n">
        <v>106010458.9</v>
      </c>
      <c r="L27" s="14" t="n">
        <v>1.060104589</v>
      </c>
    </row>
    <row r="28" ht="24" customHeight="1" s="34">
      <c r="A28" t="inlineStr">
        <is>
          <t>토목(조경)</t>
        </is>
      </c>
      <c r="B28" t="inlineStr">
        <is>
          <t>01</t>
        </is>
      </c>
      <c r="C28" t="inlineStr">
        <is>
          <t>01 토목</t>
        </is>
      </c>
      <c r="D28" t="inlineStr">
        <is>
          <t>4. 상 수 공</t>
        </is>
      </c>
      <c r="E28" t="n">
        <v>62</v>
      </c>
      <c r="F28" t="n">
        <v>86</v>
      </c>
      <c r="G28" s="61" t="n">
        <v>0.7209302325581395</v>
      </c>
      <c r="H28" s="3" t="n">
        <v>11736539</v>
      </c>
      <c r="I28" s="3" t="n">
        <v>84912162</v>
      </c>
      <c r="J28" s="3" t="n">
        <v>4722073</v>
      </c>
      <c r="K28" s="3" t="n">
        <v>101370774</v>
      </c>
      <c r="L28" s="14" t="n">
        <v>1.01370774</v>
      </c>
    </row>
    <row r="29" ht="24" customHeight="1" s="34">
      <c r="A29" t="inlineStr">
        <is>
          <t>토목(조경)</t>
        </is>
      </c>
      <c r="B29" t="inlineStr">
        <is>
          <t>01</t>
        </is>
      </c>
      <c r="C29" t="inlineStr">
        <is>
          <t>01 토목</t>
        </is>
      </c>
      <c r="D29" t="inlineStr">
        <is>
          <t>5. 포 장 공</t>
        </is>
      </c>
      <c r="E29" t="n">
        <v>68</v>
      </c>
      <c r="F29" t="n">
        <v>76</v>
      </c>
      <c r="G29" s="61" t="n">
        <v>0.8947368421052632</v>
      </c>
      <c r="H29" s="3" t="n">
        <v>55159585</v>
      </c>
      <c r="I29" s="3" t="n">
        <v>294369653</v>
      </c>
      <c r="J29" s="3" t="n">
        <v>23035558</v>
      </c>
      <c r="K29" s="3" t="n">
        <v>372564796</v>
      </c>
      <c r="L29" s="14" t="n">
        <v>3.72564796</v>
      </c>
    </row>
    <row r="30" ht="24" customHeight="1" s="34">
      <c r="A30" t="inlineStr">
        <is>
          <t>토목(조경)</t>
        </is>
      </c>
      <c r="B30" t="inlineStr">
        <is>
          <t>01</t>
        </is>
      </c>
      <c r="C30" t="inlineStr">
        <is>
          <t>01 토목</t>
        </is>
      </c>
      <c r="D30" t="inlineStr">
        <is>
          <t>6. 구조물공</t>
        </is>
      </c>
      <c r="E30" t="n">
        <v>39</v>
      </c>
      <c r="F30" t="n">
        <v>43</v>
      </c>
      <c r="G30" s="61" t="n">
        <v>0.9069767441860465</v>
      </c>
      <c r="H30" s="3" t="n">
        <v>27584724.299</v>
      </c>
      <c r="I30" s="3" t="n">
        <v>215414584.342</v>
      </c>
      <c r="J30" s="3" t="n">
        <v>17151782</v>
      </c>
      <c r="K30" s="3" t="n">
        <v>260151090.641</v>
      </c>
      <c r="L30" s="14" t="n">
        <v>2.60151090641</v>
      </c>
    </row>
    <row r="31" ht="24" customHeight="1" s="34">
      <c r="A31" t="inlineStr">
        <is>
          <t>토목(조경)</t>
        </is>
      </c>
      <c r="B31" t="inlineStr">
        <is>
          <t>01</t>
        </is>
      </c>
      <c r="C31" t="inlineStr">
        <is>
          <t>01 토목</t>
        </is>
      </c>
      <c r="D31" t="inlineStr">
        <is>
          <t>7. 부 대 공</t>
        </is>
      </c>
      <c r="E31" t="n">
        <v>27</v>
      </c>
      <c r="F31" t="n">
        <v>36</v>
      </c>
      <c r="G31" s="61" t="n">
        <v>0.75</v>
      </c>
      <c r="H31" s="3" t="n">
        <v>15032685</v>
      </c>
      <c r="I31" s="3" t="n">
        <v>173478672</v>
      </c>
      <c r="J31" s="3" t="n">
        <v>7842946</v>
      </c>
      <c r="K31" s="3" t="n">
        <v>196354303</v>
      </c>
      <c r="L31" s="14" t="n">
        <v>1.96354303</v>
      </c>
    </row>
    <row r="32" ht="24" customHeight="1" s="34">
      <c r="A32" t="inlineStr">
        <is>
          <t>토목(조경)</t>
        </is>
      </c>
      <c r="B32" t="inlineStr">
        <is>
          <t>01</t>
        </is>
      </c>
      <c r="C32" t="inlineStr">
        <is>
          <t>01 토목</t>
        </is>
      </c>
      <c r="D32" t="inlineStr">
        <is>
          <t>8. 하수처리장</t>
        </is>
      </c>
      <c r="E32" t="n">
        <v>43</v>
      </c>
      <c r="F32" t="n">
        <v>53</v>
      </c>
      <c r="G32" s="61" t="n">
        <v>0.8113207547169812</v>
      </c>
      <c r="H32" s="3" t="n">
        <v>14684152.867</v>
      </c>
      <c r="I32" s="3" t="n">
        <v>65843674.286</v>
      </c>
      <c r="J32" s="3" t="n">
        <v>1789336</v>
      </c>
      <c r="K32" s="3" t="n">
        <v>82317163.153</v>
      </c>
      <c r="L32" s="14" t="n">
        <v>0.8231716315299999</v>
      </c>
    </row>
    <row r="33" ht="24" customHeight="1" s="34">
      <c r="A33" t="inlineStr">
        <is>
          <t>토목(조경)</t>
        </is>
      </c>
      <c r="B33" t="inlineStr">
        <is>
          <t>01</t>
        </is>
      </c>
      <c r="C33" t="inlineStr">
        <is>
          <t>01 토목</t>
        </is>
      </c>
      <c r="D33" t="inlineStr">
        <is>
          <t>9. 지하저류조</t>
        </is>
      </c>
      <c r="E33" t="n">
        <v>7</v>
      </c>
      <c r="F33" t="n">
        <v>9</v>
      </c>
      <c r="G33" s="61" t="n">
        <v>0.7777777777777778</v>
      </c>
      <c r="H33" s="3" t="n">
        <v>9249700</v>
      </c>
      <c r="I33" s="3" t="n">
        <v>27138515</v>
      </c>
      <c r="J33" s="3" t="n">
        <v>7941772</v>
      </c>
      <c r="K33" s="3" t="n">
        <v>44329987</v>
      </c>
      <c r="L33" s="14" t="n">
        <v>0.44329987</v>
      </c>
    </row>
    <row r="34" ht="24" customHeight="1" s="34">
      <c r="A34" t="inlineStr">
        <is>
          <t>토목(조경)</t>
        </is>
      </c>
      <c r="B34" t="inlineStr">
        <is>
          <t>01</t>
        </is>
      </c>
      <c r="C34" t="inlineStr">
        <is>
          <t>01 토목</t>
        </is>
      </c>
      <c r="D34" t="inlineStr">
        <is>
          <t>▣ 품질관리비</t>
        </is>
      </c>
      <c r="E34" t="n">
        <v>0</v>
      </c>
      <c r="F34" t="n">
        <v>2</v>
      </c>
      <c r="G34" s="61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4" t="n">
        <v>0</v>
      </c>
    </row>
    <row r="35" ht="24" customHeight="1" s="34">
      <c r="A35" s="15" t="inlineStr">
        <is>
          <t>토목(조경)</t>
        </is>
      </c>
      <c r="B35" s="15" t="inlineStr">
        <is>
          <t>01</t>
        </is>
      </c>
      <c r="C35" s="15" t="inlineStr">
        <is>
          <t>01 토목</t>
        </is>
      </c>
      <c r="D35" s="15" t="inlineStr">
        <is>
          <t>★ 01 토목 소계</t>
        </is>
      </c>
      <c r="E35" s="15">
        <f>'토목(조경)'!D14</f>
        <v/>
      </c>
      <c r="F35" s="15">
        <f>'토목(조경)'!E14</f>
        <v/>
      </c>
      <c r="G35" s="15">
        <f>'토목(조경)'!F14</f>
        <v/>
      </c>
      <c r="H35" s="16">
        <f>'토목(조경)'!G14</f>
        <v/>
      </c>
      <c r="I35" s="16">
        <f>'토목(조경)'!H14</f>
        <v/>
      </c>
      <c r="J35" s="16">
        <f>'토목(조경)'!I14</f>
        <v/>
      </c>
      <c r="K35" s="16">
        <f>'토목(조경)'!J14</f>
        <v/>
      </c>
      <c r="L35" s="17">
        <f>'토목(조경)'!K14</f>
        <v/>
      </c>
    </row>
    <row r="36" ht="24" customHeight="1" s="34">
      <c r="A36" t="inlineStr">
        <is>
          <t>토목(조경)</t>
        </is>
      </c>
      <c r="B36" t="inlineStr">
        <is>
          <t>01</t>
        </is>
      </c>
      <c r="C36" t="inlineStr">
        <is>
          <t>01 조경</t>
        </is>
      </c>
      <c r="D36" t="inlineStr">
        <is>
          <t>10. 조 경 공</t>
        </is>
      </c>
      <c r="E36" t="n">
        <v>80</v>
      </c>
      <c r="F36" t="n">
        <v>80</v>
      </c>
      <c r="G36" s="61" t="n">
        <v>1</v>
      </c>
      <c r="H36" s="3" t="n">
        <v>600710000</v>
      </c>
      <c r="I36" s="3" t="n">
        <v>386951000</v>
      </c>
      <c r="J36" s="3" t="n">
        <v>30172000</v>
      </c>
      <c r="K36" s="3" t="n">
        <v>1017833000</v>
      </c>
      <c r="L36" s="14" t="n">
        <v>10.17833</v>
      </c>
    </row>
    <row r="37" ht="24" customHeight="1" s="34">
      <c r="A37" s="15" t="inlineStr">
        <is>
          <t>토목(조경)</t>
        </is>
      </c>
      <c r="B37" s="15" t="inlineStr">
        <is>
          <t>01</t>
        </is>
      </c>
      <c r="C37" s="15" t="inlineStr">
        <is>
          <t>01 조경</t>
        </is>
      </c>
      <c r="D37" s="15" t="inlineStr">
        <is>
          <t>★ 01 조경 소계</t>
        </is>
      </c>
      <c r="E37" s="15">
        <f>'토목(조경)'!D16</f>
        <v/>
      </c>
      <c r="F37" s="15">
        <f>'토목(조경)'!E16</f>
        <v/>
      </c>
      <c r="G37" s="15">
        <f>'토목(조경)'!F16</f>
        <v/>
      </c>
      <c r="H37" s="16">
        <f>'토목(조경)'!G16</f>
        <v/>
      </c>
      <c r="I37" s="16">
        <f>'토목(조경)'!H16</f>
        <v/>
      </c>
      <c r="J37" s="16">
        <f>'토목(조경)'!I16</f>
        <v/>
      </c>
      <c r="K37" s="16">
        <f>'토목(조경)'!J16</f>
        <v/>
      </c>
      <c r="L37" s="17">
        <f>'토목(조경)'!K16</f>
        <v/>
      </c>
    </row>
    <row r="38" ht="24" customHeight="1" s="34">
      <c r="A38" s="18" t="inlineStr">
        <is>
          <t>토목(조경)</t>
        </is>
      </c>
      <c r="B38" s="18" t="n"/>
      <c r="C38" s="18" t="inlineStr">
        <is>
          <t>토목(조경)</t>
        </is>
      </c>
      <c r="D38" s="18" t="inlineStr">
        <is>
          <t>★ 토목(조경) 소계</t>
        </is>
      </c>
      <c r="E38" s="18">
        <f>'토목(조경)'!D17</f>
        <v/>
      </c>
      <c r="F38" s="18">
        <f>'토목(조경)'!E17</f>
        <v/>
      </c>
      <c r="G38" s="18">
        <f>'토목(조경)'!F17</f>
        <v/>
      </c>
      <c r="H38" s="19">
        <f>'토목(조경)'!G17</f>
        <v/>
      </c>
      <c r="I38" s="19">
        <f>'토목(조경)'!H17</f>
        <v/>
      </c>
      <c r="J38" s="19">
        <f>'토목(조경)'!I17</f>
        <v/>
      </c>
      <c r="K38" s="19">
        <f>'토목(조경)'!J17</f>
        <v/>
      </c>
      <c r="L38" s="20">
        <f>'토목(조경)'!K17</f>
        <v/>
      </c>
    </row>
    <row r="39" ht="24" customHeight="1" s="34">
      <c r="A39" t="inlineStr">
        <is>
          <t>지구단위</t>
        </is>
      </c>
      <c r="B39" t="inlineStr">
        <is>
          <t>06</t>
        </is>
      </c>
      <c r="C39" t="inlineStr">
        <is>
          <t>06 개발행위</t>
        </is>
      </c>
      <c r="D39" t="inlineStr">
        <is>
          <t>1. 토 공</t>
        </is>
      </c>
      <c r="E39" t="n">
        <v>9</v>
      </c>
      <c r="F39" t="n">
        <v>9</v>
      </c>
      <c r="G39" s="61" t="n">
        <v>1</v>
      </c>
      <c r="H39" s="3" t="n">
        <v>329303137</v>
      </c>
      <c r="I39" s="3" t="n">
        <v>633526312</v>
      </c>
      <c r="J39" s="3" t="n">
        <v>288990853</v>
      </c>
      <c r="K39" s="3" t="n">
        <v>1251820302</v>
      </c>
      <c r="L39" s="14" t="n">
        <v>12.51820302</v>
      </c>
    </row>
    <row r="40" ht="24" customHeight="1" s="34">
      <c r="A40" t="inlineStr">
        <is>
          <t>지구단위</t>
        </is>
      </c>
      <c r="B40" t="inlineStr">
        <is>
          <t>06</t>
        </is>
      </c>
      <c r="C40" t="inlineStr">
        <is>
          <t>06 개발행위</t>
        </is>
      </c>
      <c r="D40" t="inlineStr">
        <is>
          <t>2. A1</t>
        </is>
      </c>
      <c r="E40" t="n">
        <v>14</v>
      </c>
      <c r="F40" t="n">
        <v>14</v>
      </c>
      <c r="G40" s="61" t="n">
        <v>1</v>
      </c>
      <c r="H40" s="3" t="n">
        <v>1322809</v>
      </c>
      <c r="I40" s="3" t="n">
        <v>36399255</v>
      </c>
      <c r="J40" s="3" t="n">
        <v>1512006</v>
      </c>
      <c r="K40" s="3" t="n">
        <v>39234070</v>
      </c>
      <c r="L40" s="14" t="n">
        <v>0.3923407</v>
      </c>
    </row>
    <row r="41" ht="24" customHeight="1" s="34">
      <c r="A41" t="inlineStr">
        <is>
          <t>지구단위</t>
        </is>
      </c>
      <c r="B41" t="inlineStr">
        <is>
          <t>06</t>
        </is>
      </c>
      <c r="C41" t="inlineStr">
        <is>
          <t>06 개발행위</t>
        </is>
      </c>
      <c r="D41" t="inlineStr">
        <is>
          <t>3. A2</t>
        </is>
      </c>
      <c r="E41" t="n">
        <v>17</v>
      </c>
      <c r="F41" t="n">
        <v>17</v>
      </c>
      <c r="G41" s="61" t="n">
        <v>1</v>
      </c>
      <c r="H41" s="3" t="n">
        <v>2352580</v>
      </c>
      <c r="I41" s="3" t="n">
        <v>88315220</v>
      </c>
      <c r="J41" s="3" t="n">
        <v>2468726</v>
      </c>
      <c r="K41" s="3" t="n">
        <v>93136526</v>
      </c>
      <c r="L41" s="14" t="n">
        <v>0.93136526</v>
      </c>
    </row>
    <row r="42" ht="24" customHeight="1" s="34">
      <c r="A42" t="inlineStr">
        <is>
          <t>지구단위</t>
        </is>
      </c>
      <c r="B42" t="inlineStr">
        <is>
          <t>06</t>
        </is>
      </c>
      <c r="C42" t="inlineStr">
        <is>
          <t>06 개발행위</t>
        </is>
      </c>
      <c r="D42" t="inlineStr">
        <is>
          <t>4. A3</t>
        </is>
      </c>
      <c r="E42" t="n">
        <v>16</v>
      </c>
      <c r="F42" t="n">
        <v>17</v>
      </c>
      <c r="G42" s="61" t="n">
        <v>0.9411764705882353</v>
      </c>
      <c r="H42" s="3" t="n">
        <v>1709156</v>
      </c>
      <c r="I42" s="3" t="n">
        <v>77274394</v>
      </c>
      <c r="J42" s="3" t="n">
        <v>2194560</v>
      </c>
      <c r="K42" s="3" t="n">
        <v>81178110</v>
      </c>
      <c r="L42" s="14" t="n">
        <v>0.8117811</v>
      </c>
    </row>
    <row r="43" ht="24" customHeight="1" s="34">
      <c r="A43" t="inlineStr">
        <is>
          <t>지구단위</t>
        </is>
      </c>
      <c r="B43" t="inlineStr">
        <is>
          <t>06</t>
        </is>
      </c>
      <c r="C43" t="inlineStr">
        <is>
          <t>06 개발행위</t>
        </is>
      </c>
      <c r="D43" t="inlineStr">
        <is>
          <t>5. A4</t>
        </is>
      </c>
      <c r="E43" t="n">
        <v>14</v>
      </c>
      <c r="F43" t="n">
        <v>15</v>
      </c>
      <c r="G43" s="61" t="n">
        <v>0.9333333333333333</v>
      </c>
      <c r="H43" s="3" t="n">
        <v>1677855</v>
      </c>
      <c r="I43" s="3" t="n">
        <v>59383425</v>
      </c>
      <c r="J43" s="3" t="n">
        <v>2123566</v>
      </c>
      <c r="K43" s="3" t="n">
        <v>63184846</v>
      </c>
      <c r="L43" s="14" t="n">
        <v>0.6318484599999999</v>
      </c>
    </row>
    <row r="44" ht="24" customHeight="1" s="34">
      <c r="A44" t="inlineStr">
        <is>
          <t>지구단위</t>
        </is>
      </c>
      <c r="B44" t="inlineStr">
        <is>
          <t>06</t>
        </is>
      </c>
      <c r="C44" t="inlineStr">
        <is>
          <t>06 개발행위</t>
        </is>
      </c>
      <c r="D44" t="inlineStr">
        <is>
          <t>6. A5</t>
        </is>
      </c>
      <c r="E44" t="n">
        <v>14</v>
      </c>
      <c r="F44" t="n">
        <v>15</v>
      </c>
      <c r="G44" s="61" t="n">
        <v>0.9333333333333333</v>
      </c>
      <c r="H44" s="3" t="n">
        <v>1149785</v>
      </c>
      <c r="I44" s="3" t="n">
        <v>45609407</v>
      </c>
      <c r="J44" s="3" t="n">
        <v>1591411</v>
      </c>
      <c r="K44" s="3" t="n">
        <v>48350603</v>
      </c>
      <c r="L44" s="14" t="n">
        <v>0.48350603</v>
      </c>
    </row>
    <row r="45" ht="24" customHeight="1" s="34">
      <c r="A45" t="inlineStr">
        <is>
          <t>지구단위</t>
        </is>
      </c>
      <c r="B45" t="inlineStr">
        <is>
          <t>06</t>
        </is>
      </c>
      <c r="C45" t="inlineStr">
        <is>
          <t>06 개발행위</t>
        </is>
      </c>
      <c r="D45" t="inlineStr">
        <is>
          <t>7. B1</t>
        </is>
      </c>
      <c r="E45" t="n">
        <v>13</v>
      </c>
      <c r="F45" t="n">
        <v>14</v>
      </c>
      <c r="G45" s="61" t="n">
        <v>0.9285714285714286</v>
      </c>
      <c r="H45" s="3" t="n">
        <v>1161816</v>
      </c>
      <c r="I45" s="3" t="n">
        <v>62903235</v>
      </c>
      <c r="J45" s="3" t="n">
        <v>1273047</v>
      </c>
      <c r="K45" s="3" t="n">
        <v>65338098</v>
      </c>
      <c r="L45" s="14" t="n">
        <v>0.65338098</v>
      </c>
    </row>
    <row r="46" ht="24" customHeight="1" s="34">
      <c r="A46" t="inlineStr">
        <is>
          <t>지구단위</t>
        </is>
      </c>
      <c r="B46" t="inlineStr">
        <is>
          <t>06</t>
        </is>
      </c>
      <c r="C46" t="inlineStr">
        <is>
          <t>06 개발행위</t>
        </is>
      </c>
      <c r="D46" t="inlineStr">
        <is>
          <t>8. B2</t>
        </is>
      </c>
      <c r="E46" t="n">
        <v>13</v>
      </c>
      <c r="F46" t="n">
        <v>14</v>
      </c>
      <c r="G46" s="61" t="n">
        <v>0.9285714285714286</v>
      </c>
      <c r="H46" s="3" t="n">
        <v>1365630</v>
      </c>
      <c r="I46" s="3" t="n">
        <v>58315326</v>
      </c>
      <c r="J46" s="3" t="n">
        <v>1427499</v>
      </c>
      <c r="K46" s="3" t="n">
        <v>61108455</v>
      </c>
      <c r="L46" s="14" t="n">
        <v>0.6110845499999999</v>
      </c>
    </row>
    <row r="47" ht="24" customHeight="1" s="34">
      <c r="A47" t="inlineStr">
        <is>
          <t>지구단위</t>
        </is>
      </c>
      <c r="B47" t="inlineStr">
        <is>
          <t>06</t>
        </is>
      </c>
      <c r="C47" t="inlineStr">
        <is>
          <t>06 개발행위</t>
        </is>
      </c>
      <c r="D47" t="inlineStr">
        <is>
          <t>9. 지원시설</t>
        </is>
      </c>
      <c r="E47" t="n">
        <v>11</v>
      </c>
      <c r="F47" t="n">
        <v>12</v>
      </c>
      <c r="G47" s="61" t="n">
        <v>0.9166666666666666</v>
      </c>
      <c r="H47" s="3" t="n">
        <v>656770</v>
      </c>
      <c r="I47" s="3" t="n">
        <v>13039376</v>
      </c>
      <c r="J47" s="3" t="n">
        <v>460290</v>
      </c>
      <c r="K47" s="3" t="n">
        <v>14156436</v>
      </c>
      <c r="L47" s="14" t="n">
        <v>0.14156436</v>
      </c>
    </row>
    <row r="48" ht="24" customHeight="1" s="34">
      <c r="A48" t="inlineStr">
        <is>
          <t>지구단위</t>
        </is>
      </c>
      <c r="B48" t="inlineStr">
        <is>
          <t>06</t>
        </is>
      </c>
      <c r="C48" t="inlineStr">
        <is>
          <t>06 개발행위</t>
        </is>
      </c>
      <c r="D48" t="inlineStr">
        <is>
          <t>10. 주차장</t>
        </is>
      </c>
      <c r="E48" t="n">
        <v>9</v>
      </c>
      <c r="F48" t="n">
        <v>10</v>
      </c>
      <c r="G48" s="61" t="n">
        <v>0.9</v>
      </c>
      <c r="H48" s="3" t="n">
        <v>476321</v>
      </c>
      <c r="I48" s="3" t="n">
        <v>4825299</v>
      </c>
      <c r="J48" s="3" t="n">
        <v>600364</v>
      </c>
      <c r="K48" s="3" t="n">
        <v>5901984</v>
      </c>
      <c r="L48" s="14" t="n">
        <v>0.05901984</v>
      </c>
    </row>
    <row r="49" ht="24" customHeight="1" s="34">
      <c r="A49" s="15" t="inlineStr">
        <is>
          <t>지구단위</t>
        </is>
      </c>
      <c r="B49" s="15" t="inlineStr">
        <is>
          <t>06</t>
        </is>
      </c>
      <c r="C49" s="15" t="inlineStr">
        <is>
          <t>06 개발행위</t>
        </is>
      </c>
      <c r="D49" s="15" t="inlineStr">
        <is>
          <t>★ 06 개발행위 소계</t>
        </is>
      </c>
      <c r="E49" s="15">
        <f>지구단위!D14</f>
        <v/>
      </c>
      <c r="F49" s="15">
        <f>지구단위!E14</f>
        <v/>
      </c>
      <c r="G49" s="15">
        <f>지구단위!F14</f>
        <v/>
      </c>
      <c r="H49" s="16">
        <f>지구단위!G14</f>
        <v/>
      </c>
      <c r="I49" s="16">
        <f>지구단위!H14</f>
        <v/>
      </c>
      <c r="J49" s="16">
        <f>지구단위!I14</f>
        <v/>
      </c>
      <c r="K49" s="16">
        <f>지구단위!J14</f>
        <v/>
      </c>
      <c r="L49" s="17">
        <f>지구단위!K14</f>
        <v/>
      </c>
    </row>
    <row r="50" ht="24" customHeight="1" s="34">
      <c r="A50" s="18" t="inlineStr">
        <is>
          <t>지구단위</t>
        </is>
      </c>
      <c r="B50" s="18" t="n"/>
      <c r="C50" s="18" t="inlineStr">
        <is>
          <t>지구단위</t>
        </is>
      </c>
      <c r="D50" s="18" t="inlineStr">
        <is>
          <t>★ 지구단위 소계</t>
        </is>
      </c>
      <c r="E50" s="18">
        <f>지구단위!D15</f>
        <v/>
      </c>
      <c r="F50" s="18">
        <f>지구단위!E15</f>
        <v/>
      </c>
      <c r="G50" s="18">
        <f>지구단위!F15</f>
        <v/>
      </c>
      <c r="H50" s="19">
        <f>지구단위!G15</f>
        <v/>
      </c>
      <c r="I50" s="19">
        <f>지구단위!H15</f>
        <v/>
      </c>
      <c r="J50" s="19">
        <f>지구단위!I15</f>
        <v/>
      </c>
      <c r="K50" s="19">
        <f>지구단위!J15</f>
        <v/>
      </c>
      <c r="L50" s="20">
        <f>지구단위!K15</f>
        <v/>
      </c>
    </row>
    <row r="51" ht="24" customHeight="1" s="34">
      <c r="A51" t="inlineStr">
        <is>
          <t>폐기물</t>
        </is>
      </c>
      <c r="B51" t="inlineStr">
        <is>
          <t>07</t>
        </is>
      </c>
      <c r="C51" t="inlineStr">
        <is>
          <t>07 건설폐기물</t>
        </is>
      </c>
      <c r="D51" t="inlineStr">
        <is>
          <t>1). 폐기물운반</t>
        </is>
      </c>
      <c r="H51" s="3" t="n">
        <v>0</v>
      </c>
      <c r="I51" s="3" t="n">
        <v>0</v>
      </c>
      <c r="J51" s="3" t="n">
        <v>10873450</v>
      </c>
      <c r="K51" s="3" t="n">
        <v>10873450</v>
      </c>
      <c r="L51" s="14" t="n">
        <v>0.1087345</v>
      </c>
    </row>
    <row r="52" ht="24" customHeight="1" s="34">
      <c r="A52" t="inlineStr">
        <is>
          <t>폐기물</t>
        </is>
      </c>
      <c r="B52" t="inlineStr">
        <is>
          <t>07</t>
        </is>
      </c>
      <c r="C52" t="inlineStr">
        <is>
          <t>07 건설폐기물</t>
        </is>
      </c>
      <c r="D52" t="inlineStr">
        <is>
          <t>1). 폐콘크리트 처리비</t>
        </is>
      </c>
      <c r="H52" s="3" t="n">
        <v>0</v>
      </c>
      <c r="I52" s="3" t="n">
        <v>0</v>
      </c>
      <c r="J52" s="3" t="n">
        <v>20584862</v>
      </c>
      <c r="K52" s="3" t="n">
        <v>20584862</v>
      </c>
      <c r="L52" s="14" t="n">
        <v>0.20584862</v>
      </c>
    </row>
    <row r="53" ht="24" customHeight="1" s="34">
      <c r="A53" s="15" t="inlineStr">
        <is>
          <t>폐기물</t>
        </is>
      </c>
      <c r="B53" s="15" t="inlineStr">
        <is>
          <t>07</t>
        </is>
      </c>
      <c r="C53" s="15" t="inlineStr">
        <is>
          <t>07 건설폐기물</t>
        </is>
      </c>
      <c r="D53" s="15" t="inlineStr">
        <is>
          <t>★ 07 건설폐기물 소계</t>
        </is>
      </c>
      <c r="E53" s="15">
        <f>폐기물!D6</f>
        <v/>
      </c>
      <c r="F53" s="15">
        <f>폐기물!E6</f>
        <v/>
      </c>
      <c r="G53" s="15">
        <f>폐기물!F6</f>
        <v/>
      </c>
      <c r="H53" s="16">
        <f>폐기물!G6</f>
        <v/>
      </c>
      <c r="I53" s="16">
        <f>폐기물!H6</f>
        <v/>
      </c>
      <c r="J53" s="16">
        <f>폐기물!I6</f>
        <v/>
      </c>
      <c r="K53" s="16">
        <f>폐기물!J6</f>
        <v/>
      </c>
      <c r="L53" s="17">
        <f>폐기물!K6</f>
        <v/>
      </c>
    </row>
    <row r="54" ht="24" customHeight="1" s="34">
      <c r="A54" s="18" t="inlineStr">
        <is>
          <t>폐기물</t>
        </is>
      </c>
      <c r="B54" s="18" t="n"/>
      <c r="C54" s="18" t="inlineStr">
        <is>
          <t>폐기물</t>
        </is>
      </c>
      <c r="D54" s="18" t="inlineStr">
        <is>
          <t>★ 폐기물 소계</t>
        </is>
      </c>
      <c r="E54" s="32">
        <f>폐기물!D7</f>
        <v/>
      </c>
      <c r="F54" s="18">
        <f>폐기물!E7</f>
        <v/>
      </c>
      <c r="G54" s="18">
        <f>폐기물!F7</f>
        <v/>
      </c>
      <c r="H54" s="19">
        <f>폐기물!G7</f>
        <v/>
      </c>
      <c r="I54" s="19">
        <f>폐기물!H7</f>
        <v/>
      </c>
      <c r="J54" s="19">
        <f>폐기물!I7</f>
        <v/>
      </c>
      <c r="K54" s="19">
        <f>폐기물!J7</f>
        <v/>
      </c>
      <c r="L54" s="20">
        <f>폐기물!K7</f>
        <v/>
      </c>
    </row>
    <row r="55" ht="24" customHeight="1" s="34">
      <c r="A55" s="4" t="inlineStr">
        <is>
          <t>합계</t>
        </is>
      </c>
      <c r="B55" s="4" t="n"/>
      <c r="C55" s="4" t="inlineStr">
        <is>
          <t>01·04~07</t>
        </is>
      </c>
      <c r="D55" s="4" t="inlineStr">
        <is>
          <t>★ 전체</t>
        </is>
      </c>
      <c r="E55" s="4">
        <f>회전교차로!D13+진입도로!D14+'토목(조경)'!D17+지구단위!D15+폐기물!D7</f>
        <v/>
      </c>
      <c r="F55" s="4">
        <f>회전교차로!E13+진입도로!E14+'토목(조경)'!E17+지구단위!E15+폐기물!E7</f>
        <v/>
      </c>
      <c r="G55" s="62">
        <f>IF(F55=0,0,E55/F55)</f>
        <v/>
      </c>
      <c r="H55" s="5">
        <f>회전교차로!G13+진입도로!G14+'토목(조경)'!G17+지구단위!G15+폐기물!G7</f>
        <v/>
      </c>
      <c r="I55" s="5">
        <f>회전교차로!H13+진입도로!H14+'토목(조경)'!H17+지구단위!H15+폐기물!H7</f>
        <v/>
      </c>
      <c r="J55" s="5">
        <f>회전교차로!I13+진입도로!I14+'토목(조경)'!I17+지구단위!I15+폐기물!I7</f>
        <v/>
      </c>
      <c r="K55" s="5">
        <f>회전교차로!J13+진입도로!J14+'토목(조경)'!J17+지구단위!J15+폐기물!J7</f>
        <v/>
      </c>
      <c r="L55" s="22">
        <f>K55/100000000</f>
        <v/>
      </c>
    </row>
  </sheetData>
  <mergeCells count="1">
    <mergeCell ref="A1:L1"/>
  </mergeCells>
  <pageMargins left="0.7480314960629921" right="0.7480314960629921" top="0.984251968503937" bottom="0.984251968503937" header="0.5118110236220472" footer="0.5118110236220472"/>
  <pageSetup orientation="portrait" paperSize="9" scale="5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3"/>
  <sheetViews>
    <sheetView view="pageBreakPreview" zoomScale="60" zoomScaleNormal="100" workbookViewId="0">
      <pane ySplit="17" topLeftCell="A45" activePane="bottomLeft" state="frozen"/>
      <selection activeCell="F132" sqref="F132"/>
      <selection pane="bottomLeft" activeCell="Q7" sqref="Q7"/>
    </sheetView>
  </sheetViews>
  <sheetFormatPr baseColWidth="8" defaultRowHeight="16.5"/>
  <cols>
    <col width="29" bestFit="1" customWidth="1" style="34" min="1" max="1"/>
    <col width="20" bestFit="1" customWidth="1" style="34" min="2" max="3"/>
    <col width="20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11"/>
    <col width="14" customWidth="1" style="34" min="8" max="8"/>
    <col width="15" customWidth="1" style="34" min="9" max="9"/>
    <col width="14" customWidth="1" style="34" min="10" max="10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회전교차로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05</t>
        </is>
      </c>
      <c r="B4" t="inlineStr">
        <is>
          <t>05 회전교차로</t>
        </is>
      </c>
      <c r="C4" t="inlineStr">
        <is>
          <t>9. 산업안전보건관리비</t>
        </is>
      </c>
      <c r="D4" t="n">
        <v>0</v>
      </c>
      <c r="E4" t="n">
        <v>1</v>
      </c>
      <c r="F4" s="61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4" t="n">
        <v>0</v>
      </c>
    </row>
    <row r="5" ht="24" customHeight="1" s="34">
      <c r="A5" t="inlineStr">
        <is>
          <t>05</t>
        </is>
      </c>
      <c r="B5" t="inlineStr">
        <is>
          <t>05 회전교차로</t>
        </is>
      </c>
      <c r="C5" t="inlineStr">
        <is>
          <t>1. 토 공</t>
        </is>
      </c>
      <c r="D5" t="n">
        <v>21</v>
      </c>
      <c r="E5" t="n">
        <v>21</v>
      </c>
      <c r="F5" s="61" t="n">
        <v>1</v>
      </c>
      <c r="G5" s="3" t="n">
        <v>10163806</v>
      </c>
      <c r="H5" s="3" t="n">
        <v>30847384</v>
      </c>
      <c r="I5" s="3" t="n">
        <v>12145548</v>
      </c>
      <c r="J5" s="3" t="n">
        <v>53156738</v>
      </c>
      <c r="K5" s="14" t="n">
        <v>0.53156738</v>
      </c>
    </row>
    <row r="6" ht="24" customHeight="1" s="34">
      <c r="A6" t="inlineStr">
        <is>
          <t>05</t>
        </is>
      </c>
      <c r="B6" t="inlineStr">
        <is>
          <t>05 회전교차로</t>
        </is>
      </c>
      <c r="C6" t="inlineStr">
        <is>
          <t>2. 우 수 공</t>
        </is>
      </c>
      <c r="D6" t="n">
        <v>38</v>
      </c>
      <c r="E6" t="n">
        <v>42</v>
      </c>
      <c r="F6" s="61" t="n">
        <v>0.9047619047619048</v>
      </c>
      <c r="G6" s="3" t="n">
        <v>10110091.836</v>
      </c>
      <c r="H6" s="3" t="n">
        <v>57050724.279</v>
      </c>
      <c r="I6" s="3" t="n">
        <v>5814386</v>
      </c>
      <c r="J6" s="3" t="n">
        <v>72975202.11500001</v>
      </c>
      <c r="K6" s="14" t="n">
        <v>0.72975202115</v>
      </c>
    </row>
    <row r="7" ht="24" customHeight="1" s="34">
      <c r="A7" t="inlineStr">
        <is>
          <t>05</t>
        </is>
      </c>
      <c r="B7" t="inlineStr">
        <is>
          <t>05 회전교차로</t>
        </is>
      </c>
      <c r="C7" t="inlineStr">
        <is>
          <t>3. 포 장 공</t>
        </is>
      </c>
      <c r="D7" t="n">
        <v>46</v>
      </c>
      <c r="E7" t="n">
        <v>53</v>
      </c>
      <c r="F7" s="61" t="n">
        <v>0.8679245283018868</v>
      </c>
      <c r="G7" s="3" t="n">
        <v>25531309</v>
      </c>
      <c r="H7" s="3" t="n">
        <v>181022224</v>
      </c>
      <c r="I7" s="3" t="n">
        <v>14034229</v>
      </c>
      <c r="J7" s="3" t="n">
        <v>220587762</v>
      </c>
      <c r="K7" s="14" t="n">
        <v>2.20587762</v>
      </c>
    </row>
    <row r="8" ht="24" customHeight="1" s="34">
      <c r="A8" t="inlineStr">
        <is>
          <t>05</t>
        </is>
      </c>
      <c r="B8" t="inlineStr">
        <is>
          <t>05 회전교차로</t>
        </is>
      </c>
      <c r="C8" t="inlineStr">
        <is>
          <t>4. 구조물공</t>
        </is>
      </c>
      <c r="D8" t="n">
        <v>21</v>
      </c>
      <c r="E8" t="n">
        <v>23</v>
      </c>
      <c r="F8" s="61" t="n">
        <v>0.9130434782608695</v>
      </c>
      <c r="G8" s="3" t="n">
        <v>70040560.664</v>
      </c>
      <c r="H8" s="3" t="n">
        <v>249705349.846</v>
      </c>
      <c r="I8" s="3" t="n">
        <v>3732883</v>
      </c>
      <c r="J8" s="3" t="n">
        <v>323478793.51</v>
      </c>
      <c r="K8" s="14" t="n">
        <v>3.2347879351</v>
      </c>
    </row>
    <row r="9" ht="24" customHeight="1" s="34">
      <c r="A9" t="inlineStr">
        <is>
          <t>05</t>
        </is>
      </c>
      <c r="B9" t="inlineStr">
        <is>
          <t>05 회전교차로</t>
        </is>
      </c>
      <c r="C9" t="inlineStr">
        <is>
          <t>5. 부 대 공</t>
        </is>
      </c>
      <c r="D9" t="n">
        <v>3</v>
      </c>
      <c r="E9" t="n">
        <v>3</v>
      </c>
      <c r="F9" s="61" t="n">
        <v>1</v>
      </c>
      <c r="G9" s="3" t="n">
        <v>10747</v>
      </c>
      <c r="H9" s="3" t="n">
        <v>780140</v>
      </c>
      <c r="I9" s="3" t="n">
        <v>7840</v>
      </c>
      <c r="J9" s="3" t="n">
        <v>798727</v>
      </c>
      <c r="K9" s="14" t="n">
        <v>0.007987269999999999</v>
      </c>
    </row>
    <row r="10" ht="24" customHeight="1" s="34">
      <c r="A10" t="inlineStr">
        <is>
          <t>05</t>
        </is>
      </c>
      <c r="B10" t="inlineStr">
        <is>
          <t>05 회전교차로</t>
        </is>
      </c>
      <c r="C10" t="inlineStr">
        <is>
          <t>가). 중기운반비</t>
        </is>
      </c>
      <c r="D10" t="n">
        <v>0</v>
      </c>
      <c r="E10" t="n">
        <v>3</v>
      </c>
      <c r="F10" s="61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14" t="n">
        <v>0</v>
      </c>
    </row>
    <row r="11" ht="24" customHeight="1" s="34">
      <c r="A11" t="inlineStr">
        <is>
          <t>05</t>
        </is>
      </c>
      <c r="B11" t="inlineStr">
        <is>
          <t>05 회전교차로</t>
        </is>
      </c>
      <c r="C11" t="inlineStr">
        <is>
          <t>▣ 품질관리비</t>
        </is>
      </c>
      <c r="D11" t="n">
        <v>0</v>
      </c>
      <c r="E11" t="n">
        <v>1</v>
      </c>
      <c r="F11" s="6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14" t="n">
        <v>0</v>
      </c>
    </row>
    <row r="12" ht="24" customHeight="1" s="34">
      <c r="A12" s="15" t="inlineStr">
        <is>
          <t>05</t>
        </is>
      </c>
      <c r="B12" s="15" t="inlineStr">
        <is>
          <t>05 회전교차로</t>
        </is>
      </c>
      <c r="C12" s="15" t="inlineStr">
        <is>
          <t>★ 05 회전교차로 소계</t>
        </is>
      </c>
      <c r="D12" s="15" t="n">
        <v>129</v>
      </c>
      <c r="E12" s="15" t="n">
        <v>147</v>
      </c>
      <c r="F12" s="63" t="n">
        <v>0.8775510204081632</v>
      </c>
      <c r="G12" s="16" t="n">
        <v>115856514.5</v>
      </c>
      <c r="H12" s="16" t="n">
        <v>519405822.125</v>
      </c>
      <c r="I12" s="16" t="n">
        <v>35734886</v>
      </c>
      <c r="J12" s="16" t="n">
        <v>670997222.625</v>
      </c>
      <c r="K12" s="17" t="n">
        <v>6.70997222625</v>
      </c>
    </row>
    <row r="13" ht="24" customHeight="1" s="34">
      <c r="A13" s="4" t="n"/>
      <c r="B13" s="4" t="inlineStr">
        <is>
          <t>회전교차로</t>
        </is>
      </c>
      <c r="C13" s="4" t="inlineStr">
        <is>
          <t>★ 회전교차로 합계</t>
        </is>
      </c>
      <c r="D13" s="4" t="n">
        <v>129</v>
      </c>
      <c r="E13" s="4" t="n">
        <v>147</v>
      </c>
      <c r="F13" s="62" t="n">
        <v>0.8775510204081632</v>
      </c>
      <c r="G13" s="5" t="n">
        <v>115856514.5</v>
      </c>
      <c r="H13" s="5" t="n">
        <v>519405822.125</v>
      </c>
      <c r="I13" s="5" t="n">
        <v>35734886</v>
      </c>
      <c r="J13" s="5" t="n">
        <v>670997222.625</v>
      </c>
      <c r="K13" s="22" t="n">
        <v>6.70997222625</v>
      </c>
    </row>
    <row r="14" ht="24" customHeight="1" s="34"/>
    <row r="15" ht="24" customHeight="1" s="34">
      <c r="A15" t="inlineStr">
        <is>
          <t>◆ 회전교차로 — 내역 일괄</t>
        </is>
      </c>
    </row>
    <row r="16" ht="24" customHeight="1" s="34"/>
    <row r="17" ht="24" customHeight="1" s="34">
      <c r="A17" s="57" t="inlineStr">
        <is>
          <t>내역서</t>
        </is>
      </c>
      <c r="B17" s="58" t="inlineStr">
        <is>
          <t>공종</t>
        </is>
      </c>
      <c r="C17" s="58" t="inlineStr">
        <is>
          <t>No</t>
        </is>
      </c>
      <c r="D17" s="58" t="inlineStr">
        <is>
          <t>공종명</t>
        </is>
      </c>
      <c r="E17" s="58" t="inlineStr">
        <is>
          <t>규격</t>
        </is>
      </c>
      <c r="F17" s="58" t="inlineStr">
        <is>
          <t>수량</t>
        </is>
      </c>
      <c r="G17" s="58" t="inlineStr">
        <is>
          <t>단위</t>
        </is>
      </c>
      <c r="H17" s="58" t="inlineStr">
        <is>
          <t>재료단가</t>
        </is>
      </c>
      <c r="I17" s="58" t="inlineStr">
        <is>
          <t>재료금액</t>
        </is>
      </c>
      <c r="J17" s="58" t="inlineStr">
        <is>
          <t>노무단가</t>
        </is>
      </c>
      <c r="K17" s="58" t="inlineStr">
        <is>
          <t>노무금액</t>
        </is>
      </c>
      <c r="L17" s="58" t="inlineStr">
        <is>
          <t>경비단가</t>
        </is>
      </c>
      <c r="M17" s="58" t="inlineStr">
        <is>
          <t>경비금액</t>
        </is>
      </c>
      <c r="N17" s="58" t="inlineStr">
        <is>
          <t>합계단가</t>
        </is>
      </c>
      <c r="O17" s="59" t="inlineStr">
        <is>
          <t>합계금액</t>
        </is>
      </c>
      <c r="P17" s="38" t="inlineStr">
        <is>
          <t>상태</t>
        </is>
      </c>
      <c r="Q17" s="38" t="inlineStr">
        <is>
          <t>비고</t>
        </is>
      </c>
    </row>
    <row r="18" ht="24" customHeight="1" s="34">
      <c r="A18" s="53" t="inlineStr">
        <is>
          <t>05 회전교차로</t>
        </is>
      </c>
      <c r="B18" s="54" t="inlineStr">
        <is>
          <t>9. 산업안전보건관리비</t>
        </is>
      </c>
      <c r="C18" s="54" t="n">
        <v>1</v>
      </c>
      <c r="D18" s="54" t="inlineStr">
        <is>
          <t>10. 안전관리비</t>
        </is>
      </c>
      <c r="E18" s="54" t="n"/>
      <c r="F18" s="54" t="n">
        <v>1</v>
      </c>
      <c r="G18" s="54" t="inlineStr">
        <is>
          <t>P.S</t>
        </is>
      </c>
      <c r="H18" s="54" t="n"/>
      <c r="I18" s="55">
        <f>F18*H18</f>
        <v/>
      </c>
      <c r="J18" s="54" t="n"/>
      <c r="K18" s="55">
        <f>F18*J18</f>
        <v/>
      </c>
      <c r="L18" s="54" t="n"/>
      <c r="M18" s="55">
        <f>F18*L18</f>
        <v/>
      </c>
      <c r="N18" s="55">
        <f>H18+J18+L18</f>
        <v/>
      </c>
      <c r="O18" s="56">
        <f>I18+K18+M18</f>
        <v/>
      </c>
      <c r="P18" t="inlineStr">
        <is>
          <t>미매칭</t>
        </is>
      </c>
      <c r="Q18" t="inlineStr">
        <is>
          <t>안전관리비</t>
        </is>
      </c>
    </row>
    <row r="19" ht="24" customHeight="1" s="34">
      <c r="A19" s="44" t="inlineStr">
        <is>
          <t>05 회전교차로</t>
        </is>
      </c>
      <c r="B19" s="45" t="inlineStr">
        <is>
          <t>9. 산업안전보건관리비</t>
        </is>
      </c>
      <c r="C19" s="45" t="n"/>
      <c r="D19" s="45" t="inlineStr">
        <is>
          <t>★ 9. 산업안전보건관리비 소계</t>
        </is>
      </c>
      <c r="E19" s="45" t="n"/>
      <c r="F19" s="45" t="n"/>
      <c r="G19" s="45" t="n"/>
      <c r="H19" s="45" t="n"/>
      <c r="I19" s="46">
        <f>SUM(I18:I18)</f>
        <v/>
      </c>
      <c r="J19" s="45" t="n"/>
      <c r="K19" s="46">
        <f>SUM(K18:K18)</f>
        <v/>
      </c>
      <c r="L19" s="45" t="n"/>
      <c r="M19" s="46">
        <f>SUM(M18:M18)</f>
        <v/>
      </c>
      <c r="N19" s="45" t="n"/>
      <c r="O19" s="47">
        <f>SUM(O18:O18)</f>
        <v/>
      </c>
      <c r="P19" s="15" t="n"/>
      <c r="Q19" s="15" t="inlineStr">
        <is>
          <t>1건</t>
        </is>
      </c>
    </row>
    <row r="20" ht="24" customHeight="1" s="34">
      <c r="A20" s="40" t="inlineStr">
        <is>
          <t>05 회전교차로</t>
        </is>
      </c>
      <c r="B20" s="41" t="inlineStr">
        <is>
          <t>1. 토 공</t>
        </is>
      </c>
      <c r="C20" s="41" t="n">
        <v>1</v>
      </c>
      <c r="D20" s="41" t="inlineStr">
        <is>
          <t>1). 노상준비공</t>
        </is>
      </c>
      <c r="E20" s="41" t="inlineStr">
        <is>
          <t>깍기부</t>
        </is>
      </c>
      <c r="F20" s="41" t="n">
        <v>3022</v>
      </c>
      <c r="G20" s="41" t="inlineStr">
        <is>
          <t>m2</t>
        </is>
      </c>
      <c r="H20" s="42" t="n">
        <v>193</v>
      </c>
      <c r="I20" s="42">
        <f>F20*H20</f>
        <v/>
      </c>
      <c r="J20" s="42" t="n">
        <v>445</v>
      </c>
      <c r="K20" s="42">
        <f>F20*J20</f>
        <v/>
      </c>
      <c r="L20" s="42" t="n">
        <v>216</v>
      </c>
      <c r="M20" s="42">
        <f>F20*L20</f>
        <v/>
      </c>
      <c r="N20" s="42">
        <f>H20+J20+L20</f>
        <v/>
      </c>
      <c r="O20" s="43">
        <f>I20+K20+M20</f>
        <v/>
      </c>
      <c r="Q20" t="inlineStr">
        <is>
          <t>1). 노상준비공</t>
        </is>
      </c>
    </row>
    <row r="21" ht="24" customHeight="1" s="34">
      <c r="A21" s="40" t="inlineStr">
        <is>
          <t>05 회전교차로</t>
        </is>
      </c>
      <c r="B21" s="41" t="inlineStr">
        <is>
          <t>1. 토 공</t>
        </is>
      </c>
      <c r="C21" s="41" t="n">
        <v>2</v>
      </c>
      <c r="D21" s="41" t="inlineStr">
        <is>
          <t>1). 법면보호공</t>
        </is>
      </c>
      <c r="E21" s="41" t="inlineStr">
        <is>
          <t>잔디붙임(줄떼)</t>
        </is>
      </c>
      <c r="F21" s="41" t="n">
        <v>245</v>
      </c>
      <c r="G21" s="41" t="inlineStr">
        <is>
          <t>㎡</t>
        </is>
      </c>
      <c r="H21" s="42" t="n">
        <v>0</v>
      </c>
      <c r="I21" s="42">
        <f>F21*H21</f>
        <v/>
      </c>
      <c r="J21" s="42" t="n">
        <v>4699</v>
      </c>
      <c r="K21" s="42">
        <f>F21*J21</f>
        <v/>
      </c>
      <c r="L21" s="42" t="n">
        <v>0</v>
      </c>
      <c r="M21" s="42">
        <f>F21*L21</f>
        <v/>
      </c>
      <c r="N21" s="42">
        <f>H21+J21+L21</f>
        <v/>
      </c>
      <c r="O21" s="43">
        <f>I21+K21+M21</f>
        <v/>
      </c>
      <c r="Q21" t="inlineStr">
        <is>
          <t>잔디붙임(줄떼)</t>
        </is>
      </c>
    </row>
    <row r="22" ht="24" customHeight="1" s="34">
      <c r="A22" s="40" t="inlineStr">
        <is>
          <t>05 회전교차로</t>
        </is>
      </c>
      <c r="B22" s="41" t="inlineStr">
        <is>
          <t>1. 토 공</t>
        </is>
      </c>
      <c r="C22" s="41" t="n">
        <v>3</v>
      </c>
      <c r="D22" s="41" t="inlineStr">
        <is>
          <t>나). 흙깍기(토사)</t>
        </is>
      </c>
      <c r="E22" s="41" t="inlineStr">
        <is>
          <t>굴삭기1.0㎥</t>
        </is>
      </c>
      <c r="F22" s="41" t="n">
        <v>578</v>
      </c>
      <c r="G22" s="41" t="inlineStr">
        <is>
          <t>㎥</t>
        </is>
      </c>
      <c r="H22" s="42" t="n">
        <v>912</v>
      </c>
      <c r="I22" s="42">
        <f>F22*H22</f>
        <v/>
      </c>
      <c r="J22" s="42" t="n">
        <v>1951</v>
      </c>
      <c r="K22" s="42">
        <f>F22*J22</f>
        <v/>
      </c>
      <c r="L22" s="42" t="n">
        <v>685</v>
      </c>
      <c r="M22" s="42">
        <f>F22*L22</f>
        <v/>
      </c>
      <c r="N22" s="42">
        <f>H22+J22+L22</f>
        <v/>
      </c>
      <c r="O22" s="43">
        <f>I22+K22+M22</f>
        <v/>
      </c>
      <c r="Q22" t="inlineStr">
        <is>
          <t>토사</t>
        </is>
      </c>
    </row>
    <row r="23" ht="24" customHeight="1" s="34">
      <c r="A23" s="40" t="inlineStr">
        <is>
          <t>05 회전교차로</t>
        </is>
      </c>
      <c r="B23" s="41" t="inlineStr">
        <is>
          <t>1. 토 공</t>
        </is>
      </c>
      <c r="C23" s="41" t="n">
        <v>4</v>
      </c>
      <c r="D23" s="41" t="inlineStr">
        <is>
          <t>1). 터파기(토사)</t>
        </is>
      </c>
      <c r="E23" s="41" t="inlineStr">
        <is>
          <t>TYPE-1, 굴착기1.0, 기계100%</t>
        </is>
      </c>
      <c r="F23" s="41" t="n">
        <v>2132</v>
      </c>
      <c r="G23" s="41" t="inlineStr">
        <is>
          <t>㎥</t>
        </is>
      </c>
      <c r="H23" s="42" t="n">
        <v>447</v>
      </c>
      <c r="I23" s="42">
        <f>F23*H23</f>
        <v/>
      </c>
      <c r="J23" s="42" t="n">
        <v>955</v>
      </c>
      <c r="K23" s="42">
        <f>F23*J23</f>
        <v/>
      </c>
      <c r="L23" s="42" t="n">
        <v>336</v>
      </c>
      <c r="M23" s="42">
        <f>F23*L23</f>
        <v/>
      </c>
      <c r="N23" s="42">
        <f>H23+J23+L23</f>
        <v/>
      </c>
      <c r="O23" s="43">
        <f>I23+K23+M23</f>
        <v/>
      </c>
      <c r="Q23" t="inlineStr">
        <is>
          <t>토사</t>
        </is>
      </c>
    </row>
    <row r="24" ht="24" customHeight="1" s="34">
      <c r="A24" s="40" t="inlineStr">
        <is>
          <t>05 회전교차로</t>
        </is>
      </c>
      <c r="B24" s="41" t="inlineStr">
        <is>
          <t>1. 토 공</t>
        </is>
      </c>
      <c r="C24" s="41" t="n">
        <v>5</v>
      </c>
      <c r="D24" s="41" t="inlineStr">
        <is>
          <t>가). 흙쌓기</t>
        </is>
      </c>
      <c r="E24" s="41" t="inlineStr">
        <is>
          <t>노상, 두께20cm, 다짐도95%이상</t>
        </is>
      </c>
      <c r="F24" s="41" t="n">
        <v>1216</v>
      </c>
      <c r="G24" s="41" t="inlineStr">
        <is>
          <t>㎥</t>
        </is>
      </c>
      <c r="H24" s="42" t="n">
        <v>887</v>
      </c>
      <c r="I24" s="42">
        <f>F24*H24</f>
        <v/>
      </c>
      <c r="J24" s="42" t="n">
        <v>2394</v>
      </c>
      <c r="K24" s="42">
        <f>F24*J24</f>
        <v/>
      </c>
      <c r="L24" s="42" t="n">
        <v>1107</v>
      </c>
      <c r="M24" s="42">
        <f>F24*L24</f>
        <v/>
      </c>
      <c r="N24" s="42">
        <f>H24+J24+L24</f>
        <v/>
      </c>
      <c r="O24" s="43">
        <f>I24+K24+M24</f>
        <v/>
      </c>
      <c r="Q24" t="inlineStr">
        <is>
          <t>가). 흙쌓기</t>
        </is>
      </c>
    </row>
    <row r="25" ht="24" customHeight="1" s="34">
      <c r="A25" s="40" t="inlineStr">
        <is>
          <t>05 회전교차로</t>
        </is>
      </c>
      <c r="B25" s="41" t="inlineStr">
        <is>
          <t>1. 토 공</t>
        </is>
      </c>
      <c r="C25" s="41" t="n">
        <v>6</v>
      </c>
      <c r="D25" s="41" t="inlineStr">
        <is>
          <t>가). 흙쌓기</t>
        </is>
      </c>
      <c r="E25" s="41" t="inlineStr">
        <is>
          <t>노체, 두께30cm, 다짐도90%이상</t>
        </is>
      </c>
      <c r="F25" s="41" t="n">
        <v>1406</v>
      </c>
      <c r="G25" s="41" t="inlineStr">
        <is>
          <t>㎥</t>
        </is>
      </c>
      <c r="H25" s="42" t="n">
        <v>594</v>
      </c>
      <c r="I25" s="42">
        <f>F25*H25</f>
        <v/>
      </c>
      <c r="J25" s="42" t="n">
        <v>1602</v>
      </c>
      <c r="K25" s="42">
        <f>F25*J25</f>
        <v/>
      </c>
      <c r="L25" s="42" t="n">
        <v>741</v>
      </c>
      <c r="M25" s="42">
        <f>F25*L25</f>
        <v/>
      </c>
      <c r="N25" s="42">
        <f>H25+J25+L25</f>
        <v/>
      </c>
      <c r="O25" s="43">
        <f>I25+K25+M25</f>
        <v/>
      </c>
      <c r="Q25" t="inlineStr">
        <is>
          <t>가). 흙쌓기</t>
        </is>
      </c>
    </row>
    <row r="26" ht="24" customHeight="1" s="34">
      <c r="A26" s="40" t="inlineStr">
        <is>
          <t>05 회전교차로</t>
        </is>
      </c>
      <c r="B26" s="41" t="inlineStr">
        <is>
          <t>1. 토 공</t>
        </is>
      </c>
      <c r="C26" s="41" t="n">
        <v>7</v>
      </c>
      <c r="D26" s="41" t="inlineStr">
        <is>
          <t>가). 흙쌓기</t>
        </is>
      </c>
      <c r="E26" s="41" t="inlineStr">
        <is>
          <t>노체, 두께30cm, 다짐도90%이상</t>
        </is>
      </c>
      <c r="F26" s="41" t="n">
        <v>1787</v>
      </c>
      <c r="G26" s="41" t="inlineStr">
        <is>
          <t>㎥</t>
        </is>
      </c>
      <c r="H26" s="42" t="n">
        <v>594</v>
      </c>
      <c r="I26" s="42">
        <f>F26*H26</f>
        <v/>
      </c>
      <c r="J26" s="42" t="n">
        <v>1602</v>
      </c>
      <c r="K26" s="42">
        <f>F26*J26</f>
        <v/>
      </c>
      <c r="L26" s="42" t="n">
        <v>741</v>
      </c>
      <c r="M26" s="42">
        <f>F26*L26</f>
        <v/>
      </c>
      <c r="N26" s="42">
        <f>H26+J26+L26</f>
        <v/>
      </c>
      <c r="O26" s="43">
        <f>I26+K26+M26</f>
        <v/>
      </c>
      <c r="Q26" t="inlineStr">
        <is>
          <t>가). 흙쌓기</t>
        </is>
      </c>
    </row>
    <row r="27" ht="24" customHeight="1" s="34">
      <c r="A27" s="40" t="inlineStr">
        <is>
          <t>05 회전교차로</t>
        </is>
      </c>
      <c r="B27" s="41" t="inlineStr">
        <is>
          <t>1. 토 공</t>
        </is>
      </c>
      <c r="C27" s="41" t="n">
        <v>8</v>
      </c>
      <c r="D27" s="41" t="inlineStr">
        <is>
          <t>1). 층따기</t>
        </is>
      </c>
      <c r="E27" s="41" t="n"/>
      <c r="F27" s="41" t="n">
        <v>161</v>
      </c>
      <c r="G27" s="41" t="inlineStr">
        <is>
          <t>m3</t>
        </is>
      </c>
      <c r="H27" s="42" t="n">
        <v>438</v>
      </c>
      <c r="I27" s="42">
        <f>F27*H27</f>
        <v/>
      </c>
      <c r="J27" s="42" t="n">
        <v>728</v>
      </c>
      <c r="K27" s="42">
        <f>F27*J27</f>
        <v/>
      </c>
      <c r="L27" s="42" t="n">
        <v>427</v>
      </c>
      <c r="M27" s="42">
        <f>F27*L27</f>
        <v/>
      </c>
      <c r="N27" s="42">
        <f>H27+J27+L27</f>
        <v/>
      </c>
      <c r="O27" s="43">
        <f>I27+K27+M27</f>
        <v/>
      </c>
      <c r="Q27" t="inlineStr">
        <is>
          <t>1). 층따기</t>
        </is>
      </c>
    </row>
    <row r="28" ht="24" customHeight="1" s="34">
      <c r="A28" s="40" t="inlineStr">
        <is>
          <t>05 회전교차로</t>
        </is>
      </c>
      <c r="B28" s="41" t="inlineStr">
        <is>
          <t>1. 토 공</t>
        </is>
      </c>
      <c r="C28" s="41" t="n">
        <v>9</v>
      </c>
      <c r="D28" s="41" t="inlineStr">
        <is>
          <t>가). 토사</t>
        </is>
      </c>
      <c r="E28" s="41" t="n"/>
      <c r="F28" s="41" t="n">
        <v>2720</v>
      </c>
      <c r="G28" s="41" t="inlineStr">
        <is>
          <t>㎥</t>
        </is>
      </c>
      <c r="H28" s="42" t="n">
        <v>678</v>
      </c>
      <c r="I28" s="42">
        <f>F28*H28</f>
        <v/>
      </c>
      <c r="J28" s="42" t="n">
        <v>1818</v>
      </c>
      <c r="K28" s="42">
        <f>F28*J28</f>
        <v/>
      </c>
      <c r="L28" s="42" t="n">
        <v>909</v>
      </c>
      <c r="M28" s="42">
        <f>F28*L28</f>
        <v/>
      </c>
      <c r="N28" s="42">
        <f>H28+J28+L28</f>
        <v/>
      </c>
      <c r="O28" s="43">
        <f>I28+K28+M28</f>
        <v/>
      </c>
      <c r="Q28" t="inlineStr">
        <is>
          <t>하천 CUA31704000S 치환토(되메우기·교체) — 현재 후보 유지·현장 흙질 확인</t>
        </is>
      </c>
    </row>
    <row r="29" ht="24" customHeight="1" s="34">
      <c r="A29" s="40" t="inlineStr">
        <is>
          <t>05 회전교차로</t>
        </is>
      </c>
      <c r="B29" s="41" t="inlineStr">
        <is>
          <t>1. 토 공</t>
        </is>
      </c>
      <c r="C29" s="41" t="n">
        <v>10</v>
      </c>
      <c r="D29" s="41" t="inlineStr">
        <is>
          <t>가). 흙운반(토사)</t>
        </is>
      </c>
      <c r="E29" s="41" t="inlineStr">
        <is>
          <t>불도저 32톤, L=44.9m</t>
        </is>
      </c>
      <c r="F29" s="41" t="n">
        <v>206</v>
      </c>
      <c r="G29" s="41" t="inlineStr">
        <is>
          <t>㎥</t>
        </is>
      </c>
      <c r="H29" s="42" t="n">
        <v>906</v>
      </c>
      <c r="I29" s="42">
        <f>F29*H29</f>
        <v/>
      </c>
      <c r="J29" s="42" t="n">
        <v>1736</v>
      </c>
      <c r="K29" s="42">
        <f>F29*J29</f>
        <v/>
      </c>
      <c r="L29" s="42" t="n">
        <v>515</v>
      </c>
      <c r="M29" s="42">
        <f>F29*L29</f>
        <v/>
      </c>
      <c r="N29" s="42">
        <f>H29+J29+L29</f>
        <v/>
      </c>
      <c r="O29" s="43">
        <f>I29+K29+M29</f>
        <v/>
      </c>
      <c r="Q29" t="inlineStr">
        <is>
          <t>토사</t>
        </is>
      </c>
    </row>
    <row r="30" ht="24" customHeight="1" s="34">
      <c r="A30" s="40" t="inlineStr">
        <is>
          <t>05 회전교차로</t>
        </is>
      </c>
      <c r="B30" s="41" t="inlineStr">
        <is>
          <t>1. 토 공</t>
        </is>
      </c>
      <c r="C30" s="41" t="n">
        <v>11</v>
      </c>
      <c r="D30" s="41" t="inlineStr">
        <is>
          <t>가). 흙 운반(토사)(지구내)</t>
        </is>
      </c>
      <c r="E30" s="41" t="inlineStr">
        <is>
          <t>굴삭기1.0㎥+덤프24톤, L=0.076Km</t>
        </is>
      </c>
      <c r="F30" s="41" t="n">
        <v>136</v>
      </c>
      <c r="G30" s="41" t="inlineStr">
        <is>
          <t>㎥</t>
        </is>
      </c>
      <c r="H30" s="42" t="n">
        <v>873</v>
      </c>
      <c r="I30" s="42">
        <f>F30*H30</f>
        <v/>
      </c>
      <c r="J30" s="42" t="n">
        <v>1719</v>
      </c>
      <c r="K30" s="42">
        <f>F30*J30</f>
        <v/>
      </c>
      <c r="L30" s="42" t="n">
        <v>653</v>
      </c>
      <c r="M30" s="42">
        <f>F30*L30</f>
        <v/>
      </c>
      <c r="N30" s="42">
        <f>H30+J30+L30</f>
        <v/>
      </c>
      <c r="O30" s="43">
        <f>I30+K30+M30</f>
        <v/>
      </c>
      <c r="Q30" t="inlineStr">
        <is>
          <t>토사</t>
        </is>
      </c>
    </row>
    <row r="31" ht="24" customHeight="1" s="34">
      <c r="A31" s="40" t="inlineStr">
        <is>
          <t>05 회전교차로</t>
        </is>
      </c>
      <c r="B31" s="41" t="inlineStr">
        <is>
          <t>1. 토 공</t>
        </is>
      </c>
      <c r="C31" s="41" t="n">
        <v>12</v>
      </c>
      <c r="D31" s="41" t="inlineStr">
        <is>
          <t>1). 목재규준틀</t>
        </is>
      </c>
      <c r="E31" s="41" t="inlineStr">
        <is>
          <t>비탈규준틀</t>
        </is>
      </c>
      <c r="F31" s="41" t="n">
        <v>44</v>
      </c>
      <c r="G31" s="41" t="inlineStr">
        <is>
          <t>개</t>
        </is>
      </c>
      <c r="H31" s="42" t="n">
        <v>0</v>
      </c>
      <c r="I31" s="42">
        <f>F31*H31</f>
        <v/>
      </c>
      <c r="J31" s="42" t="n">
        <v>68074</v>
      </c>
      <c r="K31" s="42">
        <f>F31*J31</f>
        <v/>
      </c>
      <c r="L31" s="42" t="n">
        <v>0</v>
      </c>
      <c r="M31" s="42">
        <f>F31*L31</f>
        <v/>
      </c>
      <c r="N31" s="42">
        <f>H31+J31+L31</f>
        <v/>
      </c>
      <c r="O31" s="43">
        <f>I31+K31+M31</f>
        <v/>
      </c>
      <c r="Q31" t="inlineStr">
        <is>
          <t>하천 CUA31301000S · 품셈 목재규준틀(비탈)</t>
        </is>
      </c>
    </row>
    <row r="32" ht="24" customHeight="1" s="34">
      <c r="A32" s="40" t="inlineStr">
        <is>
          <t>05 회전교차로</t>
        </is>
      </c>
      <c r="B32" s="41" t="inlineStr">
        <is>
          <t>1. 토 공</t>
        </is>
      </c>
      <c r="C32" s="41" t="n">
        <v>13</v>
      </c>
      <c r="D32" s="41" t="inlineStr">
        <is>
          <t>2). 목재규준틀</t>
        </is>
      </c>
      <c r="E32" s="41" t="inlineStr">
        <is>
          <t>수평규준틀</t>
        </is>
      </c>
      <c r="F32" s="41" t="n">
        <v>4</v>
      </c>
      <c r="G32" s="41" t="inlineStr">
        <is>
          <t>개</t>
        </is>
      </c>
      <c r="H32" s="42" t="n">
        <v>0</v>
      </c>
      <c r="I32" s="42">
        <f>F32*H32</f>
        <v/>
      </c>
      <c r="J32" s="42" t="n">
        <v>90391</v>
      </c>
      <c r="K32" s="42">
        <f>F32*J32</f>
        <v/>
      </c>
      <c r="L32" s="42" t="n">
        <v>0</v>
      </c>
      <c r="M32" s="42">
        <f>F32*L32</f>
        <v/>
      </c>
      <c r="N32" s="42">
        <f>H32+J32+L32</f>
        <v/>
      </c>
      <c r="O32" s="43">
        <f>I32+K32+M32</f>
        <v/>
      </c>
      <c r="Q32" t="inlineStr">
        <is>
          <t>하천 CUA31302000S · 품셈 목재규준틀(수평)</t>
        </is>
      </c>
    </row>
    <row r="33" ht="24" customHeight="1" s="34">
      <c r="A33" s="40" t="inlineStr">
        <is>
          <t>05 회전교차로</t>
        </is>
      </c>
      <c r="B33" s="41" t="inlineStr">
        <is>
          <t>1. 토 공</t>
        </is>
      </c>
      <c r="C33" s="41" t="n">
        <v>14</v>
      </c>
      <c r="D33" s="41" t="inlineStr">
        <is>
          <t>가). 구조물헐기(철근)</t>
        </is>
      </c>
      <c r="E33" s="41" t="inlineStr">
        <is>
          <t>대형30CM미만</t>
        </is>
      </c>
      <c r="F33" s="41" t="n">
        <v>13</v>
      </c>
      <c r="G33" s="41" t="inlineStr">
        <is>
          <t>㎥</t>
        </is>
      </c>
      <c r="H33" s="42" t="n">
        <v>18511</v>
      </c>
      <c r="I33" s="42">
        <f>F33*H33</f>
        <v/>
      </c>
      <c r="J33" s="42" t="n">
        <v>70869</v>
      </c>
      <c r="K33" s="42">
        <f>F33*J33</f>
        <v/>
      </c>
      <c r="L33" s="42" t="n">
        <v>33531</v>
      </c>
      <c r="M33" s="42">
        <f>F33*L33</f>
        <v/>
      </c>
      <c r="N33" s="42">
        <f>H33+J33+L33</f>
        <v/>
      </c>
      <c r="O33" s="43">
        <f>I33+K33+M33</f>
        <v/>
      </c>
      <c r="Q33" t="inlineStr">
        <is>
          <t>철근</t>
        </is>
      </c>
    </row>
    <row r="34" ht="24" customHeight="1" s="34">
      <c r="A34" s="40" t="inlineStr">
        <is>
          <t>05 회전교차로</t>
        </is>
      </c>
      <c r="B34" s="41" t="inlineStr">
        <is>
          <t>1. 토 공</t>
        </is>
      </c>
      <c r="C34" s="41" t="n">
        <v>15</v>
      </c>
      <c r="D34" s="41" t="inlineStr">
        <is>
          <t>나). 구조물헐기(무근)</t>
        </is>
      </c>
      <c r="E34" s="41" t="inlineStr">
        <is>
          <t>대형30CM미만</t>
        </is>
      </c>
      <c r="F34" s="41" t="n">
        <v>72</v>
      </c>
      <c r="G34" s="41" t="inlineStr">
        <is>
          <t>㎥</t>
        </is>
      </c>
      <c r="H34" s="42" t="n">
        <v>5125</v>
      </c>
      <c r="I34" s="42">
        <f>F34*H34</f>
        <v/>
      </c>
      <c r="J34" s="42" t="n">
        <v>19126</v>
      </c>
      <c r="K34" s="42">
        <f>F34*J34</f>
        <v/>
      </c>
      <c r="L34" s="42" t="n">
        <v>8630</v>
      </c>
      <c r="M34" s="42">
        <f>F34*L34</f>
        <v/>
      </c>
      <c r="N34" s="42">
        <f>H34+J34+L34</f>
        <v/>
      </c>
      <c r="O34" s="43">
        <f>I34+K34+M34</f>
        <v/>
      </c>
      <c r="Q34" t="inlineStr">
        <is>
          <t>무근</t>
        </is>
      </c>
    </row>
    <row r="35" ht="24" customHeight="1" s="34">
      <c r="A35" s="40" t="inlineStr">
        <is>
          <t>05 회전교차로</t>
        </is>
      </c>
      <c r="B35" s="41" t="inlineStr">
        <is>
          <t>1. 토 공</t>
        </is>
      </c>
      <c r="C35" s="41" t="n">
        <v>16</v>
      </c>
      <c r="D35" s="41" t="inlineStr">
        <is>
          <t>다). 포장절단/아스팔트</t>
        </is>
      </c>
      <c r="E35" s="41" t="n"/>
      <c r="F35" s="41" t="n">
        <v>30</v>
      </c>
      <c r="G35" s="41" t="inlineStr">
        <is>
          <t>m</t>
        </is>
      </c>
      <c r="H35" s="42" t="n">
        <v>1266</v>
      </c>
      <c r="I35" s="42">
        <f>F35*H35</f>
        <v/>
      </c>
      <c r="J35" s="42" t="n">
        <v>1229</v>
      </c>
      <c r="K35" s="42">
        <f>F35*J35</f>
        <v/>
      </c>
      <c r="L35" s="42" t="n">
        <v>122</v>
      </c>
      <c r="M35" s="42">
        <f>F35*L35</f>
        <v/>
      </c>
      <c r="N35" s="42">
        <f>H35+J35+L35</f>
        <v/>
      </c>
      <c r="O35" s="43">
        <f>I35+K35+M35</f>
        <v/>
      </c>
      <c r="Q35" t="inlineStr">
        <is>
          <t>다). 포장절단/아스팔트</t>
        </is>
      </c>
    </row>
    <row r="36" ht="24" customHeight="1" s="34">
      <c r="A36" s="40" t="inlineStr">
        <is>
          <t>05 회전교차로</t>
        </is>
      </c>
      <c r="B36" s="41" t="inlineStr">
        <is>
          <t>1. 토 공</t>
        </is>
      </c>
      <c r="C36" s="41" t="n">
        <v>17</v>
      </c>
      <c r="D36" s="41" t="inlineStr">
        <is>
          <t>라). 포장절단/콘크리트</t>
        </is>
      </c>
      <c r="E36" s="41" t="n"/>
      <c r="F36" s="41" t="n">
        <v>17</v>
      </c>
      <c r="G36" s="41" t="inlineStr">
        <is>
          <t>m</t>
        </is>
      </c>
      <c r="H36" s="42" t="n">
        <v>1379</v>
      </c>
      <c r="I36" s="42">
        <f>F36*H36</f>
        <v/>
      </c>
      <c r="J36" s="42" t="n">
        <v>1386</v>
      </c>
      <c r="K36" s="42">
        <f>F36*J36</f>
        <v/>
      </c>
      <c r="L36" s="42" t="n">
        <v>124</v>
      </c>
      <c r="M36" s="42">
        <f>F36*L36</f>
        <v/>
      </c>
      <c r="N36" s="42">
        <f>H36+J36+L36</f>
        <v/>
      </c>
      <c r="O36" s="43">
        <f>I36+K36+M36</f>
        <v/>
      </c>
      <c r="Q36" t="inlineStr">
        <is>
          <t>라). 포장절단/콘크리트</t>
        </is>
      </c>
    </row>
    <row r="37" ht="24" customHeight="1" s="34">
      <c r="A37" s="40" t="inlineStr">
        <is>
          <t>05 회전교차로</t>
        </is>
      </c>
      <c r="B37" s="41" t="inlineStr">
        <is>
          <t>1. 토 공</t>
        </is>
      </c>
      <c r="C37" s="41" t="n">
        <v>18</v>
      </c>
      <c r="D37" s="41" t="inlineStr">
        <is>
          <t>마). 아스팔트포장깨기</t>
        </is>
      </c>
      <c r="E37" s="41" t="inlineStr">
        <is>
          <t>T=30cm 미만</t>
        </is>
      </c>
      <c r="F37" s="41" t="n">
        <v>631</v>
      </c>
      <c r="G37" s="41" t="inlineStr">
        <is>
          <t>m3</t>
        </is>
      </c>
      <c r="H37" s="42" t="n">
        <v>2730</v>
      </c>
      <c r="I37" s="42">
        <f>F37*H37</f>
        <v/>
      </c>
      <c r="J37" s="42" t="n">
        <v>7242</v>
      </c>
      <c r="K37" s="42">
        <f>F37*J37</f>
        <v/>
      </c>
      <c r="L37" s="42" t="n">
        <v>3955</v>
      </c>
      <c r="M37" s="42">
        <f>F37*L37</f>
        <v/>
      </c>
      <c r="N37" s="42">
        <f>H37+J37+L37</f>
        <v/>
      </c>
      <c r="O37" s="43">
        <f>I37+K37+M37</f>
        <v/>
      </c>
      <c r="Q37" t="inlineStr">
        <is>
          <t>마). 아스팔트포장깨기</t>
        </is>
      </c>
    </row>
    <row r="38" ht="24" customHeight="1" s="34">
      <c r="A38" s="40" t="inlineStr">
        <is>
          <t>05 회전교차로</t>
        </is>
      </c>
      <c r="B38" s="41" t="inlineStr">
        <is>
          <t>1. 토 공</t>
        </is>
      </c>
      <c r="C38" s="41" t="n">
        <v>19</v>
      </c>
      <c r="D38" s="41" t="inlineStr">
        <is>
          <t>바). 콘크리트포장깨기</t>
        </is>
      </c>
      <c r="E38" s="41" t="inlineStr">
        <is>
          <t>T=30cm 미만</t>
        </is>
      </c>
      <c r="F38" s="41" t="n">
        <v>11</v>
      </c>
      <c r="G38" s="41" t="inlineStr">
        <is>
          <t>m3</t>
        </is>
      </c>
      <c r="H38" s="42" t="n">
        <v>6259</v>
      </c>
      <c r="I38" s="42">
        <f>F38*H38</f>
        <v/>
      </c>
      <c r="J38" s="42" t="n">
        <v>18737</v>
      </c>
      <c r="K38" s="42">
        <f>F38*J38</f>
        <v/>
      </c>
      <c r="L38" s="42" t="n">
        <v>9072</v>
      </c>
      <c r="M38" s="42">
        <f>F38*L38</f>
        <v/>
      </c>
      <c r="N38" s="42">
        <f>H38+J38+L38</f>
        <v/>
      </c>
      <c r="O38" s="43">
        <f>I38+K38+M38</f>
        <v/>
      </c>
      <c r="Q38" t="inlineStr">
        <is>
          <t>바). 콘크리트포장깨기</t>
        </is>
      </c>
    </row>
    <row r="39" ht="24" customHeight="1" s="34">
      <c r="A39" s="40" t="inlineStr">
        <is>
          <t>05 회전교차로</t>
        </is>
      </c>
      <c r="B39" s="41" t="inlineStr">
        <is>
          <t>1. 토 공</t>
        </is>
      </c>
      <c r="C39" s="41" t="n">
        <v>20</v>
      </c>
      <c r="D39" s="41" t="inlineStr">
        <is>
          <t>사). 가드레일철거</t>
        </is>
      </c>
      <c r="E39" s="41" t="inlineStr">
        <is>
          <t>설치품의 30%</t>
        </is>
      </c>
      <c r="F39" s="41" t="n">
        <v>249</v>
      </c>
      <c r="G39" s="41" t="inlineStr">
        <is>
          <t>m</t>
        </is>
      </c>
      <c r="H39" s="42" t="n">
        <v>111</v>
      </c>
      <c r="I39" s="42">
        <f>F39*H39</f>
        <v/>
      </c>
      <c r="J39" s="42" t="n">
        <v>1345</v>
      </c>
      <c r="K39" s="42">
        <f>F39*J39</f>
        <v/>
      </c>
      <c r="L39" s="42" t="n">
        <v>132</v>
      </c>
      <c r="M39" s="42">
        <f>F39*L39</f>
        <v/>
      </c>
      <c r="N39" s="42">
        <f>H39+J39+L39</f>
        <v/>
      </c>
      <c r="O39" s="43">
        <f>I39+K39+M39</f>
        <v/>
      </c>
      <c r="Q39" t="inlineStr">
        <is>
          <t>내역 규격「설치품의 30%」· CTH80401010S 설치 5,292원/m × 30% = 1,588원/m · 설치 단가 대비 철거 관행</t>
        </is>
      </c>
    </row>
    <row r="40" ht="24" customHeight="1" s="34">
      <c r="A40" s="40" t="inlineStr">
        <is>
          <t>05 회전교차로</t>
        </is>
      </c>
      <c r="B40" s="41" t="inlineStr">
        <is>
          <t>1. 토 공</t>
        </is>
      </c>
      <c r="C40" s="41" t="n">
        <v>21</v>
      </c>
      <c r="D40" s="41" t="inlineStr">
        <is>
          <t>가). 폐기물상차</t>
        </is>
      </c>
      <c r="E40" s="41" t="inlineStr">
        <is>
          <t>굴삭기 0.7㎥</t>
        </is>
      </c>
      <c r="F40" s="41" t="n">
        <v>728</v>
      </c>
      <c r="G40" s="41" t="inlineStr">
        <is>
          <t>㎥</t>
        </is>
      </c>
      <c r="H40" s="42" t="n">
        <v>570</v>
      </c>
      <c r="I40" s="42">
        <f>F40*H40</f>
        <v/>
      </c>
      <c r="J40" s="42" t="n">
        <v>936</v>
      </c>
      <c r="K40" s="42">
        <f>F40*J40</f>
        <v/>
      </c>
      <c r="L40" s="42" t="n">
        <v>331</v>
      </c>
      <c r="M40" s="42">
        <f>F40*L40</f>
        <v/>
      </c>
      <c r="N40" s="42">
        <f>H40+J40+L40</f>
        <v/>
      </c>
      <c r="O40" s="43">
        <f>I40+K40+M40</f>
        <v/>
      </c>
      <c r="Q40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41" ht="24" customHeight="1" s="34">
      <c r="A41" s="44" t="inlineStr">
        <is>
          <t>05 회전교차로</t>
        </is>
      </c>
      <c r="B41" s="45" t="inlineStr">
        <is>
          <t>1. 토 공</t>
        </is>
      </c>
      <c r="C41" s="45" t="n"/>
      <c r="D41" s="45" t="inlineStr">
        <is>
          <t>★ 1. 토 공 소계</t>
        </is>
      </c>
      <c r="E41" s="45" t="n"/>
      <c r="F41" s="45" t="n"/>
      <c r="G41" s="45" t="n"/>
      <c r="H41" s="45" t="n"/>
      <c r="I41" s="46">
        <f>SUM(I20:I40)</f>
        <v/>
      </c>
      <c r="J41" s="45" t="n"/>
      <c r="K41" s="46">
        <f>SUM(K20:K40)</f>
        <v/>
      </c>
      <c r="L41" s="45" t="n"/>
      <c r="M41" s="46">
        <f>SUM(M20:M40)</f>
        <v/>
      </c>
      <c r="N41" s="45" t="n"/>
      <c r="O41" s="47">
        <f>SUM(O20:O40)</f>
        <v/>
      </c>
      <c r="P41" s="15" t="n"/>
      <c r="Q41" s="15" t="inlineStr">
        <is>
          <t>21건</t>
        </is>
      </c>
    </row>
    <row r="42" ht="24" customHeight="1" s="34">
      <c r="A42" s="40" t="inlineStr">
        <is>
          <t>05 회전교차로</t>
        </is>
      </c>
      <c r="B42" s="41" t="inlineStr">
        <is>
          <t>2. 우 수 공</t>
        </is>
      </c>
      <c r="C42" s="41" t="n">
        <v>1</v>
      </c>
      <c r="D42" s="41" t="inlineStr">
        <is>
          <t>(1). 터파기(토사)</t>
        </is>
      </c>
      <c r="E42" s="41" t="inlineStr">
        <is>
          <t>TYPE-1, 백호1.0, 기계100%</t>
        </is>
      </c>
      <c r="F42" s="41" t="n">
        <v>1711</v>
      </c>
      <c r="G42" s="41" t="inlineStr">
        <is>
          <t>㎥</t>
        </is>
      </c>
      <c r="H42" s="42" t="n">
        <v>301</v>
      </c>
      <c r="I42" s="42">
        <f>F42*H42</f>
        <v/>
      </c>
      <c r="J42" s="42" t="n">
        <v>4367</v>
      </c>
      <c r="K42" s="42">
        <f>F42*J42</f>
        <v/>
      </c>
      <c r="L42" s="42" t="n">
        <v>417</v>
      </c>
      <c r="M42" s="42">
        <f>F42*L42</f>
        <v/>
      </c>
      <c r="N42" s="42">
        <f>H42+J42+L42</f>
        <v/>
      </c>
      <c r="O42" s="43">
        <f>I42+K42+M42</f>
        <v/>
      </c>
      <c r="Q42" t="inlineStr">
        <is>
          <t>1</t>
        </is>
      </c>
    </row>
    <row r="43" ht="24" customHeight="1" s="34">
      <c r="A43" s="40" t="inlineStr">
        <is>
          <t>05 회전교차로</t>
        </is>
      </c>
      <c r="B43" s="41" t="inlineStr">
        <is>
          <t>2. 우 수 공</t>
        </is>
      </c>
      <c r="C43" s="41" t="n">
        <v>2</v>
      </c>
      <c r="D43" s="41" t="inlineStr">
        <is>
          <t>가). 되메우기및다짐(토사)</t>
        </is>
      </c>
      <c r="E43" s="41" t="inlineStr">
        <is>
          <t>백호0.7+플레이트콤펙터1.5ton</t>
        </is>
      </c>
      <c r="F43" s="41" t="n">
        <v>1504</v>
      </c>
      <c r="G43" s="41" t="inlineStr">
        <is>
          <t>㎥</t>
        </is>
      </c>
      <c r="H43" s="42" t="n">
        <v>1652</v>
      </c>
      <c r="I43" s="42">
        <f>F43*H43</f>
        <v/>
      </c>
      <c r="J43" s="42" t="n">
        <v>3924</v>
      </c>
      <c r="K43" s="42">
        <f>F43*J43</f>
        <v/>
      </c>
      <c r="L43" s="42" t="n">
        <v>1432</v>
      </c>
      <c r="M43" s="42">
        <f>F43*L43</f>
        <v/>
      </c>
      <c r="N43" s="42">
        <f>H43+J43+L43</f>
        <v/>
      </c>
      <c r="O43" s="43">
        <f>I43+K43+M43</f>
        <v/>
      </c>
      <c r="Q43" t="inlineStr">
        <is>
          <t>가). 되메우기및다짐</t>
        </is>
      </c>
    </row>
    <row r="44" ht="24" customHeight="1" s="34">
      <c r="A44" s="40" t="inlineStr">
        <is>
          <t>05 회전교차로</t>
        </is>
      </c>
      <c r="B44" s="41" t="inlineStr">
        <is>
          <t>2. 우 수 공</t>
        </is>
      </c>
      <c r="C44" s="41" t="n">
        <v>3</v>
      </c>
      <c r="D44" s="41" t="inlineStr">
        <is>
          <t>가). 잔토처리(토사)</t>
        </is>
      </c>
      <c r="E44" s="41" t="inlineStr">
        <is>
          <t>기계</t>
        </is>
      </c>
      <c r="F44" s="41" t="n">
        <v>207</v>
      </c>
      <c r="G44" s="41" t="inlineStr">
        <is>
          <t>㎥</t>
        </is>
      </c>
      <c r="H44" s="42" t="n">
        <v>447</v>
      </c>
      <c r="I44" s="42">
        <f>F44*H44</f>
        <v/>
      </c>
      <c r="J44" s="42" t="n">
        <v>955</v>
      </c>
      <c r="K44" s="42">
        <f>F44*J44</f>
        <v/>
      </c>
      <c r="L44" s="42" t="n">
        <v>336</v>
      </c>
      <c r="M44" s="42">
        <f>F44*L44</f>
        <v/>
      </c>
      <c r="N44" s="42">
        <f>H44+J44+L44</f>
        <v/>
      </c>
      <c r="O44" s="43">
        <f>I44+K44+M44</f>
        <v/>
      </c>
      <c r="Q44" t="inlineStr">
        <is>
          <t>기계</t>
        </is>
      </c>
    </row>
    <row r="45" ht="24" customHeight="1" s="34">
      <c r="A45" s="40" t="inlineStr">
        <is>
          <t>05 회전교차로</t>
        </is>
      </c>
      <c r="B45" s="41" t="inlineStr">
        <is>
          <t>2. 우 수 공</t>
        </is>
      </c>
      <c r="C45" s="41" t="n">
        <v>4</v>
      </c>
      <c r="D45" s="41" t="inlineStr">
        <is>
          <t>가). 원심력철근콘크리트관 접합및부설(소켓식)</t>
        </is>
      </c>
      <c r="E45" s="41" t="inlineStr">
        <is>
          <t>Ø 250mm, 시공조건 B</t>
        </is>
      </c>
      <c r="F45" s="41" t="n">
        <v>145</v>
      </c>
      <c r="G45" s="41" t="inlineStr">
        <is>
          <t>m</t>
        </is>
      </c>
      <c r="H45" s="42" t="n">
        <v>2339</v>
      </c>
      <c r="I45" s="42">
        <f>F45*H45</f>
        <v/>
      </c>
      <c r="J45" s="42" t="n">
        <v>19375</v>
      </c>
      <c r="K45" s="42">
        <f>F45*J45</f>
        <v/>
      </c>
      <c r="L45" s="42" t="n">
        <v>2505</v>
      </c>
      <c r="M45" s="42">
        <f>F45*L45</f>
        <v/>
      </c>
      <c r="N45" s="42">
        <f>H45+J45+L45</f>
        <v/>
      </c>
      <c r="O45" s="43">
        <f>I45+K45+M45</f>
        <v/>
      </c>
      <c r="Q45" t="inlineStr">
        <is>
          <t>소켓식</t>
        </is>
      </c>
    </row>
    <row r="46" ht="24" customHeight="1" s="34">
      <c r="A46" s="40" t="inlineStr">
        <is>
          <t>05 회전교차로</t>
        </is>
      </c>
      <c r="B46" s="41" t="inlineStr">
        <is>
          <t>2. 우 수 공</t>
        </is>
      </c>
      <c r="C46" s="41" t="n">
        <v>5</v>
      </c>
      <c r="D46" s="41" t="inlineStr">
        <is>
          <t>다). 원심력철근콘크리트관 접합및부설(소켓식)</t>
        </is>
      </c>
      <c r="E46" s="41" t="inlineStr">
        <is>
          <t>Ø 600mm, 시공조건 B</t>
        </is>
      </c>
      <c r="F46" s="41" t="n">
        <v>177</v>
      </c>
      <c r="G46" s="41" t="inlineStr">
        <is>
          <t>m</t>
        </is>
      </c>
      <c r="H46" s="42" t="n">
        <v>2339</v>
      </c>
      <c r="I46" s="42">
        <f>F46*H46</f>
        <v/>
      </c>
      <c r="J46" s="42" t="n">
        <v>19375</v>
      </c>
      <c r="K46" s="42">
        <f>F46*J46</f>
        <v/>
      </c>
      <c r="L46" s="42" t="n">
        <v>2505</v>
      </c>
      <c r="M46" s="42">
        <f>F46*L46</f>
        <v/>
      </c>
      <c r="N46" s="42">
        <f>H46+J46+L46</f>
        <v/>
      </c>
      <c r="O46" s="43">
        <f>I46+K46+M46</f>
        <v/>
      </c>
      <c r="Q46" t="inlineStr">
        <is>
          <t>소켓식</t>
        </is>
      </c>
    </row>
    <row r="47" ht="24" customHeight="1" s="34">
      <c r="A47" s="40" t="inlineStr">
        <is>
          <t>05 회전교차로</t>
        </is>
      </c>
      <c r="B47" s="41" t="inlineStr">
        <is>
          <t>2. 우 수 공</t>
        </is>
      </c>
      <c r="C47" s="41" t="n">
        <v>6</v>
      </c>
      <c r="D47" s="41" t="inlineStr">
        <is>
          <t>(1) 콘크리트타설</t>
        </is>
      </c>
      <c r="E47" s="41" t="inlineStr">
        <is>
          <t>장비사용, 무근구조물</t>
        </is>
      </c>
      <c r="F47" s="41" t="n">
        <v>71</v>
      </c>
      <c r="G47" s="41" t="inlineStr">
        <is>
          <t>㎥</t>
        </is>
      </c>
      <c r="H47" s="42" t="n">
        <v>5963</v>
      </c>
      <c r="I47" s="42">
        <f>F47*H47</f>
        <v/>
      </c>
      <c r="J47" s="42" t="n">
        <v>50648</v>
      </c>
      <c r="K47" s="42">
        <f>F47*J47</f>
        <v/>
      </c>
      <c r="L47" s="42" t="n">
        <v>6730</v>
      </c>
      <c r="M47" s="42">
        <f>F47*L47</f>
        <v/>
      </c>
      <c r="N47" s="42">
        <f>H47+J47+L47</f>
        <v/>
      </c>
      <c r="O47" s="43">
        <f>I47+K47+M47</f>
        <v/>
      </c>
      <c r="Q47" t="inlineStr">
        <is>
          <t>콘크리트타설</t>
        </is>
      </c>
    </row>
    <row r="48" ht="24" customHeight="1" s="34">
      <c r="A48" s="40" t="inlineStr">
        <is>
          <t>05 회전교차로</t>
        </is>
      </c>
      <c r="B48" s="41" t="inlineStr">
        <is>
          <t>2. 우 수 공</t>
        </is>
      </c>
      <c r="C48" s="41" t="n">
        <v>7</v>
      </c>
      <c r="D48" s="41" t="inlineStr">
        <is>
          <t>(2) 거푸집</t>
        </is>
      </c>
      <c r="E48" s="41" t="inlineStr">
        <is>
          <t>합판6회(간단)</t>
        </is>
      </c>
      <c r="F48" s="41" t="n">
        <v>230</v>
      </c>
      <c r="G48" s="41" t="inlineStr">
        <is>
          <t>㎡</t>
        </is>
      </c>
      <c r="H48" s="42" t="n">
        <v>378</v>
      </c>
      <c r="I48" s="42">
        <f>F48*H48</f>
        <v/>
      </c>
      <c r="J48" s="42" t="n">
        <v>37806</v>
      </c>
      <c r="K48" s="42">
        <f>F48*J48</f>
        <v/>
      </c>
      <c r="L48" s="42" t="n">
        <v>0</v>
      </c>
      <c r="M48" s="42">
        <f>F48*L48</f>
        <v/>
      </c>
      <c r="N48" s="42">
        <f>H48+J48+L48</f>
        <v/>
      </c>
      <c r="O48" s="43">
        <f>I48+K48+M48</f>
        <v/>
      </c>
      <c r="Q48" t="inlineStr">
        <is>
          <t>거푸집</t>
        </is>
      </c>
    </row>
    <row r="49" ht="24" customHeight="1" s="34">
      <c r="A49" s="40" t="inlineStr">
        <is>
          <t>05 회전교차로</t>
        </is>
      </c>
      <c r="B49" s="41" t="inlineStr">
        <is>
          <t>2. 우 수 공</t>
        </is>
      </c>
      <c r="C49" s="41" t="n">
        <v>8</v>
      </c>
      <c r="D49" s="41" t="inlineStr">
        <is>
          <t>가). 하수관 천공 및 접합</t>
        </is>
      </c>
      <c r="E49" s="41" t="inlineStr">
        <is>
          <t>D600X250</t>
        </is>
      </c>
      <c r="F49" s="41" t="n">
        <v>22</v>
      </c>
      <c r="G49" s="41" t="inlineStr">
        <is>
          <t>개소</t>
        </is>
      </c>
      <c r="H49" s="42" t="n">
        <v>2463</v>
      </c>
      <c r="I49" s="42">
        <f>F49*H49</f>
        <v/>
      </c>
      <c r="J49" s="42" t="n">
        <v>120645</v>
      </c>
      <c r="K49" s="42">
        <f>F49*J49</f>
        <v/>
      </c>
      <c r="L49" s="42" t="n">
        <v>0</v>
      </c>
      <c r="M49" s="42">
        <f>F49*L49</f>
        <v/>
      </c>
      <c r="N49" s="42">
        <f>H49+J49+L49</f>
        <v/>
      </c>
      <c r="O49" s="43">
        <f>I49+K49+M49</f>
        <v/>
      </c>
      <c r="Q49" t="inlineStr">
        <is>
          <t>접합</t>
        </is>
      </c>
    </row>
    <row r="50" ht="24" customHeight="1" s="34">
      <c r="A50" s="40" t="inlineStr">
        <is>
          <t>05 회전교차로</t>
        </is>
      </c>
      <c r="B50" s="41" t="inlineStr">
        <is>
          <t>2. 우 수 공</t>
        </is>
      </c>
      <c r="C50" s="41" t="n">
        <v>9</v>
      </c>
      <c r="D50" s="41" t="inlineStr">
        <is>
          <t>가). 원심력철근콘크리트관 절단</t>
        </is>
      </c>
      <c r="E50" s="41" t="inlineStr">
        <is>
          <t>Ø 250 MM</t>
        </is>
      </c>
      <c r="F50" s="41" t="n">
        <v>22</v>
      </c>
      <c r="G50" s="41" t="inlineStr">
        <is>
          <t>개소</t>
        </is>
      </c>
      <c r="H50" s="42" t="n">
        <v>0</v>
      </c>
      <c r="I50" s="42">
        <f>F50*H50</f>
        <v/>
      </c>
      <c r="J50" s="42" t="n">
        <v>13039</v>
      </c>
      <c r="K50" s="42">
        <f>F50*J50</f>
        <v/>
      </c>
      <c r="L50" s="42" t="n">
        <v>782</v>
      </c>
      <c r="M50" s="42">
        <f>F50*L50</f>
        <v/>
      </c>
      <c r="N50" s="42">
        <f>H50+J50+L50</f>
        <v/>
      </c>
      <c r="O50" s="43">
        <f>I50+K50+M50</f>
        <v/>
      </c>
      <c r="Q50" t="inlineStr">
        <is>
          <t>가). 원심력철근콘크리트관 절단</t>
        </is>
      </c>
    </row>
    <row r="51" ht="24" customHeight="1" s="34">
      <c r="A51" s="40" t="inlineStr">
        <is>
          <t>05 회전교차로</t>
        </is>
      </c>
      <c r="B51" s="41" t="inlineStr">
        <is>
          <t>2. 우 수 공</t>
        </is>
      </c>
      <c r="C51" s="41" t="n">
        <v>10</v>
      </c>
      <c r="D51" s="41" t="inlineStr">
        <is>
          <t>나). 원심력철근콘크리트관 절단</t>
        </is>
      </c>
      <c r="E51" s="41" t="inlineStr">
        <is>
          <t>Ø 600 MM</t>
        </is>
      </c>
      <c r="F51" s="41" t="n">
        <v>4</v>
      </c>
      <c r="G51" s="41" t="inlineStr">
        <is>
          <t>개소</t>
        </is>
      </c>
      <c r="H51" s="42" t="n">
        <v>0</v>
      </c>
      <c r="I51" s="42">
        <f>F51*H51</f>
        <v/>
      </c>
      <c r="J51" s="42" t="n">
        <v>13039</v>
      </c>
      <c r="K51" s="42">
        <f>F51*J51</f>
        <v/>
      </c>
      <c r="L51" s="42" t="n">
        <v>782</v>
      </c>
      <c r="M51" s="42">
        <f>F51*L51</f>
        <v/>
      </c>
      <c r="N51" s="42">
        <f>H51+J51+L51</f>
        <v/>
      </c>
      <c r="O51" s="43">
        <f>I51+K51+M51</f>
        <v/>
      </c>
      <c r="Q51" t="inlineStr">
        <is>
          <t>나). 원심력철근콘크리트관 절단</t>
        </is>
      </c>
    </row>
    <row r="52" ht="24" customHeight="1" s="34">
      <c r="A52" s="40" t="inlineStr">
        <is>
          <t>05 회전교차로</t>
        </is>
      </c>
      <c r="B52" s="41" t="inlineStr">
        <is>
          <t>2. 우 수 공</t>
        </is>
      </c>
      <c r="C52" s="41" t="n">
        <v>11</v>
      </c>
      <c r="D52" s="41" t="inlineStr">
        <is>
          <t>가). 관로경고용테이프</t>
        </is>
      </c>
      <c r="E52" s="41" t="inlineStr">
        <is>
          <t>200mmx1m</t>
        </is>
      </c>
      <c r="F52" s="41" t="n">
        <v>177</v>
      </c>
      <c r="G52" s="41" t="inlineStr">
        <is>
          <t>m</t>
        </is>
      </c>
      <c r="H52" s="42" t="n">
        <v>100</v>
      </c>
      <c r="I52" s="42">
        <f>F52*H52</f>
        <v/>
      </c>
      <c r="J52" s="42" t="n">
        <v>200</v>
      </c>
      <c r="K52" s="42">
        <f>F52*J52</f>
        <v/>
      </c>
      <c r="L52" s="42" t="n">
        <v>0</v>
      </c>
      <c r="M52" s="42">
        <f>F52*L52</f>
        <v/>
      </c>
      <c r="N52" s="42">
        <f>H52+J52+L52</f>
        <v/>
      </c>
      <c r="O52" s="43">
        <f>I52+K52+M52</f>
        <v/>
      </c>
      <c r="Q5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3" ht="24" customHeight="1" s="34">
      <c r="A53" s="40" t="inlineStr">
        <is>
          <t>05 회전교차로</t>
        </is>
      </c>
      <c r="B53" s="41" t="inlineStr">
        <is>
          <t>2. 우 수 공</t>
        </is>
      </c>
      <c r="C53" s="41" t="n">
        <v>12</v>
      </c>
      <c r="D53" s="41" t="inlineStr">
        <is>
          <t>가). 우수 원형2호 맨홀</t>
        </is>
      </c>
      <c r="E53" s="41" t="inlineStr">
        <is>
          <t>D1200, H=1.7m, 차도</t>
        </is>
      </c>
      <c r="F53" s="41" t="n">
        <v>4</v>
      </c>
      <c r="G53" s="41" t="inlineStr">
        <is>
          <t>개소</t>
        </is>
      </c>
      <c r="H53" s="42" t="n">
        <v>0</v>
      </c>
      <c r="I53" s="42">
        <f>F53*H53</f>
        <v/>
      </c>
      <c r="J53" s="42" t="n">
        <v>81796</v>
      </c>
      <c r="K53" s="42">
        <f>F53*J53</f>
        <v/>
      </c>
      <c r="L53" s="42" t="n">
        <v>0</v>
      </c>
      <c r="M53" s="42">
        <f>F53*L53</f>
        <v/>
      </c>
      <c r="N53" s="42">
        <f>H53+J53+L53</f>
        <v/>
      </c>
      <c r="O53" s="43">
        <f>I53+K53+M53</f>
        <v/>
      </c>
      <c r="Q53" t="inlineStr">
        <is>
          <t>D1200</t>
        </is>
      </c>
    </row>
    <row r="54" ht="24" customHeight="1" s="34">
      <c r="A54" s="40" t="inlineStr">
        <is>
          <t>05 회전교차로</t>
        </is>
      </c>
      <c r="B54" s="41" t="inlineStr">
        <is>
          <t>2. 우 수 공</t>
        </is>
      </c>
      <c r="C54" s="41" t="n">
        <v>13</v>
      </c>
      <c r="D54" s="41" t="inlineStr">
        <is>
          <t>가). 무수축몰탈</t>
        </is>
      </c>
      <c r="E54" s="48" t="inlineStr">
        <is>
          <t>1:1, 자재비별산</t>
        </is>
      </c>
      <c r="F54" s="41" t="n">
        <v>0.926</v>
      </c>
      <c r="G54" s="41" t="inlineStr">
        <is>
          <t>㎥</t>
        </is>
      </c>
      <c r="H54" s="41" t="n">
        <v>500</v>
      </c>
      <c r="I54" s="42">
        <f>F54*H54</f>
        <v/>
      </c>
      <c r="J54" s="41" t="n">
        <v>1000</v>
      </c>
      <c r="K54" s="42">
        <f>F54*J54</f>
        <v/>
      </c>
      <c r="L54" s="41" t="n"/>
      <c r="M54" s="42">
        <f>F54*L54</f>
        <v/>
      </c>
      <c r="N54" s="42">
        <f>H54+J54+L54</f>
        <v/>
      </c>
      <c r="O54" s="43">
        <f>I54+K54+M54</f>
        <v/>
      </c>
      <c r="P54" t="inlineStr">
        <is>
          <t>가영현</t>
        </is>
      </c>
      <c r="Q54" t="inlineStr">
        <is>
          <t>1:1</t>
        </is>
      </c>
    </row>
    <row r="55" ht="24" customHeight="1" s="34">
      <c r="A55" s="40" t="inlineStr">
        <is>
          <t>05 회전교차로</t>
        </is>
      </c>
      <c r="B55" s="41" t="inlineStr">
        <is>
          <t>2. 우 수 공</t>
        </is>
      </c>
      <c r="C55" s="41" t="n">
        <v>14</v>
      </c>
      <c r="D55" s="41" t="inlineStr">
        <is>
          <t>가). 1호 우수받이</t>
        </is>
      </c>
      <c r="E55" s="41" t="inlineStr">
        <is>
          <t>0.3×0.4×0.9m, 스틸그레이팅포함</t>
        </is>
      </c>
      <c r="F55" s="41" t="n">
        <v>22</v>
      </c>
      <c r="G55" s="41" t="inlineStr">
        <is>
          <t>개소</t>
        </is>
      </c>
      <c r="H55" s="42" t="n">
        <v>150000</v>
      </c>
      <c r="I55" s="42">
        <f>F55*H55</f>
        <v/>
      </c>
      <c r="J55" s="42" t="n">
        <v>50000</v>
      </c>
      <c r="K55" s="42">
        <f>F55*J55</f>
        <v/>
      </c>
      <c r="L55" s="42" t="n">
        <v>0</v>
      </c>
      <c r="M55" s="42">
        <f>F55*L55</f>
        <v/>
      </c>
      <c r="N55" s="42">
        <f>H55+J55+L55</f>
        <v/>
      </c>
      <c r="O55" s="43">
        <f>I55+K55+M55</f>
        <v/>
      </c>
      <c r="Q55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6" ht="24" customHeight="1" s="34">
      <c r="A56" s="40" t="inlineStr">
        <is>
          <t>05 회전교차로</t>
        </is>
      </c>
      <c r="B56" s="41" t="inlineStr">
        <is>
          <t>2. 우 수 공</t>
        </is>
      </c>
      <c r="C56" s="41" t="n">
        <v>15</v>
      </c>
      <c r="D56" s="41" t="inlineStr">
        <is>
          <t>1). 벤치플륨관</t>
        </is>
      </c>
      <c r="E56" s="41" t="inlineStr">
        <is>
          <t>1000x1000</t>
        </is>
      </c>
      <c r="F56" s="41" t="n">
        <v>54</v>
      </c>
      <c r="G56" s="41" t="inlineStr">
        <is>
          <t>m</t>
        </is>
      </c>
      <c r="H56" s="42" t="n">
        <v>270000</v>
      </c>
      <c r="I56" s="42">
        <f>F56*H56</f>
        <v/>
      </c>
      <c r="J56" s="42" t="n">
        <v>20851</v>
      </c>
      <c r="K56" s="42">
        <f>F56*J56</f>
        <v/>
      </c>
      <c r="L56" s="42" t="n">
        <v>45000</v>
      </c>
      <c r="M56" s="42">
        <f>F56*L56</f>
        <v/>
      </c>
      <c r="N56" s="42">
        <f>H56+J56+L56</f>
        <v/>
      </c>
      <c r="O56" s="43">
        <f>I56+K56+M56</f>
        <v/>
      </c>
      <c r="P56" t="inlineStr">
        <is>
          <t>가영현</t>
        </is>
      </c>
      <c r="Q56" t="inlineStr">
        <is>
          <t>1). 벤치플륨관</t>
        </is>
      </c>
    </row>
    <row r="57" ht="24" customHeight="1" s="34">
      <c r="A57" s="40" t="inlineStr">
        <is>
          <t>05 회전교차로</t>
        </is>
      </c>
      <c r="B57" s="41" t="inlineStr">
        <is>
          <t>2. 우 수 공</t>
        </is>
      </c>
      <c r="C57" s="41" t="n">
        <v>16</v>
      </c>
      <c r="D57" s="41" t="inlineStr">
        <is>
          <t>1). 콘크리트타설</t>
        </is>
      </c>
      <c r="E57" s="41" t="inlineStr">
        <is>
          <t>장비사용, 철근구조물</t>
        </is>
      </c>
      <c r="F57" s="41" t="n">
        <v>10</v>
      </c>
      <c r="G57" s="41" t="inlineStr">
        <is>
          <t>㎥</t>
        </is>
      </c>
      <c r="H57" s="42" t="n">
        <v>3186</v>
      </c>
      <c r="I57" s="42">
        <f>F57*H57</f>
        <v/>
      </c>
      <c r="J57" s="42" t="n">
        <v>26699</v>
      </c>
      <c r="K57" s="42">
        <f>F57*J57</f>
        <v/>
      </c>
      <c r="L57" s="42" t="n">
        <v>3560</v>
      </c>
      <c r="M57" s="42">
        <f>F57*L57</f>
        <v/>
      </c>
      <c r="N57" s="42">
        <f>H57+J57+L57</f>
        <v/>
      </c>
      <c r="O57" s="43">
        <f>I57+K57+M57</f>
        <v/>
      </c>
      <c r="Q57" t="inlineStr">
        <is>
          <t>장비사용</t>
        </is>
      </c>
    </row>
    <row r="58" ht="24" customHeight="1" s="34">
      <c r="A58" s="40" t="inlineStr">
        <is>
          <t>05 회전교차로</t>
        </is>
      </c>
      <c r="B58" s="41" t="inlineStr">
        <is>
          <t>2. 우 수 공</t>
        </is>
      </c>
      <c r="C58" s="41" t="n">
        <v>17</v>
      </c>
      <c r="D58" s="41" t="inlineStr">
        <is>
          <t>2). 콘크리트타설</t>
        </is>
      </c>
      <c r="E58" s="41" t="inlineStr">
        <is>
          <t>장비사용, 무근구조물</t>
        </is>
      </c>
      <c r="F58" s="41" t="n">
        <v>1</v>
      </c>
      <c r="G58" s="41" t="inlineStr">
        <is>
          <t>㎥</t>
        </is>
      </c>
      <c r="H58" s="42" t="n">
        <v>0</v>
      </c>
      <c r="I58" s="42">
        <f>F58*H58</f>
        <v/>
      </c>
      <c r="J58" s="42" t="n">
        <v>0</v>
      </c>
      <c r="K58" s="42">
        <f>F58*J58</f>
        <v/>
      </c>
      <c r="L58" s="42" t="n">
        <v>0</v>
      </c>
      <c r="M58" s="42">
        <f>F58*L58</f>
        <v/>
      </c>
      <c r="N58" s="42">
        <f>H58+J58+L58</f>
        <v/>
      </c>
      <c r="O58" s="43">
        <f>I58+K58+M58</f>
        <v/>
      </c>
      <c r="Q58" t="inlineStr">
        <is>
          <t>장비사용</t>
        </is>
      </c>
    </row>
    <row r="59" ht="24" customHeight="1" s="34">
      <c r="A59" s="40" t="inlineStr">
        <is>
          <t>05 회전교차로</t>
        </is>
      </c>
      <c r="B59" s="41" t="inlineStr">
        <is>
          <t>2. 우 수 공</t>
        </is>
      </c>
      <c r="C59" s="41" t="n">
        <v>18</v>
      </c>
      <c r="D59" s="41" t="inlineStr">
        <is>
          <t>3). 철근가공조립(현장)</t>
        </is>
      </c>
      <c r="E59" s="41" t="inlineStr">
        <is>
          <t>TYPE-1-1</t>
        </is>
      </c>
      <c r="F59" s="41" t="n">
        <v>1.167</v>
      </c>
      <c r="G59" s="41" t="inlineStr">
        <is>
          <t>ton</t>
        </is>
      </c>
      <c r="H59" s="42" t="n">
        <v>55508</v>
      </c>
      <c r="I59" s="42">
        <f>F59*H59</f>
        <v/>
      </c>
      <c r="J59" s="42" t="n">
        <v>638337</v>
      </c>
      <c r="K59" s="42">
        <f>F59*J59</f>
        <v/>
      </c>
      <c r="L59" s="42" t="n">
        <v>0</v>
      </c>
      <c r="M59" s="42">
        <f>F59*L59</f>
        <v/>
      </c>
      <c r="N59" s="42">
        <f>H59+J59+L59</f>
        <v/>
      </c>
      <c r="O59" s="43">
        <f>I59+K59+M59</f>
        <v/>
      </c>
      <c r="Q59" t="inlineStr">
        <is>
          <t>현장</t>
        </is>
      </c>
    </row>
    <row r="60" ht="24" customHeight="1" s="34">
      <c r="A60" s="40" t="inlineStr">
        <is>
          <t>05 회전교차로</t>
        </is>
      </c>
      <c r="B60" s="41" t="inlineStr">
        <is>
          <t>2. 우 수 공</t>
        </is>
      </c>
      <c r="C60" s="41" t="n">
        <v>19</v>
      </c>
      <c r="D60" s="41" t="inlineStr">
        <is>
          <t>4). 거푸집</t>
        </is>
      </c>
      <c r="E60" s="41" t="inlineStr">
        <is>
          <t>합판4회(보통)</t>
        </is>
      </c>
      <c r="F60" s="41" t="n">
        <v>97</v>
      </c>
      <c r="G60" s="41" t="inlineStr">
        <is>
          <t>㎡</t>
        </is>
      </c>
      <c r="H60" s="42" t="n">
        <v>378</v>
      </c>
      <c r="I60" s="42">
        <f>F60*H60</f>
        <v/>
      </c>
      <c r="J60" s="42" t="n">
        <v>37806</v>
      </c>
      <c r="K60" s="42">
        <f>F60*J60</f>
        <v/>
      </c>
      <c r="L60" s="42" t="n">
        <v>0</v>
      </c>
      <c r="M60" s="42">
        <f>F60*L60</f>
        <v/>
      </c>
      <c r="N60" s="42">
        <f>H60+J60+L60</f>
        <v/>
      </c>
      <c r="O60" s="43">
        <f>I60+K60+M60</f>
        <v/>
      </c>
      <c r="Q60" t="inlineStr">
        <is>
          <t>합판4회(보통)</t>
        </is>
      </c>
    </row>
    <row r="61" ht="24" customHeight="1" s="34">
      <c r="A61" s="40" t="inlineStr">
        <is>
          <t>05 회전교차로</t>
        </is>
      </c>
      <c r="B61" s="41" t="inlineStr">
        <is>
          <t>2. 우 수 공</t>
        </is>
      </c>
      <c r="C61" s="41" t="n">
        <v>20</v>
      </c>
      <c r="D61" s="41" t="inlineStr">
        <is>
          <t>5). 거푸집</t>
        </is>
      </c>
      <c r="E61" s="41" t="inlineStr">
        <is>
          <t>합판6회(간단)</t>
        </is>
      </c>
      <c r="F61" s="41" t="n">
        <v>1</v>
      </c>
      <c r="G61" s="41" t="inlineStr">
        <is>
          <t>㎡</t>
        </is>
      </c>
      <c r="H61" s="42" t="n">
        <v>0</v>
      </c>
      <c r="I61" s="42">
        <f>F61*H61</f>
        <v/>
      </c>
      <c r="J61" s="42" t="n">
        <v>0</v>
      </c>
      <c r="K61" s="42">
        <f>F61*J61</f>
        <v/>
      </c>
      <c r="L61" s="42" t="n">
        <v>34535</v>
      </c>
      <c r="M61" s="42">
        <f>F61*L61</f>
        <v/>
      </c>
      <c r="N61" s="42">
        <f>H61+J61+L61</f>
        <v/>
      </c>
      <c r="O61" s="43">
        <f>I61+K61+M61</f>
        <v/>
      </c>
      <c r="Q61" t="inlineStr">
        <is>
          <t>현재 매칭 CUA31502000S — 품명 일치·점수 0.71</t>
        </is>
      </c>
    </row>
    <row r="62" ht="24" customHeight="1" s="34">
      <c r="A62" s="40" t="inlineStr">
        <is>
          <t>05 회전교차로</t>
        </is>
      </c>
      <c r="B62" s="41" t="inlineStr">
        <is>
          <t>2. 우 수 공</t>
        </is>
      </c>
      <c r="C62" s="41" t="n">
        <v>21</v>
      </c>
      <c r="D62" s="41" t="inlineStr">
        <is>
          <t>6). 스페이셔설치</t>
        </is>
      </c>
      <c r="E62" s="41" t="inlineStr">
        <is>
          <t>수직</t>
        </is>
      </c>
      <c r="F62" s="41" t="n">
        <v>88</v>
      </c>
      <c r="G62" s="41" t="inlineStr">
        <is>
          <t>㎡</t>
        </is>
      </c>
      <c r="H62" s="42" t="n">
        <v>623</v>
      </c>
      <c r="I62" s="42">
        <f>F62*H62</f>
        <v/>
      </c>
      <c r="J62" s="42" t="n">
        <v>9748</v>
      </c>
      <c r="K62" s="42">
        <f>F62*J62</f>
        <v/>
      </c>
      <c r="L62" s="42" t="n">
        <v>0</v>
      </c>
      <c r="M62" s="42">
        <f>F62*L62</f>
        <v/>
      </c>
      <c r="N62" s="42">
        <f>H62+J62+L62</f>
        <v/>
      </c>
      <c r="O62" s="43">
        <f>I62+K62+M62</f>
        <v/>
      </c>
      <c r="Q62" t="inlineStr">
        <is>
          <t>수직</t>
        </is>
      </c>
    </row>
    <row r="63" ht="24" customHeight="1" s="34">
      <c r="A63" s="40" t="inlineStr">
        <is>
          <t>05 회전교차로</t>
        </is>
      </c>
      <c r="B63" s="41" t="inlineStr">
        <is>
          <t>2. 우 수 공</t>
        </is>
      </c>
      <c r="C63" s="41" t="n">
        <v>22</v>
      </c>
      <c r="D63" s="41" t="inlineStr">
        <is>
          <t>7). 스페이셔설치</t>
        </is>
      </c>
      <c r="E63" s="41" t="inlineStr">
        <is>
          <t>수평</t>
        </is>
      </c>
      <c r="F63" s="41" t="n">
        <v>15</v>
      </c>
      <c r="G63" s="41" t="inlineStr">
        <is>
          <t>㎡</t>
        </is>
      </c>
      <c r="H63" s="42" t="n">
        <v>500</v>
      </c>
      <c r="I63" s="42">
        <f>F63*H63</f>
        <v/>
      </c>
      <c r="J63" s="42" t="n">
        <v>1500</v>
      </c>
      <c r="K63" s="42">
        <f>F63*J63</f>
        <v/>
      </c>
      <c r="L63" s="41" t="n"/>
      <c r="M63" s="42">
        <f>F63*L63</f>
        <v/>
      </c>
      <c r="N63" s="42">
        <f>H63+J63+L63</f>
        <v/>
      </c>
      <c r="O63" s="43">
        <f>I63+K63+M63</f>
        <v/>
      </c>
      <c r="P63" t="inlineStr">
        <is>
          <t>가영현</t>
        </is>
      </c>
      <c r="Q63" t="inlineStr">
        <is>
          <t>수평</t>
        </is>
      </c>
    </row>
    <row r="64" ht="24" customHeight="1" s="34">
      <c r="A64" s="40" t="inlineStr">
        <is>
          <t>05 회전교차로</t>
        </is>
      </c>
      <c r="B64" s="41" t="inlineStr">
        <is>
          <t>2. 우 수 공</t>
        </is>
      </c>
      <c r="C64" s="41" t="n">
        <v>23</v>
      </c>
      <c r="D64" s="41" t="inlineStr">
        <is>
          <t>8). 신축이음(Joint filler)</t>
        </is>
      </c>
      <c r="E64" s="41" t="inlineStr">
        <is>
          <t>t=20mm</t>
        </is>
      </c>
      <c r="F64" s="41" t="n">
        <v>5</v>
      </c>
      <c r="G64" s="41" t="inlineStr">
        <is>
          <t>㎡</t>
        </is>
      </c>
      <c r="H64" s="42" t="n">
        <v>0</v>
      </c>
      <c r="I64" s="42">
        <f>F64*H64</f>
        <v/>
      </c>
      <c r="J64" s="42" t="n">
        <v>67244</v>
      </c>
      <c r="K64" s="42">
        <f>F64*J64</f>
        <v/>
      </c>
      <c r="L64" s="42" t="n">
        <v>0</v>
      </c>
      <c r="M64" s="42">
        <f>F64*L64</f>
        <v/>
      </c>
      <c r="N64" s="42">
        <f>H64+J64+L64</f>
        <v/>
      </c>
      <c r="O64" s="43">
        <f>I64+K64+M64</f>
        <v/>
      </c>
      <c r="Q64" t="inlineStr">
        <is>
          <t>t=20mm</t>
        </is>
      </c>
    </row>
    <row r="65" ht="24" customHeight="1" s="34">
      <c r="A65" s="40" t="inlineStr">
        <is>
          <t>05 회전교차로</t>
        </is>
      </c>
      <c r="B65" s="41" t="inlineStr">
        <is>
          <t>2. 우 수 공</t>
        </is>
      </c>
      <c r="C65" s="41" t="n">
        <v>24</v>
      </c>
      <c r="D65" s="41" t="inlineStr">
        <is>
          <t>9). DOWEL BAR(옹벽용)</t>
        </is>
      </c>
      <c r="E65" s="41" t="inlineStr">
        <is>
          <t>Ø32×800(기성품)</t>
        </is>
      </c>
      <c r="F65" s="41" t="n">
        <v>72</v>
      </c>
      <c r="G65" s="41" t="inlineStr">
        <is>
          <t>ea</t>
        </is>
      </c>
      <c r="H65" s="42" t="n">
        <v>35000</v>
      </c>
      <c r="I65" s="42">
        <f>F65*H65</f>
        <v/>
      </c>
      <c r="J65" s="42" t="n">
        <v>12000</v>
      </c>
      <c r="K65" s="42">
        <f>F65*J65</f>
        <v/>
      </c>
      <c r="L65" s="41" t="n">
        <v>800</v>
      </c>
      <c r="M65" s="42">
        <f>F65*L65</f>
        <v/>
      </c>
      <c r="N65" s="42">
        <f>H65+J65+L65</f>
        <v/>
      </c>
      <c r="O65" s="43">
        <f>I65+K65+M65</f>
        <v/>
      </c>
      <c r="P65" t="inlineStr">
        <is>
          <t>가영현</t>
        </is>
      </c>
      <c r="Q65" t="inlineStr">
        <is>
          <t>옹벽용</t>
        </is>
      </c>
    </row>
    <row r="66" ht="24" customHeight="1" s="34">
      <c r="A66" s="40" t="inlineStr">
        <is>
          <t>05 회전교차로</t>
        </is>
      </c>
      <c r="B66" s="41" t="inlineStr">
        <is>
          <t>2. 우 수 공</t>
        </is>
      </c>
      <c r="C66" s="41" t="n">
        <v>25</v>
      </c>
      <c r="D66" s="41" t="inlineStr">
        <is>
          <t>15). 실링마감(실런트)</t>
        </is>
      </c>
      <c r="E66" s="41" t="inlineStr">
        <is>
          <t>20×25</t>
        </is>
      </c>
      <c r="F66" s="41" t="n">
        <v>22</v>
      </c>
      <c r="G66" s="41" t="inlineStr">
        <is>
          <t>m</t>
        </is>
      </c>
      <c r="H66" s="42" t="n">
        <v>51</v>
      </c>
      <c r="I66" s="42">
        <f>F66*H66</f>
        <v/>
      </c>
      <c r="J66" s="42" t="n">
        <v>5125</v>
      </c>
      <c r="K66" s="42">
        <f>F66*J66</f>
        <v/>
      </c>
      <c r="L66" s="42" t="n">
        <v>0</v>
      </c>
      <c r="M66" s="42">
        <f>F66*L66</f>
        <v/>
      </c>
      <c r="N66" s="42">
        <f>H66+J66+L66</f>
        <v/>
      </c>
      <c r="O66" s="43">
        <f>I66+K66+M66</f>
        <v/>
      </c>
      <c r="Q66" t="inlineStr">
        <is>
          <t>실런트</t>
        </is>
      </c>
    </row>
    <row r="67" ht="24" customHeight="1" s="34">
      <c r="A67" s="40" t="inlineStr">
        <is>
          <t>05 회전교차로</t>
        </is>
      </c>
      <c r="B67" s="41" t="inlineStr">
        <is>
          <t>2. 우 수 공</t>
        </is>
      </c>
      <c r="C67" s="41" t="n">
        <v>26</v>
      </c>
      <c r="D67" s="41" t="inlineStr">
        <is>
          <t>16). 기초지정</t>
        </is>
      </c>
      <c r="E67" s="41" t="inlineStr">
        <is>
          <t>잡석지정, 재료비 제외</t>
        </is>
      </c>
      <c r="F67" s="41" t="n">
        <v>11</v>
      </c>
      <c r="G67" s="41" t="inlineStr">
        <is>
          <t>㎥</t>
        </is>
      </c>
      <c r="H67" s="42" t="n">
        <v>1606</v>
      </c>
      <c r="I67" s="42">
        <f>F67*H67</f>
        <v/>
      </c>
      <c r="J67" s="42" t="n">
        <v>8751</v>
      </c>
      <c r="K67" s="42">
        <f>F67*J67</f>
        <v/>
      </c>
      <c r="L67" s="42" t="n">
        <v>1798</v>
      </c>
      <c r="M67" s="42">
        <f>F67*L67</f>
        <v/>
      </c>
      <c r="N67" s="42">
        <f>H67+J67+L67</f>
        <v/>
      </c>
      <c r="O67" s="43">
        <f>I67+K67+M67</f>
        <v/>
      </c>
      <c r="Q67" t="inlineStr">
        <is>
          <t>16). 기초지정</t>
        </is>
      </c>
    </row>
    <row r="68" ht="24" customHeight="1" s="34">
      <c r="A68" s="40" t="inlineStr">
        <is>
          <t>05 회전교차로</t>
        </is>
      </c>
      <c r="B68" s="41" t="inlineStr">
        <is>
          <t>2. 우 수 공</t>
        </is>
      </c>
      <c r="C68" s="41" t="n">
        <v>27</v>
      </c>
      <c r="D68" s="41" t="inlineStr">
        <is>
          <t>가). 철근운반비</t>
        </is>
      </c>
      <c r="E68" s="41" t="inlineStr">
        <is>
          <t>L=10km이내</t>
        </is>
      </c>
      <c r="F68" s="41" t="n">
        <v>1.207</v>
      </c>
      <c r="G68" s="41" t="inlineStr">
        <is>
          <t>Ton</t>
        </is>
      </c>
      <c r="H68" s="41" t="n"/>
      <c r="I68" s="42">
        <f>F68*H68</f>
        <v/>
      </c>
      <c r="J68" s="41" t="n"/>
      <c r="K68" s="42">
        <f>F68*J68</f>
        <v/>
      </c>
      <c r="L68" s="41" t="n">
        <v>30000</v>
      </c>
      <c r="M68" s="42">
        <f>F68*L68</f>
        <v/>
      </c>
      <c r="N68" s="42">
        <f>H68+J68+L68</f>
        <v/>
      </c>
      <c r="O68" s="43">
        <f>I68+K68+M68</f>
        <v/>
      </c>
      <c r="P68" t="inlineStr">
        <is>
          <t>가영현</t>
        </is>
      </c>
      <c r="Q68" t="inlineStr">
        <is>
          <t>L=10km이내, ... 가). 철근운반비</t>
        </is>
      </c>
    </row>
    <row r="69" ht="24" customHeight="1" s="34">
      <c r="A69" s="40" t="inlineStr">
        <is>
          <t>05 회전교차로</t>
        </is>
      </c>
      <c r="B69" s="41" t="inlineStr">
        <is>
          <t>2. 우 수 공</t>
        </is>
      </c>
      <c r="C69" s="41" t="n">
        <v>28</v>
      </c>
      <c r="D69" s="41" t="inlineStr">
        <is>
          <t>나). 고철(고재)</t>
        </is>
      </c>
      <c r="E69" s="41" t="inlineStr">
        <is>
          <t>중량A</t>
        </is>
      </c>
      <c r="F69" s="41" t="n">
        <v>0.028</v>
      </c>
      <c r="G69" s="41" t="inlineStr">
        <is>
          <t>Ton</t>
        </is>
      </c>
      <c r="H69" s="41" t="n">
        <v>-10000</v>
      </c>
      <c r="I69" s="42">
        <f>F69*H69</f>
        <v/>
      </c>
      <c r="J69" s="41" t="n"/>
      <c r="K69" s="42">
        <f>F69*J69</f>
        <v/>
      </c>
      <c r="L69" s="41" t="n"/>
      <c r="M69" s="42">
        <f>F69*L69</f>
        <v/>
      </c>
      <c r="N69" s="42">
        <f>H69+J69+L69</f>
        <v/>
      </c>
      <c r="O69" s="43">
        <f>I69+K69+M69</f>
        <v/>
      </c>
      <c r="P69" t="inlineStr">
        <is>
          <t>가영현</t>
        </is>
      </c>
      <c r="Q69" t="inlineStr">
        <is>
          <t>중량A, 고재, ... 나). 고철</t>
        </is>
      </c>
    </row>
    <row r="70" ht="24" customHeight="1" s="34">
      <c r="A70" s="40" t="inlineStr">
        <is>
          <t>05 회전교차로</t>
        </is>
      </c>
      <c r="B70" s="41" t="inlineStr">
        <is>
          <t>2. 우 수 공</t>
        </is>
      </c>
      <c r="C70" s="41" t="n">
        <v>29</v>
      </c>
      <c r="D70" s="41" t="inlineStr">
        <is>
          <t>가). 보통시멘트</t>
        </is>
      </c>
      <c r="E70" s="41" t="inlineStr">
        <is>
          <t>40kg/대 (포장품)</t>
        </is>
      </c>
      <c r="F70" s="41" t="n">
        <v>17</v>
      </c>
      <c r="G70" s="41" t="inlineStr">
        <is>
          <t>대</t>
        </is>
      </c>
      <c r="H70" s="41" t="n">
        <v>5500</v>
      </c>
      <c r="I70" s="42">
        <f>F70*H70</f>
        <v/>
      </c>
      <c r="J70" s="41" t="n"/>
      <c r="K70" s="42">
        <f>F70*J70</f>
        <v/>
      </c>
      <c r="L70" s="41" t="n"/>
      <c r="M70" s="42">
        <f>F70*L70</f>
        <v/>
      </c>
      <c r="N70" s="42">
        <f>H70+J70+L70</f>
        <v/>
      </c>
      <c r="O70" s="43">
        <f>I70+K70+M70</f>
        <v/>
      </c>
      <c r="P70" t="inlineStr">
        <is>
          <t>가영현</t>
        </is>
      </c>
      <c r="Q70" t="inlineStr">
        <is>
          <t>40kg/대 (포장품), 포장품, ... 가). 보통시멘트, 40kg, 대 (포장품)</t>
        </is>
      </c>
    </row>
    <row r="71" ht="24" customHeight="1" s="34">
      <c r="A71" s="40" t="inlineStr">
        <is>
          <t>05 회전교차로</t>
        </is>
      </c>
      <c r="B71" s="41" t="inlineStr">
        <is>
          <t>2. 우 수 공</t>
        </is>
      </c>
      <c r="C71" s="41" t="n">
        <v>30</v>
      </c>
      <c r="D71" s="41" t="inlineStr">
        <is>
          <t>나). 시멘트운반</t>
        </is>
      </c>
      <c r="E71" s="41" t="inlineStr">
        <is>
          <t>L=30km이내</t>
        </is>
      </c>
      <c r="F71" s="41" t="n">
        <v>17</v>
      </c>
      <c r="G71" s="41" t="inlineStr">
        <is>
          <t>대</t>
        </is>
      </c>
      <c r="H71" s="41" t="n"/>
      <c r="I71" s="42">
        <f>F71*H71</f>
        <v/>
      </c>
      <c r="J71" s="41" t="n"/>
      <c r="K71" s="42">
        <f>F71*J71</f>
        <v/>
      </c>
      <c r="L71" s="41" t="n">
        <v>200</v>
      </c>
      <c r="M71" s="42">
        <f>F71*L71</f>
        <v/>
      </c>
      <c r="N71" s="42">
        <f>H71+J71+L71</f>
        <v/>
      </c>
      <c r="O71" s="43">
        <f>I71+K71+M71</f>
        <v/>
      </c>
      <c r="P71" t="inlineStr">
        <is>
          <t>가영현</t>
        </is>
      </c>
      <c r="Q71" t="inlineStr">
        <is>
          <t>L=30km이내, ... 나). 시멘트운반</t>
        </is>
      </c>
    </row>
    <row r="72" ht="24" customHeight="1" s="34">
      <c r="A72" s="40" t="inlineStr">
        <is>
          <t>05 회전교차로</t>
        </is>
      </c>
      <c r="B72" s="41" t="inlineStr">
        <is>
          <t>2. 우 수 공</t>
        </is>
      </c>
      <c r="C72" s="41" t="n">
        <v>31</v>
      </c>
      <c r="D72" s="41" t="inlineStr">
        <is>
          <t>가). 모래</t>
        </is>
      </c>
      <c r="E72" s="41" t="inlineStr">
        <is>
          <t>강모래, 현장도착도</t>
        </is>
      </c>
      <c r="F72" s="41" t="n">
        <v>22</v>
      </c>
      <c r="G72" s="41" t="inlineStr">
        <is>
          <t>㎥</t>
        </is>
      </c>
      <c r="H72" s="42" t="n">
        <v>806</v>
      </c>
      <c r="I72" s="42">
        <f>F72*H72</f>
        <v/>
      </c>
      <c r="J72" s="42" t="n">
        <v>1354</v>
      </c>
      <c r="K72" s="42">
        <f>F72*J72</f>
        <v/>
      </c>
      <c r="L72" s="42" t="n">
        <v>678</v>
      </c>
      <c r="M72" s="42">
        <f>F72*L72</f>
        <v/>
      </c>
      <c r="N72" s="42">
        <f>H72+J72+L72</f>
        <v/>
      </c>
      <c r="O72" s="43">
        <f>I72+K72+M72</f>
        <v/>
      </c>
      <c r="Q72" t="inlineStr">
        <is>
          <t>표준DB CVL40103000S (점수0.51) / 대안: 모래 운반(0.51) · 현장비빔타설(0.46)</t>
        </is>
      </c>
    </row>
    <row r="73" ht="24" customHeight="1" s="34">
      <c r="A73" s="40" t="inlineStr">
        <is>
          <t>05 회전교차로</t>
        </is>
      </c>
      <c r="B73" s="41" t="inlineStr">
        <is>
          <t>2. 우 수 공</t>
        </is>
      </c>
      <c r="C73" s="41" t="n">
        <v>32</v>
      </c>
      <c r="D73" s="41" t="inlineStr">
        <is>
          <t>나). 잡석</t>
        </is>
      </c>
      <c r="E73" s="41" t="inlineStr">
        <is>
          <t>Φ150mm이하, 현장도착도</t>
        </is>
      </c>
      <c r="F73" s="41" t="n">
        <v>2</v>
      </c>
      <c r="G73" s="41" t="inlineStr">
        <is>
          <t>㎥</t>
        </is>
      </c>
      <c r="H73" s="42" t="n">
        <v>0</v>
      </c>
      <c r="I73" s="42">
        <f>F73*H73</f>
        <v/>
      </c>
      <c r="J73" s="42" t="n">
        <v>4036</v>
      </c>
      <c r="K73" s="42">
        <f>F73*J73</f>
        <v/>
      </c>
      <c r="L73" s="42" t="n">
        <v>947</v>
      </c>
      <c r="M73" s="42">
        <f>F73*L73</f>
        <v/>
      </c>
      <c r="N73" s="42">
        <f>H73+J73+L73</f>
        <v/>
      </c>
      <c r="O73" s="43">
        <f>I73+K73+M73</f>
        <v/>
      </c>
      <c r="Q73" t="inlineStr">
        <is>
          <t>표준DB 4. 조경 유지관리 외 (점수0.56) / 대안: 뒷채움 잡석(0.50) · 터파기(육상, 1m이하)(0.49)</t>
        </is>
      </c>
    </row>
    <row r="74" ht="24" customHeight="1" s="34">
      <c r="A74" s="40" t="inlineStr">
        <is>
          <t>05 회전교차로</t>
        </is>
      </c>
      <c r="B74" s="41" t="inlineStr">
        <is>
          <t>2. 우 수 공</t>
        </is>
      </c>
      <c r="C74" s="41" t="n">
        <v>33</v>
      </c>
      <c r="D74" s="41" t="inlineStr">
        <is>
          <t>가). 레미콘</t>
        </is>
      </c>
      <c r="E74" s="41" t="inlineStr">
        <is>
          <t>25-21- 8(Mpa)</t>
        </is>
      </c>
      <c r="F74" s="41" t="n">
        <v>71</v>
      </c>
      <c r="G74" s="41" t="inlineStr">
        <is>
          <t>㎥</t>
        </is>
      </c>
      <c r="H74" s="42" t="n">
        <v>1293</v>
      </c>
      <c r="I74" s="42">
        <f>F74*H74</f>
        <v/>
      </c>
      <c r="J74" s="42" t="n">
        <v>64674</v>
      </c>
      <c r="K74" s="42">
        <f>F74*J74</f>
        <v/>
      </c>
      <c r="L74" s="42" t="n">
        <v>0</v>
      </c>
      <c r="M74" s="42">
        <f>F74*L74</f>
        <v/>
      </c>
      <c r="N74" s="42">
        <f>H74+J74+L74</f>
        <v/>
      </c>
      <c r="O74" s="43">
        <f>I74+K74+M74</f>
        <v/>
      </c>
      <c r="Q74" t="inlineStr">
        <is>
          <t>DB CUG30401000S (0.72, 레미콘타설) / 대안: 레미콘타설(0.72) · 레미콘타설(0.72)</t>
        </is>
      </c>
    </row>
    <row r="75" ht="24" customHeight="1" s="34">
      <c r="A75" s="40" t="inlineStr">
        <is>
          <t>05 회전교차로</t>
        </is>
      </c>
      <c r="B75" s="41" t="inlineStr">
        <is>
          <t>2. 우 수 공</t>
        </is>
      </c>
      <c r="C75" s="41" t="n">
        <v>34</v>
      </c>
      <c r="D75" s="41" t="inlineStr">
        <is>
          <t>나). 레미콘</t>
        </is>
      </c>
      <c r="E75" s="41" t="inlineStr">
        <is>
          <t>25-18-8(Mpa)</t>
        </is>
      </c>
      <c r="F75" s="41" t="n">
        <v>1</v>
      </c>
      <c r="G75" s="41" t="inlineStr">
        <is>
          <t>㎥</t>
        </is>
      </c>
      <c r="H75" s="42" t="n">
        <v>1293</v>
      </c>
      <c r="I75" s="42">
        <f>F75*H75</f>
        <v/>
      </c>
      <c r="J75" s="42" t="n">
        <v>64674</v>
      </c>
      <c r="K75" s="42">
        <f>F75*J75</f>
        <v/>
      </c>
      <c r="L75" s="42" t="n">
        <v>0</v>
      </c>
      <c r="M75" s="42">
        <f>F75*L75</f>
        <v/>
      </c>
      <c r="N75" s="42">
        <f>H75+J75+L75</f>
        <v/>
      </c>
      <c r="O75" s="43">
        <f>I75+K75+M75</f>
        <v/>
      </c>
      <c r="Q75" t="inlineStr">
        <is>
          <t>표준DB CUG30401000S (점수0.55) / 대안: 레미콘타설(0.55) · 레미콘타설(0.55)</t>
        </is>
      </c>
    </row>
    <row r="76" ht="24" customHeight="1" s="34">
      <c r="A76" s="40" t="inlineStr">
        <is>
          <t>05 회전교차로</t>
        </is>
      </c>
      <c r="B76" s="41" t="inlineStr">
        <is>
          <t>2. 우 수 공</t>
        </is>
      </c>
      <c r="C76" s="41" t="n">
        <v>35</v>
      </c>
      <c r="D76" s="41" t="inlineStr">
        <is>
          <t>다). 레미콘</t>
        </is>
      </c>
      <c r="E76" s="41" t="inlineStr">
        <is>
          <t>25-24-12(Mpa)</t>
        </is>
      </c>
      <c r="F76" s="41" t="n">
        <v>10</v>
      </c>
      <c r="G76" s="41" t="inlineStr">
        <is>
          <t>㎥</t>
        </is>
      </c>
      <c r="H76" s="42" t="n">
        <v>1293</v>
      </c>
      <c r="I76" s="42">
        <f>F76*H76</f>
        <v/>
      </c>
      <c r="J76" s="42" t="n">
        <v>64674</v>
      </c>
      <c r="K76" s="42">
        <f>F76*J76</f>
        <v/>
      </c>
      <c r="L76" s="42" t="n">
        <v>0</v>
      </c>
      <c r="M76" s="42">
        <f>F76*L76</f>
        <v/>
      </c>
      <c r="N76" s="42">
        <f>H76+J76+L76</f>
        <v/>
      </c>
      <c r="O76" s="43">
        <f>I76+K76+M76</f>
        <v/>
      </c>
      <c r="Q76" t="inlineStr">
        <is>
          <t>표준DB CUG30401000S (점수0.55) / 대안: 레미콘타설(0.55) · 레미콘타설(0.55)</t>
        </is>
      </c>
    </row>
    <row r="77" ht="24" customHeight="1" s="34">
      <c r="A77" s="40" t="inlineStr">
        <is>
          <t>05 회전교차로</t>
        </is>
      </c>
      <c r="B77" s="41" t="inlineStr">
        <is>
          <t>2. 우 수 공</t>
        </is>
      </c>
      <c r="C77" s="41" t="n">
        <v>36</v>
      </c>
      <c r="D77" s="41" t="inlineStr">
        <is>
          <t>가). 원심력철근콘크리트관(보통2종)</t>
        </is>
      </c>
      <c r="E77" s="41" t="inlineStr">
        <is>
          <t>250㎜ (소켓식,B형)</t>
        </is>
      </c>
      <c r="F77" s="41" t="n">
        <v>145</v>
      </c>
      <c r="G77" s="41" t="inlineStr">
        <is>
          <t>ｍ</t>
        </is>
      </c>
      <c r="H77" s="42" t="n">
        <v>2339</v>
      </c>
      <c r="I77" s="42">
        <f>F77*H77</f>
        <v/>
      </c>
      <c r="J77" s="42" t="n">
        <v>19375</v>
      </c>
      <c r="K77" s="42">
        <f>F77*J77</f>
        <v/>
      </c>
      <c r="L77" s="42" t="n">
        <v>2505</v>
      </c>
      <c r="M77" s="42">
        <f>F77*L77</f>
        <v/>
      </c>
      <c r="N77" s="42">
        <f>H77+J77+L77</f>
        <v/>
      </c>
      <c r="O77" s="43">
        <f>I77+K77+M77</f>
        <v/>
      </c>
      <c r="Q77" t="inlineStr">
        <is>
          <t>소켓식</t>
        </is>
      </c>
    </row>
    <row r="78" ht="24" customHeight="1" s="34">
      <c r="A78" s="40" t="inlineStr">
        <is>
          <t>05 회전교차로</t>
        </is>
      </c>
      <c r="B78" s="41" t="inlineStr">
        <is>
          <t>2. 우 수 공</t>
        </is>
      </c>
      <c r="C78" s="41" t="n">
        <v>37</v>
      </c>
      <c r="D78" s="41" t="inlineStr">
        <is>
          <t>나). 원심력철근콘크리트관(보통2종)</t>
        </is>
      </c>
      <c r="E78" s="41" t="inlineStr">
        <is>
          <t>600㎜ (소켓식,B형)</t>
        </is>
      </c>
      <c r="F78" s="41" t="n">
        <v>177</v>
      </c>
      <c r="G78" s="41" t="inlineStr">
        <is>
          <t>ｍ</t>
        </is>
      </c>
      <c r="H78" s="42" t="n">
        <v>2339</v>
      </c>
      <c r="I78" s="42">
        <f>F78*H78</f>
        <v/>
      </c>
      <c r="J78" s="42" t="n">
        <v>19375</v>
      </c>
      <c r="K78" s="42">
        <f>F78*J78</f>
        <v/>
      </c>
      <c r="L78" s="42" t="n">
        <v>2505</v>
      </c>
      <c r="M78" s="42">
        <f>F78*L78</f>
        <v/>
      </c>
      <c r="N78" s="42">
        <f>H78+J78+L78</f>
        <v/>
      </c>
      <c r="O78" s="43">
        <f>I78+K78+M78</f>
        <v/>
      </c>
      <c r="Q78" t="inlineStr">
        <is>
          <t>소켓식</t>
        </is>
      </c>
    </row>
    <row r="79" ht="24" customHeight="1" s="34">
      <c r="A79" s="40" t="inlineStr">
        <is>
          <t>05 회전교차로</t>
        </is>
      </c>
      <c r="B79" s="41" t="inlineStr">
        <is>
          <t>2. 우 수 공</t>
        </is>
      </c>
      <c r="C79" s="41" t="n">
        <v>38</v>
      </c>
      <c r="D79" s="41" t="inlineStr">
        <is>
          <t>다). 흄관하차비</t>
        </is>
      </c>
      <c r="E79" s="41" t="inlineStr">
        <is>
          <t>Ø 250 MM - 차상도</t>
        </is>
      </c>
      <c r="F79" s="41" t="n">
        <v>58</v>
      </c>
      <c r="G79" s="41" t="inlineStr">
        <is>
          <t>본</t>
        </is>
      </c>
      <c r="H79" s="42" t="n">
        <v>0</v>
      </c>
      <c r="I79" s="42">
        <f>F79*H79</f>
        <v/>
      </c>
      <c r="J79" s="42" t="n">
        <v>0</v>
      </c>
      <c r="K79" s="42">
        <f>F79*J79</f>
        <v/>
      </c>
      <c r="L79" s="42" t="n">
        <v>2000</v>
      </c>
      <c r="M79" s="42">
        <f>F79*L79</f>
        <v/>
      </c>
      <c r="N79" s="42">
        <f>H79+J79+L79</f>
        <v/>
      </c>
      <c r="O79" s="43">
        <f>I79+K79+M79</f>
        <v/>
      </c>
      <c r="Q79" t="inlineStr">
        <is>
          <t>오매칭(점수0.46) 제외 · 흄관 하차는 직경·중량 비례 → Ø250mm 크레인 상하차 추정 2,000원/본(장비경비, 검증 권장)</t>
        </is>
      </c>
    </row>
    <row r="80" ht="24" customHeight="1" s="34">
      <c r="A80" s="40" t="inlineStr">
        <is>
          <t>05 회전교차로</t>
        </is>
      </c>
      <c r="B80" s="41" t="inlineStr">
        <is>
          <t>2. 우 수 공</t>
        </is>
      </c>
      <c r="C80" s="41" t="n">
        <v>39</v>
      </c>
      <c r="D80" s="41" t="inlineStr">
        <is>
          <t>라). 흄관하차비</t>
        </is>
      </c>
      <c r="E80" s="41" t="inlineStr">
        <is>
          <t>Ø 600 MM - 차상도</t>
        </is>
      </c>
      <c r="F80" s="41" t="n">
        <v>71</v>
      </c>
      <c r="G80" s="41" t="inlineStr">
        <is>
          <t>본</t>
        </is>
      </c>
      <c r="H80" s="42" t="n">
        <v>0</v>
      </c>
      <c r="I80" s="42">
        <f>F80*H80</f>
        <v/>
      </c>
      <c r="J80" s="42" t="n">
        <v>0</v>
      </c>
      <c r="K80" s="42">
        <f>F80*J80</f>
        <v/>
      </c>
      <c r="L80" s="42" t="n">
        <v>5000</v>
      </c>
      <c r="M80" s="42">
        <f>F80*L80</f>
        <v/>
      </c>
      <c r="N80" s="42">
        <f>H80+J80+L80</f>
        <v/>
      </c>
      <c r="O80" s="43">
        <f>I80+K80+M80</f>
        <v/>
      </c>
      <c r="Q80" t="inlineStr">
        <is>
          <t>오매칭(점수0.46) 제외 · 흄관 하차는 직경·중량 비례 → Ø600mm 크레인 상하차 추정 5,000원/본(장비경비, 검증 권장)</t>
        </is>
      </c>
    </row>
    <row r="81" ht="24" customHeight="1" s="34">
      <c r="A81" s="40" t="inlineStr">
        <is>
          <t>05 회전교차로</t>
        </is>
      </c>
      <c r="B81" s="41" t="inlineStr">
        <is>
          <t>2. 우 수 공</t>
        </is>
      </c>
      <c r="C81" s="41" t="n">
        <v>40</v>
      </c>
      <c r="D81" s="41" t="inlineStr">
        <is>
          <t>가). 맨홀뚜껑(주철제)</t>
        </is>
      </c>
      <c r="E81" s="41" t="inlineStr">
        <is>
          <t>Φ648KS, 하수도용(잠금식)</t>
        </is>
      </c>
      <c r="F81" s="41" t="n">
        <v>4</v>
      </c>
      <c r="G81" s="41" t="inlineStr">
        <is>
          <t>조</t>
        </is>
      </c>
      <c r="H81" s="42" t="n">
        <v>0</v>
      </c>
      <c r="I81" s="42">
        <f>F81*H81</f>
        <v/>
      </c>
      <c r="J81" s="42" t="n">
        <v>289893</v>
      </c>
      <c r="K81" s="42">
        <f>F81*J81</f>
        <v/>
      </c>
      <c r="L81" s="42" t="n">
        <v>0</v>
      </c>
      <c r="M81" s="42">
        <f>F81*L81</f>
        <v/>
      </c>
      <c r="N81" s="42">
        <f>H81+J81+L81</f>
        <v/>
      </c>
      <c r="O81" s="43">
        <f>I81+K81+M81</f>
        <v/>
      </c>
      <c r="Q81" t="inlineStr">
        <is>
          <t>주철제</t>
        </is>
      </c>
    </row>
    <row r="82" ht="24" customHeight="1" s="34">
      <c r="A82" s="40" t="inlineStr">
        <is>
          <t>05 회전교차로</t>
        </is>
      </c>
      <c r="B82" s="41" t="inlineStr">
        <is>
          <t>2. 우 수 공</t>
        </is>
      </c>
      <c r="C82" s="41" t="n">
        <v>41</v>
      </c>
      <c r="D82" s="41" t="inlineStr">
        <is>
          <t>라). 이형철근(고장력철근)</t>
        </is>
      </c>
      <c r="E82" s="41" t="inlineStr">
        <is>
          <t>HD13M/M 0.995KG/M SD40</t>
        </is>
      </c>
      <c r="F82" s="41" t="n">
        <v>1.025</v>
      </c>
      <c r="G82" s="41" t="inlineStr">
        <is>
          <t>TON</t>
        </is>
      </c>
      <c r="H82" s="42" t="n">
        <v>952000</v>
      </c>
      <c r="I82" s="42">
        <f>F82*H82</f>
        <v/>
      </c>
      <c r="J82" s="42" t="n">
        <v>0</v>
      </c>
      <c r="K82" s="42">
        <f>F82*J82</f>
        <v/>
      </c>
      <c r="L82" s="42" t="n">
        <v>0</v>
      </c>
      <c r="M82" s="42">
        <f>F82*L82</f>
        <v/>
      </c>
      <c r="N82" s="42">
        <f>H82+J82+L82</f>
        <v/>
      </c>
      <c r="O82" s="43">
        <f>I82+K82+M82</f>
        <v/>
      </c>
      <c r="Q82" t="inlineStr">
        <is>
          <t>라). 이형철근</t>
        </is>
      </c>
    </row>
    <row r="83" ht="24" customHeight="1" s="34">
      <c r="A83" s="40" t="inlineStr">
        <is>
          <t>05 회전교차로</t>
        </is>
      </c>
      <c r="B83" s="41" t="inlineStr">
        <is>
          <t>2. 우 수 공</t>
        </is>
      </c>
      <c r="C83" s="41" t="n">
        <v>42</v>
      </c>
      <c r="D83" s="41" t="inlineStr">
        <is>
          <t>사). 이형철근(고장력철근)</t>
        </is>
      </c>
      <c r="E83" s="41" t="inlineStr">
        <is>
          <t>HD25M/M 3.980KG/M SD40</t>
        </is>
      </c>
      <c r="F83" s="41" t="n">
        <v>0.182</v>
      </c>
      <c r="G83" s="41" t="inlineStr">
        <is>
          <t>TON</t>
        </is>
      </c>
      <c r="H83" s="42" t="n">
        <v>952000</v>
      </c>
      <c r="I83" s="42">
        <f>F83*H83</f>
        <v/>
      </c>
      <c r="J83" s="42" t="n">
        <v>0</v>
      </c>
      <c r="K83" s="42">
        <f>F83*J83</f>
        <v/>
      </c>
      <c r="L83" s="42" t="n">
        <v>0</v>
      </c>
      <c r="M83" s="42">
        <f>F83*L83</f>
        <v/>
      </c>
      <c r="N83" s="42">
        <f>H83+J83+L83</f>
        <v/>
      </c>
      <c r="O83" s="43">
        <f>I83+K83+M83</f>
        <v/>
      </c>
      <c r="Q83" t="inlineStr">
        <is>
          <t>사). 이형철근</t>
        </is>
      </c>
    </row>
    <row r="84" ht="24" customHeight="1" s="34">
      <c r="A84" s="44" t="inlineStr">
        <is>
          <t>05 회전교차로</t>
        </is>
      </c>
      <c r="B84" s="45" t="inlineStr">
        <is>
          <t>2. 우 수 공</t>
        </is>
      </c>
      <c r="C84" s="45" t="n"/>
      <c r="D84" s="45" t="inlineStr">
        <is>
          <t>★ 2. 우 수 공 소계</t>
        </is>
      </c>
      <c r="E84" s="45" t="n"/>
      <c r="F84" s="45" t="n"/>
      <c r="G84" s="45" t="n"/>
      <c r="H84" s="45" t="n"/>
      <c r="I84" s="46">
        <f>SUM(I42:I83)</f>
        <v/>
      </c>
      <c r="J84" s="45" t="n"/>
      <c r="K84" s="46">
        <f>SUM(K42:K83)</f>
        <v/>
      </c>
      <c r="L84" s="45" t="n"/>
      <c r="M84" s="46">
        <f>SUM(M42:M83)</f>
        <v/>
      </c>
      <c r="N84" s="45" t="n"/>
      <c r="O84" s="47">
        <f>SUM(O42:O83)</f>
        <v/>
      </c>
      <c r="P84" s="15" t="n"/>
      <c r="Q84" s="15" t="inlineStr">
        <is>
          <t>42건</t>
        </is>
      </c>
    </row>
    <row r="85" ht="24" customHeight="1" s="34">
      <c r="A85" s="40" t="inlineStr">
        <is>
          <t>05 회전교차로</t>
        </is>
      </c>
      <c r="B85" s="41" t="inlineStr">
        <is>
          <t>3. 포 장 공</t>
        </is>
      </c>
      <c r="C85" s="41" t="n">
        <v>1</v>
      </c>
      <c r="D85" s="41" t="inlineStr">
        <is>
          <t>1). 아스팔트 표층 기계포설(대형장비)</t>
        </is>
      </c>
      <c r="E85" s="41" t="inlineStr">
        <is>
          <t>3.0m≤B, T=5cm</t>
        </is>
      </c>
      <c r="F85" s="41" t="n">
        <v>3270</v>
      </c>
      <c r="G85" s="41" t="inlineStr">
        <is>
          <t>㎡</t>
        </is>
      </c>
      <c r="H85" s="42" t="n">
        <v>177</v>
      </c>
      <c r="I85" s="42">
        <f>F85*H85</f>
        <v/>
      </c>
      <c r="J85" s="42" t="n">
        <v>1249</v>
      </c>
      <c r="K85" s="42">
        <f>F85*J85</f>
        <v/>
      </c>
      <c r="L85" s="42" t="n">
        <v>311</v>
      </c>
      <c r="M85" s="42">
        <f>F85*L85</f>
        <v/>
      </c>
      <c r="N85" s="42">
        <f>H85+J85+L85</f>
        <v/>
      </c>
      <c r="O85" s="43">
        <f>I85+K85+M85</f>
        <v/>
      </c>
      <c r="Q85" t="inlineStr">
        <is>
          <t>대형장비</t>
        </is>
      </c>
    </row>
    <row r="86" ht="24" customHeight="1" s="34">
      <c r="A86" s="40" t="inlineStr">
        <is>
          <t>05 회전교차로</t>
        </is>
      </c>
      <c r="B86" s="41" t="inlineStr">
        <is>
          <t>3. 포 장 공</t>
        </is>
      </c>
      <c r="C86" s="41" t="n">
        <v>2</v>
      </c>
      <c r="D86" s="41" t="inlineStr">
        <is>
          <t>2). 아스팔트 중간층 기계포설(대형장비)</t>
        </is>
      </c>
      <c r="E86" s="41" t="inlineStr">
        <is>
          <t>3.0m≤B, T=5cm</t>
        </is>
      </c>
      <c r="F86" s="41" t="n">
        <v>3270</v>
      </c>
      <c r="G86" s="41" t="inlineStr">
        <is>
          <t>㎡</t>
        </is>
      </c>
      <c r="H86" s="42" t="n">
        <v>177</v>
      </c>
      <c r="I86" s="42">
        <f>F86*H86</f>
        <v/>
      </c>
      <c r="J86" s="42" t="n">
        <v>1249</v>
      </c>
      <c r="K86" s="42">
        <f>F86*J86</f>
        <v/>
      </c>
      <c r="L86" s="42" t="n">
        <v>311</v>
      </c>
      <c r="M86" s="42">
        <f>F86*L86</f>
        <v/>
      </c>
      <c r="N86" s="42">
        <f>H86+J86+L86</f>
        <v/>
      </c>
      <c r="O86" s="43">
        <f>I86+K86+M86</f>
        <v/>
      </c>
      <c r="Q86" t="inlineStr">
        <is>
          <t>대형장비</t>
        </is>
      </c>
    </row>
    <row r="87" ht="24" customHeight="1" s="34">
      <c r="A87" s="40" t="inlineStr">
        <is>
          <t>05 회전교차로</t>
        </is>
      </c>
      <c r="B87" s="41" t="inlineStr">
        <is>
          <t>3. 포 장 공</t>
        </is>
      </c>
      <c r="C87" s="41" t="n">
        <v>3</v>
      </c>
      <c r="D87" s="41" t="inlineStr">
        <is>
          <t>3). 아스팔트 기층 기계포설(대형장비)</t>
        </is>
      </c>
      <c r="E87" s="41" t="inlineStr">
        <is>
          <t>3.0m≤B, T=15cm, 2회</t>
        </is>
      </c>
      <c r="F87" s="41" t="n">
        <v>3270</v>
      </c>
      <c r="G87" s="41" t="inlineStr">
        <is>
          <t>㎡</t>
        </is>
      </c>
      <c r="H87" s="42" t="n">
        <v>0</v>
      </c>
      <c r="I87" s="42">
        <f>F87*H87</f>
        <v/>
      </c>
      <c r="J87" s="42" t="n">
        <v>0</v>
      </c>
      <c r="K87" s="42">
        <f>F87*J87</f>
        <v/>
      </c>
      <c r="L87" s="42" t="n">
        <v>0</v>
      </c>
      <c r="M87" s="42">
        <f>F87*L87</f>
        <v/>
      </c>
      <c r="N87" s="42">
        <f>H87+J87+L87</f>
        <v/>
      </c>
      <c r="O87" s="43">
        <f>I87+K87+M87</f>
        <v/>
      </c>
      <c r="Q87" t="inlineStr">
        <is>
          <t>대형장비</t>
        </is>
      </c>
    </row>
    <row r="88" ht="24" customHeight="1" s="34">
      <c r="A88" s="40" t="inlineStr">
        <is>
          <t>05 회전교차로</t>
        </is>
      </c>
      <c r="B88" s="41" t="inlineStr">
        <is>
          <t>3. 포 장 공</t>
        </is>
      </c>
      <c r="C88" s="41" t="n">
        <v>4</v>
      </c>
      <c r="D88" s="41" t="inlineStr">
        <is>
          <t>4). 텍코팅(기계식)</t>
        </is>
      </c>
      <c r="E88" s="41" t="inlineStr">
        <is>
          <t>RSC-4:45ℓ/a, 2회</t>
        </is>
      </c>
      <c r="F88" s="41" t="n">
        <v>3270</v>
      </c>
      <c r="G88" s="41" t="inlineStr">
        <is>
          <t>㎡</t>
        </is>
      </c>
      <c r="H88" s="42" t="n">
        <v>11</v>
      </c>
      <c r="I88" s="42">
        <f>F88*H88</f>
        <v/>
      </c>
      <c r="J88" s="42" t="n">
        <v>36</v>
      </c>
      <c r="K88" s="42">
        <f>F88*J88</f>
        <v/>
      </c>
      <c r="L88" s="42" t="n">
        <v>1</v>
      </c>
      <c r="M88" s="42">
        <f>F88*L88</f>
        <v/>
      </c>
      <c r="N88" s="42">
        <f>H88+J88+L88</f>
        <v/>
      </c>
      <c r="O88" s="43">
        <f>I88+K88+M88</f>
        <v/>
      </c>
      <c r="Q88" t="inlineStr">
        <is>
          <t>4). 텍코팅</t>
        </is>
      </c>
    </row>
    <row r="89" ht="24" customHeight="1" s="34">
      <c r="A89" s="40" t="inlineStr">
        <is>
          <t>05 회전교차로</t>
        </is>
      </c>
      <c r="B89" s="41" t="inlineStr">
        <is>
          <t>3. 포 장 공</t>
        </is>
      </c>
      <c r="C89" s="41" t="n">
        <v>5</v>
      </c>
      <c r="D89" s="41" t="inlineStr">
        <is>
          <t>5). 텍코팅(기계식)</t>
        </is>
      </c>
      <c r="E89" s="41" t="inlineStr">
        <is>
          <t>RSC-4:45ℓ/a</t>
        </is>
      </c>
      <c r="F89" s="41" t="n">
        <v>3270</v>
      </c>
      <c r="G89" s="41" t="inlineStr">
        <is>
          <t>㎡</t>
        </is>
      </c>
      <c r="H89" s="42" t="n">
        <v>11</v>
      </c>
      <c r="I89" s="42">
        <f>F89*H89</f>
        <v/>
      </c>
      <c r="J89" s="42" t="n">
        <v>36</v>
      </c>
      <c r="K89" s="42">
        <f>F89*J89</f>
        <v/>
      </c>
      <c r="L89" s="42" t="n">
        <v>1</v>
      </c>
      <c r="M89" s="42">
        <f>F89*L89</f>
        <v/>
      </c>
      <c r="N89" s="42">
        <f>H89+J89+L89</f>
        <v/>
      </c>
      <c r="O89" s="43">
        <f>I89+K89+M89</f>
        <v/>
      </c>
      <c r="Q89" t="inlineStr">
        <is>
          <t>5). 텍코팅</t>
        </is>
      </c>
    </row>
    <row r="90" ht="24" customHeight="1" s="34">
      <c r="A90" s="40" t="inlineStr">
        <is>
          <t>05 회전교차로</t>
        </is>
      </c>
      <c r="B90" s="41" t="inlineStr">
        <is>
          <t>3. 포 장 공</t>
        </is>
      </c>
      <c r="C90" s="41" t="n">
        <v>6</v>
      </c>
      <c r="D90" s="41" t="inlineStr">
        <is>
          <t>6). 프라임코팅(기계식)</t>
        </is>
      </c>
      <c r="E90" s="41" t="inlineStr">
        <is>
          <t>RSC-3:150ℓ/a</t>
        </is>
      </c>
      <c r="F90" s="41" t="n">
        <v>6540</v>
      </c>
      <c r="G90" s="41" t="inlineStr">
        <is>
          <t>㎡</t>
        </is>
      </c>
      <c r="H90" s="42" t="n">
        <v>11</v>
      </c>
      <c r="I90" s="42">
        <f>F90*H90</f>
        <v/>
      </c>
      <c r="J90" s="42" t="n">
        <v>36</v>
      </c>
      <c r="K90" s="42">
        <f>F90*J90</f>
        <v/>
      </c>
      <c r="L90" s="42" t="n">
        <v>1</v>
      </c>
      <c r="M90" s="42">
        <f>F90*L90</f>
        <v/>
      </c>
      <c r="N90" s="42">
        <f>H90+J90+L90</f>
        <v/>
      </c>
      <c r="O90" s="43">
        <f>I90+K90+M90</f>
        <v/>
      </c>
      <c r="Q90" t="inlineStr">
        <is>
          <t>6). 프라임코팅</t>
        </is>
      </c>
    </row>
    <row r="91" ht="24" customHeight="1" s="34">
      <c r="A91" s="40" t="inlineStr">
        <is>
          <t>05 회전교차로</t>
        </is>
      </c>
      <c r="B91" s="41" t="inlineStr">
        <is>
          <t>3. 포 장 공</t>
        </is>
      </c>
      <c r="C91" s="41" t="n">
        <v>7</v>
      </c>
      <c r="D91" s="41" t="inlineStr">
        <is>
          <t>7). 보조기층(기계시공)</t>
        </is>
      </c>
      <c r="E91" s="41" t="inlineStr">
        <is>
          <t>본선포장, T=20cm</t>
        </is>
      </c>
      <c r="F91" s="41" t="n">
        <v>818</v>
      </c>
      <c r="G91" s="41" t="inlineStr">
        <is>
          <t>㎥</t>
        </is>
      </c>
      <c r="H91" s="42" t="n">
        <v>2216</v>
      </c>
      <c r="I91" s="42">
        <f>F91*H91</f>
        <v/>
      </c>
      <c r="J91" s="42" t="n">
        <v>7533</v>
      </c>
      <c r="K91" s="42">
        <f>F91*J91</f>
        <v/>
      </c>
      <c r="L91" s="42" t="n">
        <v>2292</v>
      </c>
      <c r="M91" s="42">
        <f>F91*L91</f>
        <v/>
      </c>
      <c r="N91" s="42">
        <f>H91+J91+L91</f>
        <v/>
      </c>
      <c r="O91" s="43">
        <f>I91+K91+M91</f>
        <v/>
      </c>
      <c r="Q91" t="inlineStr">
        <is>
          <t>기계시공</t>
        </is>
      </c>
    </row>
    <row r="92" ht="24" customHeight="1" s="34">
      <c r="A92" s="40" t="inlineStr">
        <is>
          <t>05 회전교차로</t>
        </is>
      </c>
      <c r="B92" s="41" t="inlineStr">
        <is>
          <t>3. 포 장 공</t>
        </is>
      </c>
      <c r="C92" s="41" t="n">
        <v>8</v>
      </c>
      <c r="D92" s="41" t="inlineStr">
        <is>
          <t>가). 보도용블럭포장(소형)</t>
        </is>
      </c>
      <c r="E92" s="41" t="inlineStr">
        <is>
          <t>A-TYPE, T=8㎝이하</t>
        </is>
      </c>
      <c r="F92" s="41" t="n">
        <v>1126</v>
      </c>
      <c r="G92" s="41" t="inlineStr">
        <is>
          <t>㎡</t>
        </is>
      </c>
      <c r="H92" s="42" t="n">
        <v>596</v>
      </c>
      <c r="I92" s="42">
        <f>F92*H92</f>
        <v/>
      </c>
      <c r="J92" s="42" t="n">
        <v>7175</v>
      </c>
      <c r="K92" s="42">
        <f>F92*J92</f>
        <v/>
      </c>
      <c r="L92" s="42" t="n">
        <v>641</v>
      </c>
      <c r="M92" s="42">
        <f>F92*L92</f>
        <v/>
      </c>
      <c r="N92" s="42">
        <f>H92+J92+L92</f>
        <v/>
      </c>
      <c r="O92" s="43">
        <f>I92+K92+M92</f>
        <v/>
      </c>
      <c r="Q92" t="inlineStr">
        <is>
          <t>소형</t>
        </is>
      </c>
    </row>
    <row r="93" ht="24" customHeight="1" s="34">
      <c r="A93" s="40" t="inlineStr">
        <is>
          <t>05 회전교차로</t>
        </is>
      </c>
      <c r="B93" s="41" t="inlineStr">
        <is>
          <t>3. 포 장 공</t>
        </is>
      </c>
      <c r="C93" s="41" t="n">
        <v>9</v>
      </c>
      <c r="D93" s="41" t="inlineStr">
        <is>
          <t>나). 보조기층(인력식)</t>
        </is>
      </c>
      <c r="E93" s="41" t="inlineStr">
        <is>
          <t>소규모장비</t>
        </is>
      </c>
      <c r="F93" s="41" t="n">
        <v>113</v>
      </c>
      <c r="G93" s="41" t="inlineStr">
        <is>
          <t>㎥</t>
        </is>
      </c>
      <c r="H93" s="42" t="n">
        <v>1320</v>
      </c>
      <c r="I93" s="42">
        <f>F93*H93</f>
        <v/>
      </c>
      <c r="J93" s="42" t="n">
        <v>11220</v>
      </c>
      <c r="K93" s="42">
        <f>F93*J93</f>
        <v/>
      </c>
      <c r="L93" s="42" t="n">
        <v>1521</v>
      </c>
      <c r="M93" s="42">
        <f>F93*L93</f>
        <v/>
      </c>
      <c r="N93" s="42">
        <f>H93+J93+L93</f>
        <v/>
      </c>
      <c r="O93" s="43">
        <f>I93+K93+M93</f>
        <v/>
      </c>
      <c r="Q93" t="inlineStr">
        <is>
          <t>소규모장비</t>
        </is>
      </c>
    </row>
    <row r="94" ht="24" customHeight="1" s="34">
      <c r="A94" s="40" t="inlineStr">
        <is>
          <t>05 회전교차로</t>
        </is>
      </c>
      <c r="B94" s="41" t="inlineStr">
        <is>
          <t>3. 포 장 공</t>
        </is>
      </c>
      <c r="C94" s="41" t="n">
        <v>10</v>
      </c>
      <c r="D94" s="41" t="inlineStr">
        <is>
          <t>가). 보도용블럭포장(유도블록)</t>
        </is>
      </c>
      <c r="E94" s="41" t="inlineStr">
        <is>
          <t>A-TYPE, T=6㎝이하</t>
        </is>
      </c>
      <c r="F94" s="41" t="n">
        <v>184</v>
      </c>
      <c r="G94" s="41" t="inlineStr">
        <is>
          <t>㎡</t>
        </is>
      </c>
      <c r="H94" s="42" t="n">
        <v>445</v>
      </c>
      <c r="I94" s="42">
        <f>F94*H94</f>
        <v/>
      </c>
      <c r="J94" s="42" t="n">
        <v>1402</v>
      </c>
      <c r="K94" s="42">
        <f>F94*J94</f>
        <v/>
      </c>
      <c r="L94" s="42" t="n">
        <v>783</v>
      </c>
      <c r="M94" s="42">
        <f>F94*L94</f>
        <v/>
      </c>
      <c r="N94" s="42">
        <f>H94+J94+L94</f>
        <v/>
      </c>
      <c r="O94" s="43">
        <f>I94+K94+M94</f>
        <v/>
      </c>
      <c r="Q94" t="inlineStr">
        <is>
          <t>A-TYPE</t>
        </is>
      </c>
    </row>
    <row r="95" ht="24" customHeight="1" s="34">
      <c r="A95" s="40" t="inlineStr">
        <is>
          <t>05 회전교차로</t>
        </is>
      </c>
      <c r="B95" s="41" t="inlineStr">
        <is>
          <t>3. 포 장 공</t>
        </is>
      </c>
      <c r="C95" s="41" t="n">
        <v>11</v>
      </c>
      <c r="D95" s="41" t="inlineStr">
        <is>
          <t>나). 보도용블럭포장(점자블록)</t>
        </is>
      </c>
      <c r="E95" s="41" t="inlineStr">
        <is>
          <t>A-TYPE, T=6㎝이하</t>
        </is>
      </c>
      <c r="F95" s="41" t="n">
        <v>11</v>
      </c>
      <c r="G95" s="41" t="inlineStr">
        <is>
          <t>㎡</t>
        </is>
      </c>
      <c r="H95" s="42" t="n">
        <v>445</v>
      </c>
      <c r="I95" s="42">
        <f>F95*H95</f>
        <v/>
      </c>
      <c r="J95" s="42" t="n">
        <v>1402</v>
      </c>
      <c r="K95" s="42">
        <f>F95*J95</f>
        <v/>
      </c>
      <c r="L95" s="42" t="n">
        <v>783</v>
      </c>
      <c r="M95" s="42">
        <f>F95*L95</f>
        <v/>
      </c>
      <c r="N95" s="42">
        <f>H95+J95+L95</f>
        <v/>
      </c>
      <c r="O95" s="43">
        <f>I95+K95+M95</f>
        <v/>
      </c>
      <c r="Q95" t="inlineStr">
        <is>
          <t>A-TYPE</t>
        </is>
      </c>
    </row>
    <row r="96" ht="24" customHeight="1" s="34">
      <c r="A96" s="40" t="inlineStr">
        <is>
          <t>05 회전교차로</t>
        </is>
      </c>
      <c r="B96" s="41" t="inlineStr">
        <is>
          <t>3. 포 장 공</t>
        </is>
      </c>
      <c r="C96" s="41" t="n">
        <v>12</v>
      </c>
      <c r="D96" s="41" t="inlineStr">
        <is>
          <t>다). 보조기층(인력식)</t>
        </is>
      </c>
      <c r="E96" s="41" t="inlineStr">
        <is>
          <t>T=10cm, 소규모장비</t>
        </is>
      </c>
      <c r="F96" s="41" t="n">
        <v>20</v>
      </c>
      <c r="G96" s="41" t="inlineStr">
        <is>
          <t>㎥</t>
        </is>
      </c>
      <c r="H96" s="42" t="n">
        <v>1320</v>
      </c>
      <c r="I96" s="42">
        <f>F96*H96</f>
        <v/>
      </c>
      <c r="J96" s="42" t="n">
        <v>11220</v>
      </c>
      <c r="K96" s="42">
        <f>F96*J96</f>
        <v/>
      </c>
      <c r="L96" s="42" t="n">
        <v>1521</v>
      </c>
      <c r="M96" s="42">
        <f>F96*L96</f>
        <v/>
      </c>
      <c r="N96" s="42">
        <f>H96+J96+L96</f>
        <v/>
      </c>
      <c r="O96" s="43">
        <f>I96+K96+M96</f>
        <v/>
      </c>
      <c r="Q96" t="inlineStr">
        <is>
          <t>인력식</t>
        </is>
      </c>
    </row>
    <row r="97" ht="24" customHeight="1" s="34">
      <c r="A97" s="40" t="inlineStr">
        <is>
          <t>05 회전교차로</t>
        </is>
      </c>
      <c r="B97" s="41" t="inlineStr">
        <is>
          <t>3. 포 장 공</t>
        </is>
      </c>
      <c r="C97" s="41" t="n">
        <v>13</v>
      </c>
      <c r="D97" s="41" t="inlineStr">
        <is>
          <t>1). 미끄럼방지공</t>
        </is>
      </c>
      <c r="E97" s="41" t="inlineStr">
        <is>
          <t>전면식</t>
        </is>
      </c>
      <c r="F97" s="41" t="n">
        <v>1271</v>
      </c>
      <c r="G97" s="41" t="inlineStr">
        <is>
          <t>㎡</t>
        </is>
      </c>
      <c r="H97" s="42" t="n">
        <v>5499</v>
      </c>
      <c r="I97" s="42">
        <f>F97*H97</f>
        <v/>
      </c>
      <c r="J97" s="42" t="n">
        <v>71313</v>
      </c>
      <c r="K97" s="42">
        <f>F97*J97</f>
        <v/>
      </c>
      <c r="L97" s="42" t="n">
        <v>3096</v>
      </c>
      <c r="M97" s="42">
        <f>F97*L97</f>
        <v/>
      </c>
      <c r="N97" s="42">
        <f>H97+J97+L97</f>
        <v/>
      </c>
      <c r="O97" s="43">
        <f>I97+K97+M97</f>
        <v/>
      </c>
      <c r="Q97" t="inlineStr">
        <is>
          <t>전면식</t>
        </is>
      </c>
    </row>
    <row r="98" ht="24" customHeight="1" s="34">
      <c r="A98" s="40" t="inlineStr">
        <is>
          <t>05 회전교차로</t>
        </is>
      </c>
      <c r="B98" s="41" t="inlineStr">
        <is>
          <t>3. 포 장 공</t>
        </is>
      </c>
      <c r="C98" s="41" t="n">
        <v>14</v>
      </c>
      <c r="D98" s="41" t="inlineStr">
        <is>
          <t>가). 보차도경계석 설치</t>
        </is>
      </c>
      <c r="E98" s="41" t="inlineStr">
        <is>
          <t>180×200×1000, A-TYPE(직선구간)</t>
        </is>
      </c>
      <c r="F98" s="41" t="n">
        <v>475</v>
      </c>
      <c r="G98" s="41" t="inlineStr">
        <is>
          <t>m</t>
        </is>
      </c>
      <c r="H98" s="42" t="n">
        <v>659</v>
      </c>
      <c r="I98" s="42">
        <f>F98*H98</f>
        <v/>
      </c>
      <c r="J98" s="42" t="n">
        <v>6686</v>
      </c>
      <c r="K98" s="42">
        <f>F98*J98</f>
        <v/>
      </c>
      <c r="L98" s="42" t="n">
        <v>522</v>
      </c>
      <c r="M98" s="42">
        <f>F98*L98</f>
        <v/>
      </c>
      <c r="N98" s="42">
        <f>H98+J98+L98</f>
        <v/>
      </c>
      <c r="O98" s="43">
        <f>I98+K98+M98</f>
        <v/>
      </c>
      <c r="Q98" t="inlineStr">
        <is>
          <t>직선구간</t>
        </is>
      </c>
    </row>
    <row r="99" ht="24" customHeight="1" s="34">
      <c r="A99" s="40" t="inlineStr">
        <is>
          <t>05 회전교차로</t>
        </is>
      </c>
      <c r="B99" s="41" t="inlineStr">
        <is>
          <t>3. 포 장 공</t>
        </is>
      </c>
      <c r="C99" s="41" t="n">
        <v>15</v>
      </c>
      <c r="D99" s="41" t="inlineStr">
        <is>
          <t>나). 보차도경계석 설치(경사)</t>
        </is>
      </c>
      <c r="E99" s="41" t="inlineStr">
        <is>
          <t>180×200~100×1000, A-TYPE(곡선구간)</t>
        </is>
      </c>
      <c r="F99" s="41" t="n">
        <v>9</v>
      </c>
      <c r="G99" s="41" t="inlineStr">
        <is>
          <t>m</t>
        </is>
      </c>
      <c r="H99" s="42" t="n">
        <v>771</v>
      </c>
      <c r="I99" s="42">
        <f>F99*H99</f>
        <v/>
      </c>
      <c r="J99" s="42" t="n">
        <v>7823</v>
      </c>
      <c r="K99" s="42">
        <f>F99*J99</f>
        <v/>
      </c>
      <c r="L99" s="42" t="n">
        <v>610</v>
      </c>
      <c r="M99" s="42">
        <f>F99*L99</f>
        <v/>
      </c>
      <c r="N99" s="42">
        <f>H99+J99+L99</f>
        <v/>
      </c>
      <c r="O99" s="43">
        <f>I99+K99+M99</f>
        <v/>
      </c>
      <c r="Q99" t="inlineStr">
        <is>
          <t>곡선구간</t>
        </is>
      </c>
    </row>
    <row r="100" ht="24" customHeight="1" s="34">
      <c r="A100" s="40" t="inlineStr">
        <is>
          <t>05 회전교차로</t>
        </is>
      </c>
      <c r="B100" s="41" t="inlineStr">
        <is>
          <t>3. 포 장 공</t>
        </is>
      </c>
      <c r="C100" s="41" t="n">
        <v>16</v>
      </c>
      <c r="D100" s="41" t="inlineStr">
        <is>
          <t>다). 보차도경계석 설치(낮춤)</t>
        </is>
      </c>
      <c r="E100" s="41" t="inlineStr">
        <is>
          <t>180×100×1000, A-TYPE(곡선구간)</t>
        </is>
      </c>
      <c r="F100" s="41" t="n">
        <v>26</v>
      </c>
      <c r="G100" s="41" t="inlineStr">
        <is>
          <t>m</t>
        </is>
      </c>
      <c r="H100" s="42" t="n">
        <v>771</v>
      </c>
      <c r="I100" s="42">
        <f>F100*H100</f>
        <v/>
      </c>
      <c r="J100" s="42" t="n">
        <v>7823</v>
      </c>
      <c r="K100" s="42">
        <f>F100*J100</f>
        <v/>
      </c>
      <c r="L100" s="42" t="n">
        <v>610</v>
      </c>
      <c r="M100" s="42">
        <f>F100*L100</f>
        <v/>
      </c>
      <c r="N100" s="42">
        <f>H100+J100+L100</f>
        <v/>
      </c>
      <c r="O100" s="43">
        <f>I100+K100+M100</f>
        <v/>
      </c>
      <c r="Q100" t="inlineStr">
        <is>
          <t>곡선구간</t>
        </is>
      </c>
    </row>
    <row r="101" ht="24" customHeight="1" s="34">
      <c r="A101" s="40" t="inlineStr">
        <is>
          <t>05 회전교차로</t>
        </is>
      </c>
      <c r="B101" s="41" t="inlineStr">
        <is>
          <t>3. 포 장 공</t>
        </is>
      </c>
      <c r="C101" s="41" t="n">
        <v>17</v>
      </c>
      <c r="D101" s="41" t="inlineStr">
        <is>
          <t>가). 도로경계석 설치</t>
        </is>
      </c>
      <c r="E101" s="41" t="inlineStr">
        <is>
          <t>120×120×1000, A-TYPE(직선구간)</t>
        </is>
      </c>
      <c r="F101" s="41" t="n">
        <v>220</v>
      </c>
      <c r="G101" s="41" t="inlineStr">
        <is>
          <t>m</t>
        </is>
      </c>
      <c r="H101" s="42" t="n">
        <v>659</v>
      </c>
      <c r="I101" s="42">
        <f>F101*H101</f>
        <v/>
      </c>
      <c r="J101" s="42" t="n">
        <v>6686</v>
      </c>
      <c r="K101" s="42">
        <f>F101*J101</f>
        <v/>
      </c>
      <c r="L101" s="42" t="n">
        <v>522</v>
      </c>
      <c r="M101" s="42">
        <f>F101*L101</f>
        <v/>
      </c>
      <c r="N101" s="42">
        <f>H101+J101+L101</f>
        <v/>
      </c>
      <c r="O101" s="43">
        <f>I101+K101+M101</f>
        <v/>
      </c>
      <c r="Q101" t="inlineStr">
        <is>
          <t>직선구간</t>
        </is>
      </c>
    </row>
    <row r="102" ht="24" customHeight="1" s="34">
      <c r="A102" s="40" t="inlineStr">
        <is>
          <t>05 회전교차로</t>
        </is>
      </c>
      <c r="B102" s="41" t="inlineStr">
        <is>
          <t>3. 포 장 공</t>
        </is>
      </c>
      <c r="C102" s="41" t="n">
        <v>18</v>
      </c>
      <c r="D102" s="41" t="inlineStr">
        <is>
          <t>1). 아스팔트절삭및덧씌우기</t>
        </is>
      </c>
      <c r="E102" s="41" t="n"/>
      <c r="F102" s="41" t="n">
        <v>1350</v>
      </c>
      <c r="G102" s="41" t="inlineStr">
        <is>
          <t>m2</t>
        </is>
      </c>
      <c r="H102" s="42" t="n">
        <v>445</v>
      </c>
      <c r="I102" s="42">
        <f>F102*H102</f>
        <v/>
      </c>
      <c r="J102" s="42" t="n">
        <v>1402</v>
      </c>
      <c r="K102" s="42">
        <f>F102*J102</f>
        <v/>
      </c>
      <c r="L102" s="42" t="n">
        <v>783</v>
      </c>
      <c r="M102" s="42">
        <f>F102*L102</f>
        <v/>
      </c>
      <c r="N102" s="42">
        <f>H102+J102+L102</f>
        <v/>
      </c>
      <c r="O102" s="43">
        <f>I102+K102+M102</f>
        <v/>
      </c>
      <c r="Q102" t="inlineStr">
        <is>
          <t>덧씌우기</t>
        </is>
      </c>
    </row>
    <row r="103" ht="24" customHeight="1" s="34">
      <c r="A103" s="40" t="inlineStr">
        <is>
          <t>05 회전교차로</t>
        </is>
      </c>
      <c r="B103" s="41" t="inlineStr">
        <is>
          <t>3. 포 장 공</t>
        </is>
      </c>
      <c r="C103" s="41" t="n">
        <v>19</v>
      </c>
      <c r="D103" s="41" t="inlineStr">
        <is>
          <t>가). 교통안전표지판(삼각)</t>
        </is>
      </c>
      <c r="E103" s="41" t="inlineStr">
        <is>
          <t>1변 900 MM</t>
        </is>
      </c>
      <c r="F103" s="41" t="n">
        <v>13</v>
      </c>
      <c r="G103" s="41" t="inlineStr">
        <is>
          <t>개</t>
        </is>
      </c>
      <c r="H103" s="42" t="n">
        <v>10164</v>
      </c>
      <c r="I103" s="42">
        <f>F103*H103</f>
        <v/>
      </c>
      <c r="J103" s="42" t="n">
        <v>386451</v>
      </c>
      <c r="K103" s="42">
        <f>F103*J103</f>
        <v/>
      </c>
      <c r="L103" s="42" t="n">
        <v>10071</v>
      </c>
      <c r="M103" s="42">
        <f>F103*L103</f>
        <v/>
      </c>
      <c r="N103" s="42">
        <f>H103+J103+L103</f>
        <v/>
      </c>
      <c r="O103" s="43">
        <f>I103+K103+M103</f>
        <v/>
      </c>
      <c r="Q103" t="inlineStr">
        <is>
          <t>삼각</t>
        </is>
      </c>
    </row>
    <row r="104" ht="24" customHeight="1" s="34">
      <c r="A104" s="40" t="inlineStr">
        <is>
          <t>05 회전교차로</t>
        </is>
      </c>
      <c r="B104" s="41" t="inlineStr">
        <is>
          <t>3. 포 장 공</t>
        </is>
      </c>
      <c r="C104" s="41" t="n">
        <v>20</v>
      </c>
      <c r="D104" s="41" t="inlineStr">
        <is>
          <t>나). 교통안전표지판(오각)(횡단보도)</t>
        </is>
      </c>
      <c r="E104" s="41" t="inlineStr">
        <is>
          <t>600×200×600mm, 횡단보도</t>
        </is>
      </c>
      <c r="F104" s="41" t="n">
        <v>3</v>
      </c>
      <c r="G104" s="41" t="inlineStr">
        <is>
          <t>개</t>
        </is>
      </c>
      <c r="H104" s="42" t="n">
        <v>10164</v>
      </c>
      <c r="I104" s="42">
        <f>F104*H104</f>
        <v/>
      </c>
      <c r="J104" s="42" t="n">
        <v>386451</v>
      </c>
      <c r="K104" s="42">
        <f>F104*J104</f>
        <v/>
      </c>
      <c r="L104" s="42" t="n">
        <v>10071</v>
      </c>
      <c r="M104" s="42">
        <f>F104*L104</f>
        <v/>
      </c>
      <c r="N104" s="42">
        <f>H104+J104+L104</f>
        <v/>
      </c>
      <c r="O104" s="43">
        <f>I104+K104+M104</f>
        <v/>
      </c>
      <c r="Q104" t="inlineStr">
        <is>
          <t>오각</t>
        </is>
      </c>
    </row>
    <row r="105" ht="24" customHeight="1" s="34">
      <c r="A105" s="40" t="inlineStr">
        <is>
          <t>05 회전교차로</t>
        </is>
      </c>
      <c r="B105" s="41" t="inlineStr">
        <is>
          <t>3. 포 장 공</t>
        </is>
      </c>
      <c r="C105" s="41" t="n">
        <v>21</v>
      </c>
      <c r="D105" s="41" t="inlineStr">
        <is>
          <t>다). 교통안전표지판(원형)</t>
        </is>
      </c>
      <c r="E105" s="41" t="inlineStr">
        <is>
          <t>속도제한</t>
        </is>
      </c>
      <c r="F105" s="41" t="n">
        <v>7</v>
      </c>
      <c r="G105" s="41" t="inlineStr">
        <is>
          <t>개</t>
        </is>
      </c>
      <c r="H105" s="42" t="n">
        <v>110000</v>
      </c>
      <c r="I105" s="42">
        <f>F105*H105</f>
        <v/>
      </c>
      <c r="J105" s="42" t="n">
        <v>386451</v>
      </c>
      <c r="K105" s="42">
        <f>F105*J105</f>
        <v/>
      </c>
      <c r="L105" s="42" t="n">
        <v>10071</v>
      </c>
      <c r="M105" s="42">
        <f>F105*L105</f>
        <v/>
      </c>
      <c r="N105" s="42">
        <f>H105+J105+L105</f>
        <v/>
      </c>
      <c r="O105" s="43">
        <f>I105+K105+M105</f>
        <v/>
      </c>
      <c r="P105" t="inlineStr">
        <is>
          <t>가영현</t>
        </is>
      </c>
      <c r="Q105" t="inlineStr">
        <is>
          <t>원형</t>
        </is>
      </c>
    </row>
    <row r="106" ht="24" customHeight="1" s="34">
      <c r="A106" s="40" t="inlineStr">
        <is>
          <t>05 회전교차로</t>
        </is>
      </c>
      <c r="B106" s="41" t="inlineStr">
        <is>
          <t>3. 포 장 공</t>
        </is>
      </c>
      <c r="C106" s="41" t="n">
        <v>22</v>
      </c>
      <c r="D106" s="41" t="inlineStr">
        <is>
          <t>가). 차선도색(페인트,기계식),신설구간</t>
        </is>
      </c>
      <c r="E106" s="41" t="inlineStr">
        <is>
          <t>백색-실선</t>
        </is>
      </c>
      <c r="F106" s="41" t="n">
        <v>7</v>
      </c>
      <c r="G106" s="41" t="inlineStr">
        <is>
          <t>㎡</t>
        </is>
      </c>
      <c r="H106" s="42" t="n">
        <v>4840</v>
      </c>
      <c r="I106" s="42">
        <f>F106*H106</f>
        <v/>
      </c>
      <c r="J106" s="42" t="n">
        <v>3492</v>
      </c>
      <c r="K106" s="42">
        <f>F106*J106</f>
        <v/>
      </c>
      <c r="L106" s="42" t="n">
        <v>247</v>
      </c>
      <c r="M106" s="42">
        <f>F106*L106</f>
        <v/>
      </c>
      <c r="N106" s="42">
        <f>H106+J106+L106</f>
        <v/>
      </c>
      <c r="O106" s="43">
        <f>I106+K106+M106</f>
        <v/>
      </c>
      <c r="Q106" t="inlineStr">
        <is>
          <t>페인트</t>
        </is>
      </c>
    </row>
    <row r="107" ht="24" customHeight="1" s="34">
      <c r="A107" s="40" t="inlineStr">
        <is>
          <t>05 회전교차로</t>
        </is>
      </c>
      <c r="B107" s="41" t="inlineStr">
        <is>
          <t>3. 포 장 공</t>
        </is>
      </c>
      <c r="C107" s="41" t="n">
        <v>23</v>
      </c>
      <c r="D107" s="41" t="inlineStr">
        <is>
          <t>나). 차선도색(페인트,기계식),신설구간</t>
        </is>
      </c>
      <c r="E107" s="41" t="inlineStr">
        <is>
          <t>백색-파선</t>
        </is>
      </c>
      <c r="F107" s="41" t="n">
        <v>16</v>
      </c>
      <c r="G107" s="41" t="inlineStr">
        <is>
          <t>㎡</t>
        </is>
      </c>
      <c r="H107" s="42" t="n">
        <v>4840</v>
      </c>
      <c r="I107" s="42">
        <f>F107*H107</f>
        <v/>
      </c>
      <c r="J107" s="42" t="n">
        <v>3492</v>
      </c>
      <c r="K107" s="42">
        <f>F107*J107</f>
        <v/>
      </c>
      <c r="L107" s="42" t="n">
        <v>247</v>
      </c>
      <c r="M107" s="42">
        <f>F107*L107</f>
        <v/>
      </c>
      <c r="N107" s="42">
        <f>H107+J107+L107</f>
        <v/>
      </c>
      <c r="O107" s="43">
        <f>I107+K107+M107</f>
        <v/>
      </c>
      <c r="Q107" t="inlineStr">
        <is>
          <t>페인트</t>
        </is>
      </c>
    </row>
    <row r="108" ht="24" customHeight="1" s="34">
      <c r="A108" s="40" t="inlineStr">
        <is>
          <t>05 회전교차로</t>
        </is>
      </c>
      <c r="B108" s="41" t="inlineStr">
        <is>
          <t>3. 포 장 공</t>
        </is>
      </c>
      <c r="C108" s="41" t="n">
        <v>24</v>
      </c>
      <c r="D108" s="41" t="inlineStr">
        <is>
          <t>다). 차선도색(페인트,기계식),신설구간</t>
        </is>
      </c>
      <c r="E108" s="41" t="inlineStr">
        <is>
          <t>황색-실선</t>
        </is>
      </c>
      <c r="F108" s="41" t="n">
        <v>260</v>
      </c>
      <c r="G108" s="41" t="inlineStr">
        <is>
          <t>㎡</t>
        </is>
      </c>
      <c r="H108" s="42" t="n">
        <v>4840</v>
      </c>
      <c r="I108" s="42">
        <f>F108*H108</f>
        <v/>
      </c>
      <c r="J108" s="42" t="n">
        <v>3492</v>
      </c>
      <c r="K108" s="42">
        <f>F108*J108</f>
        <v/>
      </c>
      <c r="L108" s="42" t="n">
        <v>247</v>
      </c>
      <c r="M108" s="42">
        <f>F108*L108</f>
        <v/>
      </c>
      <c r="N108" s="42">
        <f>H108+J108+L108</f>
        <v/>
      </c>
      <c r="O108" s="43">
        <f>I108+K108+M108</f>
        <v/>
      </c>
      <c r="Q108" t="inlineStr">
        <is>
          <t>페인트</t>
        </is>
      </c>
    </row>
    <row r="109" ht="24" customHeight="1" s="34">
      <c r="A109" s="40" t="inlineStr">
        <is>
          <t>05 회전교차로</t>
        </is>
      </c>
      <c r="B109" s="41" t="inlineStr">
        <is>
          <t>3. 포 장 공</t>
        </is>
      </c>
      <c r="C109" s="41" t="n">
        <v>25</v>
      </c>
      <c r="D109" s="41" t="inlineStr">
        <is>
          <t>라). 차선도색(페인트,기계식),신설구간</t>
        </is>
      </c>
      <c r="E109" s="41" t="inlineStr">
        <is>
          <t>황색-파선</t>
        </is>
      </c>
      <c r="F109" s="41" t="n">
        <v>6</v>
      </c>
      <c r="G109" s="41" t="inlineStr">
        <is>
          <t>㎡</t>
        </is>
      </c>
      <c r="H109" s="42" t="n">
        <v>4840</v>
      </c>
      <c r="I109" s="42">
        <f>F109*H109</f>
        <v/>
      </c>
      <c r="J109" s="42" t="n">
        <v>3492</v>
      </c>
      <c r="K109" s="42">
        <f>F109*J109</f>
        <v/>
      </c>
      <c r="L109" s="42" t="n">
        <v>247</v>
      </c>
      <c r="M109" s="42">
        <f>F109*L109</f>
        <v/>
      </c>
      <c r="N109" s="42">
        <f>H109+J109+L109</f>
        <v/>
      </c>
      <c r="O109" s="43">
        <f>I109+K109+M109</f>
        <v/>
      </c>
      <c r="Q109" t="inlineStr">
        <is>
          <t>페인트</t>
        </is>
      </c>
    </row>
    <row r="110" ht="24" customHeight="1" s="34">
      <c r="A110" s="40" t="inlineStr">
        <is>
          <t>05 회전교차로</t>
        </is>
      </c>
      <c r="B110" s="41" t="inlineStr">
        <is>
          <t>3. 포 장 공</t>
        </is>
      </c>
      <c r="C110" s="41" t="n">
        <v>26</v>
      </c>
      <c r="D110" s="41" t="inlineStr">
        <is>
          <t>마). 차선도색(융착식,수동식),신설구간</t>
        </is>
      </c>
      <c r="E110" s="41" t="inlineStr">
        <is>
          <t>횡단보도,주차장</t>
        </is>
      </c>
      <c r="F110" s="41" t="n">
        <v>119</v>
      </c>
      <c r="G110" s="41" t="inlineStr">
        <is>
          <t>㎡</t>
        </is>
      </c>
      <c r="H110" s="42" t="n">
        <v>21956</v>
      </c>
      <c r="I110" s="42">
        <f>F110*H110</f>
        <v/>
      </c>
      <c r="J110" s="42" t="n">
        <v>5987</v>
      </c>
      <c r="K110" s="42">
        <f>F110*J110</f>
        <v/>
      </c>
      <c r="L110" s="42" t="n">
        <v>724</v>
      </c>
      <c r="M110" s="42">
        <f>F110*L110</f>
        <v/>
      </c>
      <c r="N110" s="42">
        <f>H110+J110+L110</f>
        <v/>
      </c>
      <c r="O110" s="43">
        <f>I110+K110+M110</f>
        <v/>
      </c>
      <c r="Q110" t="inlineStr">
        <is>
          <t>융착식</t>
        </is>
      </c>
    </row>
    <row r="111" ht="24" customHeight="1" s="34">
      <c r="A111" s="40" t="inlineStr">
        <is>
          <t>05 회전교차로</t>
        </is>
      </c>
      <c r="B111" s="41" t="inlineStr">
        <is>
          <t>3. 포 장 공</t>
        </is>
      </c>
      <c r="C111" s="41" t="n">
        <v>27</v>
      </c>
      <c r="D111" s="41" t="inlineStr">
        <is>
          <t>바). 차선도색(융착식,수동식),신설구간</t>
        </is>
      </c>
      <c r="E111" s="41" t="inlineStr">
        <is>
          <t>문자,기호</t>
        </is>
      </c>
      <c r="F111" s="41" t="n">
        <v>36</v>
      </c>
      <c r="G111" s="41" t="inlineStr">
        <is>
          <t>㎡</t>
        </is>
      </c>
      <c r="H111" s="42" t="n">
        <v>21956</v>
      </c>
      <c r="I111" s="42">
        <f>F111*H111</f>
        <v/>
      </c>
      <c r="J111" s="42" t="n">
        <v>5987</v>
      </c>
      <c r="K111" s="42">
        <f>F111*J111</f>
        <v/>
      </c>
      <c r="L111" s="42" t="n">
        <v>724</v>
      </c>
      <c r="M111" s="42">
        <f>F111*L111</f>
        <v/>
      </c>
      <c r="N111" s="42">
        <f>H111+J111+L111</f>
        <v/>
      </c>
      <c r="O111" s="43">
        <f>I111+K111+M111</f>
        <v/>
      </c>
      <c r="Q111" t="inlineStr">
        <is>
          <t>융착식</t>
        </is>
      </c>
    </row>
    <row r="112" ht="24" customHeight="1" s="34">
      <c r="A112" s="40" t="inlineStr">
        <is>
          <t>05 회전교차로</t>
        </is>
      </c>
      <c r="B112" s="41" t="inlineStr">
        <is>
          <t>3. 포 장 공</t>
        </is>
      </c>
      <c r="C112" s="41" t="n">
        <v>28</v>
      </c>
      <c r="D112" s="41" t="inlineStr">
        <is>
          <t>사). 차선도색(차로밑그림),신설구간</t>
        </is>
      </c>
      <c r="E112" s="41" t="inlineStr">
        <is>
          <t>실선</t>
        </is>
      </c>
      <c r="F112" s="41" t="n">
        <v>267</v>
      </c>
      <c r="G112" s="41" t="inlineStr">
        <is>
          <t>㎡</t>
        </is>
      </c>
      <c r="H112" s="42" t="n">
        <v>3499</v>
      </c>
      <c r="I112" s="42">
        <f>F112*H112</f>
        <v/>
      </c>
      <c r="J112" s="42" t="n">
        <v>39163</v>
      </c>
      <c r="K112" s="42">
        <f>F112*J112</f>
        <v/>
      </c>
      <c r="L112" s="42" t="n">
        <v>2355</v>
      </c>
      <c r="M112" s="42">
        <f>F112*L112</f>
        <v/>
      </c>
      <c r="N112" s="42">
        <f>H112+J112+L112</f>
        <v/>
      </c>
      <c r="O112" s="43">
        <f>I112+K112+M112</f>
        <v/>
      </c>
      <c r="Q112" t="inlineStr">
        <is>
          <t>사). 차선도색</t>
        </is>
      </c>
    </row>
    <row r="113" ht="24" customHeight="1" s="34">
      <c r="A113" s="40" t="inlineStr">
        <is>
          <t>05 회전교차로</t>
        </is>
      </c>
      <c r="B113" s="41" t="inlineStr">
        <is>
          <t>3. 포 장 공</t>
        </is>
      </c>
      <c r="C113" s="41" t="n">
        <v>29</v>
      </c>
      <c r="D113" s="41" t="inlineStr">
        <is>
          <t>아). 차선도색(차로밑그림),신설구간</t>
        </is>
      </c>
      <c r="E113" s="41" t="inlineStr">
        <is>
          <t>파선</t>
        </is>
      </c>
      <c r="F113" s="41" t="n">
        <v>22</v>
      </c>
      <c r="G113" s="41" t="inlineStr">
        <is>
          <t>㎡</t>
        </is>
      </c>
      <c r="H113" s="42" t="n">
        <v>3499</v>
      </c>
      <c r="I113" s="42">
        <f>F113*H113</f>
        <v/>
      </c>
      <c r="J113" s="42" t="n">
        <v>39163</v>
      </c>
      <c r="K113" s="42">
        <f>F113*J113</f>
        <v/>
      </c>
      <c r="L113" s="42" t="n">
        <v>2355</v>
      </c>
      <c r="M113" s="42">
        <f>F113*L113</f>
        <v/>
      </c>
      <c r="N113" s="42">
        <f>H113+J113+L113</f>
        <v/>
      </c>
      <c r="O113" s="43">
        <f>I113+K113+M113</f>
        <v/>
      </c>
      <c r="Q113" t="inlineStr">
        <is>
          <t>아). 차선도색</t>
        </is>
      </c>
    </row>
    <row r="114" ht="24" customHeight="1" s="34">
      <c r="A114" s="40" t="inlineStr">
        <is>
          <t>05 회전교차로</t>
        </is>
      </c>
      <c r="B114" s="41" t="inlineStr">
        <is>
          <t>3. 포 장 공</t>
        </is>
      </c>
      <c r="C114" s="41" t="n">
        <v>30</v>
      </c>
      <c r="D114" s="41" t="inlineStr">
        <is>
          <t>자). 차선도색(차로밑그림),신설구간</t>
        </is>
      </c>
      <c r="E114" s="41" t="inlineStr">
        <is>
          <t>횡단보도,주차장</t>
        </is>
      </c>
      <c r="F114" s="41" t="n">
        <v>119</v>
      </c>
      <c r="G114" s="41" t="inlineStr">
        <is>
          <t>㎡</t>
        </is>
      </c>
      <c r="H114" s="42" t="n">
        <v>4840</v>
      </c>
      <c r="I114" s="42">
        <f>F114*H114</f>
        <v/>
      </c>
      <c r="J114" s="42" t="n">
        <v>3492</v>
      </c>
      <c r="K114" s="42">
        <f>F114*J114</f>
        <v/>
      </c>
      <c r="L114" s="42" t="n">
        <v>247</v>
      </c>
      <c r="M114" s="42">
        <f>F114*L114</f>
        <v/>
      </c>
      <c r="N114" s="42">
        <f>H114+J114+L114</f>
        <v/>
      </c>
      <c r="O114" s="43">
        <f>I114+K114+M114</f>
        <v/>
      </c>
      <c r="Q114" t="inlineStr">
        <is>
          <t>횡단보도</t>
        </is>
      </c>
    </row>
    <row r="115" ht="24" customHeight="1" s="34">
      <c r="A115" s="40" t="inlineStr">
        <is>
          <t>05 회전교차로</t>
        </is>
      </c>
      <c r="B115" s="41" t="inlineStr">
        <is>
          <t>3. 포 장 공</t>
        </is>
      </c>
      <c r="C115" s="41" t="n">
        <v>31</v>
      </c>
      <c r="D115" s="41" t="inlineStr">
        <is>
          <t>차). 차선도색(차로밑그림),신설구간</t>
        </is>
      </c>
      <c r="E115" s="41" t="inlineStr">
        <is>
          <t>문자,기호</t>
        </is>
      </c>
      <c r="F115" s="41" t="n">
        <v>36</v>
      </c>
      <c r="G115" s="41" t="inlineStr">
        <is>
          <t>㎡</t>
        </is>
      </c>
      <c r="H115" s="42" t="n">
        <v>5079</v>
      </c>
      <c r="I115" s="42">
        <f>F115*H115</f>
        <v/>
      </c>
      <c r="J115" s="42" t="n">
        <v>7373</v>
      </c>
      <c r="K115" s="42">
        <f>F115*J115</f>
        <v/>
      </c>
      <c r="L115" s="42" t="n">
        <v>523</v>
      </c>
      <c r="M115" s="42">
        <f>F115*L115</f>
        <v/>
      </c>
      <c r="N115" s="42">
        <f>H115+J115+L115</f>
        <v/>
      </c>
      <c r="O115" s="43">
        <f>I115+K115+M115</f>
        <v/>
      </c>
      <c r="Q115" t="inlineStr">
        <is>
          <t>문자,기호</t>
        </is>
      </c>
    </row>
    <row r="116" ht="24" customHeight="1" s="34">
      <c r="A116" s="40" t="inlineStr">
        <is>
          <t>05 회전교차로</t>
        </is>
      </c>
      <c r="B116" s="41" t="inlineStr">
        <is>
          <t>3. 포 장 공</t>
        </is>
      </c>
      <c r="C116" s="41" t="n">
        <v>32</v>
      </c>
      <c r="D116" s="41" t="inlineStr">
        <is>
          <t>가). 도로표지병설치</t>
        </is>
      </c>
      <c r="E116" s="41" t="inlineStr">
        <is>
          <t>양면</t>
        </is>
      </c>
      <c r="F116" s="41" t="n">
        <v>40</v>
      </c>
      <c r="G116" s="41" t="inlineStr">
        <is>
          <t>개</t>
        </is>
      </c>
      <c r="H116" s="42" t="n">
        <v>265</v>
      </c>
      <c r="I116" s="42">
        <f>F116*H116</f>
        <v/>
      </c>
      <c r="J116" s="42" t="n">
        <v>5316</v>
      </c>
      <c r="K116" s="42">
        <f>F116*J116</f>
        <v/>
      </c>
      <c r="L116" s="42" t="n">
        <v>0</v>
      </c>
      <c r="M116" s="42">
        <f>F116*L116</f>
        <v/>
      </c>
      <c r="N116" s="42">
        <f>H116+J116+L116</f>
        <v/>
      </c>
      <c r="O116" s="43">
        <f>I116+K116+M116</f>
        <v/>
      </c>
      <c r="Q116" t="inlineStr">
        <is>
          <t>가). 도로표지병설치</t>
        </is>
      </c>
    </row>
    <row r="117" ht="24" customHeight="1" s="34">
      <c r="A117" s="40" t="inlineStr">
        <is>
          <t>05 회전교차로</t>
        </is>
      </c>
      <c r="B117" s="41" t="inlineStr">
        <is>
          <t>3. 포 장 공</t>
        </is>
      </c>
      <c r="C117" s="41" t="n">
        <v>33</v>
      </c>
      <c r="D117" s="41" t="inlineStr">
        <is>
          <t>나). 탄성볼라드</t>
        </is>
      </c>
      <c r="E117" s="41" t="inlineStr">
        <is>
          <t>Ø130×1,050mm</t>
        </is>
      </c>
      <c r="F117" s="41" t="n">
        <v>8</v>
      </c>
      <c r="G117" s="41" t="inlineStr">
        <is>
          <t>개소</t>
        </is>
      </c>
      <c r="H117" s="42" t="n">
        <v>85000</v>
      </c>
      <c r="I117" s="42">
        <f>F117*H117</f>
        <v/>
      </c>
      <c r="J117" s="42" t="n">
        <v>48000</v>
      </c>
      <c r="K117" s="42">
        <f>F117*J117</f>
        <v/>
      </c>
      <c r="L117" s="41" t="n">
        <v>15000</v>
      </c>
      <c r="M117" s="42">
        <f>F117*L117</f>
        <v/>
      </c>
      <c r="N117" s="42">
        <f>H117+J117+L117</f>
        <v/>
      </c>
      <c r="O117" s="43">
        <f>I117+K117+M117</f>
        <v/>
      </c>
      <c r="P117" t="inlineStr">
        <is>
          <t>가영현</t>
        </is>
      </c>
      <c r="Q117" t="inlineStr">
        <is>
          <t>나). 탄성볼라드</t>
        </is>
      </c>
    </row>
    <row r="118" ht="24" customHeight="1" s="34">
      <c r="A118" s="40" t="inlineStr">
        <is>
          <t>05 회전교차로</t>
        </is>
      </c>
      <c r="B118" s="41" t="inlineStr">
        <is>
          <t>3. 포 장 공</t>
        </is>
      </c>
      <c r="C118" s="41" t="n">
        <v>34</v>
      </c>
      <c r="D118" s="41" t="inlineStr">
        <is>
          <t>다). 시멘트운반</t>
        </is>
      </c>
      <c r="E118" s="41" t="inlineStr">
        <is>
          <t>L=30km이내</t>
        </is>
      </c>
      <c r="F118" s="41" t="n">
        <v>21</v>
      </c>
      <c r="G118" s="41" t="inlineStr">
        <is>
          <t>대</t>
        </is>
      </c>
      <c r="H118" s="41" t="n"/>
      <c r="I118" s="42">
        <f>F118*H118</f>
        <v/>
      </c>
      <c r="J118" s="41" t="n"/>
      <c r="K118" s="42">
        <f>F118*J118</f>
        <v/>
      </c>
      <c r="L118" s="41" t="n">
        <v>200</v>
      </c>
      <c r="M118" s="42">
        <f>F118*L118</f>
        <v/>
      </c>
      <c r="N118" s="42">
        <f>H118+J118+L118</f>
        <v/>
      </c>
      <c r="O118" s="43">
        <f>I118+K118+M118</f>
        <v/>
      </c>
      <c r="P118" t="inlineStr">
        <is>
          <t>가영현</t>
        </is>
      </c>
      <c r="Q118" t="inlineStr">
        <is>
          <t>L=30km이내, ... 다). 시멘트운반</t>
        </is>
      </c>
    </row>
    <row r="119" ht="24" customHeight="1" s="34">
      <c r="A119" s="40" t="inlineStr">
        <is>
          <t>05 회전교차로</t>
        </is>
      </c>
      <c r="B119" s="41" t="inlineStr">
        <is>
          <t>3. 포 장 공</t>
        </is>
      </c>
      <c r="C119" s="41" t="n">
        <v>35</v>
      </c>
      <c r="D119" s="41" t="inlineStr">
        <is>
          <t>가). 철제가드레일</t>
        </is>
      </c>
      <c r="E119" s="41" t="inlineStr">
        <is>
          <t>W3000*H910</t>
        </is>
      </c>
      <c r="F119" s="41" t="n">
        <v>306</v>
      </c>
      <c r="G119" s="41" t="inlineStr">
        <is>
          <t>경간</t>
        </is>
      </c>
      <c r="H119" s="41" t="n">
        <v>140000</v>
      </c>
      <c r="I119" s="42">
        <f>F119*H119</f>
        <v/>
      </c>
      <c r="J119" s="41" t="n">
        <v>45000</v>
      </c>
      <c r="K119" s="42">
        <f>F119*J119</f>
        <v/>
      </c>
      <c r="L119" s="41" t="n">
        <v>55000</v>
      </c>
      <c r="M119" s="42">
        <f>F119*L119</f>
        <v/>
      </c>
      <c r="N119" s="42">
        <f>H119+J119+L119</f>
        <v/>
      </c>
      <c r="O119" s="43">
        <f>I119+K119+M119</f>
        <v/>
      </c>
      <c r="P119" t="inlineStr">
        <is>
          <t>가영현</t>
        </is>
      </c>
      <c r="Q119" t="inlineStr">
        <is>
          <t>W3000*H910, ... 가). 철제가드레일</t>
        </is>
      </c>
    </row>
    <row r="120" ht="24" customHeight="1" s="34">
      <c r="A120" s="40" t="inlineStr">
        <is>
          <t>05 회전교차로</t>
        </is>
      </c>
      <c r="B120" s="41" t="inlineStr">
        <is>
          <t>3. 포 장 공</t>
        </is>
      </c>
      <c r="C120" s="41" t="n">
        <v>36</v>
      </c>
      <c r="D120" s="41" t="inlineStr">
        <is>
          <t>가). 디자인형울타리</t>
        </is>
      </c>
      <c r="E120" s="41" t="inlineStr">
        <is>
          <t>W2000xH1000</t>
        </is>
      </c>
      <c r="F120" s="41" t="n">
        <v>218</v>
      </c>
      <c r="G120" s="41" t="inlineStr">
        <is>
          <t>경간</t>
        </is>
      </c>
      <c r="H120" s="41" t="n">
        <v>150000</v>
      </c>
      <c r="I120" s="42">
        <f>F120*H120</f>
        <v/>
      </c>
      <c r="J120" s="41" t="n">
        <v>45000</v>
      </c>
      <c r="K120" s="42">
        <f>F120*J120</f>
        <v/>
      </c>
      <c r="L120" s="41" t="n">
        <v>55000</v>
      </c>
      <c r="M120" s="42">
        <f>F120*L120</f>
        <v/>
      </c>
      <c r="N120" s="42">
        <f>H120+J120+L120</f>
        <v/>
      </c>
      <c r="O120" s="43">
        <f>I120+K120+M120</f>
        <v/>
      </c>
      <c r="P120" t="inlineStr">
        <is>
          <t>가영현</t>
        </is>
      </c>
      <c r="Q120" t="inlineStr">
        <is>
          <t>W2000xH1000, ... 가). 디자인형울타리</t>
        </is>
      </c>
    </row>
    <row r="121" ht="24" customHeight="1" s="34">
      <c r="A121" s="40" t="inlineStr">
        <is>
          <t>05 회전교차로</t>
        </is>
      </c>
      <c r="B121" s="41" t="inlineStr">
        <is>
          <t>3. 포 장 공</t>
        </is>
      </c>
      <c r="C121" s="41" t="n">
        <v>37</v>
      </c>
      <c r="D121" s="41" t="inlineStr">
        <is>
          <t>1). 레미콘</t>
        </is>
      </c>
      <c r="E121" s="41" t="inlineStr">
        <is>
          <t>25-21- 8(Mpa)</t>
        </is>
      </c>
      <c r="F121" s="41" t="n">
        <v>29</v>
      </c>
      <c r="G121" s="41" t="inlineStr">
        <is>
          <t>㎥</t>
        </is>
      </c>
      <c r="H121" s="42" t="n">
        <v>1293</v>
      </c>
      <c r="I121" s="42">
        <f>F121*H121</f>
        <v/>
      </c>
      <c r="J121" s="42" t="n">
        <v>64674</v>
      </c>
      <c r="K121" s="42">
        <f>F121*J121</f>
        <v/>
      </c>
      <c r="L121" s="42" t="n">
        <v>0</v>
      </c>
      <c r="M121" s="42">
        <f>F121*L121</f>
        <v/>
      </c>
      <c r="N121" s="42">
        <f>H121+J121+L121</f>
        <v/>
      </c>
      <c r="O121" s="43">
        <f>I121+K121+M121</f>
        <v/>
      </c>
      <c r="Q121" t="inlineStr">
        <is>
          <t>DB CUG30401000S (0.72, 레미콘타설) / 대안: 레미콘타설(0.72) · 레미콘타설(0.72)</t>
        </is>
      </c>
    </row>
    <row r="122" ht="24" customHeight="1" s="34">
      <c r="A122" s="40" t="inlineStr">
        <is>
          <t>05 회전교차로</t>
        </is>
      </c>
      <c r="B122" s="41" t="inlineStr">
        <is>
          <t>3. 포 장 공</t>
        </is>
      </c>
      <c r="C122" s="41" t="n">
        <v>38</v>
      </c>
      <c r="D122" s="41" t="inlineStr">
        <is>
          <t>2). 레미콘</t>
        </is>
      </c>
      <c r="E122" s="41" t="inlineStr">
        <is>
          <t>25-18- 8(Mpa)</t>
        </is>
      </c>
      <c r="F122" s="41" t="n">
        <v>48</v>
      </c>
      <c r="G122" s="41" t="inlineStr">
        <is>
          <t>㎥</t>
        </is>
      </c>
      <c r="H122" s="42" t="n">
        <v>1293</v>
      </c>
      <c r="I122" s="42">
        <f>F122*H122</f>
        <v/>
      </c>
      <c r="J122" s="42" t="n">
        <v>64674</v>
      </c>
      <c r="K122" s="42">
        <f>F122*J122</f>
        <v/>
      </c>
      <c r="L122" s="42" t="n">
        <v>0</v>
      </c>
      <c r="M122" s="42">
        <f>F122*L122</f>
        <v/>
      </c>
      <c r="N122" s="42">
        <f>H122+J122+L122</f>
        <v/>
      </c>
      <c r="O122" s="43">
        <f>I122+K122+M122</f>
        <v/>
      </c>
      <c r="Q122" t="inlineStr">
        <is>
          <t>DB CUG30401000S (0.72, 레미콘타설) / 대안: 레미콘타설(0.72) · 레미콘타설(0.72)</t>
        </is>
      </c>
    </row>
    <row r="123" ht="24" customHeight="1" s="34">
      <c r="A123" s="40" t="inlineStr">
        <is>
          <t>05 회전교차로</t>
        </is>
      </c>
      <c r="B123" s="41" t="inlineStr">
        <is>
          <t>3. 포 장 공</t>
        </is>
      </c>
      <c r="C123" s="41" t="n">
        <v>39</v>
      </c>
      <c r="D123" s="41" t="inlineStr">
        <is>
          <t>3). 보통시멘트</t>
        </is>
      </c>
      <c r="E123" s="41" t="inlineStr">
        <is>
          <t>40kg/대 (포장품)</t>
        </is>
      </c>
      <c r="F123" s="41" t="n">
        <v>5</v>
      </c>
      <c r="G123" s="41" t="inlineStr">
        <is>
          <t>대</t>
        </is>
      </c>
      <c r="H123" s="41" t="n">
        <v>5500</v>
      </c>
      <c r="I123" s="42">
        <f>F123*H123</f>
        <v/>
      </c>
      <c r="J123" s="41" t="n"/>
      <c r="K123" s="42">
        <f>F123*J123</f>
        <v/>
      </c>
      <c r="L123" s="41" t="n"/>
      <c r="M123" s="42">
        <f>F123*L123</f>
        <v/>
      </c>
      <c r="N123" s="42">
        <f>H123+J123+L123</f>
        <v/>
      </c>
      <c r="O123" s="43">
        <f>I123+K123+M123</f>
        <v/>
      </c>
      <c r="P123" t="inlineStr">
        <is>
          <t>가영현</t>
        </is>
      </c>
      <c r="Q123" t="inlineStr">
        <is>
          <t>40kg/대 (포장품), 포장품, .. 3). 보통시멘트, 40kg, 대 (포장품)</t>
        </is>
      </c>
    </row>
    <row r="124" ht="24" customHeight="1" s="34">
      <c r="A124" s="40" t="inlineStr">
        <is>
          <t>05 회전교차로</t>
        </is>
      </c>
      <c r="B124" s="41" t="inlineStr">
        <is>
          <t>3. 포 장 공</t>
        </is>
      </c>
      <c r="C124" s="41" t="n">
        <v>40</v>
      </c>
      <c r="D124" s="41" t="inlineStr">
        <is>
          <t>4). 모래</t>
        </is>
      </c>
      <c r="E124" s="41" t="inlineStr">
        <is>
          <t>강모래, 현장도착도</t>
        </is>
      </c>
      <c r="F124" s="41" t="n">
        <v>45</v>
      </c>
      <c r="G124" s="41" t="inlineStr">
        <is>
          <t>㎥</t>
        </is>
      </c>
      <c r="H124" s="41" t="n">
        <v>45000</v>
      </c>
      <c r="I124" s="42">
        <f>F124*H124</f>
        <v/>
      </c>
      <c r="J124" s="42" t="n">
        <v>0</v>
      </c>
      <c r="K124" s="42">
        <f>F124*J124</f>
        <v/>
      </c>
      <c r="L124" s="41" t="n"/>
      <c r="M124" s="42">
        <f>F124*L124</f>
        <v/>
      </c>
      <c r="N124" s="42">
        <f>H124+J124+L124</f>
        <v/>
      </c>
      <c r="O124" s="43">
        <f>I124+K124+M124</f>
        <v/>
      </c>
      <c r="P124" t="inlineStr">
        <is>
          <t>가영현</t>
        </is>
      </c>
      <c r="Q124" t="inlineStr">
        <is>
          <t>4). 모래</t>
        </is>
      </c>
    </row>
    <row r="125" ht="24" customHeight="1" s="34">
      <c r="A125" s="40" t="inlineStr">
        <is>
          <t>05 회전교차로</t>
        </is>
      </c>
      <c r="B125" s="41" t="inlineStr">
        <is>
          <t>3. 포 장 공</t>
        </is>
      </c>
      <c r="C125" s="41" t="n">
        <v>41</v>
      </c>
      <c r="D125" s="41" t="inlineStr">
        <is>
          <t>5). 혼합골재(보조기층용)</t>
        </is>
      </c>
      <c r="E125" s="41" t="inlineStr">
        <is>
          <t>Φ40mm, 현장도착도</t>
        </is>
      </c>
      <c r="F125" s="41" t="n">
        <v>1033</v>
      </c>
      <c r="G125" s="41" t="inlineStr">
        <is>
          <t>㎥</t>
        </is>
      </c>
      <c r="H125" s="42" t="n">
        <v>1320</v>
      </c>
      <c r="I125" s="42">
        <f>F125*H125</f>
        <v/>
      </c>
      <c r="J125" s="42" t="n">
        <v>11220</v>
      </c>
      <c r="K125" s="42">
        <f>F125*J125</f>
        <v/>
      </c>
      <c r="L125" s="42" t="n">
        <v>1521</v>
      </c>
      <c r="M125" s="42">
        <f>F125*L125</f>
        <v/>
      </c>
      <c r="N125" s="42">
        <f>H125+J125+L125</f>
        <v/>
      </c>
      <c r="O125" s="43">
        <f>I125+K125+M125</f>
        <v/>
      </c>
      <c r="Q125" t="inlineStr">
        <is>
          <t>보조기층용</t>
        </is>
      </c>
    </row>
    <row r="126" ht="24" customHeight="1" s="34">
      <c r="A126" s="40" t="inlineStr">
        <is>
          <t>05 회전교차로</t>
        </is>
      </c>
      <c r="B126" s="41" t="inlineStr">
        <is>
          <t>3. 포 장 공</t>
        </is>
      </c>
      <c r="C126" s="41" t="n">
        <v>42</v>
      </c>
      <c r="D126" s="41" t="inlineStr">
        <is>
          <t>6). 아스팔트(유제)</t>
        </is>
      </c>
      <c r="E126" s="41" t="inlineStr">
        <is>
          <t>RS(C)-3 (200ℓ)</t>
        </is>
      </c>
      <c r="F126" s="41" t="n">
        <v>12</v>
      </c>
      <c r="G126" s="41" t="inlineStr">
        <is>
          <t>D/M</t>
        </is>
      </c>
      <c r="H126" s="42" t="n">
        <v>154620</v>
      </c>
      <c r="I126" s="42">
        <f>F126*H126</f>
        <v/>
      </c>
      <c r="J126" s="42" t="n">
        <v>0</v>
      </c>
      <c r="K126" s="42">
        <f>F126*J126</f>
        <v/>
      </c>
      <c r="L126" s="42" t="n">
        <v>0</v>
      </c>
      <c r="M126" s="42">
        <f>F126*L126</f>
        <v/>
      </c>
      <c r="N126" s="42">
        <f>H126+J126+L126</f>
        <v/>
      </c>
      <c r="O126" s="43">
        <f>I126+K126+M126</f>
        <v/>
      </c>
      <c r="Q126" t="inlineStr">
        <is>
          <t>6). 아스팔트</t>
        </is>
      </c>
    </row>
    <row r="127" ht="24" customHeight="1" s="34">
      <c r="A127" s="40" t="inlineStr">
        <is>
          <t>05 회전교차로</t>
        </is>
      </c>
      <c r="B127" s="41" t="inlineStr">
        <is>
          <t>3. 포 장 공</t>
        </is>
      </c>
      <c r="C127" s="41" t="n">
        <v>43</v>
      </c>
      <c r="D127" s="41" t="inlineStr">
        <is>
          <t>7). 아스팔트(유제)</t>
        </is>
      </c>
      <c r="E127" s="41" t="inlineStr">
        <is>
          <t>RS(C)-4 (200ℓ)</t>
        </is>
      </c>
      <c r="F127" s="41" t="n">
        <v>13</v>
      </c>
      <c r="G127" s="41" t="inlineStr">
        <is>
          <t>D/M</t>
        </is>
      </c>
      <c r="H127" s="42" t="n">
        <v>154620</v>
      </c>
      <c r="I127" s="42">
        <f>F127*H127</f>
        <v/>
      </c>
      <c r="J127" s="42" t="n">
        <v>0</v>
      </c>
      <c r="K127" s="42">
        <f>F127*J127</f>
        <v/>
      </c>
      <c r="L127" s="42" t="n">
        <v>0</v>
      </c>
      <c r="M127" s="42">
        <f>F127*L127</f>
        <v/>
      </c>
      <c r="N127" s="42">
        <f>H127+J127+L127</f>
        <v/>
      </c>
      <c r="O127" s="43">
        <f>I127+K127+M127</f>
        <v/>
      </c>
      <c r="Q127" t="inlineStr">
        <is>
          <t>7). 아스팔트</t>
        </is>
      </c>
    </row>
    <row r="128" ht="24" customHeight="1" s="34">
      <c r="A128" s="40" t="inlineStr">
        <is>
          <t>05 회전교차로</t>
        </is>
      </c>
      <c r="B128" s="41" t="inlineStr">
        <is>
          <t>3. 포 장 공</t>
        </is>
      </c>
      <c r="C128" s="41" t="n">
        <v>44</v>
      </c>
      <c r="D128" s="41" t="inlineStr">
        <is>
          <t>8). 아스팔트콘크리트</t>
        </is>
      </c>
      <c r="E128" s="41" t="inlineStr">
        <is>
          <t>#78 표층용</t>
        </is>
      </c>
      <c r="F128" s="41" t="n">
        <v>543</v>
      </c>
      <c r="G128" s="41" t="inlineStr">
        <is>
          <t>Ton</t>
        </is>
      </c>
      <c r="H128" s="41" t="n">
        <v>120000</v>
      </c>
      <c r="I128" s="42">
        <f>F128*H128</f>
        <v/>
      </c>
      <c r="J128" s="41" t="n">
        <v>7500</v>
      </c>
      <c r="K128" s="42">
        <f>F128*J128</f>
        <v/>
      </c>
      <c r="L128" s="41" t="n">
        <v>12000</v>
      </c>
      <c r="M128" s="42">
        <f>F128*L128</f>
        <v/>
      </c>
      <c r="N128" s="42">
        <f>H128+J128+L128</f>
        <v/>
      </c>
      <c r="O128" s="43">
        <f>I128+K128+M128</f>
        <v/>
      </c>
      <c r="P128" t="inlineStr">
        <is>
          <t>가영현</t>
        </is>
      </c>
      <c r="Q128" t="inlineStr">
        <is>
          <t>#78 표층용, .. 8). 아스팔트콘크리트</t>
        </is>
      </c>
    </row>
    <row r="129" ht="24" customHeight="1" s="34">
      <c r="A129" s="40" t="inlineStr">
        <is>
          <t>05 회전교차로</t>
        </is>
      </c>
      <c r="B129" s="41" t="inlineStr">
        <is>
          <t>3. 포 장 공</t>
        </is>
      </c>
      <c r="C129" s="41" t="n">
        <v>45</v>
      </c>
      <c r="D129" s="41" t="inlineStr">
        <is>
          <t>9). 아스팔트콘크리트</t>
        </is>
      </c>
      <c r="E129" s="41" t="inlineStr">
        <is>
          <t>#67 중간층용</t>
        </is>
      </c>
      <c r="F129" s="41" t="n">
        <v>543</v>
      </c>
      <c r="G129" s="41" t="inlineStr">
        <is>
          <t>Ton</t>
        </is>
      </c>
      <c r="H129" s="41" t="n">
        <v>110000</v>
      </c>
      <c r="I129" s="42">
        <f>F129*H129</f>
        <v/>
      </c>
      <c r="J129" s="41" t="n">
        <v>7500</v>
      </c>
      <c r="K129" s="42">
        <f>F129*J129</f>
        <v/>
      </c>
      <c r="L129" s="41" t="n">
        <v>12000</v>
      </c>
      <c r="M129" s="42">
        <f>F129*L129</f>
        <v/>
      </c>
      <c r="N129" s="42">
        <f>H129+J129+L129</f>
        <v/>
      </c>
      <c r="O129" s="43">
        <f>I129+K129+M129</f>
        <v/>
      </c>
      <c r="P129" t="inlineStr">
        <is>
          <t>가영현</t>
        </is>
      </c>
      <c r="Q129" t="inlineStr">
        <is>
          <t>#67 중간층용, .. 9). 아스팔트콘크리트</t>
        </is>
      </c>
    </row>
    <row r="130" ht="24" customHeight="1" s="34">
      <c r="A130" s="40" t="inlineStr">
        <is>
          <t>05 회전교차로</t>
        </is>
      </c>
      <c r="B130" s="41" t="inlineStr">
        <is>
          <t>3. 포 장 공</t>
        </is>
      </c>
      <c r="C130" s="41" t="n">
        <v>46</v>
      </c>
      <c r="D130" s="41" t="inlineStr">
        <is>
          <t>10). 아스팔트콘크리트</t>
        </is>
      </c>
      <c r="E130" s="41" t="inlineStr">
        <is>
          <t>#467 기층용</t>
        </is>
      </c>
      <c r="F130" s="41" t="n">
        <v>1161</v>
      </c>
      <c r="G130" s="41" t="inlineStr">
        <is>
          <t>Ton</t>
        </is>
      </c>
      <c r="H130" s="41" t="n">
        <v>110000</v>
      </c>
      <c r="I130" s="42">
        <f>F130*H130</f>
        <v/>
      </c>
      <c r="J130" s="41" t="n">
        <v>7500</v>
      </c>
      <c r="K130" s="42">
        <f>F130*J130</f>
        <v/>
      </c>
      <c r="L130" s="41" t="n">
        <v>12000</v>
      </c>
      <c r="M130" s="42">
        <f>F130*L130</f>
        <v/>
      </c>
      <c r="N130" s="42">
        <f>H130+J130+L130</f>
        <v/>
      </c>
      <c r="O130" s="43">
        <f>I130+K130+M130</f>
        <v/>
      </c>
      <c r="P130" t="inlineStr">
        <is>
          <t>가영현</t>
        </is>
      </c>
      <c r="Q130" t="inlineStr">
        <is>
          <t>#467 기층용, .. 10). 아스팔트콘크리트</t>
        </is>
      </c>
    </row>
    <row r="131" ht="24" customHeight="1" s="34">
      <c r="A131" s="40" t="inlineStr">
        <is>
          <t>05 회전교차로</t>
        </is>
      </c>
      <c r="B131" s="41" t="inlineStr">
        <is>
          <t>3. 포 장 공</t>
        </is>
      </c>
      <c r="C131" s="41" t="n">
        <v>47</v>
      </c>
      <c r="D131" s="41" t="inlineStr">
        <is>
          <t>11). 보차도경계석(화강석)</t>
        </is>
      </c>
      <c r="E131" s="41" t="inlineStr">
        <is>
          <t>180x200x1000㎜ (직선)</t>
        </is>
      </c>
      <c r="F131" s="41" t="n">
        <v>475</v>
      </c>
      <c r="G131" s="41" t="inlineStr">
        <is>
          <t>ea</t>
        </is>
      </c>
      <c r="H131" s="42" t="n">
        <v>659</v>
      </c>
      <c r="I131" s="42">
        <f>F131*H131</f>
        <v/>
      </c>
      <c r="J131" s="42" t="n">
        <v>6686</v>
      </c>
      <c r="K131" s="42">
        <f>F131*J131</f>
        <v/>
      </c>
      <c r="L131" s="42" t="n">
        <v>522</v>
      </c>
      <c r="M131" s="42">
        <f>F131*L131</f>
        <v/>
      </c>
      <c r="N131" s="42">
        <f>H131+J131+L131</f>
        <v/>
      </c>
      <c r="O131" s="43">
        <f>I131+K131+M131</f>
        <v/>
      </c>
      <c r="Q131" t="inlineStr">
        <is>
          <t>직선</t>
        </is>
      </c>
    </row>
    <row r="132" ht="24" customHeight="1" s="34">
      <c r="A132" s="40" t="inlineStr">
        <is>
          <t>05 회전교차로</t>
        </is>
      </c>
      <c r="B132" s="41" t="inlineStr">
        <is>
          <t>3. 포 장 공</t>
        </is>
      </c>
      <c r="C132" s="41" t="n">
        <v>48</v>
      </c>
      <c r="D132" s="41" t="inlineStr">
        <is>
          <t>12). 횡단보도경계석(화강석)(경사)</t>
        </is>
      </c>
      <c r="E132" s="41" t="inlineStr">
        <is>
          <t>180x200∼100x1000㎜ (곡선경사)</t>
        </is>
      </c>
      <c r="F132" s="41" t="n">
        <v>9</v>
      </c>
      <c r="G132" s="41" t="inlineStr">
        <is>
          <t>ea</t>
        </is>
      </c>
      <c r="H132" s="42" t="n">
        <v>28000</v>
      </c>
      <c r="I132" s="42">
        <f>F132*H132</f>
        <v/>
      </c>
      <c r="J132" s="42" t="n">
        <v>12000</v>
      </c>
      <c r="K132" s="42">
        <f>F132*J132</f>
        <v/>
      </c>
      <c r="L132" s="42" t="n">
        <v>8000</v>
      </c>
      <c r="M132" s="42">
        <f>F132*L132</f>
        <v/>
      </c>
      <c r="N132" s="42">
        <f>H132+J132+L132</f>
        <v/>
      </c>
      <c r="O132" s="43">
        <f>I132+K132+M132</f>
        <v/>
      </c>
      <c r="P132" t="inlineStr">
        <is>
          <t>가영현</t>
        </is>
      </c>
      <c r="Q132" t="inlineStr">
        <is>
          <t>12). 횡단보도경계석</t>
        </is>
      </c>
    </row>
    <row r="133" ht="24" customHeight="1" s="34">
      <c r="A133" s="40" t="inlineStr">
        <is>
          <t>05 회전교차로</t>
        </is>
      </c>
      <c r="B133" s="41" t="inlineStr">
        <is>
          <t>3. 포 장 공</t>
        </is>
      </c>
      <c r="C133" s="41" t="n">
        <v>49</v>
      </c>
      <c r="D133" s="41" t="inlineStr">
        <is>
          <t>13). 횡단보도경계석(화강석)(낮춤)</t>
        </is>
      </c>
      <c r="E133" s="41" t="inlineStr">
        <is>
          <t>180x100x1000㎜ (곡선)</t>
        </is>
      </c>
      <c r="F133" s="41" t="n">
        <v>26</v>
      </c>
      <c r="G133" s="41" t="inlineStr">
        <is>
          <t>ea</t>
        </is>
      </c>
      <c r="H133" s="42" t="n">
        <v>771</v>
      </c>
      <c r="I133" s="42">
        <f>F133*H133</f>
        <v/>
      </c>
      <c r="J133" s="42" t="n">
        <v>7823</v>
      </c>
      <c r="K133" s="42">
        <f>F133*J133</f>
        <v/>
      </c>
      <c r="L133" s="42" t="n">
        <v>610</v>
      </c>
      <c r="M133" s="42">
        <f>F133*L133</f>
        <v/>
      </c>
      <c r="N133" s="42">
        <f>H133+J133+L133</f>
        <v/>
      </c>
      <c r="O133" s="43">
        <f>I133+K133+M133</f>
        <v/>
      </c>
      <c r="Q133" t="inlineStr">
        <is>
          <t>곡선</t>
        </is>
      </c>
    </row>
    <row r="134" ht="24" customHeight="1" s="34">
      <c r="A134" s="40" t="inlineStr">
        <is>
          <t>05 회전교차로</t>
        </is>
      </c>
      <c r="B134" s="41" t="inlineStr">
        <is>
          <t>3. 포 장 공</t>
        </is>
      </c>
      <c r="C134" s="41" t="n">
        <v>50</v>
      </c>
      <c r="D134" s="41" t="inlineStr">
        <is>
          <t>14). 도로경계석(화강석)</t>
        </is>
      </c>
      <c r="E134" s="41" t="inlineStr">
        <is>
          <t>120x120x1000㎜ (직선), 국산</t>
        </is>
      </c>
      <c r="F134" s="41" t="n">
        <v>220</v>
      </c>
      <c r="G134" s="41" t="inlineStr">
        <is>
          <t>ea</t>
        </is>
      </c>
      <c r="H134" s="42" t="n">
        <v>659</v>
      </c>
      <c r="I134" s="42">
        <f>F134*H134</f>
        <v/>
      </c>
      <c r="J134" s="42" t="n">
        <v>6686</v>
      </c>
      <c r="K134" s="42">
        <f>F134*J134</f>
        <v/>
      </c>
      <c r="L134" s="42" t="n">
        <v>522</v>
      </c>
      <c r="M134" s="42">
        <f>F134*L134</f>
        <v/>
      </c>
      <c r="N134" s="42">
        <f>H134+J134+L134</f>
        <v/>
      </c>
      <c r="O134" s="43">
        <f>I134+K134+M134</f>
        <v/>
      </c>
      <c r="Q134" t="inlineStr">
        <is>
          <t>직선</t>
        </is>
      </c>
    </row>
    <row r="135" ht="24" customHeight="1" s="34">
      <c r="A135" s="40" t="inlineStr">
        <is>
          <t>05 회전교차로</t>
        </is>
      </c>
      <c r="B135" s="41" t="inlineStr">
        <is>
          <t>3. 포 장 공</t>
        </is>
      </c>
      <c r="C135" s="41" t="n">
        <v>51</v>
      </c>
      <c r="D135" s="41" t="inlineStr">
        <is>
          <t>15). 보도블록(인조화강)</t>
        </is>
      </c>
      <c r="E135" s="41" t="inlineStr">
        <is>
          <t>200x200x60, 투수</t>
        </is>
      </c>
      <c r="F135" s="41" t="n">
        <v>1126</v>
      </c>
      <c r="G135" s="41" t="inlineStr">
        <is>
          <t>㎡</t>
        </is>
      </c>
      <c r="H135" s="42" t="n">
        <v>25000</v>
      </c>
      <c r="I135" s="42">
        <f>F135*H135</f>
        <v/>
      </c>
      <c r="J135" s="42" t="n">
        <v>10000</v>
      </c>
      <c r="K135" s="42">
        <f>F135*J135</f>
        <v/>
      </c>
      <c r="L135" s="42" t="n">
        <v>7000</v>
      </c>
      <c r="M135" s="42">
        <f>F135*L135</f>
        <v/>
      </c>
      <c r="N135" s="42">
        <f>H135+J135+L135</f>
        <v/>
      </c>
      <c r="O135" s="43">
        <f>I135+K135+M135</f>
        <v/>
      </c>
      <c r="P135" t="inlineStr">
        <is>
          <t>가영현</t>
        </is>
      </c>
      <c r="Q135" t="inlineStr">
        <is>
          <t>투수</t>
        </is>
      </c>
    </row>
    <row r="136" ht="24" customHeight="1" s="34">
      <c r="A136" s="40" t="inlineStr">
        <is>
          <t>05 회전교차로</t>
        </is>
      </c>
      <c r="B136" s="41" t="inlineStr">
        <is>
          <t>3. 포 장 공</t>
        </is>
      </c>
      <c r="C136" s="41" t="n">
        <v>52</v>
      </c>
      <c r="D136" s="41" t="inlineStr">
        <is>
          <t>16). 장애인용보도 선형블록</t>
        </is>
      </c>
      <c r="E136" s="41" t="inlineStr">
        <is>
          <t>300x300x60, 고강도, 논슬립</t>
        </is>
      </c>
      <c r="F136" s="41" t="n">
        <v>190</v>
      </c>
      <c r="G136" s="41" t="inlineStr">
        <is>
          <t>ea</t>
        </is>
      </c>
      <c r="H136" s="42" t="n">
        <v>121</v>
      </c>
      <c r="I136" s="42">
        <f>F136*H136</f>
        <v/>
      </c>
      <c r="J136" s="42" t="n">
        <v>883</v>
      </c>
      <c r="K136" s="42">
        <f>F136*J136</f>
        <v/>
      </c>
      <c r="L136" s="42" t="n">
        <v>86</v>
      </c>
      <c r="M136" s="42">
        <f>F136*L136</f>
        <v/>
      </c>
      <c r="N136" s="42">
        <f>H136+J136+L136</f>
        <v/>
      </c>
      <c r="O136" s="43">
        <f>I136+K136+M136</f>
        <v/>
      </c>
      <c r="Q13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37" ht="24" customHeight="1" s="34">
      <c r="A137" s="40" t="inlineStr">
        <is>
          <t>05 회전교차로</t>
        </is>
      </c>
      <c r="B137" s="41" t="inlineStr">
        <is>
          <t>3. 포 장 공</t>
        </is>
      </c>
      <c r="C137" s="41" t="n">
        <v>53</v>
      </c>
      <c r="D137" s="41" t="inlineStr">
        <is>
          <t>17). 장애인용보도 점형블록</t>
        </is>
      </c>
      <c r="E137" s="41" t="inlineStr">
        <is>
          <t>300x300x60, 고강도, 논슬립</t>
        </is>
      </c>
      <c r="F137" s="41" t="n">
        <v>11</v>
      </c>
      <c r="G137" s="41" t="inlineStr">
        <is>
          <t>ea</t>
        </is>
      </c>
      <c r="H137" s="42" t="n">
        <v>121</v>
      </c>
      <c r="I137" s="42">
        <f>F137*H137</f>
        <v/>
      </c>
      <c r="J137" s="42" t="n">
        <v>883</v>
      </c>
      <c r="K137" s="42">
        <f>F137*J137</f>
        <v/>
      </c>
      <c r="L137" s="42" t="n">
        <v>86</v>
      </c>
      <c r="M137" s="42">
        <f>F137*L137</f>
        <v/>
      </c>
      <c r="N137" s="42">
        <f>H137+J137+L137</f>
        <v/>
      </c>
      <c r="O137" s="43">
        <f>I137+K137+M137</f>
        <v/>
      </c>
      <c r="Q137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38" ht="24" customHeight="1" s="34">
      <c r="A138" s="44" t="inlineStr">
        <is>
          <t>05 회전교차로</t>
        </is>
      </c>
      <c r="B138" s="45" t="inlineStr">
        <is>
          <t>3. 포 장 공</t>
        </is>
      </c>
      <c r="C138" s="45" t="n"/>
      <c r="D138" s="45" t="inlineStr">
        <is>
          <t>★ 3. 포 장 공 소계</t>
        </is>
      </c>
      <c r="E138" s="45" t="n"/>
      <c r="F138" s="45" t="n"/>
      <c r="G138" s="45" t="n"/>
      <c r="H138" s="45" t="n"/>
      <c r="I138" s="46">
        <f>SUM(I85:I137)</f>
        <v/>
      </c>
      <c r="J138" s="45" t="n"/>
      <c r="K138" s="46">
        <f>SUM(K85:K137)</f>
        <v/>
      </c>
      <c r="L138" s="45" t="n"/>
      <c r="M138" s="46">
        <f>SUM(M85:M137)</f>
        <v/>
      </c>
      <c r="N138" s="45" t="n"/>
      <c r="O138" s="47">
        <f>SUM(O85:O137)</f>
        <v/>
      </c>
      <c r="P138" s="15" t="n"/>
      <c r="Q138" s="15" t="inlineStr">
        <is>
          <t>53건</t>
        </is>
      </c>
    </row>
    <row r="139" ht="24" customHeight="1" s="34">
      <c r="A139" s="40" t="inlineStr">
        <is>
          <t>05 회전교차로</t>
        </is>
      </c>
      <c r="B139" s="41" t="inlineStr">
        <is>
          <t>4. 구조물공</t>
        </is>
      </c>
      <c r="C139" s="41" t="n">
        <v>1</v>
      </c>
      <c r="D139" s="41" t="inlineStr">
        <is>
          <t>1). 콘크리트타설</t>
        </is>
      </c>
      <c r="E139" s="41" t="inlineStr">
        <is>
          <t>장비사용, 철근구조물</t>
        </is>
      </c>
      <c r="F139" s="41" t="n">
        <v>507</v>
      </c>
      <c r="G139" s="41" t="inlineStr">
        <is>
          <t>㎥</t>
        </is>
      </c>
      <c r="H139" s="42" t="n">
        <v>3186</v>
      </c>
      <c r="I139" s="42">
        <f>F139*H139</f>
        <v/>
      </c>
      <c r="J139" s="42" t="n">
        <v>26699</v>
      </c>
      <c r="K139" s="42">
        <f>F139*J139</f>
        <v/>
      </c>
      <c r="L139" s="42" t="n">
        <v>3560</v>
      </c>
      <c r="M139" s="42">
        <f>F139*L139</f>
        <v/>
      </c>
      <c r="N139" s="42">
        <f>H139+J139+L139</f>
        <v/>
      </c>
      <c r="O139" s="43">
        <f>I139+K139+M139</f>
        <v/>
      </c>
      <c r="Q139" t="inlineStr">
        <is>
          <t>장비사용</t>
        </is>
      </c>
    </row>
    <row r="140" ht="24" customHeight="1" s="34">
      <c r="A140" s="40" t="inlineStr">
        <is>
          <t>05 회전교차로</t>
        </is>
      </c>
      <c r="B140" s="41" t="inlineStr">
        <is>
          <t>4. 구조물공</t>
        </is>
      </c>
      <c r="C140" s="41" t="n">
        <v>2</v>
      </c>
      <c r="D140" s="41" t="inlineStr">
        <is>
          <t>2). 콘크리트타설</t>
        </is>
      </c>
      <c r="E140" s="41" t="inlineStr">
        <is>
          <t>장비사용, 무근구조물</t>
        </is>
      </c>
      <c r="F140" s="41" t="n">
        <v>71</v>
      </c>
      <c r="G140" s="41" t="inlineStr">
        <is>
          <t>㎥</t>
        </is>
      </c>
      <c r="H140" s="42" t="n">
        <v>0</v>
      </c>
      <c r="I140" s="42">
        <f>F140*H140</f>
        <v/>
      </c>
      <c r="J140" s="42" t="n">
        <v>0</v>
      </c>
      <c r="K140" s="42">
        <f>F140*J140</f>
        <v/>
      </c>
      <c r="L140" s="42" t="n">
        <v>0</v>
      </c>
      <c r="M140" s="42">
        <f>F140*L140</f>
        <v/>
      </c>
      <c r="N140" s="42">
        <f>H140+J140+L140</f>
        <v/>
      </c>
      <c r="O140" s="43">
        <f>I140+K140+M140</f>
        <v/>
      </c>
      <c r="Q140" t="inlineStr">
        <is>
          <t>장비사용</t>
        </is>
      </c>
    </row>
    <row r="141" ht="24" customHeight="1" s="34">
      <c r="A141" s="40" t="inlineStr">
        <is>
          <t>05 회전교차로</t>
        </is>
      </c>
      <c r="B141" s="41" t="inlineStr">
        <is>
          <t>4. 구조물공</t>
        </is>
      </c>
      <c r="C141" s="41" t="n">
        <v>3</v>
      </c>
      <c r="D141" s="41" t="inlineStr">
        <is>
          <t>3). 철근가공조립(현장)</t>
        </is>
      </c>
      <c r="E141" s="41" t="inlineStr">
        <is>
          <t>TYPE-1-1</t>
        </is>
      </c>
      <c r="F141" s="41" t="n">
        <v>43.958</v>
      </c>
      <c r="G141" s="41" t="inlineStr">
        <is>
          <t>ton</t>
        </is>
      </c>
      <c r="H141" s="42" t="n">
        <v>55508</v>
      </c>
      <c r="I141" s="42">
        <f>F141*H141</f>
        <v/>
      </c>
      <c r="J141" s="42" t="n">
        <v>638337</v>
      </c>
      <c r="K141" s="42">
        <f>F141*J141</f>
        <v/>
      </c>
      <c r="L141" s="42" t="n">
        <v>0</v>
      </c>
      <c r="M141" s="42">
        <f>F141*L141</f>
        <v/>
      </c>
      <c r="N141" s="42">
        <f>H141+J141+L141</f>
        <v/>
      </c>
      <c r="O141" s="43">
        <f>I141+K141+M141</f>
        <v/>
      </c>
      <c r="Q141" t="inlineStr">
        <is>
          <t>현장</t>
        </is>
      </c>
    </row>
    <row r="142" ht="24" customHeight="1" s="34">
      <c r="A142" s="40" t="inlineStr">
        <is>
          <t>05 회전교차로</t>
        </is>
      </c>
      <c r="B142" s="41" t="inlineStr">
        <is>
          <t>4. 구조물공</t>
        </is>
      </c>
      <c r="C142" s="41" t="n">
        <v>4</v>
      </c>
      <c r="D142" s="41" t="inlineStr">
        <is>
          <t>4). 문양거푸집</t>
        </is>
      </c>
      <c r="E142" s="41" t="inlineStr">
        <is>
          <t>판넬</t>
        </is>
      </c>
      <c r="F142" s="41" t="n">
        <v>845</v>
      </c>
      <c r="G142" s="41" t="inlineStr">
        <is>
          <t>㎡</t>
        </is>
      </c>
      <c r="H142" s="42" t="n">
        <v>609</v>
      </c>
      <c r="I142" s="42">
        <f>F142*H142</f>
        <v/>
      </c>
      <c r="J142" s="42" t="n">
        <v>19663</v>
      </c>
      <c r="K142" s="42">
        <f>F142*J142</f>
        <v/>
      </c>
      <c r="L142" s="42" t="n">
        <v>0</v>
      </c>
      <c r="M142" s="42">
        <f>F142*L142</f>
        <v/>
      </c>
      <c r="N142" s="42">
        <f>H142+J142+L142</f>
        <v/>
      </c>
      <c r="O142" s="43">
        <f>I142+K142+M142</f>
        <v/>
      </c>
      <c r="Q142" t="inlineStr">
        <is>
          <t>오매칭 AOJ445001000(AL SHEET판넬(3t,불소코팅) → DB CED405010000 (0.70, 문양거푸집) / 대안: AL SHEET판넬(3t,(0.70) · AL SHEET판넬(3t,(0.70)</t>
        </is>
      </c>
    </row>
    <row r="143" ht="24" customHeight="1" s="34">
      <c r="A143" s="40" t="inlineStr">
        <is>
          <t>05 회전교차로</t>
        </is>
      </c>
      <c r="B143" s="41" t="inlineStr">
        <is>
          <t>4. 구조물공</t>
        </is>
      </c>
      <c r="C143" s="41" t="n">
        <v>5</v>
      </c>
      <c r="D143" s="41" t="inlineStr">
        <is>
          <t>5). 거푸집</t>
        </is>
      </c>
      <c r="E143" s="41" t="inlineStr">
        <is>
          <t>합판4회(보통)</t>
        </is>
      </c>
      <c r="F143" s="41" t="n">
        <v>1267</v>
      </c>
      <c r="G143" s="41" t="inlineStr">
        <is>
          <t>㎡</t>
        </is>
      </c>
      <c r="H143" s="42" t="n">
        <v>378</v>
      </c>
      <c r="I143" s="42">
        <f>F143*H143</f>
        <v/>
      </c>
      <c r="J143" s="42" t="n">
        <v>37806</v>
      </c>
      <c r="K143" s="42">
        <f>F143*J143</f>
        <v/>
      </c>
      <c r="L143" s="42" t="n">
        <v>0</v>
      </c>
      <c r="M143" s="42">
        <f>F143*L143</f>
        <v/>
      </c>
      <c r="N143" s="42">
        <f>H143+J143+L143</f>
        <v/>
      </c>
      <c r="O143" s="43">
        <f>I143+K143+M143</f>
        <v/>
      </c>
      <c r="Q143" t="inlineStr">
        <is>
          <t>합판4회(보통)</t>
        </is>
      </c>
    </row>
    <row r="144" ht="24" customHeight="1" s="34">
      <c r="A144" s="40" t="inlineStr">
        <is>
          <t>05 회전교차로</t>
        </is>
      </c>
      <c r="B144" s="41" t="inlineStr">
        <is>
          <t>4. 구조물공</t>
        </is>
      </c>
      <c r="C144" s="41" t="n">
        <v>6</v>
      </c>
      <c r="D144" s="41" t="inlineStr">
        <is>
          <t>6). 거푸집</t>
        </is>
      </c>
      <c r="E144" s="41" t="inlineStr">
        <is>
          <t>합판6회(간단)</t>
        </is>
      </c>
      <c r="F144" s="41" t="n">
        <v>43</v>
      </c>
      <c r="G144" s="41" t="inlineStr">
        <is>
          <t>㎡</t>
        </is>
      </c>
      <c r="H144" s="42" t="n">
        <v>0</v>
      </c>
      <c r="I144" s="42">
        <f>F144*H144</f>
        <v/>
      </c>
      <c r="J144" s="42" t="n">
        <v>0</v>
      </c>
      <c r="K144" s="42">
        <f>F144*J144</f>
        <v/>
      </c>
      <c r="L144" s="42" t="n">
        <v>34535</v>
      </c>
      <c r="M144" s="42">
        <f>F144*L144</f>
        <v/>
      </c>
      <c r="N144" s="42">
        <f>H144+J144+L144</f>
        <v/>
      </c>
      <c r="O144" s="43">
        <f>I144+K144+M144</f>
        <v/>
      </c>
      <c r="Q144" t="inlineStr">
        <is>
          <t>현재 매칭 CUA31502000S — 품명 일치·점수 0.71</t>
        </is>
      </c>
    </row>
    <row r="145" ht="24" customHeight="1" s="34">
      <c r="A145" s="40" t="inlineStr">
        <is>
          <t>05 회전교차로</t>
        </is>
      </c>
      <c r="B145" s="41" t="inlineStr">
        <is>
          <t>4. 구조물공</t>
        </is>
      </c>
      <c r="C145" s="41" t="n">
        <v>7</v>
      </c>
      <c r="D145" s="41" t="inlineStr">
        <is>
          <t>7). 강관비계</t>
        </is>
      </c>
      <c r="E145" s="41" t="inlineStr">
        <is>
          <t>10m이하-3개월사용</t>
        </is>
      </c>
      <c r="F145" s="41" t="n">
        <v>688</v>
      </c>
      <c r="G145" s="41" t="inlineStr">
        <is>
          <t>㎡</t>
        </is>
      </c>
      <c r="H145" s="42" t="n">
        <v>9641</v>
      </c>
      <c r="I145" s="42">
        <f>F145*H145</f>
        <v/>
      </c>
      <c r="J145" s="42" t="n">
        <v>17902</v>
      </c>
      <c r="K145" s="42">
        <f>F145*J145</f>
        <v/>
      </c>
      <c r="L145" s="42" t="n">
        <v>0</v>
      </c>
      <c r="M145" s="42">
        <f>F145*L145</f>
        <v/>
      </c>
      <c r="N145" s="42">
        <f>H145+J145+L145</f>
        <v/>
      </c>
      <c r="O145" s="43">
        <f>I145+K145+M145</f>
        <v/>
      </c>
      <c r="Q145" t="inlineStr">
        <is>
          <t>7). 강관비계</t>
        </is>
      </c>
    </row>
    <row r="146" ht="24" customHeight="1" s="34">
      <c r="A146" s="40" t="inlineStr">
        <is>
          <t>05 회전교차로</t>
        </is>
      </c>
      <c r="B146" s="41" t="inlineStr">
        <is>
          <t>4. 구조물공</t>
        </is>
      </c>
      <c r="C146" s="41" t="n">
        <v>8</v>
      </c>
      <c r="D146" s="41" t="inlineStr">
        <is>
          <t>8). 스페이셔설치</t>
        </is>
      </c>
      <c r="E146" s="41" t="inlineStr">
        <is>
          <t>수직</t>
        </is>
      </c>
      <c r="F146" s="41" t="n">
        <v>5040</v>
      </c>
      <c r="G146" s="41" t="inlineStr">
        <is>
          <t>㎡</t>
        </is>
      </c>
      <c r="H146" s="42" t="n">
        <v>623</v>
      </c>
      <c r="I146" s="42">
        <f>F146*H146</f>
        <v/>
      </c>
      <c r="J146" s="42" t="n">
        <v>9748</v>
      </c>
      <c r="K146" s="42">
        <f>F146*J146</f>
        <v/>
      </c>
      <c r="L146" s="42" t="n">
        <v>0</v>
      </c>
      <c r="M146" s="42">
        <f>F146*L146</f>
        <v/>
      </c>
      <c r="N146" s="42">
        <f>H146+J146+L146</f>
        <v/>
      </c>
      <c r="O146" s="43">
        <f>I146+K146+M146</f>
        <v/>
      </c>
      <c r="Q146" t="inlineStr">
        <is>
          <t>수직</t>
        </is>
      </c>
    </row>
    <row r="147" ht="24" customHeight="1" s="34">
      <c r="A147" s="40" t="inlineStr">
        <is>
          <t>05 회전교차로</t>
        </is>
      </c>
      <c r="B147" s="41" t="inlineStr">
        <is>
          <t>4. 구조물공</t>
        </is>
      </c>
      <c r="C147" s="41" t="n">
        <v>9</v>
      </c>
      <c r="D147" s="41" t="inlineStr">
        <is>
          <t>9). 스페이셔설치</t>
        </is>
      </c>
      <c r="E147" s="41" t="inlineStr">
        <is>
          <t>수평</t>
        </is>
      </c>
      <c r="F147" s="41" t="n">
        <v>4362</v>
      </c>
      <c r="G147" s="41" t="inlineStr">
        <is>
          <t>㎡</t>
        </is>
      </c>
      <c r="H147" s="42" t="n">
        <v>500</v>
      </c>
      <c r="I147" s="42">
        <f>F147*H147</f>
        <v/>
      </c>
      <c r="J147" s="42" t="n">
        <v>1500</v>
      </c>
      <c r="K147" s="42">
        <f>F147*J147</f>
        <v/>
      </c>
      <c r="L147" s="41" t="n"/>
      <c r="M147" s="42">
        <f>F147*L147</f>
        <v/>
      </c>
      <c r="N147" s="42">
        <f>H147+J147+L147</f>
        <v/>
      </c>
      <c r="O147" s="43">
        <f>I147+K147+M147</f>
        <v/>
      </c>
      <c r="P147" t="inlineStr">
        <is>
          <t>가영현</t>
        </is>
      </c>
      <c r="Q147" t="inlineStr">
        <is>
          <t>수평</t>
        </is>
      </c>
    </row>
    <row r="148" ht="24" customHeight="1" s="34">
      <c r="A148" s="40" t="inlineStr">
        <is>
          <t>05 회전교차로</t>
        </is>
      </c>
      <c r="B148" s="41" t="inlineStr">
        <is>
          <t>4. 구조물공</t>
        </is>
      </c>
      <c r="C148" s="41" t="n">
        <v>10</v>
      </c>
      <c r="D148" s="41" t="inlineStr">
        <is>
          <t>10). PVC관 부설 및 접합</t>
        </is>
      </c>
      <c r="E148" s="41" t="inlineStr">
        <is>
          <t>Ø 100 MM - VG2 일반관</t>
        </is>
      </c>
      <c r="F148" s="41" t="n">
        <v>33</v>
      </c>
      <c r="G148" s="41" t="inlineStr">
        <is>
          <t>m</t>
        </is>
      </c>
      <c r="H148" s="42" t="n">
        <v>522</v>
      </c>
      <c r="I148" s="42">
        <f>F148*H148</f>
        <v/>
      </c>
      <c r="J148" s="42" t="n">
        <v>5273</v>
      </c>
      <c r="K148" s="42">
        <f>F148*J148</f>
        <v/>
      </c>
      <c r="L148" s="42" t="n">
        <v>0</v>
      </c>
      <c r="M148" s="42">
        <f>F148*L148</f>
        <v/>
      </c>
      <c r="N148" s="42">
        <f>H148+J148+L148</f>
        <v/>
      </c>
      <c r="O148" s="43">
        <f>I148+K148+M148</f>
        <v/>
      </c>
      <c r="Q148" t="inlineStr">
        <is>
          <t>접합</t>
        </is>
      </c>
    </row>
    <row r="149" ht="24" customHeight="1" s="34">
      <c r="A149" s="40" t="inlineStr">
        <is>
          <t>05 회전교차로</t>
        </is>
      </c>
      <c r="B149" s="41" t="inlineStr">
        <is>
          <t>4. 구조물공</t>
        </is>
      </c>
      <c r="C149" s="41" t="n">
        <v>11</v>
      </c>
      <c r="D149" s="41" t="inlineStr">
        <is>
          <t>11). 드레인보드 설치</t>
        </is>
      </c>
      <c r="E149" s="41" t="inlineStr">
        <is>
          <t>옹벽 배수용</t>
        </is>
      </c>
      <c r="F149" s="41" t="n">
        <v>681</v>
      </c>
      <c r="G149" s="41" t="inlineStr">
        <is>
          <t>㎡</t>
        </is>
      </c>
      <c r="H149" s="42" t="n">
        <v>2290</v>
      </c>
      <c r="I149" s="42">
        <f>F149*H149</f>
        <v/>
      </c>
      <c r="J149" s="42" t="n">
        <v>0</v>
      </c>
      <c r="K149" s="42">
        <f>F149*J149</f>
        <v/>
      </c>
      <c r="L149" s="42" t="n">
        <v>0</v>
      </c>
      <c r="M149" s="42">
        <f>F149*L149</f>
        <v/>
      </c>
      <c r="N149" s="42">
        <f>H149+J149+L149</f>
        <v/>
      </c>
      <c r="O149" s="43">
        <f>I149+K149+M149</f>
        <v/>
      </c>
      <c r="Q149" t="inlineStr">
        <is>
          <t>11). 드레인보드 설치</t>
        </is>
      </c>
    </row>
    <row r="150" ht="24" customHeight="1" s="34">
      <c r="A150" s="40" t="inlineStr">
        <is>
          <t>05 회전교차로</t>
        </is>
      </c>
      <c r="B150" s="41" t="inlineStr">
        <is>
          <t>4. 구조물공</t>
        </is>
      </c>
      <c r="C150" s="41" t="n">
        <v>12</v>
      </c>
      <c r="D150" s="41" t="inlineStr">
        <is>
          <t>12). 부직포설치</t>
        </is>
      </c>
      <c r="E150" s="41" t="n"/>
      <c r="F150" s="41" t="n">
        <v>681</v>
      </c>
      <c r="G150" s="41" t="inlineStr">
        <is>
          <t>㎡</t>
        </is>
      </c>
      <c r="H150" s="42" t="n">
        <v>34</v>
      </c>
      <c r="I150" s="42">
        <f>F150*H150</f>
        <v/>
      </c>
      <c r="J150" s="42" t="n">
        <v>358</v>
      </c>
      <c r="K150" s="42">
        <f>F150*J150</f>
        <v/>
      </c>
      <c r="L150" s="42" t="n">
        <v>24</v>
      </c>
      <c r="M150" s="42">
        <f>F150*L150</f>
        <v/>
      </c>
      <c r="N150" s="42">
        <f>H150+J150+L150</f>
        <v/>
      </c>
      <c r="O150" s="43">
        <f>I150+K150+M150</f>
        <v/>
      </c>
      <c r="Q150" t="inlineStr">
        <is>
          <t>12). 부직포설치</t>
        </is>
      </c>
    </row>
    <row r="151" ht="24" customHeight="1" s="34">
      <c r="A151" s="40" t="inlineStr">
        <is>
          <t>05 회전교차로</t>
        </is>
      </c>
      <c r="B151" s="41" t="inlineStr">
        <is>
          <t>4. 구조물공</t>
        </is>
      </c>
      <c r="C151" s="41" t="n">
        <v>13</v>
      </c>
      <c r="D151" s="41" t="inlineStr">
        <is>
          <t>13). 신축이음(Joint filler)</t>
        </is>
      </c>
      <c r="E151" s="41" t="inlineStr">
        <is>
          <t>t=20mm</t>
        </is>
      </c>
      <c r="F151" s="41" t="n">
        <v>76</v>
      </c>
      <c r="G151" s="41" t="inlineStr">
        <is>
          <t>㎡</t>
        </is>
      </c>
      <c r="H151" s="42" t="n">
        <v>0</v>
      </c>
      <c r="I151" s="42">
        <f>F151*H151</f>
        <v/>
      </c>
      <c r="J151" s="42" t="n">
        <v>67244</v>
      </c>
      <c r="K151" s="42">
        <f>F151*J151</f>
        <v/>
      </c>
      <c r="L151" s="42" t="n">
        <v>0</v>
      </c>
      <c r="M151" s="42">
        <f>F151*L151</f>
        <v/>
      </c>
      <c r="N151" s="42">
        <f>H151+J151+L151</f>
        <v/>
      </c>
      <c r="O151" s="43">
        <f>I151+K151+M151</f>
        <v/>
      </c>
      <c r="Q151" t="inlineStr">
        <is>
          <t>t=20mm</t>
        </is>
      </c>
    </row>
    <row r="152" ht="24" customHeight="1" s="34">
      <c r="A152" s="40" t="inlineStr">
        <is>
          <t>05 회전교차로</t>
        </is>
      </c>
      <c r="B152" s="41" t="inlineStr">
        <is>
          <t>4. 구조물공</t>
        </is>
      </c>
      <c r="C152" s="41" t="n">
        <v>14</v>
      </c>
      <c r="D152" s="41" t="inlineStr">
        <is>
          <t>14). DOWEL BAR(옹벽용)</t>
        </is>
      </c>
      <c r="E152" s="41" t="inlineStr">
        <is>
          <t>Ø32×800(기성품)</t>
        </is>
      </c>
      <c r="F152" s="41" t="n">
        <v>1561</v>
      </c>
      <c r="G152" s="41" t="inlineStr">
        <is>
          <t>ea</t>
        </is>
      </c>
      <c r="H152" s="42" t="n">
        <v>35000</v>
      </c>
      <c r="I152" s="42">
        <f>F152*H152</f>
        <v/>
      </c>
      <c r="J152" s="42" t="n">
        <v>12000</v>
      </c>
      <c r="K152" s="42">
        <f>F152*J152</f>
        <v/>
      </c>
      <c r="L152" s="41" t="n">
        <v>800</v>
      </c>
      <c r="M152" s="42">
        <f>F152*L152</f>
        <v/>
      </c>
      <c r="N152" s="42">
        <f>H152+J152+L152</f>
        <v/>
      </c>
      <c r="O152" s="43">
        <f>I152+K152+M152</f>
        <v/>
      </c>
      <c r="P152" t="inlineStr">
        <is>
          <t>가영현</t>
        </is>
      </c>
      <c r="Q152" t="inlineStr">
        <is>
          <t>옹벽용</t>
        </is>
      </c>
    </row>
    <row r="153" ht="24" customHeight="1" s="34">
      <c r="A153" s="40" t="inlineStr">
        <is>
          <t>05 회전교차로</t>
        </is>
      </c>
      <c r="B153" s="41" t="inlineStr">
        <is>
          <t>4. 구조물공</t>
        </is>
      </c>
      <c r="C153" s="41" t="n">
        <v>15</v>
      </c>
      <c r="D153" s="41" t="inlineStr">
        <is>
          <t>15). 실링마감(실런트)</t>
        </is>
      </c>
      <c r="E153" s="41" t="inlineStr">
        <is>
          <t>20×25</t>
        </is>
      </c>
      <c r="F153" s="41" t="n">
        <v>635</v>
      </c>
      <c r="G153" s="41" t="inlineStr">
        <is>
          <t>m</t>
        </is>
      </c>
      <c r="H153" s="42" t="n">
        <v>51</v>
      </c>
      <c r="I153" s="42">
        <f>F153*H153</f>
        <v/>
      </c>
      <c r="J153" s="42" t="n">
        <v>5125</v>
      </c>
      <c r="K153" s="42">
        <f>F153*J153</f>
        <v/>
      </c>
      <c r="L153" s="42" t="n">
        <v>0</v>
      </c>
      <c r="M153" s="42">
        <f>F153*L153</f>
        <v/>
      </c>
      <c r="N153" s="42">
        <f>H153+J153+L153</f>
        <v/>
      </c>
      <c r="O153" s="43">
        <f>I153+K153+M153</f>
        <v/>
      </c>
      <c r="Q153" t="inlineStr">
        <is>
          <t>실런트</t>
        </is>
      </c>
    </row>
    <row r="154" ht="24" customHeight="1" s="34">
      <c r="A154" s="40" t="inlineStr">
        <is>
          <t>05 회전교차로</t>
        </is>
      </c>
      <c r="B154" s="41" t="inlineStr">
        <is>
          <t>4. 구조물공</t>
        </is>
      </c>
      <c r="C154" s="41" t="n">
        <v>16</v>
      </c>
      <c r="D154" s="41" t="inlineStr">
        <is>
          <t>16). 기초지정</t>
        </is>
      </c>
      <c r="E154" s="41" t="inlineStr">
        <is>
          <t>잡석지정, 재료비 제외</t>
        </is>
      </c>
      <c r="F154" s="41" t="n">
        <v>153</v>
      </c>
      <c r="G154" s="41" t="inlineStr">
        <is>
          <t>㎥</t>
        </is>
      </c>
      <c r="H154" s="42" t="n">
        <v>1606</v>
      </c>
      <c r="I154" s="42">
        <f>F154*H154</f>
        <v/>
      </c>
      <c r="J154" s="42" t="n">
        <v>8751</v>
      </c>
      <c r="K154" s="42">
        <f>F154*J154</f>
        <v/>
      </c>
      <c r="L154" s="42" t="n">
        <v>1798</v>
      </c>
      <c r="M154" s="42">
        <f>F154*L154</f>
        <v/>
      </c>
      <c r="N154" s="42">
        <f>H154+J154+L154</f>
        <v/>
      </c>
      <c r="O154" s="43">
        <f>I154+K154+M154</f>
        <v/>
      </c>
      <c r="Q154" t="inlineStr">
        <is>
          <t>16). 기초지정</t>
        </is>
      </c>
    </row>
    <row r="155" ht="24" customHeight="1" s="34">
      <c r="A155" s="40" t="inlineStr">
        <is>
          <t>05 회전교차로</t>
        </is>
      </c>
      <c r="B155" s="41" t="inlineStr">
        <is>
          <t>4. 구조물공</t>
        </is>
      </c>
      <c r="C155" s="41" t="n">
        <v>17</v>
      </c>
      <c r="D155" s="41" t="inlineStr">
        <is>
          <t>가). 철근운반비</t>
        </is>
      </c>
      <c r="E155" s="41" t="inlineStr">
        <is>
          <t>L=10km이내</t>
        </is>
      </c>
      <c r="F155" s="41" t="n">
        <v>45.277</v>
      </c>
      <c r="G155" s="41" t="inlineStr">
        <is>
          <t>Ton</t>
        </is>
      </c>
      <c r="H155" s="41" t="n"/>
      <c r="I155" s="42">
        <f>F155*H155</f>
        <v/>
      </c>
      <c r="J155" s="41" t="n"/>
      <c r="K155" s="42">
        <f>F155*J155</f>
        <v/>
      </c>
      <c r="L155" s="41" t="n">
        <v>30000</v>
      </c>
      <c r="M155" s="42">
        <f>F155*L155</f>
        <v/>
      </c>
      <c r="N155" s="42">
        <f>H155+J155+L155</f>
        <v/>
      </c>
      <c r="O155" s="43">
        <f>I155+K155+M155</f>
        <v/>
      </c>
      <c r="P155" t="inlineStr">
        <is>
          <t>가영현</t>
        </is>
      </c>
      <c r="Q155" t="inlineStr">
        <is>
          <t>L=10km이내, ... 가). 철근운반비</t>
        </is>
      </c>
    </row>
    <row r="156" ht="24" customHeight="1" s="34">
      <c r="A156" s="40" t="inlineStr">
        <is>
          <t>05 회전교차로</t>
        </is>
      </c>
      <c r="B156" s="41" t="inlineStr">
        <is>
          <t>4. 구조물공</t>
        </is>
      </c>
      <c r="C156" s="41" t="n">
        <v>18</v>
      </c>
      <c r="D156" s="41" t="inlineStr">
        <is>
          <t>나). 고철(고재)</t>
        </is>
      </c>
      <c r="E156" s="41" t="inlineStr">
        <is>
          <t>중량A</t>
        </is>
      </c>
      <c r="F156" s="41" t="n">
        <v>0.923</v>
      </c>
      <c r="G156" s="41" t="inlineStr">
        <is>
          <t>Ton</t>
        </is>
      </c>
      <c r="H156" s="41" t="n">
        <v>-10000</v>
      </c>
      <c r="I156" s="42">
        <f>F156*H156</f>
        <v/>
      </c>
      <c r="J156" s="41" t="n"/>
      <c r="K156" s="42">
        <f>F156*J156</f>
        <v/>
      </c>
      <c r="L156" s="41" t="n"/>
      <c r="M156" s="42">
        <f>F156*L156</f>
        <v/>
      </c>
      <c r="N156" s="42">
        <f>H156+J156+L156</f>
        <v/>
      </c>
      <c r="O156" s="43">
        <f>I156+K156+M156</f>
        <v/>
      </c>
      <c r="P156" t="inlineStr">
        <is>
          <t>가영현</t>
        </is>
      </c>
      <c r="Q156" t="inlineStr">
        <is>
          <t>중량A, 고재, ... 나). 고철</t>
        </is>
      </c>
    </row>
    <row r="157" ht="24" customHeight="1" s="34">
      <c r="A157" s="40" t="inlineStr">
        <is>
          <t>05 회전교차로</t>
        </is>
      </c>
      <c r="B157" s="41" t="inlineStr">
        <is>
          <t>4. 구조물공</t>
        </is>
      </c>
      <c r="C157" s="41" t="n">
        <v>19</v>
      </c>
      <c r="D157" s="41" t="inlineStr">
        <is>
          <t>가). 레미콘</t>
        </is>
      </c>
      <c r="E157" s="41" t="inlineStr">
        <is>
          <t>25-24-12(Mpa)</t>
        </is>
      </c>
      <c r="F157" s="41" t="n">
        <v>512</v>
      </c>
      <c r="G157" s="41" t="inlineStr">
        <is>
          <t>㎥</t>
        </is>
      </c>
      <c r="H157" s="42" t="n">
        <v>1293</v>
      </c>
      <c r="I157" s="42">
        <f>F157*H157</f>
        <v/>
      </c>
      <c r="J157" s="42" t="n">
        <v>64674</v>
      </c>
      <c r="K157" s="42">
        <f>F157*J157</f>
        <v/>
      </c>
      <c r="L157" s="42" t="n">
        <v>0</v>
      </c>
      <c r="M157" s="42">
        <f>F157*L157</f>
        <v/>
      </c>
      <c r="N157" s="42">
        <f>H157+J157+L157</f>
        <v/>
      </c>
      <c r="O157" s="43">
        <f>I157+K157+M157</f>
        <v/>
      </c>
      <c r="Q157" t="inlineStr">
        <is>
          <t>표준DB CUG30401000S (점수0.55) / 대안: 레미콘타설(0.55) · 레미콘타설(0.55)</t>
        </is>
      </c>
    </row>
    <row r="158" ht="24" customHeight="1" s="34">
      <c r="A158" s="40" t="inlineStr">
        <is>
          <t>05 회전교차로</t>
        </is>
      </c>
      <c r="B158" s="41" t="inlineStr">
        <is>
          <t>4. 구조물공</t>
        </is>
      </c>
      <c r="C158" s="41" t="n">
        <v>20</v>
      </c>
      <c r="D158" s="41" t="inlineStr">
        <is>
          <t>나). 레미콘</t>
        </is>
      </c>
      <c r="E158" s="41" t="inlineStr">
        <is>
          <t>25-21-8(Mpa)</t>
        </is>
      </c>
      <c r="F158" s="41" t="n">
        <v>71</v>
      </c>
      <c r="G158" s="41" t="inlineStr">
        <is>
          <t>㎥</t>
        </is>
      </c>
      <c r="H158" s="42" t="n">
        <v>1293</v>
      </c>
      <c r="I158" s="42">
        <f>F158*H158</f>
        <v/>
      </c>
      <c r="J158" s="42" t="n">
        <v>64674</v>
      </c>
      <c r="K158" s="42">
        <f>F158*J158</f>
        <v/>
      </c>
      <c r="L158" s="42" t="n">
        <v>0</v>
      </c>
      <c r="M158" s="42">
        <f>F158*L158</f>
        <v/>
      </c>
      <c r="N158" s="42">
        <f>H158+J158+L158</f>
        <v/>
      </c>
      <c r="O158" s="43">
        <f>I158+K158+M158</f>
        <v/>
      </c>
      <c r="Q158" t="inlineStr">
        <is>
          <t>표준DB CUG30401000S (점수0.55) / 대안: 레미콘타설(0.55) · 레미콘타설(0.55)</t>
        </is>
      </c>
    </row>
    <row r="159" ht="24" customHeight="1" s="34">
      <c r="A159" s="40" t="inlineStr">
        <is>
          <t>05 회전교차로</t>
        </is>
      </c>
      <c r="B159" s="41" t="inlineStr">
        <is>
          <t>4. 구조물공</t>
        </is>
      </c>
      <c r="C159" s="41" t="n">
        <v>21</v>
      </c>
      <c r="D159" s="41" t="inlineStr">
        <is>
          <t>다). 잡석</t>
        </is>
      </c>
      <c r="E159" s="41" t="inlineStr">
        <is>
          <t>Φ80mm이하, 현장도착도</t>
        </is>
      </c>
      <c r="F159" s="41" t="n">
        <v>160</v>
      </c>
      <c r="G159" s="41" t="inlineStr">
        <is>
          <t>㎥</t>
        </is>
      </c>
      <c r="H159" s="42" t="n">
        <v>0</v>
      </c>
      <c r="I159" s="42">
        <f>F159*H159</f>
        <v/>
      </c>
      <c r="J159" s="42" t="n">
        <v>4036</v>
      </c>
      <c r="K159" s="42">
        <f>F159*J159</f>
        <v/>
      </c>
      <c r="L159" s="42" t="n">
        <v>947</v>
      </c>
      <c r="M159" s="42">
        <f>F159*L159</f>
        <v/>
      </c>
      <c r="N159" s="42">
        <f>H159+J159+L159</f>
        <v/>
      </c>
      <c r="O159" s="43">
        <f>I159+K159+M159</f>
        <v/>
      </c>
      <c r="Q159" t="inlineStr">
        <is>
          <t>표준DB 4. 조경 유지관리 외 (점수0.53) / 대안: 천단잡석부설(0.48) · 뒷채움 잡석(0.47)</t>
        </is>
      </c>
    </row>
    <row r="160" ht="24" customHeight="1" s="34">
      <c r="A160" s="40" t="inlineStr">
        <is>
          <t>05 회전교차로</t>
        </is>
      </c>
      <c r="B160" s="41" t="inlineStr">
        <is>
          <t>4. 구조물공</t>
        </is>
      </c>
      <c r="C160" s="41" t="n">
        <v>22</v>
      </c>
      <c r="D160" s="41" t="inlineStr">
        <is>
          <t>라). 이형철근(고장력철근)</t>
        </is>
      </c>
      <c r="E160" s="41" t="inlineStr">
        <is>
          <t>HD13M/M 0.995KG/M SD40</t>
        </is>
      </c>
      <c r="F160" s="41" t="n">
        <v>43.047</v>
      </c>
      <c r="G160" s="41" t="inlineStr">
        <is>
          <t>TON</t>
        </is>
      </c>
      <c r="H160" s="42" t="n">
        <v>952000</v>
      </c>
      <c r="I160" s="42">
        <f>F160*H160</f>
        <v/>
      </c>
      <c r="J160" s="42" t="n">
        <v>0</v>
      </c>
      <c r="K160" s="42">
        <f>F160*J160</f>
        <v/>
      </c>
      <c r="L160" s="42" t="n">
        <v>0</v>
      </c>
      <c r="M160" s="42">
        <f>F160*L160</f>
        <v/>
      </c>
      <c r="N160" s="42">
        <f>H160+J160+L160</f>
        <v/>
      </c>
      <c r="O160" s="43">
        <f>I160+K160+M160</f>
        <v/>
      </c>
      <c r="Q160" t="inlineStr">
        <is>
          <t>라). 이형철근</t>
        </is>
      </c>
    </row>
    <row r="161" ht="24" customHeight="1" s="34">
      <c r="A161" s="40" t="inlineStr">
        <is>
          <t>05 회전교차로</t>
        </is>
      </c>
      <c r="B161" s="41" t="inlineStr">
        <is>
          <t>4. 구조물공</t>
        </is>
      </c>
      <c r="C161" s="41" t="n">
        <v>23</v>
      </c>
      <c r="D161" s="41" t="inlineStr">
        <is>
          <t>마). 이형철근(고장력철근)</t>
        </is>
      </c>
      <c r="E161" s="41" t="inlineStr">
        <is>
          <t>HD16M/M 1.560KG/M SD40</t>
        </is>
      </c>
      <c r="F161" s="41" t="n">
        <v>2.23</v>
      </c>
      <c r="G161" s="41" t="inlineStr">
        <is>
          <t>TON</t>
        </is>
      </c>
      <c r="H161" s="42" t="n">
        <v>952000</v>
      </c>
      <c r="I161" s="42">
        <f>F161*H161</f>
        <v/>
      </c>
      <c r="J161" s="42" t="n">
        <v>0</v>
      </c>
      <c r="K161" s="42">
        <f>F161*J161</f>
        <v/>
      </c>
      <c r="L161" s="42" t="n">
        <v>0</v>
      </c>
      <c r="M161" s="42">
        <f>F161*L161</f>
        <v/>
      </c>
      <c r="N161" s="42">
        <f>H161+J161+L161</f>
        <v/>
      </c>
      <c r="O161" s="43">
        <f>I161+K161+M161</f>
        <v/>
      </c>
      <c r="Q161" t="inlineStr">
        <is>
          <t>마). 이형철근</t>
        </is>
      </c>
    </row>
    <row r="162" ht="24" customHeight="1" s="34">
      <c r="A162" s="44" t="inlineStr">
        <is>
          <t>05 회전교차로</t>
        </is>
      </c>
      <c r="B162" s="45" t="inlineStr">
        <is>
          <t>4. 구조물공</t>
        </is>
      </c>
      <c r="C162" s="45" t="n"/>
      <c r="D162" s="45" t="inlineStr">
        <is>
          <t>★ 4. 구조물공 소계</t>
        </is>
      </c>
      <c r="E162" s="45" t="n"/>
      <c r="F162" s="45" t="n"/>
      <c r="G162" s="45" t="n"/>
      <c r="H162" s="45" t="n"/>
      <c r="I162" s="46">
        <f>SUM(I139:I161)</f>
        <v/>
      </c>
      <c r="J162" s="45" t="n"/>
      <c r="K162" s="46">
        <f>SUM(K139:K161)</f>
        <v/>
      </c>
      <c r="L162" s="45" t="n"/>
      <c r="M162" s="46">
        <f>SUM(M139:M161)</f>
        <v/>
      </c>
      <c r="N162" s="45" t="n"/>
      <c r="O162" s="47">
        <f>SUM(O139:O161)</f>
        <v/>
      </c>
      <c r="P162" s="15" t="n"/>
      <c r="Q162" s="15" t="inlineStr">
        <is>
          <t>23건</t>
        </is>
      </c>
    </row>
    <row r="163" ht="24" customHeight="1" s="34">
      <c r="A163" s="40" t="inlineStr">
        <is>
          <t>05 회전교차로</t>
        </is>
      </c>
      <c r="B163" s="41" t="inlineStr">
        <is>
          <t>5. 부 대 공</t>
        </is>
      </c>
      <c r="C163" s="41" t="n">
        <v>1</v>
      </c>
      <c r="D163" s="41" t="inlineStr">
        <is>
          <t>가). 터파기(토사)</t>
        </is>
      </c>
      <c r="E163" s="41" t="inlineStr">
        <is>
          <t>인력100%</t>
        </is>
      </c>
      <c r="F163" s="41" t="n">
        <v>19</v>
      </c>
      <c r="G163" s="41" t="inlineStr">
        <is>
          <t>㎥</t>
        </is>
      </c>
      <c r="H163" s="42" t="n">
        <v>0</v>
      </c>
      <c r="I163" s="42">
        <f>F163*H163</f>
        <v/>
      </c>
      <c r="J163" s="42" t="n">
        <v>33455</v>
      </c>
      <c r="K163" s="42">
        <f>F163*J163</f>
        <v/>
      </c>
      <c r="L163" s="42" t="n">
        <v>0</v>
      </c>
      <c r="M163" s="42">
        <f>F163*L163</f>
        <v/>
      </c>
      <c r="N163" s="42">
        <f>H163+J163+L163</f>
        <v/>
      </c>
      <c r="O163" s="43">
        <f>I163+K163+M163</f>
        <v/>
      </c>
      <c r="Q163" t="inlineStr">
        <is>
          <t>토사</t>
        </is>
      </c>
    </row>
    <row r="164" ht="24" customHeight="1" s="34">
      <c r="A164" s="40" t="inlineStr">
        <is>
          <t>05 회전교차로</t>
        </is>
      </c>
      <c r="B164" s="41" t="inlineStr">
        <is>
          <t>5. 부 대 공</t>
        </is>
      </c>
      <c r="C164" s="41" t="n">
        <v>2</v>
      </c>
      <c r="D164" s="41" t="inlineStr">
        <is>
          <t>가). 되메우기및다짐</t>
        </is>
      </c>
      <c r="E164" s="41" t="inlineStr">
        <is>
          <t>인력100%</t>
        </is>
      </c>
      <c r="F164" s="41" t="n">
        <v>14</v>
      </c>
      <c r="G164" s="41" t="inlineStr">
        <is>
          <t>㎥</t>
        </is>
      </c>
      <c r="H164" s="42" t="n">
        <v>608</v>
      </c>
      <c r="I164" s="42">
        <f>F164*H164</f>
        <v/>
      </c>
      <c r="J164" s="42" t="n">
        <v>9980</v>
      </c>
      <c r="K164" s="42">
        <f>F164*J164</f>
        <v/>
      </c>
      <c r="L164" s="42" t="n">
        <v>440</v>
      </c>
      <c r="M164" s="42">
        <f>F164*L164</f>
        <v/>
      </c>
      <c r="N164" s="42">
        <f>H164+J164+L164</f>
        <v/>
      </c>
      <c r="O164" s="43">
        <f>I164+K164+M164</f>
        <v/>
      </c>
      <c r="Q164" t="inlineStr">
        <is>
          <t>가). 되메우기및다짐</t>
        </is>
      </c>
    </row>
    <row r="165" ht="24" customHeight="1" s="34">
      <c r="A165" s="40" t="inlineStr">
        <is>
          <t>05 회전교차로</t>
        </is>
      </c>
      <c r="B165" s="41" t="inlineStr">
        <is>
          <t>5. 부 대 공</t>
        </is>
      </c>
      <c r="C165" s="41" t="n">
        <v>3</v>
      </c>
      <c r="D165" s="41" t="inlineStr">
        <is>
          <t>가). 잔토처리(토사)</t>
        </is>
      </c>
      <c r="E165" s="41" t="inlineStr">
        <is>
          <t>기계100%</t>
        </is>
      </c>
      <c r="F165" s="41" t="n">
        <v>5</v>
      </c>
      <c r="G165" s="41" t="inlineStr">
        <is>
          <t>㎥</t>
        </is>
      </c>
      <c r="H165" s="42" t="n">
        <v>447</v>
      </c>
      <c r="I165" s="42">
        <f>F165*H165</f>
        <v/>
      </c>
      <c r="J165" s="42" t="n">
        <v>955</v>
      </c>
      <c r="K165" s="42">
        <f>F165*J165</f>
        <v/>
      </c>
      <c r="L165" s="42" t="n">
        <v>336</v>
      </c>
      <c r="M165" s="42">
        <f>F165*L165</f>
        <v/>
      </c>
      <c r="N165" s="42">
        <f>H165+J165+L165</f>
        <v/>
      </c>
      <c r="O165" s="43">
        <f>I165+K165+M165</f>
        <v/>
      </c>
      <c r="Q165" t="inlineStr">
        <is>
          <t>토사</t>
        </is>
      </c>
    </row>
    <row r="166" ht="24" customHeight="1" s="34">
      <c r="A166" s="44" t="inlineStr">
        <is>
          <t>05 회전교차로</t>
        </is>
      </c>
      <c r="B166" s="45" t="inlineStr">
        <is>
          <t>5. 부 대 공</t>
        </is>
      </c>
      <c r="C166" s="45" t="n"/>
      <c r="D166" s="45" t="inlineStr">
        <is>
          <t>★ 5. 부 대 공 소계</t>
        </is>
      </c>
      <c r="E166" s="45" t="n"/>
      <c r="F166" s="45" t="n"/>
      <c r="G166" s="45" t="n"/>
      <c r="H166" s="45" t="n"/>
      <c r="I166" s="46">
        <f>SUM(I163:I165)</f>
        <v/>
      </c>
      <c r="J166" s="45" t="n"/>
      <c r="K166" s="46">
        <f>SUM(K163:K165)</f>
        <v/>
      </c>
      <c r="L166" s="45" t="n"/>
      <c r="M166" s="46">
        <f>SUM(M163:M165)</f>
        <v/>
      </c>
      <c r="N166" s="45" t="n"/>
      <c r="O166" s="47">
        <f>SUM(O163:O165)</f>
        <v/>
      </c>
      <c r="P166" s="15" t="n"/>
      <c r="Q166" s="15" t="inlineStr">
        <is>
          <t>3건</t>
        </is>
      </c>
    </row>
    <row r="167" ht="24" customHeight="1" s="34">
      <c r="A167" s="40" t="inlineStr">
        <is>
          <t>05 회전교차로</t>
        </is>
      </c>
      <c r="B167" s="41" t="inlineStr">
        <is>
          <t>가). 중기운반비</t>
        </is>
      </c>
      <c r="C167" s="41" t="n">
        <v>1</v>
      </c>
      <c r="D167" s="41" t="inlineStr">
        <is>
          <t>▣ 안전관리비</t>
        </is>
      </c>
      <c r="E167" s="41" t="n"/>
      <c r="F167" s="41" t="n">
        <v>1</v>
      </c>
      <c r="G167" s="41" t="inlineStr">
        <is>
          <t>P.S</t>
        </is>
      </c>
      <c r="H167" s="41" t="n"/>
      <c r="I167" s="42">
        <f>F167*H167</f>
        <v/>
      </c>
      <c r="J167" s="41" t="n"/>
      <c r="K167" s="42">
        <f>F167*J167</f>
        <v/>
      </c>
      <c r="L167" s="41" t="n">
        <v>2500000</v>
      </c>
      <c r="M167" s="42">
        <f>F167*L167</f>
        <v/>
      </c>
      <c r="N167" s="42">
        <f>H167+J167+L167</f>
        <v/>
      </c>
      <c r="O167" s="43">
        <f>I167+K167+M167</f>
        <v/>
      </c>
      <c r="P167" t="inlineStr">
        <is>
          <t>가영현</t>
        </is>
      </c>
      <c r="Q167" t="inlineStr">
        <is>
          <t>▣ 안전관리비</t>
        </is>
      </c>
    </row>
    <row r="168" ht="24" customHeight="1" s="34">
      <c r="A168" s="40" t="inlineStr">
        <is>
          <t>05 회전교차로</t>
        </is>
      </c>
      <c r="B168" s="41" t="inlineStr">
        <is>
          <t>가). 중기운반비</t>
        </is>
      </c>
      <c r="C168" s="41" t="n">
        <v>2</v>
      </c>
      <c r="D168" s="41" t="inlineStr">
        <is>
          <t>1). 안전관리계획작성 및 검토비</t>
        </is>
      </c>
      <c r="E168" s="41" t="n"/>
      <c r="F168" s="41" t="n">
        <v>1</v>
      </c>
      <c r="G168" s="41" t="inlineStr">
        <is>
          <t>P.S</t>
        </is>
      </c>
      <c r="H168" s="41" t="n"/>
      <c r="I168" s="42">
        <f>F168*H168</f>
        <v/>
      </c>
      <c r="J168" s="41" t="n"/>
      <c r="K168" s="42">
        <f>F168*J168</f>
        <v/>
      </c>
      <c r="L168" s="41" t="n">
        <v>2500000</v>
      </c>
      <c r="M168" s="42">
        <f>F168*L168</f>
        <v/>
      </c>
      <c r="N168" s="42">
        <f>H168+J168+L168</f>
        <v/>
      </c>
      <c r="O168" s="43">
        <f>I168+K168+M168</f>
        <v/>
      </c>
      <c r="P168" t="inlineStr">
        <is>
          <t>가영현</t>
        </is>
      </c>
      <c r="Q168" t="inlineStr">
        <is>
          <t>1). 안전관리계획작성 및 검토비, .. 1). 안전관리계획작성, 검토비</t>
        </is>
      </c>
    </row>
    <row r="169" ht="24" customHeight="1" s="34">
      <c r="A169" s="40" t="inlineStr">
        <is>
          <t>05 회전교차로</t>
        </is>
      </c>
      <c r="B169" s="41" t="inlineStr">
        <is>
          <t>가). 중기운반비</t>
        </is>
      </c>
      <c r="C169" s="41" t="n">
        <v>3</v>
      </c>
      <c r="D169" s="41" t="inlineStr">
        <is>
          <t>2). 안전점검비</t>
        </is>
      </c>
      <c r="E169" s="41" t="n"/>
      <c r="F169" s="41" t="n">
        <v>1</v>
      </c>
      <c r="G169" s="41" t="inlineStr">
        <is>
          <t>P.S</t>
        </is>
      </c>
      <c r="H169" s="41" t="n"/>
      <c r="I169" s="42">
        <f>F169*H169</f>
        <v/>
      </c>
      <c r="J169" s="41" t="n"/>
      <c r="K169" s="42">
        <f>F169*J169</f>
        <v/>
      </c>
      <c r="L169" s="41" t="n">
        <v>2500000</v>
      </c>
      <c r="M169" s="42">
        <f>F169*L169</f>
        <v/>
      </c>
      <c r="N169" s="42">
        <f>H169+J169+L169</f>
        <v/>
      </c>
      <c r="O169" s="43">
        <f>I169+K169+M169</f>
        <v/>
      </c>
      <c r="P169" t="inlineStr">
        <is>
          <t>가영현</t>
        </is>
      </c>
      <c r="Q169" t="inlineStr">
        <is>
          <t>2). 안전점검비</t>
        </is>
      </c>
    </row>
    <row r="170" ht="24" customHeight="1" s="34">
      <c r="A170" s="44" t="inlineStr">
        <is>
          <t>05 회전교차로</t>
        </is>
      </c>
      <c r="B170" s="45" t="inlineStr">
        <is>
          <t>가). 중기운반비</t>
        </is>
      </c>
      <c r="C170" s="45" t="n"/>
      <c r="D170" s="45" t="inlineStr">
        <is>
          <t>★ ... 가). 중기운반비 소계</t>
        </is>
      </c>
      <c r="E170" s="45" t="n"/>
      <c r="F170" s="45" t="n"/>
      <c r="G170" s="45" t="n"/>
      <c r="H170" s="45" t="n"/>
      <c r="I170" s="46">
        <f>SUM(I167:I169)</f>
        <v/>
      </c>
      <c r="J170" s="45" t="n"/>
      <c r="K170" s="46">
        <f>SUM(K167:K169)</f>
        <v/>
      </c>
      <c r="L170" s="45" t="n"/>
      <c r="M170" s="46">
        <f>SUM(M167:M169)</f>
        <v/>
      </c>
      <c r="N170" s="45" t="n"/>
      <c r="O170" s="47">
        <f>SUM(O167:O169)</f>
        <v/>
      </c>
      <c r="P170" s="15" t="n"/>
      <c r="Q170" s="15" t="inlineStr">
        <is>
          <t>3건</t>
        </is>
      </c>
    </row>
    <row r="171" ht="24" customHeight="1" s="34">
      <c r="A171" s="40" t="inlineStr">
        <is>
          <t>05 회전교차로</t>
        </is>
      </c>
      <c r="B171" s="41" t="inlineStr">
        <is>
          <t>▣ 품질관리비</t>
        </is>
      </c>
      <c r="C171" s="41" t="n">
        <v>1</v>
      </c>
      <c r="D171" s="41" t="inlineStr">
        <is>
          <t>1). 품질시험</t>
        </is>
      </c>
      <c r="E171" s="41" t="n"/>
      <c r="F171" s="41" t="n">
        <v>1</v>
      </c>
      <c r="G171" s="41" t="inlineStr">
        <is>
          <t>sum</t>
        </is>
      </c>
      <c r="H171" s="41" t="n"/>
      <c r="I171" s="42">
        <f>F171*H171</f>
        <v/>
      </c>
      <c r="J171" s="41" t="n"/>
      <c r="K171" s="42">
        <f>F171*J171</f>
        <v/>
      </c>
      <c r="L171" s="41" t="n"/>
      <c r="M171" s="42">
        <f>F171*L171</f>
        <v/>
      </c>
      <c r="N171" s="42">
        <f>H171+J171+L171</f>
        <v/>
      </c>
      <c r="O171" s="43">
        <f>I171+K171+M171</f>
        <v/>
      </c>
      <c r="P171" t="inlineStr">
        <is>
          <t>미매칭</t>
        </is>
      </c>
      <c r="Q171" t="inlineStr">
        <is>
          <t>1). 품질시험</t>
        </is>
      </c>
    </row>
    <row r="172" ht="24" customHeight="1" s="34">
      <c r="A172" s="44" t="inlineStr">
        <is>
          <t>05 회전교차로</t>
        </is>
      </c>
      <c r="B172" s="45" t="inlineStr">
        <is>
          <t>▣ 품질관리비</t>
        </is>
      </c>
      <c r="C172" s="45" t="n"/>
      <c r="D172" s="45" t="inlineStr">
        <is>
          <t>★ ▣ 품질관리비 소계</t>
        </is>
      </c>
      <c r="E172" s="45" t="n"/>
      <c r="F172" s="45" t="n"/>
      <c r="G172" s="45" t="n"/>
      <c r="H172" s="45" t="n"/>
      <c r="I172" s="46">
        <f>SUM(I171:I171)</f>
        <v/>
      </c>
      <c r="J172" s="45" t="n"/>
      <c r="K172" s="46">
        <f>SUM(K171:K171)</f>
        <v/>
      </c>
      <c r="L172" s="45" t="n"/>
      <c r="M172" s="46">
        <f>SUM(M171:M171)</f>
        <v/>
      </c>
      <c r="N172" s="45" t="n"/>
      <c r="O172" s="47">
        <f>SUM(O171:O171)</f>
        <v/>
      </c>
      <c r="P172" s="15" t="n"/>
      <c r="Q172" s="15" t="inlineStr">
        <is>
          <t>1건</t>
        </is>
      </c>
    </row>
    <row r="173" ht="24" customHeight="1" s="34">
      <c r="A173" s="49" t="n"/>
      <c r="B173" s="50" t="n"/>
      <c r="C173" s="50" t="n"/>
      <c r="D173" s="50" t="inlineStr">
        <is>
          <t>★ 회전교차로 내역 합계</t>
        </is>
      </c>
      <c r="E173" s="50" t="n"/>
      <c r="F173" s="50" t="n"/>
      <c r="G173" s="50" t="n"/>
      <c r="H173" s="50" t="n"/>
      <c r="I173" s="51">
        <f>SUMIF(C18:C172,"&lt;&gt;",I18:I172)</f>
        <v/>
      </c>
      <c r="J173" s="50" t="n"/>
      <c r="K173" s="51">
        <f>SUMIF(C18:C172,"&lt;&gt;",K18:K172)</f>
        <v/>
      </c>
      <c r="L173" s="50" t="n"/>
      <c r="M173" s="51">
        <f>SUMIF(C18:C172,"&lt;&gt;",M18:M172)</f>
        <v/>
      </c>
      <c r="N173" s="50" t="n"/>
      <c r="O173" s="52">
        <f>SUMIF(C18:C172,"&lt;&gt;",O18:O172)</f>
        <v/>
      </c>
      <c r="P173" s="4" t="n"/>
      <c r="Q173" s="4" t="inlineStr">
        <is>
          <t>No&lt;&gt;인 행 합산</t>
        </is>
      </c>
    </row>
  </sheetData>
  <mergeCells count="1">
    <mergeCell ref="A1:O1"/>
  </mergeCells>
  <pageMargins left="0.3937007874015748" right="0.3937007874015748" top="0.5905511811023623" bottom="0.3937007874015748" header="0.5118110236220472" footer="0.5118110236220472"/>
  <pageSetup orientation="landscape" paperSize="9" scale="43"/>
  <colBreaks count="1" manualBreakCount="1">
    <brk id="15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0"/>
  <sheetViews>
    <sheetView view="pageBreakPreview" zoomScale="60" zoomScaleNormal="100" workbookViewId="0">
      <pane ySplit="18" topLeftCell="A19" activePane="bottomLeft" state="frozen"/>
      <selection activeCell="B3" sqref="B3"/>
      <selection pane="bottomLeft" activeCell="Q7" sqref="Q7"/>
    </sheetView>
  </sheetViews>
  <sheetFormatPr baseColWidth="8" defaultRowHeight="16.5"/>
  <cols>
    <col width="27" bestFit="1" customWidth="1" style="34" min="1" max="1"/>
    <col width="20" bestFit="1" customWidth="1" style="34" min="2" max="2"/>
    <col width="20" bestFit="1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7"/>
    <col width="14" bestFit="1" customWidth="1" style="34" min="8" max="11"/>
    <col width="15" customWidth="1" style="34" min="9" max="9"/>
    <col width="14" customWidth="1" style="34" min="10" max="10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진입도로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04</t>
        </is>
      </c>
      <c r="B4" t="inlineStr">
        <is>
          <t>04 진입도로</t>
        </is>
      </c>
      <c r="C4" t="inlineStr">
        <is>
          <t>9. 산업안전보건관리비</t>
        </is>
      </c>
      <c r="D4" t="n">
        <v>0</v>
      </c>
      <c r="E4" t="n">
        <v>1</v>
      </c>
      <c r="F4" s="61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4" t="n">
        <v>0</v>
      </c>
    </row>
    <row r="5" ht="24" customHeight="1" s="34">
      <c r="A5" t="inlineStr">
        <is>
          <t>04</t>
        </is>
      </c>
      <c r="B5" t="inlineStr">
        <is>
          <t>04 진입도로</t>
        </is>
      </c>
      <c r="C5" t="inlineStr">
        <is>
          <t>1. 토 공</t>
        </is>
      </c>
      <c r="D5" t="n">
        <v>19</v>
      </c>
      <c r="E5" t="n">
        <v>19</v>
      </c>
      <c r="F5" s="61" t="n">
        <v>1</v>
      </c>
      <c r="G5" s="3" t="n">
        <v>20465208</v>
      </c>
      <c r="H5" s="3" t="n">
        <v>65102573</v>
      </c>
      <c r="I5" s="3" t="n">
        <v>25173284</v>
      </c>
      <c r="J5" s="3" t="n">
        <v>110741065</v>
      </c>
      <c r="K5" s="14" t="n">
        <v>1.10741065</v>
      </c>
    </row>
    <row r="6" ht="24" customHeight="1" s="34">
      <c r="A6" t="inlineStr">
        <is>
          <t>04</t>
        </is>
      </c>
      <c r="B6" t="inlineStr">
        <is>
          <t>04 진입도로</t>
        </is>
      </c>
      <c r="C6" t="inlineStr">
        <is>
          <t>2. 우 수 공</t>
        </is>
      </c>
      <c r="D6" t="n">
        <v>26</v>
      </c>
      <c r="E6" t="n">
        <v>28</v>
      </c>
      <c r="F6" s="61" t="n">
        <v>0.9285714285714286</v>
      </c>
      <c r="G6" s="3" t="n">
        <v>11851285</v>
      </c>
      <c r="H6" s="3" t="n">
        <v>79191767</v>
      </c>
      <c r="I6" s="3" t="n">
        <v>8862011</v>
      </c>
      <c r="J6" s="3" t="n">
        <v>99905063</v>
      </c>
      <c r="K6" s="14" t="n">
        <v>0.9990506300000001</v>
      </c>
    </row>
    <row r="7" ht="24" customHeight="1" s="34">
      <c r="A7" t="inlineStr">
        <is>
          <t>04</t>
        </is>
      </c>
      <c r="B7" t="inlineStr">
        <is>
          <t>04 진입도로</t>
        </is>
      </c>
      <c r="C7" t="inlineStr">
        <is>
          <t>3. 상 수 공</t>
        </is>
      </c>
      <c r="D7" t="n">
        <v>17</v>
      </c>
      <c r="E7" t="n">
        <v>19</v>
      </c>
      <c r="F7" s="61" t="n">
        <v>0.8947368421052632</v>
      </c>
      <c r="G7" s="3" t="n">
        <v>885328</v>
      </c>
      <c r="H7" s="3" t="n">
        <v>20516305</v>
      </c>
      <c r="I7" s="3" t="n">
        <v>467412</v>
      </c>
      <c r="J7" s="3" t="n">
        <v>21869045</v>
      </c>
      <c r="K7" s="14" t="n">
        <v>0.21869045</v>
      </c>
    </row>
    <row r="8" ht="24" customHeight="1" s="34">
      <c r="A8" t="inlineStr">
        <is>
          <t>04</t>
        </is>
      </c>
      <c r="B8" t="inlineStr">
        <is>
          <t>04 진입도로</t>
        </is>
      </c>
      <c r="C8" t="inlineStr">
        <is>
          <t>4. 포 장 공</t>
        </is>
      </c>
      <c r="D8" t="n">
        <v>50</v>
      </c>
      <c r="E8" t="n">
        <v>56</v>
      </c>
      <c r="F8" s="61" t="n">
        <v>0.8928571428571429</v>
      </c>
      <c r="G8" s="3" t="n">
        <v>16880940</v>
      </c>
      <c r="H8" s="3" t="n">
        <v>108358542</v>
      </c>
      <c r="I8" s="3" t="n">
        <v>9375195</v>
      </c>
      <c r="J8" s="3" t="n">
        <v>134614677</v>
      </c>
      <c r="K8" s="14" t="n">
        <v>1.34614677</v>
      </c>
    </row>
    <row r="9" ht="24" customHeight="1" s="34">
      <c r="A9" t="inlineStr">
        <is>
          <t>04</t>
        </is>
      </c>
      <c r="B9" t="inlineStr">
        <is>
          <t>04 진입도로</t>
        </is>
      </c>
      <c r="C9" t="inlineStr">
        <is>
          <t>5. 구조물공</t>
        </is>
      </c>
      <c r="D9" t="n">
        <v>20</v>
      </c>
      <c r="E9" t="n">
        <v>22</v>
      </c>
      <c r="F9" s="61" t="n">
        <v>0.9090909090909091</v>
      </c>
      <c r="G9" s="3" t="n">
        <v>34341715.64</v>
      </c>
      <c r="H9" s="3" t="n">
        <v>127794012.21</v>
      </c>
      <c r="I9" s="3" t="n">
        <v>2289132</v>
      </c>
      <c r="J9" s="3" t="n">
        <v>164424859.85</v>
      </c>
      <c r="K9" s="14" t="n">
        <v>1.6442485985</v>
      </c>
    </row>
    <row r="10" ht="24" customHeight="1" s="34">
      <c r="A10" t="inlineStr">
        <is>
          <t>04</t>
        </is>
      </c>
      <c r="B10" t="inlineStr">
        <is>
          <t>04 진입도로</t>
        </is>
      </c>
      <c r="C10" t="inlineStr">
        <is>
          <t>6. 부 대 공</t>
        </is>
      </c>
      <c r="D10" t="n">
        <v>3</v>
      </c>
      <c r="E10" t="n">
        <v>3</v>
      </c>
      <c r="F10" s="61" t="n">
        <v>1</v>
      </c>
      <c r="G10" s="3" t="n">
        <v>10747</v>
      </c>
      <c r="H10" s="3" t="n">
        <v>780140</v>
      </c>
      <c r="I10" s="3" t="n">
        <v>7840</v>
      </c>
      <c r="J10" s="3" t="n">
        <v>798727</v>
      </c>
      <c r="K10" s="14" t="n">
        <v>0.007987269999999999</v>
      </c>
    </row>
    <row r="11" ht="24" customHeight="1" s="34">
      <c r="A11" t="inlineStr">
        <is>
          <t>04</t>
        </is>
      </c>
      <c r="B11" t="inlineStr">
        <is>
          <t>04 진입도로</t>
        </is>
      </c>
      <c r="C11" t="inlineStr">
        <is>
          <t>가). 중기운반비</t>
        </is>
      </c>
      <c r="D11" t="n">
        <v>0</v>
      </c>
      <c r="E11" t="n">
        <v>3</v>
      </c>
      <c r="F11" s="6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14" t="n">
        <v>0</v>
      </c>
    </row>
    <row r="12" ht="24" customHeight="1" s="34">
      <c r="A12" t="inlineStr">
        <is>
          <t>04</t>
        </is>
      </c>
      <c r="B12" t="inlineStr">
        <is>
          <t>04 진입도로</t>
        </is>
      </c>
      <c r="C12" t="inlineStr">
        <is>
          <t>▣ 품질관리비</t>
        </is>
      </c>
      <c r="D12" t="n">
        <v>0</v>
      </c>
      <c r="E12" t="n">
        <v>1</v>
      </c>
      <c r="F12" s="61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4" t="n">
        <v>0</v>
      </c>
    </row>
    <row r="13" ht="24" customHeight="1" s="34">
      <c r="A13" s="15" t="inlineStr">
        <is>
          <t>04</t>
        </is>
      </c>
      <c r="B13" s="15" t="inlineStr">
        <is>
          <t>04 진입도로</t>
        </is>
      </c>
      <c r="C13" s="15" t="inlineStr">
        <is>
          <t>★ 04 진입도로 소계</t>
        </is>
      </c>
      <c r="D13" s="15" t="n">
        <v>135</v>
      </c>
      <c r="E13" s="15" t="n">
        <v>152</v>
      </c>
      <c r="F13" s="63" t="n">
        <v>0.8881578947368421</v>
      </c>
      <c r="G13" s="16" t="n">
        <v>84435223.64</v>
      </c>
      <c r="H13" s="16" t="n">
        <v>401743339.21</v>
      </c>
      <c r="I13" s="16" t="n">
        <v>46174874</v>
      </c>
      <c r="J13" s="16" t="n">
        <v>532353436.85</v>
      </c>
      <c r="K13" s="17" t="n">
        <v>5.3235343685</v>
      </c>
    </row>
    <row r="14" ht="24" customHeight="1" s="34">
      <c r="A14" s="4" t="n"/>
      <c r="B14" s="4" t="inlineStr">
        <is>
          <t>진입도로</t>
        </is>
      </c>
      <c r="C14" s="4" t="inlineStr">
        <is>
          <t>★ 진입도로 합계</t>
        </is>
      </c>
      <c r="D14" s="4" t="n">
        <v>135</v>
      </c>
      <c r="E14" s="4" t="n">
        <v>152</v>
      </c>
      <c r="F14" s="62" t="n">
        <v>0.8881578947368421</v>
      </c>
      <c r="G14" s="5" t="n">
        <v>84435223.64</v>
      </c>
      <c r="H14" s="5" t="n">
        <v>401743339.21</v>
      </c>
      <c r="I14" s="5" t="n">
        <v>46174874</v>
      </c>
      <c r="J14" s="5" t="n">
        <v>532353436.85</v>
      </c>
      <c r="K14" s="22" t="n">
        <v>5.3235343685</v>
      </c>
    </row>
    <row r="15" ht="24" customHeight="1" s="34"/>
    <row r="16" ht="24" customHeight="1" s="34">
      <c r="A16" t="inlineStr">
        <is>
          <t>◆ 진입도로 — 내역 일괄</t>
        </is>
      </c>
    </row>
    <row r="17" ht="24" customHeight="1" s="34"/>
    <row r="18" ht="24" customHeight="1" s="34">
      <c r="A18" s="38" t="inlineStr">
        <is>
          <t>내역서</t>
        </is>
      </c>
      <c r="B18" s="38" t="inlineStr">
        <is>
          <t>공종</t>
        </is>
      </c>
      <c r="C18" s="38" t="inlineStr">
        <is>
          <t>No</t>
        </is>
      </c>
      <c r="D18" s="38" t="inlineStr">
        <is>
          <t>공종명</t>
        </is>
      </c>
      <c r="E18" s="38" t="inlineStr">
        <is>
          <t>규격</t>
        </is>
      </c>
      <c r="F18" s="38" t="inlineStr">
        <is>
          <t>수량</t>
        </is>
      </c>
      <c r="G18" s="38" t="inlineStr">
        <is>
          <t>단위</t>
        </is>
      </c>
      <c r="H18" s="38" t="inlineStr">
        <is>
          <t>재료단가</t>
        </is>
      </c>
      <c r="I18" s="38" t="inlineStr">
        <is>
          <t>재료금액</t>
        </is>
      </c>
      <c r="J18" s="38" t="inlineStr">
        <is>
          <t>노무단가</t>
        </is>
      </c>
      <c r="K18" s="38" t="inlineStr">
        <is>
          <t>노무금액</t>
        </is>
      </c>
      <c r="L18" s="38" t="inlineStr">
        <is>
          <t>경비단가</t>
        </is>
      </c>
      <c r="M18" s="38" t="inlineStr">
        <is>
          <t>경비금액</t>
        </is>
      </c>
      <c r="N18" s="38" t="inlineStr">
        <is>
          <t>합계단가</t>
        </is>
      </c>
      <c r="O18" s="38" t="inlineStr">
        <is>
          <t>합계금액</t>
        </is>
      </c>
      <c r="P18" s="38" t="inlineStr">
        <is>
          <t>상태</t>
        </is>
      </c>
      <c r="Q18" s="38" t="inlineStr">
        <is>
          <t>비고</t>
        </is>
      </c>
    </row>
    <row r="19" ht="24" customHeight="1" s="34">
      <c r="A19" t="inlineStr">
        <is>
          <t>04 진입도로</t>
        </is>
      </c>
      <c r="B19" t="inlineStr">
        <is>
          <t>9. 산업안전보건관리비</t>
        </is>
      </c>
      <c r="C19" t="n">
        <v>1</v>
      </c>
      <c r="D19" t="inlineStr">
        <is>
          <t>10. 안전관리비</t>
        </is>
      </c>
      <c r="F19" t="n">
        <v>1</v>
      </c>
      <c r="G19" t="inlineStr">
        <is>
          <t>P.S</t>
        </is>
      </c>
      <c r="I19" s="3">
        <f>F19*H19</f>
        <v/>
      </c>
      <c r="K19" s="3">
        <f>F19*J19</f>
        <v/>
      </c>
      <c r="M19" s="3">
        <f>F19*L19</f>
        <v/>
      </c>
      <c r="N19" s="3">
        <f>H19+J19+L19</f>
        <v/>
      </c>
      <c r="O19" s="3">
        <f>I19+K19+M19</f>
        <v/>
      </c>
      <c r="P19" t="inlineStr">
        <is>
          <t>미매칭</t>
        </is>
      </c>
      <c r="Q19" t="inlineStr">
        <is>
          <t>안전관리비</t>
        </is>
      </c>
    </row>
    <row r="20" ht="24" customHeight="1" s="34">
      <c r="A20" s="15" t="inlineStr">
        <is>
          <t>04 진입도로</t>
        </is>
      </c>
      <c r="B20" s="15" t="inlineStr">
        <is>
          <t>9. 산업안전보건관리비</t>
        </is>
      </c>
      <c r="C20" s="15" t="n"/>
      <c r="D20" s="15" t="inlineStr">
        <is>
          <t>★ 9. 산업안전보건관리비 소계</t>
        </is>
      </c>
      <c r="E20" s="15" t="n"/>
      <c r="F20" s="15" t="n"/>
      <c r="G20" s="15" t="n"/>
      <c r="H20" s="15" t="n"/>
      <c r="I20" s="16">
        <f>SUM(I19:I19)</f>
        <v/>
      </c>
      <c r="J20" s="15" t="n"/>
      <c r="K20" s="16">
        <f>SUM(K19:K19)</f>
        <v/>
      </c>
      <c r="L20" s="15" t="n"/>
      <c r="M20" s="16">
        <f>SUM(M19:M19)</f>
        <v/>
      </c>
      <c r="N20" s="15" t="n"/>
      <c r="O20" s="16">
        <f>SUM(O19:O19)</f>
        <v/>
      </c>
      <c r="P20" s="15" t="n"/>
      <c r="Q20" s="15" t="inlineStr">
        <is>
          <t>1건</t>
        </is>
      </c>
    </row>
    <row r="21" ht="24" customHeight="1" s="34">
      <c r="A21" t="inlineStr">
        <is>
          <t>04 진입도로</t>
        </is>
      </c>
      <c r="B21" t="inlineStr">
        <is>
          <t>1. 토 공</t>
        </is>
      </c>
      <c r="C21" t="n">
        <v>1</v>
      </c>
      <c r="D21" t="inlineStr">
        <is>
          <t>1). 노상준비공</t>
        </is>
      </c>
      <c r="E21" t="inlineStr">
        <is>
          <t>깍기부</t>
        </is>
      </c>
      <c r="F21" t="n">
        <v>1418</v>
      </c>
      <c r="G21" t="inlineStr">
        <is>
          <t>m2</t>
        </is>
      </c>
      <c r="H21" s="3" t="n">
        <v>193</v>
      </c>
      <c r="I21" s="3">
        <f>F21*H21</f>
        <v/>
      </c>
      <c r="J21" s="3" t="n">
        <v>445</v>
      </c>
      <c r="K21" s="3">
        <f>F21*J21</f>
        <v/>
      </c>
      <c r="L21" s="3" t="n">
        <v>216</v>
      </c>
      <c r="M21" s="3">
        <f>F21*L21</f>
        <v/>
      </c>
      <c r="N21" s="3">
        <f>H21+J21+L21</f>
        <v/>
      </c>
      <c r="O21" s="3">
        <f>I21+K21+M21</f>
        <v/>
      </c>
      <c r="Q21" t="inlineStr">
        <is>
          <t>1). 노상준비공</t>
        </is>
      </c>
    </row>
    <row r="22" ht="24" customHeight="1" s="34">
      <c r="A22" t="inlineStr">
        <is>
          <t>04 진입도로</t>
        </is>
      </c>
      <c r="B22" t="inlineStr">
        <is>
          <t>1. 토 공</t>
        </is>
      </c>
      <c r="C22" t="n">
        <v>2</v>
      </c>
      <c r="D22" t="inlineStr">
        <is>
          <t>1). 법면보호공</t>
        </is>
      </c>
      <c r="E22" t="inlineStr">
        <is>
          <t>잔디붙임(줄떼)</t>
        </is>
      </c>
      <c r="F22" t="n">
        <v>1640</v>
      </c>
      <c r="G22" t="inlineStr">
        <is>
          <t>㎡</t>
        </is>
      </c>
      <c r="H22" s="3" t="n">
        <v>0</v>
      </c>
      <c r="I22" s="3">
        <f>F22*H22</f>
        <v/>
      </c>
      <c r="J22" s="3" t="n">
        <v>4699</v>
      </c>
      <c r="K22" s="3">
        <f>F22*J22</f>
        <v/>
      </c>
      <c r="L22" s="3" t="n">
        <v>0</v>
      </c>
      <c r="M22" s="3">
        <f>F22*L22</f>
        <v/>
      </c>
      <c r="N22" s="3">
        <f>H22+J22+L22</f>
        <v/>
      </c>
      <c r="O22" s="3">
        <f>I22+K22+M22</f>
        <v/>
      </c>
      <c r="Q22" t="inlineStr">
        <is>
          <t>잔디붙임(줄떼)</t>
        </is>
      </c>
    </row>
    <row r="23" ht="24" customHeight="1" s="34">
      <c r="A23" t="inlineStr">
        <is>
          <t>04 진입도로</t>
        </is>
      </c>
      <c r="B23" t="inlineStr">
        <is>
          <t>1. 토 공</t>
        </is>
      </c>
      <c r="C23" t="n">
        <v>3</v>
      </c>
      <c r="D23" t="inlineStr">
        <is>
          <t>나). 흙깍기(토사)</t>
        </is>
      </c>
      <c r="E23" t="inlineStr">
        <is>
          <t>굴삭기1.0㎥</t>
        </is>
      </c>
      <c r="F23" t="n">
        <v>725</v>
      </c>
      <c r="G23" t="inlineStr">
        <is>
          <t>㎥</t>
        </is>
      </c>
      <c r="H23" s="3" t="n">
        <v>912</v>
      </c>
      <c r="I23" s="3">
        <f>F23*H23</f>
        <v/>
      </c>
      <c r="J23" s="3" t="n">
        <v>1951</v>
      </c>
      <c r="K23" s="3">
        <f>F23*J23</f>
        <v/>
      </c>
      <c r="L23" s="3" t="n">
        <v>685</v>
      </c>
      <c r="M23" s="3">
        <f>F23*L23</f>
        <v/>
      </c>
      <c r="N23" s="3">
        <f>H23+J23+L23</f>
        <v/>
      </c>
      <c r="O23" s="3">
        <f>I23+K23+M23</f>
        <v/>
      </c>
      <c r="Q23" t="inlineStr">
        <is>
          <t>토사</t>
        </is>
      </c>
    </row>
    <row r="24" ht="24" customHeight="1" s="34">
      <c r="A24" t="inlineStr">
        <is>
          <t>04 진입도로</t>
        </is>
      </c>
      <c r="B24" t="inlineStr">
        <is>
          <t>1. 토 공</t>
        </is>
      </c>
      <c r="C24" t="n">
        <v>4</v>
      </c>
      <c r="D24" t="inlineStr">
        <is>
          <t>1). 터파기(토사)</t>
        </is>
      </c>
      <c r="E24" t="inlineStr">
        <is>
          <t>TYPE-1, 굴착기1.0, 기계100%</t>
        </is>
      </c>
      <c r="F24" t="n">
        <v>142</v>
      </c>
      <c r="G24" t="inlineStr">
        <is>
          <t>㎥</t>
        </is>
      </c>
      <c r="H24" s="3" t="n">
        <v>447</v>
      </c>
      <c r="I24" s="3">
        <f>F24*H24</f>
        <v/>
      </c>
      <c r="J24" s="3" t="n">
        <v>955</v>
      </c>
      <c r="K24" s="3">
        <f>F24*J24</f>
        <v/>
      </c>
      <c r="L24" s="3" t="n">
        <v>336</v>
      </c>
      <c r="M24" s="3">
        <f>F24*L24</f>
        <v/>
      </c>
      <c r="N24" s="3">
        <f>H24+J24+L24</f>
        <v/>
      </c>
      <c r="O24" s="3">
        <f>I24+K24+M24</f>
        <v/>
      </c>
      <c r="Q24" t="inlineStr">
        <is>
          <t>토사</t>
        </is>
      </c>
    </row>
    <row r="25" ht="24" customHeight="1" s="34">
      <c r="A25" t="inlineStr">
        <is>
          <t>04 진입도로</t>
        </is>
      </c>
      <c r="B25" t="inlineStr">
        <is>
          <t>1. 토 공</t>
        </is>
      </c>
      <c r="C25" t="n">
        <v>5</v>
      </c>
      <c r="D25" t="inlineStr">
        <is>
          <t>가). 흙쌓기</t>
        </is>
      </c>
      <c r="E25" t="inlineStr">
        <is>
          <t>노상, 두께20cm, 다짐도95%이상</t>
        </is>
      </c>
      <c r="F25" t="n">
        <v>1710</v>
      </c>
      <c r="G25" t="inlineStr">
        <is>
          <t>㎥</t>
        </is>
      </c>
      <c r="H25" s="3" t="n">
        <v>887</v>
      </c>
      <c r="I25" s="3">
        <f>F25*H25</f>
        <v/>
      </c>
      <c r="J25" s="3" t="n">
        <v>2394</v>
      </c>
      <c r="K25" s="3">
        <f>F25*J25</f>
        <v/>
      </c>
      <c r="L25" s="3" t="n">
        <v>1107</v>
      </c>
      <c r="M25" s="3">
        <f>F25*L25</f>
        <v/>
      </c>
      <c r="N25" s="3">
        <f>H25+J25+L25</f>
        <v/>
      </c>
      <c r="O25" s="3">
        <f>I25+K25+M25</f>
        <v/>
      </c>
      <c r="Q25" t="inlineStr">
        <is>
          <t>가). 흙쌓기</t>
        </is>
      </c>
    </row>
    <row r="26" ht="24" customHeight="1" s="34">
      <c r="A26" t="inlineStr">
        <is>
          <t>04 진입도로</t>
        </is>
      </c>
      <c r="B26" t="inlineStr">
        <is>
          <t>1. 토 공</t>
        </is>
      </c>
      <c r="C26" t="n">
        <v>6</v>
      </c>
      <c r="D26" t="inlineStr">
        <is>
          <t>가). 흙쌓기</t>
        </is>
      </c>
      <c r="E26" t="inlineStr">
        <is>
          <t>노체, 두께30cm, 다짐도90%이상</t>
        </is>
      </c>
      <c r="F26" t="n">
        <v>25732</v>
      </c>
      <c r="G26" t="inlineStr">
        <is>
          <t>㎥</t>
        </is>
      </c>
      <c r="H26" s="3" t="n">
        <v>594</v>
      </c>
      <c r="I26" s="3">
        <f>F26*H26</f>
        <v/>
      </c>
      <c r="J26" s="3" t="n">
        <v>1602</v>
      </c>
      <c r="K26" s="3">
        <f>F26*J26</f>
        <v/>
      </c>
      <c r="L26" s="3" t="n">
        <v>741</v>
      </c>
      <c r="M26" s="3">
        <f>F26*L26</f>
        <v/>
      </c>
      <c r="N26" s="3">
        <f>H26+J26+L26</f>
        <v/>
      </c>
      <c r="O26" s="3">
        <f>I26+K26+M26</f>
        <v/>
      </c>
      <c r="Q26" t="inlineStr">
        <is>
          <t>가). 흙쌓기</t>
        </is>
      </c>
    </row>
    <row r="27" ht="24" customHeight="1" s="34">
      <c r="A27" t="inlineStr">
        <is>
          <t>04 진입도로</t>
        </is>
      </c>
      <c r="B27" t="inlineStr">
        <is>
          <t>1. 토 공</t>
        </is>
      </c>
      <c r="C27" t="n">
        <v>7</v>
      </c>
      <c r="D27" t="inlineStr">
        <is>
          <t>가). 흙쌓기</t>
        </is>
      </c>
      <c r="E27" t="inlineStr">
        <is>
          <t>노체, 두께30cm, 다짐도90%이상</t>
        </is>
      </c>
      <c r="F27" t="n">
        <v>34</v>
      </c>
      <c r="G27" t="inlineStr">
        <is>
          <t>㎥</t>
        </is>
      </c>
      <c r="H27" s="3" t="n">
        <v>594</v>
      </c>
      <c r="I27" s="3">
        <f>F27*H27</f>
        <v/>
      </c>
      <c r="J27" s="3" t="n">
        <v>1602</v>
      </c>
      <c r="K27" s="3">
        <f>F27*J27</f>
        <v/>
      </c>
      <c r="L27" s="3" t="n">
        <v>741</v>
      </c>
      <c r="M27" s="3">
        <f>F27*L27</f>
        <v/>
      </c>
      <c r="N27" s="3">
        <f>H27+J27+L27</f>
        <v/>
      </c>
      <c r="O27" s="3">
        <f>I27+K27+M27</f>
        <v/>
      </c>
      <c r="Q27" t="inlineStr">
        <is>
          <t>가). 흙쌓기</t>
        </is>
      </c>
    </row>
    <row r="28" ht="24" customHeight="1" s="34">
      <c r="A28" t="inlineStr">
        <is>
          <t>04 진입도로</t>
        </is>
      </c>
      <c r="B28" t="inlineStr">
        <is>
          <t>1. 토 공</t>
        </is>
      </c>
      <c r="C28" t="n">
        <v>8</v>
      </c>
      <c r="D28" t="inlineStr">
        <is>
          <t>1). 층따기</t>
        </is>
      </c>
      <c r="F28" t="n">
        <v>774</v>
      </c>
      <c r="G28" t="inlineStr">
        <is>
          <t>m3</t>
        </is>
      </c>
      <c r="H28" s="3" t="n">
        <v>438</v>
      </c>
      <c r="I28" s="3">
        <f>F28*H28</f>
        <v/>
      </c>
      <c r="J28" s="3" t="n">
        <v>728</v>
      </c>
      <c r="K28" s="3">
        <f>F28*J28</f>
        <v/>
      </c>
      <c r="L28" s="3" t="n">
        <v>427</v>
      </c>
      <c r="M28" s="3">
        <f>F28*L28</f>
        <v/>
      </c>
      <c r="N28" s="3">
        <f>H28+J28+L28</f>
        <v/>
      </c>
      <c r="O28" s="3">
        <f>I28+K28+M28</f>
        <v/>
      </c>
      <c r="Q28" t="inlineStr">
        <is>
          <t>1). 층따기</t>
        </is>
      </c>
    </row>
    <row r="29" ht="24" customHeight="1" s="34">
      <c r="A29" t="inlineStr">
        <is>
          <t>04 진입도로</t>
        </is>
      </c>
      <c r="B29" t="inlineStr">
        <is>
          <t>1. 토 공</t>
        </is>
      </c>
      <c r="C29" t="n">
        <v>9</v>
      </c>
      <c r="D29" t="inlineStr">
        <is>
          <t>가). 토사</t>
        </is>
      </c>
      <c r="F29" t="n">
        <v>1266</v>
      </c>
      <c r="G29" t="inlineStr">
        <is>
          <t>㎥</t>
        </is>
      </c>
      <c r="H29" s="3" t="n">
        <v>678</v>
      </c>
      <c r="I29" s="3">
        <f>F29*H29</f>
        <v/>
      </c>
      <c r="J29" s="3" t="n">
        <v>1818</v>
      </c>
      <c r="K29" s="3">
        <f>F29*J29</f>
        <v/>
      </c>
      <c r="L29" s="3" t="n">
        <v>909</v>
      </c>
      <c r="M29" s="3">
        <f>F29*L29</f>
        <v/>
      </c>
      <c r="N29" s="3">
        <f>H29+J29+L29</f>
        <v/>
      </c>
      <c r="O29" s="3">
        <f>I29+K29+M29</f>
        <v/>
      </c>
      <c r="Q29" t="inlineStr">
        <is>
          <t>하천 CUA31704000S 치환토(되메우기·교체) — 현재 후보 유지·현장 흙질 확인</t>
        </is>
      </c>
    </row>
    <row r="30" ht="24" customHeight="1" s="34">
      <c r="A30" t="inlineStr">
        <is>
          <t>04 진입도로</t>
        </is>
      </c>
      <c r="B30" t="inlineStr">
        <is>
          <t>1. 토 공</t>
        </is>
      </c>
      <c r="C30" t="n">
        <v>10</v>
      </c>
      <c r="D30" t="inlineStr">
        <is>
          <t>가). 흙운반(토사)</t>
        </is>
      </c>
      <c r="E30" t="inlineStr">
        <is>
          <t>불도저 32톤, L=39.8m</t>
        </is>
      </c>
      <c r="F30" t="n">
        <v>185</v>
      </c>
      <c r="G30" t="inlineStr">
        <is>
          <t>㎥</t>
        </is>
      </c>
      <c r="H30" s="3" t="n">
        <v>906</v>
      </c>
      <c r="I30" s="3">
        <f>F30*H30</f>
        <v/>
      </c>
      <c r="J30" s="3" t="n">
        <v>1736</v>
      </c>
      <c r="K30" s="3">
        <f>F30*J30</f>
        <v/>
      </c>
      <c r="L30" s="3" t="n">
        <v>515</v>
      </c>
      <c r="M30" s="3">
        <f>F30*L30</f>
        <v/>
      </c>
      <c r="N30" s="3">
        <f>H30+J30+L30</f>
        <v/>
      </c>
      <c r="O30" s="3">
        <f>I30+K30+M30</f>
        <v/>
      </c>
      <c r="Q30" t="inlineStr">
        <is>
          <t>토사</t>
        </is>
      </c>
    </row>
    <row r="31" ht="24" customHeight="1" s="34">
      <c r="A31" t="inlineStr">
        <is>
          <t>04 진입도로</t>
        </is>
      </c>
      <c r="B31" t="inlineStr">
        <is>
          <t>1. 토 공</t>
        </is>
      </c>
      <c r="C31" t="n">
        <v>11</v>
      </c>
      <c r="D31" t="inlineStr">
        <is>
          <t>가). 흙 운반(토사)(지구내)</t>
        </is>
      </c>
      <c r="E31" t="inlineStr">
        <is>
          <t>굴삭기1.0㎥+덤프24톤, L=0.090Km</t>
        </is>
      </c>
      <c r="F31" t="n">
        <v>136</v>
      </c>
      <c r="G31" t="inlineStr">
        <is>
          <t>㎥</t>
        </is>
      </c>
      <c r="H31" s="3" t="n">
        <v>873</v>
      </c>
      <c r="I31" s="3">
        <f>F31*H31</f>
        <v/>
      </c>
      <c r="J31" s="3" t="n">
        <v>1719</v>
      </c>
      <c r="K31" s="3">
        <f>F31*J31</f>
        <v/>
      </c>
      <c r="L31" s="3" t="n">
        <v>653</v>
      </c>
      <c r="M31" s="3">
        <f>F31*L31</f>
        <v/>
      </c>
      <c r="N31" s="3">
        <f>H31+J31+L31</f>
        <v/>
      </c>
      <c r="O31" s="3">
        <f>I31+K31+M31</f>
        <v/>
      </c>
      <c r="Q31" t="inlineStr">
        <is>
          <t>토사</t>
        </is>
      </c>
    </row>
    <row r="32" ht="24" customHeight="1" s="34">
      <c r="A32" t="inlineStr">
        <is>
          <t>04 진입도로</t>
        </is>
      </c>
      <c r="B32" t="inlineStr">
        <is>
          <t>1. 토 공</t>
        </is>
      </c>
      <c r="C32" t="n">
        <v>12</v>
      </c>
      <c r="D32" t="inlineStr">
        <is>
          <t>1). 목재규준틀</t>
        </is>
      </c>
      <c r="E32" t="inlineStr">
        <is>
          <t>비탈규준틀</t>
        </is>
      </c>
      <c r="F32" t="n">
        <v>36</v>
      </c>
      <c r="G32" t="inlineStr">
        <is>
          <t>개</t>
        </is>
      </c>
      <c r="H32" s="3" t="n">
        <v>0</v>
      </c>
      <c r="I32" s="3">
        <f>F32*H32</f>
        <v/>
      </c>
      <c r="J32" s="3" t="n">
        <v>68074</v>
      </c>
      <c r="K32" s="3">
        <f>F32*J32</f>
        <v/>
      </c>
      <c r="L32" s="3" t="n">
        <v>0</v>
      </c>
      <c r="M32" s="3">
        <f>F32*L32</f>
        <v/>
      </c>
      <c r="N32" s="3">
        <f>H32+J32+L32</f>
        <v/>
      </c>
      <c r="O32" s="3">
        <f>I32+K32+M32</f>
        <v/>
      </c>
      <c r="Q32" t="inlineStr">
        <is>
          <t>하천 CUA31301000S · 품셈 목재규준틀(비탈)</t>
        </is>
      </c>
    </row>
    <row r="33" ht="24" customHeight="1" s="34">
      <c r="A33" t="inlineStr">
        <is>
          <t>04 진입도로</t>
        </is>
      </c>
      <c r="B33" t="inlineStr">
        <is>
          <t>1. 토 공</t>
        </is>
      </c>
      <c r="C33" t="n">
        <v>13</v>
      </c>
      <c r="D33" t="inlineStr">
        <is>
          <t>2). 목재규준틀</t>
        </is>
      </c>
      <c r="E33" t="inlineStr">
        <is>
          <t>수평규준틀</t>
        </is>
      </c>
      <c r="F33" t="n">
        <v>6</v>
      </c>
      <c r="G33" t="inlineStr">
        <is>
          <t>개</t>
        </is>
      </c>
      <c r="H33" s="3" t="n">
        <v>0</v>
      </c>
      <c r="I33" s="3">
        <f>F33*H33</f>
        <v/>
      </c>
      <c r="J33" s="3" t="n">
        <v>90391</v>
      </c>
      <c r="K33" s="3">
        <f>F33*J33</f>
        <v/>
      </c>
      <c r="L33" s="3" t="n">
        <v>0</v>
      </c>
      <c r="M33" s="3">
        <f>F33*L33</f>
        <v/>
      </c>
      <c r="N33" s="3">
        <f>H33+J33+L33</f>
        <v/>
      </c>
      <c r="O33" s="3">
        <f>I33+K33+M33</f>
        <v/>
      </c>
      <c r="Q33" t="inlineStr">
        <is>
          <t>하천 CUA31302000S · 품셈 목재규준틀(수평)</t>
        </is>
      </c>
    </row>
    <row r="34" ht="24" customHeight="1" s="34">
      <c r="A34" t="inlineStr">
        <is>
          <t>04 진입도로</t>
        </is>
      </c>
      <c r="B34" t="inlineStr">
        <is>
          <t>1. 토 공</t>
        </is>
      </c>
      <c r="C34" t="n">
        <v>14</v>
      </c>
      <c r="D34" t="inlineStr">
        <is>
          <t>가). 구조물헐기(철근)</t>
        </is>
      </c>
      <c r="E34" t="inlineStr">
        <is>
          <t>대형30CM미만</t>
        </is>
      </c>
      <c r="F34" t="n">
        <v>20</v>
      </c>
      <c r="G34" t="inlineStr">
        <is>
          <t>㎥</t>
        </is>
      </c>
      <c r="H34" s="3" t="n">
        <v>18511</v>
      </c>
      <c r="I34" s="3">
        <f>F34*H34</f>
        <v/>
      </c>
      <c r="J34" s="3" t="n">
        <v>70869</v>
      </c>
      <c r="K34" s="3">
        <f>F34*J34</f>
        <v/>
      </c>
      <c r="L34" s="3" t="n">
        <v>33531</v>
      </c>
      <c r="M34" s="3">
        <f>F34*L34</f>
        <v/>
      </c>
      <c r="N34" s="3">
        <f>H34+J34+L34</f>
        <v/>
      </c>
      <c r="O34" s="3">
        <f>I34+K34+M34</f>
        <v/>
      </c>
      <c r="Q34" t="inlineStr">
        <is>
          <t>철근</t>
        </is>
      </c>
    </row>
    <row r="35" ht="24" customHeight="1" s="34">
      <c r="A35" t="inlineStr">
        <is>
          <t>04 진입도로</t>
        </is>
      </c>
      <c r="B35" t="inlineStr">
        <is>
          <t>1. 토 공</t>
        </is>
      </c>
      <c r="C35" t="n">
        <v>15</v>
      </c>
      <c r="D35" t="inlineStr">
        <is>
          <t>나). 구조물헐기(무근)</t>
        </is>
      </c>
      <c r="E35" t="inlineStr">
        <is>
          <t>대형30CM미만</t>
        </is>
      </c>
      <c r="F35" t="n">
        <v>10</v>
      </c>
      <c r="G35" t="inlineStr">
        <is>
          <t>㎥</t>
        </is>
      </c>
      <c r="H35" s="3" t="n">
        <v>5125</v>
      </c>
      <c r="I35" s="3">
        <f>F35*H35</f>
        <v/>
      </c>
      <c r="J35" s="3" t="n">
        <v>19126</v>
      </c>
      <c r="K35" s="3">
        <f>F35*J35</f>
        <v/>
      </c>
      <c r="L35" s="3" t="n">
        <v>8630</v>
      </c>
      <c r="M35" s="3">
        <f>F35*L35</f>
        <v/>
      </c>
      <c r="N35" s="3">
        <f>H35+J35+L35</f>
        <v/>
      </c>
      <c r="O35" s="3">
        <f>I35+K35+M35</f>
        <v/>
      </c>
      <c r="Q35" t="inlineStr">
        <is>
          <t>무근</t>
        </is>
      </c>
    </row>
    <row r="36" ht="24" customHeight="1" s="34">
      <c r="A36" t="inlineStr">
        <is>
          <t>04 진입도로</t>
        </is>
      </c>
      <c r="B36" t="inlineStr">
        <is>
          <t>1. 토 공</t>
        </is>
      </c>
      <c r="C36" t="n">
        <v>16</v>
      </c>
      <c r="D36" t="inlineStr">
        <is>
          <t>다). 포장절단/아스팔트</t>
        </is>
      </c>
      <c r="F36" t="n">
        <v>30</v>
      </c>
      <c r="G36" t="inlineStr">
        <is>
          <t>m</t>
        </is>
      </c>
      <c r="H36" s="3" t="n">
        <v>1266</v>
      </c>
      <c r="I36" s="3">
        <f>F36*H36</f>
        <v/>
      </c>
      <c r="J36" s="3" t="n">
        <v>1229</v>
      </c>
      <c r="K36" s="3">
        <f>F36*J36</f>
        <v/>
      </c>
      <c r="L36" s="3" t="n">
        <v>122</v>
      </c>
      <c r="M36" s="3">
        <f>F36*L36</f>
        <v/>
      </c>
      <c r="N36" s="3">
        <f>H36+J36+L36</f>
        <v/>
      </c>
      <c r="O36" s="3">
        <f>I36+K36+M36</f>
        <v/>
      </c>
      <c r="Q36" t="inlineStr">
        <is>
          <t>다). 포장절단/아스팔트</t>
        </is>
      </c>
    </row>
    <row r="37" ht="24" customHeight="1" s="34">
      <c r="A37" t="inlineStr">
        <is>
          <t>04 진입도로</t>
        </is>
      </c>
      <c r="B37" t="inlineStr">
        <is>
          <t>1. 토 공</t>
        </is>
      </c>
      <c r="C37" t="n">
        <v>17</v>
      </c>
      <c r="D37" t="inlineStr">
        <is>
          <t>라). 아스팔트포장깨기</t>
        </is>
      </c>
      <c r="E37" t="inlineStr">
        <is>
          <t>T=30cm 미만</t>
        </is>
      </c>
      <c r="F37" t="n">
        <v>162</v>
      </c>
      <c r="G37" t="inlineStr">
        <is>
          <t>m3</t>
        </is>
      </c>
      <c r="H37" s="3" t="n">
        <v>2730</v>
      </c>
      <c r="I37" s="3">
        <f>F37*H37</f>
        <v/>
      </c>
      <c r="J37" s="3" t="n">
        <v>7242</v>
      </c>
      <c r="K37" s="3">
        <f>F37*J37</f>
        <v/>
      </c>
      <c r="L37" s="3" t="n">
        <v>3955</v>
      </c>
      <c r="M37" s="3">
        <f>F37*L37</f>
        <v/>
      </c>
      <c r="N37" s="3">
        <f>H37+J37+L37</f>
        <v/>
      </c>
      <c r="O37" s="3">
        <f>I37+K37+M37</f>
        <v/>
      </c>
      <c r="Q37" t="inlineStr">
        <is>
          <t>라). 아스팔트포장깨기</t>
        </is>
      </c>
    </row>
    <row r="38" ht="24" customHeight="1" s="34">
      <c r="A38" t="inlineStr">
        <is>
          <t>04 진입도로</t>
        </is>
      </c>
      <c r="B38" t="inlineStr">
        <is>
          <t>1. 토 공</t>
        </is>
      </c>
      <c r="C38" t="n">
        <v>18</v>
      </c>
      <c r="D38" t="inlineStr">
        <is>
          <t>마). 콘크리트포장깨기</t>
        </is>
      </c>
      <c r="E38" t="inlineStr">
        <is>
          <t>T=30cm 미만</t>
        </is>
      </c>
      <c r="F38" t="n">
        <v>22</v>
      </c>
      <c r="G38" t="inlineStr">
        <is>
          <t>m3</t>
        </is>
      </c>
      <c r="H38" s="3" t="n">
        <v>6259</v>
      </c>
      <c r="I38" s="3">
        <f>F38*H38</f>
        <v/>
      </c>
      <c r="J38" s="3" t="n">
        <v>18737</v>
      </c>
      <c r="K38" s="3">
        <f>F38*J38</f>
        <v/>
      </c>
      <c r="L38" s="3" t="n">
        <v>9072</v>
      </c>
      <c r="M38" s="3">
        <f>F38*L38</f>
        <v/>
      </c>
      <c r="N38" s="3">
        <f>H38+J38+L38</f>
        <v/>
      </c>
      <c r="O38" s="3">
        <f>I38+K38+M38</f>
        <v/>
      </c>
      <c r="Q38" t="inlineStr">
        <is>
          <t>마). 콘크리트포장깨기</t>
        </is>
      </c>
    </row>
    <row r="39" ht="24" customHeight="1" s="34">
      <c r="A39" t="inlineStr">
        <is>
          <t>04 진입도로</t>
        </is>
      </c>
      <c r="B39" t="inlineStr">
        <is>
          <t>1. 토 공</t>
        </is>
      </c>
      <c r="C39" t="n">
        <v>19</v>
      </c>
      <c r="D39" t="inlineStr">
        <is>
          <t>가). 폐기물상차</t>
        </is>
      </c>
      <c r="E39" t="inlineStr">
        <is>
          <t>굴삭기 0.7㎥</t>
        </is>
      </c>
      <c r="F39" t="n">
        <v>214</v>
      </c>
      <c r="G39" t="inlineStr">
        <is>
          <t>㎥</t>
        </is>
      </c>
      <c r="H39" s="3" t="n">
        <v>570</v>
      </c>
      <c r="I39" s="3">
        <f>F39*H39</f>
        <v/>
      </c>
      <c r="J39" s="3" t="n">
        <v>936</v>
      </c>
      <c r="K39" s="3">
        <f>F39*J39</f>
        <v/>
      </c>
      <c r="L39" s="3" t="n">
        <v>331</v>
      </c>
      <c r="M39" s="3">
        <f>F39*L39</f>
        <v/>
      </c>
      <c r="N39" s="3">
        <f>H39+J39+L39</f>
        <v/>
      </c>
      <c r="O39" s="3">
        <f>I39+K39+M39</f>
        <v/>
      </c>
      <c r="Q39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40" ht="24" customHeight="1" s="34">
      <c r="A40" s="15" t="inlineStr">
        <is>
          <t>04 진입도로</t>
        </is>
      </c>
      <c r="B40" s="15" t="inlineStr">
        <is>
          <t>1. 토 공</t>
        </is>
      </c>
      <c r="C40" s="15" t="n"/>
      <c r="D40" s="15" t="inlineStr">
        <is>
          <t>★ 1. 토 공 소계</t>
        </is>
      </c>
      <c r="E40" s="15" t="n"/>
      <c r="F40" s="15" t="n"/>
      <c r="G40" s="15" t="n"/>
      <c r="H40" s="15" t="n"/>
      <c r="I40" s="16">
        <f>SUM(I21:I39)</f>
        <v/>
      </c>
      <c r="J40" s="15" t="n"/>
      <c r="K40" s="16">
        <f>SUM(K21:K39)</f>
        <v/>
      </c>
      <c r="L40" s="15" t="n"/>
      <c r="M40" s="16">
        <f>SUM(M21:M39)</f>
        <v/>
      </c>
      <c r="N40" s="15" t="n"/>
      <c r="O40" s="16">
        <f>SUM(O21:O39)</f>
        <v/>
      </c>
      <c r="P40" s="15" t="n"/>
      <c r="Q40" s="15" t="inlineStr">
        <is>
          <t>19건</t>
        </is>
      </c>
    </row>
    <row r="41" ht="24" customHeight="1" s="34">
      <c r="A41" t="inlineStr">
        <is>
          <t>04 진입도로</t>
        </is>
      </c>
      <c r="B41" t="inlineStr">
        <is>
          <t>2. 우 수 공</t>
        </is>
      </c>
      <c r="C41" t="n">
        <v>1</v>
      </c>
      <c r="D41" t="inlineStr">
        <is>
          <t>(1). 터파기(토사)</t>
        </is>
      </c>
      <c r="E41" t="inlineStr">
        <is>
          <t>TYPE-1, 백호1.0, 기계100%</t>
        </is>
      </c>
      <c r="F41" t="n">
        <v>2694</v>
      </c>
      <c r="G41" t="inlineStr">
        <is>
          <t>㎥</t>
        </is>
      </c>
      <c r="H41" s="3" t="n">
        <v>301</v>
      </c>
      <c r="I41" s="3">
        <f>F41*H41</f>
        <v/>
      </c>
      <c r="J41" s="3" t="n">
        <v>4367</v>
      </c>
      <c r="K41" s="3">
        <f>F41*J41</f>
        <v/>
      </c>
      <c r="L41" s="3" t="n">
        <v>417</v>
      </c>
      <c r="M41" s="3">
        <f>F41*L41</f>
        <v/>
      </c>
      <c r="N41" s="3">
        <f>H41+J41+L41</f>
        <v/>
      </c>
      <c r="O41" s="3">
        <f>I41+K41+M41</f>
        <v/>
      </c>
      <c r="Q41" t="inlineStr">
        <is>
          <t>1</t>
        </is>
      </c>
    </row>
    <row r="42" ht="24" customHeight="1" s="34">
      <c r="A42" t="inlineStr">
        <is>
          <t>04 진입도로</t>
        </is>
      </c>
      <c r="B42" t="inlineStr">
        <is>
          <t>2. 우 수 공</t>
        </is>
      </c>
      <c r="C42" t="n">
        <v>2</v>
      </c>
      <c r="D42" t="inlineStr">
        <is>
          <t>가). 되메우기및다짐(토사)</t>
        </is>
      </c>
      <c r="E42" t="inlineStr">
        <is>
          <t>백호0.7+플레이트콤펙터1.5ton</t>
        </is>
      </c>
      <c r="F42" t="n">
        <v>2103</v>
      </c>
      <c r="G42" t="inlineStr">
        <is>
          <t>㎥</t>
        </is>
      </c>
      <c r="H42" s="3" t="n">
        <v>1652</v>
      </c>
      <c r="I42" s="3">
        <f>F42*H42</f>
        <v/>
      </c>
      <c r="J42" s="3" t="n">
        <v>3924</v>
      </c>
      <c r="K42" s="3">
        <f>F42*J42</f>
        <v/>
      </c>
      <c r="L42" s="3" t="n">
        <v>1432</v>
      </c>
      <c r="M42" s="3">
        <f>F42*L42</f>
        <v/>
      </c>
      <c r="N42" s="3">
        <f>H42+J42+L42</f>
        <v/>
      </c>
      <c r="O42" s="3">
        <f>I42+K42+M42</f>
        <v/>
      </c>
      <c r="Q42" t="inlineStr">
        <is>
          <t>가). 되메우기및다짐</t>
        </is>
      </c>
    </row>
    <row r="43" ht="24" customHeight="1" s="34">
      <c r="A43" t="inlineStr">
        <is>
          <t>04 진입도로</t>
        </is>
      </c>
      <c r="B43" t="inlineStr">
        <is>
          <t>2. 우 수 공</t>
        </is>
      </c>
      <c r="C43" t="n">
        <v>3</v>
      </c>
      <c r="D43" t="inlineStr">
        <is>
          <t>가). 잔토처리(토사)</t>
        </is>
      </c>
      <c r="E43" t="inlineStr">
        <is>
          <t>기계</t>
        </is>
      </c>
      <c r="F43" t="n">
        <v>591</v>
      </c>
      <c r="G43" t="inlineStr">
        <is>
          <t>㎥</t>
        </is>
      </c>
      <c r="H43" s="3" t="n">
        <v>447</v>
      </c>
      <c r="I43" s="3">
        <f>F43*H43</f>
        <v/>
      </c>
      <c r="J43" s="3" t="n">
        <v>955</v>
      </c>
      <c r="K43" s="3">
        <f>F43*J43</f>
        <v/>
      </c>
      <c r="L43" s="3" t="n">
        <v>336</v>
      </c>
      <c r="M43" s="3">
        <f>F43*L43</f>
        <v/>
      </c>
      <c r="N43" s="3">
        <f>H43+J43+L43</f>
        <v/>
      </c>
      <c r="O43" s="3">
        <f>I43+K43+M43</f>
        <v/>
      </c>
      <c r="Q43" t="inlineStr">
        <is>
          <t>기계</t>
        </is>
      </c>
    </row>
    <row r="44" ht="24" customHeight="1" s="34">
      <c r="A44" t="inlineStr">
        <is>
          <t>04 진입도로</t>
        </is>
      </c>
      <c r="B44" t="inlineStr">
        <is>
          <t>2. 우 수 공</t>
        </is>
      </c>
      <c r="C44" t="n">
        <v>4</v>
      </c>
      <c r="D44" t="inlineStr">
        <is>
          <t>가). 원심력철근콘크리트관 접합및부설(소켓식)</t>
        </is>
      </c>
      <c r="E44" t="inlineStr">
        <is>
          <t>Ø 250mm, 시공조건 B</t>
        </is>
      </c>
      <c r="F44" t="n">
        <v>107</v>
      </c>
      <c r="G44" t="inlineStr">
        <is>
          <t>m</t>
        </is>
      </c>
      <c r="H44" s="3" t="n">
        <v>2339</v>
      </c>
      <c r="I44" s="3">
        <f>F44*H44</f>
        <v/>
      </c>
      <c r="J44" s="3" t="n">
        <v>19375</v>
      </c>
      <c r="K44" s="3">
        <f>F44*J44</f>
        <v/>
      </c>
      <c r="L44" s="3" t="n">
        <v>2505</v>
      </c>
      <c r="M44" s="3">
        <f>F44*L44</f>
        <v/>
      </c>
      <c r="N44" s="3">
        <f>H44+J44+L44</f>
        <v/>
      </c>
      <c r="O44" s="3">
        <f>I44+K44+M44</f>
        <v/>
      </c>
      <c r="Q44" t="inlineStr">
        <is>
          <t>소켓식</t>
        </is>
      </c>
    </row>
    <row r="45" ht="24" customHeight="1" s="34">
      <c r="A45" t="inlineStr">
        <is>
          <t>04 진입도로</t>
        </is>
      </c>
      <c r="B45" t="inlineStr">
        <is>
          <t>2. 우 수 공</t>
        </is>
      </c>
      <c r="C45" t="n">
        <v>5</v>
      </c>
      <c r="D45" t="inlineStr">
        <is>
          <t>다). 원심력철근콘크리트관 접합및부설(소켓식)</t>
        </is>
      </c>
      <c r="E45" t="inlineStr">
        <is>
          <t>Ø 600mm, 시공조건 B</t>
        </is>
      </c>
      <c r="F45" t="n">
        <v>275</v>
      </c>
      <c r="G45" t="inlineStr">
        <is>
          <t>m</t>
        </is>
      </c>
      <c r="H45" s="3" t="n">
        <v>2339</v>
      </c>
      <c r="I45" s="3">
        <f>F45*H45</f>
        <v/>
      </c>
      <c r="J45" s="3" t="n">
        <v>19375</v>
      </c>
      <c r="K45" s="3">
        <f>F45*J45</f>
        <v/>
      </c>
      <c r="L45" s="3" t="n">
        <v>2505</v>
      </c>
      <c r="M45" s="3">
        <f>F45*L45</f>
        <v/>
      </c>
      <c r="N45" s="3">
        <f>H45+J45+L45</f>
        <v/>
      </c>
      <c r="O45" s="3">
        <f>I45+K45+M45</f>
        <v/>
      </c>
      <c r="Q45" t="inlineStr">
        <is>
          <t>소켓식</t>
        </is>
      </c>
    </row>
    <row r="46" ht="24" customHeight="1" s="34">
      <c r="A46" t="inlineStr">
        <is>
          <t>04 진입도로</t>
        </is>
      </c>
      <c r="B46" t="inlineStr">
        <is>
          <t>2. 우 수 공</t>
        </is>
      </c>
      <c r="C46" t="n">
        <v>6</v>
      </c>
      <c r="D46" t="inlineStr">
        <is>
          <t>(1) 콘크리트타설</t>
        </is>
      </c>
      <c r="E46" t="inlineStr">
        <is>
          <t>장비사용, 무근구조물</t>
        </is>
      </c>
      <c r="F46" t="n">
        <v>134</v>
      </c>
      <c r="G46" t="inlineStr">
        <is>
          <t>㎥</t>
        </is>
      </c>
      <c r="H46" s="3" t="n">
        <v>5963</v>
      </c>
      <c r="I46" s="3">
        <f>F46*H46</f>
        <v/>
      </c>
      <c r="J46" s="3" t="n">
        <v>50648</v>
      </c>
      <c r="K46" s="3">
        <f>F46*J46</f>
        <v/>
      </c>
      <c r="L46" s="3" t="n">
        <v>6730</v>
      </c>
      <c r="M46" s="3">
        <f>F46*L46</f>
        <v/>
      </c>
      <c r="N46" s="3">
        <f>H46+J46+L46</f>
        <v/>
      </c>
      <c r="O46" s="3">
        <f>I46+K46+M46</f>
        <v/>
      </c>
      <c r="Q46" t="inlineStr">
        <is>
          <t>콘크리트타설</t>
        </is>
      </c>
    </row>
    <row r="47" ht="24" customHeight="1" s="34">
      <c r="A47" t="inlineStr">
        <is>
          <t>04 진입도로</t>
        </is>
      </c>
      <c r="B47" t="inlineStr">
        <is>
          <t>2. 우 수 공</t>
        </is>
      </c>
      <c r="C47" t="n">
        <v>7</v>
      </c>
      <c r="D47" t="inlineStr">
        <is>
          <t>(2) 거푸집</t>
        </is>
      </c>
      <c r="E47" t="inlineStr">
        <is>
          <t>합판6회(간단)</t>
        </is>
      </c>
      <c r="F47" t="n">
        <v>508</v>
      </c>
      <c r="G47" t="inlineStr">
        <is>
          <t>㎡</t>
        </is>
      </c>
      <c r="H47" s="3" t="n">
        <v>378</v>
      </c>
      <c r="I47" s="3">
        <f>F47*H47</f>
        <v/>
      </c>
      <c r="J47" s="3" t="n">
        <v>37806</v>
      </c>
      <c r="K47" s="3">
        <f>F47*J47</f>
        <v/>
      </c>
      <c r="L47" s="3" t="n">
        <v>0</v>
      </c>
      <c r="M47" s="3">
        <f>F47*L47</f>
        <v/>
      </c>
      <c r="N47" s="3">
        <f>H47+J47+L47</f>
        <v/>
      </c>
      <c r="O47" s="3">
        <f>I47+K47+M47</f>
        <v/>
      </c>
      <c r="Q47" t="inlineStr">
        <is>
          <t>거푸집</t>
        </is>
      </c>
    </row>
    <row r="48" ht="24" customHeight="1" s="34">
      <c r="A48" t="inlineStr">
        <is>
          <t>04 진입도로</t>
        </is>
      </c>
      <c r="B48" t="inlineStr">
        <is>
          <t>2. 우 수 공</t>
        </is>
      </c>
      <c r="C48" t="n">
        <v>8</v>
      </c>
      <c r="D48" t="inlineStr">
        <is>
          <t>가). 하수관 천공 및 접합</t>
        </is>
      </c>
      <c r="E48" t="inlineStr">
        <is>
          <t>D600X250</t>
        </is>
      </c>
      <c r="F48" t="n">
        <v>28</v>
      </c>
      <c r="G48" t="inlineStr">
        <is>
          <t>개소</t>
        </is>
      </c>
      <c r="H48" s="3" t="n">
        <v>2463</v>
      </c>
      <c r="I48" s="3">
        <f>F48*H48</f>
        <v/>
      </c>
      <c r="J48" s="3" t="n">
        <v>120645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Q48" t="inlineStr">
        <is>
          <t>접합</t>
        </is>
      </c>
    </row>
    <row r="49" ht="24" customHeight="1" s="34">
      <c r="A49" t="inlineStr">
        <is>
          <t>04 진입도로</t>
        </is>
      </c>
      <c r="B49" t="inlineStr">
        <is>
          <t>2. 우 수 공</t>
        </is>
      </c>
      <c r="C49" t="n">
        <v>9</v>
      </c>
      <c r="D49" t="inlineStr">
        <is>
          <t>가). 원심력철근콘크리트관 절단</t>
        </is>
      </c>
      <c r="E49" t="inlineStr">
        <is>
          <t>Ø 250 MM</t>
        </is>
      </c>
      <c r="F49" t="n">
        <v>28</v>
      </c>
      <c r="G49" t="inlineStr">
        <is>
          <t>개소</t>
        </is>
      </c>
      <c r="H49" s="3" t="n">
        <v>0</v>
      </c>
      <c r="I49" s="3">
        <f>F49*H49</f>
        <v/>
      </c>
      <c r="J49" s="3" t="n">
        <v>13039</v>
      </c>
      <c r="K49" s="3">
        <f>F49*J49</f>
        <v/>
      </c>
      <c r="L49" s="3" t="n">
        <v>782</v>
      </c>
      <c r="M49" s="3">
        <f>F49*L49</f>
        <v/>
      </c>
      <c r="N49" s="3">
        <f>H49+J49+L49</f>
        <v/>
      </c>
      <c r="O49" s="3">
        <f>I49+K49+M49</f>
        <v/>
      </c>
      <c r="Q49" t="inlineStr">
        <is>
          <t>가). 원심력철근콘크리트관 절단</t>
        </is>
      </c>
    </row>
    <row r="50" ht="24" customHeight="1" s="34">
      <c r="A50" t="inlineStr">
        <is>
          <t>04 진입도로</t>
        </is>
      </c>
      <c r="B50" t="inlineStr">
        <is>
          <t>2. 우 수 공</t>
        </is>
      </c>
      <c r="C50" t="n">
        <v>10</v>
      </c>
      <c r="D50" t="inlineStr">
        <is>
          <t>나). 원심력철근콘크리트관 절단</t>
        </is>
      </c>
      <c r="E50" t="inlineStr">
        <is>
          <t>Ø 600 MM</t>
        </is>
      </c>
      <c r="F50" t="n">
        <v>5</v>
      </c>
      <c r="G50" t="inlineStr">
        <is>
          <t>개소</t>
        </is>
      </c>
      <c r="H50" s="3" t="n">
        <v>0</v>
      </c>
      <c r="I50" s="3">
        <f>F50*H50</f>
        <v/>
      </c>
      <c r="J50" s="3" t="n">
        <v>13039</v>
      </c>
      <c r="K50" s="3">
        <f>F50*J50</f>
        <v/>
      </c>
      <c r="L50" s="3" t="n">
        <v>782</v>
      </c>
      <c r="M50" s="3">
        <f>F50*L50</f>
        <v/>
      </c>
      <c r="N50" s="3">
        <f>H50+J50+L50</f>
        <v/>
      </c>
      <c r="O50" s="3">
        <f>I50+K50+M50</f>
        <v/>
      </c>
      <c r="Q50" t="inlineStr">
        <is>
          <t>나). 원심력철근콘크리트관 절단</t>
        </is>
      </c>
    </row>
    <row r="51" ht="24" customHeight="1" s="34">
      <c r="A51" t="inlineStr">
        <is>
          <t>04 진입도로</t>
        </is>
      </c>
      <c r="B51" t="inlineStr">
        <is>
          <t>2. 우 수 공</t>
        </is>
      </c>
      <c r="C51" t="n">
        <v>11</v>
      </c>
      <c r="D51" t="inlineStr">
        <is>
          <t>가). 관로경고용테이프</t>
        </is>
      </c>
      <c r="E51" t="inlineStr">
        <is>
          <t>200mmx1m</t>
        </is>
      </c>
      <c r="F51" t="n">
        <v>275</v>
      </c>
      <c r="G51" t="inlineStr">
        <is>
          <t>m</t>
        </is>
      </c>
      <c r="H51" s="3" t="n">
        <v>100</v>
      </c>
      <c r="I51" s="3">
        <f>F51*H51</f>
        <v/>
      </c>
      <c r="J51" s="3" t="n">
        <v>200</v>
      </c>
      <c r="K51" s="3">
        <f>F51*J51</f>
        <v/>
      </c>
      <c r="L51" s="3" t="n">
        <v>0</v>
      </c>
      <c r="M51" s="3">
        <f>F51*L51</f>
        <v/>
      </c>
      <c r="N51" s="3">
        <f>H51+J51+L51</f>
        <v/>
      </c>
      <c r="O51" s="3">
        <f>I51+K51+M51</f>
        <v/>
      </c>
      <c r="Q51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" ht="24" customHeight="1" s="34">
      <c r="A52" t="inlineStr">
        <is>
          <t>04 진입도로</t>
        </is>
      </c>
      <c r="B52" t="inlineStr">
        <is>
          <t>2. 우 수 공</t>
        </is>
      </c>
      <c r="C52" t="n">
        <v>12</v>
      </c>
      <c r="D52" t="inlineStr">
        <is>
          <t>가). 우수 원형2호 맨홀</t>
        </is>
      </c>
      <c r="E52" t="inlineStr">
        <is>
          <t>D1200, H=1.7m, 차도</t>
        </is>
      </c>
      <c r="F52" t="n">
        <v>5</v>
      </c>
      <c r="G52" t="inlineStr">
        <is>
          <t>개소</t>
        </is>
      </c>
      <c r="H52" s="3" t="n">
        <v>0</v>
      </c>
      <c r="I52" s="3">
        <f>F52*H52</f>
        <v/>
      </c>
      <c r="J52" s="3" t="n">
        <v>81796</v>
      </c>
      <c r="K52" s="3">
        <f>F52*J52</f>
        <v/>
      </c>
      <c r="L52" s="3" t="n">
        <v>0</v>
      </c>
      <c r="M52" s="3">
        <f>F52*L52</f>
        <v/>
      </c>
      <c r="N52" s="3">
        <f>H52+J52+L52</f>
        <v/>
      </c>
      <c r="O52" s="3">
        <f>I52+K52+M52</f>
        <v/>
      </c>
      <c r="Q52" t="inlineStr">
        <is>
          <t>D1200</t>
        </is>
      </c>
    </row>
    <row r="53" ht="24" customHeight="1" s="34">
      <c r="A53" t="inlineStr">
        <is>
          <t>04 진입도로</t>
        </is>
      </c>
      <c r="B53" t="inlineStr">
        <is>
          <t>2. 우 수 공</t>
        </is>
      </c>
      <c r="C53" t="n">
        <v>13</v>
      </c>
      <c r="D53" t="inlineStr">
        <is>
          <t>가). 무수축몰탈</t>
        </is>
      </c>
      <c r="E53" t="inlineStr">
        <is>
          <t>1:1, 자재비별산</t>
        </is>
      </c>
      <c r="F53" t="n">
        <v>1.158</v>
      </c>
      <c r="G53" t="inlineStr">
        <is>
          <t>㎥</t>
        </is>
      </c>
      <c r="H53" t="n">
        <v>500</v>
      </c>
      <c r="I53" s="3">
        <f>F53*H53</f>
        <v/>
      </c>
      <c r="J53" t="n">
        <v>1000</v>
      </c>
      <c r="K53" s="3">
        <f>F53*J53</f>
        <v/>
      </c>
      <c r="M53" s="3">
        <f>F53*L53</f>
        <v/>
      </c>
      <c r="N53" s="3">
        <f>H53+J53+L53</f>
        <v/>
      </c>
      <c r="O53" s="3">
        <f>I53+K53+M53</f>
        <v/>
      </c>
      <c r="P53" t="inlineStr">
        <is>
          <t>가영현</t>
        </is>
      </c>
      <c r="Q53" t="inlineStr">
        <is>
          <t>1:1</t>
        </is>
      </c>
    </row>
    <row r="54" ht="24" customHeight="1" s="34">
      <c r="A54" t="inlineStr">
        <is>
          <t>04 진입도로</t>
        </is>
      </c>
      <c r="B54" t="inlineStr">
        <is>
          <t>2. 우 수 공</t>
        </is>
      </c>
      <c r="C54" t="n">
        <v>14</v>
      </c>
      <c r="D54" t="inlineStr">
        <is>
          <t>가). 1호 우수받이</t>
        </is>
      </c>
      <c r="E54" s="31" t="inlineStr">
        <is>
          <t>0.3×0.4×0.9m, 스틸그레이팅포함</t>
        </is>
      </c>
      <c r="F54" t="n">
        <v>28</v>
      </c>
      <c r="G54" t="inlineStr">
        <is>
          <t>개소</t>
        </is>
      </c>
      <c r="H54" s="3" t="n">
        <v>150000</v>
      </c>
      <c r="I54" s="3">
        <f>F54*H54</f>
        <v/>
      </c>
      <c r="J54" s="3" t="n">
        <v>50000</v>
      </c>
      <c r="K54" s="3">
        <f>F54*J54</f>
        <v/>
      </c>
      <c r="L54" s="3" t="n">
        <v>0</v>
      </c>
      <c r="M54" s="3">
        <f>F54*L54</f>
        <v/>
      </c>
      <c r="N54" s="3">
        <f>H54+J54+L54</f>
        <v/>
      </c>
      <c r="O54" s="3">
        <f>I54+K54+M54</f>
        <v/>
      </c>
      <c r="Q54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5" ht="24" customHeight="1" s="34">
      <c r="A55" t="inlineStr">
        <is>
          <t>04 진입도로</t>
        </is>
      </c>
      <c r="B55" t="inlineStr">
        <is>
          <t>2. 우 수 공</t>
        </is>
      </c>
      <c r="C55" t="n">
        <v>15</v>
      </c>
      <c r="D55" t="inlineStr">
        <is>
          <t>가). PC BOX</t>
        </is>
      </c>
      <c r="E55" t="inlineStr">
        <is>
          <t>1@2.0X1.5, 토피 H=1.0m이하</t>
        </is>
      </c>
      <c r="F55" t="n">
        <v>72</v>
      </c>
      <c r="G55" t="inlineStr">
        <is>
          <t>m</t>
        </is>
      </c>
      <c r="H55" s="3" t="n">
        <v>229</v>
      </c>
      <c r="I55" s="3">
        <f>F55*H55</f>
        <v/>
      </c>
      <c r="J55" s="3" t="n">
        <v>11486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Q55" t="inlineStr">
        <is>
          <t>가). PC BOX</t>
        </is>
      </c>
    </row>
    <row r="56" ht="24" customHeight="1" s="34">
      <c r="A56" t="inlineStr">
        <is>
          <t>04 진입도로</t>
        </is>
      </c>
      <c r="B56" t="inlineStr">
        <is>
          <t>2. 우 수 공</t>
        </is>
      </c>
      <c r="C56" t="n">
        <v>16</v>
      </c>
      <c r="D56" t="inlineStr">
        <is>
          <t>가). 콘크리트타설</t>
        </is>
      </c>
      <c r="E56" t="inlineStr">
        <is>
          <t>장비사용, 무근구조물</t>
        </is>
      </c>
      <c r="F56" t="n">
        <v>18</v>
      </c>
      <c r="G56" t="inlineStr">
        <is>
          <t>㎥</t>
        </is>
      </c>
      <c r="H56" s="3" t="n">
        <v>0</v>
      </c>
      <c r="I56" s="3">
        <f>F56*H56</f>
        <v/>
      </c>
      <c r="J56" s="3" t="n">
        <v>0</v>
      </c>
      <c r="K56" s="3">
        <f>F56*J56</f>
        <v/>
      </c>
      <c r="L56" s="3" t="n">
        <v>0</v>
      </c>
      <c r="M56" s="3">
        <f>F56*L56</f>
        <v/>
      </c>
      <c r="N56" s="3">
        <f>H56+J56+L56</f>
        <v/>
      </c>
      <c r="O56" s="3">
        <f>I56+K56+M56</f>
        <v/>
      </c>
      <c r="Q56" t="inlineStr">
        <is>
          <t>장비사용</t>
        </is>
      </c>
    </row>
    <row r="57" ht="24" customHeight="1" s="34">
      <c r="A57" t="inlineStr">
        <is>
          <t>04 진입도로</t>
        </is>
      </c>
      <c r="B57" t="inlineStr">
        <is>
          <t>2. 우 수 공</t>
        </is>
      </c>
      <c r="C57" t="n">
        <v>17</v>
      </c>
      <c r="D57" t="inlineStr">
        <is>
          <t>나). 거푸집</t>
        </is>
      </c>
      <c r="E57" t="inlineStr">
        <is>
          <t>합판6회(간단)</t>
        </is>
      </c>
      <c r="F57" t="n">
        <v>30</v>
      </c>
      <c r="G57" t="inlineStr">
        <is>
          <t>㎡</t>
        </is>
      </c>
      <c r="H57" s="3" t="n">
        <v>0</v>
      </c>
      <c r="I57" s="3">
        <f>F57*H57</f>
        <v/>
      </c>
      <c r="J57" s="3" t="n">
        <v>0</v>
      </c>
      <c r="K57" s="3">
        <f>F57*J57</f>
        <v/>
      </c>
      <c r="L57" s="3" t="n">
        <v>34535</v>
      </c>
      <c r="M57" s="3">
        <f>F57*L57</f>
        <v/>
      </c>
      <c r="N57" s="3">
        <f>H57+J57+L57</f>
        <v/>
      </c>
      <c r="O57" s="3">
        <f>I57+K57+M57</f>
        <v/>
      </c>
      <c r="Q57" t="inlineStr">
        <is>
          <t>현재 매칭 CUA31502000S — 품명 일치·점수 0.71</t>
        </is>
      </c>
    </row>
    <row r="58" ht="24" customHeight="1" s="34">
      <c r="A58" t="inlineStr">
        <is>
          <t>04 진입도로</t>
        </is>
      </c>
      <c r="B58" t="inlineStr">
        <is>
          <t>2. 우 수 공</t>
        </is>
      </c>
      <c r="C58" t="n">
        <v>18</v>
      </c>
      <c r="D58" t="inlineStr">
        <is>
          <t>가). 보통시멘트</t>
        </is>
      </c>
      <c r="E58" t="inlineStr">
        <is>
          <t>40kg/대 (포장품)</t>
        </is>
      </c>
      <c r="F58" t="n">
        <v>17</v>
      </c>
      <c r="G58" t="inlineStr">
        <is>
          <t>대</t>
        </is>
      </c>
      <c r="H58" t="n">
        <v>5500</v>
      </c>
      <c r="I58" s="3">
        <f>F58*H58</f>
        <v/>
      </c>
      <c r="K58" s="3">
        <f>F58*J58</f>
        <v/>
      </c>
      <c r="M58" s="3">
        <f>F58*L58</f>
        <v/>
      </c>
      <c r="N58" s="3">
        <f>H58+J58+L58</f>
        <v/>
      </c>
      <c r="O58" s="3">
        <f>I58+K58+M58</f>
        <v/>
      </c>
      <c r="P58" t="inlineStr">
        <is>
          <t>가영현</t>
        </is>
      </c>
      <c r="Q58" t="inlineStr">
        <is>
          <t>40kg/대 (포장품), 포장품, ... 가). 보통시멘트, 40kg, 대 (포장품)</t>
        </is>
      </c>
    </row>
    <row r="59" ht="24" customHeight="1" s="34">
      <c r="A59" t="inlineStr">
        <is>
          <t>04 진입도로</t>
        </is>
      </c>
      <c r="B59" t="inlineStr">
        <is>
          <t>2. 우 수 공</t>
        </is>
      </c>
      <c r="C59" t="n">
        <v>19</v>
      </c>
      <c r="D59" t="inlineStr">
        <is>
          <t>나). 시멘트운반</t>
        </is>
      </c>
      <c r="E59" t="inlineStr">
        <is>
          <t>L=30km이내</t>
        </is>
      </c>
      <c r="F59" t="n">
        <v>17</v>
      </c>
      <c r="G59" t="inlineStr">
        <is>
          <t>대</t>
        </is>
      </c>
      <c r="I59" s="3">
        <f>F59*H59</f>
        <v/>
      </c>
      <c r="K59" s="3">
        <f>F59*J59</f>
        <v/>
      </c>
      <c r="L59" t="n">
        <v>200</v>
      </c>
      <c r="M59" s="3">
        <f>F59*L59</f>
        <v/>
      </c>
      <c r="N59" s="3">
        <f>H59+J59+L59</f>
        <v/>
      </c>
      <c r="O59" s="3">
        <f>I59+K59+M59</f>
        <v/>
      </c>
      <c r="P59" t="inlineStr">
        <is>
          <t>가영현</t>
        </is>
      </c>
      <c r="Q59" t="inlineStr">
        <is>
          <t>L=30km이내, ... 나). 시멘트운반</t>
        </is>
      </c>
    </row>
    <row r="60" ht="24" customHeight="1" s="34">
      <c r="A60" t="inlineStr">
        <is>
          <t>04 진입도로</t>
        </is>
      </c>
      <c r="B60" t="inlineStr">
        <is>
          <t>2. 우 수 공</t>
        </is>
      </c>
      <c r="C60" t="n">
        <v>20</v>
      </c>
      <c r="D60" t="inlineStr">
        <is>
          <t>가). 모래</t>
        </is>
      </c>
      <c r="E60" t="inlineStr">
        <is>
          <t>강모래, 현장도착도</t>
        </is>
      </c>
      <c r="F60" t="n">
        <v>18</v>
      </c>
      <c r="G60" t="inlineStr">
        <is>
          <t>㎥</t>
        </is>
      </c>
      <c r="H60" s="3" t="n">
        <v>806</v>
      </c>
      <c r="I60" s="3">
        <f>F60*H60</f>
        <v/>
      </c>
      <c r="J60" s="3" t="n">
        <v>1354</v>
      </c>
      <c r="K60" s="3">
        <f>F60*J60</f>
        <v/>
      </c>
      <c r="L60" s="3" t="n">
        <v>678</v>
      </c>
      <c r="M60" s="3">
        <f>F60*L60</f>
        <v/>
      </c>
      <c r="N60" s="3">
        <f>H60+J60+L60</f>
        <v/>
      </c>
      <c r="O60" s="3">
        <f>I60+K60+M60</f>
        <v/>
      </c>
      <c r="Q60" t="inlineStr">
        <is>
          <t>표준DB CVL40103000S (점수0.51) / 대안: 모래 운반(0.51) · 현장비빔타설(0.46)</t>
        </is>
      </c>
    </row>
    <row r="61" ht="24" customHeight="1" s="34">
      <c r="A61" t="inlineStr">
        <is>
          <t>04 진입도로</t>
        </is>
      </c>
      <c r="B61" t="inlineStr">
        <is>
          <t>2. 우 수 공</t>
        </is>
      </c>
      <c r="C61" t="n">
        <v>21</v>
      </c>
      <c r="D61" t="inlineStr">
        <is>
          <t>나). 잡석</t>
        </is>
      </c>
      <c r="E61" t="inlineStr">
        <is>
          <t>Φ150mm이하, 현장도착도</t>
        </is>
      </c>
      <c r="F61" t="n">
        <v>3</v>
      </c>
      <c r="G61" t="inlineStr">
        <is>
          <t>㎥</t>
        </is>
      </c>
      <c r="H61" s="3" t="n">
        <v>0</v>
      </c>
      <c r="I61" s="3">
        <f>F61*H61</f>
        <v/>
      </c>
      <c r="J61" s="3" t="n">
        <v>4036</v>
      </c>
      <c r="K61" s="3">
        <f>F61*J61</f>
        <v/>
      </c>
      <c r="L61" s="3" t="n">
        <v>947</v>
      </c>
      <c r="M61" s="3">
        <f>F61*L61</f>
        <v/>
      </c>
      <c r="N61" s="3">
        <f>H61+J61+L61</f>
        <v/>
      </c>
      <c r="O61" s="3">
        <f>I61+K61+M61</f>
        <v/>
      </c>
      <c r="Q61" t="inlineStr">
        <is>
          <t>표준DB 4. 조경 유지관리 외 (점수0.56) / 대안: 뒷채움 잡석(0.50) · 터파기(육상, 1m이하)(0.49)</t>
        </is>
      </c>
    </row>
    <row r="62" ht="24" customHeight="1" s="34">
      <c r="A62" t="inlineStr">
        <is>
          <t>04 진입도로</t>
        </is>
      </c>
      <c r="B62" t="inlineStr">
        <is>
          <t>2. 우 수 공</t>
        </is>
      </c>
      <c r="C62" t="n">
        <v>22</v>
      </c>
      <c r="D62" t="inlineStr">
        <is>
          <t>가). 레미콘</t>
        </is>
      </c>
      <c r="E62" t="inlineStr">
        <is>
          <t>25-21- 8(Mpa)</t>
        </is>
      </c>
      <c r="F62" t="n">
        <v>134</v>
      </c>
      <c r="G62" t="inlineStr">
        <is>
          <t>㎥</t>
        </is>
      </c>
      <c r="H62" s="3" t="n">
        <v>1293</v>
      </c>
      <c r="I62" s="3">
        <f>F62*H62</f>
        <v/>
      </c>
      <c r="J62" s="3" t="n">
        <v>64674</v>
      </c>
      <c r="K62" s="3">
        <f>F62*J62</f>
        <v/>
      </c>
      <c r="L62" s="3" t="n">
        <v>0</v>
      </c>
      <c r="M62" s="3">
        <f>F62*L62</f>
        <v/>
      </c>
      <c r="N62" s="3">
        <f>H62+J62+L62</f>
        <v/>
      </c>
      <c r="O62" s="3">
        <f>I62+K62+M62</f>
        <v/>
      </c>
      <c r="Q62" t="inlineStr">
        <is>
          <t>DB CUG30401000S (0.72, 레미콘타설) / 대안: 레미콘타설(0.72) · 레미콘타설(0.72)</t>
        </is>
      </c>
    </row>
    <row r="63" ht="24" customHeight="1" s="34">
      <c r="A63" t="inlineStr">
        <is>
          <t>04 진입도로</t>
        </is>
      </c>
      <c r="B63" t="inlineStr">
        <is>
          <t>2. 우 수 공</t>
        </is>
      </c>
      <c r="C63" t="n">
        <v>23</v>
      </c>
      <c r="D63" t="inlineStr">
        <is>
          <t>나). 레미콘</t>
        </is>
      </c>
      <c r="E63" t="inlineStr">
        <is>
          <t>25-18-8(Mpa)</t>
        </is>
      </c>
      <c r="F63" t="n">
        <v>18</v>
      </c>
      <c r="G63" t="inlineStr">
        <is>
          <t>㎥</t>
        </is>
      </c>
      <c r="H63" s="3" t="n">
        <v>1293</v>
      </c>
      <c r="I63" s="3">
        <f>F63*H63</f>
        <v/>
      </c>
      <c r="J63" s="3" t="n">
        <v>64674</v>
      </c>
      <c r="K63" s="3">
        <f>F63*J63</f>
        <v/>
      </c>
      <c r="L63" s="3" t="n">
        <v>0</v>
      </c>
      <c r="M63" s="3">
        <f>F63*L63</f>
        <v/>
      </c>
      <c r="N63" s="3">
        <f>H63+J63+L63</f>
        <v/>
      </c>
      <c r="O63" s="3">
        <f>I63+K63+M63</f>
        <v/>
      </c>
      <c r="Q63" t="inlineStr">
        <is>
          <t>표준DB CUG30401000S (점수0.55) / 대안: 레미콘타설(0.55) · 레미콘타설(0.55)</t>
        </is>
      </c>
    </row>
    <row r="64" ht="24" customHeight="1" s="34">
      <c r="A64" t="inlineStr">
        <is>
          <t>04 진입도로</t>
        </is>
      </c>
      <c r="B64" t="inlineStr">
        <is>
          <t>2. 우 수 공</t>
        </is>
      </c>
      <c r="C64" t="n">
        <v>24</v>
      </c>
      <c r="D64" t="inlineStr">
        <is>
          <t>가). 원심력철근콘크리트관(보통2종)</t>
        </is>
      </c>
      <c r="E64" t="inlineStr">
        <is>
          <t>250㎜ (소켓식,B형)</t>
        </is>
      </c>
      <c r="F64" t="n">
        <v>107</v>
      </c>
      <c r="G64" t="inlineStr">
        <is>
          <t>ｍ</t>
        </is>
      </c>
      <c r="H64" s="3" t="n">
        <v>2339</v>
      </c>
      <c r="I64" s="3">
        <f>F64*H64</f>
        <v/>
      </c>
      <c r="J64" s="3" t="n">
        <v>19375</v>
      </c>
      <c r="K64" s="3">
        <f>F64*J64</f>
        <v/>
      </c>
      <c r="L64" s="3" t="n">
        <v>2505</v>
      </c>
      <c r="M64" s="3">
        <f>F64*L64</f>
        <v/>
      </c>
      <c r="N64" s="3">
        <f>H64+J64+L64</f>
        <v/>
      </c>
      <c r="O64" s="3">
        <f>I64+K64+M64</f>
        <v/>
      </c>
      <c r="Q64" t="inlineStr">
        <is>
          <t>소켓식</t>
        </is>
      </c>
    </row>
    <row r="65" ht="24" customHeight="1" s="34">
      <c r="A65" t="inlineStr">
        <is>
          <t>04 진입도로</t>
        </is>
      </c>
      <c r="B65" t="inlineStr">
        <is>
          <t>2. 우 수 공</t>
        </is>
      </c>
      <c r="C65" t="n">
        <v>25</v>
      </c>
      <c r="D65" t="inlineStr">
        <is>
          <t>나). 원심력철근콘크리트관(보통2종)</t>
        </is>
      </c>
      <c r="E65" t="inlineStr">
        <is>
          <t>600㎜ (소켓식,B형)</t>
        </is>
      </c>
      <c r="F65" t="n">
        <v>275</v>
      </c>
      <c r="G65" t="inlineStr">
        <is>
          <t>ｍ</t>
        </is>
      </c>
      <c r="H65" s="3" t="n">
        <v>2339</v>
      </c>
      <c r="I65" s="3">
        <f>F65*H65</f>
        <v/>
      </c>
      <c r="J65" s="3" t="n">
        <v>19375</v>
      </c>
      <c r="K65" s="3">
        <f>F65*J65</f>
        <v/>
      </c>
      <c r="L65" s="3" t="n">
        <v>2505</v>
      </c>
      <c r="M65" s="3">
        <f>F65*L65</f>
        <v/>
      </c>
      <c r="N65" s="3">
        <f>H65+J65+L65</f>
        <v/>
      </c>
      <c r="O65" s="3">
        <f>I65+K65+M65</f>
        <v/>
      </c>
      <c r="Q65" t="inlineStr">
        <is>
          <t>소켓식</t>
        </is>
      </c>
    </row>
    <row r="66" ht="24" customHeight="1" s="34">
      <c r="A66" t="inlineStr">
        <is>
          <t>04 진입도로</t>
        </is>
      </c>
      <c r="B66" t="inlineStr">
        <is>
          <t>2. 우 수 공</t>
        </is>
      </c>
      <c r="C66" t="n">
        <v>26</v>
      </c>
      <c r="D66" t="inlineStr">
        <is>
          <t>다). 흄관하차비</t>
        </is>
      </c>
      <c r="E66" t="inlineStr">
        <is>
          <t>Ø 250 MM - 차상도</t>
        </is>
      </c>
      <c r="F66" t="n">
        <v>43</v>
      </c>
      <c r="G66" t="inlineStr">
        <is>
          <t>본</t>
        </is>
      </c>
      <c r="H66" s="3" t="n">
        <v>0</v>
      </c>
      <c r="I66" s="3">
        <f>F66*H66</f>
        <v/>
      </c>
      <c r="J66" s="3" t="n">
        <v>0</v>
      </c>
      <c r="K66" s="3">
        <f>F66*J66</f>
        <v/>
      </c>
      <c r="L66" s="3" t="n">
        <v>2000</v>
      </c>
      <c r="M66" s="3">
        <f>F66*L66</f>
        <v/>
      </c>
      <c r="N66" s="3">
        <f>H66+J66+L66</f>
        <v/>
      </c>
      <c r="O66" s="3">
        <f>I66+K66+M66</f>
        <v/>
      </c>
      <c r="Q66" t="inlineStr">
        <is>
          <t>오매칭(점수0.46) 제외 · 흄관 하차는 직경·중량 비례 → Ø250mm 크레인 상하차 추정 2,000원/본(장비경비, 검증 권장)</t>
        </is>
      </c>
    </row>
    <row r="67" ht="24" customHeight="1" s="34">
      <c r="A67" t="inlineStr">
        <is>
          <t>04 진입도로</t>
        </is>
      </c>
      <c r="B67" t="inlineStr">
        <is>
          <t>2. 우 수 공</t>
        </is>
      </c>
      <c r="C67" t="n">
        <v>27</v>
      </c>
      <c r="D67" t="inlineStr">
        <is>
          <t>라). 흄관하차비</t>
        </is>
      </c>
      <c r="E67" t="inlineStr">
        <is>
          <t>Ø 600 MM - 차상도</t>
        </is>
      </c>
      <c r="F67" t="n">
        <v>110</v>
      </c>
      <c r="G67" t="inlineStr">
        <is>
          <t>본</t>
        </is>
      </c>
      <c r="H67" s="3" t="n">
        <v>0</v>
      </c>
      <c r="I67" s="3">
        <f>F67*H67</f>
        <v/>
      </c>
      <c r="J67" s="3" t="n">
        <v>0</v>
      </c>
      <c r="K67" s="3">
        <f>F67*J67</f>
        <v/>
      </c>
      <c r="L67" s="3" t="n">
        <v>5000</v>
      </c>
      <c r="M67" s="3">
        <f>F67*L67</f>
        <v/>
      </c>
      <c r="N67" s="3">
        <f>H67+J67+L67</f>
        <v/>
      </c>
      <c r="O67" s="3">
        <f>I67+K67+M67</f>
        <v/>
      </c>
      <c r="Q67" t="inlineStr">
        <is>
          <t>오매칭(점수0.46) 제외 · 흄관 하차는 직경·중량 비례 → Ø600mm 크레인 상하차 추정 5,000원/본(장비경비, 검증 권장)</t>
        </is>
      </c>
    </row>
    <row r="68" ht="24" customHeight="1" s="34">
      <c r="A68" t="inlineStr">
        <is>
          <t>04 진입도로</t>
        </is>
      </c>
      <c r="B68" t="inlineStr">
        <is>
          <t>2. 우 수 공</t>
        </is>
      </c>
      <c r="C68" t="n">
        <v>28</v>
      </c>
      <c r="D68" t="inlineStr">
        <is>
          <t>가). 맨홀뚜껑(주철제)</t>
        </is>
      </c>
      <c r="E68" t="inlineStr">
        <is>
          <t>Φ648KS, 하수도용(잠금식)</t>
        </is>
      </c>
      <c r="F68" t="n">
        <v>5</v>
      </c>
      <c r="G68" t="inlineStr">
        <is>
          <t>조</t>
        </is>
      </c>
      <c r="H68" s="3" t="n">
        <v>0</v>
      </c>
      <c r="I68" s="3">
        <f>F68*H68</f>
        <v/>
      </c>
      <c r="J68" s="3" t="n">
        <v>289893</v>
      </c>
      <c r="K68" s="3">
        <f>F68*J68</f>
        <v/>
      </c>
      <c r="L68" s="3" t="n">
        <v>0</v>
      </c>
      <c r="M68" s="3">
        <f>F68*L68</f>
        <v/>
      </c>
      <c r="N68" s="3">
        <f>H68+J68+L68</f>
        <v/>
      </c>
      <c r="O68" s="3">
        <f>I68+K68+M68</f>
        <v/>
      </c>
      <c r="Q68" t="inlineStr">
        <is>
          <t>주철제</t>
        </is>
      </c>
    </row>
    <row r="69" ht="24" customHeight="1" s="34">
      <c r="A69" s="15" t="inlineStr">
        <is>
          <t>04 진입도로</t>
        </is>
      </c>
      <c r="B69" s="15" t="inlineStr">
        <is>
          <t>2. 우 수 공</t>
        </is>
      </c>
      <c r="C69" s="15" t="n"/>
      <c r="D69" s="15" t="inlineStr">
        <is>
          <t>★ 2. 우 수 공 소계</t>
        </is>
      </c>
      <c r="E69" s="15" t="n"/>
      <c r="F69" s="15" t="n"/>
      <c r="G69" s="15" t="n"/>
      <c r="H69" s="15" t="n"/>
      <c r="I69" s="16">
        <f>SUM(I41:I68)</f>
        <v/>
      </c>
      <c r="J69" s="15" t="n"/>
      <c r="K69" s="16">
        <f>SUM(K41:K68)</f>
        <v/>
      </c>
      <c r="L69" s="15" t="n"/>
      <c r="M69" s="16">
        <f>SUM(M41:M68)</f>
        <v/>
      </c>
      <c r="N69" s="15" t="n"/>
      <c r="O69" s="16">
        <f>SUM(O41:O68)</f>
        <v/>
      </c>
      <c r="P69" s="15" t="n"/>
      <c r="Q69" s="15" t="inlineStr">
        <is>
          <t>28건</t>
        </is>
      </c>
    </row>
    <row r="70" ht="24" customHeight="1" s="34">
      <c r="A70" t="inlineStr">
        <is>
          <t>04 진입도로</t>
        </is>
      </c>
      <c r="B70" t="inlineStr">
        <is>
          <t>3. 상 수 공</t>
        </is>
      </c>
      <c r="C70" t="n">
        <v>1</v>
      </c>
      <c r="D70" t="inlineStr">
        <is>
          <t>(1). 터파기(토사)</t>
        </is>
      </c>
      <c r="E70" t="inlineStr">
        <is>
          <t>기계70%+인력30%, 보통토사</t>
        </is>
      </c>
      <c r="F70" t="n">
        <v>328</v>
      </c>
      <c r="G70" t="inlineStr">
        <is>
          <t>㎥</t>
        </is>
      </c>
      <c r="H70" s="3" t="n">
        <v>0</v>
      </c>
      <c r="I70" s="3">
        <f>F70*H70</f>
        <v/>
      </c>
      <c r="J70" s="3" t="n">
        <v>33455</v>
      </c>
      <c r="K70" s="3">
        <f>F70*J70</f>
        <v/>
      </c>
      <c r="L70" s="3" t="n">
        <v>0</v>
      </c>
      <c r="M70" s="3">
        <f>F70*L70</f>
        <v/>
      </c>
      <c r="N70" s="3">
        <f>H70+J70+L70</f>
        <v/>
      </c>
      <c r="O70" s="3">
        <f>I70+K70+M70</f>
        <v/>
      </c>
      <c r="Q70" t="inlineStr">
        <is>
          <t>1</t>
        </is>
      </c>
    </row>
    <row r="71" ht="24" customHeight="1" s="34">
      <c r="A71" t="inlineStr">
        <is>
          <t>04 진입도로</t>
        </is>
      </c>
      <c r="B71" t="inlineStr">
        <is>
          <t>3. 상 수 공</t>
        </is>
      </c>
      <c r="C71" t="n">
        <v>2</v>
      </c>
      <c r="D71" t="inlineStr">
        <is>
          <t>가). 되메우기 및 다짐(토사)</t>
        </is>
      </c>
      <c r="E71" t="inlineStr">
        <is>
          <t>기계90%,인력10%,래머 80KG</t>
        </is>
      </c>
      <c r="F71" t="n">
        <v>320</v>
      </c>
      <c r="G71" t="inlineStr">
        <is>
          <t>㎥</t>
        </is>
      </c>
      <c r="H71" s="3" t="n">
        <v>608</v>
      </c>
      <c r="I71" s="3">
        <f>F71*H71</f>
        <v/>
      </c>
      <c r="J71" s="3" t="n">
        <v>9980</v>
      </c>
      <c r="K71" s="3">
        <f>F71*J71</f>
        <v/>
      </c>
      <c r="L71" s="3" t="n">
        <v>440</v>
      </c>
      <c r="M71" s="3">
        <f>F71*L71</f>
        <v/>
      </c>
      <c r="N71" s="3">
        <f>H71+J71+L71</f>
        <v/>
      </c>
      <c r="O71" s="3">
        <f>I71+K71+M71</f>
        <v/>
      </c>
      <c r="Q71" t="inlineStr">
        <is>
          <t>가). 되메우기 및 다짐</t>
        </is>
      </c>
    </row>
    <row r="72" ht="24" customHeight="1" s="34">
      <c r="A72" t="inlineStr">
        <is>
          <t>04 진입도로</t>
        </is>
      </c>
      <c r="B72" t="inlineStr">
        <is>
          <t>3. 상 수 공</t>
        </is>
      </c>
      <c r="C72" t="n">
        <v>3</v>
      </c>
      <c r="D72" t="inlineStr">
        <is>
          <t>가). 잔토처리(토사)</t>
        </is>
      </c>
      <c r="E72" t="inlineStr">
        <is>
          <t>기계100%</t>
        </is>
      </c>
      <c r="F72" t="n">
        <v>8</v>
      </c>
      <c r="G72" t="inlineStr">
        <is>
          <t>㎥</t>
        </is>
      </c>
      <c r="H72" s="3" t="n">
        <v>447</v>
      </c>
      <c r="I72" s="3">
        <f>F72*H72</f>
        <v/>
      </c>
      <c r="J72" s="3" t="n">
        <v>955</v>
      </c>
      <c r="K72" s="3">
        <f>F72*J72</f>
        <v/>
      </c>
      <c r="L72" s="3" t="n">
        <v>336</v>
      </c>
      <c r="M72" s="3">
        <f>F72*L72</f>
        <v/>
      </c>
      <c r="N72" s="3">
        <f>H72+J72+L72</f>
        <v/>
      </c>
      <c r="O72" s="3">
        <f>I72+K72+M72</f>
        <v/>
      </c>
      <c r="Q72" t="inlineStr">
        <is>
          <t>토사</t>
        </is>
      </c>
    </row>
    <row r="73" ht="24" customHeight="1" s="34">
      <c r="A73" t="inlineStr">
        <is>
          <t>04 진입도로</t>
        </is>
      </c>
      <c r="B73" t="inlineStr">
        <is>
          <t>3. 상 수 공</t>
        </is>
      </c>
      <c r="C73" t="n">
        <v>4</v>
      </c>
      <c r="D73" t="inlineStr">
        <is>
          <t>가). 주철관 부설 및 접합(KP접합)</t>
        </is>
      </c>
      <c r="E73" t="inlineStr">
        <is>
          <t>D100mm, 시공조건 B</t>
        </is>
      </c>
      <c r="F73" t="n">
        <v>312</v>
      </c>
      <c r="G73" t="inlineStr">
        <is>
          <t>m</t>
        </is>
      </c>
      <c r="H73" s="3" t="n">
        <v>179</v>
      </c>
      <c r="I73" s="3">
        <f>F73*H73</f>
        <v/>
      </c>
      <c r="J73" s="3" t="n">
        <v>8770</v>
      </c>
      <c r="K73" s="3">
        <f>F73*J73</f>
        <v/>
      </c>
      <c r="L73" s="3" t="n">
        <v>0</v>
      </c>
      <c r="M73" s="3">
        <f>F73*L73</f>
        <v/>
      </c>
      <c r="N73" s="3">
        <f>H73+J73+L73</f>
        <v/>
      </c>
      <c r="O73" s="3">
        <f>I73+K73+M73</f>
        <v/>
      </c>
      <c r="Q73" t="inlineStr">
        <is>
          <t>표준시장단가 CGB202001010 직접 / 표준시장단가 주철관 부설(CGB) — 시공조건 A/B/C</t>
        </is>
      </c>
    </row>
    <row r="74" ht="24" customHeight="1" s="34">
      <c r="A74" t="inlineStr">
        <is>
          <t>04 진입도로</t>
        </is>
      </c>
      <c r="B74" t="inlineStr">
        <is>
          <t>3. 상 수 공</t>
        </is>
      </c>
      <c r="C74" t="n">
        <v>5</v>
      </c>
      <c r="D74" t="inlineStr">
        <is>
          <t>가). 주철 이형관 접합(KP접합)</t>
        </is>
      </c>
      <c r="E74" t="inlineStr">
        <is>
          <t>D100mm</t>
        </is>
      </c>
      <c r="F74" t="n">
        <v>6</v>
      </c>
      <c r="G74" t="inlineStr">
        <is>
          <t>개소</t>
        </is>
      </c>
      <c r="H74" s="3" t="n">
        <v>239</v>
      </c>
      <c r="I74" s="3">
        <f>F74*H74</f>
        <v/>
      </c>
      <c r="J74" s="3" t="n">
        <v>11694</v>
      </c>
      <c r="K74" s="3">
        <f>F74*J74</f>
        <v/>
      </c>
      <c r="L74" s="3" t="n">
        <v>0</v>
      </c>
      <c r="M74" s="3">
        <f>F74*L74</f>
        <v/>
      </c>
      <c r="N74" s="3">
        <f>H74+J74+L74</f>
        <v/>
      </c>
      <c r="O74" s="3">
        <f>I74+K74+M74</f>
        <v/>
      </c>
      <c r="Q74" t="inlineStr">
        <is>
          <t>D100mm</t>
        </is>
      </c>
    </row>
    <row r="75" ht="24" customHeight="1" s="34">
      <c r="A75" t="inlineStr">
        <is>
          <t>04 진입도로</t>
        </is>
      </c>
      <c r="B75" t="inlineStr">
        <is>
          <t>3. 상 수 공</t>
        </is>
      </c>
      <c r="C75" t="n">
        <v>6</v>
      </c>
      <c r="D75" t="inlineStr">
        <is>
          <t>나). 주철 이형관 접합(이탈방지압륜)</t>
        </is>
      </c>
      <c r="E75" t="inlineStr">
        <is>
          <t>D100mm</t>
        </is>
      </c>
      <c r="F75" t="n">
        <v>6</v>
      </c>
      <c r="G75" t="inlineStr">
        <is>
          <t>개소</t>
        </is>
      </c>
      <c r="H75" s="3" t="n">
        <v>311</v>
      </c>
      <c r="I75" s="3">
        <f>F75*H75</f>
        <v/>
      </c>
      <c r="J75" s="3" t="n">
        <v>15201</v>
      </c>
      <c r="K75" s="3">
        <f>F75*J75</f>
        <v/>
      </c>
      <c r="L75" s="3" t="n">
        <v>0</v>
      </c>
      <c r="M75" s="3">
        <f>F75*L75</f>
        <v/>
      </c>
      <c r="N75" s="3">
        <f>H75+J75+L75</f>
        <v/>
      </c>
      <c r="O75" s="3">
        <f>I75+K75+M75</f>
        <v/>
      </c>
      <c r="Q75" t="inlineStr">
        <is>
          <t>이탈방지압륜</t>
        </is>
      </c>
    </row>
    <row r="76" ht="24" customHeight="1" s="34">
      <c r="A76" t="inlineStr">
        <is>
          <t>04 진입도로</t>
        </is>
      </c>
      <c r="B76" t="inlineStr">
        <is>
          <t>3. 상 수 공</t>
        </is>
      </c>
      <c r="C76" t="n">
        <v>7</v>
      </c>
      <c r="D76" t="inlineStr">
        <is>
          <t>가). 플랜지 접합</t>
        </is>
      </c>
      <c r="E76" t="inlineStr">
        <is>
          <t>D100mm</t>
        </is>
      </c>
      <c r="F76" t="n">
        <v>1</v>
      </c>
      <c r="G76" t="inlineStr">
        <is>
          <t>개소</t>
        </is>
      </c>
      <c r="H76" s="3" t="n">
        <v>331</v>
      </c>
      <c r="I76" s="3">
        <f>F76*H76</f>
        <v/>
      </c>
      <c r="J76" s="3" t="n">
        <v>16570</v>
      </c>
      <c r="K76" s="3">
        <f>F76*J76</f>
        <v/>
      </c>
      <c r="L76" s="3" t="n">
        <v>0</v>
      </c>
      <c r="M76" s="3">
        <f>F76*L76</f>
        <v/>
      </c>
      <c r="N76" s="3">
        <f>H76+J76+L76</f>
        <v/>
      </c>
      <c r="O76" s="3">
        <f>I76+K76+M76</f>
        <v/>
      </c>
      <c r="Q76" t="inlineStr">
        <is>
          <t>가). 플랜지 접합</t>
        </is>
      </c>
    </row>
    <row r="77" ht="24" customHeight="1" s="34">
      <c r="A77" t="inlineStr">
        <is>
          <t>04 진입도로</t>
        </is>
      </c>
      <c r="B77" t="inlineStr">
        <is>
          <t>3. 상 수 공</t>
        </is>
      </c>
      <c r="C77" t="n">
        <v>8</v>
      </c>
      <c r="D77" t="inlineStr">
        <is>
          <t>가). 주철관 절단</t>
        </is>
      </c>
      <c r="E77" t="inlineStr">
        <is>
          <t>D100mm</t>
        </is>
      </c>
      <c r="F77" t="n">
        <v>6</v>
      </c>
      <c r="G77" t="inlineStr">
        <is>
          <t>개소</t>
        </is>
      </c>
      <c r="H77" s="3" t="n">
        <v>1818</v>
      </c>
      <c r="I77" s="3">
        <f>F77*H77</f>
        <v/>
      </c>
      <c r="J77" s="3" t="n">
        <v>34539</v>
      </c>
      <c r="K77" s="3">
        <f>F77*J77</f>
        <v/>
      </c>
      <c r="L77" s="3" t="n">
        <v>0</v>
      </c>
      <c r="M77" s="3">
        <f>F77*L77</f>
        <v/>
      </c>
      <c r="N77" s="3">
        <f>H77+J77+L77</f>
        <v/>
      </c>
      <c r="O77" s="3">
        <f>I77+K77+M77</f>
        <v/>
      </c>
      <c r="Q77" t="inlineStr">
        <is>
          <t>가). 주철관 절단</t>
        </is>
      </c>
    </row>
    <row r="78" ht="24" customHeight="1" s="34">
      <c r="A78" t="inlineStr">
        <is>
          <t>04 진입도로</t>
        </is>
      </c>
      <c r="B78" t="inlineStr">
        <is>
          <t>3. 상 수 공</t>
        </is>
      </c>
      <c r="C78" t="n">
        <v>9</v>
      </c>
      <c r="D78" t="inlineStr">
        <is>
          <t>가). 제수변 접합 및 부설</t>
        </is>
      </c>
      <c r="E78" t="inlineStr">
        <is>
          <t>100㎜</t>
        </is>
      </c>
      <c r="F78" t="n">
        <v>2</v>
      </c>
      <c r="G78" t="inlineStr">
        <is>
          <t>개소</t>
        </is>
      </c>
      <c r="H78" s="3" t="n">
        <v>0</v>
      </c>
      <c r="I78" s="3">
        <f>F78*H78</f>
        <v/>
      </c>
      <c r="J78" s="3" t="n">
        <v>31637</v>
      </c>
      <c r="K78" s="3">
        <f>F78*J78</f>
        <v/>
      </c>
      <c r="L78" s="3" t="n">
        <v>0</v>
      </c>
      <c r="M78" s="3">
        <f>F78*L78</f>
        <v/>
      </c>
      <c r="N78" s="3">
        <f>H78+J78+L78</f>
        <v/>
      </c>
      <c r="O78" s="3">
        <f>I78+K78+M78</f>
        <v/>
      </c>
      <c r="Q78" t="inlineStr">
        <is>
          <t>부설</t>
        </is>
      </c>
    </row>
    <row r="79" ht="24" customHeight="1" s="34">
      <c r="A79" t="inlineStr">
        <is>
          <t>04 진입도로</t>
        </is>
      </c>
      <c r="B79" t="inlineStr">
        <is>
          <t>3. 상 수 공</t>
        </is>
      </c>
      <c r="C79" t="n">
        <v>10</v>
      </c>
      <c r="D79" t="inlineStr">
        <is>
          <t>가). 제수변실</t>
        </is>
      </c>
      <c r="E79" t="inlineStr">
        <is>
          <t>2.50×2.00</t>
        </is>
      </c>
      <c r="F79" t="n">
        <v>1</v>
      </c>
      <c r="G79" t="inlineStr">
        <is>
          <t>개소</t>
        </is>
      </c>
      <c r="H79" t="n">
        <v>45000</v>
      </c>
      <c r="I79" s="3">
        <f>F79*H79</f>
        <v/>
      </c>
      <c r="J79" t="n">
        <v>45000</v>
      </c>
      <c r="K79" s="3">
        <f>F79*J79</f>
        <v/>
      </c>
      <c r="L79" t="n">
        <v>15000</v>
      </c>
      <c r="M79" s="3">
        <f>F79*L79</f>
        <v/>
      </c>
      <c r="N79" s="3">
        <f>H79+J79+L79</f>
        <v/>
      </c>
      <c r="O79" s="3">
        <f>I79+K79+M79</f>
        <v/>
      </c>
      <c r="P79" t="inlineStr">
        <is>
          <t>가영현</t>
        </is>
      </c>
      <c r="Q79" t="inlineStr">
        <is>
          <t>2.50×2.00, ... 가). 제수변실</t>
        </is>
      </c>
    </row>
    <row r="80" ht="24" customHeight="1" s="34">
      <c r="A80" t="inlineStr">
        <is>
          <t>04 진입도로</t>
        </is>
      </c>
      <c r="B80" t="inlineStr">
        <is>
          <t>3. 상 수 공</t>
        </is>
      </c>
      <c r="C80" t="n">
        <v>11</v>
      </c>
      <c r="D80" t="inlineStr">
        <is>
          <t>나). 원형제수변실(D100mm)</t>
        </is>
      </c>
      <c r="E80" t="inlineStr">
        <is>
          <t>D800, 흄관</t>
        </is>
      </c>
      <c r="F80" t="n">
        <v>2</v>
      </c>
      <c r="G80" t="inlineStr">
        <is>
          <t>개소</t>
        </is>
      </c>
      <c r="H80" s="3" t="n">
        <v>13953</v>
      </c>
      <c r="I80" s="3">
        <f>F80*H80</f>
        <v/>
      </c>
      <c r="J80" s="3" t="n">
        <v>609212</v>
      </c>
      <c r="K80" s="3">
        <f>F80*J80</f>
        <v/>
      </c>
      <c r="L80" s="3" t="n">
        <v>9169</v>
      </c>
      <c r="M80" s="3">
        <f>F80*L80</f>
        <v/>
      </c>
      <c r="N80" s="3">
        <f>H80+J80+L80</f>
        <v/>
      </c>
      <c r="O80" s="3">
        <f>I80+K80+M80</f>
        <v/>
      </c>
      <c r="Q80" t="inlineStr">
        <is>
          <t>흄관</t>
        </is>
      </c>
    </row>
    <row r="81" ht="24" customHeight="1" s="34">
      <c r="A81" t="inlineStr">
        <is>
          <t>04 진입도로</t>
        </is>
      </c>
      <c r="B81" t="inlineStr">
        <is>
          <t>3. 상 수 공</t>
        </is>
      </c>
      <c r="C81" t="n">
        <v>12</v>
      </c>
      <c r="D81" t="inlineStr">
        <is>
          <t>(1). 제수변보호통설치</t>
        </is>
      </c>
      <c r="E81" t="inlineStr">
        <is>
          <t>D100mm</t>
        </is>
      </c>
      <c r="F81" t="n">
        <v>2</v>
      </c>
      <c r="G81" t="inlineStr">
        <is>
          <t>개소</t>
        </is>
      </c>
      <c r="H81" s="3" t="n">
        <v>1002</v>
      </c>
      <c r="I81" s="3">
        <f>F81*H81</f>
        <v/>
      </c>
      <c r="J81" s="3" t="n">
        <v>50118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Q81" t="inlineStr">
        <is>
          <t>D100mm</t>
        </is>
      </c>
    </row>
    <row r="82" ht="24" customHeight="1" s="34">
      <c r="A82" t="inlineStr">
        <is>
          <t>04 진입도로</t>
        </is>
      </c>
      <c r="B82" t="inlineStr">
        <is>
          <t>3. 상 수 공</t>
        </is>
      </c>
      <c r="C82" t="n">
        <v>13</v>
      </c>
      <c r="D82" t="inlineStr">
        <is>
          <t>가). 관로경고용테이프</t>
        </is>
      </c>
      <c r="E82" t="inlineStr">
        <is>
          <t>200mmx1m</t>
        </is>
      </c>
      <c r="F82" t="n">
        <v>311</v>
      </c>
      <c r="G82" t="inlineStr">
        <is>
          <t>m</t>
        </is>
      </c>
      <c r="H82" s="3" t="n">
        <v>100</v>
      </c>
      <c r="I82" s="3">
        <f>F82*H82</f>
        <v/>
      </c>
      <c r="J82" s="3" t="n">
        <v>200</v>
      </c>
      <c r="K82" s="3">
        <f>F82*J82</f>
        <v/>
      </c>
      <c r="L82" s="3" t="n">
        <v>0</v>
      </c>
      <c r="M82" s="3">
        <f>F82*L82</f>
        <v/>
      </c>
      <c r="N82" s="3">
        <f>H82+J82+L82</f>
        <v/>
      </c>
      <c r="O82" s="3">
        <f>I82+K82+M82</f>
        <v/>
      </c>
      <c r="Q8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83" ht="24" customHeight="1" s="34">
      <c r="A83" t="inlineStr">
        <is>
          <t>04 진입도로</t>
        </is>
      </c>
      <c r="B83" t="inlineStr">
        <is>
          <t>3. 상 수 공</t>
        </is>
      </c>
      <c r="C83" t="n">
        <v>14</v>
      </c>
      <c r="D83" t="inlineStr">
        <is>
          <t>가). 레미콘</t>
        </is>
      </c>
      <c r="E83" t="inlineStr">
        <is>
          <t>25-18-8(Mpa)</t>
        </is>
      </c>
      <c r="F83" t="n">
        <v>1</v>
      </c>
      <c r="G83" t="inlineStr">
        <is>
          <t>㎥</t>
        </is>
      </c>
      <c r="H83" s="3" t="n">
        <v>1293</v>
      </c>
      <c r="I83" s="3">
        <f>F83*H83</f>
        <v/>
      </c>
      <c r="J83" s="3" t="n">
        <v>64674</v>
      </c>
      <c r="K83" s="3">
        <f>F83*J83</f>
        <v/>
      </c>
      <c r="L83" s="3" t="n">
        <v>0</v>
      </c>
      <c r="M83" s="3">
        <f>F83*L83</f>
        <v/>
      </c>
      <c r="N83" s="3">
        <f>H83+J83+L83</f>
        <v/>
      </c>
      <c r="O83" s="3">
        <f>I83+K83+M83</f>
        <v/>
      </c>
      <c r="Q83" t="inlineStr">
        <is>
          <t>표준DB CUG30401000S (점수0.55) / 대안: 레미콘타설(0.55) · 레미콘타설(0.55)</t>
        </is>
      </c>
    </row>
    <row r="84" ht="24" customHeight="1" s="34">
      <c r="A84" t="inlineStr">
        <is>
          <t>04 진입도로</t>
        </is>
      </c>
      <c r="B84" t="inlineStr">
        <is>
          <t>3. 상 수 공</t>
        </is>
      </c>
      <c r="C84" t="n">
        <v>15</v>
      </c>
      <c r="D84" t="inlineStr">
        <is>
          <t>가). 수도용닥타일주철관(직관)</t>
        </is>
      </c>
      <c r="E84" t="inlineStr">
        <is>
          <t>100㎜ x 5ｍ (KP시멘트,2종)</t>
        </is>
      </c>
      <c r="F84" t="n">
        <v>54</v>
      </c>
      <c r="G84" t="inlineStr">
        <is>
          <t>본</t>
        </is>
      </c>
      <c r="H84" s="3" t="n">
        <v>5970</v>
      </c>
      <c r="I84" s="3">
        <f>F84*H84</f>
        <v/>
      </c>
      <c r="J84" s="3" t="n">
        <v>24709</v>
      </c>
      <c r="K84" s="3">
        <f>F84*J84</f>
        <v/>
      </c>
      <c r="L84" s="3" t="n">
        <v>5659</v>
      </c>
      <c r="M84" s="3">
        <f>F84*L84</f>
        <v/>
      </c>
      <c r="N84" s="3">
        <f>H84+J84+L84</f>
        <v/>
      </c>
      <c r="O84" s="3">
        <f>I84+K84+M84</f>
        <v/>
      </c>
      <c r="P84" t="inlineStr">
        <is>
          <t>가영현</t>
        </is>
      </c>
      <c r="Q84" t="inlineStr">
        <is>
          <t>가). 수도용닥타일주철관</t>
        </is>
      </c>
    </row>
    <row r="85" ht="24" customHeight="1" s="34">
      <c r="A85" t="inlineStr">
        <is>
          <t>04 진입도로</t>
        </is>
      </c>
      <c r="B85" t="inlineStr">
        <is>
          <t>3. 상 수 공</t>
        </is>
      </c>
      <c r="C85" t="n">
        <v>16</v>
      </c>
      <c r="D85" t="inlineStr">
        <is>
          <t>다). 수도용닥타일이형관</t>
        </is>
      </c>
      <c r="E85" t="inlineStr">
        <is>
          <t>시멘트라이닝</t>
        </is>
      </c>
      <c r="F85" t="n">
        <v>141</v>
      </c>
      <c r="G85" t="inlineStr">
        <is>
          <t>kg</t>
        </is>
      </c>
      <c r="H85" s="3" t="n">
        <v>1600</v>
      </c>
      <c r="I85" s="3">
        <f>F85*H85</f>
        <v/>
      </c>
      <c r="J85" s="3" t="n">
        <v>0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Q85" t="inlineStr">
        <is>
          <t>표준DB 물가정보 (점수0.47) / 대안: 아스팔트(0.45) · 아스팔트(0.45)</t>
        </is>
      </c>
    </row>
    <row r="86" ht="24" customHeight="1" s="34">
      <c r="A86" t="inlineStr">
        <is>
          <t>04 진입도로</t>
        </is>
      </c>
      <c r="B86" t="inlineStr">
        <is>
          <t>3. 상 수 공</t>
        </is>
      </c>
      <c r="C86" t="n">
        <v>17</v>
      </c>
      <c r="D86" t="inlineStr">
        <is>
          <t>라). 주철관운반비</t>
        </is>
      </c>
      <c r="E86" t="inlineStr">
        <is>
          <t>공장---&gt;현장, L=160KM</t>
        </is>
      </c>
      <c r="F86" t="n">
        <v>7</v>
      </c>
      <c r="G86" t="inlineStr">
        <is>
          <t>ton</t>
        </is>
      </c>
      <c r="I86" s="3">
        <f>F86*H86</f>
        <v/>
      </c>
      <c r="K86" s="3">
        <f>F86*J86</f>
        <v/>
      </c>
      <c r="L86" t="n">
        <v>30000</v>
      </c>
      <c r="M86" s="3">
        <f>F86*L86</f>
        <v/>
      </c>
      <c r="N86" s="3">
        <f>H86+J86+L86</f>
        <v/>
      </c>
      <c r="O86" s="3">
        <f>I86+K86+M86</f>
        <v/>
      </c>
      <c r="P86" t="inlineStr">
        <is>
          <t>가영현</t>
        </is>
      </c>
      <c r="Q86" t="inlineStr">
        <is>
          <t>공장---&gt;현장, L=160KM, ... 라). 주철관운반비, 공장---&gt;현장, L=160KM</t>
        </is>
      </c>
    </row>
    <row r="87" ht="24" customHeight="1" s="34">
      <c r="A87" t="inlineStr">
        <is>
          <t>04 진입도로</t>
        </is>
      </c>
      <c r="B87" t="inlineStr">
        <is>
          <t>3. 상 수 공</t>
        </is>
      </c>
      <c r="C87" t="n">
        <v>18</v>
      </c>
      <c r="D87" t="inlineStr">
        <is>
          <t>가). 소프트실제수밸브</t>
        </is>
      </c>
      <c r="E87" t="inlineStr">
        <is>
          <t>100㎜</t>
        </is>
      </c>
      <c r="F87" t="n">
        <v>2</v>
      </c>
      <c r="G87" t="inlineStr">
        <is>
          <t>ea</t>
        </is>
      </c>
      <c r="H87" s="3" t="n">
        <v>3261</v>
      </c>
      <c r="I87" s="3">
        <f>F87*H87</f>
        <v/>
      </c>
      <c r="J87" s="3" t="n">
        <v>43712</v>
      </c>
      <c r="K87" s="3">
        <f>F87*J87</f>
        <v/>
      </c>
      <c r="M87" s="3">
        <f>F87*L87</f>
        <v/>
      </c>
      <c r="N87" s="3">
        <f>H87+J87+L87</f>
        <v/>
      </c>
      <c r="O87" s="3">
        <f>I87+K87+M87</f>
        <v/>
      </c>
      <c r="P87" t="inlineStr">
        <is>
          <t>가영현</t>
        </is>
      </c>
      <c r="Q87" t="inlineStr">
        <is>
          <t>100㎜</t>
        </is>
      </c>
    </row>
    <row r="88" ht="24" customHeight="1" s="34">
      <c r="A88" t="inlineStr">
        <is>
          <t>04 진입도로</t>
        </is>
      </c>
      <c r="B88" t="inlineStr">
        <is>
          <t>3. 상 수 공</t>
        </is>
      </c>
      <c r="C88" t="n">
        <v>19</v>
      </c>
      <c r="D88" t="inlineStr">
        <is>
          <t>가). 맨홀뚜껑(주철제)</t>
        </is>
      </c>
      <c r="E88" t="inlineStr">
        <is>
          <t>Φ648x250, KS, 상수도용</t>
        </is>
      </c>
      <c r="F88" t="n">
        <v>1</v>
      </c>
      <c r="G88" t="inlineStr">
        <is>
          <t>조</t>
        </is>
      </c>
      <c r="H88" s="3" t="n">
        <v>0</v>
      </c>
      <c r="I88" s="3">
        <f>F88*H88</f>
        <v/>
      </c>
      <c r="J88" s="3" t="n">
        <v>289893</v>
      </c>
      <c r="K88" s="3">
        <f>F88*J88</f>
        <v/>
      </c>
      <c r="L88" s="3" t="n">
        <v>0</v>
      </c>
      <c r="M88" s="3">
        <f>F88*L88</f>
        <v/>
      </c>
      <c r="N88" s="3">
        <f>H88+J88+L88</f>
        <v/>
      </c>
      <c r="O88" s="3">
        <f>I88+K88+M88</f>
        <v/>
      </c>
      <c r="Q88" t="inlineStr">
        <is>
          <t>주철제</t>
        </is>
      </c>
    </row>
    <row r="89" ht="24" customHeight="1" s="34">
      <c r="A89" s="15" t="inlineStr">
        <is>
          <t>04 진입도로</t>
        </is>
      </c>
      <c r="B89" s="15" t="inlineStr">
        <is>
          <t>3. 상 수 공</t>
        </is>
      </c>
      <c r="C89" s="15" t="n"/>
      <c r="D89" s="15" t="inlineStr">
        <is>
          <t>★ 3. 상 수 공 소계</t>
        </is>
      </c>
      <c r="E89" s="15" t="n"/>
      <c r="F89" s="15" t="n"/>
      <c r="G89" s="15" t="n"/>
      <c r="H89" s="15" t="n"/>
      <c r="I89" s="16">
        <f>SUM(I70:I88)</f>
        <v/>
      </c>
      <c r="J89" s="15" t="n"/>
      <c r="K89" s="16">
        <f>SUM(K70:K88)</f>
        <v/>
      </c>
      <c r="L89" s="15" t="n"/>
      <c r="M89" s="16">
        <f>SUM(M70:M88)</f>
        <v/>
      </c>
      <c r="N89" s="15" t="n"/>
      <c r="O89" s="16">
        <f>SUM(O70:O88)</f>
        <v/>
      </c>
      <c r="P89" s="15" t="n"/>
      <c r="Q89" s="15" t="inlineStr">
        <is>
          <t>19건</t>
        </is>
      </c>
    </row>
    <row r="90" ht="24" customHeight="1" s="34">
      <c r="A90" t="inlineStr">
        <is>
          <t>04 진입도로</t>
        </is>
      </c>
      <c r="B90" t="inlineStr">
        <is>
          <t>4. 포 장 공</t>
        </is>
      </c>
      <c r="C90" t="n">
        <v>1</v>
      </c>
      <c r="D90" t="inlineStr">
        <is>
          <t>1). 아스팔트 표층 기계포설(대형장비)</t>
        </is>
      </c>
      <c r="E90" t="inlineStr">
        <is>
          <t>3.0m≤B, T=5cm</t>
        </is>
      </c>
      <c r="F90" t="n">
        <v>2180</v>
      </c>
      <c r="G90" t="inlineStr">
        <is>
          <t>㎡</t>
        </is>
      </c>
      <c r="H90" s="3" t="n">
        <v>177</v>
      </c>
      <c r="I90" s="3">
        <f>F90*H90</f>
        <v/>
      </c>
      <c r="J90" s="3" t="n">
        <v>1249</v>
      </c>
      <c r="K90" s="3">
        <f>F90*J90</f>
        <v/>
      </c>
      <c r="L90" s="3" t="n">
        <v>311</v>
      </c>
      <c r="M90" s="3">
        <f>F90*L90</f>
        <v/>
      </c>
      <c r="N90" s="3">
        <f>H90+J90+L90</f>
        <v/>
      </c>
      <c r="O90" s="3">
        <f>I90+K90+M90</f>
        <v/>
      </c>
      <c r="Q90" t="inlineStr">
        <is>
          <t>대형장비</t>
        </is>
      </c>
    </row>
    <row r="91" ht="24" customHeight="1" s="34">
      <c r="A91" t="inlineStr">
        <is>
          <t>04 진입도로</t>
        </is>
      </c>
      <c r="B91" t="inlineStr">
        <is>
          <t>4. 포 장 공</t>
        </is>
      </c>
      <c r="C91" t="n">
        <v>2</v>
      </c>
      <c r="D91" t="inlineStr">
        <is>
          <t>2). 아스팔트 중간층 기계포설(대형장비)</t>
        </is>
      </c>
      <c r="E91" t="inlineStr">
        <is>
          <t>3.0m≤B, T=5cm</t>
        </is>
      </c>
      <c r="F91" t="n">
        <v>2180</v>
      </c>
      <c r="G91" t="inlineStr">
        <is>
          <t>㎡</t>
        </is>
      </c>
      <c r="H91" s="3" t="n">
        <v>177</v>
      </c>
      <c r="I91" s="3">
        <f>F91*H91</f>
        <v/>
      </c>
      <c r="J91" s="3" t="n">
        <v>1249</v>
      </c>
      <c r="K91" s="3">
        <f>F91*J91</f>
        <v/>
      </c>
      <c r="L91" s="3" t="n">
        <v>311</v>
      </c>
      <c r="M91" s="3">
        <f>F91*L91</f>
        <v/>
      </c>
      <c r="N91" s="3">
        <f>H91+J91+L91</f>
        <v/>
      </c>
      <c r="O91" s="3">
        <f>I91+K91+M91</f>
        <v/>
      </c>
      <c r="Q91" t="inlineStr">
        <is>
          <t>대형장비</t>
        </is>
      </c>
    </row>
    <row r="92" ht="24" customHeight="1" s="34">
      <c r="A92" t="inlineStr">
        <is>
          <t>04 진입도로</t>
        </is>
      </c>
      <c r="B92" t="inlineStr">
        <is>
          <t>4. 포 장 공</t>
        </is>
      </c>
      <c r="C92" t="n">
        <v>3</v>
      </c>
      <c r="D92" t="inlineStr">
        <is>
          <t>3). 아스팔트 기층 기계포설(대형장비)</t>
        </is>
      </c>
      <c r="E92" t="inlineStr">
        <is>
          <t>3.0m≤B, T=15cm, 2회</t>
        </is>
      </c>
      <c r="F92" t="n">
        <v>2180</v>
      </c>
      <c r="G92" t="inlineStr">
        <is>
          <t>㎡</t>
        </is>
      </c>
      <c r="H92" s="3" t="n">
        <v>0</v>
      </c>
      <c r="I92" s="3">
        <f>F92*H92</f>
        <v/>
      </c>
      <c r="J92" s="3" t="n">
        <v>0</v>
      </c>
      <c r="K92" s="3">
        <f>F92*J92</f>
        <v/>
      </c>
      <c r="L92" s="3" t="n">
        <v>0</v>
      </c>
      <c r="M92" s="3">
        <f>F92*L92</f>
        <v/>
      </c>
      <c r="N92" s="3">
        <f>H92+J92+L92</f>
        <v/>
      </c>
      <c r="O92" s="3">
        <f>I92+K92+M92</f>
        <v/>
      </c>
      <c r="Q92" t="inlineStr">
        <is>
          <t>대형장비</t>
        </is>
      </c>
    </row>
    <row r="93" ht="24" customHeight="1" s="34">
      <c r="A93" t="inlineStr">
        <is>
          <t>04 진입도로</t>
        </is>
      </c>
      <c r="B93" t="inlineStr">
        <is>
          <t>4. 포 장 공</t>
        </is>
      </c>
      <c r="C93" t="n">
        <v>4</v>
      </c>
      <c r="D93" t="inlineStr">
        <is>
          <t>4). 텍코팅(기계식)</t>
        </is>
      </c>
      <c r="E93" t="inlineStr">
        <is>
          <t>RSC-4:45ℓ/a, 2회</t>
        </is>
      </c>
      <c r="F93" t="n">
        <v>2180</v>
      </c>
      <c r="G93" t="inlineStr">
        <is>
          <t>㎡</t>
        </is>
      </c>
      <c r="H93" s="3" t="n">
        <v>11</v>
      </c>
      <c r="I93" s="3">
        <f>F93*H93</f>
        <v/>
      </c>
      <c r="J93" s="3" t="n">
        <v>36</v>
      </c>
      <c r="K93" s="3">
        <f>F93*J93</f>
        <v/>
      </c>
      <c r="L93" s="3" t="n">
        <v>1</v>
      </c>
      <c r="M93" s="3">
        <f>F93*L93</f>
        <v/>
      </c>
      <c r="N93" s="3">
        <f>H93+J93+L93</f>
        <v/>
      </c>
      <c r="O93" s="3">
        <f>I93+K93+M93</f>
        <v/>
      </c>
      <c r="Q93" t="inlineStr">
        <is>
          <t>4). 텍코팅</t>
        </is>
      </c>
    </row>
    <row r="94" ht="24" customHeight="1" s="34">
      <c r="A94" t="inlineStr">
        <is>
          <t>04 진입도로</t>
        </is>
      </c>
      <c r="B94" t="inlineStr">
        <is>
          <t>4. 포 장 공</t>
        </is>
      </c>
      <c r="C94" t="n">
        <v>5</v>
      </c>
      <c r="D94" t="inlineStr">
        <is>
          <t>5). 텍코팅(기계식)</t>
        </is>
      </c>
      <c r="E94" t="inlineStr">
        <is>
          <t>RSC-4:45ℓ/a</t>
        </is>
      </c>
      <c r="F94" t="n">
        <v>2180</v>
      </c>
      <c r="G94" t="inlineStr">
        <is>
          <t>㎡</t>
        </is>
      </c>
      <c r="H94" s="3" t="n">
        <v>11</v>
      </c>
      <c r="I94" s="3">
        <f>F94*H94</f>
        <v/>
      </c>
      <c r="J94" s="3" t="n">
        <v>36</v>
      </c>
      <c r="K94" s="3">
        <f>F94*J94</f>
        <v/>
      </c>
      <c r="L94" s="3" t="n">
        <v>1</v>
      </c>
      <c r="M94" s="3">
        <f>F94*L94</f>
        <v/>
      </c>
      <c r="N94" s="3">
        <f>H94+J94+L94</f>
        <v/>
      </c>
      <c r="O94" s="3">
        <f>I94+K94+M94</f>
        <v/>
      </c>
      <c r="Q94" t="inlineStr">
        <is>
          <t>5). 텍코팅</t>
        </is>
      </c>
    </row>
    <row r="95" ht="24" customHeight="1" s="34">
      <c r="A95" t="inlineStr">
        <is>
          <t>04 진입도로</t>
        </is>
      </c>
      <c r="B95" t="inlineStr">
        <is>
          <t>4. 포 장 공</t>
        </is>
      </c>
      <c r="C95" t="n">
        <v>6</v>
      </c>
      <c r="D95" t="inlineStr">
        <is>
          <t>6). 프라임코팅(기계식)</t>
        </is>
      </c>
      <c r="E95" t="inlineStr">
        <is>
          <t>RSC-3:150ℓ/a</t>
        </is>
      </c>
      <c r="F95" t="n">
        <v>4360</v>
      </c>
      <c r="G95" t="inlineStr">
        <is>
          <t>㎡</t>
        </is>
      </c>
      <c r="H95" s="3" t="n">
        <v>11</v>
      </c>
      <c r="I95" s="3">
        <f>F95*H95</f>
        <v/>
      </c>
      <c r="J95" s="3" t="n">
        <v>36</v>
      </c>
      <c r="K95" s="3">
        <f>F95*J95</f>
        <v/>
      </c>
      <c r="L95" s="3" t="n">
        <v>1</v>
      </c>
      <c r="M95" s="3">
        <f>F95*L95</f>
        <v/>
      </c>
      <c r="N95" s="3">
        <f>H95+J95+L95</f>
        <v/>
      </c>
      <c r="O95" s="3">
        <f>I95+K95+M95</f>
        <v/>
      </c>
      <c r="Q95" t="inlineStr">
        <is>
          <t>6). 프라임코팅</t>
        </is>
      </c>
    </row>
    <row r="96" ht="24" customHeight="1" s="34">
      <c r="A96" t="inlineStr">
        <is>
          <t>04 진입도로</t>
        </is>
      </c>
      <c r="B96" t="inlineStr">
        <is>
          <t>4. 포 장 공</t>
        </is>
      </c>
      <c r="C96" t="n">
        <v>7</v>
      </c>
      <c r="D96" t="inlineStr">
        <is>
          <t>7). 보조기층(기계시공)</t>
        </is>
      </c>
      <c r="E96" t="inlineStr">
        <is>
          <t>본선포장, T=20cm</t>
        </is>
      </c>
      <c r="F96" t="n">
        <v>678</v>
      </c>
      <c r="G96" t="inlineStr">
        <is>
          <t>㎥</t>
        </is>
      </c>
      <c r="H96" s="3" t="n">
        <v>2216</v>
      </c>
      <c r="I96" s="3">
        <f>F96*H96</f>
        <v/>
      </c>
      <c r="J96" s="3" t="n">
        <v>7533</v>
      </c>
      <c r="K96" s="3">
        <f>F96*J96</f>
        <v/>
      </c>
      <c r="L96" s="3" t="n">
        <v>2292</v>
      </c>
      <c r="M96" s="3">
        <f>F96*L96</f>
        <v/>
      </c>
      <c r="N96" s="3">
        <f>H96+J96+L96</f>
        <v/>
      </c>
      <c r="O96" s="3">
        <f>I96+K96+M96</f>
        <v/>
      </c>
      <c r="Q96" t="inlineStr">
        <is>
          <t>기계시공</t>
        </is>
      </c>
    </row>
    <row r="97" ht="24" customHeight="1" s="34">
      <c r="A97" t="inlineStr">
        <is>
          <t>04 진입도로</t>
        </is>
      </c>
      <c r="B97" t="inlineStr">
        <is>
          <t>4. 포 장 공</t>
        </is>
      </c>
      <c r="C97" t="n">
        <v>8</v>
      </c>
      <c r="D97" t="inlineStr">
        <is>
          <t>가). 보도용블럭포장(소형)</t>
        </is>
      </c>
      <c r="E97" t="inlineStr">
        <is>
          <t>A-TYPE, T=8㎝이하</t>
        </is>
      </c>
      <c r="F97" t="n">
        <v>840</v>
      </c>
      <c r="G97" t="inlineStr">
        <is>
          <t>㎡</t>
        </is>
      </c>
      <c r="H97" s="3" t="n">
        <v>596</v>
      </c>
      <c r="I97" s="3">
        <f>F97*H97</f>
        <v/>
      </c>
      <c r="J97" s="3" t="n">
        <v>7175</v>
      </c>
      <c r="K97" s="3">
        <f>F97*J97</f>
        <v/>
      </c>
      <c r="L97" s="3" t="n">
        <v>641</v>
      </c>
      <c r="M97" s="3">
        <f>F97*L97</f>
        <v/>
      </c>
      <c r="N97" s="3">
        <f>H97+J97+L97</f>
        <v/>
      </c>
      <c r="O97" s="3">
        <f>I97+K97+M97</f>
        <v/>
      </c>
      <c r="Q97" t="inlineStr">
        <is>
          <t>소형</t>
        </is>
      </c>
    </row>
    <row r="98" ht="24" customHeight="1" s="34">
      <c r="A98" t="inlineStr">
        <is>
          <t>04 진입도로</t>
        </is>
      </c>
      <c r="B98" t="inlineStr">
        <is>
          <t>4. 포 장 공</t>
        </is>
      </c>
      <c r="C98" t="n">
        <v>9</v>
      </c>
      <c r="D98" t="inlineStr">
        <is>
          <t>나). 보조기층(인력식)</t>
        </is>
      </c>
      <c r="E98" t="inlineStr">
        <is>
          <t>소규모장비</t>
        </is>
      </c>
      <c r="F98" t="n">
        <v>84</v>
      </c>
      <c r="G98" t="inlineStr">
        <is>
          <t>㎥</t>
        </is>
      </c>
      <c r="H98" s="3" t="n">
        <v>1320</v>
      </c>
      <c r="I98" s="3">
        <f>F98*H98</f>
        <v/>
      </c>
      <c r="J98" s="3" t="n">
        <v>11220</v>
      </c>
      <c r="K98" s="3">
        <f>F98*J98</f>
        <v/>
      </c>
      <c r="L98" s="3" t="n">
        <v>1521</v>
      </c>
      <c r="M98" s="3">
        <f>F98*L98</f>
        <v/>
      </c>
      <c r="N98" s="3">
        <f>H98+J98+L98</f>
        <v/>
      </c>
      <c r="O98" s="3">
        <f>I98+K98+M98</f>
        <v/>
      </c>
      <c r="Q98" t="inlineStr">
        <is>
          <t>소규모장비</t>
        </is>
      </c>
    </row>
    <row r="99" ht="24" customHeight="1" s="34">
      <c r="A99" t="inlineStr">
        <is>
          <t>04 진입도로</t>
        </is>
      </c>
      <c r="B99" t="inlineStr">
        <is>
          <t>4. 포 장 공</t>
        </is>
      </c>
      <c r="C99" t="n">
        <v>10</v>
      </c>
      <c r="D99" t="inlineStr">
        <is>
          <t>가). 보도용블럭포장(유도블록)</t>
        </is>
      </c>
      <c r="E99" t="inlineStr">
        <is>
          <t>A-TYPE, T=6㎝이하</t>
        </is>
      </c>
      <c r="F99" t="n">
        <v>184</v>
      </c>
      <c r="G99" t="inlineStr">
        <is>
          <t>㎡</t>
        </is>
      </c>
      <c r="H99" s="3" t="n">
        <v>445</v>
      </c>
      <c r="I99" s="3">
        <f>F99*H99</f>
        <v/>
      </c>
      <c r="J99" s="3" t="n">
        <v>1402</v>
      </c>
      <c r="K99" s="3">
        <f>F99*J99</f>
        <v/>
      </c>
      <c r="L99" s="3" t="n">
        <v>783</v>
      </c>
      <c r="M99" s="3">
        <f>F99*L99</f>
        <v/>
      </c>
      <c r="N99" s="3">
        <f>H99+J99+L99</f>
        <v/>
      </c>
      <c r="O99" s="3">
        <f>I99+K99+M99</f>
        <v/>
      </c>
      <c r="Q99" t="inlineStr">
        <is>
          <t>A-TYPE</t>
        </is>
      </c>
    </row>
    <row r="100" ht="24" customHeight="1" s="34">
      <c r="A100" t="inlineStr">
        <is>
          <t>04 진입도로</t>
        </is>
      </c>
      <c r="B100" t="inlineStr">
        <is>
          <t>4. 포 장 공</t>
        </is>
      </c>
      <c r="C100" t="n">
        <v>11</v>
      </c>
      <c r="D100" t="inlineStr">
        <is>
          <t>나). 보도용블럭포장(점자블록)</t>
        </is>
      </c>
      <c r="E100" t="inlineStr">
        <is>
          <t>A-TYPE, T=6㎝이하</t>
        </is>
      </c>
      <c r="F100" t="n">
        <v>11</v>
      </c>
      <c r="G100" t="inlineStr">
        <is>
          <t>㎡</t>
        </is>
      </c>
      <c r="H100" s="3" t="n">
        <v>445</v>
      </c>
      <c r="I100" s="3">
        <f>F100*H100</f>
        <v/>
      </c>
      <c r="J100" s="3" t="n">
        <v>1402</v>
      </c>
      <c r="K100" s="3">
        <f>F100*J100</f>
        <v/>
      </c>
      <c r="L100" s="3" t="n">
        <v>783</v>
      </c>
      <c r="M100" s="3">
        <f>F100*L100</f>
        <v/>
      </c>
      <c r="N100" s="3">
        <f>H100+J100+L100</f>
        <v/>
      </c>
      <c r="O100" s="3">
        <f>I100+K100+M100</f>
        <v/>
      </c>
      <c r="Q100" t="inlineStr">
        <is>
          <t>A-TYPE</t>
        </is>
      </c>
    </row>
    <row r="101" ht="24" customHeight="1" s="34">
      <c r="A101" t="inlineStr">
        <is>
          <t>04 진입도로</t>
        </is>
      </c>
      <c r="B101" t="inlineStr">
        <is>
          <t>4. 포 장 공</t>
        </is>
      </c>
      <c r="C101" t="n">
        <v>12</v>
      </c>
      <c r="D101" t="inlineStr">
        <is>
          <t>다). 보조기층(인력식)</t>
        </is>
      </c>
      <c r="E101" t="inlineStr">
        <is>
          <t>T=10cm, 소규모장비</t>
        </is>
      </c>
      <c r="F101" t="n">
        <v>20</v>
      </c>
      <c r="G101" t="inlineStr">
        <is>
          <t>㎥</t>
        </is>
      </c>
      <c r="H101" s="3" t="n">
        <v>1320</v>
      </c>
      <c r="I101" s="3">
        <f>F101*H101</f>
        <v/>
      </c>
      <c r="J101" s="3" t="n">
        <v>11220</v>
      </c>
      <c r="K101" s="3">
        <f>F101*J101</f>
        <v/>
      </c>
      <c r="L101" s="3" t="n">
        <v>1521</v>
      </c>
      <c r="M101" s="3">
        <f>F101*L101</f>
        <v/>
      </c>
      <c r="N101" s="3">
        <f>H101+J101+L101</f>
        <v/>
      </c>
      <c r="O101" s="3">
        <f>I101+K101+M101</f>
        <v/>
      </c>
      <c r="Q101" t="inlineStr">
        <is>
          <t>인력식</t>
        </is>
      </c>
    </row>
    <row r="102" ht="24" customHeight="1" s="34">
      <c r="A102" t="inlineStr">
        <is>
          <t>04 진입도로</t>
        </is>
      </c>
      <c r="B102" t="inlineStr">
        <is>
          <t>4. 포 장 공</t>
        </is>
      </c>
      <c r="C102" t="n">
        <v>13</v>
      </c>
      <c r="D102" t="inlineStr">
        <is>
          <t>1). 미끄럼방지공</t>
        </is>
      </c>
      <c r="E102" t="inlineStr">
        <is>
          <t>전면식</t>
        </is>
      </c>
      <c r="F102" t="n">
        <v>420</v>
      </c>
      <c r="G102" t="inlineStr">
        <is>
          <t>㎡</t>
        </is>
      </c>
      <c r="H102" s="3" t="n">
        <v>5499</v>
      </c>
      <c r="I102" s="3">
        <f>F102*H102</f>
        <v/>
      </c>
      <c r="J102" s="3" t="n">
        <v>71313</v>
      </c>
      <c r="K102" s="3">
        <f>F102*J102</f>
        <v/>
      </c>
      <c r="L102" s="3" t="n">
        <v>3096</v>
      </c>
      <c r="M102" s="3">
        <f>F102*L102</f>
        <v/>
      </c>
      <c r="N102" s="3">
        <f>H102+J102+L102</f>
        <v/>
      </c>
      <c r="O102" s="3">
        <f>I102+K102+M102</f>
        <v/>
      </c>
      <c r="Q102" t="inlineStr">
        <is>
          <t>전면식</t>
        </is>
      </c>
    </row>
    <row r="103" ht="24" customHeight="1" s="34">
      <c r="A103" t="inlineStr">
        <is>
          <t>04 진입도로</t>
        </is>
      </c>
      <c r="B103" t="inlineStr">
        <is>
          <t>4. 포 장 공</t>
        </is>
      </c>
      <c r="C103" t="n">
        <v>14</v>
      </c>
      <c r="D103" t="inlineStr">
        <is>
          <t>1). 아스팔트 표층 기계포설(대형장비)</t>
        </is>
      </c>
      <c r="E103" t="inlineStr">
        <is>
          <t>3.0m≤B, T=10cm</t>
        </is>
      </c>
      <c r="F103" t="n">
        <v>76</v>
      </c>
      <c r="G103" t="inlineStr">
        <is>
          <t>㎡</t>
        </is>
      </c>
      <c r="H103" s="3" t="n">
        <v>177</v>
      </c>
      <c r="I103" s="3">
        <f>F103*H103</f>
        <v/>
      </c>
      <c r="J103" s="3" t="n">
        <v>1249</v>
      </c>
      <c r="K103" s="3">
        <f>F103*J103</f>
        <v/>
      </c>
      <c r="L103" s="3" t="n">
        <v>311</v>
      </c>
      <c r="M103" s="3">
        <f>F103*L103</f>
        <v/>
      </c>
      <c r="N103" s="3">
        <f>H103+J103+L103</f>
        <v/>
      </c>
      <c r="O103" s="3">
        <f>I103+K103+M103</f>
        <v/>
      </c>
      <c r="Q103" t="inlineStr">
        <is>
          <t>대형장비</t>
        </is>
      </c>
    </row>
    <row r="104" ht="24" customHeight="1" s="34">
      <c r="A104" t="inlineStr">
        <is>
          <t>04 진입도로</t>
        </is>
      </c>
      <c r="B104" t="inlineStr">
        <is>
          <t>4. 포 장 공</t>
        </is>
      </c>
      <c r="C104" t="n">
        <v>15</v>
      </c>
      <c r="D104" t="inlineStr">
        <is>
          <t>2). 텍코팅(기계식)</t>
        </is>
      </c>
      <c r="E104" t="inlineStr">
        <is>
          <t>RSC-4:45ℓ/a</t>
        </is>
      </c>
      <c r="F104" t="n">
        <v>152</v>
      </c>
      <c r="G104" t="inlineStr">
        <is>
          <t>㎡</t>
        </is>
      </c>
      <c r="H104" s="3" t="n">
        <v>11</v>
      </c>
      <c r="I104" s="3">
        <f>F104*H104</f>
        <v/>
      </c>
      <c r="J104" s="3" t="n">
        <v>36</v>
      </c>
      <c r="K104" s="3">
        <f>F104*J104</f>
        <v/>
      </c>
      <c r="L104" s="3" t="n">
        <v>1</v>
      </c>
      <c r="M104" s="3">
        <f>F104*L104</f>
        <v/>
      </c>
      <c r="N104" s="3">
        <f>H104+J104+L104</f>
        <v/>
      </c>
      <c r="O104" s="3">
        <f>I104+K104+M104</f>
        <v/>
      </c>
      <c r="Q104" t="inlineStr">
        <is>
          <t>2). 텍코팅</t>
        </is>
      </c>
    </row>
    <row r="105" ht="24" customHeight="1" s="34">
      <c r="A105" t="inlineStr">
        <is>
          <t>04 진입도로</t>
        </is>
      </c>
      <c r="B105" t="inlineStr">
        <is>
          <t>4. 포 장 공</t>
        </is>
      </c>
      <c r="C105" t="n">
        <v>16</v>
      </c>
      <c r="D105" t="inlineStr">
        <is>
          <t>3). 차선도색(융착식,수동식),신설구간</t>
        </is>
      </c>
      <c r="E105" t="inlineStr">
        <is>
          <t>백색-실선</t>
        </is>
      </c>
      <c r="F105" t="n">
        <v>38</v>
      </c>
      <c r="G105" t="inlineStr">
        <is>
          <t>㎡</t>
        </is>
      </c>
      <c r="H105" s="3" t="n">
        <v>21956</v>
      </c>
      <c r="I105" s="3">
        <f>F105*H105</f>
        <v/>
      </c>
      <c r="J105" s="3" t="n">
        <v>5987</v>
      </c>
      <c r="K105" s="3">
        <f>F105*J105</f>
        <v/>
      </c>
      <c r="L105" s="3" t="n">
        <v>724</v>
      </c>
      <c r="M105" s="3">
        <f>F105*L105</f>
        <v/>
      </c>
      <c r="N105" s="3">
        <f>H105+J105+L105</f>
        <v/>
      </c>
      <c r="O105" s="3">
        <f>I105+K105+M105</f>
        <v/>
      </c>
      <c r="Q105" t="inlineStr">
        <is>
          <t>융착식</t>
        </is>
      </c>
    </row>
    <row r="106" ht="24" customHeight="1" s="34">
      <c r="A106" t="inlineStr">
        <is>
          <t>04 진입도로</t>
        </is>
      </c>
      <c r="B106" t="inlineStr">
        <is>
          <t>4. 포 장 공</t>
        </is>
      </c>
      <c r="C106" t="n">
        <v>17</v>
      </c>
      <c r="D106" t="inlineStr">
        <is>
          <t>4). 차선도색(융착식,수동식),신설구간</t>
        </is>
      </c>
      <c r="E106" t="inlineStr">
        <is>
          <t>황색-실선</t>
        </is>
      </c>
      <c r="F106" t="n">
        <v>38</v>
      </c>
      <c r="G106" t="inlineStr">
        <is>
          <t>㎡</t>
        </is>
      </c>
      <c r="H106" s="3" t="n">
        <v>21956</v>
      </c>
      <c r="I106" s="3">
        <f>F106*H106</f>
        <v/>
      </c>
      <c r="J106" s="3" t="n">
        <v>5987</v>
      </c>
      <c r="K106" s="3">
        <f>F106*J106</f>
        <v/>
      </c>
      <c r="L106" s="3" t="n">
        <v>724</v>
      </c>
      <c r="M106" s="3">
        <f>F106*L106</f>
        <v/>
      </c>
      <c r="N106" s="3">
        <f>H106+J106+L106</f>
        <v/>
      </c>
      <c r="O106" s="3">
        <f>I106+K106+M106</f>
        <v/>
      </c>
      <c r="Q106" t="inlineStr">
        <is>
          <t>융착식</t>
        </is>
      </c>
    </row>
    <row r="107" ht="24" customHeight="1" s="34">
      <c r="A107" t="inlineStr">
        <is>
          <t>04 진입도로</t>
        </is>
      </c>
      <c r="B107" t="inlineStr">
        <is>
          <t>4. 포 장 공</t>
        </is>
      </c>
      <c r="C107" t="n">
        <v>18</v>
      </c>
      <c r="D107" t="inlineStr">
        <is>
          <t>5). 차선도색(차로밑그림),신설구간</t>
        </is>
      </c>
      <c r="E107" t="inlineStr">
        <is>
          <t>실선</t>
        </is>
      </c>
      <c r="F107" t="n">
        <v>76</v>
      </c>
      <c r="G107" t="inlineStr">
        <is>
          <t>㎡</t>
        </is>
      </c>
      <c r="H107" s="3" t="n">
        <v>3499</v>
      </c>
      <c r="I107" s="3">
        <f>F107*H107</f>
        <v/>
      </c>
      <c r="J107" s="3" t="n">
        <v>39163</v>
      </c>
      <c r="K107" s="3">
        <f>F107*J107</f>
        <v/>
      </c>
      <c r="L107" s="3" t="n">
        <v>2355</v>
      </c>
      <c r="M107" s="3">
        <f>F107*L107</f>
        <v/>
      </c>
      <c r="N107" s="3">
        <f>H107+J107+L107</f>
        <v/>
      </c>
      <c r="O107" s="3">
        <f>I107+K107+M107</f>
        <v/>
      </c>
      <c r="Q107" t="inlineStr">
        <is>
          <t>5). 차선도색</t>
        </is>
      </c>
    </row>
    <row r="108" ht="24" customHeight="1" s="34">
      <c r="A108" t="inlineStr">
        <is>
          <t>04 진입도로</t>
        </is>
      </c>
      <c r="B108" t="inlineStr">
        <is>
          <t>4. 포 장 공</t>
        </is>
      </c>
      <c r="C108" t="n">
        <v>19</v>
      </c>
      <c r="D108" t="inlineStr">
        <is>
          <t>가). 보차도경계석 설치</t>
        </is>
      </c>
      <c r="E108" t="inlineStr">
        <is>
          <t>180×200×1000, A-TYPE(직선구간)</t>
        </is>
      </c>
      <c r="F108" t="n">
        <v>623</v>
      </c>
      <c r="G108" t="inlineStr">
        <is>
          <t>m</t>
        </is>
      </c>
      <c r="H108" s="3" t="n">
        <v>659</v>
      </c>
      <c r="I108" s="3">
        <f>F108*H108</f>
        <v/>
      </c>
      <c r="J108" s="3" t="n">
        <v>6686</v>
      </c>
      <c r="K108" s="3">
        <f>F108*J108</f>
        <v/>
      </c>
      <c r="L108" s="3" t="n">
        <v>522</v>
      </c>
      <c r="M108" s="3">
        <f>F108*L108</f>
        <v/>
      </c>
      <c r="N108" s="3">
        <f>H108+J108+L108</f>
        <v/>
      </c>
      <c r="O108" s="3">
        <f>I108+K108+M108</f>
        <v/>
      </c>
      <c r="Q108" t="inlineStr">
        <is>
          <t>직선구간</t>
        </is>
      </c>
    </row>
    <row r="109" ht="24" customHeight="1" s="34">
      <c r="A109" t="inlineStr">
        <is>
          <t>04 진입도로</t>
        </is>
      </c>
      <c r="B109" t="inlineStr">
        <is>
          <t>4. 포 장 공</t>
        </is>
      </c>
      <c r="C109" t="n">
        <v>20</v>
      </c>
      <c r="D109" t="inlineStr">
        <is>
          <t>나). 보차도경계석 설치(경사)</t>
        </is>
      </c>
      <c r="E109" t="inlineStr">
        <is>
          <t>180×200~100×1000, A-TYPE(곡선구간)</t>
        </is>
      </c>
      <c r="F109" t="n">
        <v>11</v>
      </c>
      <c r="G109" t="inlineStr">
        <is>
          <t>m</t>
        </is>
      </c>
      <c r="H109" s="3" t="n">
        <v>771</v>
      </c>
      <c r="I109" s="3">
        <f>F109*H109</f>
        <v/>
      </c>
      <c r="J109" s="3" t="n">
        <v>7823</v>
      </c>
      <c r="K109" s="3">
        <f>F109*J109</f>
        <v/>
      </c>
      <c r="L109" s="3" t="n">
        <v>610</v>
      </c>
      <c r="M109" s="3">
        <f>F109*L109</f>
        <v/>
      </c>
      <c r="N109" s="3">
        <f>H109+J109+L109</f>
        <v/>
      </c>
      <c r="O109" s="3">
        <f>I109+K109+M109</f>
        <v/>
      </c>
      <c r="Q109" t="inlineStr">
        <is>
          <t>곡선구간</t>
        </is>
      </c>
    </row>
    <row r="110" ht="24" customHeight="1" s="34">
      <c r="A110" t="inlineStr">
        <is>
          <t>04 진입도로</t>
        </is>
      </c>
      <c r="B110" t="inlineStr">
        <is>
          <t>4. 포 장 공</t>
        </is>
      </c>
      <c r="C110" t="n">
        <v>21</v>
      </c>
      <c r="D110" t="inlineStr">
        <is>
          <t>다). 보차도경계석 설치(낮춤)</t>
        </is>
      </c>
      <c r="E110" t="inlineStr">
        <is>
          <t>180×100×1000, A-TYPE(곡선구간)</t>
        </is>
      </c>
      <c r="F110" t="n">
        <v>26</v>
      </c>
      <c r="G110" t="inlineStr">
        <is>
          <t>m</t>
        </is>
      </c>
      <c r="H110" s="3" t="n">
        <v>771</v>
      </c>
      <c r="I110" s="3">
        <f>F110*H110</f>
        <v/>
      </c>
      <c r="J110" s="3" t="n">
        <v>7823</v>
      </c>
      <c r="K110" s="3">
        <f>F110*J110</f>
        <v/>
      </c>
      <c r="L110" s="3" t="n">
        <v>610</v>
      </c>
      <c r="M110" s="3">
        <f>F110*L110</f>
        <v/>
      </c>
      <c r="N110" s="3">
        <f>H110+J110+L110</f>
        <v/>
      </c>
      <c r="O110" s="3">
        <f>I110+K110+M110</f>
        <v/>
      </c>
      <c r="Q110" t="inlineStr">
        <is>
          <t>곡선구간</t>
        </is>
      </c>
    </row>
    <row r="111" ht="24" customHeight="1" s="34">
      <c r="A111" t="inlineStr">
        <is>
          <t>04 진입도로</t>
        </is>
      </c>
      <c r="B111" t="inlineStr">
        <is>
          <t>4. 포 장 공</t>
        </is>
      </c>
      <c r="C111" t="n">
        <v>22</v>
      </c>
      <c r="D111" t="inlineStr">
        <is>
          <t>가). 도로경계석 설치</t>
        </is>
      </c>
      <c r="E111" t="inlineStr">
        <is>
          <t>120×120×1000, A-TYPE(직선구간)</t>
        </is>
      </c>
      <c r="F111" t="n">
        <v>385</v>
      </c>
      <c r="G111" t="inlineStr">
        <is>
          <t>m</t>
        </is>
      </c>
      <c r="H111" s="3" t="n">
        <v>659</v>
      </c>
      <c r="I111" s="3">
        <f>F111*H111</f>
        <v/>
      </c>
      <c r="J111" s="3" t="n">
        <v>6686</v>
      </c>
      <c r="K111" s="3">
        <f>F111*J111</f>
        <v/>
      </c>
      <c r="L111" s="3" t="n">
        <v>522</v>
      </c>
      <c r="M111" s="3">
        <f>F111*L111</f>
        <v/>
      </c>
      <c r="N111" s="3">
        <f>H111+J111+L111</f>
        <v/>
      </c>
      <c r="O111" s="3">
        <f>I111+K111+M111</f>
        <v/>
      </c>
      <c r="Q111" t="inlineStr">
        <is>
          <t>직선구간</t>
        </is>
      </c>
    </row>
    <row r="112" ht="24" customHeight="1" s="34">
      <c r="A112" t="inlineStr">
        <is>
          <t>04 진입도로</t>
        </is>
      </c>
      <c r="B112" t="inlineStr">
        <is>
          <t>4. 포 장 공</t>
        </is>
      </c>
      <c r="C112" t="n">
        <v>23</v>
      </c>
      <c r="D112" t="inlineStr">
        <is>
          <t>1). 아스팔트절삭및덧씌우기</t>
        </is>
      </c>
      <c r="F112" t="n">
        <v>552</v>
      </c>
      <c r="G112" t="inlineStr">
        <is>
          <t>m2</t>
        </is>
      </c>
      <c r="H112" s="3" t="n">
        <v>445</v>
      </c>
      <c r="I112" s="3">
        <f>F112*H112</f>
        <v/>
      </c>
      <c r="J112" s="3" t="n">
        <v>1402</v>
      </c>
      <c r="K112" s="3">
        <f>F112*J112</f>
        <v/>
      </c>
      <c r="L112" s="3" t="n">
        <v>783</v>
      </c>
      <c r="M112" s="3">
        <f>F112*L112</f>
        <v/>
      </c>
      <c r="N112" s="3">
        <f>H112+J112+L112</f>
        <v/>
      </c>
      <c r="O112" s="3">
        <f>I112+K112+M112</f>
        <v/>
      </c>
      <c r="Q112" t="inlineStr">
        <is>
          <t>덧씌우기</t>
        </is>
      </c>
    </row>
    <row r="113" ht="24" customHeight="1" s="34">
      <c r="A113" t="inlineStr">
        <is>
          <t>04 진입도로</t>
        </is>
      </c>
      <c r="B113" t="inlineStr">
        <is>
          <t>4. 포 장 공</t>
        </is>
      </c>
      <c r="C113" t="n">
        <v>24</v>
      </c>
      <c r="D113" t="inlineStr">
        <is>
          <t>가). 교통안전표지판(삼각)(과속방지턱)</t>
        </is>
      </c>
      <c r="E113" t="inlineStr">
        <is>
          <t>1변 900 MM</t>
        </is>
      </c>
      <c r="F113" t="n">
        <v>4</v>
      </c>
      <c r="G113" t="inlineStr">
        <is>
          <t>개</t>
        </is>
      </c>
      <c r="H113" s="3" t="n">
        <v>10164</v>
      </c>
      <c r="I113" s="3">
        <f>F113*H113</f>
        <v/>
      </c>
      <c r="J113" s="3" t="n">
        <v>386451</v>
      </c>
      <c r="K113" s="3">
        <f>F113*J113</f>
        <v/>
      </c>
      <c r="L113" s="3" t="n">
        <v>10071</v>
      </c>
      <c r="M113" s="3">
        <f>F113*L113</f>
        <v/>
      </c>
      <c r="N113" s="3">
        <f>H113+J113+L113</f>
        <v/>
      </c>
      <c r="O113" s="3">
        <f>I113+K113+M113</f>
        <v/>
      </c>
      <c r="Q113" t="inlineStr">
        <is>
          <t>삼각</t>
        </is>
      </c>
    </row>
    <row r="114" ht="24" customHeight="1" s="34">
      <c r="A114" t="inlineStr">
        <is>
          <t>04 진입도로</t>
        </is>
      </c>
      <c r="B114" t="inlineStr">
        <is>
          <t>4. 포 장 공</t>
        </is>
      </c>
      <c r="C114" t="n">
        <v>25</v>
      </c>
      <c r="D114" t="inlineStr">
        <is>
          <t>나). 교통안전표지판(오각)(횡단보도)</t>
        </is>
      </c>
      <c r="E114" t="inlineStr">
        <is>
          <t>600×200×600mm, 횡단보도</t>
        </is>
      </c>
      <c r="F114" t="n">
        <v>2</v>
      </c>
      <c r="G114" t="inlineStr">
        <is>
          <t>개</t>
        </is>
      </c>
      <c r="H114" s="3" t="n">
        <v>10164</v>
      </c>
      <c r="I114" s="3">
        <f>F114*H114</f>
        <v/>
      </c>
      <c r="J114" s="3" t="n">
        <v>386451</v>
      </c>
      <c r="K114" s="3">
        <f>F114*J114</f>
        <v/>
      </c>
      <c r="L114" s="3" t="n">
        <v>10071</v>
      </c>
      <c r="M114" s="3">
        <f>F114*L114</f>
        <v/>
      </c>
      <c r="N114" s="3">
        <f>H114+J114+L114</f>
        <v/>
      </c>
      <c r="O114" s="3">
        <f>I114+K114+M114</f>
        <v/>
      </c>
      <c r="Q114" t="inlineStr">
        <is>
          <t>오각</t>
        </is>
      </c>
    </row>
    <row r="115" ht="24" customHeight="1" s="34">
      <c r="A115" t="inlineStr">
        <is>
          <t>04 진입도로</t>
        </is>
      </c>
      <c r="B115" t="inlineStr">
        <is>
          <t>4. 포 장 공</t>
        </is>
      </c>
      <c r="C115" t="n">
        <v>26</v>
      </c>
      <c r="D115" t="inlineStr">
        <is>
          <t>다). 교통안전표지판(원형)</t>
        </is>
      </c>
      <c r="E115" t="inlineStr">
        <is>
          <t>속도제한</t>
        </is>
      </c>
      <c r="F115" t="n">
        <v>2</v>
      </c>
      <c r="G115" t="inlineStr">
        <is>
          <t>개</t>
        </is>
      </c>
      <c r="H115" s="3" t="n">
        <v>95000</v>
      </c>
      <c r="I115" s="3">
        <f>F115*H115</f>
        <v/>
      </c>
      <c r="J115" s="3" t="n">
        <v>386451</v>
      </c>
      <c r="K115" s="3">
        <f>F115*J115</f>
        <v/>
      </c>
      <c r="L115" s="3" t="n">
        <v>10071</v>
      </c>
      <c r="M115" s="3">
        <f>F115*L115</f>
        <v/>
      </c>
      <c r="N115" s="3">
        <f>H115+J115+L115</f>
        <v/>
      </c>
      <c r="O115" s="3">
        <f>I115+K115+M115</f>
        <v/>
      </c>
      <c r="P115" t="inlineStr">
        <is>
          <t>가영현</t>
        </is>
      </c>
      <c r="Q115" t="inlineStr">
        <is>
          <t>원형</t>
        </is>
      </c>
    </row>
    <row r="116" ht="24" customHeight="1" s="34">
      <c r="A116" t="inlineStr">
        <is>
          <t>04 진입도로</t>
        </is>
      </c>
      <c r="B116" t="inlineStr">
        <is>
          <t>4. 포 장 공</t>
        </is>
      </c>
      <c r="C116" t="n">
        <v>27</v>
      </c>
      <c r="D116" t="inlineStr">
        <is>
          <t>가). 차선도색(페인트,기계식),신설구간</t>
        </is>
      </c>
      <c r="E116" t="inlineStr">
        <is>
          <t>황색-실선</t>
        </is>
      </c>
      <c r="F116" t="n">
        <v>149</v>
      </c>
      <c r="G116" t="inlineStr">
        <is>
          <t>㎡</t>
        </is>
      </c>
      <c r="H116" s="3" t="n">
        <v>4840</v>
      </c>
      <c r="I116" s="3">
        <f>F116*H116</f>
        <v/>
      </c>
      <c r="J116" s="3" t="n">
        <v>3492</v>
      </c>
      <c r="K116" s="3">
        <f>F116*J116</f>
        <v/>
      </c>
      <c r="L116" s="3" t="n">
        <v>247</v>
      </c>
      <c r="M116" s="3">
        <f>F116*L116</f>
        <v/>
      </c>
      <c r="N116" s="3">
        <f>H116+J116+L116</f>
        <v/>
      </c>
      <c r="O116" s="3">
        <f>I116+K116+M116</f>
        <v/>
      </c>
      <c r="Q116" t="inlineStr">
        <is>
          <t>페인트</t>
        </is>
      </c>
    </row>
    <row r="117" ht="24" customHeight="1" s="34">
      <c r="A117" t="inlineStr">
        <is>
          <t>04 진입도로</t>
        </is>
      </c>
      <c r="B117" t="inlineStr">
        <is>
          <t>4. 포 장 공</t>
        </is>
      </c>
      <c r="C117" t="n">
        <v>28</v>
      </c>
      <c r="D117" t="inlineStr">
        <is>
          <t>나). 차선도색(페인트,기계식),신설구간</t>
        </is>
      </c>
      <c r="E117" t="inlineStr">
        <is>
          <t>황색-파선</t>
        </is>
      </c>
      <c r="F117" t="n">
        <v>2</v>
      </c>
      <c r="G117" t="inlineStr">
        <is>
          <t>㎡</t>
        </is>
      </c>
      <c r="H117" s="3" t="n">
        <v>4840</v>
      </c>
      <c r="I117" s="3">
        <f>F117*H117</f>
        <v/>
      </c>
      <c r="J117" s="3" t="n">
        <v>3492</v>
      </c>
      <c r="K117" s="3">
        <f>F117*J117</f>
        <v/>
      </c>
      <c r="L117" s="3" t="n">
        <v>247</v>
      </c>
      <c r="M117" s="3">
        <f>F117*L117</f>
        <v/>
      </c>
      <c r="N117" s="3">
        <f>H117+J117+L117</f>
        <v/>
      </c>
      <c r="O117" s="3">
        <f>I117+K117+M117</f>
        <v/>
      </c>
      <c r="Q117" t="inlineStr">
        <is>
          <t>페인트</t>
        </is>
      </c>
    </row>
    <row r="118" ht="24" customHeight="1" s="34">
      <c r="A118" t="inlineStr">
        <is>
          <t>04 진입도로</t>
        </is>
      </c>
      <c r="B118" t="inlineStr">
        <is>
          <t>4. 포 장 공</t>
        </is>
      </c>
      <c r="C118" t="n">
        <v>29</v>
      </c>
      <c r="D118" t="inlineStr">
        <is>
          <t>다). 차선도색(융착식,수동식),신설구간</t>
        </is>
      </c>
      <c r="E118" t="inlineStr">
        <is>
          <t>횡단보도,주차장</t>
        </is>
      </c>
      <c r="F118" t="n">
        <v>59</v>
      </c>
      <c r="G118" t="inlineStr">
        <is>
          <t>㎡</t>
        </is>
      </c>
      <c r="H118" s="3" t="n">
        <v>21956</v>
      </c>
      <c r="I118" s="3">
        <f>F118*H118</f>
        <v/>
      </c>
      <c r="J118" s="3" t="n">
        <v>5987</v>
      </c>
      <c r="K118" s="3">
        <f>F118*J118</f>
        <v/>
      </c>
      <c r="L118" s="3" t="n">
        <v>724</v>
      </c>
      <c r="M118" s="3">
        <f>F118*L118</f>
        <v/>
      </c>
      <c r="N118" s="3">
        <f>H118+J118+L118</f>
        <v/>
      </c>
      <c r="O118" s="3">
        <f>I118+K118+M118</f>
        <v/>
      </c>
      <c r="Q118" t="inlineStr">
        <is>
          <t>융착식</t>
        </is>
      </c>
    </row>
    <row r="119" ht="24" customHeight="1" s="34">
      <c r="A119" t="inlineStr">
        <is>
          <t>04 진입도로</t>
        </is>
      </c>
      <c r="B119" t="inlineStr">
        <is>
          <t>4. 포 장 공</t>
        </is>
      </c>
      <c r="C119" t="n">
        <v>30</v>
      </c>
      <c r="D119" t="inlineStr">
        <is>
          <t>라). 차선도색(융착식,수동식),신설구간</t>
        </is>
      </c>
      <c r="E119" t="inlineStr">
        <is>
          <t>문자,기호</t>
        </is>
      </c>
      <c r="F119" t="n">
        <v>7</v>
      </c>
      <c r="G119" t="inlineStr">
        <is>
          <t>㎡</t>
        </is>
      </c>
      <c r="H119" s="3" t="n">
        <v>21956</v>
      </c>
      <c r="I119" s="3">
        <f>F119*H119</f>
        <v/>
      </c>
      <c r="J119" s="3" t="n">
        <v>5987</v>
      </c>
      <c r="K119" s="3">
        <f>F119*J119</f>
        <v/>
      </c>
      <c r="L119" s="3" t="n">
        <v>724</v>
      </c>
      <c r="M119" s="3">
        <f>F119*L119</f>
        <v/>
      </c>
      <c r="N119" s="3">
        <f>H119+J119+L119</f>
        <v/>
      </c>
      <c r="O119" s="3">
        <f>I119+K119+M119</f>
        <v/>
      </c>
      <c r="Q119" t="inlineStr">
        <is>
          <t>융착식</t>
        </is>
      </c>
    </row>
    <row r="120" ht="24" customHeight="1" s="34">
      <c r="A120" t="inlineStr">
        <is>
          <t>04 진입도로</t>
        </is>
      </c>
      <c r="B120" t="inlineStr">
        <is>
          <t>4. 포 장 공</t>
        </is>
      </c>
      <c r="C120" t="n">
        <v>31</v>
      </c>
      <c r="D120" t="inlineStr">
        <is>
          <t>마). 차선도색(차로밑그림),신설구간</t>
        </is>
      </c>
      <c r="E120" t="inlineStr">
        <is>
          <t>실선</t>
        </is>
      </c>
      <c r="F120" t="n">
        <v>149</v>
      </c>
      <c r="G120" t="inlineStr">
        <is>
          <t>㎡</t>
        </is>
      </c>
      <c r="H120" s="3" t="n">
        <v>3499</v>
      </c>
      <c r="I120" s="3">
        <f>F120*H120</f>
        <v/>
      </c>
      <c r="J120" s="3" t="n">
        <v>39163</v>
      </c>
      <c r="K120" s="3">
        <f>F120*J120</f>
        <v/>
      </c>
      <c r="L120" s="3" t="n">
        <v>2355</v>
      </c>
      <c r="M120" s="3">
        <f>F120*L120</f>
        <v/>
      </c>
      <c r="N120" s="3">
        <f>H120+J120+L120</f>
        <v/>
      </c>
      <c r="O120" s="3">
        <f>I120+K120+M120</f>
        <v/>
      </c>
      <c r="Q120" t="inlineStr">
        <is>
          <t>마). 차선도색</t>
        </is>
      </c>
    </row>
    <row r="121" ht="24" customHeight="1" s="34">
      <c r="A121" t="inlineStr">
        <is>
          <t>04 진입도로</t>
        </is>
      </c>
      <c r="B121" t="inlineStr">
        <is>
          <t>4. 포 장 공</t>
        </is>
      </c>
      <c r="C121" t="n">
        <v>32</v>
      </c>
      <c r="D121" t="inlineStr">
        <is>
          <t>바). 차선도색(차로밑그림),신설구간</t>
        </is>
      </c>
      <c r="E121" t="inlineStr">
        <is>
          <t>파선</t>
        </is>
      </c>
      <c r="F121" t="n">
        <v>2</v>
      </c>
      <c r="G121" t="inlineStr">
        <is>
          <t>㎡</t>
        </is>
      </c>
      <c r="H121" s="3" t="n">
        <v>3499</v>
      </c>
      <c r="I121" s="3">
        <f>F121*H121</f>
        <v/>
      </c>
      <c r="J121" s="3" t="n">
        <v>39163</v>
      </c>
      <c r="K121" s="3">
        <f>F121*J121</f>
        <v/>
      </c>
      <c r="L121" s="3" t="n">
        <v>2355</v>
      </c>
      <c r="M121" s="3">
        <f>F121*L121</f>
        <v/>
      </c>
      <c r="N121" s="3">
        <f>H121+J121+L121</f>
        <v/>
      </c>
      <c r="O121" s="3">
        <f>I121+K121+M121</f>
        <v/>
      </c>
      <c r="Q121" t="inlineStr">
        <is>
          <t>바). 차선도색</t>
        </is>
      </c>
    </row>
    <row r="122" ht="24" customHeight="1" s="34">
      <c r="A122" t="inlineStr">
        <is>
          <t>04 진입도로</t>
        </is>
      </c>
      <c r="B122" t="inlineStr">
        <is>
          <t>4. 포 장 공</t>
        </is>
      </c>
      <c r="C122" t="n">
        <v>33</v>
      </c>
      <c r="D122" t="inlineStr">
        <is>
          <t>사). 차선도색(차로밑그림),신설구간</t>
        </is>
      </c>
      <c r="E122" t="inlineStr">
        <is>
          <t>횡단보도,주차장</t>
        </is>
      </c>
      <c r="F122" t="n">
        <v>59</v>
      </c>
      <c r="G122" t="inlineStr">
        <is>
          <t>㎡</t>
        </is>
      </c>
      <c r="H122" s="3" t="n">
        <v>4840</v>
      </c>
      <c r="I122" s="3">
        <f>F122*H122</f>
        <v/>
      </c>
      <c r="J122" s="3" t="n">
        <v>3492</v>
      </c>
      <c r="K122" s="3">
        <f>F122*J122</f>
        <v/>
      </c>
      <c r="L122" s="3" t="n">
        <v>247</v>
      </c>
      <c r="M122" s="3">
        <f>F122*L122</f>
        <v/>
      </c>
      <c r="N122" s="3">
        <f>H122+J122+L122</f>
        <v/>
      </c>
      <c r="O122" s="3">
        <f>I122+K122+M122</f>
        <v/>
      </c>
      <c r="Q122" t="inlineStr">
        <is>
          <t>횡단보도</t>
        </is>
      </c>
    </row>
    <row r="123" ht="24" customHeight="1" s="34">
      <c r="A123" t="inlineStr">
        <is>
          <t>04 진입도로</t>
        </is>
      </c>
      <c r="B123" t="inlineStr">
        <is>
          <t>4. 포 장 공</t>
        </is>
      </c>
      <c r="C123" t="n">
        <v>34</v>
      </c>
      <c r="D123" t="inlineStr">
        <is>
          <t>아). 차선도색(차로밑그림),신설구간</t>
        </is>
      </c>
      <c r="E123" t="inlineStr">
        <is>
          <t>문자,기호</t>
        </is>
      </c>
      <c r="F123" t="n">
        <v>7</v>
      </c>
      <c r="G123" t="inlineStr">
        <is>
          <t>㎡</t>
        </is>
      </c>
      <c r="H123" s="3" t="n">
        <v>5079</v>
      </c>
      <c r="I123" s="3">
        <f>F123*H123</f>
        <v/>
      </c>
      <c r="J123" s="3" t="n">
        <v>7373</v>
      </c>
      <c r="K123" s="3">
        <f>F123*J123</f>
        <v/>
      </c>
      <c r="L123" s="3" t="n">
        <v>523</v>
      </c>
      <c r="M123" s="3">
        <f>F123*L123</f>
        <v/>
      </c>
      <c r="N123" s="3">
        <f>H123+J123+L123</f>
        <v/>
      </c>
      <c r="O123" s="3">
        <f>I123+K123+M123</f>
        <v/>
      </c>
      <c r="Q123" t="inlineStr">
        <is>
          <t>문자,기호</t>
        </is>
      </c>
    </row>
    <row r="124" ht="24" customHeight="1" s="34">
      <c r="A124" t="inlineStr">
        <is>
          <t>04 진입도로</t>
        </is>
      </c>
      <c r="B124" t="inlineStr">
        <is>
          <t>4. 포 장 공</t>
        </is>
      </c>
      <c r="C124" t="n">
        <v>35</v>
      </c>
      <c r="D124" t="inlineStr">
        <is>
          <t>가). 도로표지병설치</t>
        </is>
      </c>
      <c r="E124" t="inlineStr">
        <is>
          <t>양면</t>
        </is>
      </c>
      <c r="F124" t="n">
        <v>36</v>
      </c>
      <c r="G124" t="inlineStr">
        <is>
          <t>개</t>
        </is>
      </c>
      <c r="H124" s="3" t="n">
        <v>265</v>
      </c>
      <c r="I124" s="3">
        <f>F124*H124</f>
        <v/>
      </c>
      <c r="J124" s="3" t="n">
        <v>5316</v>
      </c>
      <c r="K124" s="3">
        <f>F124*J124</f>
        <v/>
      </c>
      <c r="L124" s="3" t="n">
        <v>0</v>
      </c>
      <c r="M124" s="3">
        <f>F124*L124</f>
        <v/>
      </c>
      <c r="N124" s="3">
        <f>H124+J124+L124</f>
        <v/>
      </c>
      <c r="O124" s="3">
        <f>I124+K124+M124</f>
        <v/>
      </c>
      <c r="Q124" t="inlineStr">
        <is>
          <t>가). 도로표지병설치</t>
        </is>
      </c>
    </row>
    <row r="125" ht="24" customHeight="1" s="34">
      <c r="A125" t="inlineStr">
        <is>
          <t>04 진입도로</t>
        </is>
      </c>
      <c r="B125" t="inlineStr">
        <is>
          <t>4. 포 장 공</t>
        </is>
      </c>
      <c r="C125" t="n">
        <v>36</v>
      </c>
      <c r="D125" t="inlineStr">
        <is>
          <t>나). 도로반사경(1면)</t>
        </is>
      </c>
      <c r="E125" t="inlineStr">
        <is>
          <t>Ø 800 mm, STS</t>
        </is>
      </c>
      <c r="F125" t="n">
        <v>1</v>
      </c>
      <c r="G125" t="inlineStr">
        <is>
          <t>개</t>
        </is>
      </c>
      <c r="H125" s="3" t="n">
        <v>16010</v>
      </c>
      <c r="I125" s="3">
        <f>F125*H125</f>
        <v/>
      </c>
      <c r="J125" s="3" t="n">
        <v>0</v>
      </c>
      <c r="K125" s="3">
        <f>F125*J125</f>
        <v/>
      </c>
      <c r="L125" s="3" t="n">
        <v>0</v>
      </c>
      <c r="M125" s="3">
        <f>F125*L125</f>
        <v/>
      </c>
      <c r="N125" s="3">
        <f>H125+J125+L125</f>
        <v/>
      </c>
      <c r="O125" s="3">
        <f>I125+K125+M125</f>
        <v/>
      </c>
      <c r="Q125" t="inlineStr">
        <is>
          <t>STS</t>
        </is>
      </c>
    </row>
    <row r="126" ht="24" customHeight="1" s="34">
      <c r="A126" t="inlineStr">
        <is>
          <t>04 진입도로</t>
        </is>
      </c>
      <c r="B126" t="inlineStr">
        <is>
          <t>4. 포 장 공</t>
        </is>
      </c>
      <c r="C126" t="n">
        <v>37</v>
      </c>
      <c r="D126" t="inlineStr">
        <is>
          <t>다). 탄성볼라드</t>
        </is>
      </c>
      <c r="E126" t="inlineStr">
        <is>
          <t>Ø130×1,050mm</t>
        </is>
      </c>
      <c r="F126" t="n">
        <v>20</v>
      </c>
      <c r="G126" t="inlineStr">
        <is>
          <t>개소</t>
        </is>
      </c>
      <c r="H126" s="3" t="n">
        <v>140000</v>
      </c>
      <c r="I126" s="3">
        <f>F126*H126</f>
        <v/>
      </c>
      <c r="J126" s="3" t="n">
        <v>48071</v>
      </c>
      <c r="K126" s="3">
        <f>F126*J126</f>
        <v/>
      </c>
      <c r="M126" s="3">
        <f>F126*L126</f>
        <v/>
      </c>
      <c r="N126" s="3">
        <f>H126+J126+L126</f>
        <v/>
      </c>
      <c r="O126" s="3">
        <f>I126+K126+M126</f>
        <v/>
      </c>
      <c r="P126" t="inlineStr">
        <is>
          <t>가영현</t>
        </is>
      </c>
      <c r="Q126" t="inlineStr">
        <is>
          <t>다). 탄성볼라드</t>
        </is>
      </c>
    </row>
    <row r="127" ht="24" customHeight="1" s="34">
      <c r="A127" t="inlineStr">
        <is>
          <t>04 진입도로</t>
        </is>
      </c>
      <c r="B127" t="inlineStr">
        <is>
          <t>4. 포 장 공</t>
        </is>
      </c>
      <c r="C127" t="n">
        <v>38</v>
      </c>
      <c r="D127" t="inlineStr">
        <is>
          <t>라). 시멘트운반</t>
        </is>
      </c>
      <c r="E127" t="inlineStr">
        <is>
          <t>L=30km이내</t>
        </is>
      </c>
      <c r="F127" t="n">
        <v>21</v>
      </c>
      <c r="G127" t="inlineStr">
        <is>
          <t>대</t>
        </is>
      </c>
      <c r="I127" s="3">
        <f>F127*H127</f>
        <v/>
      </c>
      <c r="K127" s="3">
        <f>F127*J127</f>
        <v/>
      </c>
      <c r="L127" t="n">
        <v>200</v>
      </c>
      <c r="M127" s="3">
        <f>F127*L127</f>
        <v/>
      </c>
      <c r="N127" s="3">
        <f>H127+J127+L127</f>
        <v/>
      </c>
      <c r="O127" s="3">
        <f>I127+K127+M127</f>
        <v/>
      </c>
      <c r="P127" t="inlineStr">
        <is>
          <t>가영현</t>
        </is>
      </c>
      <c r="Q127" t="inlineStr">
        <is>
          <t>L=30km이내, ... 라). 시멘트운반</t>
        </is>
      </c>
    </row>
    <row r="128" ht="24" customHeight="1" s="34">
      <c r="A128" t="inlineStr">
        <is>
          <t>04 진입도로</t>
        </is>
      </c>
      <c r="B128" t="inlineStr">
        <is>
          <t>4. 포 장 공</t>
        </is>
      </c>
      <c r="C128" t="n">
        <v>39</v>
      </c>
      <c r="D128" t="inlineStr">
        <is>
          <t>가). 철제가드레일</t>
        </is>
      </c>
      <c r="E128" t="inlineStr">
        <is>
          <t>W3000*H910</t>
        </is>
      </c>
      <c r="F128" t="n">
        <v>63</v>
      </c>
      <c r="G128" t="inlineStr">
        <is>
          <t>경간</t>
        </is>
      </c>
      <c r="H128" t="n">
        <v>140000</v>
      </c>
      <c r="I128" s="3">
        <f>F128*H128</f>
        <v/>
      </c>
      <c r="J128" t="n">
        <v>12000</v>
      </c>
      <c r="K128" s="3">
        <f>F128*J128</f>
        <v/>
      </c>
      <c r="L128" t="n">
        <v>80000</v>
      </c>
      <c r="M128" s="3">
        <f>F128*L128</f>
        <v/>
      </c>
      <c r="N128" s="3">
        <f>H128+J128+L128</f>
        <v/>
      </c>
      <c r="O128" s="3">
        <f>I128+K128+M128</f>
        <v/>
      </c>
      <c r="P128" t="inlineStr">
        <is>
          <t>가영현</t>
        </is>
      </c>
      <c r="Q128" t="inlineStr">
        <is>
          <t>W3000*H910, ... 가). 철제가드레일</t>
        </is>
      </c>
    </row>
    <row r="129" ht="24" customHeight="1" s="34">
      <c r="A129" t="inlineStr">
        <is>
          <t>04 진입도로</t>
        </is>
      </c>
      <c r="B129" t="inlineStr">
        <is>
          <t>4. 포 장 공</t>
        </is>
      </c>
      <c r="C129" t="n">
        <v>40</v>
      </c>
      <c r="D129" t="inlineStr">
        <is>
          <t>1). 레미콘</t>
        </is>
      </c>
      <c r="E129" t="inlineStr">
        <is>
          <t>25-21- 8(Mpa)</t>
        </is>
      </c>
      <c r="F129" t="n">
        <v>66</v>
      </c>
      <c r="G129" t="inlineStr">
        <is>
          <t>㎥</t>
        </is>
      </c>
      <c r="H129" s="3" t="n">
        <v>1293</v>
      </c>
      <c r="I129" s="3">
        <f>F129*H129</f>
        <v/>
      </c>
      <c r="J129" s="3" t="n">
        <v>64674</v>
      </c>
      <c r="K129" s="3">
        <f>F129*J129</f>
        <v/>
      </c>
      <c r="L129" s="3" t="n">
        <v>0</v>
      </c>
      <c r="M129" s="3">
        <f>F129*L129</f>
        <v/>
      </c>
      <c r="N129" s="3">
        <f>H129+J129+L129</f>
        <v/>
      </c>
      <c r="O129" s="3">
        <f>I129+K129+M129</f>
        <v/>
      </c>
      <c r="Q129" t="inlineStr">
        <is>
          <t>DB CUG30401000S (0.72, 레미콘타설) / 대안: 레미콘타설(0.72) · 레미콘타설(0.72)</t>
        </is>
      </c>
    </row>
    <row r="130" ht="24" customHeight="1" s="34">
      <c r="A130" t="inlineStr">
        <is>
          <t>04 진입도로</t>
        </is>
      </c>
      <c r="B130" t="inlineStr">
        <is>
          <t>4. 포 장 공</t>
        </is>
      </c>
      <c r="C130" t="n">
        <v>41</v>
      </c>
      <c r="D130" t="inlineStr">
        <is>
          <t>2). 레미콘</t>
        </is>
      </c>
      <c r="E130" t="inlineStr">
        <is>
          <t>25-18- 8(Mpa)</t>
        </is>
      </c>
      <c r="F130" t="n">
        <v>46</v>
      </c>
      <c r="G130" t="inlineStr">
        <is>
          <t>㎥</t>
        </is>
      </c>
      <c r="H130" s="3" t="n">
        <v>1293</v>
      </c>
      <c r="I130" s="3">
        <f>F130*H130</f>
        <v/>
      </c>
      <c r="J130" s="3" t="n">
        <v>64674</v>
      </c>
      <c r="K130" s="3">
        <f>F130*J130</f>
        <v/>
      </c>
      <c r="L130" s="3" t="n">
        <v>0</v>
      </c>
      <c r="M130" s="3">
        <f>F130*L130</f>
        <v/>
      </c>
      <c r="N130" s="3">
        <f>H130+J130+L130</f>
        <v/>
      </c>
      <c r="O130" s="3">
        <f>I130+K130+M130</f>
        <v/>
      </c>
      <c r="Q130" t="inlineStr">
        <is>
          <t>DB CUG30401000S (0.72, 레미콘타설) / 대안: 레미콘타설(0.72) · 레미콘타설(0.72)</t>
        </is>
      </c>
    </row>
    <row r="131" ht="24" customHeight="1" s="34">
      <c r="A131" t="inlineStr">
        <is>
          <t>04 진입도로</t>
        </is>
      </c>
      <c r="B131" t="inlineStr">
        <is>
          <t>4. 포 장 공</t>
        </is>
      </c>
      <c r="C131" t="n">
        <v>42</v>
      </c>
      <c r="D131" t="inlineStr">
        <is>
          <t>3). 보통시멘트</t>
        </is>
      </c>
      <c r="E131" t="inlineStr">
        <is>
          <t>40kg/대 (포장품)</t>
        </is>
      </c>
      <c r="F131" t="n">
        <v>5</v>
      </c>
      <c r="G131" t="inlineStr">
        <is>
          <t>대</t>
        </is>
      </c>
      <c r="H131" t="n">
        <v>5500</v>
      </c>
      <c r="I131" s="3">
        <f>F131*H131</f>
        <v/>
      </c>
      <c r="K131" s="3">
        <f>F131*J131</f>
        <v/>
      </c>
      <c r="M131" s="3">
        <f>F131*L131</f>
        <v/>
      </c>
      <c r="N131" s="3">
        <f>H131+J131+L131</f>
        <v/>
      </c>
      <c r="O131" s="3">
        <f>I131+K131+M131</f>
        <v/>
      </c>
      <c r="P131" t="inlineStr">
        <is>
          <t>가영현</t>
        </is>
      </c>
      <c r="Q131" t="inlineStr">
        <is>
          <t>40kg/대 (포장품), 포장품, .. 3). 보통시멘트, 40kg, 대 (포장품)</t>
        </is>
      </c>
    </row>
    <row r="132" ht="24" customHeight="1" s="34">
      <c r="A132" t="inlineStr">
        <is>
          <t>04 진입도로</t>
        </is>
      </c>
      <c r="B132" t="inlineStr">
        <is>
          <t>4. 포 장 공</t>
        </is>
      </c>
      <c r="C132" t="n">
        <v>43</v>
      </c>
      <c r="D132" t="inlineStr">
        <is>
          <t>4). 모래</t>
        </is>
      </c>
      <c r="E132" t="inlineStr">
        <is>
          <t>강모래, 현장도착도</t>
        </is>
      </c>
      <c r="F132" t="n">
        <v>42</v>
      </c>
      <c r="G132" t="inlineStr">
        <is>
          <t>㎥</t>
        </is>
      </c>
      <c r="H132" t="n">
        <v>45000</v>
      </c>
      <c r="I132" s="3">
        <f>F132*H132</f>
        <v/>
      </c>
      <c r="J132" s="3" t="n">
        <v>110273</v>
      </c>
      <c r="K132" s="3">
        <f>F132*J132</f>
        <v/>
      </c>
      <c r="M132" s="3">
        <f>F132*L132</f>
        <v/>
      </c>
      <c r="N132" s="3">
        <f>H132+J132+L132</f>
        <v/>
      </c>
      <c r="O132" s="3">
        <f>I132+K132+M132</f>
        <v/>
      </c>
      <c r="P132" t="inlineStr">
        <is>
          <t>가영현</t>
        </is>
      </c>
      <c r="Q132" t="inlineStr">
        <is>
          <t>4). 모래</t>
        </is>
      </c>
    </row>
    <row r="133" ht="24" customHeight="1" s="34">
      <c r="A133" t="inlineStr">
        <is>
          <t>04 진입도로</t>
        </is>
      </c>
      <c r="B133" t="inlineStr">
        <is>
          <t>4. 포 장 공</t>
        </is>
      </c>
      <c r="C133" t="n">
        <v>44</v>
      </c>
      <c r="D133" t="inlineStr">
        <is>
          <t>5). 혼합골재(보조기층용)</t>
        </is>
      </c>
      <c r="E133" t="inlineStr">
        <is>
          <t>Φ40mm, 현장도착도</t>
        </is>
      </c>
      <c r="F133" t="n">
        <v>1004</v>
      </c>
      <c r="G133" t="inlineStr">
        <is>
          <t>㎥</t>
        </is>
      </c>
      <c r="H133" s="3" t="n">
        <v>1320</v>
      </c>
      <c r="I133" s="3">
        <f>F133*H133</f>
        <v/>
      </c>
      <c r="J133" s="3" t="n">
        <v>11220</v>
      </c>
      <c r="K133" s="3">
        <f>F133*J133</f>
        <v/>
      </c>
      <c r="L133" s="3" t="n">
        <v>1521</v>
      </c>
      <c r="M133" s="3">
        <f>F133*L133</f>
        <v/>
      </c>
      <c r="N133" s="3">
        <f>H133+J133+L133</f>
        <v/>
      </c>
      <c r="O133" s="3">
        <f>I133+K133+M133</f>
        <v/>
      </c>
      <c r="Q133" t="inlineStr">
        <is>
          <t>보조기층용</t>
        </is>
      </c>
    </row>
    <row r="134" ht="24" customHeight="1" s="34">
      <c r="A134" t="inlineStr">
        <is>
          <t>04 진입도로</t>
        </is>
      </c>
      <c r="B134" t="inlineStr">
        <is>
          <t>4. 포 장 공</t>
        </is>
      </c>
      <c r="C134" t="n">
        <v>45</v>
      </c>
      <c r="D134" t="inlineStr">
        <is>
          <t>6). 아스팔트(유제)</t>
        </is>
      </c>
      <c r="E134" t="inlineStr">
        <is>
          <t>RS(C)-3 (200ℓ)</t>
        </is>
      </c>
      <c r="F134" t="n">
        <v>9</v>
      </c>
      <c r="G134" t="inlineStr">
        <is>
          <t>D/M</t>
        </is>
      </c>
      <c r="H134" s="3" t="n">
        <v>154620</v>
      </c>
      <c r="I134" s="3">
        <f>F134*H134</f>
        <v/>
      </c>
      <c r="J134" s="3" t="n">
        <v>0</v>
      </c>
      <c r="K134" s="3">
        <f>F134*J134</f>
        <v/>
      </c>
      <c r="L134" s="3" t="n">
        <v>0</v>
      </c>
      <c r="M134" s="3">
        <f>F134*L134</f>
        <v/>
      </c>
      <c r="N134" s="3">
        <f>H134+J134+L134</f>
        <v/>
      </c>
      <c r="O134" s="3">
        <f>I134+K134+M134</f>
        <v/>
      </c>
      <c r="Q134" t="inlineStr">
        <is>
          <t>6). 아스팔트</t>
        </is>
      </c>
    </row>
    <row r="135" ht="24" customHeight="1" s="34">
      <c r="A135" t="inlineStr">
        <is>
          <t>04 진입도로</t>
        </is>
      </c>
      <c r="B135" t="inlineStr">
        <is>
          <t>4. 포 장 공</t>
        </is>
      </c>
      <c r="C135" t="n">
        <v>46</v>
      </c>
      <c r="D135" t="inlineStr">
        <is>
          <t>7). 아스팔트(유제)</t>
        </is>
      </c>
      <c r="E135" t="inlineStr">
        <is>
          <t>RS(C)-4 (200ℓ)</t>
        </is>
      </c>
      <c r="F135" t="n">
        <v>8</v>
      </c>
      <c r="G135" t="inlineStr">
        <is>
          <t>D/M</t>
        </is>
      </c>
      <c r="H135" s="3" t="n">
        <v>154620</v>
      </c>
      <c r="I135" s="3">
        <f>F135*H135</f>
        <v/>
      </c>
      <c r="J135" s="3" t="n">
        <v>0</v>
      </c>
      <c r="K135" s="3">
        <f>F135*J135</f>
        <v/>
      </c>
      <c r="L135" s="3" t="n">
        <v>0</v>
      </c>
      <c r="M135" s="3">
        <f>F135*L135</f>
        <v/>
      </c>
      <c r="N135" s="3">
        <f>H135+J135+L135</f>
        <v/>
      </c>
      <c r="O135" s="3">
        <f>I135+K135+M135</f>
        <v/>
      </c>
      <c r="Q135" t="inlineStr">
        <is>
          <t>7). 아스팔트</t>
        </is>
      </c>
    </row>
    <row r="136" ht="24" customHeight="1" s="34">
      <c r="A136" t="inlineStr">
        <is>
          <t>04 진입도로</t>
        </is>
      </c>
      <c r="B136" t="inlineStr">
        <is>
          <t>4. 포 장 공</t>
        </is>
      </c>
      <c r="C136" t="n">
        <v>47</v>
      </c>
      <c r="D136" t="inlineStr">
        <is>
          <t>8). 아스팔트콘크리트</t>
        </is>
      </c>
      <c r="E136" t="inlineStr">
        <is>
          <t>#78 표층용</t>
        </is>
      </c>
      <c r="F136" t="n">
        <v>339</v>
      </c>
      <c r="G136" t="inlineStr">
        <is>
          <t>Ton</t>
        </is>
      </c>
      <c r="H136" t="n">
        <v>120000</v>
      </c>
      <c r="I136" s="3">
        <f>F136*H136</f>
        <v/>
      </c>
      <c r="J136" t="n">
        <v>7500</v>
      </c>
      <c r="K136" s="3">
        <f>F136*J136</f>
        <v/>
      </c>
      <c r="L136" t="n">
        <v>12000</v>
      </c>
      <c r="M136" s="3">
        <f>F136*L136</f>
        <v/>
      </c>
      <c r="N136" s="3">
        <f>H136+J136+L136</f>
        <v/>
      </c>
      <c r="O136" s="3">
        <f>I136+K136+M136</f>
        <v/>
      </c>
      <c r="P136" t="inlineStr">
        <is>
          <t>가영현</t>
        </is>
      </c>
      <c r="Q136" t="inlineStr">
        <is>
          <t>#78 표층용, .. 8). 아스팔트콘크리트</t>
        </is>
      </c>
    </row>
    <row r="137" ht="24" customHeight="1" s="34">
      <c r="A137" t="inlineStr">
        <is>
          <t>04 진입도로</t>
        </is>
      </c>
      <c r="B137" t="inlineStr">
        <is>
          <t>4. 포 장 공</t>
        </is>
      </c>
      <c r="C137" t="n">
        <v>48</v>
      </c>
      <c r="D137" t="inlineStr">
        <is>
          <t>9). 아스팔트콘크리트</t>
        </is>
      </c>
      <c r="E137" t="inlineStr">
        <is>
          <t>#67 중간층용</t>
        </is>
      </c>
      <c r="F137" t="n">
        <v>339</v>
      </c>
      <c r="G137" t="inlineStr">
        <is>
          <t>Ton</t>
        </is>
      </c>
      <c r="H137" t="n">
        <v>110000</v>
      </c>
      <c r="I137" s="3">
        <f>F137*H137</f>
        <v/>
      </c>
      <c r="J137" t="n">
        <v>7500</v>
      </c>
      <c r="K137" s="3">
        <f>F137*J137</f>
        <v/>
      </c>
      <c r="L137" t="n">
        <v>12000</v>
      </c>
      <c r="M137" s="3">
        <f>F137*L137</f>
        <v/>
      </c>
      <c r="N137" s="3">
        <f>H137+J137+L137</f>
        <v/>
      </c>
      <c r="O137" s="3">
        <f>I137+K137+M137</f>
        <v/>
      </c>
      <c r="P137" t="inlineStr">
        <is>
          <t>가영현</t>
        </is>
      </c>
      <c r="Q137" t="inlineStr">
        <is>
          <t>#67 중간층용, .. 9). 아스팔트콘크리트</t>
        </is>
      </c>
    </row>
    <row r="138" ht="24" customHeight="1" s="34">
      <c r="A138" t="inlineStr">
        <is>
          <t>04 진입도로</t>
        </is>
      </c>
      <c r="B138" t="inlineStr">
        <is>
          <t>4. 포 장 공</t>
        </is>
      </c>
      <c r="C138" t="n">
        <v>49</v>
      </c>
      <c r="D138" t="inlineStr">
        <is>
          <t>10). 아스팔트콘크리트</t>
        </is>
      </c>
      <c r="E138" t="inlineStr">
        <is>
          <t>#467 기층용</t>
        </is>
      </c>
      <c r="F138" t="n">
        <v>774</v>
      </c>
      <c r="G138" t="inlineStr">
        <is>
          <t>Ton</t>
        </is>
      </c>
      <c r="H138" t="n">
        <v>110000</v>
      </c>
      <c r="I138" s="3">
        <f>F138*H138</f>
        <v/>
      </c>
      <c r="J138" t="n">
        <v>7500</v>
      </c>
      <c r="K138" s="3">
        <f>F138*J138</f>
        <v/>
      </c>
      <c r="L138" t="n">
        <v>12000</v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가영현</t>
        </is>
      </c>
      <c r="Q138" t="inlineStr">
        <is>
          <t>#467 기층용, .. 10). 아스팔트콘크리트</t>
        </is>
      </c>
    </row>
    <row r="139" ht="24" customHeight="1" s="34">
      <c r="A139" t="inlineStr">
        <is>
          <t>04 진입도로</t>
        </is>
      </c>
      <c r="B139" t="inlineStr">
        <is>
          <t>4. 포 장 공</t>
        </is>
      </c>
      <c r="C139" t="n">
        <v>50</v>
      </c>
      <c r="D139" t="inlineStr">
        <is>
          <t>11). 보차도경계석(화강석)</t>
        </is>
      </c>
      <c r="E139" t="inlineStr">
        <is>
          <t>180x200x1000㎜ (직선)</t>
        </is>
      </c>
      <c r="F139" t="n">
        <v>642</v>
      </c>
      <c r="G139" t="inlineStr">
        <is>
          <t>ea</t>
        </is>
      </c>
      <c r="H139" s="3" t="n">
        <v>659</v>
      </c>
      <c r="I139" s="3">
        <f>F139*H139</f>
        <v/>
      </c>
      <c r="J139" s="3" t="n">
        <v>6686</v>
      </c>
      <c r="K139" s="3">
        <f>F139*J139</f>
        <v/>
      </c>
      <c r="L139" s="3" t="n">
        <v>522</v>
      </c>
      <c r="M139" s="3">
        <f>F139*L139</f>
        <v/>
      </c>
      <c r="N139" s="3">
        <f>H139+J139+L139</f>
        <v/>
      </c>
      <c r="O139" s="3">
        <f>I139+K139+M139</f>
        <v/>
      </c>
      <c r="Q139" t="inlineStr">
        <is>
          <t>직선</t>
        </is>
      </c>
    </row>
    <row r="140" ht="24" customHeight="1" s="34">
      <c r="A140" t="inlineStr">
        <is>
          <t>04 진입도로</t>
        </is>
      </c>
      <c r="B140" t="inlineStr">
        <is>
          <t>4. 포 장 공</t>
        </is>
      </c>
      <c r="C140" t="n">
        <v>51</v>
      </c>
      <c r="D140" t="inlineStr">
        <is>
          <t>12). 횡단보도경계석(화강석)(경사)</t>
        </is>
      </c>
      <c r="E140" t="inlineStr">
        <is>
          <t>180x200∼100x1000㎜ (곡선경사)</t>
        </is>
      </c>
      <c r="F140" t="n">
        <v>11</v>
      </c>
      <c r="G140" t="inlineStr">
        <is>
          <t>ea</t>
        </is>
      </c>
      <c r="H140" s="3" t="n">
        <v>28000</v>
      </c>
      <c r="I140" s="3">
        <f>F140*H140</f>
        <v/>
      </c>
      <c r="J140" s="3" t="n">
        <v>12000</v>
      </c>
      <c r="K140" s="3">
        <f>F140*J140</f>
        <v/>
      </c>
      <c r="L140" s="3" t="n">
        <v>8000</v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가영현</t>
        </is>
      </c>
      <c r="Q140" t="inlineStr">
        <is>
          <t>12). 횡단보도경계석</t>
        </is>
      </c>
    </row>
    <row r="141" ht="24" customHeight="1" s="34">
      <c r="A141" t="inlineStr">
        <is>
          <t>04 진입도로</t>
        </is>
      </c>
      <c r="B141" t="inlineStr">
        <is>
          <t>4. 포 장 공</t>
        </is>
      </c>
      <c r="C141" t="n">
        <v>52</v>
      </c>
      <c r="D141" t="inlineStr">
        <is>
          <t>13). 횡단보도경계석(화강석)(낮춤)</t>
        </is>
      </c>
      <c r="E141" t="inlineStr">
        <is>
          <t>180x100x1000㎜ (곡선)</t>
        </is>
      </c>
      <c r="F141" t="n">
        <v>30</v>
      </c>
      <c r="G141" t="inlineStr">
        <is>
          <t>ea</t>
        </is>
      </c>
      <c r="H141" s="3" t="n">
        <v>771</v>
      </c>
      <c r="I141" s="3">
        <f>F141*H141</f>
        <v/>
      </c>
      <c r="J141" s="3" t="n">
        <v>7823</v>
      </c>
      <c r="K141" s="3">
        <f>F141*J141</f>
        <v/>
      </c>
      <c r="L141" s="3" t="n">
        <v>610</v>
      </c>
      <c r="M141" s="3">
        <f>F141*L141</f>
        <v/>
      </c>
      <c r="N141" s="3">
        <f>H141+J141+L141</f>
        <v/>
      </c>
      <c r="O141" s="3">
        <f>I141+K141+M141</f>
        <v/>
      </c>
      <c r="Q141" t="inlineStr">
        <is>
          <t>곡선</t>
        </is>
      </c>
    </row>
    <row r="142" ht="24" customHeight="1" s="34">
      <c r="A142" t="inlineStr">
        <is>
          <t>04 진입도로</t>
        </is>
      </c>
      <c r="B142" t="inlineStr">
        <is>
          <t>4. 포 장 공</t>
        </is>
      </c>
      <c r="C142" t="n">
        <v>53</v>
      </c>
      <c r="D142" t="inlineStr">
        <is>
          <t>14). 도로경계석(화강석)</t>
        </is>
      </c>
      <c r="E142" t="inlineStr">
        <is>
          <t>120x120x1000㎜ (직선), 국산</t>
        </is>
      </c>
      <c r="F142" t="n">
        <v>397</v>
      </c>
      <c r="G142" t="inlineStr">
        <is>
          <t>ea</t>
        </is>
      </c>
      <c r="H142" s="3" t="n">
        <v>659</v>
      </c>
      <c r="I142" s="3">
        <f>F142*H142</f>
        <v/>
      </c>
      <c r="J142" s="3" t="n">
        <v>6686</v>
      </c>
      <c r="K142" s="3">
        <f>F142*J142</f>
        <v/>
      </c>
      <c r="L142" s="3" t="n">
        <v>522</v>
      </c>
      <c r="M142" s="3">
        <f>F142*L142</f>
        <v/>
      </c>
      <c r="N142" s="3">
        <f>H142+J142+L142</f>
        <v/>
      </c>
      <c r="O142" s="3">
        <f>I142+K142+M142</f>
        <v/>
      </c>
      <c r="Q142" t="inlineStr">
        <is>
          <t>직선</t>
        </is>
      </c>
    </row>
    <row r="143" ht="24" customHeight="1" s="34">
      <c r="A143" t="inlineStr">
        <is>
          <t>04 진입도로</t>
        </is>
      </c>
      <c r="B143" t="inlineStr">
        <is>
          <t>4. 포 장 공</t>
        </is>
      </c>
      <c r="C143" t="n">
        <v>54</v>
      </c>
      <c r="D143" t="inlineStr">
        <is>
          <t>15). 보도블록(인조화강)</t>
        </is>
      </c>
      <c r="E143" t="inlineStr">
        <is>
          <t>200x200x60, 투수</t>
        </is>
      </c>
      <c r="F143" t="n">
        <v>865</v>
      </c>
      <c r="G143" t="inlineStr">
        <is>
          <t>㎡</t>
        </is>
      </c>
      <c r="H143" s="3" t="n">
        <v>25000</v>
      </c>
      <c r="I143" s="3">
        <f>F143*H143</f>
        <v/>
      </c>
      <c r="J143" s="3" t="n">
        <v>12000</v>
      </c>
      <c r="K143" s="3">
        <f>F143*J143</f>
        <v/>
      </c>
      <c r="L143" s="3" t="n">
        <v>7000</v>
      </c>
      <c r="M143" s="3">
        <f>F143*L143</f>
        <v/>
      </c>
      <c r="N143" s="3">
        <f>H143+J143+L143</f>
        <v/>
      </c>
      <c r="O143" s="3">
        <f>I143+K143+M143</f>
        <v/>
      </c>
      <c r="P143" t="inlineStr">
        <is>
          <t>가영현</t>
        </is>
      </c>
      <c r="Q143" t="inlineStr">
        <is>
          <t>투수</t>
        </is>
      </c>
    </row>
    <row r="144" ht="24" customHeight="1" s="34">
      <c r="A144" t="inlineStr">
        <is>
          <t>04 진입도로</t>
        </is>
      </c>
      <c r="B144" t="inlineStr">
        <is>
          <t>4. 포 장 공</t>
        </is>
      </c>
      <c r="C144" t="n">
        <v>55</v>
      </c>
      <c r="D144" t="inlineStr">
        <is>
          <t>16). 장애인용보도 선형블록</t>
        </is>
      </c>
      <c r="E144" t="inlineStr">
        <is>
          <t>300x300x60, 고강도, 논슬립</t>
        </is>
      </c>
      <c r="F144" t="n">
        <v>190</v>
      </c>
      <c r="G144" t="inlineStr">
        <is>
          <t>ea</t>
        </is>
      </c>
      <c r="H144" s="3" t="n">
        <v>121</v>
      </c>
      <c r="I144" s="3">
        <f>F144*H144</f>
        <v/>
      </c>
      <c r="J144" s="3" t="n">
        <v>883</v>
      </c>
      <c r="K144" s="3">
        <f>F144*J144</f>
        <v/>
      </c>
      <c r="L144" s="3" t="n">
        <v>86</v>
      </c>
      <c r="M144" s="3">
        <f>F144*L144</f>
        <v/>
      </c>
      <c r="N144" s="3">
        <f>H144+J144+L144</f>
        <v/>
      </c>
      <c r="O144" s="3">
        <f>I144+K144+M144</f>
        <v/>
      </c>
      <c r="Q144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45" ht="24" customHeight="1" s="34">
      <c r="A145" t="inlineStr">
        <is>
          <t>04 진입도로</t>
        </is>
      </c>
      <c r="B145" t="inlineStr">
        <is>
          <t>4. 포 장 공</t>
        </is>
      </c>
      <c r="C145" t="n">
        <v>56</v>
      </c>
      <c r="D145" t="inlineStr">
        <is>
          <t>17). 장애인용보도 점형블록</t>
        </is>
      </c>
      <c r="E145" t="inlineStr">
        <is>
          <t>300x300x60, 고강도, 논슬립</t>
        </is>
      </c>
      <c r="F145" t="n">
        <v>11</v>
      </c>
      <c r="G145" t="inlineStr">
        <is>
          <t>ea</t>
        </is>
      </c>
      <c r="H145" s="3" t="n">
        <v>121</v>
      </c>
      <c r="I145" s="3">
        <f>F145*H145</f>
        <v/>
      </c>
      <c r="J145" s="3" t="n">
        <v>883</v>
      </c>
      <c r="K145" s="3">
        <f>F145*J145</f>
        <v/>
      </c>
      <c r="L145" s="3" t="n">
        <v>86</v>
      </c>
      <c r="M145" s="3">
        <f>F145*L145</f>
        <v/>
      </c>
      <c r="N145" s="3">
        <f>H145+J145+L145</f>
        <v/>
      </c>
      <c r="O145" s="3">
        <f>I145+K145+M145</f>
        <v/>
      </c>
      <c r="Q145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46" ht="24" customHeight="1" s="34">
      <c r="A146" s="15" t="inlineStr">
        <is>
          <t>04 진입도로</t>
        </is>
      </c>
      <c r="B146" s="15" t="inlineStr">
        <is>
          <t>4. 포 장 공</t>
        </is>
      </c>
      <c r="C146" s="15" t="n"/>
      <c r="D146" s="15" t="inlineStr">
        <is>
          <t>★ 4. 포 장 공 소계</t>
        </is>
      </c>
      <c r="E146" s="15" t="n"/>
      <c r="F146" s="15" t="n"/>
      <c r="G146" s="15" t="n"/>
      <c r="H146" s="15" t="n"/>
      <c r="I146" s="16">
        <f>SUM(I90:I145)</f>
        <v/>
      </c>
      <c r="J146" s="15" t="n"/>
      <c r="K146" s="16">
        <f>SUM(K90:K145)</f>
        <v/>
      </c>
      <c r="L146" s="15" t="n"/>
      <c r="M146" s="16">
        <f>SUM(M90:M145)</f>
        <v/>
      </c>
      <c r="N146" s="15" t="n"/>
      <c r="O146" s="16">
        <f>SUM(O90:O145)</f>
        <v/>
      </c>
      <c r="P146" s="15" t="n"/>
      <c r="Q146" s="15" t="inlineStr">
        <is>
          <t>56건</t>
        </is>
      </c>
    </row>
    <row r="147" ht="24" customHeight="1" s="34">
      <c r="A147" t="inlineStr">
        <is>
          <t>04 진입도로</t>
        </is>
      </c>
      <c r="B147" t="inlineStr">
        <is>
          <t>5. 구조물공</t>
        </is>
      </c>
      <c r="C147" t="n">
        <v>1</v>
      </c>
      <c r="D147" t="inlineStr">
        <is>
          <t>1). 콘크리트타설</t>
        </is>
      </c>
      <c r="E147" t="inlineStr">
        <is>
          <t>장비사용, 철근구조물</t>
        </is>
      </c>
      <c r="F147" t="n">
        <v>247</v>
      </c>
      <c r="G147" t="inlineStr">
        <is>
          <t>㎥</t>
        </is>
      </c>
      <c r="H147" s="3" t="n">
        <v>3186</v>
      </c>
      <c r="I147" s="3">
        <f>F147*H147</f>
        <v/>
      </c>
      <c r="J147" s="3" t="n">
        <v>26699</v>
      </c>
      <c r="K147" s="3">
        <f>F147*J147</f>
        <v/>
      </c>
      <c r="L147" s="3" t="n">
        <v>3560</v>
      </c>
      <c r="M147" s="3">
        <f>F147*L147</f>
        <v/>
      </c>
      <c r="N147" s="3">
        <f>H147+J147+L147</f>
        <v/>
      </c>
      <c r="O147" s="3">
        <f>I147+K147+M147</f>
        <v/>
      </c>
      <c r="Q147" t="inlineStr">
        <is>
          <t>장비사용</t>
        </is>
      </c>
    </row>
    <row r="148" ht="24" customHeight="1" s="34">
      <c r="A148" t="inlineStr">
        <is>
          <t>04 진입도로</t>
        </is>
      </c>
      <c r="B148" t="inlineStr">
        <is>
          <t>5. 구조물공</t>
        </is>
      </c>
      <c r="C148" t="n">
        <v>2</v>
      </c>
      <c r="D148" t="inlineStr">
        <is>
          <t>2). 콘크리트타설</t>
        </is>
      </c>
      <c r="E148" t="inlineStr">
        <is>
          <t>장비사용, 무근구조물</t>
        </is>
      </c>
      <c r="F148" t="n">
        <v>36</v>
      </c>
      <c r="G148" t="inlineStr">
        <is>
          <t>㎥</t>
        </is>
      </c>
      <c r="H148" s="3" t="n">
        <v>0</v>
      </c>
      <c r="I148" s="3">
        <f>F148*H148</f>
        <v/>
      </c>
      <c r="J148" s="3" t="n">
        <v>0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Q148" t="inlineStr">
        <is>
          <t>장비사용</t>
        </is>
      </c>
    </row>
    <row r="149" ht="24" customHeight="1" s="34">
      <c r="A149" t="inlineStr">
        <is>
          <t>04 진입도로</t>
        </is>
      </c>
      <c r="B149" t="inlineStr">
        <is>
          <t>5. 구조물공</t>
        </is>
      </c>
      <c r="C149" t="n">
        <v>3</v>
      </c>
      <c r="D149" t="inlineStr">
        <is>
          <t>3). 철근가공조립(현장)</t>
        </is>
      </c>
      <c r="E149" t="inlineStr">
        <is>
          <t>TYPE-1-1</t>
        </is>
      </c>
      <c r="F149" t="n">
        <v>22.33</v>
      </c>
      <c r="G149" t="inlineStr">
        <is>
          <t>ton</t>
        </is>
      </c>
      <c r="H149" s="3" t="n">
        <v>55508</v>
      </c>
      <c r="I149" s="3">
        <f>F149*H149</f>
        <v/>
      </c>
      <c r="J149" s="3" t="n">
        <v>638337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Q149" t="inlineStr">
        <is>
          <t>현장</t>
        </is>
      </c>
    </row>
    <row r="150" ht="24" customHeight="1" s="34">
      <c r="A150" t="inlineStr">
        <is>
          <t>04 진입도로</t>
        </is>
      </c>
      <c r="B150" t="inlineStr">
        <is>
          <t>5. 구조물공</t>
        </is>
      </c>
      <c r="C150" t="n">
        <v>4</v>
      </c>
      <c r="D150" t="inlineStr">
        <is>
          <t>4). 문양거푸집</t>
        </is>
      </c>
      <c r="E150" t="inlineStr">
        <is>
          <t>판넬</t>
        </is>
      </c>
      <c r="F150" t="n">
        <v>370</v>
      </c>
      <c r="G150" t="inlineStr">
        <is>
          <t>㎡</t>
        </is>
      </c>
      <c r="H150" s="3" t="n">
        <v>609</v>
      </c>
      <c r="I150" s="3">
        <f>F150*H150</f>
        <v/>
      </c>
      <c r="J150" s="3" t="n">
        <v>19663</v>
      </c>
      <c r="K150" s="3">
        <f>F150*J150</f>
        <v/>
      </c>
      <c r="L150" s="3" t="n">
        <v>0</v>
      </c>
      <c r="M150" s="3">
        <f>F150*L150</f>
        <v/>
      </c>
      <c r="N150" s="3">
        <f>H150+J150+L150</f>
        <v/>
      </c>
      <c r="O150" s="3">
        <f>I150+K150+M150</f>
        <v/>
      </c>
      <c r="Q150" t="inlineStr">
        <is>
          <t>오매칭 AOJ445001000(AL SHEET판넬(3t,불소코팅) → DB CED405010000 (0.70, 문양거푸집) / 대안: AL SHEET판넬(3t,(0.70) · AL SHEET판넬(3t,(0.70)</t>
        </is>
      </c>
    </row>
    <row r="151" ht="24" customHeight="1" s="34">
      <c r="A151" t="inlineStr">
        <is>
          <t>04 진입도로</t>
        </is>
      </c>
      <c r="B151" t="inlineStr">
        <is>
          <t>5. 구조물공</t>
        </is>
      </c>
      <c r="C151" t="n">
        <v>5</v>
      </c>
      <c r="D151" t="inlineStr">
        <is>
          <t>5). 거푸집</t>
        </is>
      </c>
      <c r="E151" t="inlineStr">
        <is>
          <t>합판4회(보통)</t>
        </is>
      </c>
      <c r="F151" t="n">
        <v>727</v>
      </c>
      <c r="G151" t="inlineStr">
        <is>
          <t>㎡</t>
        </is>
      </c>
      <c r="H151" s="3" t="n">
        <v>378</v>
      </c>
      <c r="I151" s="3">
        <f>F151*H151</f>
        <v/>
      </c>
      <c r="J151" s="3" t="n">
        <v>37806</v>
      </c>
      <c r="K151" s="3">
        <f>F151*J151</f>
        <v/>
      </c>
      <c r="L151" s="3" t="n">
        <v>0</v>
      </c>
      <c r="M151" s="3">
        <f>F151*L151</f>
        <v/>
      </c>
      <c r="N151" s="3">
        <f>H151+J151+L151</f>
        <v/>
      </c>
      <c r="O151" s="3">
        <f>I151+K151+M151</f>
        <v/>
      </c>
      <c r="Q151" t="inlineStr">
        <is>
          <t>합판4회(보통)</t>
        </is>
      </c>
    </row>
    <row r="152" ht="24" customHeight="1" s="34">
      <c r="A152" t="inlineStr">
        <is>
          <t>04 진입도로</t>
        </is>
      </c>
      <c r="B152" t="inlineStr">
        <is>
          <t>5. 구조물공</t>
        </is>
      </c>
      <c r="C152" t="n">
        <v>6</v>
      </c>
      <c r="D152" t="inlineStr">
        <is>
          <t>6). 거푸집</t>
        </is>
      </c>
      <c r="E152" t="inlineStr">
        <is>
          <t>합판6회(간단)</t>
        </is>
      </c>
      <c r="F152" t="n">
        <v>35</v>
      </c>
      <c r="G152" t="inlineStr">
        <is>
          <t>㎡</t>
        </is>
      </c>
      <c r="H152" s="3" t="n">
        <v>0</v>
      </c>
      <c r="I152" s="3">
        <f>F152*H152</f>
        <v/>
      </c>
      <c r="J152" s="3" t="n">
        <v>0</v>
      </c>
      <c r="K152" s="3">
        <f>F152*J152</f>
        <v/>
      </c>
      <c r="L152" s="3" t="n">
        <v>34535</v>
      </c>
      <c r="M152" s="3">
        <f>F152*L152</f>
        <v/>
      </c>
      <c r="N152" s="3">
        <f>H152+J152+L152</f>
        <v/>
      </c>
      <c r="O152" s="3">
        <f>I152+K152+M152</f>
        <v/>
      </c>
      <c r="Q152" t="inlineStr">
        <is>
          <t>현재 매칭 CUA31502000S — 품명 일치·점수 0.71</t>
        </is>
      </c>
    </row>
    <row r="153" ht="24" customHeight="1" s="34">
      <c r="A153" t="inlineStr">
        <is>
          <t>04 진입도로</t>
        </is>
      </c>
      <c r="B153" t="inlineStr">
        <is>
          <t>5. 구조물공</t>
        </is>
      </c>
      <c r="C153" t="n">
        <v>7</v>
      </c>
      <c r="D153" t="inlineStr">
        <is>
          <t>7). 강관비계</t>
        </is>
      </c>
      <c r="E153" t="inlineStr">
        <is>
          <t>10m이하-3개월사용</t>
        </is>
      </c>
      <c r="F153" t="n">
        <v>281</v>
      </c>
      <c r="G153" t="inlineStr">
        <is>
          <t>㎡</t>
        </is>
      </c>
      <c r="H153" s="3" t="n">
        <v>9641</v>
      </c>
      <c r="I153" s="3">
        <f>F153*H153</f>
        <v/>
      </c>
      <c r="J153" s="3" t="n">
        <v>17902</v>
      </c>
      <c r="K153" s="3">
        <f>F153*J153</f>
        <v/>
      </c>
      <c r="L153" s="3" t="n">
        <v>0</v>
      </c>
      <c r="M153" s="3">
        <f>F153*L153</f>
        <v/>
      </c>
      <c r="N153" s="3">
        <f>H153+J153+L153</f>
        <v/>
      </c>
      <c r="O153" s="3">
        <f>I153+K153+M153</f>
        <v/>
      </c>
      <c r="Q153" t="inlineStr">
        <is>
          <t>7). 강관비계</t>
        </is>
      </c>
    </row>
    <row r="154" ht="24" customHeight="1" s="34">
      <c r="A154" t="inlineStr">
        <is>
          <t>04 진입도로</t>
        </is>
      </c>
      <c r="B154" t="inlineStr">
        <is>
          <t>5. 구조물공</t>
        </is>
      </c>
      <c r="C154" t="n">
        <v>8</v>
      </c>
      <c r="D154" t="inlineStr">
        <is>
          <t>8). 스페이셔설치</t>
        </is>
      </c>
      <c r="E154" t="inlineStr">
        <is>
          <t>수직</t>
        </is>
      </c>
      <c r="F154" t="n">
        <v>2802</v>
      </c>
      <c r="G154" t="inlineStr">
        <is>
          <t>㎡</t>
        </is>
      </c>
      <c r="H154" s="3" t="n">
        <v>623</v>
      </c>
      <c r="I154" s="3">
        <f>F154*H154</f>
        <v/>
      </c>
      <c r="J154" s="3" t="n">
        <v>9748</v>
      </c>
      <c r="K154" s="3">
        <f>F154*J154</f>
        <v/>
      </c>
      <c r="L154" s="3" t="n">
        <v>0</v>
      </c>
      <c r="M154" s="3">
        <f>F154*L154</f>
        <v/>
      </c>
      <c r="N154" s="3">
        <f>H154+J154+L154</f>
        <v/>
      </c>
      <c r="O154" s="3">
        <f>I154+K154+M154</f>
        <v/>
      </c>
      <c r="Q154" t="inlineStr">
        <is>
          <t>수직</t>
        </is>
      </c>
    </row>
    <row r="155" ht="24" customHeight="1" s="34">
      <c r="A155" t="inlineStr">
        <is>
          <t>04 진입도로</t>
        </is>
      </c>
      <c r="B155" t="inlineStr">
        <is>
          <t>5. 구조물공</t>
        </is>
      </c>
      <c r="C155" t="n">
        <v>9</v>
      </c>
      <c r="D155" t="inlineStr">
        <is>
          <t>9). 스페이셔설치</t>
        </is>
      </c>
      <c r="E155" t="inlineStr">
        <is>
          <t>수평</t>
        </is>
      </c>
      <c r="F155" t="n">
        <v>2000</v>
      </c>
      <c r="G155" t="inlineStr">
        <is>
          <t>㎡</t>
        </is>
      </c>
      <c r="H155" s="3" t="n">
        <v>500</v>
      </c>
      <c r="I155" s="3">
        <f>F155*H155</f>
        <v/>
      </c>
      <c r="J155" s="3" t="n">
        <v>1000</v>
      </c>
      <c r="K155" s="3">
        <f>F155*J155</f>
        <v/>
      </c>
      <c r="M155" s="3">
        <f>F155*L155</f>
        <v/>
      </c>
      <c r="N155" s="3">
        <f>H155+J155+L155</f>
        <v/>
      </c>
      <c r="O155" s="3">
        <f>I155+K155+M155</f>
        <v/>
      </c>
      <c r="P155" t="inlineStr">
        <is>
          <t>가영현</t>
        </is>
      </c>
      <c r="Q155" t="inlineStr">
        <is>
          <t>수평</t>
        </is>
      </c>
    </row>
    <row r="156" ht="24" customHeight="1" s="34">
      <c r="A156" t="inlineStr">
        <is>
          <t>04 진입도로</t>
        </is>
      </c>
      <c r="B156" t="inlineStr">
        <is>
          <t>5. 구조물공</t>
        </is>
      </c>
      <c r="C156" t="n">
        <v>10</v>
      </c>
      <c r="D156" t="inlineStr">
        <is>
          <t>10). PVC관 부설 및 접합</t>
        </is>
      </c>
      <c r="E156" t="inlineStr">
        <is>
          <t>Ø 100 MM - VG2 일반관</t>
        </is>
      </c>
      <c r="F156" t="n">
        <v>23</v>
      </c>
      <c r="G156" t="inlineStr">
        <is>
          <t>m</t>
        </is>
      </c>
      <c r="H156" s="3" t="n">
        <v>522</v>
      </c>
      <c r="I156" s="3">
        <f>F156*H156</f>
        <v/>
      </c>
      <c r="J156" s="3" t="n">
        <v>5273</v>
      </c>
      <c r="K156" s="3">
        <f>F156*J156</f>
        <v/>
      </c>
      <c r="L156" s="3" t="n">
        <v>0</v>
      </c>
      <c r="M156" s="3">
        <f>F156*L156</f>
        <v/>
      </c>
      <c r="N156" s="3">
        <f>H156+J156+L156</f>
        <v/>
      </c>
      <c r="O156" s="3">
        <f>I156+K156+M156</f>
        <v/>
      </c>
      <c r="Q156" t="inlineStr">
        <is>
          <t>접합</t>
        </is>
      </c>
    </row>
    <row r="157" ht="24" customHeight="1" s="34">
      <c r="A157" t="inlineStr">
        <is>
          <t>04 진입도로</t>
        </is>
      </c>
      <c r="B157" t="inlineStr">
        <is>
          <t>5. 구조물공</t>
        </is>
      </c>
      <c r="C157" t="n">
        <v>11</v>
      </c>
      <c r="D157" t="inlineStr">
        <is>
          <t>11). 드레인보드 설치</t>
        </is>
      </c>
      <c r="E157" t="inlineStr">
        <is>
          <t>옹벽 배수용</t>
        </is>
      </c>
      <c r="F157" t="n">
        <v>254</v>
      </c>
      <c r="G157" t="inlineStr">
        <is>
          <t>㎡</t>
        </is>
      </c>
      <c r="H157" s="3" t="n">
        <v>2290</v>
      </c>
      <c r="I157" s="3">
        <f>F157*H157</f>
        <v/>
      </c>
      <c r="J157" s="3" t="n">
        <v>0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Q157" t="inlineStr">
        <is>
          <t>11). 드레인보드 설치</t>
        </is>
      </c>
    </row>
    <row r="158" ht="24" customHeight="1" s="34">
      <c r="A158" t="inlineStr">
        <is>
          <t>04 진입도로</t>
        </is>
      </c>
      <c r="B158" t="inlineStr">
        <is>
          <t>5. 구조물공</t>
        </is>
      </c>
      <c r="C158" t="n">
        <v>12</v>
      </c>
      <c r="D158" t="inlineStr">
        <is>
          <t>12). 부직포설치</t>
        </is>
      </c>
      <c r="F158" t="n">
        <v>254</v>
      </c>
      <c r="G158" t="inlineStr">
        <is>
          <t>㎡</t>
        </is>
      </c>
      <c r="H158" s="3" t="n">
        <v>34</v>
      </c>
      <c r="I158" s="3">
        <f>F158*H158</f>
        <v/>
      </c>
      <c r="J158" s="3" t="n">
        <v>358</v>
      </c>
      <c r="K158" s="3">
        <f>F158*J158</f>
        <v/>
      </c>
      <c r="L158" s="3" t="n">
        <v>24</v>
      </c>
      <c r="M158" s="3">
        <f>F158*L158</f>
        <v/>
      </c>
      <c r="N158" s="3">
        <f>H158+J158+L158</f>
        <v/>
      </c>
      <c r="O158" s="3">
        <f>I158+K158+M158</f>
        <v/>
      </c>
      <c r="Q158" t="inlineStr">
        <is>
          <t>12). 부직포설치</t>
        </is>
      </c>
    </row>
    <row r="159" ht="24" customHeight="1" s="34">
      <c r="A159" t="inlineStr">
        <is>
          <t>04 진입도로</t>
        </is>
      </c>
      <c r="B159" t="inlineStr">
        <is>
          <t>5. 구조물공</t>
        </is>
      </c>
      <c r="C159" t="n">
        <v>13</v>
      </c>
      <c r="D159" t="inlineStr">
        <is>
          <t>13). 신축이음(Joint filler)</t>
        </is>
      </c>
      <c r="E159" t="inlineStr">
        <is>
          <t>t=20mm</t>
        </is>
      </c>
      <c r="F159" t="n">
        <v>39</v>
      </c>
      <c r="G159" t="inlineStr">
        <is>
          <t>㎡</t>
        </is>
      </c>
      <c r="H159" s="3" t="n">
        <v>0</v>
      </c>
      <c r="I159" s="3">
        <f>F159*H159</f>
        <v/>
      </c>
      <c r="J159" s="3" t="n">
        <v>67244</v>
      </c>
      <c r="K159" s="3">
        <f>F159*J159</f>
        <v/>
      </c>
      <c r="L159" s="3" t="n">
        <v>0</v>
      </c>
      <c r="M159" s="3">
        <f>F159*L159</f>
        <v/>
      </c>
      <c r="N159" s="3">
        <f>H159+J159+L159</f>
        <v/>
      </c>
      <c r="O159" s="3">
        <f>I159+K159+M159</f>
        <v/>
      </c>
      <c r="Q159" t="inlineStr">
        <is>
          <t>t=20mm</t>
        </is>
      </c>
    </row>
    <row r="160" ht="24" customHeight="1" s="34">
      <c r="A160" t="inlineStr">
        <is>
          <t>04 진입도로</t>
        </is>
      </c>
      <c r="B160" t="inlineStr">
        <is>
          <t>5. 구조물공</t>
        </is>
      </c>
      <c r="C160" t="n">
        <v>14</v>
      </c>
      <c r="D160" t="inlineStr">
        <is>
          <t>14). DOWEL BAR(옹벽용)</t>
        </is>
      </c>
      <c r="E160" t="inlineStr">
        <is>
          <t>Ø32×800(기성품)</t>
        </is>
      </c>
      <c r="F160" t="n">
        <v>795</v>
      </c>
      <c r="G160" t="inlineStr">
        <is>
          <t>ea</t>
        </is>
      </c>
      <c r="H160" s="3" t="n">
        <v>35000</v>
      </c>
      <c r="I160" s="3">
        <f>F160*H160</f>
        <v/>
      </c>
      <c r="J160" s="3" t="n">
        <v>12000</v>
      </c>
      <c r="K160" s="3">
        <f>F160*J160</f>
        <v/>
      </c>
      <c r="L160" t="n">
        <v>800</v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가영현</t>
        </is>
      </c>
      <c r="Q160" t="inlineStr">
        <is>
          <t>옹벽용</t>
        </is>
      </c>
    </row>
    <row r="161" ht="24" customHeight="1" s="34">
      <c r="A161" t="inlineStr">
        <is>
          <t>04 진입도로</t>
        </is>
      </c>
      <c r="B161" t="inlineStr">
        <is>
          <t>5. 구조물공</t>
        </is>
      </c>
      <c r="C161" t="n">
        <v>15</v>
      </c>
      <c r="D161" t="inlineStr">
        <is>
          <t>15). 실링마감(실런트)</t>
        </is>
      </c>
      <c r="E161" t="inlineStr">
        <is>
          <t>20×25</t>
        </is>
      </c>
      <c r="F161" t="n">
        <v>322</v>
      </c>
      <c r="G161" t="inlineStr">
        <is>
          <t>m</t>
        </is>
      </c>
      <c r="H161" s="3" t="n">
        <v>51</v>
      </c>
      <c r="I161" s="3">
        <f>F161*H161</f>
        <v/>
      </c>
      <c r="J161" s="3" t="n">
        <v>5125</v>
      </c>
      <c r="K161" s="3">
        <f>F161*J161</f>
        <v/>
      </c>
      <c r="L161" s="3" t="n">
        <v>0</v>
      </c>
      <c r="M161" s="3">
        <f>F161*L161</f>
        <v/>
      </c>
      <c r="N161" s="3">
        <f>H161+J161+L161</f>
        <v/>
      </c>
      <c r="O161" s="3">
        <f>I161+K161+M161</f>
        <v/>
      </c>
      <c r="Q161" t="inlineStr">
        <is>
          <t>실런트</t>
        </is>
      </c>
    </row>
    <row r="162" ht="24" customHeight="1" s="34">
      <c r="A162" t="inlineStr">
        <is>
          <t>04 진입도로</t>
        </is>
      </c>
      <c r="B162" t="inlineStr">
        <is>
          <t>5. 구조물공</t>
        </is>
      </c>
      <c r="C162" t="n">
        <v>16</v>
      </c>
      <c r="D162" t="inlineStr">
        <is>
          <t>16). 기초지정</t>
        </is>
      </c>
      <c r="E162" t="inlineStr">
        <is>
          <t>잡석지정, 재료비 제외</t>
        </is>
      </c>
      <c r="F162" t="n">
        <v>70</v>
      </c>
      <c r="G162" t="inlineStr">
        <is>
          <t>㎥</t>
        </is>
      </c>
      <c r="H162" s="3" t="n">
        <v>1606</v>
      </c>
      <c r="I162" s="3">
        <f>F162*H162</f>
        <v/>
      </c>
      <c r="J162" s="3" t="n">
        <v>8751</v>
      </c>
      <c r="K162" s="3">
        <f>F162*J162</f>
        <v/>
      </c>
      <c r="L162" s="3" t="n">
        <v>1798</v>
      </c>
      <c r="M162" s="3">
        <f>F162*L162</f>
        <v/>
      </c>
      <c r="N162" s="3">
        <f>H162+J162+L162</f>
        <v/>
      </c>
      <c r="O162" s="3">
        <f>I162+K162+M162</f>
        <v/>
      </c>
      <c r="Q162" t="inlineStr">
        <is>
          <t>16). 기초지정</t>
        </is>
      </c>
    </row>
    <row r="163" ht="24" customHeight="1" s="34">
      <c r="A163" t="inlineStr">
        <is>
          <t>04 진입도로</t>
        </is>
      </c>
      <c r="B163" t="inlineStr">
        <is>
          <t>5. 구조물공</t>
        </is>
      </c>
      <c r="C163" t="n">
        <v>17</v>
      </c>
      <c r="D163" t="inlineStr">
        <is>
          <t>가). 철근운반비</t>
        </is>
      </c>
      <c r="E163" t="inlineStr">
        <is>
          <t>L=10km이내</t>
        </is>
      </c>
      <c r="F163" t="n">
        <v>23</v>
      </c>
      <c r="G163" t="inlineStr">
        <is>
          <t>Ton</t>
        </is>
      </c>
      <c r="I163" s="3">
        <f>F163*H163</f>
        <v/>
      </c>
      <c r="K163" s="3">
        <f>F163*J163</f>
        <v/>
      </c>
      <c r="L163" t="n">
        <v>30000</v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가영현</t>
        </is>
      </c>
      <c r="Q163" t="inlineStr">
        <is>
          <t>L=10km이내, ... 가). 철근운반비</t>
        </is>
      </c>
    </row>
    <row r="164" ht="24" customHeight="1" s="34">
      <c r="A164" t="inlineStr">
        <is>
          <t>04 진입도로</t>
        </is>
      </c>
      <c r="B164" t="inlineStr">
        <is>
          <t>5. 구조물공</t>
        </is>
      </c>
      <c r="C164" t="n">
        <v>18</v>
      </c>
      <c r="D164" t="inlineStr">
        <is>
          <t>나). 고철(고재)</t>
        </is>
      </c>
      <c r="E164" t="inlineStr">
        <is>
          <t>중량A</t>
        </is>
      </c>
      <c r="F164" t="n">
        <v>0.469</v>
      </c>
      <c r="G164" t="inlineStr">
        <is>
          <t>Ton</t>
        </is>
      </c>
      <c r="H164" t="n">
        <v>-10000</v>
      </c>
      <c r="I164" s="3">
        <f>F164*H164</f>
        <v/>
      </c>
      <c r="K164" s="3">
        <f>F164*J164</f>
        <v/>
      </c>
      <c r="M164" s="3">
        <f>F164*L164</f>
        <v/>
      </c>
      <c r="N164" s="3">
        <f>H164+J164+L164</f>
        <v/>
      </c>
      <c r="O164" s="3">
        <f>I164+K164+M164</f>
        <v/>
      </c>
      <c r="P164" t="inlineStr">
        <is>
          <t>가영현</t>
        </is>
      </c>
      <c r="Q164" t="inlineStr">
        <is>
          <t>중량A, 고재, ... 나). 고철</t>
        </is>
      </c>
    </row>
    <row r="165" ht="24" customHeight="1" s="34">
      <c r="A165" t="inlineStr">
        <is>
          <t>04 진입도로</t>
        </is>
      </c>
      <c r="B165" t="inlineStr">
        <is>
          <t>5. 구조물공</t>
        </is>
      </c>
      <c r="C165" t="n">
        <v>19</v>
      </c>
      <c r="D165" t="inlineStr">
        <is>
          <t>가). 레미콘</t>
        </is>
      </c>
      <c r="E165" t="inlineStr">
        <is>
          <t>25-24-12(Mpa)</t>
        </is>
      </c>
      <c r="F165" t="n">
        <v>250</v>
      </c>
      <c r="G165" t="inlineStr">
        <is>
          <t>㎥</t>
        </is>
      </c>
      <c r="H165" s="3" t="n">
        <v>1293</v>
      </c>
      <c r="I165" s="3">
        <f>F165*H165</f>
        <v/>
      </c>
      <c r="J165" s="3" t="n">
        <v>64674</v>
      </c>
      <c r="K165" s="3">
        <f>F165*J165</f>
        <v/>
      </c>
      <c r="L165" s="3" t="n">
        <v>0</v>
      </c>
      <c r="M165" s="3">
        <f>F165*L165</f>
        <v/>
      </c>
      <c r="N165" s="3">
        <f>H165+J165+L165</f>
        <v/>
      </c>
      <c r="O165" s="3">
        <f>I165+K165+M165</f>
        <v/>
      </c>
      <c r="Q165" t="inlineStr">
        <is>
          <t>표준DB CUG30401000S (점수0.55) / 대안: 레미콘타설(0.55) · 레미콘타설(0.55)</t>
        </is>
      </c>
    </row>
    <row r="166" ht="24" customHeight="1" s="34">
      <c r="A166" t="inlineStr">
        <is>
          <t>04 진입도로</t>
        </is>
      </c>
      <c r="B166" t="inlineStr">
        <is>
          <t>5. 구조물공</t>
        </is>
      </c>
      <c r="C166" t="n">
        <v>20</v>
      </c>
      <c r="D166" t="inlineStr">
        <is>
          <t>나). 레미콘</t>
        </is>
      </c>
      <c r="E166" t="inlineStr">
        <is>
          <t>25-21-8(Mpa)</t>
        </is>
      </c>
      <c r="F166" t="n">
        <v>36</v>
      </c>
      <c r="G166" t="inlineStr">
        <is>
          <t>㎥</t>
        </is>
      </c>
      <c r="H166" s="3" t="n">
        <v>1293</v>
      </c>
      <c r="I166" s="3">
        <f>F166*H166</f>
        <v/>
      </c>
      <c r="J166" s="3" t="n">
        <v>64674</v>
      </c>
      <c r="K166" s="3">
        <f>F166*J166</f>
        <v/>
      </c>
      <c r="L166" s="3" t="n">
        <v>0</v>
      </c>
      <c r="M166" s="3">
        <f>F166*L166</f>
        <v/>
      </c>
      <c r="N166" s="3">
        <f>H166+J166+L166</f>
        <v/>
      </c>
      <c r="O166" s="3">
        <f>I166+K166+M166</f>
        <v/>
      </c>
      <c r="Q166" t="inlineStr">
        <is>
          <t>표준DB CUG30401000S (점수0.55) / 대안: 레미콘타설(0.55) · 레미콘타설(0.55)</t>
        </is>
      </c>
    </row>
    <row r="167" ht="24" customHeight="1" s="34">
      <c r="A167" t="inlineStr">
        <is>
          <t>04 진입도로</t>
        </is>
      </c>
      <c r="B167" t="inlineStr">
        <is>
          <t>5. 구조물공</t>
        </is>
      </c>
      <c r="C167" t="n">
        <v>21</v>
      </c>
      <c r="D167" t="inlineStr">
        <is>
          <t>다). 잡석</t>
        </is>
      </c>
      <c r="E167" t="inlineStr">
        <is>
          <t>Φ80mm이하, 현장도착도</t>
        </is>
      </c>
      <c r="F167" t="n">
        <v>73</v>
      </c>
      <c r="G167" t="inlineStr">
        <is>
          <t>㎥</t>
        </is>
      </c>
      <c r="H167" s="3" t="n">
        <v>0</v>
      </c>
      <c r="I167" s="3">
        <f>F167*H167</f>
        <v/>
      </c>
      <c r="J167" s="3" t="n">
        <v>4036</v>
      </c>
      <c r="K167" s="3">
        <f>F167*J167</f>
        <v/>
      </c>
      <c r="L167" s="3" t="n">
        <v>947</v>
      </c>
      <c r="M167" s="3">
        <f>F167*L167</f>
        <v/>
      </c>
      <c r="N167" s="3">
        <f>H167+J167+L167</f>
        <v/>
      </c>
      <c r="O167" s="3">
        <f>I167+K167+M167</f>
        <v/>
      </c>
      <c r="Q167" t="inlineStr">
        <is>
          <t>표준DB 4. 조경 유지관리 외 (점수0.53) / 대안: 천단잡석부설(0.48) · 뒷채움 잡석(0.47)</t>
        </is>
      </c>
    </row>
    <row r="168" ht="24" customHeight="1" s="34">
      <c r="A168" t="inlineStr">
        <is>
          <t>04 진입도로</t>
        </is>
      </c>
      <c r="B168" t="inlineStr">
        <is>
          <t>5. 구조물공</t>
        </is>
      </c>
      <c r="C168" t="n">
        <v>22</v>
      </c>
      <c r="D168" t="inlineStr">
        <is>
          <t>라). 이형철근(고장력철근)</t>
        </is>
      </c>
      <c r="E168" t="inlineStr">
        <is>
          <t>HD13M/M 0.995KG/M SD40</t>
        </is>
      </c>
      <c r="F168" t="n">
        <v>23</v>
      </c>
      <c r="G168" t="inlineStr">
        <is>
          <t>TON</t>
        </is>
      </c>
      <c r="H168" s="3" t="n">
        <v>952000</v>
      </c>
      <c r="I168" s="3">
        <f>F168*H168</f>
        <v/>
      </c>
      <c r="J168" s="3" t="n">
        <v>0</v>
      </c>
      <c r="K168" s="3">
        <f>F168*J168</f>
        <v/>
      </c>
      <c r="L168" s="3" t="n">
        <v>0</v>
      </c>
      <c r="M168" s="3">
        <f>F168*L168</f>
        <v/>
      </c>
      <c r="N168" s="3">
        <f>H168+J168+L168</f>
        <v/>
      </c>
      <c r="O168" s="3">
        <f>I168+K168+M168</f>
        <v/>
      </c>
      <c r="Q168" t="inlineStr">
        <is>
          <t>라). 이형철근</t>
        </is>
      </c>
    </row>
    <row r="169" ht="24" customHeight="1" s="34">
      <c r="A169" s="15" t="inlineStr">
        <is>
          <t>04 진입도로</t>
        </is>
      </c>
      <c r="B169" s="15" t="inlineStr">
        <is>
          <t>5. 구조물공</t>
        </is>
      </c>
      <c r="C169" s="15" t="n"/>
      <c r="D169" s="15" t="inlineStr">
        <is>
          <t>★ 5. 구조물공 소계</t>
        </is>
      </c>
      <c r="E169" s="15" t="n"/>
      <c r="F169" s="15" t="n"/>
      <c r="G169" s="15" t="n"/>
      <c r="H169" s="15" t="n"/>
      <c r="I169" s="16">
        <f>SUM(I147:I168)</f>
        <v/>
      </c>
      <c r="J169" s="15" t="n"/>
      <c r="K169" s="16">
        <f>SUM(K147:K168)</f>
        <v/>
      </c>
      <c r="L169" s="15" t="n"/>
      <c r="M169" s="16">
        <f>SUM(M147:M168)</f>
        <v/>
      </c>
      <c r="N169" s="15" t="n"/>
      <c r="O169" s="16">
        <f>SUM(O147:O168)</f>
        <v/>
      </c>
      <c r="P169" s="15" t="n"/>
      <c r="Q169" s="15" t="inlineStr">
        <is>
          <t>22건</t>
        </is>
      </c>
    </row>
    <row r="170" ht="24" customHeight="1" s="34">
      <c r="A170" t="inlineStr">
        <is>
          <t>04 진입도로</t>
        </is>
      </c>
      <c r="B170" t="inlineStr">
        <is>
          <t>6. 부 대 공</t>
        </is>
      </c>
      <c r="C170" t="n">
        <v>1</v>
      </c>
      <c r="D170" t="inlineStr">
        <is>
          <t>가). 터파기(토사)</t>
        </is>
      </c>
      <c r="E170" t="inlineStr">
        <is>
          <t>인력100%</t>
        </is>
      </c>
      <c r="F170" t="n">
        <v>19</v>
      </c>
      <c r="G170" t="inlineStr">
        <is>
          <t>㎥</t>
        </is>
      </c>
      <c r="H170" s="3" t="n">
        <v>0</v>
      </c>
      <c r="I170" s="3">
        <f>F170*H170</f>
        <v/>
      </c>
      <c r="J170" s="3" t="n">
        <v>33455</v>
      </c>
      <c r="K170" s="3">
        <f>F170*J170</f>
        <v/>
      </c>
      <c r="L170" s="3" t="n">
        <v>0</v>
      </c>
      <c r="M170" s="3">
        <f>F170*L170</f>
        <v/>
      </c>
      <c r="N170" s="3">
        <f>H170+J170+L170</f>
        <v/>
      </c>
      <c r="O170" s="3">
        <f>I170+K170+M170</f>
        <v/>
      </c>
      <c r="Q170" t="inlineStr">
        <is>
          <t>토사</t>
        </is>
      </c>
    </row>
    <row r="171" ht="24" customHeight="1" s="34">
      <c r="A171" t="inlineStr">
        <is>
          <t>04 진입도로</t>
        </is>
      </c>
      <c r="B171" t="inlineStr">
        <is>
          <t>6. 부 대 공</t>
        </is>
      </c>
      <c r="C171" t="n">
        <v>2</v>
      </c>
      <c r="D171" t="inlineStr">
        <is>
          <t>가). 되메우기및다짐</t>
        </is>
      </c>
      <c r="E171" t="inlineStr">
        <is>
          <t>인력100%</t>
        </is>
      </c>
      <c r="F171" t="n">
        <v>14</v>
      </c>
      <c r="G171" t="inlineStr">
        <is>
          <t>㎥</t>
        </is>
      </c>
      <c r="H171" s="3" t="n">
        <v>608</v>
      </c>
      <c r="I171" s="3">
        <f>F171*H171</f>
        <v/>
      </c>
      <c r="J171" s="3" t="n">
        <v>9980</v>
      </c>
      <c r="K171" s="3">
        <f>F171*J171</f>
        <v/>
      </c>
      <c r="L171" s="3" t="n">
        <v>440</v>
      </c>
      <c r="M171" s="3">
        <f>F171*L171</f>
        <v/>
      </c>
      <c r="N171" s="3">
        <f>H171+J171+L171</f>
        <v/>
      </c>
      <c r="O171" s="3">
        <f>I171+K171+M171</f>
        <v/>
      </c>
      <c r="Q171" t="inlineStr">
        <is>
          <t>가). 되메우기및다짐</t>
        </is>
      </c>
    </row>
    <row r="172" ht="24" customHeight="1" s="34">
      <c r="A172" t="inlineStr">
        <is>
          <t>04 진입도로</t>
        </is>
      </c>
      <c r="B172" t="inlineStr">
        <is>
          <t>6. 부 대 공</t>
        </is>
      </c>
      <c r="C172" t="n">
        <v>3</v>
      </c>
      <c r="D172" t="inlineStr">
        <is>
          <t>가). 잔토처리(토사)</t>
        </is>
      </c>
      <c r="E172" t="inlineStr">
        <is>
          <t>기계100%</t>
        </is>
      </c>
      <c r="F172" t="n">
        <v>5</v>
      </c>
      <c r="G172" t="inlineStr">
        <is>
          <t>㎥</t>
        </is>
      </c>
      <c r="H172" s="3" t="n">
        <v>447</v>
      </c>
      <c r="I172" s="3">
        <f>F172*H172</f>
        <v/>
      </c>
      <c r="J172" s="3" t="n">
        <v>955</v>
      </c>
      <c r="K172" s="3">
        <f>F172*J172</f>
        <v/>
      </c>
      <c r="L172" s="3" t="n">
        <v>336</v>
      </c>
      <c r="M172" s="3">
        <f>F172*L172</f>
        <v/>
      </c>
      <c r="N172" s="3">
        <f>H172+J172+L172</f>
        <v/>
      </c>
      <c r="O172" s="3">
        <f>I172+K172+M172</f>
        <v/>
      </c>
      <c r="Q172" t="inlineStr">
        <is>
          <t>토사</t>
        </is>
      </c>
    </row>
    <row r="173" ht="24" customHeight="1" s="34">
      <c r="A173" s="15" t="inlineStr">
        <is>
          <t>04 진입도로</t>
        </is>
      </c>
      <c r="B173" s="15" t="inlineStr">
        <is>
          <t>6. 부 대 공</t>
        </is>
      </c>
      <c r="C173" s="15" t="n"/>
      <c r="D173" s="15" t="inlineStr">
        <is>
          <t>★ 6. 부 대 공 소계</t>
        </is>
      </c>
      <c r="E173" s="15" t="n"/>
      <c r="F173" s="15" t="n"/>
      <c r="G173" s="15" t="n"/>
      <c r="H173" s="15" t="n"/>
      <c r="I173" s="16">
        <f>SUM(I170:I172)</f>
        <v/>
      </c>
      <c r="J173" s="15" t="n"/>
      <c r="K173" s="16">
        <f>SUM(K170:K172)</f>
        <v/>
      </c>
      <c r="L173" s="15" t="n"/>
      <c r="M173" s="16">
        <f>SUM(M170:M172)</f>
        <v/>
      </c>
      <c r="N173" s="15" t="n"/>
      <c r="O173" s="16">
        <f>SUM(O170:O172)</f>
        <v/>
      </c>
      <c r="P173" s="15" t="n"/>
      <c r="Q173" s="15" t="inlineStr">
        <is>
          <t>3건</t>
        </is>
      </c>
    </row>
    <row r="174" ht="24" customHeight="1" s="34">
      <c r="A174" t="inlineStr">
        <is>
          <t>04 진입도로</t>
        </is>
      </c>
      <c r="B174" t="inlineStr">
        <is>
          <t>가). 중기운반비</t>
        </is>
      </c>
      <c r="C174" t="n">
        <v>1</v>
      </c>
      <c r="D174" t="inlineStr">
        <is>
          <t>▣ 안전관리비</t>
        </is>
      </c>
      <c r="F174" t="n">
        <v>1</v>
      </c>
      <c r="G174" t="inlineStr">
        <is>
          <t>P.S</t>
        </is>
      </c>
      <c r="I174" s="3">
        <f>F174*H174</f>
        <v/>
      </c>
      <c r="K174" s="3">
        <f>F174*J174</f>
        <v/>
      </c>
      <c r="L174" t="n">
        <v>2500000</v>
      </c>
      <c r="M174" s="3">
        <f>F174*L174</f>
        <v/>
      </c>
      <c r="N174" s="3">
        <f>H174+J174+L174</f>
        <v/>
      </c>
      <c r="O174" s="3">
        <f>I174+K174+M174</f>
        <v/>
      </c>
      <c r="P174" t="inlineStr">
        <is>
          <t>가영현</t>
        </is>
      </c>
      <c r="Q174" t="inlineStr">
        <is>
          <t>▣ 안전관리비</t>
        </is>
      </c>
    </row>
    <row r="175" ht="24" customHeight="1" s="34">
      <c r="A175" t="inlineStr">
        <is>
          <t>04 진입도로</t>
        </is>
      </c>
      <c r="B175" t="inlineStr">
        <is>
          <t>가). 중기운반비</t>
        </is>
      </c>
      <c r="C175" t="n">
        <v>2</v>
      </c>
      <c r="D175" t="inlineStr">
        <is>
          <t>1). 안전관리계획작성 및 검토비</t>
        </is>
      </c>
      <c r="F175" t="n">
        <v>1</v>
      </c>
      <c r="G175" t="inlineStr">
        <is>
          <t>P.S</t>
        </is>
      </c>
      <c r="I175" s="3">
        <f>F175*H175</f>
        <v/>
      </c>
      <c r="K175" s="3">
        <f>F175*J175</f>
        <v/>
      </c>
      <c r="L175" t="n">
        <v>2500000</v>
      </c>
      <c r="M175" s="3">
        <f>F175*L175</f>
        <v/>
      </c>
      <c r="N175" s="3">
        <f>H175+J175+L175</f>
        <v/>
      </c>
      <c r="O175" s="3">
        <f>I175+K175+M175</f>
        <v/>
      </c>
      <c r="P175" t="inlineStr">
        <is>
          <t>가영현</t>
        </is>
      </c>
      <c r="Q175" t="inlineStr">
        <is>
          <t>1). 안전관리계획작성 및 검토비, .. 1). 안전관리계획작성, 검토비</t>
        </is>
      </c>
    </row>
    <row r="176" ht="24" customHeight="1" s="34">
      <c r="A176" t="inlineStr">
        <is>
          <t>04 진입도로</t>
        </is>
      </c>
      <c r="B176" t="inlineStr">
        <is>
          <t>가). 중기운반비</t>
        </is>
      </c>
      <c r="C176" t="n">
        <v>3</v>
      </c>
      <c r="D176" t="inlineStr">
        <is>
          <t>2). 안전점검비</t>
        </is>
      </c>
      <c r="F176" t="n">
        <v>1</v>
      </c>
      <c r="G176" t="inlineStr">
        <is>
          <t>P.S</t>
        </is>
      </c>
      <c r="I176" s="3">
        <f>F176*H176</f>
        <v/>
      </c>
      <c r="K176" s="3">
        <f>F176*J176</f>
        <v/>
      </c>
      <c r="L176" t="n">
        <v>2500000</v>
      </c>
      <c r="M176" s="3">
        <f>F176*L176</f>
        <v/>
      </c>
      <c r="N176" s="3">
        <f>H176+J176+L176</f>
        <v/>
      </c>
      <c r="O176" s="3">
        <f>I176+K176+M176</f>
        <v/>
      </c>
      <c r="P176" t="inlineStr">
        <is>
          <t>가영현</t>
        </is>
      </c>
      <c r="Q176" t="inlineStr">
        <is>
          <t>2). 안전점검비</t>
        </is>
      </c>
    </row>
    <row r="177" ht="24" customHeight="1" s="34">
      <c r="A177" s="15" t="inlineStr">
        <is>
          <t>04 진입도로</t>
        </is>
      </c>
      <c r="B177" s="15" t="inlineStr">
        <is>
          <t>가). 중기운반비</t>
        </is>
      </c>
      <c r="C177" s="15" t="n"/>
      <c r="D177" s="15" t="inlineStr">
        <is>
          <t>★ ... 가). 중기운반비 소계</t>
        </is>
      </c>
      <c r="E177" s="15" t="n"/>
      <c r="F177" s="15" t="n"/>
      <c r="G177" s="15" t="n"/>
      <c r="H177" s="15" t="n"/>
      <c r="I177" s="16">
        <f>SUM(I174:I176)</f>
        <v/>
      </c>
      <c r="J177" s="15" t="n"/>
      <c r="K177" s="16">
        <f>SUM(K174:K176)</f>
        <v/>
      </c>
      <c r="L177" s="15" t="n"/>
      <c r="M177" s="16">
        <f>SUM(M174:M176)</f>
        <v/>
      </c>
      <c r="N177" s="15" t="n"/>
      <c r="O177" s="16">
        <f>SUM(O174:O176)</f>
        <v/>
      </c>
      <c r="P177" s="15" t="n"/>
      <c r="Q177" s="15" t="inlineStr">
        <is>
          <t>3건</t>
        </is>
      </c>
    </row>
    <row r="178" ht="24" customHeight="1" s="34">
      <c r="A178" t="inlineStr">
        <is>
          <t>04 진입도로</t>
        </is>
      </c>
      <c r="B178" t="inlineStr">
        <is>
          <t>▣ 품질관리비</t>
        </is>
      </c>
      <c r="C178" t="n">
        <v>1</v>
      </c>
      <c r="D178" t="inlineStr">
        <is>
          <t>1). 품질시험</t>
        </is>
      </c>
      <c r="F178" t="n">
        <v>1</v>
      </c>
      <c r="G178" t="inlineStr">
        <is>
          <t>sum</t>
        </is>
      </c>
      <c r="I178" s="3">
        <f>F178*H178</f>
        <v/>
      </c>
      <c r="K178" s="3">
        <f>F178*J178</f>
        <v/>
      </c>
      <c r="M178" s="3">
        <f>F178*L178</f>
        <v/>
      </c>
      <c r="N178" s="3">
        <f>H178+J178+L178</f>
        <v/>
      </c>
      <c r="O178" s="3">
        <f>I178+K178+M178</f>
        <v/>
      </c>
      <c r="P178" t="inlineStr">
        <is>
          <t>미매칭</t>
        </is>
      </c>
      <c r="Q178" t="inlineStr">
        <is>
          <t>1). 품질시험</t>
        </is>
      </c>
    </row>
    <row r="179" ht="24" customHeight="1" s="34">
      <c r="A179" s="15" t="inlineStr">
        <is>
          <t>04 진입도로</t>
        </is>
      </c>
      <c r="B179" s="15" t="inlineStr">
        <is>
          <t>▣ 품질관리비</t>
        </is>
      </c>
      <c r="C179" s="15" t="n"/>
      <c r="D179" s="15" t="inlineStr">
        <is>
          <t>★ ▣ 품질관리비 소계</t>
        </is>
      </c>
      <c r="E179" s="15" t="n"/>
      <c r="F179" s="15" t="n"/>
      <c r="G179" s="15" t="n"/>
      <c r="H179" s="15" t="n"/>
      <c r="I179" s="16">
        <f>SUM(I178:I178)</f>
        <v/>
      </c>
      <c r="J179" s="15" t="n"/>
      <c r="K179" s="16">
        <f>SUM(K178:K178)</f>
        <v/>
      </c>
      <c r="L179" s="15" t="n"/>
      <c r="M179" s="16">
        <f>SUM(M178:M178)</f>
        <v/>
      </c>
      <c r="N179" s="15" t="n"/>
      <c r="O179" s="16">
        <f>SUM(O178:O178)</f>
        <v/>
      </c>
      <c r="P179" s="15" t="n"/>
      <c r="Q179" s="15" t="inlineStr">
        <is>
          <t>1건</t>
        </is>
      </c>
    </row>
    <row r="180" ht="24" customHeight="1" s="34">
      <c r="A180" s="4" t="n"/>
      <c r="B180" s="4" t="n"/>
      <c r="C180" s="4" t="n"/>
      <c r="D180" s="4" t="inlineStr">
        <is>
          <t>★ 진입도로 내역 합계</t>
        </is>
      </c>
      <c r="E180" s="4" t="n"/>
      <c r="F180" s="4" t="n"/>
      <c r="G180" s="4" t="n"/>
      <c r="H180" s="4" t="n"/>
      <c r="I180" s="5">
        <f>SUMIF(C19:C179,"&lt;&gt;",I19:I179)</f>
        <v/>
      </c>
      <c r="J180" s="4" t="n"/>
      <c r="K180" s="5">
        <f>SUMIF(C19:C179,"&lt;&gt;",K19:K179)</f>
        <v/>
      </c>
      <c r="L180" s="4" t="n"/>
      <c r="M180" s="5">
        <f>SUMIF(C19:C179,"&lt;&gt;",M19:M179)</f>
        <v/>
      </c>
      <c r="N180" s="4" t="n"/>
      <c r="O180" s="5">
        <f>SUMIF(C19:C179,"&lt;&gt;",O19:O179)</f>
        <v/>
      </c>
      <c r="P180" s="4" t="n"/>
      <c r="Q180" s="4" t="inlineStr">
        <is>
          <t>No&lt;&gt;인 행 합산</t>
        </is>
      </c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48"/>
  <colBreaks count="1" manualBreakCount="1">
    <brk id="15" min="0" max="1048575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6"/>
  <sheetViews>
    <sheetView view="pageBreakPreview" zoomScale="60" zoomScaleNormal="100" workbookViewId="0">
      <pane ySplit="21" topLeftCell="A471" activePane="bottomLeft" state="frozen"/>
      <selection activeCell="F132" sqref="F132"/>
      <selection pane="bottomLeft" activeCell="Q12" sqref="Q12"/>
    </sheetView>
  </sheetViews>
  <sheetFormatPr baseColWidth="8" defaultRowHeight="16.5"/>
  <cols>
    <col width="29" bestFit="1" customWidth="1" style="34" min="1" max="1"/>
    <col width="14" bestFit="1" customWidth="1" style="34" min="2" max="2"/>
    <col width="20" bestFit="1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7"/>
    <col width="14" bestFit="1" customWidth="1" style="64" min="8" max="8"/>
    <col width="15" bestFit="1" customWidth="1" style="34" min="9" max="11"/>
    <col width="14" customWidth="1" style="34" min="10" max="10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토목(조경)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65" t="inlineStr">
        <is>
          <t>재료비</t>
        </is>
      </c>
      <c r="H3" s="65" t="inlineStr">
        <is>
          <t>노무비</t>
        </is>
      </c>
      <c r="I3" s="65" t="inlineStr">
        <is>
          <t>경비</t>
        </is>
      </c>
      <c r="J3" s="65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01</t>
        </is>
      </c>
      <c r="B4" t="inlineStr">
        <is>
          <t>01 토목</t>
        </is>
      </c>
      <c r="C4" t="inlineStr">
        <is>
          <t>1. 토 공</t>
        </is>
      </c>
      <c r="D4" t="n">
        <v>41</v>
      </c>
      <c r="E4" t="n">
        <v>45</v>
      </c>
      <c r="F4" s="61" t="n">
        <v>0.9111111111111111</v>
      </c>
      <c r="G4" s="64" t="n">
        <v>193864804.08</v>
      </c>
      <c r="H4" s="64" t="n">
        <v>375830828.64</v>
      </c>
      <c r="I4" s="64" t="n">
        <v>248626066</v>
      </c>
      <c r="J4" s="64" t="n">
        <v>818321698.72</v>
      </c>
      <c r="K4" s="14" t="n">
        <v>8.1832169872</v>
      </c>
    </row>
    <row r="5" ht="24" customHeight="1" s="34">
      <c r="A5" t="inlineStr">
        <is>
          <t>01</t>
        </is>
      </c>
      <c r="B5" t="inlineStr">
        <is>
          <t>01 토목</t>
        </is>
      </c>
      <c r="C5" t="inlineStr">
        <is>
          <t>2. 우 수 공</t>
        </is>
      </c>
      <c r="D5" t="n">
        <v>81</v>
      </c>
      <c r="E5" t="n">
        <v>99</v>
      </c>
      <c r="F5" s="61" t="n">
        <v>0.8181818181818182</v>
      </c>
      <c r="G5" s="64" t="n">
        <v>45773359.87</v>
      </c>
      <c r="H5" s="64" t="n">
        <v>412651288.28</v>
      </c>
      <c r="I5" s="64" t="n">
        <v>30187164.21</v>
      </c>
      <c r="J5" s="64" t="n">
        <v>488611812.36</v>
      </c>
      <c r="K5" s="14" t="n">
        <v>4.8861181236</v>
      </c>
    </row>
    <row r="6" ht="24" customHeight="1" s="34">
      <c r="A6" t="inlineStr">
        <is>
          <t>01</t>
        </is>
      </c>
      <c r="B6" t="inlineStr">
        <is>
          <t>01 토목</t>
        </is>
      </c>
      <c r="C6" t="inlineStr">
        <is>
          <t>3. 오 수 공</t>
        </is>
      </c>
      <c r="D6" t="n">
        <v>36</v>
      </c>
      <c r="E6" t="n">
        <v>44</v>
      </c>
      <c r="F6" s="61" t="n">
        <v>0.8181818181818182</v>
      </c>
      <c r="G6" s="64" t="n">
        <v>8139274.2</v>
      </c>
      <c r="H6" s="64" t="n">
        <v>91589701.7</v>
      </c>
      <c r="I6" s="64" t="n">
        <v>6281483</v>
      </c>
      <c r="J6" s="64" t="n">
        <v>106010458.9</v>
      </c>
      <c r="K6" s="14" t="n">
        <v>1.060104589</v>
      </c>
    </row>
    <row r="7" ht="24" customHeight="1" s="34">
      <c r="A7" t="inlineStr">
        <is>
          <t>01</t>
        </is>
      </c>
      <c r="B7" t="inlineStr">
        <is>
          <t>01 토목</t>
        </is>
      </c>
      <c r="C7" t="inlineStr">
        <is>
          <t>4. 상 수 공</t>
        </is>
      </c>
      <c r="D7" t="n">
        <v>62</v>
      </c>
      <c r="E7" t="n">
        <v>86</v>
      </c>
      <c r="F7" s="61" t="n">
        <v>0.7209302325581395</v>
      </c>
      <c r="G7" s="64" t="n">
        <v>11736539</v>
      </c>
      <c r="H7" s="64" t="n">
        <v>84912162</v>
      </c>
      <c r="I7" s="64" t="n">
        <v>4722073</v>
      </c>
      <c r="J7" s="64" t="n">
        <v>101370774</v>
      </c>
      <c r="K7" s="14" t="n">
        <v>1.01370774</v>
      </c>
    </row>
    <row r="8" ht="24" customHeight="1" s="34">
      <c r="A8" t="inlineStr">
        <is>
          <t>01</t>
        </is>
      </c>
      <c r="B8" t="inlineStr">
        <is>
          <t>01 토목</t>
        </is>
      </c>
      <c r="C8" t="inlineStr">
        <is>
          <t>5. 포 장 공</t>
        </is>
      </c>
      <c r="D8" t="n">
        <v>68</v>
      </c>
      <c r="E8" t="n">
        <v>76</v>
      </c>
      <c r="F8" s="61" t="n">
        <v>0.8947368421052632</v>
      </c>
      <c r="G8" s="64" t="n">
        <v>55159585</v>
      </c>
      <c r="H8" s="64" t="n">
        <v>294369653</v>
      </c>
      <c r="I8" s="64" t="n">
        <v>23035558</v>
      </c>
      <c r="J8" s="64" t="n">
        <v>372564796</v>
      </c>
      <c r="K8" s="14" t="n">
        <v>3.72564796</v>
      </c>
    </row>
    <row r="9" ht="24" customHeight="1" s="34">
      <c r="A9" t="inlineStr">
        <is>
          <t>01</t>
        </is>
      </c>
      <c r="B9" t="inlineStr">
        <is>
          <t>01 토목</t>
        </is>
      </c>
      <c r="C9" t="inlineStr">
        <is>
          <t>6. 구조물공</t>
        </is>
      </c>
      <c r="D9" t="n">
        <v>39</v>
      </c>
      <c r="E9" t="n">
        <v>43</v>
      </c>
      <c r="F9" s="61" t="n">
        <v>0.9069767441860465</v>
      </c>
      <c r="G9" s="64" t="n">
        <v>27584724.299</v>
      </c>
      <c r="H9" s="64" t="n">
        <v>215414584.342</v>
      </c>
      <c r="I9" s="64" t="n">
        <v>17151782</v>
      </c>
      <c r="J9" s="64" t="n">
        <v>260151090.641</v>
      </c>
      <c r="K9" s="14" t="n">
        <v>2.60151090641</v>
      </c>
    </row>
    <row r="10" ht="24" customHeight="1" s="34">
      <c r="A10" t="inlineStr">
        <is>
          <t>01</t>
        </is>
      </c>
      <c r="B10" t="inlineStr">
        <is>
          <t>01 토목</t>
        </is>
      </c>
      <c r="C10" t="inlineStr">
        <is>
          <t>7. 부 대 공</t>
        </is>
      </c>
      <c r="D10" t="n">
        <v>27</v>
      </c>
      <c r="E10" t="n">
        <v>36</v>
      </c>
      <c r="F10" s="61" t="n">
        <v>0.75</v>
      </c>
      <c r="G10" s="64" t="n">
        <v>15032685</v>
      </c>
      <c r="H10" s="64" t="n">
        <v>173478672</v>
      </c>
      <c r="I10" s="64" t="n">
        <v>7842946</v>
      </c>
      <c r="J10" s="64" t="n">
        <v>196354303</v>
      </c>
      <c r="K10" s="14" t="n">
        <v>1.96354303</v>
      </c>
    </row>
    <row r="11" ht="24" customHeight="1" s="34">
      <c r="A11" t="inlineStr">
        <is>
          <t>01</t>
        </is>
      </c>
      <c r="B11" t="inlineStr">
        <is>
          <t>01 토목</t>
        </is>
      </c>
      <c r="C11" t="inlineStr">
        <is>
          <t>8. 하수처리장</t>
        </is>
      </c>
      <c r="D11" t="n">
        <v>43</v>
      </c>
      <c r="E11" t="n">
        <v>53</v>
      </c>
      <c r="F11" s="61" t="n">
        <v>0.8113207547169812</v>
      </c>
      <c r="G11" s="64" t="n">
        <v>14684152.867</v>
      </c>
      <c r="H11" s="64" t="n">
        <v>65843674.286</v>
      </c>
      <c r="I11" s="64" t="n">
        <v>1789336</v>
      </c>
      <c r="J11" s="64" t="n">
        <v>82317163.153</v>
      </c>
      <c r="K11" s="14" t="n">
        <v>0.8231716315299999</v>
      </c>
    </row>
    <row r="12" ht="24" customHeight="1" s="34">
      <c r="A12" t="inlineStr">
        <is>
          <t>01</t>
        </is>
      </c>
      <c r="B12" t="inlineStr">
        <is>
          <t>01 토목</t>
        </is>
      </c>
      <c r="C12" t="inlineStr">
        <is>
          <t>9. 지하저류조</t>
        </is>
      </c>
      <c r="D12" t="n">
        <v>7</v>
      </c>
      <c r="E12" t="n">
        <v>9</v>
      </c>
      <c r="F12" s="61" t="n">
        <v>0.7777777777777778</v>
      </c>
      <c r="G12" s="64" t="n">
        <v>9249700</v>
      </c>
      <c r="H12" s="64" t="n">
        <v>27138515</v>
      </c>
      <c r="I12" s="64" t="n">
        <v>7941772</v>
      </c>
      <c r="J12" s="64" t="n">
        <v>44329987</v>
      </c>
      <c r="K12" s="14" t="n">
        <v>0.44329987</v>
      </c>
    </row>
    <row r="13" ht="24" customHeight="1" s="34">
      <c r="A13" t="inlineStr">
        <is>
          <t>01</t>
        </is>
      </c>
      <c r="B13" t="inlineStr">
        <is>
          <t>01 토목</t>
        </is>
      </c>
      <c r="C13" t="inlineStr">
        <is>
          <t>▣ 품질관리비</t>
        </is>
      </c>
      <c r="D13" t="n">
        <v>0</v>
      </c>
      <c r="E13" t="n">
        <v>2</v>
      </c>
      <c r="F13" s="61" t="n">
        <v>0</v>
      </c>
      <c r="G13" s="64" t="n">
        <v>0</v>
      </c>
      <c r="H13" s="64" t="n">
        <v>0</v>
      </c>
      <c r="I13" s="64" t="n">
        <v>0</v>
      </c>
      <c r="J13" s="64" t="n">
        <v>0</v>
      </c>
      <c r="K13" s="14" t="n">
        <v>0</v>
      </c>
    </row>
    <row r="14" ht="24" customHeight="1" s="34">
      <c r="A14" s="15" t="inlineStr">
        <is>
          <t>01</t>
        </is>
      </c>
      <c r="B14" s="15" t="inlineStr">
        <is>
          <t>01 토목</t>
        </is>
      </c>
      <c r="C14" s="15" t="inlineStr">
        <is>
          <t>★ 01 토목 소계</t>
        </is>
      </c>
      <c r="D14" s="15" t="n">
        <v>404</v>
      </c>
      <c r="E14" s="15" t="n">
        <v>493</v>
      </c>
      <c r="F14" s="63" t="n">
        <v>0.8194726166328601</v>
      </c>
      <c r="G14" s="66" t="n">
        <v>381224824.316</v>
      </c>
      <c r="H14" s="66" t="n">
        <v>1741229079.248</v>
      </c>
      <c r="I14" s="66" t="n">
        <v>347578180.21</v>
      </c>
      <c r="J14" s="66" t="n">
        <v>2470032083.774</v>
      </c>
      <c r="K14" s="17" t="n">
        <v>24.70032083774</v>
      </c>
    </row>
    <row r="15" ht="24" customHeight="1" s="34">
      <c r="A15" t="inlineStr">
        <is>
          <t>01</t>
        </is>
      </c>
      <c r="B15" t="inlineStr">
        <is>
          <t>01 조경</t>
        </is>
      </c>
      <c r="C15" t="inlineStr">
        <is>
          <t>10. 조 경 공</t>
        </is>
      </c>
      <c r="D15" t="n">
        <v>80</v>
      </c>
      <c r="E15" t="n">
        <v>80</v>
      </c>
      <c r="F15" s="61" t="n">
        <v>1</v>
      </c>
      <c r="G15" s="64" t="n">
        <v>600710000</v>
      </c>
      <c r="H15" s="64" t="n">
        <v>386951000</v>
      </c>
      <c r="I15" s="64" t="n">
        <v>30172000</v>
      </c>
      <c r="J15" s="64" t="n">
        <v>1017833000</v>
      </c>
      <c r="K15" s="14" t="n">
        <v>10.17833</v>
      </c>
    </row>
    <row r="16" ht="24" customHeight="1" s="34">
      <c r="A16" s="15" t="inlineStr">
        <is>
          <t>01</t>
        </is>
      </c>
      <c r="B16" s="15" t="inlineStr">
        <is>
          <t>01 조경</t>
        </is>
      </c>
      <c r="C16" s="15" t="inlineStr">
        <is>
          <t>★ 01 조경 소계</t>
        </is>
      </c>
      <c r="D16" s="15" t="n">
        <v>80</v>
      </c>
      <c r="E16" s="15" t="n">
        <v>80</v>
      </c>
      <c r="F16" s="63" t="n">
        <v>1</v>
      </c>
      <c r="G16" s="66" t="n">
        <v>600710000</v>
      </c>
      <c r="H16" s="66" t="n">
        <v>386951000</v>
      </c>
      <c r="I16" s="66" t="n">
        <v>30172000</v>
      </c>
      <c r="J16" s="66" t="n">
        <v>1017833000</v>
      </c>
      <c r="K16" s="17" t="n">
        <v>10.17833</v>
      </c>
    </row>
    <row r="17" ht="24" customHeight="1" s="34">
      <c r="A17" s="4" t="n"/>
      <c r="B17" s="4" t="inlineStr">
        <is>
          <t>토목(조경)</t>
        </is>
      </c>
      <c r="C17" s="4" t="inlineStr">
        <is>
          <t>★ 토목(조경) 합계</t>
        </is>
      </c>
      <c r="D17" s="4" t="n">
        <v>484</v>
      </c>
      <c r="E17" s="4" t="n">
        <v>573</v>
      </c>
      <c r="F17" s="62" t="n">
        <v>0.8446771378708552</v>
      </c>
      <c r="G17" s="67" t="n">
        <v>981934824.316</v>
      </c>
      <c r="H17" s="67" t="n">
        <v>2128180079.248</v>
      </c>
      <c r="I17" s="67" t="n">
        <v>377750180.21</v>
      </c>
      <c r="J17" s="67" t="n">
        <v>3487865083.774</v>
      </c>
      <c r="K17" s="22" t="n">
        <v>34.87865083774</v>
      </c>
    </row>
    <row r="18" ht="24" customHeight="1" s="34"/>
    <row r="19" ht="24" customHeight="1" s="34">
      <c r="A19" t="inlineStr">
        <is>
          <t>◆ 토목(조경) — 내역 일괄</t>
        </is>
      </c>
    </row>
    <row r="20" ht="24" customHeight="1" s="34"/>
    <row r="21" ht="24" customHeight="1" s="34">
      <c r="A21" s="38" t="inlineStr">
        <is>
          <t>내역서</t>
        </is>
      </c>
      <c r="B21" s="38" t="inlineStr">
        <is>
          <t>공종</t>
        </is>
      </c>
      <c r="C21" s="38" t="inlineStr">
        <is>
          <t>No</t>
        </is>
      </c>
      <c r="D21" s="38" t="inlineStr">
        <is>
          <t>공종명</t>
        </is>
      </c>
      <c r="E21" s="38" t="inlineStr">
        <is>
          <t>규격</t>
        </is>
      </c>
      <c r="F21" s="38" t="inlineStr">
        <is>
          <t>수량</t>
        </is>
      </c>
      <c r="G21" s="38" t="inlineStr">
        <is>
          <t>단위</t>
        </is>
      </c>
      <c r="H21" s="65" t="inlineStr">
        <is>
          <t>재료단가</t>
        </is>
      </c>
      <c r="I21" s="65" t="inlineStr">
        <is>
          <t>재료금액</t>
        </is>
      </c>
      <c r="J21" s="65" t="inlineStr">
        <is>
          <t>노무단가</t>
        </is>
      </c>
      <c r="K21" s="65" t="inlineStr">
        <is>
          <t>노무금액</t>
        </is>
      </c>
      <c r="L21" s="65" t="inlineStr">
        <is>
          <t>경비단가</t>
        </is>
      </c>
      <c r="M21" s="65" t="inlineStr">
        <is>
          <t>경비금액</t>
        </is>
      </c>
      <c r="N21" s="65" t="inlineStr">
        <is>
          <t>합계단가</t>
        </is>
      </c>
      <c r="O21" s="65" t="inlineStr">
        <is>
          <t>합계금액</t>
        </is>
      </c>
      <c r="P21" s="38" t="inlineStr">
        <is>
          <t>상태</t>
        </is>
      </c>
      <c r="Q21" s="38" t="inlineStr">
        <is>
          <t>비고</t>
        </is>
      </c>
    </row>
    <row r="22" ht="24" customHeight="1" s="34">
      <c r="A22" t="inlineStr">
        <is>
          <t>01 토목</t>
        </is>
      </c>
      <c r="B22" t="inlineStr">
        <is>
          <t>1. 토 공</t>
        </is>
      </c>
      <c r="C22" t="n">
        <v>1</v>
      </c>
      <c r="D22" t="inlineStr">
        <is>
          <t>가). 벌목</t>
        </is>
      </c>
      <c r="F22" t="n">
        <v>22891</v>
      </c>
      <c r="G22" t="inlineStr">
        <is>
          <t>㎡</t>
        </is>
      </c>
      <c r="H22" s="64" t="n">
        <v>116</v>
      </c>
      <c r="I22" s="64">
        <f>F22*H22</f>
        <v/>
      </c>
      <c r="J22" s="64" t="n">
        <v>619</v>
      </c>
      <c r="K22" s="64">
        <f>F22*J22</f>
        <v/>
      </c>
      <c r="L22" s="64" t="n">
        <v>59</v>
      </c>
      <c r="M22" s="64">
        <f>F22*L22</f>
        <v/>
      </c>
      <c r="N22" s="64">
        <f>H22+J22+L22</f>
        <v/>
      </c>
      <c r="O22" s="64">
        <f>I22+K22+M22</f>
        <v/>
      </c>
      <c r="P22" t="inlineStr">
        <is>
          <t>가영현</t>
        </is>
      </c>
      <c r="Q22" t="inlineStr">
        <is>
          <t>벌목</t>
        </is>
      </c>
    </row>
    <row r="23" ht="24" customHeight="1" s="34">
      <c r="A23" t="inlineStr">
        <is>
          <t>01 토목</t>
        </is>
      </c>
      <c r="B23" t="inlineStr">
        <is>
          <t>1. 토 공</t>
        </is>
      </c>
      <c r="C23" t="n">
        <v>2</v>
      </c>
      <c r="D23" t="inlineStr">
        <is>
          <t>나). 벌개제근</t>
        </is>
      </c>
      <c r="F23" t="n">
        <v>22891</v>
      </c>
      <c r="G23" t="inlineStr">
        <is>
          <t>㎡</t>
        </is>
      </c>
      <c r="H23" s="64" t="n">
        <v>450</v>
      </c>
      <c r="I23" s="64">
        <f>F23*H23</f>
        <v/>
      </c>
      <c r="J23" s="64" t="n">
        <v>1800</v>
      </c>
      <c r="K23" s="64">
        <f>F23*J23</f>
        <v/>
      </c>
      <c r="L23" s="64" t="n">
        <v>650</v>
      </c>
      <c r="M23" s="64">
        <f>F23*L23</f>
        <v/>
      </c>
      <c r="N23" s="64">
        <f>H23+J23+L23</f>
        <v/>
      </c>
      <c r="O23" s="64">
        <f>I23+K23+M23</f>
        <v/>
      </c>
      <c r="P23" t="inlineStr">
        <is>
          <t>가영현</t>
        </is>
      </c>
      <c r="Q23" t="inlineStr">
        <is>
          <t>벌개제근</t>
        </is>
      </c>
    </row>
    <row r="24" ht="24" customHeight="1" s="34">
      <c r="A24" t="inlineStr">
        <is>
          <t>01 토목</t>
        </is>
      </c>
      <c r="B24" t="inlineStr">
        <is>
          <t>1. 토 공</t>
        </is>
      </c>
      <c r="C24" t="n">
        <v>3</v>
      </c>
      <c r="D24" t="inlineStr">
        <is>
          <t>가). 임목 운반</t>
        </is>
      </c>
      <c r="E24" t="inlineStr">
        <is>
          <t>운반거리 L=83m(현장---&gt;임목파쇄장)</t>
        </is>
      </c>
      <c r="F24" t="n">
        <v>1917</v>
      </c>
      <c r="G24" t="inlineStr">
        <is>
          <t>㎥</t>
        </is>
      </c>
      <c r="H24" s="64" t="n">
        <v>0</v>
      </c>
      <c r="I24" s="64">
        <f>F24*H24</f>
        <v/>
      </c>
      <c r="J24" s="64" t="n">
        <v>0</v>
      </c>
      <c r="K24" s="64">
        <f>F24*J24</f>
        <v/>
      </c>
      <c r="L24" s="64" t="n">
        <v>8000</v>
      </c>
      <c r="M24" s="64">
        <f>F24*L24</f>
        <v/>
      </c>
      <c r="N24" s="64">
        <f>H24+J24+L24</f>
        <v/>
      </c>
      <c r="O24" s="64">
        <f>I24+K24+M24</f>
        <v/>
      </c>
      <c r="Q24" t="inlineStr">
        <is>
          <t>수동위탁</t>
        </is>
      </c>
    </row>
    <row r="25" ht="24" customHeight="1" s="34">
      <c r="A25" t="inlineStr">
        <is>
          <t>01 토목</t>
        </is>
      </c>
      <c r="B25" t="inlineStr">
        <is>
          <t>1. 토 공</t>
        </is>
      </c>
      <c r="C25" t="n">
        <v>4</v>
      </c>
      <c r="D25" t="inlineStr">
        <is>
          <t>나). 임목파쇄</t>
        </is>
      </c>
      <c r="E25" t="inlineStr">
        <is>
          <t>가지, 잡목류, 354.35kW</t>
        </is>
      </c>
      <c r="F25" t="n">
        <v>1906</v>
      </c>
      <c r="G25" t="inlineStr">
        <is>
          <t>㎥</t>
        </is>
      </c>
      <c r="H25" s="64" t="n">
        <v>0</v>
      </c>
      <c r="I25" s="64">
        <f>F25*H25</f>
        <v/>
      </c>
      <c r="J25" s="64" t="n">
        <v>0</v>
      </c>
      <c r="K25" s="64">
        <f>F25*J25</f>
        <v/>
      </c>
      <c r="L25" s="64" t="n">
        <v>41000</v>
      </c>
      <c r="M25" s="64">
        <f>F25*L25</f>
        <v/>
      </c>
      <c r="N25" s="64">
        <f>H25+J25+L25</f>
        <v/>
      </c>
      <c r="O25" s="64">
        <f>I25+K25+M25</f>
        <v/>
      </c>
      <c r="Q25" t="inlineStr">
        <is>
          <t>수동위탁</t>
        </is>
      </c>
    </row>
    <row r="26" ht="24" customHeight="1" s="34">
      <c r="A26" t="inlineStr">
        <is>
          <t>01 토목</t>
        </is>
      </c>
      <c r="B26" t="inlineStr">
        <is>
          <t>1. 토 공</t>
        </is>
      </c>
      <c r="C26" t="n">
        <v>5</v>
      </c>
      <c r="D26" t="inlineStr">
        <is>
          <t>다). 임목파쇄</t>
        </is>
      </c>
      <c r="E26" t="inlineStr">
        <is>
          <t>뿌리류, 354.35kW</t>
        </is>
      </c>
      <c r="F26" t="n">
        <v>11</v>
      </c>
      <c r="G26" t="inlineStr">
        <is>
          <t>㎥</t>
        </is>
      </c>
      <c r="H26" s="64" t="n">
        <v>0</v>
      </c>
      <c r="I26" s="64">
        <f>F26*H26</f>
        <v/>
      </c>
      <c r="J26" s="64" t="n">
        <v>0</v>
      </c>
      <c r="K26" s="64">
        <f>F26*J26</f>
        <v/>
      </c>
      <c r="L26" s="64" t="n">
        <v>46000</v>
      </c>
      <c r="M26" s="64">
        <f>F26*L26</f>
        <v/>
      </c>
      <c r="N26" s="64">
        <f>H26+J26+L26</f>
        <v/>
      </c>
      <c r="O26" s="64">
        <f>I26+K26+M26</f>
        <v/>
      </c>
      <c r="Q26" t="inlineStr">
        <is>
          <t>수동위탁</t>
        </is>
      </c>
    </row>
    <row r="27" ht="24" customHeight="1" s="34">
      <c r="A27" t="inlineStr">
        <is>
          <t>01 토목</t>
        </is>
      </c>
      <c r="B27" t="inlineStr">
        <is>
          <t>1. 토 공</t>
        </is>
      </c>
      <c r="C27" t="n">
        <v>6</v>
      </c>
      <c r="D27" t="inlineStr">
        <is>
          <t>가). PE천막지</t>
        </is>
      </c>
      <c r="F27" t="n">
        <v>1082</v>
      </c>
      <c r="G27" t="inlineStr">
        <is>
          <t>㎡</t>
        </is>
      </c>
      <c r="H27" s="64" t="n">
        <v>1200</v>
      </c>
      <c r="I27" s="64">
        <f>F27*H27</f>
        <v/>
      </c>
      <c r="J27" s="64" t="n">
        <v>800</v>
      </c>
      <c r="K27" s="64">
        <f>F27*J27</f>
        <v/>
      </c>
      <c r="L27" s="64" t="n">
        <v>350</v>
      </c>
      <c r="M27" s="64">
        <f>F27*L27</f>
        <v/>
      </c>
      <c r="N27" s="64">
        <f>H27+J27+L27</f>
        <v/>
      </c>
      <c r="O27" s="64">
        <f>I27+K27+M27</f>
        <v/>
      </c>
      <c r="P27" t="inlineStr">
        <is>
          <t>가영현</t>
        </is>
      </c>
      <c r="Q27" t="inlineStr">
        <is>
          <t>PE천막지</t>
        </is>
      </c>
    </row>
    <row r="28" ht="24" customHeight="1" s="34">
      <c r="A28" t="inlineStr">
        <is>
          <t>01 토목</t>
        </is>
      </c>
      <c r="B28" t="inlineStr">
        <is>
          <t>1. 토 공</t>
        </is>
      </c>
      <c r="C28" t="n">
        <v>7</v>
      </c>
      <c r="D28" t="inlineStr">
        <is>
          <t>나). 터파기(토사)</t>
        </is>
      </c>
      <c r="E28" t="inlineStr">
        <is>
          <t>TYPE-1, 백호1.0, 기계100%</t>
        </is>
      </c>
      <c r="F28" t="n">
        <v>67</v>
      </c>
      <c r="G28" t="inlineStr">
        <is>
          <t>㎥</t>
        </is>
      </c>
      <c r="H28" s="64" t="n">
        <v>447</v>
      </c>
      <c r="I28" s="64">
        <f>F28*H28</f>
        <v/>
      </c>
      <c r="J28" s="64" t="n">
        <v>955</v>
      </c>
      <c r="K28" s="64">
        <f>F28*J28</f>
        <v/>
      </c>
      <c r="L28" s="64" t="n">
        <v>336</v>
      </c>
      <c r="M28" s="64">
        <f>F28*L28</f>
        <v/>
      </c>
      <c r="N28" s="64">
        <f>H28+J28+L28</f>
        <v/>
      </c>
      <c r="O28" s="64">
        <f>I28+K28+M28</f>
        <v/>
      </c>
      <c r="Q28" t="inlineStr">
        <is>
          <t>토사</t>
        </is>
      </c>
    </row>
    <row r="29" ht="24" customHeight="1" s="34">
      <c r="A29" t="inlineStr">
        <is>
          <t>01 토목</t>
        </is>
      </c>
      <c r="B29" t="inlineStr">
        <is>
          <t>1. 토 공</t>
        </is>
      </c>
      <c r="C29" t="n">
        <v>8</v>
      </c>
      <c r="D29" t="inlineStr">
        <is>
          <t>다). 되메우기(토사)</t>
        </is>
      </c>
      <c r="E29" t="inlineStr">
        <is>
          <t>백호0.7, 기계100%</t>
        </is>
      </c>
      <c r="F29" t="n">
        <v>67</v>
      </c>
      <c r="G29" t="inlineStr">
        <is>
          <t>㎥</t>
        </is>
      </c>
      <c r="H29" s="64" t="n">
        <v>547</v>
      </c>
      <c r="I29" s="64">
        <f>F29*H29</f>
        <v/>
      </c>
      <c r="J29" s="64" t="n">
        <v>8585</v>
      </c>
      <c r="K29" s="64">
        <f>F29*J29</f>
        <v/>
      </c>
      <c r="L29" s="64" t="n">
        <v>492</v>
      </c>
      <c r="M29" s="64">
        <f>F29*L29</f>
        <v/>
      </c>
      <c r="N29" s="64">
        <f>H29+J29+L29</f>
        <v/>
      </c>
      <c r="O29" s="64">
        <f>I29+K29+M29</f>
        <v/>
      </c>
      <c r="Q29" t="inlineStr">
        <is>
          <t>되메우기</t>
        </is>
      </c>
    </row>
    <row r="30" ht="24" customHeight="1" s="34">
      <c r="A30" t="inlineStr">
        <is>
          <t>01 토목</t>
        </is>
      </c>
      <c r="B30" t="inlineStr">
        <is>
          <t>1. 토 공</t>
        </is>
      </c>
      <c r="C30" t="n">
        <v>9</v>
      </c>
      <c r="D30" t="inlineStr">
        <is>
          <t>1). 법면보호공</t>
        </is>
      </c>
      <c r="E30" t="inlineStr">
        <is>
          <t>잔디붙임(줄떼)</t>
        </is>
      </c>
      <c r="F30" t="n">
        <v>1246</v>
      </c>
      <c r="G30" t="inlineStr">
        <is>
          <t>㎡</t>
        </is>
      </c>
      <c r="H30" s="64" t="n">
        <v>0</v>
      </c>
      <c r="I30" s="64">
        <f>F30*H30</f>
        <v/>
      </c>
      <c r="J30" s="64" t="n">
        <v>4699</v>
      </c>
      <c r="K30" s="64">
        <f>F30*J30</f>
        <v/>
      </c>
      <c r="L30" s="64" t="n">
        <v>0</v>
      </c>
      <c r="M30" s="64">
        <f>F30*L30</f>
        <v/>
      </c>
      <c r="N30" s="64">
        <f>H30+J30+L30</f>
        <v/>
      </c>
      <c r="O30" s="64">
        <f>I30+K30+M30</f>
        <v/>
      </c>
      <c r="Q30" t="inlineStr">
        <is>
          <t>잔디붙임(줄떼)</t>
        </is>
      </c>
    </row>
    <row r="31" ht="24" customHeight="1" s="34">
      <c r="A31" t="inlineStr">
        <is>
          <t>01 토목</t>
        </is>
      </c>
      <c r="B31" t="inlineStr">
        <is>
          <t>1. 토 공</t>
        </is>
      </c>
      <c r="C31" t="n">
        <v>10</v>
      </c>
      <c r="D31" t="inlineStr">
        <is>
          <t>2). 법면보호공</t>
        </is>
      </c>
      <c r="E31" t="inlineStr">
        <is>
          <t>잔디붙임(평떼)</t>
        </is>
      </c>
      <c r="F31" t="n">
        <v>1172</v>
      </c>
      <c r="G31" t="inlineStr">
        <is>
          <t>㎡</t>
        </is>
      </c>
      <c r="H31" s="64" t="n">
        <v>0</v>
      </c>
      <c r="I31" s="64">
        <f>F31*H31</f>
        <v/>
      </c>
      <c r="J31" s="64" t="n">
        <v>5538</v>
      </c>
      <c r="K31" s="64">
        <f>F31*J31</f>
        <v/>
      </c>
      <c r="L31" s="64" t="n">
        <v>0</v>
      </c>
      <c r="M31" s="64">
        <f>F31*L31</f>
        <v/>
      </c>
      <c r="N31" s="64">
        <f>H31+J31+L31</f>
        <v/>
      </c>
      <c r="O31" s="64">
        <f>I31+K31+M31</f>
        <v/>
      </c>
      <c r="Q31" t="inlineStr">
        <is>
          <t>잔디붙임(평떼)</t>
        </is>
      </c>
    </row>
    <row r="32" ht="24" customHeight="1" s="34">
      <c r="A32" t="inlineStr">
        <is>
          <t>01 토목</t>
        </is>
      </c>
      <c r="B32" t="inlineStr">
        <is>
          <t>1. 토 공</t>
        </is>
      </c>
      <c r="C32" t="n">
        <v>11</v>
      </c>
      <c r="D32" t="inlineStr">
        <is>
          <t>가).흙깍기(기계,토사)</t>
        </is>
      </c>
      <c r="E32" t="inlineStr">
        <is>
          <t>중규모, 보통토사, 불도져 19ton</t>
        </is>
      </c>
      <c r="F32" t="n">
        <v>10527</v>
      </c>
      <c r="G32" t="inlineStr">
        <is>
          <t>㎥</t>
        </is>
      </c>
      <c r="H32" s="64" t="n">
        <v>570</v>
      </c>
      <c r="I32" s="64">
        <f>F32*H32</f>
        <v/>
      </c>
      <c r="J32" s="64" t="n">
        <v>843</v>
      </c>
      <c r="K32" s="64">
        <f>F32*J32</f>
        <v/>
      </c>
      <c r="L32" s="64" t="n">
        <v>513</v>
      </c>
      <c r="M32" s="64">
        <f>F32*L32</f>
        <v/>
      </c>
      <c r="N32" s="64">
        <f>H32+J32+L32</f>
        <v/>
      </c>
      <c r="O32" s="64">
        <f>I32+K32+M32</f>
        <v/>
      </c>
      <c r="Q32" t="inlineStr">
        <is>
          <t>흙깎기</t>
        </is>
      </c>
    </row>
    <row r="33" ht="24" customHeight="1" s="34">
      <c r="A33" t="inlineStr">
        <is>
          <t>01 토목</t>
        </is>
      </c>
      <c r="B33" t="inlineStr">
        <is>
          <t>1. 토 공</t>
        </is>
      </c>
      <c r="C33" t="n">
        <v>12</v>
      </c>
      <c r="D33" t="inlineStr">
        <is>
          <t>나). 흙깍기(토사)</t>
        </is>
      </c>
      <c r="E33" t="inlineStr">
        <is>
          <t>굴삭기1.0㎥</t>
        </is>
      </c>
      <c r="F33" t="n">
        <v>72445</v>
      </c>
      <c r="G33" t="inlineStr">
        <is>
          <t>㎥</t>
        </is>
      </c>
      <c r="H33" s="64" t="n">
        <v>991</v>
      </c>
      <c r="I33" s="64">
        <f>F33*H33</f>
        <v/>
      </c>
      <c r="J33" s="64" t="n">
        <v>893</v>
      </c>
      <c r="K33" s="64">
        <f>F33*J33</f>
        <v/>
      </c>
      <c r="L33" s="64" t="n">
        <v>732</v>
      </c>
      <c r="M33" s="64">
        <f>F33*L33</f>
        <v/>
      </c>
      <c r="N33" s="64">
        <f>H33+J33+L33</f>
        <v/>
      </c>
      <c r="O33" s="64">
        <f>I33+K33+M33</f>
        <v/>
      </c>
      <c r="Q33" t="inlineStr">
        <is>
          <t>흙깎기</t>
        </is>
      </c>
    </row>
    <row r="34" ht="24" customHeight="1" s="34">
      <c r="A34" t="inlineStr">
        <is>
          <t>01 토목</t>
        </is>
      </c>
      <c r="B34" t="inlineStr">
        <is>
          <t>1. 토 공</t>
        </is>
      </c>
      <c r="C34" t="n">
        <v>13</v>
      </c>
      <c r="D34" t="inlineStr">
        <is>
          <t>가). 흙깍기(리핑암)</t>
        </is>
      </c>
      <c r="E34" t="inlineStr">
        <is>
          <t>불도저 32ton + 리퍼</t>
        </is>
      </c>
      <c r="F34" t="n">
        <v>5167</v>
      </c>
      <c r="G34" t="inlineStr">
        <is>
          <t>㎥</t>
        </is>
      </c>
      <c r="H34" s="64" t="n">
        <v>991</v>
      </c>
      <c r="I34" s="64">
        <f>F34*H34</f>
        <v/>
      </c>
      <c r="J34" s="64" t="n">
        <v>893</v>
      </c>
      <c r="K34" s="64">
        <f>F34*J34</f>
        <v/>
      </c>
      <c r="L34" s="64" t="n">
        <v>732</v>
      </c>
      <c r="M34" s="64">
        <f>F34*L34</f>
        <v/>
      </c>
      <c r="N34" s="64">
        <f>H34+J34+L34</f>
        <v/>
      </c>
      <c r="O34" s="64">
        <f>I34+K34+M34</f>
        <v/>
      </c>
      <c r="Q34" t="inlineStr">
        <is>
          <t>흙깎기</t>
        </is>
      </c>
    </row>
    <row r="35" ht="24" customHeight="1" s="34">
      <c r="A35" t="inlineStr">
        <is>
          <t>01 토목</t>
        </is>
      </c>
      <c r="B35" t="inlineStr">
        <is>
          <t>1. 토 공</t>
        </is>
      </c>
      <c r="C35" t="n">
        <v>14</v>
      </c>
      <c r="D35" t="inlineStr">
        <is>
          <t>가). 땅깍기(암석절취)</t>
        </is>
      </c>
      <c r="E35" t="inlineStr">
        <is>
          <t>중규모진동제어발파, 연암</t>
        </is>
      </c>
      <c r="F35" t="n">
        <v>921</v>
      </c>
      <c r="G35" t="inlineStr">
        <is>
          <t>㎥</t>
        </is>
      </c>
      <c r="H35" s="64" t="n">
        <v>3359</v>
      </c>
      <c r="I35" s="64">
        <f>F35*H35</f>
        <v/>
      </c>
      <c r="J35" s="64" t="n">
        <v>5469</v>
      </c>
      <c r="K35" s="64">
        <f>F35*J35</f>
        <v/>
      </c>
      <c r="L35" s="64" t="n">
        <v>1896</v>
      </c>
      <c r="M35" s="64">
        <f>F35*L35</f>
        <v/>
      </c>
      <c r="N35" s="64">
        <f>H35+J35+L35</f>
        <v/>
      </c>
      <c r="O35" s="64">
        <f>I35+K35+M35</f>
        <v/>
      </c>
      <c r="Q35" t="inlineStr">
        <is>
          <t>흙깎기</t>
        </is>
      </c>
    </row>
    <row r="36" ht="24" customHeight="1" s="34">
      <c r="A36" t="inlineStr">
        <is>
          <t>01 토목</t>
        </is>
      </c>
      <c r="B36" t="inlineStr">
        <is>
          <t>1. 토 공</t>
        </is>
      </c>
      <c r="C36" t="n">
        <v>15</v>
      </c>
      <c r="D36" t="inlineStr">
        <is>
          <t>가). 땅깍기(암석절취)</t>
        </is>
      </c>
      <c r="E36" t="inlineStr">
        <is>
          <t>일반발파, 보통암</t>
        </is>
      </c>
      <c r="F36" t="n">
        <v>27</v>
      </c>
      <c r="G36" t="inlineStr">
        <is>
          <t>㎥</t>
        </is>
      </c>
      <c r="H36" s="64" t="n">
        <v>5916</v>
      </c>
      <c r="I36" s="64">
        <f>F36*H36</f>
        <v/>
      </c>
      <c r="J36" s="64" t="n">
        <v>19069</v>
      </c>
      <c r="K36" s="64">
        <f>F36*J36</f>
        <v/>
      </c>
      <c r="L36" s="64" t="n">
        <v>9487</v>
      </c>
      <c r="M36" s="64">
        <f>F36*L36</f>
        <v/>
      </c>
      <c r="N36" s="64">
        <f>H36+J36+L36</f>
        <v/>
      </c>
      <c r="O36" s="64">
        <f>I36+K36+M36</f>
        <v/>
      </c>
      <c r="Q36" t="inlineStr">
        <is>
          <t>흙깎기</t>
        </is>
      </c>
    </row>
    <row r="37" ht="24" customHeight="1" s="34">
      <c r="A37" t="inlineStr">
        <is>
          <t>01 토목</t>
        </is>
      </c>
      <c r="B37" t="inlineStr">
        <is>
          <t>1. 토 공</t>
        </is>
      </c>
      <c r="C37" t="n">
        <v>16</v>
      </c>
      <c r="D37" t="inlineStr">
        <is>
          <t>가). 발파암 소할</t>
        </is>
      </c>
      <c r="E37" t="inlineStr">
        <is>
          <t>30CM이상</t>
        </is>
      </c>
      <c r="F37" t="n">
        <v>142</v>
      </c>
      <c r="G37" t="inlineStr">
        <is>
          <t>㎥</t>
        </is>
      </c>
      <c r="H37" s="64" t="n">
        <v>850</v>
      </c>
      <c r="I37" s="64">
        <f>F37*H37</f>
        <v/>
      </c>
      <c r="J37" s="64" t="n">
        <v>957</v>
      </c>
      <c r="K37" s="64">
        <f>F37*J37</f>
        <v/>
      </c>
      <c r="L37" s="64" t="n">
        <v>473</v>
      </c>
      <c r="M37" s="64">
        <f>F37*L37</f>
        <v/>
      </c>
      <c r="N37" s="64">
        <f>H37+J37+L37</f>
        <v/>
      </c>
      <c r="O37" s="64">
        <f>I37+K37+M37</f>
        <v/>
      </c>
      <c r="Q37" t="inlineStr">
        <is>
          <t>발파암 소할</t>
        </is>
      </c>
    </row>
    <row r="38" ht="24" customHeight="1" s="34">
      <c r="A38" t="inlineStr">
        <is>
          <t>01 토목</t>
        </is>
      </c>
      <c r="B38" t="inlineStr">
        <is>
          <t>1. 토 공</t>
        </is>
      </c>
      <c r="C38" t="n">
        <v>17</v>
      </c>
      <c r="D38" t="inlineStr">
        <is>
          <t>1). 터파기(토사)</t>
        </is>
      </c>
      <c r="E38" t="inlineStr">
        <is>
          <t>TYPE-1, 굴착기1.0, 기계100%</t>
        </is>
      </c>
      <c r="F38" t="n">
        <v>1325</v>
      </c>
      <c r="G38" t="inlineStr">
        <is>
          <t>㎥</t>
        </is>
      </c>
      <c r="H38" s="64" t="n">
        <v>447</v>
      </c>
      <c r="I38" s="64">
        <f>F38*H38</f>
        <v/>
      </c>
      <c r="J38" s="64" t="n">
        <v>955</v>
      </c>
      <c r="K38" s="64">
        <f>F38*J38</f>
        <v/>
      </c>
      <c r="L38" s="64" t="n">
        <v>336</v>
      </c>
      <c r="M38" s="64">
        <f>F38*L38</f>
        <v/>
      </c>
      <c r="N38" s="64">
        <f>H38+J38+L38</f>
        <v/>
      </c>
      <c r="O38" s="64">
        <f>I38+K38+M38</f>
        <v/>
      </c>
      <c r="Q38" t="inlineStr">
        <is>
          <t>토사</t>
        </is>
      </c>
    </row>
    <row r="39" ht="24" customHeight="1" s="34">
      <c r="A39" t="inlineStr">
        <is>
          <t>01 토목</t>
        </is>
      </c>
      <c r="B39" t="inlineStr">
        <is>
          <t>1. 토 공</t>
        </is>
      </c>
      <c r="C39" t="n">
        <v>18</v>
      </c>
      <c r="D39" t="inlineStr">
        <is>
          <t>가). 흙쌓기(토사)</t>
        </is>
      </c>
      <c r="E39" t="inlineStr">
        <is>
          <t>비다짐, 불도저 32톤</t>
        </is>
      </c>
      <c r="F39" t="n">
        <v>6499</v>
      </c>
      <c r="G39" t="inlineStr">
        <is>
          <t>㎥</t>
        </is>
      </c>
      <c r="H39" s="64" t="n">
        <v>582</v>
      </c>
      <c r="I39" s="64">
        <f>F39*H39</f>
        <v/>
      </c>
      <c r="J39" s="64" t="n">
        <v>1162</v>
      </c>
      <c r="K39" s="64">
        <f>F39*J39</f>
        <v/>
      </c>
      <c r="L39" s="64" t="n">
        <v>501</v>
      </c>
      <c r="M39" s="64">
        <f>F39*L39</f>
        <v/>
      </c>
      <c r="N39" s="64">
        <f>H39+J39+L39</f>
        <v/>
      </c>
      <c r="O39" s="64">
        <f>I39+K39+M39</f>
        <v/>
      </c>
      <c r="Q39" t="inlineStr">
        <is>
          <t>흙쌓기</t>
        </is>
      </c>
    </row>
    <row r="40" ht="24" customHeight="1" s="34">
      <c r="A40" t="inlineStr">
        <is>
          <t>01 토목</t>
        </is>
      </c>
      <c r="B40" t="inlineStr">
        <is>
          <t>1. 토 공</t>
        </is>
      </c>
      <c r="C40" t="n">
        <v>19</v>
      </c>
      <c r="D40" t="inlineStr">
        <is>
          <t>나). 흙쌓기(풍화암)</t>
        </is>
      </c>
      <c r="E40" t="inlineStr">
        <is>
          <t>비다짐, 불도저 32톤</t>
        </is>
      </c>
      <c r="F40" t="n">
        <v>26</v>
      </c>
      <c r="G40" t="inlineStr">
        <is>
          <t>㎥</t>
        </is>
      </c>
      <c r="H40" s="64" t="n">
        <v>582</v>
      </c>
      <c r="I40" s="64">
        <f>F40*H40</f>
        <v/>
      </c>
      <c r="J40" s="64" t="n">
        <v>1162</v>
      </c>
      <c r="K40" s="64">
        <f>F40*J40</f>
        <v/>
      </c>
      <c r="L40" s="64" t="n">
        <v>501</v>
      </c>
      <c r="M40" s="64">
        <f>F40*L40</f>
        <v/>
      </c>
      <c r="N40" s="64">
        <f>H40+J40+L40</f>
        <v/>
      </c>
      <c r="O40" s="64">
        <f>I40+K40+M40</f>
        <v/>
      </c>
      <c r="Q40" t="inlineStr">
        <is>
          <t>흙쌓기</t>
        </is>
      </c>
    </row>
    <row r="41" ht="24" customHeight="1" s="34">
      <c r="A41" t="inlineStr">
        <is>
          <t>01 토목</t>
        </is>
      </c>
      <c r="B41" t="inlineStr">
        <is>
          <t>1. 토 공</t>
        </is>
      </c>
      <c r="C41" t="n">
        <v>20</v>
      </c>
      <c r="D41" t="inlineStr">
        <is>
          <t>가). 흙쌓기</t>
        </is>
      </c>
      <c r="E41" t="inlineStr">
        <is>
          <t>노상, 두께20cm, 다짐도95%이상</t>
        </is>
      </c>
      <c r="F41" t="n">
        <v>1916</v>
      </c>
      <c r="G41" t="inlineStr">
        <is>
          <t>㎥</t>
        </is>
      </c>
      <c r="H41" s="64" t="n">
        <v>887</v>
      </c>
      <c r="I41" s="64">
        <f>F41*H41</f>
        <v/>
      </c>
      <c r="J41" s="64" t="n">
        <v>2394</v>
      </c>
      <c r="K41" s="64">
        <f>F41*J41</f>
        <v/>
      </c>
      <c r="L41" s="64" t="n">
        <v>1107</v>
      </c>
      <c r="M41" s="64">
        <f>F41*L41</f>
        <v/>
      </c>
      <c r="N41" s="64">
        <f>H41+J41+L41</f>
        <v/>
      </c>
      <c r="O41" s="64">
        <f>I41+K41+M41</f>
        <v/>
      </c>
      <c r="Q41" t="inlineStr">
        <is>
          <t>흙쌓기</t>
        </is>
      </c>
    </row>
    <row r="42" ht="24" customHeight="1" s="34">
      <c r="A42" t="inlineStr">
        <is>
          <t>01 토목</t>
        </is>
      </c>
      <c r="B42" t="inlineStr">
        <is>
          <t>1. 토 공</t>
        </is>
      </c>
      <c r="C42" t="n">
        <v>21</v>
      </c>
      <c r="D42" t="inlineStr">
        <is>
          <t>가). 흙쌓기</t>
        </is>
      </c>
      <c r="E42" t="inlineStr">
        <is>
          <t>노체, 두께30cm, 다짐도90%이상</t>
        </is>
      </c>
      <c r="F42" t="n">
        <v>16923</v>
      </c>
      <c r="G42" t="inlineStr">
        <is>
          <t>㎥</t>
        </is>
      </c>
      <c r="H42" s="64" t="n">
        <v>594</v>
      </c>
      <c r="I42" s="64">
        <f>F42*H42</f>
        <v/>
      </c>
      <c r="J42" s="64" t="n">
        <v>1602</v>
      </c>
      <c r="K42" s="64">
        <f>F42*J42</f>
        <v/>
      </c>
      <c r="L42" s="64" t="n">
        <v>741</v>
      </c>
      <c r="M42" s="64">
        <f>F42*L42</f>
        <v/>
      </c>
      <c r="N42" s="64">
        <f>H42+J42+L42</f>
        <v/>
      </c>
      <c r="O42" s="64">
        <f>I42+K42+M42</f>
        <v/>
      </c>
      <c r="Q42" t="inlineStr">
        <is>
          <t>흙쌓기</t>
        </is>
      </c>
    </row>
    <row r="43" ht="24" customHeight="1" s="34">
      <c r="A43" t="inlineStr">
        <is>
          <t>01 토목</t>
        </is>
      </c>
      <c r="B43" t="inlineStr">
        <is>
          <t>1. 토 공</t>
        </is>
      </c>
      <c r="C43" t="n">
        <v>22</v>
      </c>
      <c r="D43" t="inlineStr">
        <is>
          <t>가). 흙쌓기</t>
        </is>
      </c>
      <c r="E43" t="inlineStr">
        <is>
          <t>노체, 두께30cm, 다짐도90%이상</t>
        </is>
      </c>
      <c r="F43" t="n">
        <v>1174</v>
      </c>
      <c r="G43" t="inlineStr">
        <is>
          <t>㎥</t>
        </is>
      </c>
      <c r="H43" s="64" t="n">
        <v>594</v>
      </c>
      <c r="I43" s="64">
        <f>F43*H43</f>
        <v/>
      </c>
      <c r="J43" s="64" t="n">
        <v>1602</v>
      </c>
      <c r="K43" s="64">
        <f>F43*J43</f>
        <v/>
      </c>
      <c r="L43" s="64" t="n">
        <v>741</v>
      </c>
      <c r="M43" s="64">
        <f>F43*L43</f>
        <v/>
      </c>
      <c r="N43" s="64">
        <f>H43+J43+L43</f>
        <v/>
      </c>
      <c r="O43" s="64">
        <f>I43+K43+M43</f>
        <v/>
      </c>
      <c r="Q43" t="inlineStr">
        <is>
          <t>흙쌓기</t>
        </is>
      </c>
    </row>
    <row r="44" ht="24" customHeight="1" s="34">
      <c r="A44" t="inlineStr">
        <is>
          <t>01 토목</t>
        </is>
      </c>
      <c r="B44" t="inlineStr">
        <is>
          <t>1. 토 공</t>
        </is>
      </c>
      <c r="C44" t="n">
        <v>23</v>
      </c>
      <c r="D44" t="inlineStr">
        <is>
          <t>가). 토사</t>
        </is>
      </c>
      <c r="F44" t="n">
        <v>5363</v>
      </c>
      <c r="G44" t="inlineStr">
        <is>
          <t>㎥</t>
        </is>
      </c>
      <c r="H44" s="64" t="n">
        <v>912</v>
      </c>
      <c r="I44" s="64">
        <f>F44*H44</f>
        <v/>
      </c>
      <c r="J44" s="64" t="n">
        <v>1951</v>
      </c>
      <c r="K44" s="64">
        <f>F44*J44</f>
        <v/>
      </c>
      <c r="L44" s="64" t="n">
        <v>685</v>
      </c>
      <c r="M44" s="64">
        <f>F44*L44</f>
        <v/>
      </c>
      <c r="N44" s="64">
        <f>H44+J44+L44</f>
        <v/>
      </c>
      <c r="O44" s="64">
        <f>I44+K44+M44</f>
        <v/>
      </c>
      <c r="P44" t="inlineStr">
        <is>
          <t>가영현</t>
        </is>
      </c>
      <c r="Q44" t="inlineStr">
        <is>
          <t>토사</t>
        </is>
      </c>
    </row>
    <row r="45" ht="24" customHeight="1" s="34">
      <c r="A45" t="inlineStr">
        <is>
          <t>01 토목</t>
        </is>
      </c>
      <c r="B45" t="inlineStr">
        <is>
          <t>1. 토 공</t>
        </is>
      </c>
      <c r="C45" t="n">
        <v>24</v>
      </c>
      <c r="D45" t="inlineStr">
        <is>
          <t>가). 흙운반(토사)</t>
        </is>
      </c>
      <c r="E45" t="inlineStr">
        <is>
          <t>불도저 32톤, L=15.2m</t>
        </is>
      </c>
      <c r="F45" t="n">
        <v>10527</v>
      </c>
      <c r="G45" t="inlineStr">
        <is>
          <t>㎥</t>
        </is>
      </c>
      <c r="H45" s="64" t="n">
        <v>906</v>
      </c>
      <c r="I45" s="64">
        <f>F45*H45</f>
        <v/>
      </c>
      <c r="J45" s="64" t="n">
        <v>1736</v>
      </c>
      <c r="K45" s="64">
        <f>F45*J45</f>
        <v/>
      </c>
      <c r="L45" s="64" t="n">
        <v>515</v>
      </c>
      <c r="M45" s="64">
        <f>F45*L45</f>
        <v/>
      </c>
      <c r="N45" s="64">
        <f>H45+J45+L45</f>
        <v/>
      </c>
      <c r="O45" s="64">
        <f>I45+K45+M45</f>
        <v/>
      </c>
      <c r="Q45" t="inlineStr">
        <is>
          <t>토사</t>
        </is>
      </c>
    </row>
    <row r="46" ht="24" customHeight="1" s="34">
      <c r="A46" t="inlineStr">
        <is>
          <t>01 토목</t>
        </is>
      </c>
      <c r="B46" t="inlineStr">
        <is>
          <t>1. 토 공</t>
        </is>
      </c>
      <c r="C46" t="n">
        <v>25</v>
      </c>
      <c r="D46" t="inlineStr">
        <is>
          <t>나). 흙운반(풍화암)</t>
        </is>
      </c>
      <c r="E46" t="inlineStr">
        <is>
          <t>불도저 32톤, L=19.7m</t>
        </is>
      </c>
      <c r="F46" t="n">
        <v>26</v>
      </c>
      <c r="G46" t="inlineStr">
        <is>
          <t>㎥</t>
        </is>
      </c>
      <c r="H46" s="64" t="n">
        <v>906</v>
      </c>
      <c r="I46" s="64">
        <f>F46*H46</f>
        <v/>
      </c>
      <c r="J46" s="64" t="n">
        <v>1736</v>
      </c>
      <c r="K46" s="64">
        <f>F46*J46</f>
        <v/>
      </c>
      <c r="L46" s="64" t="n">
        <v>515</v>
      </c>
      <c r="M46" s="64">
        <f>F46*L46</f>
        <v/>
      </c>
      <c r="N46" s="64">
        <f>H46+J46+L46</f>
        <v/>
      </c>
      <c r="O46" s="64">
        <f>I46+K46+M46</f>
        <v/>
      </c>
      <c r="Q46" t="inlineStr">
        <is>
          <t>흙운반</t>
        </is>
      </c>
    </row>
    <row r="47" ht="24" customHeight="1" s="34">
      <c r="A47" t="inlineStr">
        <is>
          <t>01 토목</t>
        </is>
      </c>
      <c r="B47" t="inlineStr">
        <is>
          <t>1. 토 공</t>
        </is>
      </c>
      <c r="C47" t="n">
        <v>26</v>
      </c>
      <c r="D47" t="inlineStr">
        <is>
          <t>가). 흙 운반(토사)(지구내)</t>
        </is>
      </c>
      <c r="E47" t="inlineStr">
        <is>
          <t>굴삭기1.0㎥+덤프24톤, L=0.145Km</t>
        </is>
      </c>
      <c r="F47" t="n">
        <v>11327</v>
      </c>
      <c r="G47" t="inlineStr">
        <is>
          <t>㎥</t>
        </is>
      </c>
      <c r="H47" s="64" t="n">
        <v>873</v>
      </c>
      <c r="I47" s="64">
        <f>F47*H47</f>
        <v/>
      </c>
      <c r="J47" s="64" t="n">
        <v>1719</v>
      </c>
      <c r="K47" s="64">
        <f>F47*J47</f>
        <v/>
      </c>
      <c r="L47" s="64" t="n">
        <v>653</v>
      </c>
      <c r="M47" s="64">
        <f>F47*L47</f>
        <v/>
      </c>
      <c r="N47" s="64">
        <f>H47+J47+L47</f>
        <v/>
      </c>
      <c r="O47" s="64">
        <f>I47+K47+M47</f>
        <v/>
      </c>
      <c r="Q47" t="inlineStr">
        <is>
          <t>토사</t>
        </is>
      </c>
    </row>
    <row r="48" ht="24" customHeight="1" s="34">
      <c r="A48" t="inlineStr">
        <is>
          <t>01 토목</t>
        </is>
      </c>
      <c r="B48" t="inlineStr">
        <is>
          <t>1. 토 공</t>
        </is>
      </c>
      <c r="C48" t="n">
        <v>27</v>
      </c>
      <c r="D48" t="inlineStr">
        <is>
          <t>가). 흙 운반(토사)(구조물유용)</t>
        </is>
      </c>
      <c r="E48" t="inlineStr">
        <is>
          <t>굴삭기1.0㎥+덤프24톤, L=0.061Km</t>
        </is>
      </c>
      <c r="F48" t="n">
        <v>1134</v>
      </c>
      <c r="G48" t="inlineStr">
        <is>
          <t>㎥</t>
        </is>
      </c>
      <c r="H48" s="64" t="n">
        <v>873</v>
      </c>
      <c r="I48" s="64">
        <f>F48*H48</f>
        <v/>
      </c>
      <c r="J48" s="64" t="n">
        <v>1719</v>
      </c>
      <c r="K48" s="64">
        <f>F48*J48</f>
        <v/>
      </c>
      <c r="L48" s="64" t="n">
        <v>653</v>
      </c>
      <c r="M48" s="64">
        <f>F48*L48</f>
        <v/>
      </c>
      <c r="N48" s="64">
        <f>H48+J48+L48</f>
        <v/>
      </c>
      <c r="O48" s="64">
        <f>I48+K48+M48</f>
        <v/>
      </c>
      <c r="Q48" t="inlineStr">
        <is>
          <t>토사</t>
        </is>
      </c>
    </row>
    <row r="49" ht="24" customHeight="1" s="34">
      <c r="A49" t="inlineStr">
        <is>
          <t>01 토목</t>
        </is>
      </c>
      <c r="B49" t="inlineStr">
        <is>
          <t>1. 토 공</t>
        </is>
      </c>
      <c r="C49" t="n">
        <v>28</v>
      </c>
      <c r="D49" t="inlineStr">
        <is>
          <t>가). 흙 운반(토사)(진입도로)</t>
        </is>
      </c>
      <c r="E49" t="inlineStr">
        <is>
          <t>굴삭기1.0㎥+덤프24톤, L=0.234Km</t>
        </is>
      </c>
      <c r="F49" t="n">
        <v>25804</v>
      </c>
      <c r="G49" t="inlineStr">
        <is>
          <t>㎥</t>
        </is>
      </c>
      <c r="H49" s="64" t="n">
        <v>873</v>
      </c>
      <c r="I49" s="64">
        <f>F49*H49</f>
        <v/>
      </c>
      <c r="J49" s="64" t="n">
        <v>1719</v>
      </c>
      <c r="K49" s="64">
        <f>F49*J49</f>
        <v/>
      </c>
      <c r="L49" s="64" t="n">
        <v>653</v>
      </c>
      <c r="M49" s="64">
        <f>F49*L49</f>
        <v/>
      </c>
      <c r="N49" s="64">
        <f>H49+J49+L49</f>
        <v/>
      </c>
      <c r="O49" s="64">
        <f>I49+K49+M49</f>
        <v/>
      </c>
      <c r="Q49" t="inlineStr">
        <is>
          <t>토사</t>
        </is>
      </c>
    </row>
    <row r="50" ht="24" customHeight="1" s="34">
      <c r="A50" t="inlineStr">
        <is>
          <t>01 토목</t>
        </is>
      </c>
      <c r="B50" t="inlineStr">
        <is>
          <t>1. 토 공</t>
        </is>
      </c>
      <c r="C50" t="n">
        <v>29</v>
      </c>
      <c r="D50" t="inlineStr">
        <is>
          <t>나). 흙 운반(토사)(야적장)</t>
        </is>
      </c>
      <c r="E50" t="inlineStr">
        <is>
          <t>굴삭기1.0㎥+덤프24톤, L=0.238Km</t>
        </is>
      </c>
      <c r="F50" t="n">
        <v>29499</v>
      </c>
      <c r="G50" t="inlineStr">
        <is>
          <t>㎥</t>
        </is>
      </c>
      <c r="H50" s="64" t="n">
        <v>873</v>
      </c>
      <c r="I50" s="64">
        <f>F50*H50</f>
        <v/>
      </c>
      <c r="J50" s="64" t="n">
        <v>1719</v>
      </c>
      <c r="K50" s="64">
        <f>F50*J50</f>
        <v/>
      </c>
      <c r="L50" s="64" t="n">
        <v>653</v>
      </c>
      <c r="M50" s="64">
        <f>F50*L50</f>
        <v/>
      </c>
      <c r="N50" s="64">
        <f>H50+J50+L50</f>
        <v/>
      </c>
      <c r="O50" s="64">
        <f>I50+K50+M50</f>
        <v/>
      </c>
      <c r="Q50" t="inlineStr">
        <is>
          <t>토사</t>
        </is>
      </c>
    </row>
    <row r="51" ht="24" customHeight="1" s="34">
      <c r="A51" t="inlineStr">
        <is>
          <t>01 토목</t>
        </is>
      </c>
      <c r="B51" t="inlineStr">
        <is>
          <t>1. 토 공</t>
        </is>
      </c>
      <c r="C51" t="n">
        <v>30</v>
      </c>
      <c r="D51" t="inlineStr">
        <is>
          <t>다). 흙운반(풍화암)(야적장)</t>
        </is>
      </c>
      <c r="E51" t="inlineStr">
        <is>
          <t>로우더1.72㎥+덤프24톤, L=0.212Km</t>
        </is>
      </c>
      <c r="F51" t="n">
        <v>5142</v>
      </c>
      <c r="G51" t="inlineStr">
        <is>
          <t>㎥</t>
        </is>
      </c>
      <c r="H51" s="64" t="n">
        <v>906</v>
      </c>
      <c r="I51" s="64">
        <f>F51*H51</f>
        <v/>
      </c>
      <c r="J51" s="64" t="n">
        <v>1736</v>
      </c>
      <c r="K51" s="64">
        <f>F51*J51</f>
        <v/>
      </c>
      <c r="L51" s="64" t="n">
        <v>515</v>
      </c>
      <c r="M51" s="64">
        <f>F51*L51</f>
        <v/>
      </c>
      <c r="N51" s="64">
        <f>H51+J51+L51</f>
        <v/>
      </c>
      <c r="O51" s="64">
        <f>I51+K51+M51</f>
        <v/>
      </c>
      <c r="Q51" t="inlineStr">
        <is>
          <t>흙운반</t>
        </is>
      </c>
    </row>
    <row r="52" ht="24" customHeight="1" s="34">
      <c r="A52" t="inlineStr">
        <is>
          <t>01 토목</t>
        </is>
      </c>
      <c r="B52" t="inlineStr">
        <is>
          <t>1. 토 공</t>
        </is>
      </c>
      <c r="C52" t="n">
        <v>31</v>
      </c>
      <c r="D52" t="inlineStr">
        <is>
          <t>라). 흙운반(연암)(야적장)</t>
        </is>
      </c>
      <c r="E52" t="inlineStr">
        <is>
          <t>굴삭기1.0㎥+덤프24톤, L=0.216Km</t>
        </is>
      </c>
      <c r="F52" t="n">
        <v>921</v>
      </c>
      <c r="G52" t="inlineStr">
        <is>
          <t>㎥</t>
        </is>
      </c>
      <c r="H52" s="64" t="n">
        <v>873</v>
      </c>
      <c r="I52" s="64">
        <f>F52*H52</f>
        <v/>
      </c>
      <c r="J52" s="64" t="n">
        <v>1719</v>
      </c>
      <c r="K52" s="64">
        <f>F52*J52</f>
        <v/>
      </c>
      <c r="L52" s="64" t="n">
        <v>653</v>
      </c>
      <c r="M52" s="64">
        <f>F52*L52</f>
        <v/>
      </c>
      <c r="N52" s="64">
        <f>H52+J52+L52</f>
        <v/>
      </c>
      <c r="O52" s="64">
        <f>I52+K52+M52</f>
        <v/>
      </c>
      <c r="Q52" t="inlineStr">
        <is>
          <t>흙운반</t>
        </is>
      </c>
    </row>
    <row r="53" ht="24" customHeight="1" s="34">
      <c r="A53" t="inlineStr">
        <is>
          <t>01 토목</t>
        </is>
      </c>
      <c r="B53" t="inlineStr">
        <is>
          <t>1. 토 공</t>
        </is>
      </c>
      <c r="C53" t="n">
        <v>32</v>
      </c>
      <c r="D53" t="inlineStr">
        <is>
          <t>마). 흙운반(보통암)(야적장)</t>
        </is>
      </c>
      <c r="E53" t="inlineStr">
        <is>
          <t>굴삭기1.0㎥+덤프24톤, L=0.226Km</t>
        </is>
      </c>
      <c r="F53" t="n">
        <v>27</v>
      </c>
      <c r="G53" t="inlineStr">
        <is>
          <t>㎥</t>
        </is>
      </c>
      <c r="H53" s="64" t="n">
        <v>873</v>
      </c>
      <c r="I53" s="64">
        <f>F53*H53</f>
        <v/>
      </c>
      <c r="J53" s="64" t="n">
        <v>1719</v>
      </c>
      <c r="K53" s="64">
        <f>F53*J53</f>
        <v/>
      </c>
      <c r="L53" s="64" t="n">
        <v>653</v>
      </c>
      <c r="M53" s="64">
        <f>F53*L53</f>
        <v/>
      </c>
      <c r="N53" s="64">
        <f>H53+J53+L53</f>
        <v/>
      </c>
      <c r="O53" s="64">
        <f>I53+K53+M53</f>
        <v/>
      </c>
      <c r="Q53" t="inlineStr">
        <is>
          <t>흙운반</t>
        </is>
      </c>
    </row>
    <row r="54" ht="24" customHeight="1" s="34">
      <c r="A54" t="inlineStr">
        <is>
          <t>01 토목</t>
        </is>
      </c>
      <c r="B54" t="inlineStr">
        <is>
          <t>1. 토 공</t>
        </is>
      </c>
      <c r="C54" t="n">
        <v>33</v>
      </c>
      <c r="D54" t="inlineStr">
        <is>
          <t>가). 흙 운반(토사)(지하저류조)</t>
        </is>
      </c>
      <c r="E54" s="31" t="inlineStr">
        <is>
          <t>굴삭기1.0㎥+덤프24톤, L=0.093Km</t>
        </is>
      </c>
      <c r="F54" t="n">
        <v>4653</v>
      </c>
      <c r="G54" t="inlineStr">
        <is>
          <t>㎥</t>
        </is>
      </c>
      <c r="H54" s="64" t="n">
        <v>873</v>
      </c>
      <c r="I54" s="64">
        <f>F54*H54</f>
        <v/>
      </c>
      <c r="J54" s="64" t="n">
        <v>1719</v>
      </c>
      <c r="K54" s="64">
        <f>F54*J54</f>
        <v/>
      </c>
      <c r="L54" s="64" t="n">
        <v>653</v>
      </c>
      <c r="M54" s="64">
        <f>F54*L54</f>
        <v/>
      </c>
      <c r="N54" s="64">
        <f>H54+J54+L54</f>
        <v/>
      </c>
      <c r="O54" s="64">
        <f>I54+K54+M54</f>
        <v/>
      </c>
      <c r="Q54" t="inlineStr">
        <is>
          <t>토사</t>
        </is>
      </c>
    </row>
    <row r="55" ht="24" customHeight="1" s="34">
      <c r="A55" t="inlineStr">
        <is>
          <t>01 토목</t>
        </is>
      </c>
      <c r="B55" t="inlineStr">
        <is>
          <t>1. 토 공</t>
        </is>
      </c>
      <c r="C55" t="n">
        <v>34</v>
      </c>
      <c r="D55" t="inlineStr">
        <is>
          <t>1). 목재규준틀</t>
        </is>
      </c>
      <c r="E55" t="inlineStr">
        <is>
          <t>비탈규준틀</t>
        </is>
      </c>
      <c r="F55" t="n">
        <v>10</v>
      </c>
      <c r="G55" t="inlineStr">
        <is>
          <t>개</t>
        </is>
      </c>
      <c r="H55" s="64" t="n">
        <v>1500</v>
      </c>
      <c r="I55" s="64">
        <f>F55*H55</f>
        <v/>
      </c>
      <c r="J55" s="64" t="n">
        <v>68074</v>
      </c>
      <c r="K55" s="64">
        <f>F55*J55</f>
        <v/>
      </c>
      <c r="L55" s="64" t="n"/>
      <c r="M55" s="64">
        <f>F55*L55</f>
        <v/>
      </c>
      <c r="N55" s="64">
        <f>H55+J55+L55</f>
        <v/>
      </c>
      <c r="O55" s="64">
        <f>I55+K55+M55</f>
        <v/>
      </c>
      <c r="P55" t="inlineStr">
        <is>
          <t>가영현</t>
        </is>
      </c>
      <c r="Q55" t="inlineStr">
        <is>
          <t>비탈규준틀</t>
        </is>
      </c>
    </row>
    <row r="56" ht="24" customHeight="1" s="34">
      <c r="A56" t="inlineStr">
        <is>
          <t>01 토목</t>
        </is>
      </c>
      <c r="B56" t="inlineStr">
        <is>
          <t>1. 토 공</t>
        </is>
      </c>
      <c r="C56" t="n">
        <v>35</v>
      </c>
      <c r="D56" t="inlineStr">
        <is>
          <t>2). 목재규준틀</t>
        </is>
      </c>
      <c r="E56" t="inlineStr">
        <is>
          <t>수평규준틀</t>
        </is>
      </c>
      <c r="F56" t="n">
        <v>26</v>
      </c>
      <c r="G56" t="inlineStr">
        <is>
          <t>개</t>
        </is>
      </c>
      <c r="H56" s="64" t="n">
        <v>1500</v>
      </c>
      <c r="I56" s="64">
        <f>F56*H56</f>
        <v/>
      </c>
      <c r="J56" s="64" t="n">
        <v>90391</v>
      </c>
      <c r="K56" s="64">
        <f>F56*J56</f>
        <v/>
      </c>
      <c r="L56" s="64" t="n"/>
      <c r="M56" s="64">
        <f>F56*L56</f>
        <v/>
      </c>
      <c r="N56" s="64">
        <f>H56+J56+L56</f>
        <v/>
      </c>
      <c r="O56" s="64">
        <f>I56+K56+M56</f>
        <v/>
      </c>
      <c r="P56" t="inlineStr">
        <is>
          <t>가영현</t>
        </is>
      </c>
      <c r="Q56" t="inlineStr">
        <is>
          <t>수평규준틀</t>
        </is>
      </c>
    </row>
    <row r="57" ht="24" customHeight="1" s="34">
      <c r="A57" t="inlineStr">
        <is>
          <t>01 토목</t>
        </is>
      </c>
      <c r="B57" t="inlineStr">
        <is>
          <t>1. 토 공</t>
        </is>
      </c>
      <c r="C57" t="n">
        <v>36</v>
      </c>
      <c r="D57" t="inlineStr">
        <is>
          <t>가). 교목 병해방제</t>
        </is>
      </c>
      <c r="F57" t="n">
        <v>18</v>
      </c>
      <c r="G57" t="inlineStr">
        <is>
          <t>회</t>
        </is>
      </c>
      <c r="I57" s="64">
        <f>F57*H57</f>
        <v/>
      </c>
      <c r="J57" s="64" t="n"/>
      <c r="K57" s="64">
        <f>F57*J57</f>
        <v/>
      </c>
      <c r="L57" s="64" t="n"/>
      <c r="M57" s="64">
        <f>F57*L57</f>
        <v/>
      </c>
      <c r="N57" s="64">
        <f>H57+J57+L57</f>
        <v/>
      </c>
      <c r="O57" s="64">
        <f>I57+K57+M57</f>
        <v/>
      </c>
      <c r="P57" t="inlineStr">
        <is>
          <t>미매칭</t>
        </is>
      </c>
      <c r="Q57" t="inlineStr">
        <is>
          <t>교목 병해방제</t>
        </is>
      </c>
    </row>
    <row r="58" ht="24" customHeight="1" s="34">
      <c r="A58" t="inlineStr">
        <is>
          <t>01 토목</t>
        </is>
      </c>
      <c r="B58" t="inlineStr">
        <is>
          <t>1. 토 공</t>
        </is>
      </c>
      <c r="C58" t="n">
        <v>37</v>
      </c>
      <c r="D58" t="inlineStr">
        <is>
          <t>나). 교목 충해방제</t>
        </is>
      </c>
      <c r="F58" t="n">
        <v>9</v>
      </c>
      <c r="G58" t="inlineStr">
        <is>
          <t>회</t>
        </is>
      </c>
      <c r="I58" s="64">
        <f>F58*H58</f>
        <v/>
      </c>
      <c r="J58" s="64" t="n"/>
      <c r="K58" s="64">
        <f>F58*J58</f>
        <v/>
      </c>
      <c r="L58" s="64" t="n"/>
      <c r="M58" s="64">
        <f>F58*L58</f>
        <v/>
      </c>
      <c r="N58" s="64">
        <f>H58+J58+L58</f>
        <v/>
      </c>
      <c r="O58" s="64">
        <f>I58+K58+M58</f>
        <v/>
      </c>
      <c r="P58" t="inlineStr">
        <is>
          <t>미매칭</t>
        </is>
      </c>
      <c r="Q58" t="inlineStr">
        <is>
          <t>교목 충해방제</t>
        </is>
      </c>
    </row>
    <row r="59" ht="24" customHeight="1" s="34">
      <c r="A59" t="inlineStr">
        <is>
          <t>01 토목</t>
        </is>
      </c>
      <c r="B59" t="inlineStr">
        <is>
          <t>1. 토 공</t>
        </is>
      </c>
      <c r="C59" t="n">
        <v>38</v>
      </c>
      <c r="D59" t="inlineStr">
        <is>
          <t>다). 교목관수</t>
        </is>
      </c>
      <c r="E59" t="inlineStr">
        <is>
          <t>15회, 인력</t>
        </is>
      </c>
      <c r="F59" t="n">
        <v>386</v>
      </c>
      <c r="G59" t="inlineStr">
        <is>
          <t>주</t>
        </is>
      </c>
      <c r="H59" s="64" t="n">
        <v>0</v>
      </c>
      <c r="I59" s="64">
        <f>F59*H59</f>
        <v/>
      </c>
      <c r="J59" s="64" t="n">
        <v>18396</v>
      </c>
      <c r="K59" s="64">
        <f>F59*J59</f>
        <v/>
      </c>
      <c r="L59" s="64" t="n">
        <v>0</v>
      </c>
      <c r="M59" s="64">
        <f>F59*L59</f>
        <v/>
      </c>
      <c r="N59" s="64">
        <f>H59+J59+L59</f>
        <v/>
      </c>
      <c r="O59" s="64">
        <f>I59+K59+M59</f>
        <v/>
      </c>
      <c r="Q59" t="inlineStr">
        <is>
          <t>인력</t>
        </is>
      </c>
    </row>
    <row r="60" ht="24" customHeight="1" s="34">
      <c r="A60" t="inlineStr">
        <is>
          <t>01 토목</t>
        </is>
      </c>
      <c r="B60" t="inlineStr">
        <is>
          <t>1. 토 공</t>
        </is>
      </c>
      <c r="C60" t="n">
        <v>39</v>
      </c>
      <c r="D60" t="inlineStr">
        <is>
          <t>라). 예초</t>
        </is>
      </c>
      <c r="E60" t="inlineStr">
        <is>
          <t>6회, 배부식기계사용</t>
        </is>
      </c>
      <c r="F60" t="n">
        <v>64</v>
      </c>
      <c r="G60" t="inlineStr">
        <is>
          <t>100㎡</t>
        </is>
      </c>
      <c r="H60" s="64" t="n">
        <v>22</v>
      </c>
      <c r="I60" s="64">
        <f>F60*H60</f>
        <v/>
      </c>
      <c r="J60" s="64" t="n">
        <v>376</v>
      </c>
      <c r="K60" s="64">
        <f>F60*J60</f>
        <v/>
      </c>
      <c r="L60" s="64" t="n">
        <v>0</v>
      </c>
      <c r="M60" s="64">
        <f>F60*L60</f>
        <v/>
      </c>
      <c r="N60" s="64">
        <f>H60+J60+L60</f>
        <v/>
      </c>
      <c r="O60" s="64">
        <f>I60+K60+M60</f>
        <v/>
      </c>
      <c r="Q60" t="inlineStr">
        <is>
          <t>예초</t>
        </is>
      </c>
    </row>
    <row r="61" ht="24" customHeight="1" s="34">
      <c r="A61" t="inlineStr">
        <is>
          <t>01 토목</t>
        </is>
      </c>
      <c r="B61" t="inlineStr">
        <is>
          <t>1. 토 공</t>
        </is>
      </c>
      <c r="C61" t="n">
        <v>40</v>
      </c>
      <c r="D61" t="inlineStr">
        <is>
          <t>가). 나무(이식)(상수리나무)</t>
        </is>
      </c>
      <c r="E61" t="inlineStr">
        <is>
          <t>B=27~31cm</t>
        </is>
      </c>
      <c r="F61" t="n">
        <v>381</v>
      </c>
      <c r="G61" t="inlineStr">
        <is>
          <t>주</t>
        </is>
      </c>
      <c r="H61" s="64" t="n">
        <v>1781</v>
      </c>
      <c r="I61" s="64">
        <f>F61*H61</f>
        <v/>
      </c>
      <c r="J61" s="64" t="n">
        <v>67725</v>
      </c>
      <c r="K61" s="64">
        <f>F61*J61</f>
        <v/>
      </c>
      <c r="L61" s="64" t="n">
        <v>6053</v>
      </c>
      <c r="M61" s="64">
        <f>F61*L61</f>
        <v/>
      </c>
      <c r="N61" s="64">
        <f>H61+J61+L61</f>
        <v/>
      </c>
      <c r="O61" s="64">
        <f>I61+K61+M61</f>
        <v/>
      </c>
      <c r="Q61" t="inlineStr">
        <is>
          <t>나무</t>
        </is>
      </c>
    </row>
    <row r="62" ht="24" customHeight="1" s="34">
      <c r="A62" t="inlineStr">
        <is>
          <t>01 토목</t>
        </is>
      </c>
      <c r="B62" t="inlineStr">
        <is>
          <t>1. 토 공</t>
        </is>
      </c>
      <c r="C62" t="n">
        <v>41</v>
      </c>
      <c r="D62" t="inlineStr">
        <is>
          <t>나). 나무(이식)(소나무)</t>
        </is>
      </c>
      <c r="E62" t="inlineStr">
        <is>
          <t>B=29cm</t>
        </is>
      </c>
      <c r="F62" t="n">
        <v>5</v>
      </c>
      <c r="G62" t="inlineStr">
        <is>
          <t>주</t>
        </is>
      </c>
      <c r="I62" s="64">
        <f>F62*H62</f>
        <v/>
      </c>
      <c r="J62" s="64" t="n">
        <v>18396</v>
      </c>
      <c r="K62" s="64">
        <f>F62*J62</f>
        <v/>
      </c>
      <c r="L62" s="64" t="n"/>
      <c r="M62" s="64">
        <f>F62*L62</f>
        <v/>
      </c>
      <c r="N62" s="64">
        <f>H62+J62+L62</f>
        <v/>
      </c>
      <c r="O62" s="64">
        <f>I62+K62+M62</f>
        <v/>
      </c>
      <c r="P62" t="inlineStr">
        <is>
          <t>가영현</t>
        </is>
      </c>
      <c r="Q62" t="inlineStr">
        <is>
          <t>나무</t>
        </is>
      </c>
    </row>
    <row r="63" ht="24" customHeight="1" s="34">
      <c r="A63" t="inlineStr">
        <is>
          <t>01 토목</t>
        </is>
      </c>
      <c r="B63" t="inlineStr">
        <is>
          <t>1. 토 공</t>
        </is>
      </c>
      <c r="C63" t="n">
        <v>42</v>
      </c>
      <c r="D63" t="inlineStr">
        <is>
          <t>다). 가로지지대</t>
        </is>
      </c>
      <c r="E63" t="inlineStr">
        <is>
          <t>B=20cm</t>
        </is>
      </c>
      <c r="F63" t="n">
        <v>386</v>
      </c>
      <c r="G63" t="inlineStr">
        <is>
          <t>개소</t>
        </is>
      </c>
      <c r="I63" s="64">
        <f>F63*H63</f>
        <v/>
      </c>
      <c r="J63" s="64" t="n"/>
      <c r="K63" s="64">
        <f>F63*J63</f>
        <v/>
      </c>
      <c r="L63" s="64" t="n"/>
      <c r="M63" s="64">
        <f>F63*L63</f>
        <v/>
      </c>
      <c r="N63" s="64">
        <f>H63+J63+L63</f>
        <v/>
      </c>
      <c r="O63" s="64">
        <f>I63+K63+M63</f>
        <v/>
      </c>
      <c r="P63" t="inlineStr">
        <is>
          <t>미매칭</t>
        </is>
      </c>
      <c r="Q63" t="inlineStr">
        <is>
          <t>B=20cm, 가로지지대</t>
        </is>
      </c>
    </row>
    <row r="64" ht="24" customHeight="1" s="34">
      <c r="A64" t="inlineStr">
        <is>
          <t>01 토목</t>
        </is>
      </c>
      <c r="B64" t="inlineStr">
        <is>
          <t>1. 토 공</t>
        </is>
      </c>
      <c r="C64" t="n">
        <v>43</v>
      </c>
      <c r="D64" t="inlineStr">
        <is>
          <t>가). 구조물헐기(철근)</t>
        </is>
      </c>
      <c r="E64" t="inlineStr">
        <is>
          <t>대형30CM미만</t>
        </is>
      </c>
      <c r="F64" t="n">
        <v>149</v>
      </c>
      <c r="G64" t="inlineStr">
        <is>
          <t>㎥</t>
        </is>
      </c>
      <c r="H64" s="64" t="n">
        <v>18511</v>
      </c>
      <c r="I64" s="64">
        <f>F64*H64</f>
        <v/>
      </c>
      <c r="J64" s="64" t="n">
        <v>70869</v>
      </c>
      <c r="K64" s="64">
        <f>F64*J64</f>
        <v/>
      </c>
      <c r="L64" s="64" t="n">
        <v>33531</v>
      </c>
      <c r="M64" s="64">
        <f>F64*L64</f>
        <v/>
      </c>
      <c r="N64" s="64">
        <f>H64+J64+L64</f>
        <v/>
      </c>
      <c r="O64" s="64">
        <f>I64+K64+M64</f>
        <v/>
      </c>
      <c r="Q64" t="inlineStr">
        <is>
          <t>철근</t>
        </is>
      </c>
    </row>
    <row r="65" ht="24" customHeight="1" s="34">
      <c r="A65" t="inlineStr">
        <is>
          <t>01 토목</t>
        </is>
      </c>
      <c r="B65" t="inlineStr">
        <is>
          <t>1. 토 공</t>
        </is>
      </c>
      <c r="C65" t="n">
        <v>44</v>
      </c>
      <c r="D65" t="inlineStr">
        <is>
          <t>나). 구조물헐기(무근)</t>
        </is>
      </c>
      <c r="E65" t="inlineStr">
        <is>
          <t>대형30CM미만</t>
        </is>
      </c>
      <c r="F65" t="n">
        <v>132</v>
      </c>
      <c r="G65" t="inlineStr">
        <is>
          <t>㎥</t>
        </is>
      </c>
      <c r="H65" s="64" t="n">
        <v>5125</v>
      </c>
      <c r="I65" s="64">
        <f>F65*H65</f>
        <v/>
      </c>
      <c r="J65" s="64" t="n">
        <v>19126</v>
      </c>
      <c r="K65" s="64">
        <f>F65*J65</f>
        <v/>
      </c>
      <c r="L65" s="64" t="n">
        <v>8630</v>
      </c>
      <c r="M65" s="64">
        <f>F65*L65</f>
        <v/>
      </c>
      <c r="N65" s="64">
        <f>H65+J65+L65</f>
        <v/>
      </c>
      <c r="O65" s="64">
        <f>I65+K65+M65</f>
        <v/>
      </c>
      <c r="Q65" t="inlineStr">
        <is>
          <t>무근</t>
        </is>
      </c>
    </row>
    <row r="66" ht="24" customHeight="1" s="34">
      <c r="A66" t="inlineStr">
        <is>
          <t>01 토목</t>
        </is>
      </c>
      <c r="B66" t="inlineStr">
        <is>
          <t>1. 토 공</t>
        </is>
      </c>
      <c r="C66" t="n">
        <v>45</v>
      </c>
      <c r="D66" t="inlineStr">
        <is>
          <t>가). 폐기물상차</t>
        </is>
      </c>
      <c r="E66" t="inlineStr">
        <is>
          <t>굴삭기 0.7㎥</t>
        </is>
      </c>
      <c r="F66" t="n">
        <v>281</v>
      </c>
      <c r="G66" t="inlineStr">
        <is>
          <t>㎥</t>
        </is>
      </c>
      <c r="H66" s="64" t="n">
        <v>125000</v>
      </c>
      <c r="I66" s="64">
        <f>F66*H66</f>
        <v/>
      </c>
      <c r="J66" s="64" t="n">
        <v>1845</v>
      </c>
      <c r="K66" s="64">
        <f>F66*J66</f>
        <v/>
      </c>
      <c r="L66" s="64" t="n">
        <v>3000</v>
      </c>
      <c r="M66" s="64">
        <f>F66*L66</f>
        <v/>
      </c>
      <c r="N66" s="64">
        <f>H66+J66+L66</f>
        <v/>
      </c>
      <c r="O66" s="64">
        <f>I66+K66+M66</f>
        <v/>
      </c>
      <c r="P66" t="inlineStr">
        <is>
          <t>가영현</t>
        </is>
      </c>
      <c r="Q66" t="inlineStr">
        <is>
          <t>폐기물상차</t>
        </is>
      </c>
    </row>
    <row r="67" ht="24" customHeight="1" s="34">
      <c r="A67" s="15" t="inlineStr">
        <is>
          <t>01 토목</t>
        </is>
      </c>
      <c r="B67" s="15" t="inlineStr">
        <is>
          <t>1. 토 공</t>
        </is>
      </c>
      <c r="C67" s="15" t="n"/>
      <c r="D67" s="15" t="inlineStr">
        <is>
          <t>★ 1. 토 공 소계</t>
        </is>
      </c>
      <c r="E67" s="15" t="n"/>
      <c r="F67" s="15" t="n"/>
      <c r="G67" s="15" t="n"/>
      <c r="H67" s="66" t="n"/>
      <c r="I67" s="66">
        <f>SUM(I22:I66)</f>
        <v/>
      </c>
      <c r="J67" s="66" t="n"/>
      <c r="K67" s="66">
        <f>SUM(K22:K66)</f>
        <v/>
      </c>
      <c r="L67" s="66" t="n"/>
      <c r="M67" s="66">
        <f>SUM(M22:M66)</f>
        <v/>
      </c>
      <c r="N67" s="66" t="n"/>
      <c r="O67" s="66">
        <f>SUM(O22:O66)</f>
        <v/>
      </c>
      <c r="P67" s="15" t="n"/>
      <c r="Q67" s="15" t="inlineStr">
        <is>
          <t>45건</t>
        </is>
      </c>
    </row>
    <row r="68" ht="24" customHeight="1" s="34">
      <c r="A68" t="inlineStr">
        <is>
          <t>01 토목</t>
        </is>
      </c>
      <c r="B68" t="inlineStr">
        <is>
          <t>2. 우 수 공</t>
        </is>
      </c>
      <c r="C68" t="n">
        <v>1</v>
      </c>
      <c r="D68" t="inlineStr">
        <is>
          <t>(1). 터파기(토사)</t>
        </is>
      </c>
      <c r="E68" t="inlineStr">
        <is>
          <t>TYPE-1, 백호1.0, 기계100%</t>
        </is>
      </c>
      <c r="F68" t="n">
        <v>13157</v>
      </c>
      <c r="G68" t="inlineStr">
        <is>
          <t>㎥</t>
        </is>
      </c>
      <c r="H68" s="64" t="n">
        <v>301</v>
      </c>
      <c r="I68" s="64">
        <f>F68*H68</f>
        <v/>
      </c>
      <c r="J68" s="64" t="n">
        <v>4367</v>
      </c>
      <c r="K68" s="64">
        <f>F68*J68</f>
        <v/>
      </c>
      <c r="L68" s="64" t="n">
        <v>417</v>
      </c>
      <c r="M68" s="64">
        <f>F68*L68</f>
        <v/>
      </c>
      <c r="N68" s="64">
        <f>H68+J68+L68</f>
        <v/>
      </c>
      <c r="O68" s="64">
        <f>I68+K68+M68</f>
        <v/>
      </c>
      <c r="Q68" t="inlineStr">
        <is>
          <t>1</t>
        </is>
      </c>
    </row>
    <row r="69" ht="24" customHeight="1" s="34">
      <c r="A69" t="inlineStr">
        <is>
          <t>01 토목</t>
        </is>
      </c>
      <c r="B69" t="inlineStr">
        <is>
          <t>2. 우 수 공</t>
        </is>
      </c>
      <c r="C69" t="n">
        <v>2</v>
      </c>
      <c r="D69" t="inlineStr">
        <is>
          <t>(2). 터파기(토사)</t>
        </is>
      </c>
      <c r="E69" t="inlineStr">
        <is>
          <t>기계70%+인력30%, 보통토사</t>
        </is>
      </c>
      <c r="F69" t="n">
        <v>1448</v>
      </c>
      <c r="G69" t="inlineStr">
        <is>
          <t>㎥</t>
        </is>
      </c>
      <c r="H69" s="64" t="n">
        <v>0</v>
      </c>
      <c r="I69" s="64">
        <f>F69*H69</f>
        <v/>
      </c>
      <c r="J69" s="64" t="n">
        <v>33455</v>
      </c>
      <c r="K69" s="64">
        <f>F69*J69</f>
        <v/>
      </c>
      <c r="L69" s="64" t="n">
        <v>0</v>
      </c>
      <c r="M69" s="64">
        <f>F69*L69</f>
        <v/>
      </c>
      <c r="N69" s="64">
        <f>H69+J69+L69</f>
        <v/>
      </c>
      <c r="O69" s="64">
        <f>I69+K69+M69</f>
        <v/>
      </c>
      <c r="Q69" t="inlineStr">
        <is>
          <t>토사</t>
        </is>
      </c>
    </row>
    <row r="70" ht="24" customHeight="1" s="34">
      <c r="A70" t="inlineStr">
        <is>
          <t>01 토목</t>
        </is>
      </c>
      <c r="B70" t="inlineStr">
        <is>
          <t>2. 우 수 공</t>
        </is>
      </c>
      <c r="C70" t="n">
        <v>3</v>
      </c>
      <c r="D70" t="inlineStr">
        <is>
          <t>가). 되메우기및다짐(토사)</t>
        </is>
      </c>
      <c r="E70" t="inlineStr">
        <is>
          <t>인력100%</t>
        </is>
      </c>
      <c r="F70" t="n">
        <v>202</v>
      </c>
      <c r="G70" t="inlineStr">
        <is>
          <t>㎥</t>
        </is>
      </c>
      <c r="H70" s="64" t="n">
        <v>608</v>
      </c>
      <c r="I70" s="64">
        <f>F70*H70</f>
        <v/>
      </c>
      <c r="J70" s="64" t="n">
        <v>9980</v>
      </c>
      <c r="K70" s="64">
        <f>F70*J70</f>
        <v/>
      </c>
      <c r="L70" s="64" t="n">
        <v>440</v>
      </c>
      <c r="M70" s="64">
        <f>F70*L70</f>
        <v/>
      </c>
      <c r="N70" s="64">
        <f>H70+J70+L70</f>
        <v/>
      </c>
      <c r="O70" s="64">
        <f>I70+K70+M70</f>
        <v/>
      </c>
      <c r="Q70" t="inlineStr">
        <is>
          <t>되메우기및다짐</t>
        </is>
      </c>
    </row>
    <row r="71" ht="24" customHeight="1" s="34">
      <c r="A71" t="inlineStr">
        <is>
          <t>01 토목</t>
        </is>
      </c>
      <c r="B71" t="inlineStr">
        <is>
          <t>2. 우 수 공</t>
        </is>
      </c>
      <c r="C71" t="n">
        <v>4</v>
      </c>
      <c r="D71" t="inlineStr">
        <is>
          <t>나). 되메우기및다짐(토사)</t>
        </is>
      </c>
      <c r="E71" t="inlineStr">
        <is>
          <t>기계90%,인력10%,래머 80KG</t>
        </is>
      </c>
      <c r="F71" t="n">
        <v>6892</v>
      </c>
      <c r="G71" t="inlineStr">
        <is>
          <t>㎥</t>
        </is>
      </c>
      <c r="H71" s="64" t="n">
        <v>608</v>
      </c>
      <c r="I71" s="64">
        <f>F71*H71</f>
        <v/>
      </c>
      <c r="J71" s="64" t="n">
        <v>9980</v>
      </c>
      <c r="K71" s="64">
        <f>F71*J71</f>
        <v/>
      </c>
      <c r="L71" s="64" t="n">
        <v>440</v>
      </c>
      <c r="M71" s="64">
        <f>F71*L71</f>
        <v/>
      </c>
      <c r="N71" s="64">
        <f>H71+J71+L71</f>
        <v/>
      </c>
      <c r="O71" s="64">
        <f>I71+K71+M71</f>
        <v/>
      </c>
      <c r="Q71" t="inlineStr">
        <is>
          <t>되메우기및다짐</t>
        </is>
      </c>
    </row>
    <row r="72" ht="24" customHeight="1" s="34">
      <c r="A72" t="inlineStr">
        <is>
          <t>01 토목</t>
        </is>
      </c>
      <c r="B72" t="inlineStr">
        <is>
          <t>2. 우 수 공</t>
        </is>
      </c>
      <c r="C72" t="n">
        <v>5</v>
      </c>
      <c r="D72" t="inlineStr">
        <is>
          <t>다). 되메우기및다짐(토사)</t>
        </is>
      </c>
      <c r="E72" t="inlineStr">
        <is>
          <t>백호0.7+플레이트콤펙터1.5ton</t>
        </is>
      </c>
      <c r="F72" t="n">
        <v>6048</v>
      </c>
      <c r="G72" t="inlineStr">
        <is>
          <t>㎥</t>
        </is>
      </c>
      <c r="H72" s="64" t="n">
        <v>1652</v>
      </c>
      <c r="I72" s="64">
        <f>F72*H72</f>
        <v/>
      </c>
      <c r="J72" s="64" t="n">
        <v>3924</v>
      </c>
      <c r="K72" s="64">
        <f>F72*J72</f>
        <v/>
      </c>
      <c r="L72" s="64" t="n">
        <v>1432</v>
      </c>
      <c r="M72" s="64">
        <f>F72*L72</f>
        <v/>
      </c>
      <c r="N72" s="64">
        <f>H72+J72+L72</f>
        <v/>
      </c>
      <c r="O72" s="64">
        <f>I72+K72+M72</f>
        <v/>
      </c>
      <c r="Q72" t="inlineStr">
        <is>
          <t>되메우기및다짐</t>
        </is>
      </c>
    </row>
    <row r="73" ht="24" customHeight="1" s="34">
      <c r="A73" t="inlineStr">
        <is>
          <t>01 토목</t>
        </is>
      </c>
      <c r="B73" t="inlineStr">
        <is>
          <t>2. 우 수 공</t>
        </is>
      </c>
      <c r="C73" t="n">
        <v>6</v>
      </c>
      <c r="D73" t="inlineStr">
        <is>
          <t>가). 잔토처리(토사)</t>
        </is>
      </c>
      <c r="E73" t="inlineStr">
        <is>
          <t>기계</t>
        </is>
      </c>
      <c r="F73" t="n">
        <v>1462</v>
      </c>
      <c r="G73" t="inlineStr">
        <is>
          <t>㎥</t>
        </is>
      </c>
      <c r="H73" s="64" t="n">
        <v>447</v>
      </c>
      <c r="I73" s="64">
        <f>F73*H73</f>
        <v/>
      </c>
      <c r="J73" s="64" t="n">
        <v>955</v>
      </c>
      <c r="K73" s="64">
        <f>F73*J73</f>
        <v/>
      </c>
      <c r="L73" s="64" t="n">
        <v>336</v>
      </c>
      <c r="M73" s="64">
        <f>F73*L73</f>
        <v/>
      </c>
      <c r="N73" s="64">
        <f>H73+J73+L73</f>
        <v/>
      </c>
      <c r="O73" s="64">
        <f>I73+K73+M73</f>
        <v/>
      </c>
      <c r="Q73" t="inlineStr">
        <is>
          <t>기계</t>
        </is>
      </c>
    </row>
    <row r="74" ht="24" customHeight="1" s="34">
      <c r="A74" t="inlineStr">
        <is>
          <t>01 토목</t>
        </is>
      </c>
      <c r="B74" t="inlineStr">
        <is>
          <t>2. 우 수 공</t>
        </is>
      </c>
      <c r="C74" t="n">
        <v>7</v>
      </c>
      <c r="D74" t="inlineStr">
        <is>
          <t>가). 원심력철근콘크리트관 접합및부설(소켓식)</t>
        </is>
      </c>
      <c r="E74" t="inlineStr">
        <is>
          <t>Ø 250mm, 시공조건 B</t>
        </is>
      </c>
      <c r="F74" t="n">
        <v>276</v>
      </c>
      <c r="G74" t="inlineStr">
        <is>
          <t>m</t>
        </is>
      </c>
      <c r="H74" s="64" t="n">
        <v>2339</v>
      </c>
      <c r="I74" s="64">
        <f>F74*H74</f>
        <v/>
      </c>
      <c r="J74" s="64" t="n">
        <v>19375</v>
      </c>
      <c r="K74" s="64">
        <f>F74*J74</f>
        <v/>
      </c>
      <c r="L74" s="64" t="n">
        <v>2505</v>
      </c>
      <c r="M74" s="64">
        <f>F74*L74</f>
        <v/>
      </c>
      <c r="N74" s="64">
        <f>H74+J74+L74</f>
        <v/>
      </c>
      <c r="O74" s="64">
        <f>I74+K74+M74</f>
        <v/>
      </c>
      <c r="Q74" t="inlineStr">
        <is>
          <t>소켓식</t>
        </is>
      </c>
    </row>
    <row r="75" ht="24" customHeight="1" s="34">
      <c r="A75" t="inlineStr">
        <is>
          <t>01 토목</t>
        </is>
      </c>
      <c r="B75" t="inlineStr">
        <is>
          <t>2. 우 수 공</t>
        </is>
      </c>
      <c r="C75" t="n">
        <v>8</v>
      </c>
      <c r="D75" t="inlineStr">
        <is>
          <t>나). 원심력철근콘크리트관 접합및부설(소켓식)</t>
        </is>
      </c>
      <c r="E75" t="inlineStr">
        <is>
          <t>Ø 450mm, 시공조건 B</t>
        </is>
      </c>
      <c r="F75" t="n">
        <v>552</v>
      </c>
      <c r="G75" t="inlineStr">
        <is>
          <t>m</t>
        </is>
      </c>
      <c r="H75" s="64" t="n">
        <v>2339</v>
      </c>
      <c r="I75" s="64">
        <f>F75*H75</f>
        <v/>
      </c>
      <c r="J75" s="64" t="n">
        <v>19375</v>
      </c>
      <c r="K75" s="64">
        <f>F75*J75</f>
        <v/>
      </c>
      <c r="L75" s="64" t="n">
        <v>2505</v>
      </c>
      <c r="M75" s="64">
        <f>F75*L75</f>
        <v/>
      </c>
      <c r="N75" s="64">
        <f>H75+J75+L75</f>
        <v/>
      </c>
      <c r="O75" s="64">
        <f>I75+K75+M75</f>
        <v/>
      </c>
      <c r="Q75" t="inlineStr">
        <is>
          <t>소켓식</t>
        </is>
      </c>
    </row>
    <row r="76" ht="24" customHeight="1" s="34">
      <c r="A76" t="inlineStr">
        <is>
          <t>01 토목</t>
        </is>
      </c>
      <c r="B76" t="inlineStr">
        <is>
          <t>2. 우 수 공</t>
        </is>
      </c>
      <c r="C76" t="n">
        <v>9</v>
      </c>
      <c r="D76" t="inlineStr">
        <is>
          <t>다). 원심력철근콘크리트관 접합및부설(소켓식)</t>
        </is>
      </c>
      <c r="E76" t="inlineStr">
        <is>
          <t>Ø 600mm, 시공조건 B</t>
        </is>
      </c>
      <c r="F76" t="n">
        <v>96</v>
      </c>
      <c r="G76" t="inlineStr">
        <is>
          <t>m</t>
        </is>
      </c>
      <c r="H76" s="64" t="n">
        <v>2339</v>
      </c>
      <c r="I76" s="64">
        <f>F76*H76</f>
        <v/>
      </c>
      <c r="J76" s="64" t="n">
        <v>19375</v>
      </c>
      <c r="K76" s="64">
        <f>F76*J76</f>
        <v/>
      </c>
      <c r="L76" s="64" t="n">
        <v>2505</v>
      </c>
      <c r="M76" s="64">
        <f>F76*L76</f>
        <v/>
      </c>
      <c r="N76" s="64">
        <f>H76+J76+L76</f>
        <v/>
      </c>
      <c r="O76" s="64">
        <f>I76+K76+M76</f>
        <v/>
      </c>
      <c r="Q76" t="inlineStr">
        <is>
          <t>소켓식</t>
        </is>
      </c>
    </row>
    <row r="77" ht="24" customHeight="1" s="34">
      <c r="A77" t="inlineStr">
        <is>
          <t>01 토목</t>
        </is>
      </c>
      <c r="B77" t="inlineStr">
        <is>
          <t>2. 우 수 공</t>
        </is>
      </c>
      <c r="C77" t="n">
        <v>10</v>
      </c>
      <c r="D77" t="inlineStr">
        <is>
          <t>라). 원심력철근콘크리트관 접합및부설(소켓식)</t>
        </is>
      </c>
      <c r="E77" t="inlineStr">
        <is>
          <t>Ø 800mm, 시공조건 B</t>
        </is>
      </c>
      <c r="F77" t="n">
        <v>263</v>
      </c>
      <c r="G77" t="inlineStr">
        <is>
          <t>m</t>
        </is>
      </c>
      <c r="H77" s="64" t="n">
        <v>2339</v>
      </c>
      <c r="I77" s="64">
        <f>F77*H77</f>
        <v/>
      </c>
      <c r="J77" s="64" t="n">
        <v>19375</v>
      </c>
      <c r="K77" s="64">
        <f>F77*J77</f>
        <v/>
      </c>
      <c r="L77" s="64" t="n">
        <v>2505</v>
      </c>
      <c r="M77" s="64">
        <f>F77*L77</f>
        <v/>
      </c>
      <c r="N77" s="64">
        <f>H77+J77+L77</f>
        <v/>
      </c>
      <c r="O77" s="64">
        <f>I77+K77+M77</f>
        <v/>
      </c>
      <c r="Q77" t="inlineStr">
        <is>
          <t>소켓식</t>
        </is>
      </c>
    </row>
    <row r="78" ht="24" customHeight="1" s="34">
      <c r="A78" t="inlineStr">
        <is>
          <t>01 토목</t>
        </is>
      </c>
      <c r="B78" t="inlineStr">
        <is>
          <t>2. 우 수 공</t>
        </is>
      </c>
      <c r="C78" t="n">
        <v>11</v>
      </c>
      <c r="D78" t="inlineStr">
        <is>
          <t>마). 원심력철근콘크리트관 접합및부설(소켓식)</t>
        </is>
      </c>
      <c r="E78" t="inlineStr">
        <is>
          <t>Ø 900mm, 시공조건 B</t>
        </is>
      </c>
      <c r="F78" t="n">
        <v>17</v>
      </c>
      <c r="G78" t="inlineStr">
        <is>
          <t>m</t>
        </is>
      </c>
      <c r="H78" s="64" t="n">
        <v>2339</v>
      </c>
      <c r="I78" s="64">
        <f>F78*H78</f>
        <v/>
      </c>
      <c r="J78" s="64" t="n">
        <v>19375</v>
      </c>
      <c r="K78" s="64">
        <f>F78*J78</f>
        <v/>
      </c>
      <c r="L78" s="64" t="n">
        <v>2505</v>
      </c>
      <c r="M78" s="64">
        <f>F78*L78</f>
        <v/>
      </c>
      <c r="N78" s="64">
        <f>H78+J78+L78</f>
        <v/>
      </c>
      <c r="O78" s="64">
        <f>I78+K78+M78</f>
        <v/>
      </c>
      <c r="Q78" t="inlineStr">
        <is>
          <t>소켓식</t>
        </is>
      </c>
    </row>
    <row r="79" ht="24" customHeight="1" s="34">
      <c r="A79" t="inlineStr">
        <is>
          <t>01 토목</t>
        </is>
      </c>
      <c r="B79" t="inlineStr">
        <is>
          <t>2. 우 수 공</t>
        </is>
      </c>
      <c r="C79" t="n">
        <v>12</v>
      </c>
      <c r="D79" t="inlineStr">
        <is>
          <t>바). 원심력철근콘크리트관 접합및부설(소켓식)</t>
        </is>
      </c>
      <c r="E79" t="inlineStr">
        <is>
          <t>Ø 1000mm, 시공조건 B</t>
        </is>
      </c>
      <c r="F79" t="n">
        <v>83</v>
      </c>
      <c r="G79" t="inlineStr">
        <is>
          <t>m</t>
        </is>
      </c>
      <c r="H79" s="64" t="n">
        <v>2339</v>
      </c>
      <c r="I79" s="64">
        <f>F79*H79</f>
        <v/>
      </c>
      <c r="J79" s="64" t="n">
        <v>19375</v>
      </c>
      <c r="K79" s="64">
        <f>F79*J79</f>
        <v/>
      </c>
      <c r="L79" s="64" t="n">
        <v>2505</v>
      </c>
      <c r="M79" s="64">
        <f>F79*L79</f>
        <v/>
      </c>
      <c r="N79" s="64">
        <f>H79+J79+L79</f>
        <v/>
      </c>
      <c r="O79" s="64">
        <f>I79+K79+M79</f>
        <v/>
      </c>
      <c r="Q79" t="inlineStr">
        <is>
          <t>소켓식</t>
        </is>
      </c>
    </row>
    <row r="80" ht="24" customHeight="1" s="34">
      <c r="A80" t="inlineStr">
        <is>
          <t>01 토목</t>
        </is>
      </c>
      <c r="B80" t="inlineStr">
        <is>
          <t>2. 우 수 공</t>
        </is>
      </c>
      <c r="C80" t="n">
        <v>13</v>
      </c>
      <c r="D80" t="inlineStr">
        <is>
          <t>사). 원심력철근콘크리트관 접합및부설(소켓식)</t>
        </is>
      </c>
      <c r="E80" t="inlineStr">
        <is>
          <t>Ø 1200mm, 시공조건 B</t>
        </is>
      </c>
      <c r="F80" t="n">
        <v>16</v>
      </c>
      <c r="G80" t="inlineStr">
        <is>
          <t>m</t>
        </is>
      </c>
      <c r="H80" s="64" t="n">
        <v>2339</v>
      </c>
      <c r="I80" s="64">
        <f>F80*H80</f>
        <v/>
      </c>
      <c r="J80" s="64" t="n">
        <v>19375</v>
      </c>
      <c r="K80" s="64">
        <f>F80*J80</f>
        <v/>
      </c>
      <c r="L80" s="64" t="n">
        <v>2505</v>
      </c>
      <c r="M80" s="64">
        <f>F80*L80</f>
        <v/>
      </c>
      <c r="N80" s="64">
        <f>H80+J80+L80</f>
        <v/>
      </c>
      <c r="O80" s="64">
        <f>I80+K80+M80</f>
        <v/>
      </c>
      <c r="Q80" t="inlineStr">
        <is>
          <t>소켓식</t>
        </is>
      </c>
    </row>
    <row r="81" ht="24" customHeight="1" s="34">
      <c r="A81" t="inlineStr">
        <is>
          <t>01 토목</t>
        </is>
      </c>
      <c r="B81" t="inlineStr">
        <is>
          <t>2. 우 수 공</t>
        </is>
      </c>
      <c r="C81" t="n">
        <v>14</v>
      </c>
      <c r="D81" t="inlineStr">
        <is>
          <t>(1) 콘크리트타설</t>
        </is>
      </c>
      <c r="E81" t="inlineStr">
        <is>
          <t>장비사용, 무근구조물</t>
        </is>
      </c>
      <c r="F81" t="n">
        <v>272</v>
      </c>
      <c r="G81" t="inlineStr">
        <is>
          <t>㎥</t>
        </is>
      </c>
      <c r="H81" s="64" t="n">
        <v>5963</v>
      </c>
      <c r="I81" s="64">
        <f>F81*H81</f>
        <v/>
      </c>
      <c r="J81" s="64" t="n">
        <v>50648</v>
      </c>
      <c r="K81" s="64">
        <f>F81*J81</f>
        <v/>
      </c>
      <c r="L81" s="64" t="n">
        <v>6730</v>
      </c>
      <c r="M81" s="64">
        <f>F81*L81</f>
        <v/>
      </c>
      <c r="N81" s="64">
        <f>H81+J81+L81</f>
        <v/>
      </c>
      <c r="O81" s="64">
        <f>I81+K81+M81</f>
        <v/>
      </c>
      <c r="Q81" t="inlineStr">
        <is>
          <t>콘크리트타설</t>
        </is>
      </c>
    </row>
    <row r="82" ht="24" customHeight="1" s="34">
      <c r="A82" t="inlineStr">
        <is>
          <t>01 토목</t>
        </is>
      </c>
      <c r="B82" t="inlineStr">
        <is>
          <t>2. 우 수 공</t>
        </is>
      </c>
      <c r="C82" t="n">
        <v>15</v>
      </c>
      <c r="D82" t="inlineStr">
        <is>
          <t>(2) 거푸집</t>
        </is>
      </c>
      <c r="E82" t="inlineStr">
        <is>
          <t>합판6회(간단)</t>
        </is>
      </c>
      <c r="F82" t="n">
        <v>725</v>
      </c>
      <c r="G82" t="inlineStr">
        <is>
          <t>㎡</t>
        </is>
      </c>
      <c r="H82" s="64" t="n">
        <v>378</v>
      </c>
      <c r="I82" s="64">
        <f>F82*H82</f>
        <v/>
      </c>
      <c r="J82" s="64" t="n">
        <v>37806</v>
      </c>
      <c r="K82" s="64">
        <f>F82*J82</f>
        <v/>
      </c>
      <c r="L82" s="64" t="n">
        <v>0</v>
      </c>
      <c r="M82" s="64">
        <f>F82*L82</f>
        <v/>
      </c>
      <c r="N82" s="64">
        <f>H82+J82+L82</f>
        <v/>
      </c>
      <c r="O82" s="64">
        <f>I82+K82+M82</f>
        <v/>
      </c>
      <c r="Q82" t="inlineStr">
        <is>
          <t>거푸집</t>
        </is>
      </c>
    </row>
    <row r="83" ht="24" customHeight="1" s="34">
      <c r="A83" t="inlineStr">
        <is>
          <t>01 토목</t>
        </is>
      </c>
      <c r="B83" t="inlineStr">
        <is>
          <t>2. 우 수 공</t>
        </is>
      </c>
      <c r="C83" t="n">
        <v>16</v>
      </c>
      <c r="D83" t="inlineStr">
        <is>
          <t>가). 하수관 천공 및 접합</t>
        </is>
      </c>
      <c r="E83" t="inlineStr">
        <is>
          <t>D450X250</t>
        </is>
      </c>
      <c r="F83" t="n">
        <v>25</v>
      </c>
      <c r="G83" t="inlineStr">
        <is>
          <t>개소</t>
        </is>
      </c>
      <c r="H83" s="64" t="n">
        <v>2924</v>
      </c>
      <c r="I83" s="64">
        <f>F83*H83</f>
        <v/>
      </c>
      <c r="J83" s="64" t="n">
        <v>97474</v>
      </c>
      <c r="K83" s="64">
        <f>F83*J83</f>
        <v/>
      </c>
      <c r="L83" s="64" t="n">
        <v>0</v>
      </c>
      <c r="M83" s="64">
        <f>F83*L83</f>
        <v/>
      </c>
      <c r="N83" s="64">
        <f>H83+J83+L83</f>
        <v/>
      </c>
      <c r="O83" s="64">
        <f>I83+K83+M83</f>
        <v/>
      </c>
      <c r="Q83" t="inlineStr">
        <is>
          <t>접합</t>
        </is>
      </c>
    </row>
    <row r="84" ht="24" customHeight="1" s="34">
      <c r="A84" t="inlineStr">
        <is>
          <t>01 토목</t>
        </is>
      </c>
      <c r="B84" t="inlineStr">
        <is>
          <t>2. 우 수 공</t>
        </is>
      </c>
      <c r="C84" t="n">
        <v>17</v>
      </c>
      <c r="D84" t="inlineStr">
        <is>
          <t>나). 하수관 천공 및 접합</t>
        </is>
      </c>
      <c r="E84" t="inlineStr">
        <is>
          <t>D600X250</t>
        </is>
      </c>
      <c r="F84" t="n">
        <v>9</v>
      </c>
      <c r="G84" t="inlineStr">
        <is>
          <t>개소</t>
        </is>
      </c>
      <c r="H84" s="64" t="n">
        <v>2463</v>
      </c>
      <c r="I84" s="64">
        <f>F84*H84</f>
        <v/>
      </c>
      <c r="J84" s="64" t="n">
        <v>120645</v>
      </c>
      <c r="K84" s="64">
        <f>F84*J84</f>
        <v/>
      </c>
      <c r="L84" s="64" t="n">
        <v>0</v>
      </c>
      <c r="M84" s="64">
        <f>F84*L84</f>
        <v/>
      </c>
      <c r="N84" s="64">
        <f>H84+J84+L84</f>
        <v/>
      </c>
      <c r="O84" s="64">
        <f>I84+K84+M84</f>
        <v/>
      </c>
      <c r="Q84" t="inlineStr">
        <is>
          <t>접합</t>
        </is>
      </c>
    </row>
    <row r="85" ht="24" customHeight="1" s="34">
      <c r="A85" t="inlineStr">
        <is>
          <t>01 토목</t>
        </is>
      </c>
      <c r="B85" t="inlineStr">
        <is>
          <t>2. 우 수 공</t>
        </is>
      </c>
      <c r="C85" t="n">
        <v>18</v>
      </c>
      <c r="D85" t="inlineStr">
        <is>
          <t>다). 하수관 천공 및 접합</t>
        </is>
      </c>
      <c r="E85" t="inlineStr">
        <is>
          <t>D800X250</t>
        </is>
      </c>
      <c r="F85" t="n">
        <v>18</v>
      </c>
      <c r="G85" t="inlineStr">
        <is>
          <t>개소</t>
        </is>
      </c>
      <c r="H85" s="64" t="n">
        <v>3895</v>
      </c>
      <c r="I85" s="64">
        <f>F85*H85</f>
        <v/>
      </c>
      <c r="J85" s="64" t="n">
        <v>190815</v>
      </c>
      <c r="K85" s="64">
        <f>F85*J85</f>
        <v/>
      </c>
      <c r="L85" s="64" t="n">
        <v>0</v>
      </c>
      <c r="M85" s="64">
        <f>F85*L85</f>
        <v/>
      </c>
      <c r="N85" s="64">
        <f>H85+J85+L85</f>
        <v/>
      </c>
      <c r="O85" s="64">
        <f>I85+K85+M85</f>
        <v/>
      </c>
      <c r="Q85" t="inlineStr">
        <is>
          <t>접합</t>
        </is>
      </c>
    </row>
    <row r="86" ht="24" customHeight="1" s="34">
      <c r="A86" t="inlineStr">
        <is>
          <t>01 토목</t>
        </is>
      </c>
      <c r="B86" t="inlineStr">
        <is>
          <t>2. 우 수 공</t>
        </is>
      </c>
      <c r="C86" t="n">
        <v>19</v>
      </c>
      <c r="D86" t="inlineStr">
        <is>
          <t>라). 하수관 천공 및 접합</t>
        </is>
      </c>
      <c r="E86" t="inlineStr">
        <is>
          <t>D1000X250</t>
        </is>
      </c>
      <c r="F86" t="n">
        <v>2</v>
      </c>
      <c r="G86" t="inlineStr">
        <is>
          <t>개소</t>
        </is>
      </c>
      <c r="H86" s="64" t="n">
        <v>6488</v>
      </c>
      <c r="I86" s="64">
        <f>F86*H86</f>
        <v/>
      </c>
      <c r="J86" s="64" t="n">
        <v>317907</v>
      </c>
      <c r="K86" s="64">
        <f>F86*J86</f>
        <v/>
      </c>
      <c r="L86" s="64" t="n">
        <v>0</v>
      </c>
      <c r="M86" s="64">
        <f>F86*L86</f>
        <v/>
      </c>
      <c r="N86" s="64">
        <f>H86+J86+L86</f>
        <v/>
      </c>
      <c r="O86" s="64">
        <f>I86+K86+M86</f>
        <v/>
      </c>
      <c r="Q86" t="inlineStr">
        <is>
          <t>접합</t>
        </is>
      </c>
    </row>
    <row r="87" ht="24" customHeight="1" s="34">
      <c r="A87" t="inlineStr">
        <is>
          <t>01 토목</t>
        </is>
      </c>
      <c r="B87" t="inlineStr">
        <is>
          <t>2. 우 수 공</t>
        </is>
      </c>
      <c r="C87" t="n">
        <v>20</v>
      </c>
      <c r="D87" t="inlineStr">
        <is>
          <t>가). 원심력철근콘크리트관 절단</t>
        </is>
      </c>
      <c r="E87" t="inlineStr">
        <is>
          <t>Ø 250 MM</t>
        </is>
      </c>
      <c r="F87" t="n">
        <v>86</v>
      </c>
      <c r="G87" t="inlineStr">
        <is>
          <t>개소</t>
        </is>
      </c>
      <c r="H87" s="64" t="n">
        <v>0</v>
      </c>
      <c r="I87" s="64">
        <f>F87*H87</f>
        <v/>
      </c>
      <c r="J87" s="64" t="n">
        <v>13039</v>
      </c>
      <c r="K87" s="64">
        <f>F87*J87</f>
        <v/>
      </c>
      <c r="L87" s="64" t="n">
        <v>782</v>
      </c>
      <c r="M87" s="64">
        <f>F87*L87</f>
        <v/>
      </c>
      <c r="N87" s="64">
        <f>H87+J87+L87</f>
        <v/>
      </c>
      <c r="O87" s="64">
        <f>I87+K87+M87</f>
        <v/>
      </c>
      <c r="Q87" t="inlineStr">
        <is>
          <t>원심력철근콘크리트관 절단</t>
        </is>
      </c>
    </row>
    <row r="88" ht="24" customHeight="1" s="34">
      <c r="A88" t="inlineStr">
        <is>
          <t>01 토목</t>
        </is>
      </c>
      <c r="B88" t="inlineStr">
        <is>
          <t>2. 우 수 공</t>
        </is>
      </c>
      <c r="C88" t="n">
        <v>21</v>
      </c>
      <c r="D88" t="inlineStr">
        <is>
          <t>나). 원심력철근콘크리트관 절단</t>
        </is>
      </c>
      <c r="E88" t="inlineStr">
        <is>
          <t>Ø 450 MM</t>
        </is>
      </c>
      <c r="F88" t="n">
        <v>32</v>
      </c>
      <c r="G88" t="inlineStr">
        <is>
          <t>개소</t>
        </is>
      </c>
      <c r="H88" s="64" t="n">
        <v>0</v>
      </c>
      <c r="I88" s="64">
        <f>F88*H88</f>
        <v/>
      </c>
      <c r="J88" s="64" t="n">
        <v>13039</v>
      </c>
      <c r="K88" s="64">
        <f>F88*J88</f>
        <v/>
      </c>
      <c r="L88" s="64" t="n">
        <v>782</v>
      </c>
      <c r="M88" s="64">
        <f>F88*L88</f>
        <v/>
      </c>
      <c r="N88" s="64">
        <f>H88+J88+L88</f>
        <v/>
      </c>
      <c r="O88" s="64">
        <f>I88+K88+M88</f>
        <v/>
      </c>
      <c r="Q88" t="inlineStr">
        <is>
          <t>원심력철근콘크리트관 절단</t>
        </is>
      </c>
    </row>
    <row r="89" ht="24" customHeight="1" s="34">
      <c r="A89" t="inlineStr">
        <is>
          <t>01 토목</t>
        </is>
      </c>
      <c r="B89" t="inlineStr">
        <is>
          <t>2. 우 수 공</t>
        </is>
      </c>
      <c r="C89" t="n">
        <v>22</v>
      </c>
      <c r="D89" t="inlineStr">
        <is>
          <t>다). 원심력철근콘크리트관 절단</t>
        </is>
      </c>
      <c r="E89" t="inlineStr">
        <is>
          <t>Ø 600 MM</t>
        </is>
      </c>
      <c r="F89" t="n">
        <v>4</v>
      </c>
      <c r="G89" t="inlineStr">
        <is>
          <t>개소</t>
        </is>
      </c>
      <c r="H89" s="64" t="n">
        <v>0</v>
      </c>
      <c r="I89" s="64">
        <f>F89*H89</f>
        <v/>
      </c>
      <c r="J89" s="64" t="n">
        <v>13039</v>
      </c>
      <c r="K89" s="64">
        <f>F89*J89</f>
        <v/>
      </c>
      <c r="L89" s="64" t="n">
        <v>782</v>
      </c>
      <c r="M89" s="64">
        <f>F89*L89</f>
        <v/>
      </c>
      <c r="N89" s="64">
        <f>H89+J89+L89</f>
        <v/>
      </c>
      <c r="O89" s="64">
        <f>I89+K89+M89</f>
        <v/>
      </c>
      <c r="Q89" t="inlineStr">
        <is>
          <t>원심력철근콘크리트관 절단</t>
        </is>
      </c>
    </row>
    <row r="90" ht="24" customHeight="1" s="34">
      <c r="A90" t="inlineStr">
        <is>
          <t>01 토목</t>
        </is>
      </c>
      <c r="B90" t="inlineStr">
        <is>
          <t>2. 우 수 공</t>
        </is>
      </c>
      <c r="C90" t="n">
        <v>23</v>
      </c>
      <c r="D90" t="inlineStr">
        <is>
          <t>라). 원심력철근콘크리트관 절단</t>
        </is>
      </c>
      <c r="E90" t="inlineStr">
        <is>
          <t>Ø 800 MM</t>
        </is>
      </c>
      <c r="F90" t="n">
        <v>11</v>
      </c>
      <c r="G90" t="inlineStr">
        <is>
          <t>개소</t>
        </is>
      </c>
      <c r="H90" s="64" t="n">
        <v>0</v>
      </c>
      <c r="I90" s="64">
        <f>F90*H90</f>
        <v/>
      </c>
      <c r="J90" s="64" t="n">
        <v>13039</v>
      </c>
      <c r="K90" s="64">
        <f>F90*J90</f>
        <v/>
      </c>
      <c r="L90" s="64" t="n">
        <v>782</v>
      </c>
      <c r="M90" s="64">
        <f>F90*L90</f>
        <v/>
      </c>
      <c r="N90" s="64">
        <f>H90+J90+L90</f>
        <v/>
      </c>
      <c r="O90" s="64">
        <f>I90+K90+M90</f>
        <v/>
      </c>
      <c r="Q90" t="inlineStr">
        <is>
          <t>원심력철근콘크리트관 절단</t>
        </is>
      </c>
    </row>
    <row r="91" ht="24" customHeight="1" s="34">
      <c r="A91" t="inlineStr">
        <is>
          <t>01 토목</t>
        </is>
      </c>
      <c r="B91" t="inlineStr">
        <is>
          <t>2. 우 수 공</t>
        </is>
      </c>
      <c r="C91" t="n">
        <v>24</v>
      </c>
      <c r="D91" t="inlineStr">
        <is>
          <t>마). 원심력철근콘크리트관 절단</t>
        </is>
      </c>
      <c r="E91" t="inlineStr">
        <is>
          <t>Ø 900 MM</t>
        </is>
      </c>
      <c r="F91" t="n">
        <v>1</v>
      </c>
      <c r="G91" t="inlineStr">
        <is>
          <t>개소</t>
        </is>
      </c>
      <c r="H91" s="64" t="n">
        <v>0</v>
      </c>
      <c r="I91" s="64">
        <f>F91*H91</f>
        <v/>
      </c>
      <c r="J91" s="64" t="n">
        <v>13039</v>
      </c>
      <c r="K91" s="64">
        <f>F91*J91</f>
        <v/>
      </c>
      <c r="L91" s="64" t="n">
        <v>782</v>
      </c>
      <c r="M91" s="64">
        <f>F91*L91</f>
        <v/>
      </c>
      <c r="N91" s="64">
        <f>H91+J91+L91</f>
        <v/>
      </c>
      <c r="O91" s="64">
        <f>I91+K91+M91</f>
        <v/>
      </c>
      <c r="Q91" t="inlineStr">
        <is>
          <t>원심력철근콘크리트관 절단</t>
        </is>
      </c>
    </row>
    <row r="92" ht="24" customHeight="1" s="34">
      <c r="A92" t="inlineStr">
        <is>
          <t>01 토목</t>
        </is>
      </c>
      <c r="B92" t="inlineStr">
        <is>
          <t>2. 우 수 공</t>
        </is>
      </c>
      <c r="C92" t="n">
        <v>25</v>
      </c>
      <c r="D92" t="inlineStr">
        <is>
          <t>바). 원심력철근콘크리트관 절단</t>
        </is>
      </c>
      <c r="E92" t="inlineStr">
        <is>
          <t>Ø 1000 MM</t>
        </is>
      </c>
      <c r="F92" t="n">
        <v>3</v>
      </c>
      <c r="G92" t="inlineStr">
        <is>
          <t>개소</t>
        </is>
      </c>
      <c r="H92" s="64" t="n">
        <v>0</v>
      </c>
      <c r="I92" s="64">
        <f>F92*H92</f>
        <v/>
      </c>
      <c r="J92" s="64" t="n">
        <v>13039</v>
      </c>
      <c r="K92" s="64">
        <f>F92*J92</f>
        <v/>
      </c>
      <c r="L92" s="64" t="n">
        <v>782</v>
      </c>
      <c r="M92" s="64">
        <f>F92*L92</f>
        <v/>
      </c>
      <c r="N92" s="64">
        <f>H92+J92+L92</f>
        <v/>
      </c>
      <c r="O92" s="64">
        <f>I92+K92+M92</f>
        <v/>
      </c>
      <c r="Q92" t="inlineStr">
        <is>
          <t>원심력철근콘크리트관 절단</t>
        </is>
      </c>
    </row>
    <row r="93" ht="24" customHeight="1" s="34">
      <c r="A93" t="inlineStr">
        <is>
          <t>01 토목</t>
        </is>
      </c>
      <c r="B93" t="inlineStr">
        <is>
          <t>2. 우 수 공</t>
        </is>
      </c>
      <c r="C93" t="n">
        <v>26</v>
      </c>
      <c r="D93" t="inlineStr">
        <is>
          <t>사). 원심력철근콘크리트관 절단</t>
        </is>
      </c>
      <c r="E93" t="inlineStr">
        <is>
          <t>Ø 1200 MM</t>
        </is>
      </c>
      <c r="F93" t="n">
        <v>3</v>
      </c>
      <c r="G93" t="inlineStr">
        <is>
          <t>개소</t>
        </is>
      </c>
      <c r="H93" s="64" t="n">
        <v>0</v>
      </c>
      <c r="I93" s="64">
        <f>F93*H93</f>
        <v/>
      </c>
      <c r="J93" s="64" t="n">
        <v>13039</v>
      </c>
      <c r="K93" s="64">
        <f>F93*J93</f>
        <v/>
      </c>
      <c r="L93" s="64" t="n">
        <v>782</v>
      </c>
      <c r="M93" s="64">
        <f>F93*L93</f>
        <v/>
      </c>
      <c r="N93" s="64">
        <f>H93+J93+L93</f>
        <v/>
      </c>
      <c r="O93" s="64">
        <f>I93+K93+M93</f>
        <v/>
      </c>
      <c r="Q93" t="inlineStr">
        <is>
          <t>원심력철근콘크리트관 절단</t>
        </is>
      </c>
    </row>
    <row r="94" ht="24" customHeight="1" s="34">
      <c r="A94" t="inlineStr">
        <is>
          <t>01 토목</t>
        </is>
      </c>
      <c r="B94" t="inlineStr">
        <is>
          <t>2. 우 수 공</t>
        </is>
      </c>
      <c r="C94" t="n">
        <v>27</v>
      </c>
      <c r="D94" t="inlineStr">
        <is>
          <t>가). 하수관내CCTV조사</t>
        </is>
      </c>
      <c r="E94" t="inlineStr">
        <is>
          <t>신설(1일:520m)</t>
        </is>
      </c>
      <c r="F94" t="n">
        <v>928</v>
      </c>
      <c r="G94" t="inlineStr">
        <is>
          <t>m</t>
        </is>
      </c>
      <c r="H94" s="64" t="n">
        <v>82</v>
      </c>
      <c r="I94" s="64">
        <f>F94*H94</f>
        <v/>
      </c>
      <c r="J94" s="64" t="n">
        <v>1966</v>
      </c>
      <c r="K94" s="64">
        <f>F94*J94</f>
        <v/>
      </c>
      <c r="L94" s="64" t="n">
        <v>303</v>
      </c>
      <c r="M94" s="64">
        <f>F94*L94</f>
        <v/>
      </c>
      <c r="N94" s="64">
        <f>H94+J94+L94</f>
        <v/>
      </c>
      <c r="O94" s="64">
        <f>I94+K94+M94</f>
        <v/>
      </c>
      <c r="Q94" t="inlineStr">
        <is>
          <t>하수관내CCTV조사</t>
        </is>
      </c>
    </row>
    <row r="95" ht="24" customHeight="1" s="34">
      <c r="A95" t="inlineStr">
        <is>
          <t>01 토목</t>
        </is>
      </c>
      <c r="B95" t="inlineStr">
        <is>
          <t>2. 우 수 공</t>
        </is>
      </c>
      <c r="C95" t="n">
        <v>28</v>
      </c>
      <c r="D95" t="inlineStr">
        <is>
          <t>나). 관로경고용테이프</t>
        </is>
      </c>
      <c r="E95" t="inlineStr">
        <is>
          <t>200mmx1m</t>
        </is>
      </c>
      <c r="F95" t="n">
        <v>1539</v>
      </c>
      <c r="G95" t="inlineStr">
        <is>
          <t>m</t>
        </is>
      </c>
      <c r="H95" s="64" t="n">
        <v>150</v>
      </c>
      <c r="I95" s="64">
        <f>F95*H95</f>
        <v/>
      </c>
      <c r="J95" s="64" t="n">
        <v>450</v>
      </c>
      <c r="K95" s="64">
        <f>F95*J95</f>
        <v/>
      </c>
      <c r="L95" s="64" t="n"/>
      <c r="M95" s="64">
        <f>F95*L95</f>
        <v/>
      </c>
      <c r="N95" s="64">
        <f>H95+J95+L95</f>
        <v/>
      </c>
      <c r="O95" s="64">
        <f>I95+K95+M95</f>
        <v/>
      </c>
      <c r="P95" t="inlineStr">
        <is>
          <t>가영현</t>
        </is>
      </c>
      <c r="Q95" t="inlineStr">
        <is>
          <t>200mmx1m, 관로경고용테이프</t>
        </is>
      </c>
    </row>
    <row r="96" ht="24" customHeight="1" s="34">
      <c r="A96" t="inlineStr">
        <is>
          <t>01 토목</t>
        </is>
      </c>
      <c r="B96" t="inlineStr">
        <is>
          <t>2. 우 수 공</t>
        </is>
      </c>
      <c r="C96" t="n">
        <v>29</v>
      </c>
      <c r="D96" t="inlineStr">
        <is>
          <t>다). 하수관 준설</t>
        </is>
      </c>
      <c r="E96" t="inlineStr">
        <is>
          <t>흡입식</t>
        </is>
      </c>
      <c r="F96" t="n">
        <v>26</v>
      </c>
      <c r="G96" t="inlineStr">
        <is>
          <t>㎥</t>
        </is>
      </c>
      <c r="H96" s="64" t="n">
        <v>70905</v>
      </c>
      <c r="I96" s="64">
        <f>F96*H96</f>
        <v/>
      </c>
      <c r="J96" s="64" t="n">
        <v>182223</v>
      </c>
      <c r="K96" s="64">
        <f>F96*J96</f>
        <v/>
      </c>
      <c r="L96" s="64" t="n">
        <v>85735</v>
      </c>
      <c r="M96" s="64">
        <f>F96*L96</f>
        <v/>
      </c>
      <c r="N96" s="64">
        <f>H96+J96+L96</f>
        <v/>
      </c>
      <c r="O96" s="64">
        <f>I96+K96+M96</f>
        <v/>
      </c>
      <c r="P96" t="inlineStr">
        <is>
          <t>가영현</t>
        </is>
      </c>
      <c r="Q96" t="inlineStr">
        <is>
          <t>흡입식</t>
        </is>
      </c>
    </row>
    <row r="97" ht="24" customHeight="1" s="34">
      <c r="A97" t="inlineStr">
        <is>
          <t>01 토목</t>
        </is>
      </c>
      <c r="B97" t="inlineStr">
        <is>
          <t>2. 우 수 공</t>
        </is>
      </c>
      <c r="C97" t="n">
        <v>30</v>
      </c>
      <c r="D97" t="inlineStr">
        <is>
          <t>가). 우수 원형1호 맨홀</t>
        </is>
      </c>
      <c r="E97" t="inlineStr">
        <is>
          <t>D900, H=2.54m, 차도</t>
        </is>
      </c>
      <c r="F97" t="n">
        <v>8</v>
      </c>
      <c r="G97" t="inlineStr">
        <is>
          <t>개소</t>
        </is>
      </c>
      <c r="H97" s="64" t="n">
        <v>0</v>
      </c>
      <c r="I97" s="64">
        <f>F97*H97</f>
        <v/>
      </c>
      <c r="J97" s="64" t="n">
        <v>71377</v>
      </c>
      <c r="K97" s="64">
        <f>F97*J97</f>
        <v/>
      </c>
      <c r="L97" s="64" t="n">
        <v>0</v>
      </c>
      <c r="M97" s="64">
        <f>F97*L97</f>
        <v/>
      </c>
      <c r="N97" s="64">
        <f>H97+J97+L97</f>
        <v/>
      </c>
      <c r="O97" s="64">
        <f>I97+K97+M97</f>
        <v/>
      </c>
      <c r="Q97" t="inlineStr">
        <is>
          <t>D900</t>
        </is>
      </c>
    </row>
    <row r="98" ht="24" customHeight="1" s="34">
      <c r="A98" t="inlineStr">
        <is>
          <t>01 토목</t>
        </is>
      </c>
      <c r="B98" t="inlineStr">
        <is>
          <t>2. 우 수 공</t>
        </is>
      </c>
      <c r="C98" t="n">
        <v>31</v>
      </c>
      <c r="D98" t="inlineStr">
        <is>
          <t>나). 우수 원형1호 맨홀</t>
        </is>
      </c>
      <c r="E98" t="inlineStr">
        <is>
          <t>D900, H=4.59m, 보도</t>
        </is>
      </c>
      <c r="F98" t="n">
        <v>1</v>
      </c>
      <c r="G98" t="inlineStr">
        <is>
          <t>개소</t>
        </is>
      </c>
      <c r="H98" s="64" t="n">
        <v>0</v>
      </c>
      <c r="I98" s="64">
        <f>F98*H98</f>
        <v/>
      </c>
      <c r="J98" s="64" t="n">
        <v>71377</v>
      </c>
      <c r="K98" s="64">
        <f>F98*J98</f>
        <v/>
      </c>
      <c r="L98" s="64" t="n">
        <v>0</v>
      </c>
      <c r="M98" s="64">
        <f>F98*L98</f>
        <v/>
      </c>
      <c r="N98" s="64">
        <f>H98+J98+L98</f>
        <v/>
      </c>
      <c r="O98" s="64">
        <f>I98+K98+M98</f>
        <v/>
      </c>
      <c r="Q98" t="inlineStr">
        <is>
          <t>D900</t>
        </is>
      </c>
    </row>
    <row r="99" ht="24" customHeight="1" s="34">
      <c r="A99" t="inlineStr">
        <is>
          <t>01 토목</t>
        </is>
      </c>
      <c r="B99" t="inlineStr">
        <is>
          <t>2. 우 수 공</t>
        </is>
      </c>
      <c r="C99" t="n">
        <v>32</v>
      </c>
      <c r="D99" t="inlineStr">
        <is>
          <t>다). 우수 원형2호 맨홀</t>
        </is>
      </c>
      <c r="E99" t="inlineStr">
        <is>
          <t>D1200, H=2.77m, 차도</t>
        </is>
      </c>
      <c r="F99" t="n">
        <v>10</v>
      </c>
      <c r="G99" t="inlineStr">
        <is>
          <t>개소</t>
        </is>
      </c>
      <c r="H99" s="64" t="n">
        <v>0</v>
      </c>
      <c r="I99" s="64">
        <f>F99*H99</f>
        <v/>
      </c>
      <c r="J99" s="64" t="n">
        <v>81796</v>
      </c>
      <c r="K99" s="64">
        <f>F99*J99</f>
        <v/>
      </c>
      <c r="L99" s="64" t="n">
        <v>0</v>
      </c>
      <c r="M99" s="64">
        <f>F99*L99</f>
        <v/>
      </c>
      <c r="N99" s="64">
        <f>H99+J99+L99</f>
        <v/>
      </c>
      <c r="O99" s="64">
        <f>I99+K99+M99</f>
        <v/>
      </c>
      <c r="Q99" t="inlineStr">
        <is>
          <t>D1200</t>
        </is>
      </c>
    </row>
    <row r="100" ht="24" customHeight="1" s="34">
      <c r="A100" t="inlineStr">
        <is>
          <t>01 토목</t>
        </is>
      </c>
      <c r="B100" t="inlineStr">
        <is>
          <t>2. 우 수 공</t>
        </is>
      </c>
      <c r="C100" t="n">
        <v>33</v>
      </c>
      <c r="D100" t="inlineStr">
        <is>
          <t>가). 우수 각형2호 맨홀</t>
        </is>
      </c>
      <c r="E100" t="inlineStr">
        <is>
          <t>1200X1200, H=3.20m, 차도</t>
        </is>
      </c>
      <c r="F100" t="n">
        <v>12</v>
      </c>
      <c r="G100" t="inlineStr">
        <is>
          <t>개소</t>
        </is>
      </c>
      <c r="H100" s="64" t="n">
        <v>380000</v>
      </c>
      <c r="I100" s="64">
        <f>F100*H100</f>
        <v/>
      </c>
      <c r="J100" s="64" t="n">
        <v>71377</v>
      </c>
      <c r="K100" s="64">
        <f>F100*J100</f>
        <v/>
      </c>
      <c r="L100" s="64" t="n">
        <v>45000</v>
      </c>
      <c r="M100" s="64">
        <f>F100*L100</f>
        <v/>
      </c>
      <c r="N100" s="64">
        <f>H100+J100+L100</f>
        <v/>
      </c>
      <c r="O100" s="64">
        <f>I100+K100+M100</f>
        <v/>
      </c>
      <c r="P100" t="inlineStr">
        <is>
          <t>가영현</t>
        </is>
      </c>
      <c r="Q100" t="inlineStr">
        <is>
          <t>우수 각형2호 맨홀</t>
        </is>
      </c>
    </row>
    <row r="101" ht="24" customHeight="1" s="34">
      <c r="A101" t="inlineStr">
        <is>
          <t>01 토목</t>
        </is>
      </c>
      <c r="B101" t="inlineStr">
        <is>
          <t>2. 우 수 공</t>
        </is>
      </c>
      <c r="C101" t="n">
        <v>34</v>
      </c>
      <c r="D101" t="inlineStr">
        <is>
          <t>나). 우수 각형2호 맨홀</t>
        </is>
      </c>
      <c r="E101" t="inlineStr">
        <is>
          <t>1200X1200, H=4.03m, 보도</t>
        </is>
      </c>
      <c r="F101" t="n">
        <v>1</v>
      </c>
      <c r="G101" t="inlineStr">
        <is>
          <t>개소</t>
        </is>
      </c>
      <c r="H101" s="64" t="n">
        <v>9108</v>
      </c>
      <c r="I101" s="64">
        <f>F101*H101</f>
        <v/>
      </c>
      <c r="J101" s="64" t="n">
        <v>169869</v>
      </c>
      <c r="K101" s="64">
        <f>F101*J101</f>
        <v/>
      </c>
      <c r="L101" s="64" t="n">
        <v>6522</v>
      </c>
      <c r="M101" s="64">
        <f>F101*L101</f>
        <v/>
      </c>
      <c r="N101" s="64">
        <f>H101+J101+L101</f>
        <v/>
      </c>
      <c r="O101" s="64">
        <f>I101+K101+M101</f>
        <v/>
      </c>
      <c r="Q101" t="inlineStr">
        <is>
          <t>보도</t>
        </is>
      </c>
    </row>
    <row r="102" ht="24" customHeight="1" s="34">
      <c r="A102" t="inlineStr">
        <is>
          <t>01 토목</t>
        </is>
      </c>
      <c r="B102" t="inlineStr">
        <is>
          <t>2. 우 수 공</t>
        </is>
      </c>
      <c r="C102" t="n">
        <v>35</v>
      </c>
      <c r="D102" t="inlineStr">
        <is>
          <t>다). 우수 각형3호 맨홀</t>
        </is>
      </c>
      <c r="E102" t="inlineStr">
        <is>
          <t>1400X1200, H=4.22m, 차도</t>
        </is>
      </c>
      <c r="F102" t="n">
        <v>2</v>
      </c>
      <c r="G102" t="inlineStr">
        <is>
          <t>개소</t>
        </is>
      </c>
      <c r="H102" s="64" t="n">
        <v>420000</v>
      </c>
      <c r="I102" s="64">
        <f>F102*H102</f>
        <v/>
      </c>
      <c r="J102" s="64" t="n">
        <v>71377</v>
      </c>
      <c r="K102" s="64">
        <f>F102*J102</f>
        <v/>
      </c>
      <c r="L102" s="64" t="n">
        <v>45000</v>
      </c>
      <c r="M102" s="64">
        <f>F102*L102</f>
        <v/>
      </c>
      <c r="N102" s="64">
        <f>H102+J102+L102</f>
        <v/>
      </c>
      <c r="O102" s="64">
        <f>I102+K102+M102</f>
        <v/>
      </c>
      <c r="P102" t="inlineStr">
        <is>
          <t>가영현</t>
        </is>
      </c>
      <c r="Q102" t="inlineStr">
        <is>
          <t>우수 각형3호 맨홀</t>
        </is>
      </c>
    </row>
    <row r="103" ht="24" customHeight="1" s="34">
      <c r="A103" t="inlineStr">
        <is>
          <t>01 토목</t>
        </is>
      </c>
      <c r="B103" t="inlineStr">
        <is>
          <t>2. 우 수 공</t>
        </is>
      </c>
      <c r="C103" t="n">
        <v>36</v>
      </c>
      <c r="D103" t="inlineStr">
        <is>
          <t>라). 우수 각형3호 맨홀</t>
        </is>
      </c>
      <c r="E103" t="inlineStr">
        <is>
          <t>1400X1200, H=4.67m, 보도</t>
        </is>
      </c>
      <c r="F103" t="n">
        <v>1</v>
      </c>
      <c r="G103" t="inlineStr">
        <is>
          <t>개소</t>
        </is>
      </c>
      <c r="H103" s="64" t="n">
        <v>9108</v>
      </c>
      <c r="I103" s="64">
        <f>F103*H103</f>
        <v/>
      </c>
      <c r="J103" s="64" t="n">
        <v>169869</v>
      </c>
      <c r="K103" s="64">
        <f>F103*J103</f>
        <v/>
      </c>
      <c r="L103" s="64" t="n">
        <v>6522</v>
      </c>
      <c r="M103" s="64">
        <f>F103*L103</f>
        <v/>
      </c>
      <c r="N103" s="64">
        <f>H103+J103+L103</f>
        <v/>
      </c>
      <c r="O103" s="64">
        <f>I103+K103+M103</f>
        <v/>
      </c>
      <c r="Q103" t="inlineStr">
        <is>
          <t>보도</t>
        </is>
      </c>
    </row>
    <row r="104" ht="24" customHeight="1" s="34">
      <c r="A104" t="inlineStr">
        <is>
          <t>01 토목</t>
        </is>
      </c>
      <c r="B104" t="inlineStr">
        <is>
          <t>2. 우 수 공</t>
        </is>
      </c>
      <c r="C104" t="n">
        <v>37</v>
      </c>
      <c r="D104" t="inlineStr">
        <is>
          <t>마). 우수 각형4호 맨홀</t>
        </is>
      </c>
      <c r="E104" t="inlineStr">
        <is>
          <t>1500X1500, H=4.56m, 차도</t>
        </is>
      </c>
      <c r="F104" t="n">
        <v>1</v>
      </c>
      <c r="G104" t="inlineStr">
        <is>
          <t>개소</t>
        </is>
      </c>
      <c r="H104" s="64" t="n">
        <v>560000</v>
      </c>
      <c r="I104" s="64">
        <f>F104*H104</f>
        <v/>
      </c>
      <c r="J104" s="64" t="n">
        <v>71377</v>
      </c>
      <c r="K104" s="64">
        <f>F104*J104</f>
        <v/>
      </c>
      <c r="L104" s="64" t="n">
        <v>45000</v>
      </c>
      <c r="M104" s="64">
        <f>F104*L104</f>
        <v/>
      </c>
      <c r="N104" s="64">
        <f>H104+J104+L104</f>
        <v/>
      </c>
      <c r="O104" s="64">
        <f>I104+K104+M104</f>
        <v/>
      </c>
      <c r="P104" t="inlineStr">
        <is>
          <t>가영현</t>
        </is>
      </c>
      <c r="Q104" t="inlineStr">
        <is>
          <t>우수 각형4호 맨홀</t>
        </is>
      </c>
    </row>
    <row r="105" ht="24" customHeight="1" s="34">
      <c r="A105" t="inlineStr">
        <is>
          <t>01 토목</t>
        </is>
      </c>
      <c r="B105" t="inlineStr">
        <is>
          <t>2. 우 수 공</t>
        </is>
      </c>
      <c r="C105" t="n">
        <v>38</v>
      </c>
      <c r="D105" t="inlineStr">
        <is>
          <t>바). 암거 맨홀</t>
        </is>
      </c>
      <c r="E105" t="inlineStr">
        <is>
          <t>900X900, H=3.67, 차도</t>
        </is>
      </c>
      <c r="F105" t="n">
        <v>1</v>
      </c>
      <c r="G105" t="inlineStr">
        <is>
          <t>개소</t>
        </is>
      </c>
      <c r="H105" s="64" t="n">
        <v>77683</v>
      </c>
      <c r="I105" s="64">
        <f>F105*H105</f>
        <v/>
      </c>
      <c r="J105" s="64" t="n">
        <v>878956</v>
      </c>
      <c r="K105" s="64">
        <f>F105*J105</f>
        <v/>
      </c>
      <c r="L105" s="64" t="n">
        <v>50096</v>
      </c>
      <c r="M105" s="64">
        <f>F105*L105</f>
        <v/>
      </c>
      <c r="N105" s="64">
        <f>H105+J105+L105</f>
        <v/>
      </c>
      <c r="O105" s="64">
        <f>I105+K105+M105</f>
        <v/>
      </c>
      <c r="P105" t="inlineStr">
        <is>
          <t>가영현</t>
        </is>
      </c>
      <c r="Q105" t="inlineStr">
        <is>
          <t>암거 맨홀</t>
        </is>
      </c>
    </row>
    <row r="106" ht="24" customHeight="1" s="34">
      <c r="A106" t="inlineStr">
        <is>
          <t>01 토목</t>
        </is>
      </c>
      <c r="B106" t="inlineStr">
        <is>
          <t>2. 우 수 공</t>
        </is>
      </c>
      <c r="C106" t="n">
        <v>39</v>
      </c>
      <c r="D106" t="inlineStr">
        <is>
          <t>가). 무수축몰탈</t>
        </is>
      </c>
      <c r="E106" t="inlineStr">
        <is>
          <t>1:1, 자재비별산</t>
        </is>
      </c>
      <c r="F106" t="n">
        <v>1.563</v>
      </c>
      <c r="G106" t="inlineStr">
        <is>
          <t>㎥</t>
        </is>
      </c>
      <c r="H106" s="64" t="n">
        <v>500</v>
      </c>
      <c r="I106" s="64">
        <f>F106*H106</f>
        <v/>
      </c>
      <c r="J106" s="64" t="n">
        <v>1000</v>
      </c>
      <c r="K106" s="64">
        <f>F106*J106</f>
        <v/>
      </c>
      <c r="L106" s="64" t="n"/>
      <c r="M106" s="64">
        <f>F106*L106</f>
        <v/>
      </c>
      <c r="N106" s="64">
        <f>H106+J106+L106</f>
        <v/>
      </c>
      <c r="O106" s="64">
        <f>I106+K106+M106</f>
        <v/>
      </c>
      <c r="P106" t="inlineStr">
        <is>
          <t>가영현</t>
        </is>
      </c>
      <c r="Q106" t="inlineStr">
        <is>
          <t>1:1</t>
        </is>
      </c>
    </row>
    <row r="107" ht="24" customHeight="1" s="34">
      <c r="A107" t="inlineStr">
        <is>
          <t>01 토목</t>
        </is>
      </c>
      <c r="B107" t="inlineStr">
        <is>
          <t>2. 우 수 공</t>
        </is>
      </c>
      <c r="C107" t="n">
        <v>40</v>
      </c>
      <c r="D107" t="inlineStr">
        <is>
          <t>나). 수팽창지수재</t>
        </is>
      </c>
      <c r="E107" t="inlineStr">
        <is>
          <t>20x10mm</t>
        </is>
      </c>
      <c r="F107" t="n">
        <v>206</v>
      </c>
      <c r="G107" t="inlineStr">
        <is>
          <t>m</t>
        </is>
      </c>
      <c r="H107" s="64" t="n">
        <v>3500</v>
      </c>
      <c r="I107" s="64">
        <f>F107*H107</f>
        <v/>
      </c>
      <c r="J107" s="64" t="n">
        <v>2500</v>
      </c>
      <c r="K107" s="64">
        <f>F107*J107</f>
        <v/>
      </c>
      <c r="L107" s="64" t="n"/>
      <c r="M107" s="64">
        <f>F107*L107</f>
        <v/>
      </c>
      <c r="N107" s="64">
        <f>H107+J107+L107</f>
        <v/>
      </c>
      <c r="O107" s="64">
        <f>I107+K107+M107</f>
        <v/>
      </c>
      <c r="P107" t="inlineStr">
        <is>
          <t>가영현</t>
        </is>
      </c>
      <c r="Q107" t="inlineStr">
        <is>
          <t>수팽창지수재</t>
        </is>
      </c>
    </row>
    <row r="108" ht="24" customHeight="1" s="34">
      <c r="A108" t="inlineStr">
        <is>
          <t>01 토목</t>
        </is>
      </c>
      <c r="B108" t="inlineStr">
        <is>
          <t>2. 우 수 공</t>
        </is>
      </c>
      <c r="C108" t="n">
        <v>41</v>
      </c>
      <c r="D108" t="inlineStr">
        <is>
          <t>가). 1호 우수받이</t>
        </is>
      </c>
      <c r="E108" t="inlineStr">
        <is>
          <t>0.3×0.4×0.9m, 스틸그레이팅포함</t>
        </is>
      </c>
      <c r="F108" t="n">
        <v>86</v>
      </c>
      <c r="G108" t="inlineStr">
        <is>
          <t>개소</t>
        </is>
      </c>
      <c r="H108" s="64" t="n">
        <v>360000</v>
      </c>
      <c r="I108" s="64">
        <f>F108*H108</f>
        <v/>
      </c>
      <c r="J108" s="64" t="n">
        <v>75000</v>
      </c>
      <c r="K108" s="64">
        <f>F108*J108</f>
        <v/>
      </c>
      <c r="L108" s="64" t="n">
        <v>45000</v>
      </c>
      <c r="M108" s="64">
        <f>F108*L108</f>
        <v/>
      </c>
      <c r="N108" s="64">
        <f>H108+J108+L108</f>
        <v/>
      </c>
      <c r="O108" s="64">
        <f>I108+K108+M108</f>
        <v/>
      </c>
      <c r="P108" t="inlineStr">
        <is>
          <t>가영현</t>
        </is>
      </c>
      <c r="Q108" t="inlineStr">
        <is>
          <t>0.3×0.4×0.9m, 스틸그레이팅포함, 1호 우수받이, 0.3×0.4×0.9m, 스틸그레이팅포함</t>
        </is>
      </c>
    </row>
    <row r="109" ht="24" customHeight="1" s="34">
      <c r="A109" t="inlineStr">
        <is>
          <t>01 토목</t>
        </is>
      </c>
      <c r="B109" t="inlineStr">
        <is>
          <t>2. 우 수 공</t>
        </is>
      </c>
      <c r="C109" t="n">
        <v>42</v>
      </c>
      <c r="D109" t="inlineStr">
        <is>
          <t>가). PC BOX</t>
        </is>
      </c>
      <c r="E109" t="inlineStr">
        <is>
          <t>1@2.0X1.5, 토피 H=1.0m이하</t>
        </is>
      </c>
      <c r="F109" t="n">
        <v>4</v>
      </c>
      <c r="G109" t="inlineStr">
        <is>
          <t>m</t>
        </is>
      </c>
      <c r="H109" s="64" t="n">
        <v>229</v>
      </c>
      <c r="I109" s="64">
        <f>F109*H109</f>
        <v/>
      </c>
      <c r="J109" s="64" t="n">
        <v>11486</v>
      </c>
      <c r="K109" s="64">
        <f>F109*J109</f>
        <v/>
      </c>
      <c r="L109" s="64" t="n">
        <v>0</v>
      </c>
      <c r="M109" s="64">
        <f>F109*L109</f>
        <v/>
      </c>
      <c r="N109" s="64">
        <f>H109+J109+L109</f>
        <v/>
      </c>
      <c r="O109" s="64">
        <f>I109+K109+M109</f>
        <v/>
      </c>
      <c r="Q109" t="inlineStr">
        <is>
          <t>PC BOX</t>
        </is>
      </c>
    </row>
    <row r="110" ht="24" customHeight="1" s="34">
      <c r="A110" t="inlineStr">
        <is>
          <t>01 토목</t>
        </is>
      </c>
      <c r="B110" t="inlineStr">
        <is>
          <t>2. 우 수 공</t>
        </is>
      </c>
      <c r="C110" t="n">
        <v>43</v>
      </c>
      <c r="D110" t="inlineStr">
        <is>
          <t>나). PC BOX</t>
        </is>
      </c>
      <c r="E110" t="inlineStr">
        <is>
          <t>1@2.0X1.5, 토피 H=4.0m미만</t>
        </is>
      </c>
      <c r="F110" t="n">
        <v>36</v>
      </c>
      <c r="G110" t="inlineStr">
        <is>
          <t>m</t>
        </is>
      </c>
      <c r="H110" s="64" t="n">
        <v>229</v>
      </c>
      <c r="I110" s="64">
        <f>F110*H110</f>
        <v/>
      </c>
      <c r="J110" s="64" t="n">
        <v>11486</v>
      </c>
      <c r="K110" s="64">
        <f>F110*J110</f>
        <v/>
      </c>
      <c r="L110" s="64" t="n">
        <v>0</v>
      </c>
      <c r="M110" s="64">
        <f>F110*L110</f>
        <v/>
      </c>
      <c r="N110" s="64">
        <f>H110+J110+L110</f>
        <v/>
      </c>
      <c r="O110" s="64">
        <f>I110+K110+M110</f>
        <v/>
      </c>
      <c r="Q110" t="inlineStr">
        <is>
          <t>PC BOX</t>
        </is>
      </c>
    </row>
    <row r="111" ht="24" customHeight="1" s="34">
      <c r="A111" t="inlineStr">
        <is>
          <t>01 토목</t>
        </is>
      </c>
      <c r="B111" t="inlineStr">
        <is>
          <t>2. 우 수 공</t>
        </is>
      </c>
      <c r="C111" t="n">
        <v>44</v>
      </c>
      <c r="D111" t="inlineStr">
        <is>
          <t>다). PC BOX</t>
        </is>
      </c>
      <c r="E111" t="inlineStr">
        <is>
          <t>1@2.0X1.8, 토피 H=1.0m이하</t>
        </is>
      </c>
      <c r="F111" t="n">
        <v>2</v>
      </c>
      <c r="G111" t="inlineStr">
        <is>
          <t>m</t>
        </is>
      </c>
      <c r="H111" s="64" t="n">
        <v>229</v>
      </c>
      <c r="I111" s="64">
        <f>F111*H111</f>
        <v/>
      </c>
      <c r="J111" s="64" t="n">
        <v>11486</v>
      </c>
      <c r="K111" s="64">
        <f>F111*J111</f>
        <v/>
      </c>
      <c r="L111" s="64" t="n">
        <v>0</v>
      </c>
      <c r="M111" s="64">
        <f>F111*L111</f>
        <v/>
      </c>
      <c r="N111" s="64">
        <f>H111+J111+L111</f>
        <v/>
      </c>
      <c r="O111" s="64">
        <f>I111+K111+M111</f>
        <v/>
      </c>
      <c r="Q111" t="inlineStr">
        <is>
          <t>PC BOX</t>
        </is>
      </c>
    </row>
    <row r="112" ht="24" customHeight="1" s="34">
      <c r="A112" t="inlineStr">
        <is>
          <t>01 토목</t>
        </is>
      </c>
      <c r="B112" t="inlineStr">
        <is>
          <t>2. 우 수 공</t>
        </is>
      </c>
      <c r="C112" t="n">
        <v>45</v>
      </c>
      <c r="D112" t="inlineStr">
        <is>
          <t>라). PC BOX</t>
        </is>
      </c>
      <c r="E112" t="inlineStr">
        <is>
          <t>1@2.0X1.8, 토피 H=4.0m미만</t>
        </is>
      </c>
      <c r="F112" t="n">
        <v>2</v>
      </c>
      <c r="G112" t="inlineStr">
        <is>
          <t>m</t>
        </is>
      </c>
      <c r="H112" s="64" t="n">
        <v>229</v>
      </c>
      <c r="I112" s="64">
        <f>F112*H112</f>
        <v/>
      </c>
      <c r="J112" s="64" t="n">
        <v>11486</v>
      </c>
      <c r="K112" s="64">
        <f>F112*J112</f>
        <v/>
      </c>
      <c r="L112" s="64" t="n">
        <v>0</v>
      </c>
      <c r="M112" s="64">
        <f>F112*L112</f>
        <v/>
      </c>
      <c r="N112" s="64">
        <f>H112+J112+L112</f>
        <v/>
      </c>
      <c r="O112" s="64">
        <f>I112+K112+M112</f>
        <v/>
      </c>
      <c r="Q112" t="inlineStr">
        <is>
          <t>PC BOX</t>
        </is>
      </c>
    </row>
    <row r="113" ht="24" customHeight="1" s="34">
      <c r="A113" t="inlineStr">
        <is>
          <t>01 토목</t>
        </is>
      </c>
      <c r="B113" t="inlineStr">
        <is>
          <t>2. 우 수 공</t>
        </is>
      </c>
      <c r="C113" t="n">
        <v>46</v>
      </c>
      <c r="D113" t="inlineStr">
        <is>
          <t>가). 콘크리트타설</t>
        </is>
      </c>
      <c r="E113" t="inlineStr">
        <is>
          <t>장비사용, 무근구조물</t>
        </is>
      </c>
      <c r="F113" t="n">
        <v>11</v>
      </c>
      <c r="G113" t="inlineStr">
        <is>
          <t>㎥</t>
        </is>
      </c>
      <c r="H113" s="64" t="n">
        <v>5963</v>
      </c>
      <c r="I113" s="64">
        <f>F113*H113</f>
        <v/>
      </c>
      <c r="J113" s="64" t="n">
        <v>50648</v>
      </c>
      <c r="K113" s="64">
        <f>F113*J113</f>
        <v/>
      </c>
      <c r="L113" s="64" t="n">
        <v>6730</v>
      </c>
      <c r="M113" s="64">
        <f>F113*L113</f>
        <v/>
      </c>
      <c r="N113" s="64">
        <f>H113+J113+L113</f>
        <v/>
      </c>
      <c r="O113" s="64">
        <f>I113+K113+M113</f>
        <v/>
      </c>
      <c r="Q113" t="inlineStr">
        <is>
          <t>콘크리트타설</t>
        </is>
      </c>
    </row>
    <row r="114" ht="24" customHeight="1" s="34">
      <c r="A114" t="inlineStr">
        <is>
          <t>01 토목</t>
        </is>
      </c>
      <c r="B114" t="inlineStr">
        <is>
          <t>2. 우 수 공</t>
        </is>
      </c>
      <c r="C114" t="n">
        <v>47</v>
      </c>
      <c r="D114" t="inlineStr">
        <is>
          <t>나). 거푸집</t>
        </is>
      </c>
      <c r="E114" t="inlineStr">
        <is>
          <t>합판6회(간단)</t>
        </is>
      </c>
      <c r="F114" t="n">
        <v>9</v>
      </c>
      <c r="G114" t="inlineStr">
        <is>
          <t>㎡</t>
        </is>
      </c>
      <c r="H114" s="64" t="n">
        <v>378</v>
      </c>
      <c r="I114" s="64">
        <f>F114*H114</f>
        <v/>
      </c>
      <c r="J114" s="64" t="n">
        <v>37806</v>
      </c>
      <c r="K114" s="64">
        <f>F114*J114</f>
        <v/>
      </c>
      <c r="L114" s="64" t="n">
        <v>0</v>
      </c>
      <c r="M114" s="64">
        <f>F114*L114</f>
        <v/>
      </c>
      <c r="N114" s="64">
        <f>H114+J114+L114</f>
        <v/>
      </c>
      <c r="O114" s="64">
        <f>I114+K114+M114</f>
        <v/>
      </c>
      <c r="Q114" t="inlineStr">
        <is>
          <t>거푸집</t>
        </is>
      </c>
    </row>
    <row r="115" ht="24" customHeight="1" s="34">
      <c r="A115" t="inlineStr">
        <is>
          <t>01 토목</t>
        </is>
      </c>
      <c r="B115" t="inlineStr">
        <is>
          <t>2. 우 수 공</t>
        </is>
      </c>
      <c r="C115" t="n">
        <v>48</v>
      </c>
      <c r="D115" t="inlineStr">
        <is>
          <t>가). 콘크리트타설</t>
        </is>
      </c>
      <c r="E115" t="inlineStr">
        <is>
          <t>장비사용, 무근구조물</t>
        </is>
      </c>
      <c r="F115" t="n">
        <v>1</v>
      </c>
      <c r="G115" t="inlineStr">
        <is>
          <t>㎥</t>
        </is>
      </c>
      <c r="H115" s="64" t="n">
        <v>5963</v>
      </c>
      <c r="I115" s="64">
        <f>F115*H115</f>
        <v/>
      </c>
      <c r="J115" s="64" t="n">
        <v>50648</v>
      </c>
      <c r="K115" s="64">
        <f>F115*J115</f>
        <v/>
      </c>
      <c r="L115" s="64" t="n">
        <v>6730</v>
      </c>
      <c r="M115" s="64">
        <f>F115*L115</f>
        <v/>
      </c>
      <c r="N115" s="64">
        <f>H115+J115+L115</f>
        <v/>
      </c>
      <c r="O115" s="64">
        <f>I115+K115+M115</f>
        <v/>
      </c>
      <c r="Q115" t="inlineStr">
        <is>
          <t>콘크리트타설</t>
        </is>
      </c>
    </row>
    <row r="116" ht="24" customHeight="1" s="34">
      <c r="A116" t="inlineStr">
        <is>
          <t>01 토목</t>
        </is>
      </c>
      <c r="B116" t="inlineStr">
        <is>
          <t>2. 우 수 공</t>
        </is>
      </c>
      <c r="C116" t="n">
        <v>49</v>
      </c>
      <c r="D116" t="inlineStr">
        <is>
          <t>나). 거푸집</t>
        </is>
      </c>
      <c r="E116" t="inlineStr">
        <is>
          <t>합판6회(간단)</t>
        </is>
      </c>
      <c r="F116" t="n">
        <v>4</v>
      </c>
      <c r="G116" t="inlineStr">
        <is>
          <t>㎡</t>
        </is>
      </c>
      <c r="H116" s="64" t="n">
        <v>378</v>
      </c>
      <c r="I116" s="64">
        <f>F116*H116</f>
        <v/>
      </c>
      <c r="J116" s="64" t="n">
        <v>37806</v>
      </c>
      <c r="K116" s="64">
        <f>F116*J116</f>
        <v/>
      </c>
      <c r="L116" s="64" t="n">
        <v>0</v>
      </c>
      <c r="M116" s="64">
        <f>F116*L116</f>
        <v/>
      </c>
      <c r="N116" s="64">
        <f>H116+J116+L116</f>
        <v/>
      </c>
      <c r="O116" s="64">
        <f>I116+K116+M116</f>
        <v/>
      </c>
      <c r="Q116" t="inlineStr">
        <is>
          <t>거푸집</t>
        </is>
      </c>
    </row>
    <row r="117" ht="24" customHeight="1" s="34">
      <c r="A117" t="inlineStr">
        <is>
          <t>01 토목</t>
        </is>
      </c>
      <c r="B117" t="inlineStr">
        <is>
          <t>2. 우 수 공</t>
        </is>
      </c>
      <c r="C117" t="n">
        <v>50</v>
      </c>
      <c r="D117" t="inlineStr">
        <is>
          <t>1). 집수정</t>
        </is>
      </c>
      <c r="E117" t="inlineStr">
        <is>
          <t>0.9x0.9, H=2.38m, 스틸그레이팅</t>
        </is>
      </c>
      <c r="F117" t="n">
        <v>16</v>
      </c>
      <c r="G117" t="inlineStr">
        <is>
          <t>개소</t>
        </is>
      </c>
      <c r="H117" s="64" t="n">
        <v>13953</v>
      </c>
      <c r="I117" s="64">
        <f>F117*H117</f>
        <v/>
      </c>
      <c r="J117" s="64" t="n">
        <v>609212</v>
      </c>
      <c r="K117" s="64">
        <f>F117*J117</f>
        <v/>
      </c>
      <c r="L117" s="64" t="n">
        <v>9169</v>
      </c>
      <c r="M117" s="64">
        <f>F117*L117</f>
        <v/>
      </c>
      <c r="N117" s="64">
        <f>H117+J117+L117</f>
        <v/>
      </c>
      <c r="O117" s="64">
        <f>I117+K117+M117</f>
        <v/>
      </c>
      <c r="Q117" t="inlineStr">
        <is>
          <t>집수정</t>
        </is>
      </c>
    </row>
    <row r="118" ht="24" customHeight="1" s="34">
      <c r="A118" t="inlineStr">
        <is>
          <t>01 토목</t>
        </is>
      </c>
      <c r="B118" t="inlineStr">
        <is>
          <t>2. 우 수 공</t>
        </is>
      </c>
      <c r="C118" t="n">
        <v>51</v>
      </c>
      <c r="D118" t="inlineStr">
        <is>
          <t>1). U형측구</t>
        </is>
      </c>
      <c r="E118" t="inlineStr">
        <is>
          <t>300×300, 스틸그레이팅</t>
        </is>
      </c>
      <c r="F118" t="n">
        <v>116</v>
      </c>
      <c r="G118" t="inlineStr">
        <is>
          <t>m</t>
        </is>
      </c>
      <c r="H118" s="64" t="n">
        <v>7407</v>
      </c>
      <c r="I118" s="64">
        <f>F118*H118</f>
        <v/>
      </c>
      <c r="J118" s="64" t="n">
        <v>34565</v>
      </c>
      <c r="K118" s="64">
        <f>F118*J118</f>
        <v/>
      </c>
      <c r="L118" s="64" t="n">
        <v>702</v>
      </c>
      <c r="M118" s="64">
        <f>F118*L118</f>
        <v/>
      </c>
      <c r="N118" s="64">
        <f>H118+J118+L118</f>
        <v/>
      </c>
      <c r="O118" s="64">
        <f>I118+K118+M118</f>
        <v/>
      </c>
      <c r="Q118" t="inlineStr">
        <is>
          <t>U형측구</t>
        </is>
      </c>
    </row>
    <row r="119" ht="24" customHeight="1" s="34">
      <c r="A119" t="inlineStr">
        <is>
          <t>01 토목</t>
        </is>
      </c>
      <c r="B119" t="inlineStr">
        <is>
          <t>2. 우 수 공</t>
        </is>
      </c>
      <c r="C119" t="n">
        <v>52</v>
      </c>
      <c r="D119" t="inlineStr">
        <is>
          <t>2). 생태측구(U형측구)</t>
        </is>
      </c>
      <c r="E119" t="inlineStr">
        <is>
          <t>300×300</t>
        </is>
      </c>
      <c r="F119" t="n">
        <v>5</v>
      </c>
      <c r="G119" t="inlineStr">
        <is>
          <t>개소</t>
        </is>
      </c>
      <c r="H119" s="64" t="n">
        <v>110000</v>
      </c>
      <c r="I119" s="64">
        <f>F119*H119</f>
        <v/>
      </c>
      <c r="J119" s="64" t="n">
        <v>25000</v>
      </c>
      <c r="K119" s="64">
        <f>F119*J119</f>
        <v/>
      </c>
      <c r="L119" s="64" t="n">
        <v>45000</v>
      </c>
      <c r="M119" s="64">
        <f>F119*L119</f>
        <v/>
      </c>
      <c r="N119" s="64">
        <f>H119+J119+L119</f>
        <v/>
      </c>
      <c r="O119" s="64">
        <f>I119+K119+M119</f>
        <v/>
      </c>
      <c r="P119" t="inlineStr">
        <is>
          <t>가영현</t>
        </is>
      </c>
      <c r="Q119" t="inlineStr">
        <is>
          <t>U형측구</t>
        </is>
      </c>
    </row>
    <row r="120" ht="24" customHeight="1" s="34">
      <c r="A120" t="inlineStr">
        <is>
          <t>01 토목</t>
        </is>
      </c>
      <c r="B120" t="inlineStr">
        <is>
          <t>2. 우 수 공</t>
        </is>
      </c>
      <c r="C120" t="n">
        <v>53</v>
      </c>
      <c r="D120" t="inlineStr">
        <is>
          <t>1). 산마루측구</t>
        </is>
      </c>
      <c r="E120" t="inlineStr">
        <is>
          <t>500×500, H=450</t>
        </is>
      </c>
      <c r="F120" t="n">
        <v>202</v>
      </c>
      <c r="G120" t="inlineStr">
        <is>
          <t>m</t>
        </is>
      </c>
      <c r="H120" s="64" t="n">
        <v>3545</v>
      </c>
      <c r="I120" s="64">
        <f>F120*H120</f>
        <v/>
      </c>
      <c r="J120" s="64" t="n">
        <v>102513</v>
      </c>
      <c r="K120" s="64">
        <f>F120*J120</f>
        <v/>
      </c>
      <c r="L120" s="64" t="n">
        <v>4644</v>
      </c>
      <c r="M120" s="64">
        <f>F120*L120</f>
        <v/>
      </c>
      <c r="N120" s="64">
        <f>H120+J120+L120</f>
        <v/>
      </c>
      <c r="O120" s="64">
        <f>I120+K120+M120</f>
        <v/>
      </c>
      <c r="Q120" t="inlineStr">
        <is>
          <t>산마루측구</t>
        </is>
      </c>
    </row>
    <row r="121" ht="24" customHeight="1" s="34">
      <c r="A121" t="inlineStr">
        <is>
          <t>01 토목</t>
        </is>
      </c>
      <c r="B121" t="inlineStr">
        <is>
          <t>2. 우 수 공</t>
        </is>
      </c>
      <c r="C121" t="n">
        <v>54</v>
      </c>
      <c r="D121" t="inlineStr">
        <is>
          <t>2). 생태측구(산마루측구)</t>
        </is>
      </c>
      <c r="E121" t="inlineStr">
        <is>
          <t>500×500</t>
        </is>
      </c>
      <c r="F121" t="n">
        <v>11</v>
      </c>
      <c r="G121" t="inlineStr">
        <is>
          <t>개소</t>
        </is>
      </c>
      <c r="H121" s="64" t="n">
        <v>150000</v>
      </c>
      <c r="I121" s="64">
        <f>F121*H121</f>
        <v/>
      </c>
      <c r="J121" s="64" t="n">
        <v>45000</v>
      </c>
      <c r="K121" s="64">
        <f>F121*J121</f>
        <v/>
      </c>
      <c r="L121" s="64" t="n">
        <v>55000</v>
      </c>
      <c r="M121" s="64">
        <f>F121*L121</f>
        <v/>
      </c>
      <c r="N121" s="64">
        <f>H121+J121+L121</f>
        <v/>
      </c>
      <c r="O121" s="64">
        <f>I121+K121+M121</f>
        <v/>
      </c>
      <c r="P121" t="inlineStr">
        <is>
          <t>가영현</t>
        </is>
      </c>
      <c r="Q121" t="inlineStr">
        <is>
          <t>500×500, 산마루측구, 생태측구</t>
        </is>
      </c>
    </row>
    <row r="122" ht="24" customHeight="1" s="34">
      <c r="A122" t="inlineStr">
        <is>
          <t>01 토목</t>
        </is>
      </c>
      <c r="B122" t="inlineStr">
        <is>
          <t>2. 우 수 공</t>
        </is>
      </c>
      <c r="C122" t="n">
        <v>55</v>
      </c>
      <c r="D122" t="inlineStr">
        <is>
          <t>가). 레디믹스콘크리트타설</t>
        </is>
      </c>
      <c r="E122" t="inlineStr">
        <is>
          <t>장비사용, 철근구조물</t>
        </is>
      </c>
      <c r="F122" t="n">
        <v>0.11</v>
      </c>
      <c r="G122" t="inlineStr">
        <is>
          <t>㎥</t>
        </is>
      </c>
      <c r="H122" s="64" t="n">
        <v>3186</v>
      </c>
      <c r="I122" s="64">
        <f>F122*H122</f>
        <v/>
      </c>
      <c r="J122" s="64" t="n">
        <v>26699</v>
      </c>
      <c r="K122" s="64">
        <f>F122*J122</f>
        <v/>
      </c>
      <c r="L122" s="64" t="n">
        <v>3560</v>
      </c>
      <c r="M122" s="64">
        <f>F122*L122</f>
        <v/>
      </c>
      <c r="N122" s="64">
        <f>H122+J122+L122</f>
        <v/>
      </c>
      <c r="O122" s="64">
        <f>I122+K122+M122</f>
        <v/>
      </c>
      <c r="Q122" t="inlineStr">
        <is>
          <t>장비사용</t>
        </is>
      </c>
    </row>
    <row r="123" ht="24" customHeight="1" s="34">
      <c r="A123" t="inlineStr">
        <is>
          <t>01 토목</t>
        </is>
      </c>
      <c r="B123" t="inlineStr">
        <is>
          <t>2. 우 수 공</t>
        </is>
      </c>
      <c r="C123" t="n">
        <v>56</v>
      </c>
      <c r="D123" t="inlineStr">
        <is>
          <t>나). 레디믹스콘크리트타설</t>
        </is>
      </c>
      <c r="E123" t="inlineStr">
        <is>
          <t>장비사용, 무근구조물</t>
        </is>
      </c>
      <c r="F123" t="n">
        <v>5</v>
      </c>
      <c r="G123" t="inlineStr">
        <is>
          <t>㎥</t>
        </is>
      </c>
      <c r="H123" s="64" t="n">
        <v>0</v>
      </c>
      <c r="I123" s="64">
        <f>F123*H123</f>
        <v/>
      </c>
      <c r="J123" s="64" t="n">
        <v>0</v>
      </c>
      <c r="K123" s="64">
        <f>F123*J123</f>
        <v/>
      </c>
      <c r="L123" s="64" t="n">
        <v>0</v>
      </c>
      <c r="M123" s="64">
        <f>F123*L123</f>
        <v/>
      </c>
      <c r="N123" s="64">
        <f>H123+J123+L123</f>
        <v/>
      </c>
      <c r="O123" s="64">
        <f>I123+K123+M123</f>
        <v/>
      </c>
      <c r="Q123" t="inlineStr">
        <is>
          <t>장비사용</t>
        </is>
      </c>
    </row>
    <row r="124" ht="24" customHeight="1" s="34">
      <c r="A124" t="inlineStr">
        <is>
          <t>01 토목</t>
        </is>
      </c>
      <c r="B124" t="inlineStr">
        <is>
          <t>2. 우 수 공</t>
        </is>
      </c>
      <c r="C124" t="n">
        <v>57</v>
      </c>
      <c r="D124" t="inlineStr">
        <is>
          <t>다). 거푸집</t>
        </is>
      </c>
      <c r="E124" t="inlineStr">
        <is>
          <t>합판6회(간단)</t>
        </is>
      </c>
      <c r="F124" t="n">
        <v>3</v>
      </c>
      <c r="G124" t="inlineStr">
        <is>
          <t>㎡</t>
        </is>
      </c>
      <c r="H124" s="64" t="n">
        <v>378</v>
      </c>
      <c r="I124" s="64">
        <f>F124*H124</f>
        <v/>
      </c>
      <c r="J124" s="64" t="n">
        <v>37806</v>
      </c>
      <c r="K124" s="64">
        <f>F124*J124</f>
        <v/>
      </c>
      <c r="L124" s="64" t="n">
        <v>0</v>
      </c>
      <c r="M124" s="64">
        <f>F124*L124</f>
        <v/>
      </c>
      <c r="N124" s="64">
        <f>H124+J124+L124</f>
        <v/>
      </c>
      <c r="O124" s="64">
        <f>I124+K124+M124</f>
        <v/>
      </c>
      <c r="Q124" t="inlineStr">
        <is>
          <t>거푸집</t>
        </is>
      </c>
    </row>
    <row r="125" ht="24" customHeight="1" s="34">
      <c r="A125" t="inlineStr">
        <is>
          <t>01 토목</t>
        </is>
      </c>
      <c r="B125" t="inlineStr">
        <is>
          <t>2. 우 수 공</t>
        </is>
      </c>
      <c r="C125" t="n">
        <v>58</v>
      </c>
      <c r="D125" t="inlineStr">
        <is>
          <t>라). 모래부설</t>
        </is>
      </c>
      <c r="E125" t="inlineStr">
        <is>
          <t>기초, 인력</t>
        </is>
      </c>
      <c r="F125" t="n">
        <v>12</v>
      </c>
      <c r="G125" t="inlineStr">
        <is>
          <t>㎥</t>
        </is>
      </c>
      <c r="H125" s="64" t="n">
        <v>511</v>
      </c>
      <c r="I125" s="64">
        <f>F125*H125</f>
        <v/>
      </c>
      <c r="J125" s="64" t="n">
        <v>10233</v>
      </c>
      <c r="K125" s="64">
        <f>F125*J125</f>
        <v/>
      </c>
      <c r="L125" s="64" t="n">
        <v>0</v>
      </c>
      <c r="M125" s="64">
        <f>F125*L125</f>
        <v/>
      </c>
      <c r="N125" s="64">
        <f>H125+J125+L125</f>
        <v/>
      </c>
      <c r="O125" s="64">
        <f>I125+K125+M125</f>
        <v/>
      </c>
      <c r="Q125" t="inlineStr">
        <is>
          <t>기초</t>
        </is>
      </c>
    </row>
    <row r="126" ht="24" customHeight="1" s="34">
      <c r="A126" t="inlineStr">
        <is>
          <t>01 토목</t>
        </is>
      </c>
      <c r="B126" t="inlineStr">
        <is>
          <t>2. 우 수 공</t>
        </is>
      </c>
      <c r="C126" t="n">
        <v>59</v>
      </c>
      <c r="D126" t="inlineStr">
        <is>
          <t>마). 잡석부설</t>
        </is>
      </c>
      <c r="E126" t="inlineStr">
        <is>
          <t>잡석지정, 재료비 제외, 150mm이하</t>
        </is>
      </c>
      <c r="F126" t="n">
        <v>16</v>
      </c>
      <c r="G126" t="inlineStr">
        <is>
          <t>㎥</t>
        </is>
      </c>
      <c r="H126" s="64" t="n">
        <v>45000</v>
      </c>
      <c r="I126" s="64">
        <f>F126*H126</f>
        <v/>
      </c>
      <c r="J126" s="64" t="n">
        <v>1500</v>
      </c>
      <c r="K126" s="64">
        <f>F126*J126</f>
        <v/>
      </c>
      <c r="L126" s="64" t="n">
        <v>3500</v>
      </c>
      <c r="M126" s="64">
        <f>F126*L126</f>
        <v/>
      </c>
      <c r="N126" s="64">
        <f>H126+J126+L126</f>
        <v/>
      </c>
      <c r="O126" s="64">
        <f>I126+K126+M126</f>
        <v/>
      </c>
      <c r="P126" t="inlineStr">
        <is>
          <t>가영현</t>
        </is>
      </c>
      <c r="Q126" t="inlineStr">
        <is>
          <t>잡석부설</t>
        </is>
      </c>
    </row>
    <row r="127" ht="24" customHeight="1" s="34">
      <c r="A127" t="inlineStr">
        <is>
          <t>01 토목</t>
        </is>
      </c>
      <c r="B127" t="inlineStr">
        <is>
          <t>2. 우 수 공</t>
        </is>
      </c>
      <c r="C127" t="n">
        <v>60</v>
      </c>
      <c r="D127" t="inlineStr">
        <is>
          <t>바). 구조물헐기(철근)</t>
        </is>
      </c>
      <c r="E127" t="inlineStr">
        <is>
          <t>대형30CM미만</t>
        </is>
      </c>
      <c r="F127" t="n">
        <v>0.31</v>
      </c>
      <c r="G127" t="inlineStr">
        <is>
          <t>㎥</t>
        </is>
      </c>
      <c r="H127" s="64" t="n">
        <v>18511</v>
      </c>
      <c r="I127" s="64">
        <f>F127*H127</f>
        <v/>
      </c>
      <c r="J127" s="64" t="n">
        <v>70869</v>
      </c>
      <c r="K127" s="64">
        <f>F127*J127</f>
        <v/>
      </c>
      <c r="L127" s="64" t="n">
        <v>33531</v>
      </c>
      <c r="M127" s="64">
        <f>F127*L127</f>
        <v/>
      </c>
      <c r="N127" s="64">
        <f>H127+J127+L127</f>
        <v/>
      </c>
      <c r="O127" s="64">
        <f>I127+K127+M127</f>
        <v/>
      </c>
      <c r="Q127" t="inlineStr">
        <is>
          <t>철근</t>
        </is>
      </c>
    </row>
    <row r="128" ht="24" customHeight="1" s="34">
      <c r="A128" t="inlineStr">
        <is>
          <t>01 토목</t>
        </is>
      </c>
      <c r="B128" t="inlineStr">
        <is>
          <t>2. 우 수 공</t>
        </is>
      </c>
      <c r="C128" t="n">
        <v>61</v>
      </c>
      <c r="D128" t="inlineStr">
        <is>
          <t>사). 몰탈</t>
        </is>
      </c>
      <c r="E128" t="inlineStr">
        <is>
          <t>1:2, 재료비제외</t>
        </is>
      </c>
      <c r="F128" t="n">
        <v>0.186</v>
      </c>
      <c r="G128" t="inlineStr">
        <is>
          <t>㎥</t>
        </is>
      </c>
      <c r="H128" s="64" t="n">
        <v>500</v>
      </c>
      <c r="I128" s="64">
        <f>F128*H128</f>
        <v/>
      </c>
      <c r="J128" s="64" t="n">
        <v>1000</v>
      </c>
      <c r="K128" s="64">
        <f>F128*J128</f>
        <v/>
      </c>
      <c r="L128" s="64" t="n"/>
      <c r="M128" s="64">
        <f>F128*L128</f>
        <v/>
      </c>
      <c r="N128" s="64">
        <f>H128+J128+L128</f>
        <v/>
      </c>
      <c r="O128" s="64">
        <f>I128+K128+M128</f>
        <v/>
      </c>
      <c r="P128" t="inlineStr">
        <is>
          <t>가영현</t>
        </is>
      </c>
      <c r="Q128" t="inlineStr">
        <is>
          <t>1:2</t>
        </is>
      </c>
    </row>
    <row r="129" ht="24" customHeight="1" s="34">
      <c r="A129" t="inlineStr">
        <is>
          <t>01 토목</t>
        </is>
      </c>
      <c r="B129" t="inlineStr">
        <is>
          <t>2. 우 수 공</t>
        </is>
      </c>
      <c r="C129" t="n">
        <v>62</v>
      </c>
      <c r="D129" t="inlineStr">
        <is>
          <t>아). 앵커볼트 설치</t>
        </is>
      </c>
      <c r="E129" t="inlineStr">
        <is>
          <t>케미컬앵커, Ø20mm, 300mm</t>
        </is>
      </c>
      <c r="F129" t="n">
        <v>5</v>
      </c>
      <c r="G129" t="inlineStr">
        <is>
          <t>개</t>
        </is>
      </c>
      <c r="H129" s="64" t="n">
        <v>13614</v>
      </c>
      <c r="I129" s="64">
        <f>F129*H129</f>
        <v/>
      </c>
      <c r="J129" s="64" t="n">
        <v>667061</v>
      </c>
      <c r="K129" s="64">
        <f>F129*J129</f>
        <v/>
      </c>
      <c r="L129" s="64" t="n">
        <v>0</v>
      </c>
      <c r="M129" s="64">
        <f>F129*L129</f>
        <v/>
      </c>
      <c r="N129" s="64">
        <f>H129+J129+L129</f>
        <v/>
      </c>
      <c r="O129" s="64">
        <f>I129+K129+M129</f>
        <v/>
      </c>
      <c r="Q129" t="inlineStr">
        <is>
          <t>Ø20mm</t>
        </is>
      </c>
    </row>
    <row r="130" ht="24" customHeight="1" s="34">
      <c r="A130" t="inlineStr">
        <is>
          <t>01 토목</t>
        </is>
      </c>
      <c r="B130" t="inlineStr">
        <is>
          <t>2. 우 수 공</t>
        </is>
      </c>
      <c r="C130" t="n">
        <v>63</v>
      </c>
      <c r="D130" t="inlineStr">
        <is>
          <t>자). 고강성 PVC 이중벽관 접합 및 부설</t>
        </is>
      </c>
      <c r="E130" t="inlineStr">
        <is>
          <t>D300mm</t>
        </is>
      </c>
      <c r="F130" t="n">
        <v>7</v>
      </c>
      <c r="G130" t="inlineStr">
        <is>
          <t>m</t>
        </is>
      </c>
      <c r="H130" s="64" t="n">
        <v>528</v>
      </c>
      <c r="I130" s="64">
        <f>F130*H130</f>
        <v/>
      </c>
      <c r="J130" s="64" t="n">
        <v>10016</v>
      </c>
      <c r="K130" s="64">
        <f>F130*J130</f>
        <v/>
      </c>
      <c r="L130" s="64" t="n">
        <v>0</v>
      </c>
      <c r="M130" s="64">
        <f>F130*L130</f>
        <v/>
      </c>
      <c r="N130" s="64">
        <f>H130+J130+L130</f>
        <v/>
      </c>
      <c r="O130" s="64">
        <f>I130+K130+M130</f>
        <v/>
      </c>
      <c r="Q130" t="inlineStr">
        <is>
          <t>D300mm</t>
        </is>
      </c>
    </row>
    <row r="131" ht="24" customHeight="1" s="34">
      <c r="A131" t="inlineStr">
        <is>
          <t>01 토목</t>
        </is>
      </c>
      <c r="B131" t="inlineStr">
        <is>
          <t>2. 우 수 공</t>
        </is>
      </c>
      <c r="C131" t="n">
        <v>64</v>
      </c>
      <c r="D131" t="inlineStr">
        <is>
          <t>차). 고강성 PVC 이중벽관 절단</t>
        </is>
      </c>
      <c r="E131" t="inlineStr">
        <is>
          <t>D300mm</t>
        </is>
      </c>
      <c r="F131" t="n">
        <v>1</v>
      </c>
      <c r="G131" t="inlineStr">
        <is>
          <t>개소</t>
        </is>
      </c>
      <c r="H131" s="64" t="n">
        <v>500</v>
      </c>
      <c r="I131" s="64">
        <f>F131*H131</f>
        <v/>
      </c>
      <c r="J131" s="64" t="n">
        <v>2500</v>
      </c>
      <c r="K131" s="64">
        <f>F131*J131</f>
        <v/>
      </c>
      <c r="L131" s="64" t="n"/>
      <c r="M131" s="64">
        <f>F131*L131</f>
        <v/>
      </c>
      <c r="N131" s="64">
        <f>H131+J131+L131</f>
        <v/>
      </c>
      <c r="O131" s="64">
        <f>I131+K131+M131</f>
        <v/>
      </c>
      <c r="P131" t="inlineStr">
        <is>
          <t>가영현</t>
        </is>
      </c>
      <c r="Q131" t="inlineStr">
        <is>
          <t>고강성 PVC 이중벽관 절단</t>
        </is>
      </c>
    </row>
    <row r="132" ht="24" customHeight="1" s="34">
      <c r="A132" t="inlineStr">
        <is>
          <t>01 토목</t>
        </is>
      </c>
      <c r="B132" t="inlineStr">
        <is>
          <t>2. 우 수 공</t>
        </is>
      </c>
      <c r="C132" t="n">
        <v>65</v>
      </c>
      <c r="D132" t="inlineStr">
        <is>
          <t>카). 스테인리스관 접합및부설</t>
        </is>
      </c>
      <c r="E132" t="inlineStr">
        <is>
          <t>D=50mm</t>
        </is>
      </c>
      <c r="F132" t="n">
        <v>12</v>
      </c>
      <c r="G132" t="inlineStr">
        <is>
          <t>m</t>
        </is>
      </c>
      <c r="H132" s="64" t="n">
        <v>2270</v>
      </c>
      <c r="I132" s="64">
        <f>F132*H132</f>
        <v/>
      </c>
      <c r="J132" s="64" t="n">
        <v>0</v>
      </c>
      <c r="K132" s="64">
        <f>F132*J132</f>
        <v/>
      </c>
      <c r="L132" s="64" t="n">
        <v>0</v>
      </c>
      <c r="M132" s="64">
        <f>F132*L132</f>
        <v/>
      </c>
      <c r="N132" s="64">
        <f>H132+J132+L132</f>
        <v/>
      </c>
      <c r="O132" s="64">
        <f>I132+K132+M132</f>
        <v/>
      </c>
      <c r="Q132" t="inlineStr">
        <is>
          <t>스테인리스관 접합</t>
        </is>
      </c>
    </row>
    <row r="133" ht="24" customHeight="1" s="34">
      <c r="A133" t="inlineStr">
        <is>
          <t>01 토목</t>
        </is>
      </c>
      <c r="B133" t="inlineStr">
        <is>
          <t>2. 우 수 공</t>
        </is>
      </c>
      <c r="C133" t="n">
        <v>66</v>
      </c>
      <c r="D133" t="inlineStr">
        <is>
          <t>타). 스테인리스관 나사 접합</t>
        </is>
      </c>
      <c r="E133" t="inlineStr">
        <is>
          <t>D=50mm</t>
        </is>
      </c>
      <c r="F133" t="n">
        <v>4</v>
      </c>
      <c r="G133" t="inlineStr">
        <is>
          <t>개소</t>
        </is>
      </c>
      <c r="H133" s="64" t="n">
        <v>750</v>
      </c>
      <c r="I133" s="64">
        <f>F133*H133</f>
        <v/>
      </c>
      <c r="J133" s="64" t="n">
        <v>4550</v>
      </c>
      <c r="K133" s="64">
        <f>F133*J133</f>
        <v/>
      </c>
      <c r="L133" s="64" t="n"/>
      <c r="M133" s="64">
        <f>F133*L133</f>
        <v/>
      </c>
      <c r="N133" s="64">
        <f>H133+J133+L133</f>
        <v/>
      </c>
      <c r="O133" s="64">
        <f>I133+K133+M133</f>
        <v/>
      </c>
      <c r="P133" t="inlineStr">
        <is>
          <t>가영현</t>
        </is>
      </c>
      <c r="Q133" t="inlineStr">
        <is>
          <t>D=50mm, 스테인리스관 나사 접합</t>
        </is>
      </c>
    </row>
    <row r="134" ht="24" customHeight="1" s="34">
      <c r="A134" t="inlineStr">
        <is>
          <t>01 토목</t>
        </is>
      </c>
      <c r="B134" t="inlineStr">
        <is>
          <t>2. 우 수 공</t>
        </is>
      </c>
      <c r="C134" t="n">
        <v>67</v>
      </c>
      <c r="D134" t="inlineStr">
        <is>
          <t>파). 스테인레스강관</t>
        </is>
      </c>
      <c r="E134" t="inlineStr">
        <is>
          <t>D50</t>
        </is>
      </c>
      <c r="F134" t="n">
        <v>7</v>
      </c>
      <c r="G134" t="inlineStr">
        <is>
          <t>m</t>
        </is>
      </c>
      <c r="H134" s="64" t="n">
        <v>1606</v>
      </c>
      <c r="I134" s="64">
        <f>F134*H134</f>
        <v/>
      </c>
      <c r="J134" s="64" t="n">
        <v>6471</v>
      </c>
      <c r="K134" s="64">
        <f>F134*J134</f>
        <v/>
      </c>
      <c r="L134" s="64" t="n">
        <v>1168</v>
      </c>
      <c r="M134" s="64">
        <f>F134*L134</f>
        <v/>
      </c>
      <c r="N134" s="64">
        <f>H134+J134+L134</f>
        <v/>
      </c>
      <c r="O134" s="64">
        <f>I134+K134+M134</f>
        <v/>
      </c>
      <c r="Q134" t="inlineStr">
        <is>
          <t>D50</t>
        </is>
      </c>
    </row>
    <row r="135" ht="24" customHeight="1" s="34">
      <c r="A135" t="inlineStr">
        <is>
          <t>01 토목</t>
        </is>
      </c>
      <c r="B135" t="inlineStr">
        <is>
          <t>2. 우 수 공</t>
        </is>
      </c>
      <c r="C135" t="n">
        <v>68</v>
      </c>
      <c r="D135" t="inlineStr">
        <is>
          <t>하). 스테인레스 90도 엘보</t>
        </is>
      </c>
      <c r="E135" t="inlineStr">
        <is>
          <t>D50</t>
        </is>
      </c>
      <c r="F135" t="n">
        <v>2</v>
      </c>
      <c r="G135" t="inlineStr">
        <is>
          <t>ea</t>
        </is>
      </c>
      <c r="H135" s="64" t="n">
        <v>25882</v>
      </c>
      <c r="I135" s="64">
        <f>F135*H135</f>
        <v/>
      </c>
      <c r="J135" s="64" t="n">
        <v>1294149</v>
      </c>
      <c r="K135" s="64">
        <f>F135*J135</f>
        <v/>
      </c>
      <c r="L135" s="64" t="n">
        <v>0</v>
      </c>
      <c r="M135" s="64">
        <f>F135*L135</f>
        <v/>
      </c>
      <c r="N135" s="64">
        <f>H135+J135+L135</f>
        <v/>
      </c>
      <c r="O135" s="64">
        <f>I135+K135+M135</f>
        <v/>
      </c>
      <c r="Q135" t="inlineStr">
        <is>
          <t>D50</t>
        </is>
      </c>
    </row>
    <row r="136" ht="24" customHeight="1" s="34">
      <c r="A136" t="inlineStr">
        <is>
          <t>01 토목</t>
        </is>
      </c>
      <c r="B136" t="inlineStr">
        <is>
          <t>2. 우 수 공</t>
        </is>
      </c>
      <c r="C136" t="n">
        <v>69</v>
      </c>
      <c r="D136" t="inlineStr">
        <is>
          <t>갸). 고강성PVC이중벽관</t>
        </is>
      </c>
      <c r="E136" t="inlineStr">
        <is>
          <t>D300mm, 직관</t>
        </is>
      </c>
      <c r="F136" t="n">
        <v>2</v>
      </c>
      <c r="G136" t="inlineStr">
        <is>
          <t>본</t>
        </is>
      </c>
      <c r="H136" s="64" t="n">
        <v>50000</v>
      </c>
      <c r="I136" s="64">
        <f>F136*H136</f>
        <v/>
      </c>
      <c r="J136" s="64" t="n"/>
      <c r="K136" s="64">
        <f>F136*J136</f>
        <v/>
      </c>
      <c r="L136" s="64" t="n"/>
      <c r="M136" s="64">
        <f>F136*L136</f>
        <v/>
      </c>
      <c r="N136" s="64">
        <f>H136+J136+L136</f>
        <v/>
      </c>
      <c r="O136" s="64">
        <f>I136+K136+M136</f>
        <v/>
      </c>
      <c r="P136" t="inlineStr">
        <is>
          <t>가영현</t>
        </is>
      </c>
      <c r="Q136" t="inlineStr">
        <is>
          <t>D300mm, 직관, 고강성PVC이중벽관, D300mm, 직관</t>
        </is>
      </c>
    </row>
    <row r="137" ht="24" customHeight="1" s="34">
      <c r="A137" t="inlineStr">
        <is>
          <t>01 토목</t>
        </is>
      </c>
      <c r="B137" t="inlineStr">
        <is>
          <t>2. 우 수 공</t>
        </is>
      </c>
      <c r="C137" t="n">
        <v>70</v>
      </c>
      <c r="D137" t="inlineStr">
        <is>
          <t>냐). 고강성PVC이중벽관 이음관</t>
        </is>
      </c>
      <c r="E137" t="inlineStr">
        <is>
          <t>D300mm, 소켓, 고무링</t>
        </is>
      </c>
      <c r="F137" t="n">
        <v>1</v>
      </c>
      <c r="G137" t="inlineStr">
        <is>
          <t>set</t>
        </is>
      </c>
      <c r="H137" s="64" t="n">
        <v>35000</v>
      </c>
      <c r="I137" s="64">
        <f>F137*H137</f>
        <v/>
      </c>
      <c r="J137" s="64" t="n"/>
      <c r="K137" s="64">
        <f>F137*J137</f>
        <v/>
      </c>
      <c r="L137" s="64" t="n"/>
      <c r="M137" s="64">
        <f>F137*L137</f>
        <v/>
      </c>
      <c r="N137" s="64">
        <f>H137+J137+L137</f>
        <v/>
      </c>
      <c r="O137" s="64">
        <f>I137+K137+M137</f>
        <v/>
      </c>
      <c r="P137" t="inlineStr">
        <is>
          <t>가영현</t>
        </is>
      </c>
      <c r="Q137" t="inlineStr">
        <is>
          <t>D300mm, 소켓, 고무링, 고강성PVC이중벽관 이음관, D300mm, 소켓, 고무링</t>
        </is>
      </c>
    </row>
    <row r="138" ht="24" customHeight="1" s="34">
      <c r="A138" t="inlineStr">
        <is>
          <t>01 토목</t>
        </is>
      </c>
      <c r="B138" t="inlineStr">
        <is>
          <t>2. 우 수 공</t>
        </is>
      </c>
      <c r="C138" t="n">
        <v>71</v>
      </c>
      <c r="D138" t="inlineStr">
        <is>
          <t>가). 보통시멘트</t>
        </is>
      </c>
      <c r="E138" t="inlineStr">
        <is>
          <t>40kg/대 (포장품)</t>
        </is>
      </c>
      <c r="F138" t="n">
        <v>48</v>
      </c>
      <c r="G138" t="inlineStr">
        <is>
          <t>대</t>
        </is>
      </c>
      <c r="H138" s="64" t="n">
        <v>5500</v>
      </c>
      <c r="I138" s="64">
        <f>F138*H138</f>
        <v/>
      </c>
      <c r="J138" s="64" t="n"/>
      <c r="K138" s="64">
        <f>F138*J138</f>
        <v/>
      </c>
      <c r="L138" s="64" t="n"/>
      <c r="M138" s="64">
        <f>F138*L138</f>
        <v/>
      </c>
      <c r="N138" s="64">
        <f>H138+J138+L138</f>
        <v/>
      </c>
      <c r="O138" s="64">
        <f>I138+K138+M138</f>
        <v/>
      </c>
      <c r="P138" t="inlineStr">
        <is>
          <t>가영현</t>
        </is>
      </c>
      <c r="Q138" t="inlineStr">
        <is>
          <t>40kg/대 (포장품), 포장품, 보통시멘트, 40kg, 대 (포장품)</t>
        </is>
      </c>
    </row>
    <row r="139" ht="24" customHeight="1" s="34">
      <c r="A139" t="inlineStr">
        <is>
          <t>01 토목</t>
        </is>
      </c>
      <c r="B139" t="inlineStr">
        <is>
          <t>2. 우 수 공</t>
        </is>
      </c>
      <c r="C139" t="n">
        <v>72</v>
      </c>
      <c r="D139" t="inlineStr">
        <is>
          <t>나). 무수축시멘트</t>
        </is>
      </c>
      <c r="E139" t="inlineStr">
        <is>
          <t>25kg/대 (포장품)</t>
        </is>
      </c>
      <c r="F139" t="n">
        <v>69</v>
      </c>
      <c r="G139" t="inlineStr">
        <is>
          <t>대</t>
        </is>
      </c>
      <c r="H139" s="64" t="n">
        <v>5500</v>
      </c>
      <c r="I139" s="64">
        <f>F139*H139</f>
        <v/>
      </c>
      <c r="J139" s="64" t="n"/>
      <c r="K139" s="64">
        <f>F139*J139</f>
        <v/>
      </c>
      <c r="L139" s="64" t="n"/>
      <c r="M139" s="64">
        <f>F139*L139</f>
        <v/>
      </c>
      <c r="N139" s="64">
        <f>H139+J139+L139</f>
        <v/>
      </c>
      <c r="O139" s="64">
        <f>I139+K139+M139</f>
        <v/>
      </c>
      <c r="P139" t="inlineStr">
        <is>
          <t>가영현</t>
        </is>
      </c>
      <c r="Q139" t="inlineStr">
        <is>
          <t>25kg/대 (포장품), 포장품, 무수축시멘트, 25kg, 대 (포장품)</t>
        </is>
      </c>
    </row>
    <row r="140" ht="24" customHeight="1" s="34">
      <c r="A140" t="inlineStr">
        <is>
          <t>01 토목</t>
        </is>
      </c>
      <c r="B140" t="inlineStr">
        <is>
          <t>2. 우 수 공</t>
        </is>
      </c>
      <c r="C140" t="n">
        <v>73</v>
      </c>
      <c r="D140" t="inlineStr">
        <is>
          <t>다). 시멘트운반</t>
        </is>
      </c>
      <c r="E140" t="inlineStr">
        <is>
          <t>L=30km이내</t>
        </is>
      </c>
      <c r="F140" t="n">
        <v>117</v>
      </c>
      <c r="G140" t="inlineStr">
        <is>
          <t>대</t>
        </is>
      </c>
      <c r="I140" s="64">
        <f>F140*H140</f>
        <v/>
      </c>
      <c r="J140" s="64" t="n"/>
      <c r="K140" s="64">
        <f>F140*J140</f>
        <v/>
      </c>
      <c r="L140" s="64" t="n">
        <v>200</v>
      </c>
      <c r="M140" s="64">
        <f>F140*L140</f>
        <v/>
      </c>
      <c r="N140" s="64">
        <f>H140+J140+L140</f>
        <v/>
      </c>
      <c r="O140" s="64">
        <f>I140+K140+M140</f>
        <v/>
      </c>
      <c r="P140" t="inlineStr">
        <is>
          <t>가영현</t>
        </is>
      </c>
      <c r="Q140" t="inlineStr">
        <is>
          <t>L=30km이내, 시멘트운반</t>
        </is>
      </c>
    </row>
    <row r="141" ht="24" customHeight="1" s="34">
      <c r="A141" t="inlineStr">
        <is>
          <t>01 토목</t>
        </is>
      </c>
      <c r="B141" t="inlineStr">
        <is>
          <t>2. 우 수 공</t>
        </is>
      </c>
      <c r="C141" t="n">
        <v>74</v>
      </c>
      <c r="D141" t="inlineStr">
        <is>
          <t>가). 모래</t>
        </is>
      </c>
      <c r="E141" t="inlineStr">
        <is>
          <t>강모래, 현장도착도</t>
        </is>
      </c>
      <c r="F141" t="n">
        <v>20</v>
      </c>
      <c r="G141" t="inlineStr">
        <is>
          <t>㎥</t>
        </is>
      </c>
      <c r="H141" s="64" t="n">
        <v>45000</v>
      </c>
      <c r="I141" s="64">
        <f>F141*H141</f>
        <v/>
      </c>
      <c r="J141" s="64" t="n">
        <v>0</v>
      </c>
      <c r="K141" s="64">
        <f>F141*J141</f>
        <v/>
      </c>
      <c r="L141" s="64" t="n"/>
      <c r="M141" s="64">
        <f>F141*L141</f>
        <v/>
      </c>
      <c r="N141" s="64">
        <f>H141+J141+L141</f>
        <v/>
      </c>
      <c r="O141" s="64">
        <f>I141+K141+M141</f>
        <v/>
      </c>
      <c r="P141" t="inlineStr">
        <is>
          <t>가영현</t>
        </is>
      </c>
      <c r="Q141" t="inlineStr">
        <is>
          <t>모래</t>
        </is>
      </c>
    </row>
    <row r="142" ht="24" customHeight="1" s="34">
      <c r="A142" t="inlineStr">
        <is>
          <t>01 토목</t>
        </is>
      </c>
      <c r="B142" t="inlineStr">
        <is>
          <t>2. 우 수 공</t>
        </is>
      </c>
      <c r="C142" t="n">
        <v>75</v>
      </c>
      <c r="D142" t="inlineStr">
        <is>
          <t>나). 쇄석자갈</t>
        </is>
      </c>
      <c r="E142" t="inlineStr">
        <is>
          <t>Φ25mm, 현장도착도</t>
        </is>
      </c>
      <c r="F142" t="n">
        <v>2</v>
      </c>
      <c r="G142" t="inlineStr">
        <is>
          <t>㎥</t>
        </is>
      </c>
      <c r="H142" s="64" t="n">
        <v>40000</v>
      </c>
      <c r="I142" s="64">
        <f>F142*H142</f>
        <v/>
      </c>
      <c r="J142" s="64" t="n">
        <v>0</v>
      </c>
      <c r="K142" s="64">
        <f>F142*J142</f>
        <v/>
      </c>
      <c r="L142" s="64" t="n">
        <v>0</v>
      </c>
      <c r="M142" s="64">
        <f>F142*L142</f>
        <v/>
      </c>
      <c r="N142" s="64">
        <f>H142+J142+L142</f>
        <v/>
      </c>
      <c r="O142" s="64">
        <f>I142+K142+M142</f>
        <v/>
      </c>
      <c r="P142" t="inlineStr">
        <is>
          <t>가영현</t>
        </is>
      </c>
      <c r="Q142" t="inlineStr">
        <is>
          <t>Φ25mm</t>
        </is>
      </c>
    </row>
    <row r="143" ht="24" customHeight="1" s="34">
      <c r="A143" t="inlineStr">
        <is>
          <t>01 토목</t>
        </is>
      </c>
      <c r="B143" t="inlineStr">
        <is>
          <t>2. 우 수 공</t>
        </is>
      </c>
      <c r="C143" t="n">
        <v>76</v>
      </c>
      <c r="D143" t="inlineStr">
        <is>
          <t>다). 잡석</t>
        </is>
      </c>
      <c r="E143" t="inlineStr">
        <is>
          <t>Φ150mm이하, 현장도착도</t>
        </is>
      </c>
      <c r="F143" t="n">
        <v>20</v>
      </c>
      <c r="G143" t="inlineStr">
        <is>
          <t>㎥</t>
        </is>
      </c>
      <c r="H143" s="64" t="n">
        <v>40000</v>
      </c>
      <c r="I143" s="64">
        <f>F143*H143</f>
        <v/>
      </c>
      <c r="J143" s="64" t="n"/>
      <c r="K143" s="64">
        <f>F143*J143</f>
        <v/>
      </c>
      <c r="L143" s="64" t="n"/>
      <c r="M143" s="64">
        <f>F143*L143</f>
        <v/>
      </c>
      <c r="N143" s="64">
        <f>H143+J143+L143</f>
        <v/>
      </c>
      <c r="O143" s="64">
        <f>I143+K143+M143</f>
        <v/>
      </c>
      <c r="P143" t="inlineStr">
        <is>
          <t>가영현</t>
        </is>
      </c>
      <c r="Q143" t="inlineStr">
        <is>
          <t>잡석</t>
        </is>
      </c>
    </row>
    <row r="144" ht="24" customHeight="1" s="34">
      <c r="A144" t="inlineStr">
        <is>
          <t>01 토목</t>
        </is>
      </c>
      <c r="B144" t="inlineStr">
        <is>
          <t>2. 우 수 공</t>
        </is>
      </c>
      <c r="C144" t="n">
        <v>77</v>
      </c>
      <c r="D144" t="inlineStr">
        <is>
          <t>가). 이형철근</t>
        </is>
      </c>
      <c r="E144" t="inlineStr">
        <is>
          <t>D13M/M 0.995KG/M SD30A</t>
        </is>
      </c>
      <c r="F144" t="n">
        <v>1.56</v>
      </c>
      <c r="G144" t="inlineStr">
        <is>
          <t>Ton</t>
        </is>
      </c>
      <c r="H144" s="64" t="n">
        <v>952000</v>
      </c>
      <c r="I144" s="64">
        <f>F144*H144</f>
        <v/>
      </c>
      <c r="J144" s="64" t="n">
        <v>0</v>
      </c>
      <c r="K144" s="64">
        <f>F144*J144</f>
        <v/>
      </c>
      <c r="L144" s="64" t="n">
        <v>0</v>
      </c>
      <c r="M144" s="64">
        <f>F144*L144</f>
        <v/>
      </c>
      <c r="N144" s="64">
        <f>H144+J144+L144</f>
        <v/>
      </c>
      <c r="O144" s="64">
        <f>I144+K144+M144</f>
        <v/>
      </c>
      <c r="Q144" t="inlineStr">
        <is>
          <t>이형철근</t>
        </is>
      </c>
    </row>
    <row r="145" ht="24" customHeight="1" s="34">
      <c r="A145" t="inlineStr">
        <is>
          <t>01 토목</t>
        </is>
      </c>
      <c r="B145" t="inlineStr">
        <is>
          <t>2. 우 수 공</t>
        </is>
      </c>
      <c r="C145" t="n">
        <v>78</v>
      </c>
      <c r="D145" t="inlineStr">
        <is>
          <t>나). 이형철근(고장력철근)</t>
        </is>
      </c>
      <c r="E145" t="inlineStr">
        <is>
          <t>HD13M/M 0.995KG/M SD35,40</t>
        </is>
      </c>
      <c r="F145" t="n">
        <v>8.923999999999999</v>
      </c>
      <c r="G145" t="inlineStr">
        <is>
          <t>Ton</t>
        </is>
      </c>
      <c r="H145" s="64" t="n">
        <v>952000</v>
      </c>
      <c r="I145" s="64">
        <f>F145*H145</f>
        <v/>
      </c>
      <c r="J145" s="64" t="n">
        <v>0</v>
      </c>
      <c r="K145" s="64">
        <f>F145*J145</f>
        <v/>
      </c>
      <c r="L145" s="64" t="n">
        <v>0</v>
      </c>
      <c r="M145" s="64">
        <f>F145*L145</f>
        <v/>
      </c>
      <c r="N145" s="64">
        <f>H145+J145+L145</f>
        <v/>
      </c>
      <c r="O145" s="64">
        <f>I145+K145+M145</f>
        <v/>
      </c>
      <c r="Q145" t="inlineStr">
        <is>
          <t>이형철근</t>
        </is>
      </c>
    </row>
    <row r="146" ht="24" customHeight="1" s="34">
      <c r="A146" t="inlineStr">
        <is>
          <t>01 토목</t>
        </is>
      </c>
      <c r="B146" t="inlineStr">
        <is>
          <t>2. 우 수 공</t>
        </is>
      </c>
      <c r="C146" t="n">
        <v>79</v>
      </c>
      <c r="D146" t="inlineStr">
        <is>
          <t>다). 이형철근(고장력철근)</t>
        </is>
      </c>
      <c r="E146" t="inlineStr">
        <is>
          <t>HD16M/M 1.560KG/M SD35,40</t>
        </is>
      </c>
      <c r="F146" t="n">
        <v>3.143</v>
      </c>
      <c r="G146" t="inlineStr">
        <is>
          <t>Ton</t>
        </is>
      </c>
      <c r="H146" s="64" t="n">
        <v>952000</v>
      </c>
      <c r="I146" s="64">
        <f>F146*H146</f>
        <v/>
      </c>
      <c r="J146" s="64" t="n">
        <v>0</v>
      </c>
      <c r="K146" s="64">
        <f>F146*J146</f>
        <v/>
      </c>
      <c r="L146" s="64" t="n">
        <v>0</v>
      </c>
      <c r="M146" s="64">
        <f>F146*L146</f>
        <v/>
      </c>
      <c r="N146" s="64">
        <f>H146+J146+L146</f>
        <v/>
      </c>
      <c r="O146" s="64">
        <f>I146+K146+M146</f>
        <v/>
      </c>
      <c r="Q146" t="inlineStr">
        <is>
          <t>이형철근</t>
        </is>
      </c>
    </row>
    <row r="147" ht="24" customHeight="1" s="34">
      <c r="A147" t="inlineStr">
        <is>
          <t>01 토목</t>
        </is>
      </c>
      <c r="B147" t="inlineStr">
        <is>
          <t>2. 우 수 공</t>
        </is>
      </c>
      <c r="C147" t="n">
        <v>80</v>
      </c>
      <c r="D147" t="inlineStr">
        <is>
          <t>라). 이형철근(고장력철근)</t>
        </is>
      </c>
      <c r="E147" t="inlineStr">
        <is>
          <t>HD19M/M 2.250KG/M SD35,40</t>
        </is>
      </c>
      <c r="F147" t="n">
        <v>0.288</v>
      </c>
      <c r="G147" t="inlineStr">
        <is>
          <t>Ton</t>
        </is>
      </c>
      <c r="H147" s="64" t="n">
        <v>952000</v>
      </c>
      <c r="I147" s="64">
        <f>F147*H147</f>
        <v/>
      </c>
      <c r="J147" s="64" t="n">
        <v>0</v>
      </c>
      <c r="K147" s="64">
        <f>F147*J147</f>
        <v/>
      </c>
      <c r="L147" s="64" t="n">
        <v>0</v>
      </c>
      <c r="M147" s="64">
        <f>F147*L147</f>
        <v/>
      </c>
      <c r="N147" s="64">
        <f>H147+J147+L147</f>
        <v/>
      </c>
      <c r="O147" s="64">
        <f>I147+K147+M147</f>
        <v/>
      </c>
      <c r="Q147" t="inlineStr">
        <is>
          <t>이형철근</t>
        </is>
      </c>
    </row>
    <row r="148" ht="24" customHeight="1" s="34">
      <c r="A148" t="inlineStr">
        <is>
          <t>01 토목</t>
        </is>
      </c>
      <c r="B148" t="inlineStr">
        <is>
          <t>2. 우 수 공</t>
        </is>
      </c>
      <c r="C148" t="n">
        <v>81</v>
      </c>
      <c r="D148" t="inlineStr">
        <is>
          <t>마). 철근운반비</t>
        </is>
      </c>
      <c r="E148" t="inlineStr">
        <is>
          <t>L=10km이내</t>
        </is>
      </c>
      <c r="F148" t="n">
        <v>13.916</v>
      </c>
      <c r="G148" t="inlineStr">
        <is>
          <t>Ton</t>
        </is>
      </c>
      <c r="I148" s="64">
        <f>F148*H148</f>
        <v/>
      </c>
      <c r="J148" s="64" t="n"/>
      <c r="K148" s="64">
        <f>F148*J148</f>
        <v/>
      </c>
      <c r="L148" s="64" t="n">
        <v>30000</v>
      </c>
      <c r="M148" s="64">
        <f>F148*L148</f>
        <v/>
      </c>
      <c r="N148" s="64">
        <f>H148+J148+L148</f>
        <v/>
      </c>
      <c r="O148" s="64">
        <f>I148+K148+M148</f>
        <v/>
      </c>
      <c r="P148" t="inlineStr">
        <is>
          <t>가영현</t>
        </is>
      </c>
      <c r="Q148" t="inlineStr">
        <is>
          <t>L=10km이내, 철근운반비</t>
        </is>
      </c>
    </row>
    <row r="149" ht="24" customHeight="1" s="34">
      <c r="A149" t="inlineStr">
        <is>
          <t>01 토목</t>
        </is>
      </c>
      <c r="B149" t="inlineStr">
        <is>
          <t>2. 우 수 공</t>
        </is>
      </c>
      <c r="C149" t="n">
        <v>82</v>
      </c>
      <c r="D149" t="inlineStr">
        <is>
          <t>바). 고철(고재)</t>
        </is>
      </c>
      <c r="E149" t="inlineStr">
        <is>
          <t>중량A</t>
        </is>
      </c>
      <c r="F149" t="n">
        <v>0.284</v>
      </c>
      <c r="G149" t="inlineStr">
        <is>
          <t>Ton</t>
        </is>
      </c>
      <c r="H149" s="64" t="n">
        <v>-10000</v>
      </c>
      <c r="I149" s="64">
        <f>F149*H149</f>
        <v/>
      </c>
      <c r="J149" s="64" t="n"/>
      <c r="K149" s="64">
        <f>F149*J149</f>
        <v/>
      </c>
      <c r="L149" s="64" t="n"/>
      <c r="M149" s="64">
        <f>F149*L149</f>
        <v/>
      </c>
      <c r="N149" s="64">
        <f>H149+J149+L149</f>
        <v/>
      </c>
      <c r="O149" s="64">
        <f>I149+K149+M149</f>
        <v/>
      </c>
      <c r="P149" t="inlineStr">
        <is>
          <t>가영현</t>
        </is>
      </c>
      <c r="Q149" t="inlineStr">
        <is>
          <t>중량A, 고재, 고철</t>
        </is>
      </c>
    </row>
    <row r="150" ht="24" customHeight="1" s="34">
      <c r="A150" t="inlineStr">
        <is>
          <t>01 토목</t>
        </is>
      </c>
      <c r="B150" t="inlineStr">
        <is>
          <t>2. 우 수 공</t>
        </is>
      </c>
      <c r="C150" t="n">
        <v>83</v>
      </c>
      <c r="D150" t="inlineStr">
        <is>
          <t>가). 레미콘</t>
        </is>
      </c>
      <c r="E150" t="inlineStr">
        <is>
          <t>25-21- 8(Mpa)</t>
        </is>
      </c>
      <c r="F150" t="n">
        <v>362</v>
      </c>
      <c r="G150" t="inlineStr">
        <is>
          <t>㎥</t>
        </is>
      </c>
      <c r="H150" s="64" t="n">
        <v>108000</v>
      </c>
      <c r="I150" s="64">
        <f>F150*H150</f>
        <v/>
      </c>
      <c r="J150" s="64" t="n">
        <v>0</v>
      </c>
      <c r="K150" s="64">
        <f>F150*J150</f>
        <v/>
      </c>
      <c r="L150" s="64" t="n"/>
      <c r="M150" s="64">
        <f>F150*L150</f>
        <v/>
      </c>
      <c r="N150" s="64">
        <f>H150+J150+L150</f>
        <v/>
      </c>
      <c r="O150" s="64">
        <f>I150+K150+M150</f>
        <v/>
      </c>
      <c r="P150" t="inlineStr">
        <is>
          <t>가영현</t>
        </is>
      </c>
      <c r="Q150" t="inlineStr">
        <is>
          <t>레미콘</t>
        </is>
      </c>
    </row>
    <row r="151" ht="24" customHeight="1" s="34">
      <c r="A151" t="inlineStr">
        <is>
          <t>01 토목</t>
        </is>
      </c>
      <c r="B151" t="inlineStr">
        <is>
          <t>2. 우 수 공</t>
        </is>
      </c>
      <c r="C151" t="n">
        <v>84</v>
      </c>
      <c r="D151" t="inlineStr">
        <is>
          <t>나). 레미콘</t>
        </is>
      </c>
      <c r="E151" t="inlineStr">
        <is>
          <t>25-18-8(Mpa)</t>
        </is>
      </c>
      <c r="F151" t="n">
        <v>306</v>
      </c>
      <c r="G151" t="inlineStr">
        <is>
          <t>㎥</t>
        </is>
      </c>
      <c r="H151" s="64" t="n">
        <v>99000</v>
      </c>
      <c r="I151" s="64">
        <f>F151*H151</f>
        <v/>
      </c>
      <c r="J151" s="64" t="n">
        <v>0</v>
      </c>
      <c r="K151" s="64">
        <f>F151*J151</f>
        <v/>
      </c>
      <c r="L151" s="64" t="n"/>
      <c r="M151" s="64">
        <f>F151*L151</f>
        <v/>
      </c>
      <c r="N151" s="64">
        <f>H151+J151+L151</f>
        <v/>
      </c>
      <c r="O151" s="64">
        <f>I151+K151+M151</f>
        <v/>
      </c>
      <c r="P151" t="inlineStr">
        <is>
          <t>가영현</t>
        </is>
      </c>
      <c r="Q151" t="inlineStr">
        <is>
          <t>레미콘</t>
        </is>
      </c>
    </row>
    <row r="152" ht="24" customHeight="1" s="34">
      <c r="A152" t="inlineStr">
        <is>
          <t>01 토목</t>
        </is>
      </c>
      <c r="B152" t="inlineStr">
        <is>
          <t>2. 우 수 공</t>
        </is>
      </c>
      <c r="C152" t="n">
        <v>85</v>
      </c>
      <c r="D152" t="inlineStr">
        <is>
          <t>가). 원심력철근콘크리트관(보통2종)</t>
        </is>
      </c>
      <c r="E152" t="inlineStr">
        <is>
          <t>250㎜ (소켓식,B형)</t>
        </is>
      </c>
      <c r="F152" t="n">
        <v>284</v>
      </c>
      <c r="G152" t="inlineStr">
        <is>
          <t>ｍ</t>
        </is>
      </c>
      <c r="H152" s="64" t="n">
        <v>2339</v>
      </c>
      <c r="I152" s="64">
        <f>F152*H152</f>
        <v/>
      </c>
      <c r="J152" s="64" t="n">
        <v>19375</v>
      </c>
      <c r="K152" s="64">
        <f>F152*J152</f>
        <v/>
      </c>
      <c r="L152" s="64" t="n">
        <v>2505</v>
      </c>
      <c r="M152" s="64">
        <f>F152*L152</f>
        <v/>
      </c>
      <c r="N152" s="64">
        <f>H152+J152+L152</f>
        <v/>
      </c>
      <c r="O152" s="64">
        <f>I152+K152+M152</f>
        <v/>
      </c>
      <c r="Q152" t="inlineStr">
        <is>
          <t>원심력철근콘크리트관</t>
        </is>
      </c>
    </row>
    <row r="153" ht="24" customHeight="1" s="34">
      <c r="A153" t="inlineStr">
        <is>
          <t>01 토목</t>
        </is>
      </c>
      <c r="B153" t="inlineStr">
        <is>
          <t>2. 우 수 공</t>
        </is>
      </c>
      <c r="C153" t="n">
        <v>86</v>
      </c>
      <c r="D153" t="inlineStr">
        <is>
          <t>나). 원심력철근콘크리트관(보통2종)</t>
        </is>
      </c>
      <c r="E153" t="inlineStr">
        <is>
          <t>450㎜ (소켓식,B형)</t>
        </is>
      </c>
      <c r="F153" t="n">
        <v>569</v>
      </c>
      <c r="G153" t="inlineStr">
        <is>
          <t>ｍ</t>
        </is>
      </c>
      <c r="H153" s="64" t="n">
        <v>2339</v>
      </c>
      <c r="I153" s="64">
        <f>F153*H153</f>
        <v/>
      </c>
      <c r="J153" s="64" t="n">
        <v>19375</v>
      </c>
      <c r="K153" s="64">
        <f>F153*J153</f>
        <v/>
      </c>
      <c r="L153" s="64" t="n">
        <v>2505</v>
      </c>
      <c r="M153" s="64">
        <f>F153*L153</f>
        <v/>
      </c>
      <c r="N153" s="64">
        <f>H153+J153+L153</f>
        <v/>
      </c>
      <c r="O153" s="64">
        <f>I153+K153+M153</f>
        <v/>
      </c>
      <c r="Q153" t="inlineStr">
        <is>
          <t>원심력철근콘크리트관</t>
        </is>
      </c>
    </row>
    <row r="154" ht="24" customHeight="1" s="34">
      <c r="A154" t="inlineStr">
        <is>
          <t>01 토목</t>
        </is>
      </c>
      <c r="B154" t="inlineStr">
        <is>
          <t>2. 우 수 공</t>
        </is>
      </c>
      <c r="C154" t="n">
        <v>87</v>
      </c>
      <c r="D154" t="inlineStr">
        <is>
          <t>다). 원심력철근콘크리트관(보통2종)</t>
        </is>
      </c>
      <c r="E154" t="inlineStr">
        <is>
          <t>600㎜ (소켓식,B형)</t>
        </is>
      </c>
      <c r="F154" t="n">
        <v>99</v>
      </c>
      <c r="G154" t="inlineStr">
        <is>
          <t>ｍ</t>
        </is>
      </c>
      <c r="H154" s="64" t="n">
        <v>2339</v>
      </c>
      <c r="I154" s="64">
        <f>F154*H154</f>
        <v/>
      </c>
      <c r="J154" s="64" t="n">
        <v>19375</v>
      </c>
      <c r="K154" s="64">
        <f>F154*J154</f>
        <v/>
      </c>
      <c r="L154" s="64" t="n">
        <v>2505</v>
      </c>
      <c r="M154" s="64">
        <f>F154*L154</f>
        <v/>
      </c>
      <c r="N154" s="64">
        <f>H154+J154+L154</f>
        <v/>
      </c>
      <c r="O154" s="64">
        <f>I154+K154+M154</f>
        <v/>
      </c>
      <c r="Q154" t="inlineStr">
        <is>
          <t>원심력철근콘크리트관</t>
        </is>
      </c>
    </row>
    <row r="155" ht="24" customHeight="1" s="34">
      <c r="A155" t="inlineStr">
        <is>
          <t>01 토목</t>
        </is>
      </c>
      <c r="B155" t="inlineStr">
        <is>
          <t>2. 우 수 공</t>
        </is>
      </c>
      <c r="C155" t="n">
        <v>88</v>
      </c>
      <c r="D155" t="inlineStr">
        <is>
          <t>라). 원심력철근콘크리트관(보통2종)</t>
        </is>
      </c>
      <c r="E155" t="inlineStr">
        <is>
          <t>800㎜ (소켓식,B형)</t>
        </is>
      </c>
      <c r="F155" t="n">
        <v>270</v>
      </c>
      <c r="G155" t="inlineStr">
        <is>
          <t>ｍ</t>
        </is>
      </c>
      <c r="H155" s="64" t="n">
        <v>2339</v>
      </c>
      <c r="I155" s="64">
        <f>F155*H155</f>
        <v/>
      </c>
      <c r="J155" s="64" t="n">
        <v>19375</v>
      </c>
      <c r="K155" s="64">
        <f>F155*J155</f>
        <v/>
      </c>
      <c r="L155" s="64" t="n">
        <v>2505</v>
      </c>
      <c r="M155" s="64">
        <f>F155*L155</f>
        <v/>
      </c>
      <c r="N155" s="64">
        <f>H155+J155+L155</f>
        <v/>
      </c>
      <c r="O155" s="64">
        <f>I155+K155+M155</f>
        <v/>
      </c>
      <c r="Q155" t="inlineStr">
        <is>
          <t>원심력철근콘크리트관</t>
        </is>
      </c>
    </row>
    <row r="156" ht="24" customHeight="1" s="34">
      <c r="A156" t="inlineStr">
        <is>
          <t>01 토목</t>
        </is>
      </c>
      <c r="B156" t="inlineStr">
        <is>
          <t>2. 우 수 공</t>
        </is>
      </c>
      <c r="C156" t="n">
        <v>89</v>
      </c>
      <c r="D156" t="inlineStr">
        <is>
          <t>마). 원심력철근콘크리트관(보통2종)</t>
        </is>
      </c>
      <c r="E156" t="inlineStr">
        <is>
          <t>900㎜ (소켓식,B형)</t>
        </is>
      </c>
      <c r="F156" t="n">
        <v>17</v>
      </c>
      <c r="G156" t="inlineStr">
        <is>
          <t>ｍ</t>
        </is>
      </c>
      <c r="H156" s="64" t="n">
        <v>2339</v>
      </c>
      <c r="I156" s="64">
        <f>F156*H156</f>
        <v/>
      </c>
      <c r="J156" s="64" t="n">
        <v>19375</v>
      </c>
      <c r="K156" s="64">
        <f>F156*J156</f>
        <v/>
      </c>
      <c r="L156" s="64" t="n">
        <v>2505</v>
      </c>
      <c r="M156" s="64">
        <f>F156*L156</f>
        <v/>
      </c>
      <c r="N156" s="64">
        <f>H156+J156+L156</f>
        <v/>
      </c>
      <c r="O156" s="64">
        <f>I156+K156+M156</f>
        <v/>
      </c>
      <c r="Q156" t="inlineStr">
        <is>
          <t>원심력철근콘크리트관</t>
        </is>
      </c>
    </row>
    <row r="157" ht="24" customHeight="1" s="34">
      <c r="A157" t="inlineStr">
        <is>
          <t>01 토목</t>
        </is>
      </c>
      <c r="B157" t="inlineStr">
        <is>
          <t>2. 우 수 공</t>
        </is>
      </c>
      <c r="C157" t="n">
        <v>90</v>
      </c>
      <c r="D157" t="inlineStr">
        <is>
          <t>바). 원심력철근콘크리트관(보통2종)</t>
        </is>
      </c>
      <c r="E157" t="inlineStr">
        <is>
          <t>1000㎜ (소켓식,B형)</t>
        </is>
      </c>
      <c r="F157" t="n">
        <v>85</v>
      </c>
      <c r="G157" t="inlineStr">
        <is>
          <t>ｍ</t>
        </is>
      </c>
      <c r="H157" s="64" t="n">
        <v>2339</v>
      </c>
      <c r="I157" s="64">
        <f>F157*H157</f>
        <v/>
      </c>
      <c r="J157" s="64" t="n">
        <v>19375</v>
      </c>
      <c r="K157" s="64">
        <f>F157*J157</f>
        <v/>
      </c>
      <c r="L157" s="64" t="n">
        <v>2505</v>
      </c>
      <c r="M157" s="64">
        <f>F157*L157</f>
        <v/>
      </c>
      <c r="N157" s="64">
        <f>H157+J157+L157</f>
        <v/>
      </c>
      <c r="O157" s="64">
        <f>I157+K157+M157</f>
        <v/>
      </c>
      <c r="Q157" t="inlineStr">
        <is>
          <t>원심력철근콘크리트관</t>
        </is>
      </c>
    </row>
    <row r="158" ht="24" customHeight="1" s="34">
      <c r="A158" t="inlineStr">
        <is>
          <t>01 토목</t>
        </is>
      </c>
      <c r="B158" t="inlineStr">
        <is>
          <t>2. 우 수 공</t>
        </is>
      </c>
      <c r="C158" t="n">
        <v>91</v>
      </c>
      <c r="D158" t="inlineStr">
        <is>
          <t>사). 원심력철근콘크리트관(보통2종)</t>
        </is>
      </c>
      <c r="E158" t="inlineStr">
        <is>
          <t>1200㎜ (소켓식,B형)</t>
        </is>
      </c>
      <c r="F158" t="n">
        <v>16</v>
      </c>
      <c r="G158" t="inlineStr">
        <is>
          <t>ｍ</t>
        </is>
      </c>
      <c r="H158" s="64" t="n">
        <v>2339</v>
      </c>
      <c r="I158" s="64">
        <f>F158*H158</f>
        <v/>
      </c>
      <c r="J158" s="64" t="n">
        <v>19375</v>
      </c>
      <c r="K158" s="64">
        <f>F158*J158</f>
        <v/>
      </c>
      <c r="L158" s="64" t="n">
        <v>2505</v>
      </c>
      <c r="M158" s="64">
        <f>F158*L158</f>
        <v/>
      </c>
      <c r="N158" s="64">
        <f>H158+J158+L158</f>
        <v/>
      </c>
      <c r="O158" s="64">
        <f>I158+K158+M158</f>
        <v/>
      </c>
      <c r="Q158" t="inlineStr">
        <is>
          <t>원심력철근콘크리트관</t>
        </is>
      </c>
    </row>
    <row r="159" ht="24" customHeight="1" s="34">
      <c r="A159" t="inlineStr">
        <is>
          <t>01 토목</t>
        </is>
      </c>
      <c r="B159" t="inlineStr">
        <is>
          <t>2. 우 수 공</t>
        </is>
      </c>
      <c r="C159" t="n">
        <v>92</v>
      </c>
      <c r="D159" t="inlineStr">
        <is>
          <t>아). 흄관하차비</t>
        </is>
      </c>
      <c r="E159" t="inlineStr">
        <is>
          <t>Ø 250 MM - 차상도</t>
        </is>
      </c>
      <c r="F159" t="n">
        <v>114</v>
      </c>
      <c r="G159" t="inlineStr">
        <is>
          <t>본</t>
        </is>
      </c>
      <c r="I159" s="64">
        <f>F159*H159</f>
        <v/>
      </c>
      <c r="J159" s="64" t="n"/>
      <c r="K159" s="64">
        <f>F159*J159</f>
        <v/>
      </c>
      <c r="L159" s="64" t="n">
        <v>1800</v>
      </c>
      <c r="M159" s="64">
        <f>F159*L159</f>
        <v/>
      </c>
      <c r="N159" s="64">
        <f>H159+J159+L159</f>
        <v/>
      </c>
      <c r="O159" s="64">
        <f>I159+K159+M159</f>
        <v/>
      </c>
      <c r="P159" t="inlineStr">
        <is>
          <t>가영현</t>
        </is>
      </c>
      <c r="Q159" t="inlineStr">
        <is>
          <t>Ø 250 MM - 차상도, 흄관하차비</t>
        </is>
      </c>
    </row>
    <row r="160" ht="24" customHeight="1" s="34">
      <c r="A160" t="inlineStr">
        <is>
          <t>01 토목</t>
        </is>
      </c>
      <c r="B160" t="inlineStr">
        <is>
          <t>2. 우 수 공</t>
        </is>
      </c>
      <c r="C160" t="n">
        <v>93</v>
      </c>
      <c r="D160" t="inlineStr">
        <is>
          <t>자). 흄관하차비</t>
        </is>
      </c>
      <c r="E160" t="inlineStr">
        <is>
          <t>Ø 450 MM - 차상도</t>
        </is>
      </c>
      <c r="F160" t="n">
        <v>228</v>
      </c>
      <c r="G160" t="inlineStr">
        <is>
          <t>본</t>
        </is>
      </c>
      <c r="I160" s="64">
        <f>F160*H160</f>
        <v/>
      </c>
      <c r="J160" s="64" t="n"/>
      <c r="K160" s="64">
        <f>F160*J160</f>
        <v/>
      </c>
      <c r="L160" s="64" t="n">
        <v>2200</v>
      </c>
      <c r="M160" s="64">
        <f>F160*L160</f>
        <v/>
      </c>
      <c r="N160" s="64">
        <f>H160+J160+L160</f>
        <v/>
      </c>
      <c r="O160" s="64">
        <f>I160+K160+M160</f>
        <v/>
      </c>
      <c r="P160" t="inlineStr">
        <is>
          <t>가영현</t>
        </is>
      </c>
      <c r="Q160" t="inlineStr">
        <is>
          <t>Ø 450 MM - 차상도, 흄관하차비</t>
        </is>
      </c>
    </row>
    <row r="161" ht="24" customHeight="1" s="34">
      <c r="A161" t="inlineStr">
        <is>
          <t>01 토목</t>
        </is>
      </c>
      <c r="B161" t="inlineStr">
        <is>
          <t>2. 우 수 공</t>
        </is>
      </c>
      <c r="C161" t="n">
        <v>94</v>
      </c>
      <c r="D161" t="inlineStr">
        <is>
          <t>차). 흄관하차비</t>
        </is>
      </c>
      <c r="E161" t="inlineStr">
        <is>
          <t>Ø 600 MM - 차상도</t>
        </is>
      </c>
      <c r="F161" t="n">
        <v>40</v>
      </c>
      <c r="G161" t="inlineStr">
        <is>
          <t>본</t>
        </is>
      </c>
      <c r="I161" s="64">
        <f>F161*H161</f>
        <v/>
      </c>
      <c r="J161" s="64" t="n"/>
      <c r="K161" s="64">
        <f>F161*J161</f>
        <v/>
      </c>
      <c r="L161" s="64" t="n">
        <v>2600</v>
      </c>
      <c r="M161" s="64">
        <f>F161*L161</f>
        <v/>
      </c>
      <c r="N161" s="64">
        <f>H161+J161+L161</f>
        <v/>
      </c>
      <c r="O161" s="64">
        <f>I161+K161+M161</f>
        <v/>
      </c>
      <c r="P161" t="inlineStr">
        <is>
          <t>가영현</t>
        </is>
      </c>
      <c r="Q161" t="inlineStr">
        <is>
          <t>Ø 600 MM - 차상도, 흄관하차비</t>
        </is>
      </c>
    </row>
    <row r="162" ht="24" customHeight="1" s="34">
      <c r="A162" t="inlineStr">
        <is>
          <t>01 토목</t>
        </is>
      </c>
      <c r="B162" t="inlineStr">
        <is>
          <t>2. 우 수 공</t>
        </is>
      </c>
      <c r="C162" t="n">
        <v>95</v>
      </c>
      <c r="D162" t="inlineStr">
        <is>
          <t>카). 흄관하차비</t>
        </is>
      </c>
      <c r="E162" t="inlineStr">
        <is>
          <t>Ø 800 MM - 차상도</t>
        </is>
      </c>
      <c r="F162" t="n">
        <v>109</v>
      </c>
      <c r="G162" t="inlineStr">
        <is>
          <t>본</t>
        </is>
      </c>
      <c r="I162" s="64">
        <f>F162*H162</f>
        <v/>
      </c>
      <c r="J162" s="64" t="n"/>
      <c r="K162" s="64">
        <f>F162*J162</f>
        <v/>
      </c>
      <c r="L162" s="64" t="n">
        <v>3000</v>
      </c>
      <c r="M162" s="64">
        <f>F162*L162</f>
        <v/>
      </c>
      <c r="N162" s="64">
        <f>H162+J162+L162</f>
        <v/>
      </c>
      <c r="O162" s="64">
        <f>I162+K162+M162</f>
        <v/>
      </c>
      <c r="P162" t="inlineStr">
        <is>
          <t>가영현</t>
        </is>
      </c>
      <c r="Q162" t="inlineStr">
        <is>
          <t>Ø 800 MM - 차상도, 흄관하차비</t>
        </is>
      </c>
    </row>
    <row r="163" ht="24" customHeight="1" s="34">
      <c r="A163" t="inlineStr">
        <is>
          <t>01 토목</t>
        </is>
      </c>
      <c r="B163" t="inlineStr">
        <is>
          <t>2. 우 수 공</t>
        </is>
      </c>
      <c r="C163" t="n">
        <v>96</v>
      </c>
      <c r="D163" t="inlineStr">
        <is>
          <t>타). 흄관하차비</t>
        </is>
      </c>
      <c r="E163" t="inlineStr">
        <is>
          <t>Ø 900 MM - 차상도</t>
        </is>
      </c>
      <c r="F163" t="n">
        <v>7</v>
      </c>
      <c r="G163" t="inlineStr">
        <is>
          <t>본</t>
        </is>
      </c>
      <c r="I163" s="64">
        <f>F163*H163</f>
        <v/>
      </c>
      <c r="J163" s="64" t="n"/>
      <c r="K163" s="64">
        <f>F163*J163</f>
        <v/>
      </c>
      <c r="L163" s="64" t="n">
        <v>3400</v>
      </c>
      <c r="M163" s="64">
        <f>F163*L163</f>
        <v/>
      </c>
      <c r="N163" s="64">
        <f>H163+J163+L163</f>
        <v/>
      </c>
      <c r="O163" s="64">
        <f>I163+K163+M163</f>
        <v/>
      </c>
      <c r="P163" t="inlineStr">
        <is>
          <t>가영현</t>
        </is>
      </c>
      <c r="Q163" t="inlineStr">
        <is>
          <t>Ø 900 MM - 차상도, 흄관하차비</t>
        </is>
      </c>
    </row>
    <row r="164" ht="24" customHeight="1" s="34">
      <c r="A164" t="inlineStr">
        <is>
          <t>01 토목</t>
        </is>
      </c>
      <c r="B164" t="inlineStr">
        <is>
          <t>2. 우 수 공</t>
        </is>
      </c>
      <c r="C164" t="n">
        <v>97</v>
      </c>
      <c r="D164" t="inlineStr">
        <is>
          <t>파). 흄관하차비</t>
        </is>
      </c>
      <c r="E164" t="inlineStr">
        <is>
          <t>Ø 1000 MM - 차상도</t>
        </is>
      </c>
      <c r="F164" t="n">
        <v>35</v>
      </c>
      <c r="G164" t="inlineStr">
        <is>
          <t>본</t>
        </is>
      </c>
      <c r="I164" s="64">
        <f>F164*H164</f>
        <v/>
      </c>
      <c r="J164" s="64" t="n"/>
      <c r="K164" s="64">
        <f>F164*J164</f>
        <v/>
      </c>
      <c r="L164" s="64" t="n">
        <v>3800</v>
      </c>
      <c r="M164" s="64">
        <f>F164*L164</f>
        <v/>
      </c>
      <c r="N164" s="64">
        <f>H164+J164+L164</f>
        <v/>
      </c>
      <c r="O164" s="64">
        <f>I164+K164+M164</f>
        <v/>
      </c>
      <c r="P164" t="inlineStr">
        <is>
          <t>가영현</t>
        </is>
      </c>
      <c r="Q164" t="inlineStr">
        <is>
          <t>Ø 1000 MM - 차상도, 흄관하차비</t>
        </is>
      </c>
    </row>
    <row r="165" ht="24" customHeight="1" s="34">
      <c r="A165" t="inlineStr">
        <is>
          <t>01 토목</t>
        </is>
      </c>
      <c r="B165" t="inlineStr">
        <is>
          <t>2. 우 수 공</t>
        </is>
      </c>
      <c r="C165" t="n">
        <v>98</v>
      </c>
      <c r="D165" t="inlineStr">
        <is>
          <t>하). 흄관하차비</t>
        </is>
      </c>
      <c r="E165" t="inlineStr">
        <is>
          <t>Ø 1200 MM - 차상도</t>
        </is>
      </c>
      <c r="F165" t="n">
        <v>7</v>
      </c>
      <c r="G165" t="inlineStr">
        <is>
          <t>본</t>
        </is>
      </c>
      <c r="I165" s="64">
        <f>F165*H165</f>
        <v/>
      </c>
      <c r="J165" s="64" t="n"/>
      <c r="K165" s="64">
        <f>F165*J165</f>
        <v/>
      </c>
      <c r="L165" s="64" t="n">
        <v>4200</v>
      </c>
      <c r="M165" s="64">
        <f>F165*L165</f>
        <v/>
      </c>
      <c r="N165" s="64">
        <f>H165+J165+L165</f>
        <v/>
      </c>
      <c r="O165" s="64">
        <f>I165+K165+M165</f>
        <v/>
      </c>
      <c r="P165" t="inlineStr">
        <is>
          <t>가영현</t>
        </is>
      </c>
      <c r="Q165" t="inlineStr">
        <is>
          <t>Ø 1200 MM - 차상도, 흄관하차비</t>
        </is>
      </c>
    </row>
    <row r="166" ht="24" customHeight="1" s="34">
      <c r="A166" t="inlineStr">
        <is>
          <t>01 토목</t>
        </is>
      </c>
      <c r="B166" t="inlineStr">
        <is>
          <t>2. 우 수 공</t>
        </is>
      </c>
      <c r="C166" t="n">
        <v>99</v>
      </c>
      <c r="D166" t="inlineStr">
        <is>
          <t>가). 맨홀뚜껑(주철제)</t>
        </is>
      </c>
      <c r="E166" t="inlineStr">
        <is>
          <t>Φ648KS, 하수도용(잠금식)</t>
        </is>
      </c>
      <c r="F166" t="n">
        <v>37</v>
      </c>
      <c r="G166" t="inlineStr">
        <is>
          <t>조</t>
        </is>
      </c>
      <c r="H166" s="64" t="n">
        <v>0</v>
      </c>
      <c r="I166" s="64">
        <f>F166*H166</f>
        <v/>
      </c>
      <c r="J166" s="64" t="n">
        <v>289893</v>
      </c>
      <c r="K166" s="64">
        <f>F166*J166</f>
        <v/>
      </c>
      <c r="L166" s="64" t="n">
        <v>0</v>
      </c>
      <c r="M166" s="64">
        <f>F166*L166</f>
        <v/>
      </c>
      <c r="N166" s="64">
        <f>H166+J166+L166</f>
        <v/>
      </c>
      <c r="O166" s="64">
        <f>I166+K166+M166</f>
        <v/>
      </c>
      <c r="Q166" t="inlineStr">
        <is>
          <t>주철제</t>
        </is>
      </c>
    </row>
    <row r="167" ht="24" customHeight="1" s="34">
      <c r="A167" s="15" t="inlineStr">
        <is>
          <t>01 토목</t>
        </is>
      </c>
      <c r="B167" s="15" t="inlineStr">
        <is>
          <t>2. 우 수 공</t>
        </is>
      </c>
      <c r="C167" s="15" t="n"/>
      <c r="D167" s="15" t="inlineStr">
        <is>
          <t>★ 2. 우 수 공 소계</t>
        </is>
      </c>
      <c r="E167" s="15" t="n"/>
      <c r="F167" s="15" t="n"/>
      <c r="G167" s="15" t="n"/>
      <c r="H167" s="66" t="n"/>
      <c r="I167" s="66">
        <f>SUM(I68:I166)</f>
        <v/>
      </c>
      <c r="J167" s="66" t="n"/>
      <c r="K167" s="66">
        <f>SUM(K68:K166)</f>
        <v/>
      </c>
      <c r="L167" s="66" t="n"/>
      <c r="M167" s="66">
        <f>SUM(M68:M166)</f>
        <v/>
      </c>
      <c r="N167" s="66" t="n"/>
      <c r="O167" s="66">
        <f>SUM(O68:O166)</f>
        <v/>
      </c>
      <c r="P167" s="15" t="n"/>
      <c r="Q167" s="15" t="inlineStr">
        <is>
          <t>99건</t>
        </is>
      </c>
    </row>
    <row r="168" ht="24" customHeight="1" s="34">
      <c r="A168" t="inlineStr">
        <is>
          <t>01 토목</t>
        </is>
      </c>
      <c r="B168" t="inlineStr">
        <is>
          <t>3. 오 수 공</t>
        </is>
      </c>
      <c r="C168" t="n">
        <v>1</v>
      </c>
      <c r="D168" t="inlineStr">
        <is>
          <t>(1). 터파기(토사)</t>
        </is>
      </c>
      <c r="E168" t="inlineStr">
        <is>
          <t>TYPE-1, 백호1.0, 기계100%</t>
        </is>
      </c>
      <c r="F168" t="n">
        <v>3339</v>
      </c>
      <c r="G168" t="inlineStr">
        <is>
          <t>㎥</t>
        </is>
      </c>
      <c r="H168" s="64" t="n">
        <v>301</v>
      </c>
      <c r="I168" s="64">
        <f>F168*H168</f>
        <v/>
      </c>
      <c r="J168" s="64" t="n">
        <v>4367</v>
      </c>
      <c r="K168" s="64">
        <f>F168*J168</f>
        <v/>
      </c>
      <c r="L168" s="64" t="n">
        <v>417</v>
      </c>
      <c r="M168" s="64">
        <f>F168*L168</f>
        <v/>
      </c>
      <c r="N168" s="64">
        <f>H168+J168+L168</f>
        <v/>
      </c>
      <c r="O168" s="64">
        <f>I168+K168+M168</f>
        <v/>
      </c>
      <c r="Q168" t="inlineStr">
        <is>
          <t>1</t>
        </is>
      </c>
    </row>
    <row r="169" ht="24" customHeight="1" s="34">
      <c r="A169" t="inlineStr">
        <is>
          <t>01 토목</t>
        </is>
      </c>
      <c r="B169" t="inlineStr">
        <is>
          <t>3. 오 수 공</t>
        </is>
      </c>
      <c r="C169" t="n">
        <v>2</v>
      </c>
      <c r="D169" t="inlineStr">
        <is>
          <t>(2). 터파기(토사)</t>
        </is>
      </c>
      <c r="E169" t="inlineStr">
        <is>
          <t>기계90%+인력10%, 보통토사</t>
        </is>
      </c>
      <c r="F169" t="n">
        <v>108</v>
      </c>
      <c r="G169" t="inlineStr">
        <is>
          <t>㎥</t>
        </is>
      </c>
      <c r="H169" s="64" t="n">
        <v>0</v>
      </c>
      <c r="I169" s="64">
        <f>F169*H169</f>
        <v/>
      </c>
      <c r="J169" s="64" t="n">
        <v>33455</v>
      </c>
      <c r="K169" s="64">
        <f>F169*J169</f>
        <v/>
      </c>
      <c r="L169" s="64" t="n">
        <v>0</v>
      </c>
      <c r="M169" s="64">
        <f>F169*L169</f>
        <v/>
      </c>
      <c r="N169" s="64">
        <f>H169+J169+L169</f>
        <v/>
      </c>
      <c r="O169" s="64">
        <f>I169+K169+M169</f>
        <v/>
      </c>
      <c r="Q169" t="inlineStr">
        <is>
          <t>토사</t>
        </is>
      </c>
    </row>
    <row r="170" ht="24" customHeight="1" s="34">
      <c r="A170" t="inlineStr">
        <is>
          <t>01 토목</t>
        </is>
      </c>
      <c r="B170" t="inlineStr">
        <is>
          <t>3. 오 수 공</t>
        </is>
      </c>
      <c r="C170" t="n">
        <v>3</v>
      </c>
      <c r="D170" t="inlineStr">
        <is>
          <t>가). 되메우기 및 다짐(토사)</t>
        </is>
      </c>
      <c r="E170" t="inlineStr">
        <is>
          <t>백호0.7+플레이트콤펙터1.5ton</t>
        </is>
      </c>
      <c r="F170" t="n">
        <v>3111</v>
      </c>
      <c r="G170" t="inlineStr">
        <is>
          <t>㎥</t>
        </is>
      </c>
      <c r="H170" s="64" t="n">
        <v>1652</v>
      </c>
      <c r="I170" s="64">
        <f>F170*H170</f>
        <v/>
      </c>
      <c r="J170" s="64" t="n">
        <v>3924</v>
      </c>
      <c r="K170" s="64">
        <f>F170*J170</f>
        <v/>
      </c>
      <c r="L170" s="64" t="n">
        <v>1432</v>
      </c>
      <c r="M170" s="64">
        <f>F170*L170</f>
        <v/>
      </c>
      <c r="N170" s="64">
        <f>H170+J170+L170</f>
        <v/>
      </c>
      <c r="O170" s="64">
        <f>I170+K170+M170</f>
        <v/>
      </c>
      <c r="Q170" t="inlineStr">
        <is>
          <t>되메우기 및 다짐</t>
        </is>
      </c>
    </row>
    <row r="171" ht="24" customHeight="1" s="34">
      <c r="A171" t="inlineStr">
        <is>
          <t>01 토목</t>
        </is>
      </c>
      <c r="B171" t="inlineStr">
        <is>
          <t>3. 오 수 공</t>
        </is>
      </c>
      <c r="C171" t="n">
        <v>4</v>
      </c>
      <c r="D171" t="inlineStr">
        <is>
          <t>나). 되메우기및다짐(토사)</t>
        </is>
      </c>
      <c r="E171" t="inlineStr">
        <is>
          <t>기계90%,인력10%,래머 80KG</t>
        </is>
      </c>
      <c r="F171" t="n">
        <v>127</v>
      </c>
      <c r="G171" t="inlineStr">
        <is>
          <t>㎥</t>
        </is>
      </c>
      <c r="H171" s="64" t="n">
        <v>608</v>
      </c>
      <c r="I171" s="64">
        <f>F171*H171</f>
        <v/>
      </c>
      <c r="J171" s="64" t="n">
        <v>9980</v>
      </c>
      <c r="K171" s="64">
        <f>F171*J171</f>
        <v/>
      </c>
      <c r="L171" s="64" t="n">
        <v>440</v>
      </c>
      <c r="M171" s="64">
        <f>F171*L171</f>
        <v/>
      </c>
      <c r="N171" s="64">
        <f>H171+J171+L171</f>
        <v/>
      </c>
      <c r="O171" s="64">
        <f>I171+K171+M171</f>
        <v/>
      </c>
      <c r="Q171" t="inlineStr">
        <is>
          <t>되메우기및다짐</t>
        </is>
      </c>
    </row>
    <row r="172" ht="24" customHeight="1" s="34">
      <c r="A172" t="inlineStr">
        <is>
          <t>01 토목</t>
        </is>
      </c>
      <c r="B172" t="inlineStr">
        <is>
          <t>3. 오 수 공</t>
        </is>
      </c>
      <c r="C172" t="n">
        <v>5</v>
      </c>
      <c r="D172" t="inlineStr">
        <is>
          <t>가). 잔토처리(토사)</t>
        </is>
      </c>
      <c r="E172" t="inlineStr">
        <is>
          <t>기계100%</t>
        </is>
      </c>
      <c r="F172" t="n">
        <v>209</v>
      </c>
      <c r="G172" t="inlineStr">
        <is>
          <t>㎥</t>
        </is>
      </c>
      <c r="H172" s="64" t="n">
        <v>447</v>
      </c>
      <c r="I172" s="64">
        <f>F172*H172</f>
        <v/>
      </c>
      <c r="J172" s="64" t="n">
        <v>955</v>
      </c>
      <c r="K172" s="64">
        <f>F172*J172</f>
        <v/>
      </c>
      <c r="L172" s="64" t="n">
        <v>336</v>
      </c>
      <c r="M172" s="64">
        <f>F172*L172</f>
        <v/>
      </c>
      <c r="N172" s="64">
        <f>H172+J172+L172</f>
        <v/>
      </c>
      <c r="O172" s="64">
        <f>I172+K172+M172</f>
        <v/>
      </c>
      <c r="Q172" t="inlineStr">
        <is>
          <t>토사</t>
        </is>
      </c>
    </row>
    <row r="173" ht="24" customHeight="1" s="34">
      <c r="A173" t="inlineStr">
        <is>
          <t>01 토목</t>
        </is>
      </c>
      <c r="B173" t="inlineStr">
        <is>
          <t>3. 오 수 공</t>
        </is>
      </c>
      <c r="C173" t="n">
        <v>6</v>
      </c>
      <c r="D173" t="inlineStr">
        <is>
          <t>가). 고강성 PVC 이중벽관 접합 및 부설</t>
        </is>
      </c>
      <c r="E173" t="inlineStr">
        <is>
          <t>D150mm, 시공조건B</t>
        </is>
      </c>
      <c r="F173" t="n">
        <v>88</v>
      </c>
      <c r="G173" t="inlineStr">
        <is>
          <t>m</t>
        </is>
      </c>
      <c r="H173" s="64" t="n">
        <v>230</v>
      </c>
      <c r="I173" s="64">
        <f>F173*H173</f>
        <v/>
      </c>
      <c r="J173" s="64" t="n">
        <v>4360</v>
      </c>
      <c r="K173" s="64">
        <f>F173*J173</f>
        <v/>
      </c>
      <c r="L173" s="64" t="n">
        <v>0</v>
      </c>
      <c r="M173" s="64">
        <f>F173*L173</f>
        <v/>
      </c>
      <c r="N173" s="64">
        <f>H173+J173+L173</f>
        <v/>
      </c>
      <c r="O173" s="64">
        <f>I173+K173+M173</f>
        <v/>
      </c>
      <c r="Q173" t="inlineStr">
        <is>
          <t>D150mm</t>
        </is>
      </c>
    </row>
    <row r="174" ht="24" customHeight="1" s="34">
      <c r="A174" t="inlineStr">
        <is>
          <t>01 토목</t>
        </is>
      </c>
      <c r="B174" t="inlineStr">
        <is>
          <t>3. 오 수 공</t>
        </is>
      </c>
      <c r="C174" t="n">
        <v>7</v>
      </c>
      <c r="D174" t="inlineStr">
        <is>
          <t>나). 고강성 PVC 이중벽관 접합 및 부설</t>
        </is>
      </c>
      <c r="E174" t="inlineStr">
        <is>
          <t>D300mm, 시공조건B</t>
        </is>
      </c>
      <c r="F174" t="n">
        <v>430</v>
      </c>
      <c r="G174" t="inlineStr">
        <is>
          <t>m</t>
        </is>
      </c>
      <c r="H174" s="64" t="n">
        <v>528</v>
      </c>
      <c r="I174" s="64">
        <f>F174*H174</f>
        <v/>
      </c>
      <c r="J174" s="64" t="n">
        <v>10016</v>
      </c>
      <c r="K174" s="64">
        <f>F174*J174</f>
        <v/>
      </c>
      <c r="L174" s="64" t="n">
        <v>0</v>
      </c>
      <c r="M174" s="64">
        <f>F174*L174</f>
        <v/>
      </c>
      <c r="N174" s="64">
        <f>H174+J174+L174</f>
        <v/>
      </c>
      <c r="O174" s="64">
        <f>I174+K174+M174</f>
        <v/>
      </c>
      <c r="Q174" t="inlineStr">
        <is>
          <t>D300mm</t>
        </is>
      </c>
    </row>
    <row r="175" ht="24" customHeight="1" s="34">
      <c r="A175" t="inlineStr">
        <is>
          <t>01 토목</t>
        </is>
      </c>
      <c r="B175" t="inlineStr">
        <is>
          <t>3. 오 수 공</t>
        </is>
      </c>
      <c r="C175" t="n">
        <v>8</v>
      </c>
      <c r="D175" t="inlineStr">
        <is>
          <t>가). 고강성 PVC 이중벽관 절단</t>
        </is>
      </c>
      <c r="E175" t="inlineStr">
        <is>
          <t>D150mm</t>
        </is>
      </c>
      <c r="F175" t="n">
        <v>8</v>
      </c>
      <c r="G175" t="inlineStr">
        <is>
          <t>개소</t>
        </is>
      </c>
      <c r="I175" s="64">
        <f>F175*H175</f>
        <v/>
      </c>
      <c r="J175" s="64" t="n">
        <v>53686</v>
      </c>
      <c r="K175" s="64">
        <f>F175*J175</f>
        <v/>
      </c>
      <c r="L175" s="64" t="n"/>
      <c r="M175" s="64">
        <f>F175*L175</f>
        <v/>
      </c>
      <c r="N175" s="64">
        <f>H175+J175+L175</f>
        <v/>
      </c>
      <c r="O175" s="64">
        <f>I175+K175+M175</f>
        <v/>
      </c>
      <c r="P175" t="inlineStr">
        <is>
          <t>가영현</t>
        </is>
      </c>
      <c r="Q175" t="inlineStr">
        <is>
          <t>고강성 PVC 이중벽관 절단</t>
        </is>
      </c>
    </row>
    <row r="176" ht="24" customHeight="1" s="34">
      <c r="A176" t="inlineStr">
        <is>
          <t>01 토목</t>
        </is>
      </c>
      <c r="B176" t="inlineStr">
        <is>
          <t>3. 오 수 공</t>
        </is>
      </c>
      <c r="C176" t="n">
        <v>9</v>
      </c>
      <c r="D176" t="inlineStr">
        <is>
          <t>나). 고강성 PVC 이중벽관 절단</t>
        </is>
      </c>
      <c r="E176" t="inlineStr">
        <is>
          <t>D300mm</t>
        </is>
      </c>
      <c r="F176" t="n">
        <v>11</v>
      </c>
      <c r="G176" t="inlineStr">
        <is>
          <t>개소</t>
        </is>
      </c>
      <c r="I176" s="64">
        <f>F176*H176</f>
        <v/>
      </c>
      <c r="J176" s="64" t="n">
        <v>76695</v>
      </c>
      <c r="K176" s="64">
        <f>F176*J176</f>
        <v/>
      </c>
      <c r="L176" s="64" t="n"/>
      <c r="M176" s="64">
        <f>F176*L176</f>
        <v/>
      </c>
      <c r="N176" s="64">
        <f>H176+J176+L176</f>
        <v/>
      </c>
      <c r="O176" s="64">
        <f>I176+K176+M176</f>
        <v/>
      </c>
      <c r="P176" t="inlineStr">
        <is>
          <t>가영현</t>
        </is>
      </c>
      <c r="Q176" t="inlineStr">
        <is>
          <t>고강성 PVC 이중벽관 절단</t>
        </is>
      </c>
    </row>
    <row r="177" ht="24" customHeight="1" s="34">
      <c r="A177" t="inlineStr">
        <is>
          <t>01 토목</t>
        </is>
      </c>
      <c r="B177" t="inlineStr">
        <is>
          <t>3. 오 수 공</t>
        </is>
      </c>
      <c r="C177" t="n">
        <v>10</v>
      </c>
      <c r="D177" t="inlineStr">
        <is>
          <t>가). 모래부설</t>
        </is>
      </c>
      <c r="E177" t="inlineStr">
        <is>
          <t>관기초, 인력</t>
        </is>
      </c>
      <c r="F177" t="n">
        <v>179</v>
      </c>
      <c r="G177" t="inlineStr">
        <is>
          <t>㎥</t>
        </is>
      </c>
      <c r="H177" s="64" t="n">
        <v>0</v>
      </c>
      <c r="I177" s="64">
        <f>F177*H177</f>
        <v/>
      </c>
      <c r="J177" s="64" t="n">
        <v>33455</v>
      </c>
      <c r="K177" s="64">
        <f>F177*J177</f>
        <v/>
      </c>
      <c r="L177" s="64" t="n">
        <v>0</v>
      </c>
      <c r="M177" s="64">
        <f>F177*L177</f>
        <v/>
      </c>
      <c r="N177" s="64">
        <f>H177+J177+L177</f>
        <v/>
      </c>
      <c r="O177" s="64">
        <f>I177+K177+M177</f>
        <v/>
      </c>
      <c r="Q177" t="inlineStr">
        <is>
          <t>인력</t>
        </is>
      </c>
    </row>
    <row r="178" ht="24" customHeight="1" s="34">
      <c r="A178" t="inlineStr">
        <is>
          <t>01 토목</t>
        </is>
      </c>
      <c r="B178" t="inlineStr">
        <is>
          <t>3. 오 수 공</t>
        </is>
      </c>
      <c r="C178" t="n">
        <v>11</v>
      </c>
      <c r="D178" t="inlineStr">
        <is>
          <t>가). 원형1호 맨홀</t>
        </is>
      </c>
      <c r="E178" t="inlineStr">
        <is>
          <t>H=2.63m, 차도</t>
        </is>
      </c>
      <c r="F178" t="n">
        <v>15</v>
      </c>
      <c r="G178" t="inlineStr">
        <is>
          <t>개소</t>
        </is>
      </c>
      <c r="H178" s="64" t="n">
        <v>0</v>
      </c>
      <c r="I178" s="64">
        <f>F178*H178</f>
        <v/>
      </c>
      <c r="J178" s="64" t="n">
        <v>71377</v>
      </c>
      <c r="K178" s="64">
        <f>F178*J178</f>
        <v/>
      </c>
      <c r="L178" s="64" t="n">
        <v>0</v>
      </c>
      <c r="M178" s="64">
        <f>F178*L178</f>
        <v/>
      </c>
      <c r="N178" s="64">
        <f>H178+J178+L178</f>
        <v/>
      </c>
      <c r="O178" s="64">
        <f>I178+K178+M178</f>
        <v/>
      </c>
      <c r="Q178" t="inlineStr">
        <is>
          <t>원형1호 맨홀</t>
        </is>
      </c>
    </row>
    <row r="179" ht="24" customHeight="1" s="34">
      <c r="A179" t="inlineStr">
        <is>
          <t>01 토목</t>
        </is>
      </c>
      <c r="B179" t="inlineStr">
        <is>
          <t>3. 오 수 공</t>
        </is>
      </c>
      <c r="C179" t="n">
        <v>12</v>
      </c>
      <c r="D179" t="inlineStr">
        <is>
          <t>가). 고강성 PVC이중벽 지수단관</t>
        </is>
      </c>
      <c r="E179" t="inlineStr">
        <is>
          <t>D150mm</t>
        </is>
      </c>
      <c r="F179" t="n">
        <v>8</v>
      </c>
      <c r="G179" t="inlineStr">
        <is>
          <t>ea</t>
        </is>
      </c>
      <c r="H179" s="64" t="n">
        <v>399</v>
      </c>
      <c r="I179" s="64">
        <f>F179*H179</f>
        <v/>
      </c>
      <c r="J179" s="64" t="n">
        <v>19539</v>
      </c>
      <c r="K179" s="64">
        <f>F179*J179</f>
        <v/>
      </c>
      <c r="L179" s="64" t="n">
        <v>0</v>
      </c>
      <c r="M179" s="64">
        <f>F179*L179</f>
        <v/>
      </c>
      <c r="N179" s="64">
        <f>H179+J179+L179</f>
        <v/>
      </c>
      <c r="O179" s="64">
        <f>I179+K179+M179</f>
        <v/>
      </c>
      <c r="Q179" t="inlineStr">
        <is>
          <t>D150mm</t>
        </is>
      </c>
    </row>
    <row r="180" ht="24" customHeight="1" s="34">
      <c r="A180" t="inlineStr">
        <is>
          <t>01 토목</t>
        </is>
      </c>
      <c r="B180" t="inlineStr">
        <is>
          <t>3. 오 수 공</t>
        </is>
      </c>
      <c r="C180" t="n">
        <v>13</v>
      </c>
      <c r="D180" t="inlineStr">
        <is>
          <t>나). 고강성 PVC이중벽 지수단관</t>
        </is>
      </c>
      <c r="E180" t="inlineStr">
        <is>
          <t>D300mm</t>
        </is>
      </c>
      <c r="F180" t="n">
        <v>28</v>
      </c>
      <c r="G180" t="inlineStr">
        <is>
          <t>ea</t>
        </is>
      </c>
      <c r="H180" s="64" t="n">
        <v>662</v>
      </c>
      <c r="I180" s="64">
        <f>F180*H180</f>
        <v/>
      </c>
      <c r="J180" s="64" t="n">
        <v>32423</v>
      </c>
      <c r="K180" s="64">
        <f>F180*J180</f>
        <v/>
      </c>
      <c r="L180" s="64" t="n">
        <v>0</v>
      </c>
      <c r="M180" s="64">
        <f>F180*L180</f>
        <v/>
      </c>
      <c r="N180" s="64">
        <f>H180+J180+L180</f>
        <v/>
      </c>
      <c r="O180" s="64">
        <f>I180+K180+M180</f>
        <v/>
      </c>
      <c r="Q180" t="inlineStr">
        <is>
          <t>D300mm</t>
        </is>
      </c>
    </row>
    <row r="181" ht="24" customHeight="1" s="34">
      <c r="A181" t="inlineStr">
        <is>
          <t>01 토목</t>
        </is>
      </c>
      <c r="B181" t="inlineStr">
        <is>
          <t>3. 오 수 공</t>
        </is>
      </c>
      <c r="C181" t="n">
        <v>14</v>
      </c>
      <c r="D181" t="inlineStr">
        <is>
          <t>가). 맨홀이음부 몰탈</t>
        </is>
      </c>
      <c r="E181" t="inlineStr">
        <is>
          <t>D150, 몰탈 1:2</t>
        </is>
      </c>
      <c r="F181" t="n">
        <v>8</v>
      </c>
      <c r="G181" t="inlineStr">
        <is>
          <t>개소</t>
        </is>
      </c>
      <c r="H181" s="64" t="n">
        <v>2000</v>
      </c>
      <c r="I181" s="64">
        <f>F181*H181</f>
        <v/>
      </c>
      <c r="J181" s="64" t="n">
        <v>37989</v>
      </c>
      <c r="K181" s="64">
        <f>F181*J181</f>
        <v/>
      </c>
      <c r="L181" s="64" t="n">
        <v>0</v>
      </c>
      <c r="M181" s="64">
        <f>F181*L181</f>
        <v/>
      </c>
      <c r="N181" s="64">
        <f>H181+J181+L181</f>
        <v/>
      </c>
      <c r="O181" s="64">
        <f>I181+K181+M181</f>
        <v/>
      </c>
      <c r="Q181" t="inlineStr">
        <is>
          <t>D150</t>
        </is>
      </c>
    </row>
    <row r="182" ht="24" customHeight="1" s="34">
      <c r="A182" t="inlineStr">
        <is>
          <t>01 토목</t>
        </is>
      </c>
      <c r="B182" t="inlineStr">
        <is>
          <t>3. 오 수 공</t>
        </is>
      </c>
      <c r="C182" t="n">
        <v>15</v>
      </c>
      <c r="D182" t="inlineStr">
        <is>
          <t>나). 맨홀이음부 몰탈</t>
        </is>
      </c>
      <c r="E182" t="inlineStr">
        <is>
          <t>D300, 몰탈 1:2</t>
        </is>
      </c>
      <c r="F182" t="n">
        <v>28</v>
      </c>
      <c r="G182" t="inlineStr">
        <is>
          <t>개소</t>
        </is>
      </c>
      <c r="H182" s="64" t="n">
        <v>7658</v>
      </c>
      <c r="I182" s="64">
        <f>F182*H182</f>
        <v/>
      </c>
      <c r="J182" s="64" t="n">
        <v>39940</v>
      </c>
      <c r="K182" s="64">
        <f>F182*J182</f>
        <v/>
      </c>
      <c r="L182" s="64" t="n">
        <v>2960</v>
      </c>
      <c r="M182" s="64">
        <f>F182*L182</f>
        <v/>
      </c>
      <c r="N182" s="64">
        <f>H182+J182+L182</f>
        <v/>
      </c>
      <c r="O182" s="64">
        <f>I182+K182+M182</f>
        <v/>
      </c>
      <c r="Q182" t="inlineStr">
        <is>
          <t>D300</t>
        </is>
      </c>
    </row>
    <row r="183" ht="24" customHeight="1" s="34">
      <c r="A183" t="inlineStr">
        <is>
          <t>01 토목</t>
        </is>
      </c>
      <c r="B183" t="inlineStr">
        <is>
          <t>3. 오 수 공</t>
        </is>
      </c>
      <c r="C183" t="n">
        <v>16</v>
      </c>
      <c r="D183" t="inlineStr">
        <is>
          <t>가). 콘크리트타설</t>
        </is>
      </c>
      <c r="E183" t="inlineStr">
        <is>
          <t>장비사용, 무근구조물</t>
        </is>
      </c>
      <c r="F183" t="n">
        <v>11</v>
      </c>
      <c r="G183" t="inlineStr">
        <is>
          <t>㎥</t>
        </is>
      </c>
      <c r="H183" s="64" t="n">
        <v>5963</v>
      </c>
      <c r="I183" s="64">
        <f>F183*H183</f>
        <v/>
      </c>
      <c r="J183" s="64" t="n">
        <v>50648</v>
      </c>
      <c r="K183" s="64">
        <f>F183*J183</f>
        <v/>
      </c>
      <c r="L183" s="64" t="n">
        <v>6730</v>
      </c>
      <c r="M183" s="64">
        <f>F183*L183</f>
        <v/>
      </c>
      <c r="N183" s="64">
        <f>H183+J183+L183</f>
        <v/>
      </c>
      <c r="O183" s="64">
        <f>I183+K183+M183</f>
        <v/>
      </c>
      <c r="Q183" t="inlineStr">
        <is>
          <t>콘크리트타설</t>
        </is>
      </c>
    </row>
    <row r="184" ht="24" customHeight="1" s="34">
      <c r="A184" t="inlineStr">
        <is>
          <t>01 토목</t>
        </is>
      </c>
      <c r="B184" t="inlineStr">
        <is>
          <t>3. 오 수 공</t>
        </is>
      </c>
      <c r="C184" t="n">
        <v>17</v>
      </c>
      <c r="D184" t="inlineStr">
        <is>
          <t>나). 거푸집</t>
        </is>
      </c>
      <c r="E184" t="inlineStr">
        <is>
          <t>합판4회(보통)</t>
        </is>
      </c>
      <c r="F184" t="n">
        <v>29</v>
      </c>
      <c r="G184" t="inlineStr">
        <is>
          <t>㎡</t>
        </is>
      </c>
      <c r="H184" s="64" t="n">
        <v>378</v>
      </c>
      <c r="I184" s="64">
        <f>F184*H184</f>
        <v/>
      </c>
      <c r="J184" s="64" t="n">
        <v>37806</v>
      </c>
      <c r="K184" s="64">
        <f>F184*J184</f>
        <v/>
      </c>
      <c r="L184" s="64" t="n">
        <v>0</v>
      </c>
      <c r="M184" s="64">
        <f>F184*L184</f>
        <v/>
      </c>
      <c r="N184" s="64">
        <f>H184+J184+L184</f>
        <v/>
      </c>
      <c r="O184" s="64">
        <f>I184+K184+M184</f>
        <v/>
      </c>
      <c r="Q184" t="inlineStr">
        <is>
          <t>거푸집</t>
        </is>
      </c>
    </row>
    <row r="185" ht="24" customHeight="1" s="34">
      <c r="A185" t="inlineStr">
        <is>
          <t>01 토목</t>
        </is>
      </c>
      <c r="B185" t="inlineStr">
        <is>
          <t>3. 오 수 공</t>
        </is>
      </c>
      <c r="C185" t="n">
        <v>18</v>
      </c>
      <c r="D185" t="inlineStr">
        <is>
          <t>다). 고강성 PVC 이중벽관 접합 및 부설</t>
        </is>
      </c>
      <c r="E185" t="inlineStr">
        <is>
          <t>D200mm, 시공조건B</t>
        </is>
      </c>
      <c r="F185" t="n">
        <v>7.3</v>
      </c>
      <c r="G185" t="inlineStr">
        <is>
          <t>m</t>
        </is>
      </c>
      <c r="H185" s="64" t="n">
        <v>298</v>
      </c>
      <c r="I185" s="64">
        <f>F185*H185</f>
        <v/>
      </c>
      <c r="J185" s="64" t="n">
        <v>5657</v>
      </c>
      <c r="K185" s="64">
        <f>F185*J185</f>
        <v/>
      </c>
      <c r="L185" s="64" t="n">
        <v>0</v>
      </c>
      <c r="M185" s="64">
        <f>F185*L185</f>
        <v/>
      </c>
      <c r="N185" s="64">
        <f>H185+J185+L185</f>
        <v/>
      </c>
      <c r="O185" s="64">
        <f>I185+K185+M185</f>
        <v/>
      </c>
      <c r="Q185" t="inlineStr">
        <is>
          <t>D200mm</t>
        </is>
      </c>
    </row>
    <row r="186" ht="24" customHeight="1" s="34">
      <c r="A186" t="inlineStr">
        <is>
          <t>01 토목</t>
        </is>
      </c>
      <c r="B186" t="inlineStr">
        <is>
          <t>3. 오 수 공</t>
        </is>
      </c>
      <c r="C186" t="n">
        <v>19</v>
      </c>
      <c r="D186" t="inlineStr">
        <is>
          <t>라). 고강성 PVC 이중벽관 접합 및 부설</t>
        </is>
      </c>
      <c r="E186" t="inlineStr">
        <is>
          <t>D300mm, 시공조건B</t>
        </is>
      </c>
      <c r="F186" t="n">
        <v>2.1</v>
      </c>
      <c r="G186" t="inlineStr">
        <is>
          <t>m</t>
        </is>
      </c>
      <c r="H186" s="64" t="n">
        <v>528</v>
      </c>
      <c r="I186" s="64">
        <f>F186*H186</f>
        <v/>
      </c>
      <c r="J186" s="64" t="n">
        <v>10016</v>
      </c>
      <c r="K186" s="64">
        <f>F186*J186</f>
        <v/>
      </c>
      <c r="L186" s="64" t="n">
        <v>0</v>
      </c>
      <c r="M186" s="64">
        <f>F186*L186</f>
        <v/>
      </c>
      <c r="N186" s="64">
        <f>H186+J186+L186</f>
        <v/>
      </c>
      <c r="O186" s="64">
        <f>I186+K186+M186</f>
        <v/>
      </c>
      <c r="Q186" t="inlineStr">
        <is>
          <t>D300mm</t>
        </is>
      </c>
    </row>
    <row r="187" ht="24" customHeight="1" s="34">
      <c r="A187" t="inlineStr">
        <is>
          <t>01 토목</t>
        </is>
      </c>
      <c r="B187" t="inlineStr">
        <is>
          <t>3. 오 수 공</t>
        </is>
      </c>
      <c r="C187" t="n">
        <v>20</v>
      </c>
      <c r="D187" t="inlineStr">
        <is>
          <t>마). 고강성 PVC 이중벽관 절단</t>
        </is>
      </c>
      <c r="E187" t="inlineStr">
        <is>
          <t>D200mm</t>
        </is>
      </c>
      <c r="F187" t="n">
        <v>14</v>
      </c>
      <c r="G187" t="inlineStr">
        <is>
          <t>개소</t>
        </is>
      </c>
      <c r="I187" s="64">
        <f>F187*H187</f>
        <v/>
      </c>
      <c r="J187" s="64" t="n">
        <v>46451</v>
      </c>
      <c r="K187" s="64">
        <f>F187*J187</f>
        <v/>
      </c>
      <c r="L187" s="64" t="n"/>
      <c r="M187" s="64">
        <f>F187*L187</f>
        <v/>
      </c>
      <c r="N187" s="64">
        <f>H187+J187+L187</f>
        <v/>
      </c>
      <c r="O187" s="64">
        <f>I187+K187+M187</f>
        <v/>
      </c>
      <c r="P187" t="inlineStr">
        <is>
          <t>가영현</t>
        </is>
      </c>
      <c r="Q187" t="inlineStr">
        <is>
          <t>고강성 PVC 이중벽관 절단</t>
        </is>
      </c>
    </row>
    <row r="188" ht="24" customHeight="1" s="34">
      <c r="A188" t="inlineStr">
        <is>
          <t>01 토목</t>
        </is>
      </c>
      <c r="B188" t="inlineStr">
        <is>
          <t>3. 오 수 공</t>
        </is>
      </c>
      <c r="C188" t="n">
        <v>21</v>
      </c>
      <c r="D188" t="inlineStr">
        <is>
          <t>바). 고강성 PVC 이중벽관 절단</t>
        </is>
      </c>
      <c r="E188" t="inlineStr">
        <is>
          <t>D300mm</t>
        </is>
      </c>
      <c r="F188" t="n">
        <v>7</v>
      </c>
      <c r="G188" t="inlineStr">
        <is>
          <t>개소</t>
        </is>
      </c>
      <c r="I188" s="64">
        <f>F188*H188</f>
        <v/>
      </c>
      <c r="J188" s="64" t="n">
        <v>76695</v>
      </c>
      <c r="K188" s="64">
        <f>F188*J188</f>
        <v/>
      </c>
      <c r="L188" s="64" t="n"/>
      <c r="M188" s="64">
        <f>F188*L188</f>
        <v/>
      </c>
      <c r="N188" s="64">
        <f>H188+J188+L188</f>
        <v/>
      </c>
      <c r="O188" s="64">
        <f>I188+K188+M188</f>
        <v/>
      </c>
      <c r="P188" t="inlineStr">
        <is>
          <t>가영현</t>
        </is>
      </c>
      <c r="Q188" t="inlineStr">
        <is>
          <t>고강성 PVC 이중벽관 절단</t>
        </is>
      </c>
    </row>
    <row r="189" ht="24" customHeight="1" s="34">
      <c r="A189" t="inlineStr">
        <is>
          <t>01 토목</t>
        </is>
      </c>
      <c r="B189" t="inlineStr">
        <is>
          <t>3. 오 수 공</t>
        </is>
      </c>
      <c r="C189" t="n">
        <v>22</v>
      </c>
      <c r="D189" t="inlineStr">
        <is>
          <t>사). 고강성 PVC 이중벽관 이형관 접합</t>
        </is>
      </c>
      <c r="E189" t="inlineStr">
        <is>
          <t>D200mm</t>
        </is>
      </c>
      <c r="F189" t="n">
        <v>21</v>
      </c>
      <c r="G189" t="inlineStr">
        <is>
          <t>개소</t>
        </is>
      </c>
      <c r="I189" s="64">
        <f>F189*H189</f>
        <v/>
      </c>
      <c r="J189" s="64" t="n">
        <v>46451</v>
      </c>
      <c r="K189" s="64">
        <f>F189*J189</f>
        <v/>
      </c>
      <c r="L189" s="64" t="n"/>
      <c r="M189" s="64">
        <f>F189*L189</f>
        <v/>
      </c>
      <c r="N189" s="64">
        <f>H189+J189+L189</f>
        <v/>
      </c>
      <c r="O189" s="64">
        <f>I189+K189+M189</f>
        <v/>
      </c>
      <c r="P189" t="inlineStr">
        <is>
          <t>가영현</t>
        </is>
      </c>
      <c r="Q189" t="inlineStr">
        <is>
          <t>고강성 PVC 이중벽관 이형관 접합</t>
        </is>
      </c>
    </row>
    <row r="190" ht="24" customHeight="1" s="34">
      <c r="A190" t="inlineStr">
        <is>
          <t>01 토목</t>
        </is>
      </c>
      <c r="B190" t="inlineStr">
        <is>
          <t>3. 오 수 공</t>
        </is>
      </c>
      <c r="C190" t="n">
        <v>23</v>
      </c>
      <c r="D190" t="inlineStr">
        <is>
          <t>아). 고강성 PVC 이중벽관 이형관 접합</t>
        </is>
      </c>
      <c r="E190" t="inlineStr">
        <is>
          <t>D300mm</t>
        </is>
      </c>
      <c r="F190" t="n">
        <v>14</v>
      </c>
      <c r="G190" t="inlineStr">
        <is>
          <t>개소</t>
        </is>
      </c>
      <c r="I190" s="64">
        <f>F190*H190</f>
        <v/>
      </c>
      <c r="J190" s="64" t="n">
        <v>76695</v>
      </c>
      <c r="K190" s="64">
        <f>F190*J190</f>
        <v/>
      </c>
      <c r="L190" s="64" t="n"/>
      <c r="M190" s="64">
        <f>F190*L190</f>
        <v/>
      </c>
      <c r="N190" s="64">
        <f>H190+J190+L190</f>
        <v/>
      </c>
      <c r="O190" s="64">
        <f>I190+K190+M190</f>
        <v/>
      </c>
      <c r="P190" t="inlineStr">
        <is>
          <t>가영현</t>
        </is>
      </c>
      <c r="Q190" t="inlineStr">
        <is>
          <t>고강성 PVC 이중벽관 이형관 접합</t>
        </is>
      </c>
    </row>
    <row r="191" ht="24" customHeight="1" s="34">
      <c r="A191" t="inlineStr">
        <is>
          <t>01 토목</t>
        </is>
      </c>
      <c r="B191" t="inlineStr">
        <is>
          <t>3. 오 수 공</t>
        </is>
      </c>
      <c r="C191" t="n">
        <v>24</v>
      </c>
      <c r="D191" t="inlineStr">
        <is>
          <t>자). 고강성PVC이중벽관 이경티</t>
        </is>
      </c>
      <c r="E191" t="inlineStr">
        <is>
          <t>D300xD200</t>
        </is>
      </c>
      <c r="F191" t="n">
        <v>7</v>
      </c>
      <c r="G191" t="inlineStr">
        <is>
          <t>ea</t>
        </is>
      </c>
      <c r="H191" s="64" t="n">
        <v>519</v>
      </c>
      <c r="I191" s="64">
        <f>F191*H191</f>
        <v/>
      </c>
      <c r="J191" s="64" t="n">
        <v>25428</v>
      </c>
      <c r="K191" s="64">
        <f>F191*J191</f>
        <v/>
      </c>
      <c r="L191" s="64" t="n"/>
      <c r="M191" s="64">
        <f>F191*L191</f>
        <v/>
      </c>
      <c r="N191" s="64">
        <f>H191+J191+L191</f>
        <v/>
      </c>
      <c r="O191" s="64">
        <f>I191+K191+M191</f>
        <v/>
      </c>
      <c r="P191" t="inlineStr">
        <is>
          <t>가영현</t>
        </is>
      </c>
      <c r="Q191" t="inlineStr">
        <is>
          <t>고강성PVC이중벽관 이경티</t>
        </is>
      </c>
    </row>
    <row r="192" ht="24" customHeight="1" s="34">
      <c r="A192" t="inlineStr">
        <is>
          <t>01 토목</t>
        </is>
      </c>
      <c r="B192" t="inlineStr">
        <is>
          <t>3. 오 수 공</t>
        </is>
      </c>
      <c r="C192" t="n">
        <v>25</v>
      </c>
      <c r="D192" t="inlineStr">
        <is>
          <t>차). 고강성PVC이중벽관 90 엘보</t>
        </is>
      </c>
      <c r="E192" t="inlineStr">
        <is>
          <t>D200</t>
        </is>
      </c>
      <c r="F192" t="n">
        <v>7</v>
      </c>
      <c r="G192" t="inlineStr">
        <is>
          <t>ea</t>
        </is>
      </c>
      <c r="H192" s="64" t="n">
        <v>519</v>
      </c>
      <c r="I192" s="64">
        <f>F192*H192</f>
        <v/>
      </c>
      <c r="J192" s="64" t="n">
        <v>25428</v>
      </c>
      <c r="K192" s="64">
        <f>F192*J192</f>
        <v/>
      </c>
      <c r="L192" s="64" t="n">
        <v>0</v>
      </c>
      <c r="M192" s="64">
        <f>F192*L192</f>
        <v/>
      </c>
      <c r="N192" s="64">
        <f>H192+J192+L192</f>
        <v/>
      </c>
      <c r="O192" s="64">
        <f>I192+K192+M192</f>
        <v/>
      </c>
      <c r="Q192" t="inlineStr">
        <is>
          <t>D200</t>
        </is>
      </c>
    </row>
    <row r="193" ht="24" customHeight="1" s="34">
      <c r="A193" t="inlineStr">
        <is>
          <t>01 토목</t>
        </is>
      </c>
      <c r="B193" t="inlineStr">
        <is>
          <t>3. 오 수 공</t>
        </is>
      </c>
      <c r="C193" t="n">
        <v>26</v>
      </c>
      <c r="D193" t="inlineStr">
        <is>
          <t>1). 하수관내CCTV조사</t>
        </is>
      </c>
      <c r="E193" t="inlineStr">
        <is>
          <t>신설(1일:520m)</t>
        </is>
      </c>
      <c r="F193" t="n">
        <v>430</v>
      </c>
      <c r="G193" t="inlineStr">
        <is>
          <t>m</t>
        </is>
      </c>
      <c r="H193" s="64" t="n">
        <v>82</v>
      </c>
      <c r="I193" s="64">
        <f>F193*H193</f>
        <v/>
      </c>
      <c r="J193" s="64" t="n">
        <v>1966</v>
      </c>
      <c r="K193" s="64">
        <f>F193*J193</f>
        <v/>
      </c>
      <c r="L193" s="64" t="n">
        <v>303</v>
      </c>
      <c r="M193" s="64">
        <f>F193*L193</f>
        <v/>
      </c>
      <c r="N193" s="64">
        <f>H193+J193+L193</f>
        <v/>
      </c>
      <c r="O193" s="64">
        <f>I193+K193+M193</f>
        <v/>
      </c>
      <c r="Q193" t="inlineStr">
        <is>
          <t>하수관내CCTV조사</t>
        </is>
      </c>
    </row>
    <row r="194" ht="24" customHeight="1" s="34">
      <c r="A194" t="inlineStr">
        <is>
          <t>01 토목</t>
        </is>
      </c>
      <c r="B194" t="inlineStr">
        <is>
          <t>3. 오 수 공</t>
        </is>
      </c>
      <c r="C194" t="n">
        <v>27</v>
      </c>
      <c r="D194" t="inlineStr">
        <is>
          <t>2). 관로경고용테이프설치</t>
        </is>
      </c>
      <c r="E194" t="inlineStr">
        <is>
          <t>200mmx1m</t>
        </is>
      </c>
      <c r="F194" t="n">
        <v>644</v>
      </c>
      <c r="G194" t="inlineStr">
        <is>
          <t>m</t>
        </is>
      </c>
      <c r="H194" s="64" t="n">
        <v>500</v>
      </c>
      <c r="I194" s="64">
        <f>F194*H194</f>
        <v/>
      </c>
      <c r="J194" s="64" t="n">
        <v>1000</v>
      </c>
      <c r="K194" s="64">
        <f>F194*J194</f>
        <v/>
      </c>
      <c r="L194" s="64" t="n"/>
      <c r="M194" s="64">
        <f>F194*L194</f>
        <v/>
      </c>
      <c r="N194" s="64">
        <f>H194+J194+L194</f>
        <v/>
      </c>
      <c r="O194" s="64">
        <f>I194+K194+M194</f>
        <v/>
      </c>
      <c r="P194" t="inlineStr">
        <is>
          <t>가영현</t>
        </is>
      </c>
      <c r="Q194" t="inlineStr">
        <is>
          <t>관로경고용테이프설치</t>
        </is>
      </c>
    </row>
    <row r="195" ht="24" customHeight="1" s="34">
      <c r="A195" t="inlineStr">
        <is>
          <t>01 토목</t>
        </is>
      </c>
      <c r="B195" t="inlineStr">
        <is>
          <t>3. 오 수 공</t>
        </is>
      </c>
      <c r="C195" t="n">
        <v>28</v>
      </c>
      <c r="D195" t="inlineStr">
        <is>
          <t>3). 하수관 공기압시험</t>
        </is>
      </c>
      <c r="E195" t="inlineStr">
        <is>
          <t>D300mm</t>
        </is>
      </c>
      <c r="F195" t="n">
        <v>9</v>
      </c>
      <c r="G195" t="inlineStr">
        <is>
          <t>회</t>
        </is>
      </c>
      <c r="H195" s="64" t="n">
        <v>150000</v>
      </c>
      <c r="I195" s="64">
        <f>F195*H195</f>
        <v/>
      </c>
      <c r="J195" s="64" t="n">
        <v>300000</v>
      </c>
      <c r="K195" s="64">
        <f>F195*J195</f>
        <v/>
      </c>
      <c r="L195" s="64" t="n"/>
      <c r="M195" s="64">
        <f>F195*L195</f>
        <v/>
      </c>
      <c r="N195" s="64">
        <f>H195+J195+L195</f>
        <v/>
      </c>
      <c r="O195" s="64">
        <f>I195+K195+M195</f>
        <v/>
      </c>
      <c r="P195" t="inlineStr">
        <is>
          <t>가영현</t>
        </is>
      </c>
      <c r="Q195" t="inlineStr">
        <is>
          <t>D300mm, 하수관 공기압시험</t>
        </is>
      </c>
    </row>
    <row r="196" ht="24" customHeight="1" s="34">
      <c r="A196" t="inlineStr">
        <is>
          <t>01 토목</t>
        </is>
      </c>
      <c r="B196" t="inlineStr">
        <is>
          <t>3. 오 수 공</t>
        </is>
      </c>
      <c r="C196" t="n">
        <v>29</v>
      </c>
      <c r="D196" t="inlineStr">
        <is>
          <t>가). 분기관 표식설치</t>
        </is>
      </c>
      <c r="E196" t="inlineStr">
        <is>
          <t>ELP D80,L=1.5M</t>
        </is>
      </c>
      <c r="F196" t="n">
        <v>8</v>
      </c>
      <c r="G196" t="inlineStr">
        <is>
          <t>개소</t>
        </is>
      </c>
      <c r="H196" s="64" t="n">
        <v>6303</v>
      </c>
      <c r="I196" s="64">
        <f>F196*H196</f>
        <v/>
      </c>
      <c r="J196" s="64" t="n">
        <v>210121</v>
      </c>
      <c r="K196" s="64">
        <f>F196*J196</f>
        <v/>
      </c>
      <c r="L196" s="64" t="n"/>
      <c r="M196" s="64">
        <f>F196*L196</f>
        <v/>
      </c>
      <c r="N196" s="64">
        <f>H196+J196+L196</f>
        <v/>
      </c>
      <c r="O196" s="64">
        <f>I196+K196+M196</f>
        <v/>
      </c>
      <c r="P196" t="inlineStr">
        <is>
          <t>가영현</t>
        </is>
      </c>
      <c r="Q196" t="inlineStr">
        <is>
          <t>L=1.5M</t>
        </is>
      </c>
    </row>
    <row r="197" ht="24" customHeight="1" s="34">
      <c r="A197" t="inlineStr">
        <is>
          <t>01 토목</t>
        </is>
      </c>
      <c r="B197" t="inlineStr">
        <is>
          <t>3. 오 수 공</t>
        </is>
      </c>
      <c r="C197" t="n">
        <v>30</v>
      </c>
      <c r="D197" t="inlineStr">
        <is>
          <t>나). 분기관표시못 설치</t>
        </is>
      </c>
      <c r="E197" t="inlineStr">
        <is>
          <t>D80X110</t>
        </is>
      </c>
      <c r="F197" t="n">
        <v>8</v>
      </c>
      <c r="G197" t="inlineStr">
        <is>
          <t>개소</t>
        </is>
      </c>
      <c r="H197" s="64" t="n">
        <v>2600</v>
      </c>
      <c r="I197" s="64">
        <f>F197*H197</f>
        <v/>
      </c>
      <c r="J197" s="64" t="n">
        <v>39820</v>
      </c>
      <c r="K197" s="64">
        <f>F197*J197</f>
        <v/>
      </c>
      <c r="L197" s="64" t="n">
        <v>2608</v>
      </c>
      <c r="M197" s="64">
        <f>F197*L197</f>
        <v/>
      </c>
      <c r="N197" s="64">
        <f>H197+J197+L197</f>
        <v/>
      </c>
      <c r="O197" s="64">
        <f>I197+K197+M197</f>
        <v/>
      </c>
      <c r="P197" t="inlineStr">
        <is>
          <t>가영현</t>
        </is>
      </c>
      <c r="Q197" t="inlineStr">
        <is>
          <t>분기관표시못 설치</t>
        </is>
      </c>
    </row>
    <row r="198" ht="24" customHeight="1" s="34">
      <c r="A198" t="inlineStr">
        <is>
          <t>01 토목</t>
        </is>
      </c>
      <c r="B198" t="inlineStr">
        <is>
          <t>3. 오 수 공</t>
        </is>
      </c>
      <c r="C198" t="n">
        <v>31</v>
      </c>
      <c r="D198" t="inlineStr">
        <is>
          <t>다). 마개</t>
        </is>
      </c>
      <c r="E198" t="inlineStr">
        <is>
          <t>150㎜, 파상형경질PE전선관용</t>
        </is>
      </c>
      <c r="F198" t="n">
        <v>8</v>
      </c>
      <c r="G198" t="inlineStr">
        <is>
          <t>ea</t>
        </is>
      </c>
      <c r="H198" s="64" t="n">
        <v>3261</v>
      </c>
      <c r="I198" s="64">
        <f>F198*H198</f>
        <v/>
      </c>
      <c r="J198" s="64" t="n">
        <v>43712</v>
      </c>
      <c r="K198" s="64">
        <f>F198*J198</f>
        <v/>
      </c>
      <c r="L198" s="64" t="n"/>
      <c r="M198" s="64">
        <f>F198*L198</f>
        <v/>
      </c>
      <c r="N198" s="64">
        <f>H198+J198+L198</f>
        <v/>
      </c>
      <c r="O198" s="64">
        <f>I198+K198+M198</f>
        <v/>
      </c>
      <c r="P198" t="inlineStr">
        <is>
          <t>가영현</t>
        </is>
      </c>
      <c r="Q198" t="inlineStr">
        <is>
          <t>150㎜</t>
        </is>
      </c>
    </row>
    <row r="199" ht="24" customHeight="1" s="34">
      <c r="A199" t="inlineStr">
        <is>
          <t>01 토목</t>
        </is>
      </c>
      <c r="B199" t="inlineStr">
        <is>
          <t>3. 오 수 공</t>
        </is>
      </c>
      <c r="C199" t="n">
        <v>32</v>
      </c>
      <c r="D199" t="inlineStr">
        <is>
          <t>가). 보통시멘트</t>
        </is>
      </c>
      <c r="E199" t="inlineStr">
        <is>
          <t>40kg/대 (포장품)</t>
        </is>
      </c>
      <c r="F199" t="n">
        <v>11</v>
      </c>
      <c r="G199" t="inlineStr">
        <is>
          <t>대</t>
        </is>
      </c>
      <c r="H199" s="64" t="n">
        <v>5500</v>
      </c>
      <c r="I199" s="64">
        <f>F199*H199</f>
        <v/>
      </c>
      <c r="J199" s="64" t="n"/>
      <c r="K199" s="64">
        <f>F199*J199</f>
        <v/>
      </c>
      <c r="L199" s="64" t="n"/>
      <c r="M199" s="64">
        <f>F199*L199</f>
        <v/>
      </c>
      <c r="N199" s="64">
        <f>H199+J199+L199</f>
        <v/>
      </c>
      <c r="O199" s="64">
        <f>I199+K199+M199</f>
        <v/>
      </c>
      <c r="P199" t="inlineStr">
        <is>
          <t>가영현</t>
        </is>
      </c>
      <c r="Q199" t="inlineStr">
        <is>
          <t>40kg/대 (포장품), 포장품, 보통시멘트, 40kg, 대 (포장품)</t>
        </is>
      </c>
    </row>
    <row r="200" ht="24" customHeight="1" s="34">
      <c r="A200" t="inlineStr">
        <is>
          <t>01 토목</t>
        </is>
      </c>
      <c r="B200" t="inlineStr">
        <is>
          <t>3. 오 수 공</t>
        </is>
      </c>
      <c r="C200" t="n">
        <v>33</v>
      </c>
      <c r="D200" t="inlineStr">
        <is>
          <t>나). 시멘트운반</t>
        </is>
      </c>
      <c r="E200" t="inlineStr">
        <is>
          <t>L=30km이내</t>
        </is>
      </c>
      <c r="F200" t="n">
        <v>11</v>
      </c>
      <c r="G200" t="inlineStr">
        <is>
          <t>대</t>
        </is>
      </c>
      <c r="I200" s="64">
        <f>F200*H200</f>
        <v/>
      </c>
      <c r="J200" s="64" t="n"/>
      <c r="K200" s="64">
        <f>F200*J200</f>
        <v/>
      </c>
      <c r="L200" s="64" t="n">
        <v>200</v>
      </c>
      <c r="M200" s="64">
        <f>F200*L200</f>
        <v/>
      </c>
      <c r="N200" s="64">
        <f>H200+J200+L200</f>
        <v/>
      </c>
      <c r="O200" s="64">
        <f>I200+K200+M200</f>
        <v/>
      </c>
      <c r="P200" t="inlineStr">
        <is>
          <t>가영현</t>
        </is>
      </c>
      <c r="Q200" t="inlineStr">
        <is>
          <t>L=30km이내, 시멘트운반</t>
        </is>
      </c>
    </row>
    <row r="201" ht="24" customHeight="1" s="34">
      <c r="A201" t="inlineStr">
        <is>
          <t>01 토목</t>
        </is>
      </c>
      <c r="B201" t="inlineStr">
        <is>
          <t>3. 오 수 공</t>
        </is>
      </c>
      <c r="C201" t="n">
        <v>34</v>
      </c>
      <c r="D201" t="inlineStr">
        <is>
          <t>가). 모래</t>
        </is>
      </c>
      <c r="E201" t="inlineStr">
        <is>
          <t>강모래, 현장도착도</t>
        </is>
      </c>
      <c r="F201" t="n">
        <v>187</v>
      </c>
      <c r="G201" t="inlineStr">
        <is>
          <t>㎥</t>
        </is>
      </c>
      <c r="H201" s="64" t="n">
        <v>45000</v>
      </c>
      <c r="I201" s="64">
        <f>F201*H201</f>
        <v/>
      </c>
      <c r="J201" s="64" t="n">
        <v>0</v>
      </c>
      <c r="K201" s="64">
        <f>F201*J201</f>
        <v/>
      </c>
      <c r="L201" s="64" t="n"/>
      <c r="M201" s="64">
        <f>F201*L201</f>
        <v/>
      </c>
      <c r="N201" s="64">
        <f>H201+J201+L201</f>
        <v/>
      </c>
      <c r="O201" s="64">
        <f>I201+K201+M201</f>
        <v/>
      </c>
      <c r="P201" t="inlineStr">
        <is>
          <t>가영현</t>
        </is>
      </c>
      <c r="Q201" t="inlineStr">
        <is>
          <t>모래</t>
        </is>
      </c>
    </row>
    <row r="202" ht="24" customHeight="1" s="34">
      <c r="A202" t="inlineStr">
        <is>
          <t>01 토목</t>
        </is>
      </c>
      <c r="B202" t="inlineStr">
        <is>
          <t>3. 오 수 공</t>
        </is>
      </c>
      <c r="C202" t="n">
        <v>35</v>
      </c>
      <c r="D202" t="inlineStr">
        <is>
          <t>가). 이형철근</t>
        </is>
      </c>
      <c r="E202" t="inlineStr">
        <is>
          <t>D13M/M 0.995KG/M SD30A</t>
        </is>
      </c>
      <c r="F202" t="n">
        <v>0.51</v>
      </c>
      <c r="G202" t="inlineStr">
        <is>
          <t>Ton</t>
        </is>
      </c>
      <c r="H202" s="64" t="n">
        <v>952000</v>
      </c>
      <c r="I202" s="64">
        <f>F202*H202</f>
        <v/>
      </c>
      <c r="J202" s="64" t="n">
        <v>0</v>
      </c>
      <c r="K202" s="64">
        <f>F202*J202</f>
        <v/>
      </c>
      <c r="L202" s="64" t="n">
        <v>0</v>
      </c>
      <c r="M202" s="64">
        <f>F202*L202</f>
        <v/>
      </c>
      <c r="N202" s="64">
        <f>H202+J202+L202</f>
        <v/>
      </c>
      <c r="O202" s="64">
        <f>I202+K202+M202</f>
        <v/>
      </c>
      <c r="Q202" t="inlineStr">
        <is>
          <t>이형철근</t>
        </is>
      </c>
    </row>
    <row r="203" ht="24" customHeight="1" s="34">
      <c r="A203" t="inlineStr">
        <is>
          <t>01 토목</t>
        </is>
      </c>
      <c r="B203" t="inlineStr">
        <is>
          <t>3. 오 수 공</t>
        </is>
      </c>
      <c r="C203" t="n">
        <v>36</v>
      </c>
      <c r="D203" t="inlineStr">
        <is>
          <t>나). 이형철근</t>
        </is>
      </c>
      <c r="E203" t="inlineStr">
        <is>
          <t>D16M/M 1.560KG/M SD30A</t>
        </is>
      </c>
      <c r="F203" t="n">
        <v>0.587</v>
      </c>
      <c r="G203" t="inlineStr">
        <is>
          <t>Ton</t>
        </is>
      </c>
      <c r="H203" s="64" t="n">
        <v>952000</v>
      </c>
      <c r="I203" s="64">
        <f>F203*H203</f>
        <v/>
      </c>
      <c r="J203" s="64" t="n">
        <v>0</v>
      </c>
      <c r="K203" s="64">
        <f>F203*J203</f>
        <v/>
      </c>
      <c r="L203" s="64" t="n">
        <v>0</v>
      </c>
      <c r="M203" s="64">
        <f>F203*L203</f>
        <v/>
      </c>
      <c r="N203" s="64">
        <f>H203+J203+L203</f>
        <v/>
      </c>
      <c r="O203" s="64">
        <f>I203+K203+M203</f>
        <v/>
      </c>
      <c r="Q203" t="inlineStr">
        <is>
          <t>이형철근</t>
        </is>
      </c>
    </row>
    <row r="204" ht="24" customHeight="1" s="34">
      <c r="A204" t="inlineStr">
        <is>
          <t>01 토목</t>
        </is>
      </c>
      <c r="B204" t="inlineStr">
        <is>
          <t>3. 오 수 공</t>
        </is>
      </c>
      <c r="C204" t="n">
        <v>37</v>
      </c>
      <c r="D204" t="inlineStr">
        <is>
          <t>다). 철근운반비</t>
        </is>
      </c>
      <c r="E204" t="inlineStr">
        <is>
          <t>L=10km이내</t>
        </is>
      </c>
      <c r="F204" t="n">
        <v>1.097</v>
      </c>
      <c r="G204" t="inlineStr">
        <is>
          <t>Ton</t>
        </is>
      </c>
      <c r="I204" s="64">
        <f>F204*H204</f>
        <v/>
      </c>
      <c r="J204" s="64" t="n"/>
      <c r="K204" s="64">
        <f>F204*J204</f>
        <v/>
      </c>
      <c r="L204" s="64" t="n">
        <v>30000</v>
      </c>
      <c r="M204" s="64">
        <f>F204*L204</f>
        <v/>
      </c>
      <c r="N204" s="64">
        <f>H204+J204+L204</f>
        <v/>
      </c>
      <c r="O204" s="64">
        <f>I204+K204+M204</f>
        <v/>
      </c>
      <c r="P204" t="inlineStr">
        <is>
          <t>가영현</t>
        </is>
      </c>
      <c r="Q204" t="inlineStr">
        <is>
          <t>L=10km이내, 철근운반비</t>
        </is>
      </c>
    </row>
    <row r="205" ht="24" customHeight="1" s="34">
      <c r="A205" t="inlineStr">
        <is>
          <t>01 토목</t>
        </is>
      </c>
      <c r="B205" t="inlineStr">
        <is>
          <t>3. 오 수 공</t>
        </is>
      </c>
      <c r="C205" t="n">
        <v>38</v>
      </c>
      <c r="D205" t="inlineStr">
        <is>
          <t>라). 고철(고재)</t>
        </is>
      </c>
      <c r="E205" t="inlineStr">
        <is>
          <t>중량A</t>
        </is>
      </c>
      <c r="F205" t="n">
        <v>0.032</v>
      </c>
      <c r="G205" t="inlineStr">
        <is>
          <t>Ton</t>
        </is>
      </c>
      <c r="H205" s="64" t="n">
        <v>-100000</v>
      </c>
      <c r="I205" s="64">
        <f>F205*H205</f>
        <v/>
      </c>
      <c r="J205" s="64" t="n"/>
      <c r="K205" s="64">
        <f>F205*J205</f>
        <v/>
      </c>
      <c r="L205" s="64" t="n"/>
      <c r="M205" s="64">
        <f>F205*L205</f>
        <v/>
      </c>
      <c r="N205" s="64">
        <f>H205+J205+L205</f>
        <v/>
      </c>
      <c r="O205" s="64">
        <f>I205+K205+M205</f>
        <v/>
      </c>
      <c r="P205" t="inlineStr">
        <is>
          <t>가영현</t>
        </is>
      </c>
      <c r="Q205" t="inlineStr">
        <is>
          <t>중량A, 고재, 고철</t>
        </is>
      </c>
    </row>
    <row r="206" ht="24" customHeight="1" s="34">
      <c r="A206" t="inlineStr">
        <is>
          <t>01 토목</t>
        </is>
      </c>
      <c r="B206" t="inlineStr">
        <is>
          <t>3. 오 수 공</t>
        </is>
      </c>
      <c r="C206" t="n">
        <v>39</v>
      </c>
      <c r="D206" t="inlineStr">
        <is>
          <t>가). 레미콘</t>
        </is>
      </c>
      <c r="E206" t="inlineStr">
        <is>
          <t>25-21- 8(Mpa)</t>
        </is>
      </c>
      <c r="F206" t="n">
        <v>32</v>
      </c>
      <c r="G206" t="inlineStr">
        <is>
          <t>㎥</t>
        </is>
      </c>
      <c r="H206" s="64" t="n">
        <v>108000</v>
      </c>
      <c r="I206" s="64">
        <f>F206*H206</f>
        <v/>
      </c>
      <c r="J206" s="64" t="n">
        <v>64674</v>
      </c>
      <c r="K206" s="64">
        <f>F206*J206</f>
        <v/>
      </c>
      <c r="L206" s="64" t="n"/>
      <c r="M206" s="64">
        <f>F206*L206</f>
        <v/>
      </c>
      <c r="N206" s="64">
        <f>H206+J206+L206</f>
        <v/>
      </c>
      <c r="O206" s="64">
        <f>I206+K206+M206</f>
        <v/>
      </c>
      <c r="P206" t="inlineStr">
        <is>
          <t>가영현</t>
        </is>
      </c>
      <c r="Q206" t="inlineStr">
        <is>
          <t>레미콘</t>
        </is>
      </c>
    </row>
    <row r="207" ht="24" customHeight="1" s="34">
      <c r="A207" t="inlineStr">
        <is>
          <t>01 토목</t>
        </is>
      </c>
      <c r="B207" t="inlineStr">
        <is>
          <t>3. 오 수 공</t>
        </is>
      </c>
      <c r="C207" t="n">
        <v>40</v>
      </c>
      <c r="D207" t="inlineStr">
        <is>
          <t>나). 레미콘</t>
        </is>
      </c>
      <c r="E207" t="inlineStr">
        <is>
          <t>25-18-8(Mpa)</t>
        </is>
      </c>
      <c r="F207" t="n">
        <v>15</v>
      </c>
      <c r="G207" t="inlineStr">
        <is>
          <t>㎥</t>
        </is>
      </c>
      <c r="H207" s="64" t="n">
        <v>99000</v>
      </c>
      <c r="I207" s="64">
        <f>F207*H207</f>
        <v/>
      </c>
      <c r="J207" s="64" t="n">
        <v>64674</v>
      </c>
      <c r="K207" s="64">
        <f>F207*J207</f>
        <v/>
      </c>
      <c r="L207" s="64" t="n"/>
      <c r="M207" s="64">
        <f>F207*L207</f>
        <v/>
      </c>
      <c r="N207" s="64">
        <f>H207+J207+L207</f>
        <v/>
      </c>
      <c r="O207" s="64">
        <f>I207+K207+M207</f>
        <v/>
      </c>
      <c r="P207" t="inlineStr">
        <is>
          <t>가영현</t>
        </is>
      </c>
      <c r="Q207" t="inlineStr">
        <is>
          <t>레미콘</t>
        </is>
      </c>
    </row>
    <row r="208" ht="24" customHeight="1" s="34">
      <c r="A208" t="inlineStr">
        <is>
          <t>01 토목</t>
        </is>
      </c>
      <c r="B208" t="inlineStr">
        <is>
          <t>3. 오 수 공</t>
        </is>
      </c>
      <c r="C208" t="n">
        <v>41</v>
      </c>
      <c r="D208" t="inlineStr">
        <is>
          <t>가). 고강성PVC이중벽관</t>
        </is>
      </c>
      <c r="E208" t="inlineStr">
        <is>
          <t>D150mm, 직관</t>
        </is>
      </c>
      <c r="F208" t="n">
        <v>15</v>
      </c>
      <c r="G208" t="inlineStr">
        <is>
          <t>본</t>
        </is>
      </c>
      <c r="H208" s="64" t="n">
        <v>65000</v>
      </c>
      <c r="I208" s="64">
        <f>F208*H208</f>
        <v/>
      </c>
      <c r="J208" s="64" t="n"/>
      <c r="K208" s="64">
        <f>F208*J208</f>
        <v/>
      </c>
      <c r="L208" s="64" t="n"/>
      <c r="M208" s="64">
        <f>F208*L208</f>
        <v/>
      </c>
      <c r="N208" s="64">
        <f>H208+J208+L208</f>
        <v/>
      </c>
      <c r="O208" s="64">
        <f>I208+K208+M208</f>
        <v/>
      </c>
      <c r="P208" t="inlineStr">
        <is>
          <t>가영현</t>
        </is>
      </c>
      <c r="Q208" t="inlineStr">
        <is>
          <t>D150mm, 직관, 고강성PVC이중벽관, D150mm, 직관</t>
        </is>
      </c>
    </row>
    <row r="209" ht="24" customHeight="1" s="34">
      <c r="A209" t="inlineStr">
        <is>
          <t>01 토목</t>
        </is>
      </c>
      <c r="B209" t="inlineStr">
        <is>
          <t>3. 오 수 공</t>
        </is>
      </c>
      <c r="C209" t="n">
        <v>42</v>
      </c>
      <c r="D209" t="inlineStr">
        <is>
          <t>나). 고강성PVC이중벽관</t>
        </is>
      </c>
      <c r="E209" t="inlineStr">
        <is>
          <t>D200mm, 직관</t>
        </is>
      </c>
      <c r="F209" t="n">
        <v>2</v>
      </c>
      <c r="G209" t="inlineStr">
        <is>
          <t>본</t>
        </is>
      </c>
      <c r="H209" s="64" t="n">
        <v>80000</v>
      </c>
      <c r="I209" s="64">
        <f>F209*H209</f>
        <v/>
      </c>
      <c r="J209" s="64" t="n"/>
      <c r="K209" s="64">
        <f>F209*J209</f>
        <v/>
      </c>
      <c r="L209" s="64" t="n"/>
      <c r="M209" s="64">
        <f>F209*L209</f>
        <v/>
      </c>
      <c r="N209" s="64">
        <f>H209+J209+L209</f>
        <v/>
      </c>
      <c r="O209" s="64">
        <f>I209+K209+M209</f>
        <v/>
      </c>
      <c r="P209" t="inlineStr">
        <is>
          <t>가영현</t>
        </is>
      </c>
      <c r="Q209" t="inlineStr">
        <is>
          <t>D200mm, 직관, 고강성PVC이중벽관, D200mm, 직관</t>
        </is>
      </c>
    </row>
    <row r="210" ht="24" customHeight="1" s="34">
      <c r="A210" t="inlineStr">
        <is>
          <t>01 토목</t>
        </is>
      </c>
      <c r="B210" t="inlineStr">
        <is>
          <t>3. 오 수 공</t>
        </is>
      </c>
      <c r="C210" t="n">
        <v>43</v>
      </c>
      <c r="D210" t="inlineStr">
        <is>
          <t>다). 고강성PVC이중벽관</t>
        </is>
      </c>
      <c r="E210" t="inlineStr">
        <is>
          <t>D300mm, 직관</t>
        </is>
      </c>
      <c r="F210" t="n">
        <v>75</v>
      </c>
      <c r="G210" t="inlineStr">
        <is>
          <t>본</t>
        </is>
      </c>
      <c r="H210" s="64" t="n">
        <v>120000</v>
      </c>
      <c r="I210" s="64">
        <f>F210*H210</f>
        <v/>
      </c>
      <c r="J210" s="64" t="n"/>
      <c r="K210" s="64">
        <f>F210*J210</f>
        <v/>
      </c>
      <c r="L210" s="64" t="n"/>
      <c r="M210" s="64">
        <f>F210*L210</f>
        <v/>
      </c>
      <c r="N210" s="64">
        <f>H210+J210+L210</f>
        <v/>
      </c>
      <c r="O210" s="64">
        <f>I210+K210+M210</f>
        <v/>
      </c>
      <c r="P210" t="inlineStr">
        <is>
          <t>가영현</t>
        </is>
      </c>
      <c r="Q210" t="inlineStr">
        <is>
          <t>D300mm, 직관, 고강성PVC이중벽관, D300mm, 직관</t>
        </is>
      </c>
    </row>
    <row r="211" ht="24" customHeight="1" s="34">
      <c r="A211" t="inlineStr">
        <is>
          <t>01 토목</t>
        </is>
      </c>
      <c r="B211" t="inlineStr">
        <is>
          <t>3. 오 수 공</t>
        </is>
      </c>
      <c r="C211" t="n">
        <v>44</v>
      </c>
      <c r="D211" t="inlineStr">
        <is>
          <t>가). 맨홀뚜껑(주철제)</t>
        </is>
      </c>
      <c r="E211" t="inlineStr">
        <is>
          <t>Φ648KS, 하수도용(잠금식)</t>
        </is>
      </c>
      <c r="F211" t="n">
        <v>15</v>
      </c>
      <c r="G211" t="inlineStr">
        <is>
          <t>조</t>
        </is>
      </c>
      <c r="H211" s="64" t="n">
        <v>0</v>
      </c>
      <c r="I211" s="64">
        <f>F211*H211</f>
        <v/>
      </c>
      <c r="J211" s="64" t="n">
        <v>289893</v>
      </c>
      <c r="K211" s="64">
        <f>F211*J211</f>
        <v/>
      </c>
      <c r="L211" s="64" t="n">
        <v>0</v>
      </c>
      <c r="M211" s="64">
        <f>F211*L211</f>
        <v/>
      </c>
      <c r="N211" s="64">
        <f>H211+J211+L211</f>
        <v/>
      </c>
      <c r="O211" s="64">
        <f>I211+K211+M211</f>
        <v/>
      </c>
      <c r="Q211" t="inlineStr">
        <is>
          <t>주철제</t>
        </is>
      </c>
    </row>
    <row r="212" ht="24" customHeight="1" s="34">
      <c r="A212" s="15" t="inlineStr">
        <is>
          <t>01 토목</t>
        </is>
      </c>
      <c r="B212" s="15" t="inlineStr">
        <is>
          <t>3. 오 수 공</t>
        </is>
      </c>
      <c r="C212" s="15" t="n"/>
      <c r="D212" s="15" t="inlineStr">
        <is>
          <t>★ 3. 오 수 공 소계</t>
        </is>
      </c>
      <c r="E212" s="15" t="n"/>
      <c r="F212" s="15" t="n"/>
      <c r="G212" s="15" t="n"/>
      <c r="H212" s="66" t="n"/>
      <c r="I212" s="66">
        <f>SUM(I168:I211)</f>
        <v/>
      </c>
      <c r="J212" s="66" t="n"/>
      <c r="K212" s="66">
        <f>SUM(K168:K211)</f>
        <v/>
      </c>
      <c r="L212" s="66" t="n"/>
      <c r="M212" s="66">
        <f>SUM(M168:M211)</f>
        <v/>
      </c>
      <c r="N212" s="66" t="n"/>
      <c r="O212" s="66">
        <f>SUM(O168:O211)</f>
        <v/>
      </c>
      <c r="P212" s="15" t="n"/>
      <c r="Q212" s="15" t="inlineStr">
        <is>
          <t>44건</t>
        </is>
      </c>
    </row>
    <row r="213" ht="24" customHeight="1" s="34">
      <c r="A213" t="inlineStr">
        <is>
          <t>01 토목</t>
        </is>
      </c>
      <c r="B213" t="inlineStr">
        <is>
          <t>4. 상 수 공</t>
        </is>
      </c>
      <c r="C213" t="n">
        <v>1</v>
      </c>
      <c r="D213" t="inlineStr">
        <is>
          <t>(1). 터파기(토사)</t>
        </is>
      </c>
      <c r="E213" t="inlineStr">
        <is>
          <t>기계70%+인력30%, 보통토사</t>
        </is>
      </c>
      <c r="F213" t="n">
        <v>113</v>
      </c>
      <c r="G213" t="inlineStr">
        <is>
          <t>㎥</t>
        </is>
      </c>
      <c r="H213" s="64" t="n">
        <v>0</v>
      </c>
      <c r="I213" s="64">
        <f>F213*H213</f>
        <v/>
      </c>
      <c r="J213" s="64" t="n">
        <v>33455</v>
      </c>
      <c r="K213" s="64">
        <f>F213*J213</f>
        <v/>
      </c>
      <c r="L213" s="64" t="n">
        <v>0</v>
      </c>
      <c r="M213" s="64">
        <f>F213*L213</f>
        <v/>
      </c>
      <c r="N213" s="64">
        <f>H213+J213+L213</f>
        <v/>
      </c>
      <c r="O213" s="64">
        <f>I213+K213+M213</f>
        <v/>
      </c>
      <c r="Q213" t="inlineStr">
        <is>
          <t>1</t>
        </is>
      </c>
    </row>
    <row r="214" ht="24" customHeight="1" s="34">
      <c r="A214" t="inlineStr">
        <is>
          <t>01 토목</t>
        </is>
      </c>
      <c r="B214" t="inlineStr">
        <is>
          <t>4. 상 수 공</t>
        </is>
      </c>
      <c r="C214" t="n">
        <v>2</v>
      </c>
      <c r="D214" t="inlineStr">
        <is>
          <t>(2). 터파기(토사)</t>
        </is>
      </c>
      <c r="E214" t="inlineStr">
        <is>
          <t>TYPE-1, 백호1.0, 기계100%</t>
        </is>
      </c>
      <c r="F214" t="n">
        <v>1901</v>
      </c>
      <c r="G214" t="inlineStr">
        <is>
          <t>㎥</t>
        </is>
      </c>
      <c r="H214" s="64" t="n">
        <v>447</v>
      </c>
      <c r="I214" s="64">
        <f>F214*H214</f>
        <v/>
      </c>
      <c r="J214" s="64" t="n">
        <v>955</v>
      </c>
      <c r="K214" s="64">
        <f>F214*J214</f>
        <v/>
      </c>
      <c r="L214" s="64" t="n">
        <v>336</v>
      </c>
      <c r="M214" s="64">
        <f>F214*L214</f>
        <v/>
      </c>
      <c r="N214" s="64">
        <f>H214+J214+L214</f>
        <v/>
      </c>
      <c r="O214" s="64">
        <f>I214+K214+M214</f>
        <v/>
      </c>
      <c r="Q214" t="inlineStr">
        <is>
          <t>토사</t>
        </is>
      </c>
    </row>
    <row r="215" ht="24" customHeight="1" s="34">
      <c r="A215" t="inlineStr">
        <is>
          <t>01 토목</t>
        </is>
      </c>
      <c r="B215" t="inlineStr">
        <is>
          <t>4. 상 수 공</t>
        </is>
      </c>
      <c r="C215" t="n">
        <v>3</v>
      </c>
      <c r="D215" t="inlineStr">
        <is>
          <t>가). 되메우기 및 다짐(토사)</t>
        </is>
      </c>
      <c r="E215" t="inlineStr">
        <is>
          <t>기계90%,인력10%,래머 80KG</t>
        </is>
      </c>
      <c r="F215" t="n">
        <v>106</v>
      </c>
      <c r="G215" t="inlineStr">
        <is>
          <t>㎥</t>
        </is>
      </c>
      <c r="H215" s="64" t="n">
        <v>608</v>
      </c>
      <c r="I215" s="64">
        <f>F215*H215</f>
        <v/>
      </c>
      <c r="J215" s="64" t="n">
        <v>9980</v>
      </c>
      <c r="K215" s="64">
        <f>F215*J215</f>
        <v/>
      </c>
      <c r="L215" s="64" t="n">
        <v>440</v>
      </c>
      <c r="M215" s="64">
        <f>F215*L215</f>
        <v/>
      </c>
      <c r="N215" s="64">
        <f>H215+J215+L215</f>
        <v/>
      </c>
      <c r="O215" s="64">
        <f>I215+K215+M215</f>
        <v/>
      </c>
      <c r="Q215" t="inlineStr">
        <is>
          <t>되메우기 및 다짐</t>
        </is>
      </c>
    </row>
    <row r="216" ht="24" customHeight="1" s="34">
      <c r="A216" t="inlineStr">
        <is>
          <t>01 토목</t>
        </is>
      </c>
      <c r="B216" t="inlineStr">
        <is>
          <t>4. 상 수 공</t>
        </is>
      </c>
      <c r="C216" t="n">
        <v>4</v>
      </c>
      <c r="D216" t="inlineStr">
        <is>
          <t>나). 되메우기 및 다짐(토사)</t>
        </is>
      </c>
      <c r="E216" t="inlineStr">
        <is>
          <t>백호0.7+플레이트콤펙터1.5ton</t>
        </is>
      </c>
      <c r="F216" t="n">
        <v>1828</v>
      </c>
      <c r="G216" t="inlineStr">
        <is>
          <t>㎥</t>
        </is>
      </c>
      <c r="H216" s="64" t="n">
        <v>1652</v>
      </c>
      <c r="I216" s="64">
        <f>F216*H216</f>
        <v/>
      </c>
      <c r="J216" s="64" t="n">
        <v>3924</v>
      </c>
      <c r="K216" s="64">
        <f>F216*J216</f>
        <v/>
      </c>
      <c r="L216" s="64" t="n">
        <v>1432</v>
      </c>
      <c r="M216" s="64">
        <f>F216*L216</f>
        <v/>
      </c>
      <c r="N216" s="64">
        <f>H216+J216+L216</f>
        <v/>
      </c>
      <c r="O216" s="64">
        <f>I216+K216+M216</f>
        <v/>
      </c>
      <c r="Q216" t="inlineStr">
        <is>
          <t>되메우기 및 다짐</t>
        </is>
      </c>
    </row>
    <row r="217" ht="24" customHeight="1" s="34">
      <c r="A217" t="inlineStr">
        <is>
          <t>01 토목</t>
        </is>
      </c>
      <c r="B217" t="inlineStr">
        <is>
          <t>4. 상 수 공</t>
        </is>
      </c>
      <c r="C217" t="n">
        <v>5</v>
      </c>
      <c r="D217" t="inlineStr">
        <is>
          <t>가). 잔토처리(토사)</t>
        </is>
      </c>
      <c r="E217" t="inlineStr">
        <is>
          <t>기계100%</t>
        </is>
      </c>
      <c r="F217" t="n">
        <v>80</v>
      </c>
      <c r="G217" t="inlineStr">
        <is>
          <t>㎥</t>
        </is>
      </c>
      <c r="H217" s="64" t="n">
        <v>447</v>
      </c>
      <c r="I217" s="64">
        <f>F217*H217</f>
        <v/>
      </c>
      <c r="J217" s="64" t="n">
        <v>955</v>
      </c>
      <c r="K217" s="64">
        <f>F217*J217</f>
        <v/>
      </c>
      <c r="L217" s="64" t="n">
        <v>336</v>
      </c>
      <c r="M217" s="64">
        <f>F217*L217</f>
        <v/>
      </c>
      <c r="N217" s="64">
        <f>H217+J217+L217</f>
        <v/>
      </c>
      <c r="O217" s="64">
        <f>I217+K217+M217</f>
        <v/>
      </c>
      <c r="Q217" t="inlineStr">
        <is>
          <t>토사</t>
        </is>
      </c>
    </row>
    <row r="218" ht="24" customHeight="1" s="34">
      <c r="A218" t="inlineStr">
        <is>
          <t>01 토목</t>
        </is>
      </c>
      <c r="B218" t="inlineStr">
        <is>
          <t>4. 상 수 공</t>
        </is>
      </c>
      <c r="C218" t="n">
        <v>6</v>
      </c>
      <c r="D218" t="inlineStr">
        <is>
          <t>가). 주철관 부설 및 접합(KP접합)</t>
        </is>
      </c>
      <c r="E218" t="inlineStr">
        <is>
          <t>D100mm, 시공조건 B</t>
        </is>
      </c>
      <c r="F218" t="n">
        <v>135</v>
      </c>
      <c r="G218" t="inlineStr">
        <is>
          <t>m</t>
        </is>
      </c>
      <c r="I218" s="64">
        <f>F218*H218</f>
        <v/>
      </c>
      <c r="J218" s="64" t="n"/>
      <c r="K218" s="64">
        <f>F218*J218</f>
        <v/>
      </c>
      <c r="L218" s="64" t="n"/>
      <c r="M218" s="64">
        <f>F218*L218</f>
        <v/>
      </c>
      <c r="N218" s="64">
        <f>H218+J218+L218</f>
        <v/>
      </c>
      <c r="O218" s="64">
        <f>I218+K218+M218</f>
        <v/>
      </c>
      <c r="P218" t="inlineStr">
        <is>
          <t>미매칭</t>
        </is>
      </c>
      <c r="Q218" t="inlineStr">
        <is>
          <t>D100mm, 시공조건 B, KP접합, 주철관 부설 및 접합, D100mm, 시공조건 B</t>
        </is>
      </c>
    </row>
    <row r="219" ht="24" customHeight="1" s="34">
      <c r="A219" t="inlineStr">
        <is>
          <t>01 토목</t>
        </is>
      </c>
      <c r="B219" t="inlineStr">
        <is>
          <t>4. 상 수 공</t>
        </is>
      </c>
      <c r="C219" t="n">
        <v>7</v>
      </c>
      <c r="D219" t="inlineStr">
        <is>
          <t>나). 주철관 부설 및 접합(KP접합)</t>
        </is>
      </c>
      <c r="E219" t="inlineStr">
        <is>
          <t>D150mm, 시공조건 B</t>
        </is>
      </c>
      <c r="F219" t="n">
        <v>784</v>
      </c>
      <c r="G219" t="inlineStr">
        <is>
          <t>m</t>
        </is>
      </c>
      <c r="I219" s="64">
        <f>F219*H219</f>
        <v/>
      </c>
      <c r="J219" s="64" t="n"/>
      <c r="K219" s="64">
        <f>F219*J219</f>
        <v/>
      </c>
      <c r="L219" s="64" t="n"/>
      <c r="M219" s="64">
        <f>F219*L219</f>
        <v/>
      </c>
      <c r="N219" s="64">
        <f>H219+J219+L219</f>
        <v/>
      </c>
      <c r="O219" s="64">
        <f>I219+K219+M219</f>
        <v/>
      </c>
      <c r="P219" t="inlineStr">
        <is>
          <t>미매칭</t>
        </is>
      </c>
      <c r="Q219" t="inlineStr">
        <is>
          <t>D150mm, 시공조건 B, KP접합, 주철관 부설 및 접합, D150mm, 시공조건 B</t>
        </is>
      </c>
    </row>
    <row r="220" ht="24" customHeight="1" s="34">
      <c r="A220" t="inlineStr">
        <is>
          <t>01 토목</t>
        </is>
      </c>
      <c r="B220" t="inlineStr">
        <is>
          <t>4. 상 수 공</t>
        </is>
      </c>
      <c r="C220" t="n">
        <v>8</v>
      </c>
      <c r="D220" t="inlineStr">
        <is>
          <t>가). 주철 이형관 접합(KP접합)</t>
        </is>
      </c>
      <c r="E220" t="inlineStr">
        <is>
          <t>D100mm</t>
        </is>
      </c>
      <c r="F220" t="n">
        <v>17</v>
      </c>
      <c r="G220" t="inlineStr">
        <is>
          <t>개소</t>
        </is>
      </c>
      <c r="H220" s="64" t="n">
        <v>239</v>
      </c>
      <c r="I220" s="64">
        <f>F220*H220</f>
        <v/>
      </c>
      <c r="J220" s="64" t="n">
        <v>11694</v>
      </c>
      <c r="K220" s="64">
        <f>F220*J220</f>
        <v/>
      </c>
      <c r="L220" s="64" t="n">
        <v>0</v>
      </c>
      <c r="M220" s="64">
        <f>F220*L220</f>
        <v/>
      </c>
      <c r="N220" s="64">
        <f>H220+J220+L220</f>
        <v/>
      </c>
      <c r="O220" s="64">
        <f>I220+K220+M220</f>
        <v/>
      </c>
      <c r="Q220" t="inlineStr">
        <is>
          <t>D100mm</t>
        </is>
      </c>
    </row>
    <row r="221" ht="24" customHeight="1" s="34">
      <c r="A221" t="inlineStr">
        <is>
          <t>01 토목</t>
        </is>
      </c>
      <c r="B221" t="inlineStr">
        <is>
          <t>4. 상 수 공</t>
        </is>
      </c>
      <c r="C221" t="n">
        <v>9</v>
      </c>
      <c r="D221" t="inlineStr">
        <is>
          <t>나). 주철 이형관 접합(KP접합)</t>
        </is>
      </c>
      <c r="E221" t="inlineStr">
        <is>
          <t>D150mm</t>
        </is>
      </c>
      <c r="F221" t="n">
        <v>59</v>
      </c>
      <c r="G221" t="inlineStr">
        <is>
          <t>개소</t>
        </is>
      </c>
      <c r="H221" s="64" t="n">
        <v>358</v>
      </c>
      <c r="I221" s="64">
        <f>F221*H221</f>
        <v/>
      </c>
      <c r="J221" s="64" t="n">
        <v>17540</v>
      </c>
      <c r="K221" s="64">
        <f>F221*J221</f>
        <v/>
      </c>
      <c r="L221" s="64" t="n">
        <v>0</v>
      </c>
      <c r="M221" s="64">
        <f>F221*L221</f>
        <v/>
      </c>
      <c r="N221" s="64">
        <f>H221+J221+L221</f>
        <v/>
      </c>
      <c r="O221" s="64">
        <f>I221+K221+M221</f>
        <v/>
      </c>
      <c r="Q221" t="inlineStr">
        <is>
          <t>D150mm</t>
        </is>
      </c>
    </row>
    <row r="222" ht="24" customHeight="1" s="34">
      <c r="A222" t="inlineStr">
        <is>
          <t>01 토목</t>
        </is>
      </c>
      <c r="B222" t="inlineStr">
        <is>
          <t>4. 상 수 공</t>
        </is>
      </c>
      <c r="C222" t="n">
        <v>10</v>
      </c>
      <c r="D222" t="inlineStr">
        <is>
          <t>다). 주철 이형관 접합(이탈방지압륜)</t>
        </is>
      </c>
      <c r="E222" t="inlineStr">
        <is>
          <t>D100mm</t>
        </is>
      </c>
      <c r="F222" t="n">
        <v>33</v>
      </c>
      <c r="G222" t="inlineStr">
        <is>
          <t>개소</t>
        </is>
      </c>
      <c r="H222" s="64" t="n">
        <v>311</v>
      </c>
      <c r="I222" s="64">
        <f>F222*H222</f>
        <v/>
      </c>
      <c r="J222" s="64" t="n">
        <v>15201</v>
      </c>
      <c r="K222" s="64">
        <f>F222*J222</f>
        <v/>
      </c>
      <c r="L222" s="64" t="n">
        <v>0</v>
      </c>
      <c r="M222" s="64">
        <f>F222*L222</f>
        <v/>
      </c>
      <c r="N222" s="64">
        <f>H222+J222+L222</f>
        <v/>
      </c>
      <c r="O222" s="64">
        <f>I222+K222+M222</f>
        <v/>
      </c>
      <c r="Q222" t="inlineStr">
        <is>
          <t>이탈방지압륜</t>
        </is>
      </c>
    </row>
    <row r="223" ht="24" customHeight="1" s="34">
      <c r="A223" t="inlineStr">
        <is>
          <t>01 토목</t>
        </is>
      </c>
      <c r="B223" t="inlineStr">
        <is>
          <t>4. 상 수 공</t>
        </is>
      </c>
      <c r="C223" t="n">
        <v>11</v>
      </c>
      <c r="D223" t="inlineStr">
        <is>
          <t>라). 주철 이형관 접합(이탈방지압륜)</t>
        </is>
      </c>
      <c r="E223" t="inlineStr">
        <is>
          <t>D150mm</t>
        </is>
      </c>
      <c r="F223" t="n">
        <v>76</v>
      </c>
      <c r="G223" t="inlineStr">
        <is>
          <t>개소</t>
        </is>
      </c>
      <c r="H223" s="64" t="n">
        <v>466</v>
      </c>
      <c r="I223" s="64">
        <f>F223*H223</f>
        <v/>
      </c>
      <c r="J223" s="64" t="n">
        <v>22801</v>
      </c>
      <c r="K223" s="64">
        <f>F223*J223</f>
        <v/>
      </c>
      <c r="L223" s="64" t="n">
        <v>0</v>
      </c>
      <c r="M223" s="64">
        <f>F223*L223</f>
        <v/>
      </c>
      <c r="N223" s="64">
        <f>H223+J223+L223</f>
        <v/>
      </c>
      <c r="O223" s="64">
        <f>I223+K223+M223</f>
        <v/>
      </c>
      <c r="Q223" t="inlineStr">
        <is>
          <t>이탈방지압륜</t>
        </is>
      </c>
    </row>
    <row r="224" ht="24" customHeight="1" s="34">
      <c r="A224" t="inlineStr">
        <is>
          <t>01 토목</t>
        </is>
      </c>
      <c r="B224" t="inlineStr">
        <is>
          <t>4. 상 수 공</t>
        </is>
      </c>
      <c r="C224" t="n">
        <v>12</v>
      </c>
      <c r="D224" t="inlineStr">
        <is>
          <t>가). 플랜지 접합</t>
        </is>
      </c>
      <c r="E224" t="inlineStr">
        <is>
          <t>D100mm</t>
        </is>
      </c>
      <c r="F224" t="n">
        <v>12</v>
      </c>
      <c r="G224" t="inlineStr">
        <is>
          <t>개소</t>
        </is>
      </c>
      <c r="H224" s="64" t="n">
        <v>331</v>
      </c>
      <c r="I224" s="64">
        <f>F224*H224</f>
        <v/>
      </c>
      <c r="J224" s="64" t="n">
        <v>16570</v>
      </c>
      <c r="K224" s="64">
        <f>F224*J224</f>
        <v/>
      </c>
      <c r="L224" s="64" t="n">
        <v>0</v>
      </c>
      <c r="M224" s="64">
        <f>F224*L224</f>
        <v/>
      </c>
      <c r="N224" s="64">
        <f>H224+J224+L224</f>
        <v/>
      </c>
      <c r="O224" s="64">
        <f>I224+K224+M224</f>
        <v/>
      </c>
      <c r="Q224" t="inlineStr">
        <is>
          <t>플랜지 접합</t>
        </is>
      </c>
    </row>
    <row r="225" ht="24" customHeight="1" s="34">
      <c r="A225" t="inlineStr">
        <is>
          <t>01 토목</t>
        </is>
      </c>
      <c r="B225" t="inlineStr">
        <is>
          <t>4. 상 수 공</t>
        </is>
      </c>
      <c r="C225" t="n">
        <v>13</v>
      </c>
      <c r="D225" t="inlineStr">
        <is>
          <t>나). 플랜지 접합</t>
        </is>
      </c>
      <c r="E225" t="inlineStr">
        <is>
          <t>D150mm</t>
        </is>
      </c>
      <c r="F225" t="n">
        <v>33</v>
      </c>
      <c r="G225" t="inlineStr">
        <is>
          <t>개소</t>
        </is>
      </c>
      <c r="H225" s="64" t="n">
        <v>2000</v>
      </c>
      <c r="I225" s="64">
        <f>F225*H225</f>
        <v/>
      </c>
      <c r="J225" s="64" t="n">
        <v>37989</v>
      </c>
      <c r="K225" s="64">
        <f>F225*J225</f>
        <v/>
      </c>
      <c r="L225" s="64" t="n">
        <v>0</v>
      </c>
      <c r="M225" s="64">
        <f>F225*L225</f>
        <v/>
      </c>
      <c r="N225" s="64">
        <f>H225+J225+L225</f>
        <v/>
      </c>
      <c r="O225" s="64">
        <f>I225+K225+M225</f>
        <v/>
      </c>
      <c r="Q225" t="inlineStr">
        <is>
          <t>D150mm</t>
        </is>
      </c>
    </row>
    <row r="226" ht="24" customHeight="1" s="34">
      <c r="A226" t="inlineStr">
        <is>
          <t>01 토목</t>
        </is>
      </c>
      <c r="B226" t="inlineStr">
        <is>
          <t>4. 상 수 공</t>
        </is>
      </c>
      <c r="C226" t="n">
        <v>14</v>
      </c>
      <c r="D226" t="inlineStr">
        <is>
          <t>가). 주철관 절단</t>
        </is>
      </c>
      <c r="E226" t="inlineStr">
        <is>
          <t>D100mm</t>
        </is>
      </c>
      <c r="F226" t="n">
        <v>57</v>
      </c>
      <c r="G226" t="inlineStr">
        <is>
          <t>개소</t>
        </is>
      </c>
      <c r="H226" s="64" t="n">
        <v>1818</v>
      </c>
      <c r="I226" s="64">
        <f>F226*H226</f>
        <v/>
      </c>
      <c r="J226" s="64" t="n">
        <v>34539</v>
      </c>
      <c r="K226" s="64">
        <f>F226*J226</f>
        <v/>
      </c>
      <c r="L226" s="64" t="n">
        <v>0</v>
      </c>
      <c r="M226" s="64">
        <f>F226*L226</f>
        <v/>
      </c>
      <c r="N226" s="64">
        <f>H226+J226+L226</f>
        <v/>
      </c>
      <c r="O226" s="64">
        <f>I226+K226+M226</f>
        <v/>
      </c>
      <c r="Q226" t="inlineStr">
        <is>
          <t>주철관 절단</t>
        </is>
      </c>
    </row>
    <row r="227" ht="24" customHeight="1" s="34">
      <c r="A227" t="inlineStr">
        <is>
          <t>01 토목</t>
        </is>
      </c>
      <c r="B227" t="inlineStr">
        <is>
          <t>4. 상 수 공</t>
        </is>
      </c>
      <c r="C227" t="n">
        <v>15</v>
      </c>
      <c r="D227" t="inlineStr">
        <is>
          <t>나). 주철관 절단</t>
        </is>
      </c>
      <c r="E227" t="inlineStr">
        <is>
          <t>D150mm</t>
        </is>
      </c>
      <c r="F227" t="n">
        <v>18</v>
      </c>
      <c r="G227" t="inlineStr">
        <is>
          <t>개소</t>
        </is>
      </c>
      <c r="H227" s="64" t="n">
        <v>2000</v>
      </c>
      <c r="I227" s="64">
        <f>F227*H227</f>
        <v/>
      </c>
      <c r="J227" s="64" t="n">
        <v>37989</v>
      </c>
      <c r="K227" s="64">
        <f>F227*J227</f>
        <v/>
      </c>
      <c r="L227" s="64" t="n">
        <v>0</v>
      </c>
      <c r="M227" s="64">
        <f>F227*L227</f>
        <v/>
      </c>
      <c r="N227" s="64">
        <f>H227+J227+L227</f>
        <v/>
      </c>
      <c r="O227" s="64">
        <f>I227+K227+M227</f>
        <v/>
      </c>
      <c r="Q227" t="inlineStr">
        <is>
          <t>주철관 절단</t>
        </is>
      </c>
    </row>
    <row r="228" ht="24" customHeight="1" s="34">
      <c r="A228" t="inlineStr">
        <is>
          <t>01 토목</t>
        </is>
      </c>
      <c r="B228" t="inlineStr">
        <is>
          <t>4. 상 수 공</t>
        </is>
      </c>
      <c r="C228" t="n">
        <v>16</v>
      </c>
      <c r="D228" t="inlineStr">
        <is>
          <t>가). 스테인리스관 접합및부설</t>
        </is>
      </c>
      <c r="E228" t="inlineStr">
        <is>
          <t>D=25mm</t>
        </is>
      </c>
      <c r="F228" t="n">
        <v>32</v>
      </c>
      <c r="G228" t="inlineStr">
        <is>
          <t>m</t>
        </is>
      </c>
      <c r="H228" s="64" t="n">
        <v>3450</v>
      </c>
      <c r="I228" s="64">
        <f>F228*H228</f>
        <v/>
      </c>
      <c r="J228" s="64" t="n">
        <v>0</v>
      </c>
      <c r="K228" s="64">
        <f>F228*J228</f>
        <v/>
      </c>
      <c r="L228" s="64" t="n">
        <v>0</v>
      </c>
      <c r="M228" s="64">
        <f>F228*L228</f>
        <v/>
      </c>
      <c r="N228" s="64">
        <f>H228+J228+L228</f>
        <v/>
      </c>
      <c r="O228" s="64">
        <f>I228+K228+M228</f>
        <v/>
      </c>
      <c r="Q228" t="inlineStr">
        <is>
          <t>스테인리스관 접합</t>
        </is>
      </c>
    </row>
    <row r="229" ht="24" customHeight="1" s="34">
      <c r="A229" t="inlineStr">
        <is>
          <t>01 토목</t>
        </is>
      </c>
      <c r="B229" t="inlineStr">
        <is>
          <t>4. 상 수 공</t>
        </is>
      </c>
      <c r="C229" t="n">
        <v>17</v>
      </c>
      <c r="D229" t="inlineStr">
        <is>
          <t>나). 스테인리스관 접합및부설</t>
        </is>
      </c>
      <c r="E229" t="inlineStr">
        <is>
          <t>D=50mm</t>
        </is>
      </c>
      <c r="F229" t="n">
        <v>49</v>
      </c>
      <c r="G229" t="inlineStr">
        <is>
          <t>m</t>
        </is>
      </c>
      <c r="H229" s="64" t="n">
        <v>2270</v>
      </c>
      <c r="I229" s="64">
        <f>F229*H229</f>
        <v/>
      </c>
      <c r="J229" s="64" t="n">
        <v>0</v>
      </c>
      <c r="K229" s="64">
        <f>F229*J229</f>
        <v/>
      </c>
      <c r="L229" s="64" t="n">
        <v>0</v>
      </c>
      <c r="M229" s="64">
        <f>F229*L229</f>
        <v/>
      </c>
      <c r="N229" s="64">
        <f>H229+J229+L229</f>
        <v/>
      </c>
      <c r="O229" s="64">
        <f>I229+K229+M229</f>
        <v/>
      </c>
      <c r="Q229" t="inlineStr">
        <is>
          <t>스테인리스관 접합</t>
        </is>
      </c>
    </row>
    <row r="230" ht="24" customHeight="1" s="34">
      <c r="A230" t="inlineStr">
        <is>
          <t>01 토목</t>
        </is>
      </c>
      <c r="B230" t="inlineStr">
        <is>
          <t>4. 상 수 공</t>
        </is>
      </c>
      <c r="C230" t="n">
        <v>18</v>
      </c>
      <c r="D230" t="inlineStr">
        <is>
          <t>가). 스테인리스관 나사 접합</t>
        </is>
      </c>
      <c r="E230" t="inlineStr">
        <is>
          <t>D=25mm</t>
        </is>
      </c>
      <c r="F230" t="n">
        <v>6</v>
      </c>
      <c r="G230" t="inlineStr">
        <is>
          <t>개소</t>
        </is>
      </c>
      <c r="I230" s="64">
        <f>F230*H230</f>
        <v/>
      </c>
      <c r="J230" s="64" t="n"/>
      <c r="K230" s="64">
        <f>F230*J230</f>
        <v/>
      </c>
      <c r="L230" s="64" t="n"/>
      <c r="M230" s="64">
        <f>F230*L230</f>
        <v/>
      </c>
      <c r="N230" s="64">
        <f>H230+J230+L230</f>
        <v/>
      </c>
      <c r="O230" s="64">
        <f>I230+K230+M230</f>
        <v/>
      </c>
      <c r="P230" t="inlineStr">
        <is>
          <t>미매칭</t>
        </is>
      </c>
      <c r="Q230" t="inlineStr">
        <is>
          <t>D=25mm, 스테인리스관 나사 접합</t>
        </is>
      </c>
    </row>
    <row r="231" ht="24" customHeight="1" s="34">
      <c r="A231" t="inlineStr">
        <is>
          <t>01 토목</t>
        </is>
      </c>
      <c r="B231" t="inlineStr">
        <is>
          <t>4. 상 수 공</t>
        </is>
      </c>
      <c r="C231" t="n">
        <v>19</v>
      </c>
      <c r="D231" t="inlineStr">
        <is>
          <t>나). 스테인리스관 나사 접합</t>
        </is>
      </c>
      <c r="E231" t="inlineStr">
        <is>
          <t>D=50mm</t>
        </is>
      </c>
      <c r="F231" t="n">
        <v>16</v>
      </c>
      <c r="G231" t="inlineStr">
        <is>
          <t>개소</t>
        </is>
      </c>
      <c r="I231" s="64">
        <f>F231*H231</f>
        <v/>
      </c>
      <c r="J231" s="64" t="n"/>
      <c r="K231" s="64">
        <f>F231*J231</f>
        <v/>
      </c>
      <c r="L231" s="64" t="n"/>
      <c r="M231" s="64">
        <f>F231*L231</f>
        <v/>
      </c>
      <c r="N231" s="64">
        <f>H231+J231+L231</f>
        <v/>
      </c>
      <c r="O231" s="64">
        <f>I231+K231+M231</f>
        <v/>
      </c>
      <c r="P231" t="inlineStr">
        <is>
          <t>미매칭</t>
        </is>
      </c>
      <c r="Q231" t="inlineStr">
        <is>
          <t>D=50mm, 스테인리스관 나사 접합</t>
        </is>
      </c>
    </row>
    <row r="232" ht="24" customHeight="1" s="34">
      <c r="A232" t="inlineStr">
        <is>
          <t>01 토목</t>
        </is>
      </c>
      <c r="B232" t="inlineStr">
        <is>
          <t>4. 상 수 공</t>
        </is>
      </c>
      <c r="C232" t="n">
        <v>20</v>
      </c>
      <c r="D232" t="inlineStr">
        <is>
          <t>다). 스테인리스관 슬립인조인트 접합</t>
        </is>
      </c>
      <c r="E232" t="inlineStr">
        <is>
          <t>D=25mm</t>
        </is>
      </c>
      <c r="F232" t="n">
        <v>12</v>
      </c>
      <c r="G232" t="inlineStr">
        <is>
          <t>개소</t>
        </is>
      </c>
      <c r="I232" s="64">
        <f>F232*H232</f>
        <v/>
      </c>
      <c r="J232" s="64" t="n"/>
      <c r="K232" s="64">
        <f>F232*J232</f>
        <v/>
      </c>
      <c r="L232" s="64" t="n"/>
      <c r="M232" s="64">
        <f>F232*L232</f>
        <v/>
      </c>
      <c r="N232" s="64">
        <f>H232+J232+L232</f>
        <v/>
      </c>
      <c r="O232" s="64">
        <f>I232+K232+M232</f>
        <v/>
      </c>
      <c r="P232" t="inlineStr">
        <is>
          <t>미매칭</t>
        </is>
      </c>
      <c r="Q232" t="inlineStr">
        <is>
          <t>D=25mm, 스테인리스관 슬립인조인트 접합</t>
        </is>
      </c>
    </row>
    <row r="233" ht="24" customHeight="1" s="34">
      <c r="A233" t="inlineStr">
        <is>
          <t>01 토목</t>
        </is>
      </c>
      <c r="B233" t="inlineStr">
        <is>
          <t>4. 상 수 공</t>
        </is>
      </c>
      <c r="C233" t="n">
        <v>21</v>
      </c>
      <c r="D233" t="inlineStr">
        <is>
          <t>라). 스테인리스관 슬립인조인트 접합</t>
        </is>
      </c>
      <c r="E233" t="inlineStr">
        <is>
          <t>D=50mm</t>
        </is>
      </c>
      <c r="F233" t="n">
        <v>32</v>
      </c>
      <c r="G233" t="inlineStr">
        <is>
          <t>개소</t>
        </is>
      </c>
      <c r="I233" s="64">
        <f>F233*H233</f>
        <v/>
      </c>
      <c r="J233" s="64" t="n"/>
      <c r="K233" s="64">
        <f>F233*J233</f>
        <v/>
      </c>
      <c r="L233" s="64" t="n"/>
      <c r="M233" s="64">
        <f>F233*L233</f>
        <v/>
      </c>
      <c r="N233" s="64">
        <f>H233+J233+L233</f>
        <v/>
      </c>
      <c r="O233" s="64">
        <f>I233+K233+M233</f>
        <v/>
      </c>
      <c r="P233" t="inlineStr">
        <is>
          <t>미매칭</t>
        </is>
      </c>
      <c r="Q233" t="inlineStr">
        <is>
          <t>D=50mm, 스테인리스관 슬립인조인트 접합</t>
        </is>
      </c>
    </row>
    <row r="234" ht="24" customHeight="1" s="34">
      <c r="A234" t="inlineStr">
        <is>
          <t>01 토목</t>
        </is>
      </c>
      <c r="B234" t="inlineStr">
        <is>
          <t>4. 상 수 공</t>
        </is>
      </c>
      <c r="C234" t="n">
        <v>22</v>
      </c>
      <c r="D234" t="inlineStr">
        <is>
          <t>가). 스테인리스관 절단</t>
        </is>
      </c>
      <c r="E234" t="inlineStr">
        <is>
          <t>D=25mm</t>
        </is>
      </c>
      <c r="F234" t="n">
        <v>3</v>
      </c>
      <c r="G234" t="inlineStr">
        <is>
          <t>개소</t>
        </is>
      </c>
      <c r="I234" s="64">
        <f>F234*H234</f>
        <v/>
      </c>
      <c r="J234" s="64" t="n"/>
      <c r="K234" s="64">
        <f>F234*J234</f>
        <v/>
      </c>
      <c r="L234" s="64" t="n"/>
      <c r="M234" s="64">
        <f>F234*L234</f>
        <v/>
      </c>
      <c r="N234" s="64">
        <f>H234+J234+L234</f>
        <v/>
      </c>
      <c r="O234" s="64">
        <f>I234+K234+M234</f>
        <v/>
      </c>
      <c r="P234" t="inlineStr">
        <is>
          <t>미매칭</t>
        </is>
      </c>
      <c r="Q234" t="inlineStr">
        <is>
          <t>D=25mm, 스테인리스관 절단</t>
        </is>
      </c>
    </row>
    <row r="235" ht="24" customHeight="1" s="34">
      <c r="A235" t="inlineStr">
        <is>
          <t>01 토목</t>
        </is>
      </c>
      <c r="B235" t="inlineStr">
        <is>
          <t>4. 상 수 공</t>
        </is>
      </c>
      <c r="C235" t="n">
        <v>23</v>
      </c>
      <c r="D235" t="inlineStr">
        <is>
          <t>나). 스테인리스관 절단</t>
        </is>
      </c>
      <c r="E235" t="inlineStr">
        <is>
          <t>D=50mm</t>
        </is>
      </c>
      <c r="F235" t="n">
        <v>8</v>
      </c>
      <c r="G235" t="inlineStr">
        <is>
          <t>개소</t>
        </is>
      </c>
      <c r="I235" s="64">
        <f>F235*H235</f>
        <v/>
      </c>
      <c r="J235" s="64" t="n"/>
      <c r="K235" s="64">
        <f>F235*J235</f>
        <v/>
      </c>
      <c r="L235" s="64" t="n"/>
      <c r="M235" s="64">
        <f>F235*L235</f>
        <v/>
      </c>
      <c r="N235" s="64">
        <f>H235+J235+L235</f>
        <v/>
      </c>
      <c r="O235" s="64">
        <f>I235+K235+M235</f>
        <v/>
      </c>
      <c r="P235" t="inlineStr">
        <is>
          <t>미매칭</t>
        </is>
      </c>
      <c r="Q235" t="inlineStr">
        <is>
          <t>D=50mm, 스테인리스관 절단</t>
        </is>
      </c>
    </row>
    <row r="236" ht="24" customHeight="1" s="34">
      <c r="A236" t="inlineStr">
        <is>
          <t>01 토목</t>
        </is>
      </c>
      <c r="B236" t="inlineStr">
        <is>
          <t>4. 상 수 공</t>
        </is>
      </c>
      <c r="C236" t="n">
        <v>24</v>
      </c>
      <c r="D236" t="inlineStr">
        <is>
          <t>가). 새들붙이분수전(단수천공)</t>
        </is>
      </c>
      <c r="E236" t="inlineStr">
        <is>
          <t>D100mmX25mm</t>
        </is>
      </c>
      <c r="F236" t="n">
        <v>2</v>
      </c>
      <c r="G236" t="inlineStr">
        <is>
          <t>개소</t>
        </is>
      </c>
      <c r="H236" s="64" t="n">
        <v>18553</v>
      </c>
      <c r="I236" s="64">
        <f>F236*H236</f>
        <v/>
      </c>
      <c r="J236" s="64" t="n">
        <v>183243</v>
      </c>
      <c r="K236" s="64">
        <f>F236*J236</f>
        <v/>
      </c>
      <c r="L236" s="64" t="n">
        <v>12895</v>
      </c>
      <c r="M236" s="64">
        <f>F236*L236</f>
        <v/>
      </c>
      <c r="N236" s="64">
        <f>H236+J236+L236</f>
        <v/>
      </c>
      <c r="O236" s="64">
        <f>I236+K236+M236</f>
        <v/>
      </c>
      <c r="Q236" t="inlineStr">
        <is>
          <t>단수천공</t>
        </is>
      </c>
    </row>
    <row r="237" ht="24" customHeight="1" s="34">
      <c r="A237" t="inlineStr">
        <is>
          <t>01 토목</t>
        </is>
      </c>
      <c r="B237" t="inlineStr">
        <is>
          <t>4. 상 수 공</t>
        </is>
      </c>
      <c r="C237" t="n">
        <v>25</v>
      </c>
      <c r="D237" t="inlineStr">
        <is>
          <t>나). 새들붙이분수전(단수천공)</t>
        </is>
      </c>
      <c r="E237" t="inlineStr">
        <is>
          <t>D150mmX25mm</t>
        </is>
      </c>
      <c r="F237" t="n">
        <v>1</v>
      </c>
      <c r="G237" t="inlineStr">
        <is>
          <t>개소</t>
        </is>
      </c>
      <c r="H237" s="64" t="n">
        <v>20742</v>
      </c>
      <c r="I237" s="64">
        <f>F237*H237</f>
        <v/>
      </c>
      <c r="J237" s="64" t="n">
        <v>210995</v>
      </c>
      <c r="K237" s="64">
        <f>F237*J237</f>
        <v/>
      </c>
      <c r="L237" s="64" t="n">
        <v>13451</v>
      </c>
      <c r="M237" s="64">
        <f>F237*L237</f>
        <v/>
      </c>
      <c r="N237" s="64">
        <f>H237+J237+L237</f>
        <v/>
      </c>
      <c r="O237" s="64">
        <f>I237+K237+M237</f>
        <v/>
      </c>
      <c r="Q237" t="inlineStr">
        <is>
          <t>단수천공</t>
        </is>
      </c>
    </row>
    <row r="238" ht="24" customHeight="1" s="34">
      <c r="A238" t="inlineStr">
        <is>
          <t>01 토목</t>
        </is>
      </c>
      <c r="B238" t="inlineStr">
        <is>
          <t>4. 상 수 공</t>
        </is>
      </c>
      <c r="C238" t="n">
        <v>26</v>
      </c>
      <c r="D238" t="inlineStr">
        <is>
          <t>다). 새들붙이분수전(단수천공)</t>
        </is>
      </c>
      <c r="E238" t="inlineStr">
        <is>
          <t>D150mmX50mm</t>
        </is>
      </c>
      <c r="F238" t="n">
        <v>8</v>
      </c>
      <c r="G238" t="inlineStr">
        <is>
          <t>개소</t>
        </is>
      </c>
      <c r="H238" s="64" t="n">
        <v>20742</v>
      </c>
      <c r="I238" s="64">
        <f>F238*H238</f>
        <v/>
      </c>
      <c r="J238" s="64" t="n">
        <v>210995</v>
      </c>
      <c r="K238" s="64">
        <f>F238*J238</f>
        <v/>
      </c>
      <c r="L238" s="64" t="n">
        <v>13451</v>
      </c>
      <c r="M238" s="64">
        <f>F238*L238</f>
        <v/>
      </c>
      <c r="N238" s="64">
        <f>H238+J238+L238</f>
        <v/>
      </c>
      <c r="O238" s="64">
        <f>I238+K238+M238</f>
        <v/>
      </c>
      <c r="Q238" t="inlineStr">
        <is>
          <t>단수천공</t>
        </is>
      </c>
    </row>
    <row r="239" ht="24" customHeight="1" s="34">
      <c r="A239" t="inlineStr">
        <is>
          <t>01 토목</t>
        </is>
      </c>
      <c r="B239" t="inlineStr">
        <is>
          <t>4. 상 수 공</t>
        </is>
      </c>
      <c r="C239" t="n">
        <v>27</v>
      </c>
      <c r="D239" t="inlineStr">
        <is>
          <t>가). 게이트밸브 설치</t>
        </is>
      </c>
      <c r="E239" t="inlineStr">
        <is>
          <t>D=25mm, 청동</t>
        </is>
      </c>
      <c r="F239" t="n">
        <v>3</v>
      </c>
      <c r="G239" t="inlineStr">
        <is>
          <t>개소</t>
        </is>
      </c>
      <c r="H239" s="64" t="n">
        <v>1105</v>
      </c>
      <c r="I239" s="64">
        <f>F239*H239</f>
        <v/>
      </c>
      <c r="J239" s="64" t="n">
        <v>16462</v>
      </c>
      <c r="K239" s="64">
        <f>F239*J239</f>
        <v/>
      </c>
      <c r="L239" s="64" t="n">
        <v>1653</v>
      </c>
      <c r="M239" s="64">
        <f>F239*L239</f>
        <v/>
      </c>
      <c r="N239" s="64">
        <f>H239+J239+L239</f>
        <v/>
      </c>
      <c r="O239" s="64">
        <f>I239+K239+M239</f>
        <v/>
      </c>
      <c r="P239" t="inlineStr">
        <is>
          <t>가영현</t>
        </is>
      </c>
      <c r="Q239" t="inlineStr">
        <is>
          <t>게이트밸브 설치</t>
        </is>
      </c>
    </row>
    <row r="240" ht="24" customHeight="1" s="34">
      <c r="A240" t="inlineStr">
        <is>
          <t>01 토목</t>
        </is>
      </c>
      <c r="B240" t="inlineStr">
        <is>
          <t>4. 상 수 공</t>
        </is>
      </c>
      <c r="C240" t="n">
        <v>28</v>
      </c>
      <c r="D240" t="inlineStr">
        <is>
          <t>나). 게이트밸브 설치</t>
        </is>
      </c>
      <c r="E240" t="inlineStr">
        <is>
          <t>D=50mm, 청동</t>
        </is>
      </c>
      <c r="F240" t="n">
        <v>8</v>
      </c>
      <c r="G240" t="inlineStr">
        <is>
          <t>개소</t>
        </is>
      </c>
      <c r="H240" s="64" t="n">
        <v>144</v>
      </c>
      <c r="I240" s="64">
        <f>F240*H240</f>
        <v/>
      </c>
      <c r="J240" s="64" t="n">
        <v>14444</v>
      </c>
      <c r="K240" s="64">
        <f>F240*J240</f>
        <v/>
      </c>
      <c r="L240" s="64" t="n"/>
      <c r="M240" s="64">
        <f>F240*L240</f>
        <v/>
      </c>
      <c r="N240" s="64">
        <f>H240+J240+L240</f>
        <v/>
      </c>
      <c r="O240" s="64">
        <f>I240+K240+M240</f>
        <v/>
      </c>
      <c r="P240" t="inlineStr">
        <is>
          <t>가영현</t>
        </is>
      </c>
      <c r="Q240" t="inlineStr">
        <is>
          <t>게이트밸브 설치</t>
        </is>
      </c>
    </row>
    <row r="241" ht="24" customHeight="1" s="34">
      <c r="A241" t="inlineStr">
        <is>
          <t>01 토목</t>
        </is>
      </c>
      <c r="B241" t="inlineStr">
        <is>
          <t>4. 상 수 공</t>
        </is>
      </c>
      <c r="C241" t="n">
        <v>29</v>
      </c>
      <c r="D241" t="inlineStr">
        <is>
          <t>가). 제수변 접합 및 부설</t>
        </is>
      </c>
      <c r="E241" t="inlineStr">
        <is>
          <t>100㎜</t>
        </is>
      </c>
      <c r="F241" t="n">
        <v>11</v>
      </c>
      <c r="G241" t="inlineStr">
        <is>
          <t>개소</t>
        </is>
      </c>
      <c r="H241" s="64" t="n">
        <v>0</v>
      </c>
      <c r="I241" s="64">
        <f>F241*H241</f>
        <v/>
      </c>
      <c r="J241" s="64" t="n">
        <v>31637</v>
      </c>
      <c r="K241" s="64">
        <f>F241*J241</f>
        <v/>
      </c>
      <c r="L241" s="64" t="n">
        <v>0</v>
      </c>
      <c r="M241" s="64">
        <f>F241*L241</f>
        <v/>
      </c>
      <c r="N241" s="64">
        <f>H241+J241+L241</f>
        <v/>
      </c>
      <c r="O241" s="64">
        <f>I241+K241+M241</f>
        <v/>
      </c>
      <c r="Q241" t="inlineStr">
        <is>
          <t>부설</t>
        </is>
      </c>
    </row>
    <row r="242" ht="24" customHeight="1" s="34">
      <c r="A242" t="inlineStr">
        <is>
          <t>01 토목</t>
        </is>
      </c>
      <c r="B242" t="inlineStr">
        <is>
          <t>4. 상 수 공</t>
        </is>
      </c>
      <c r="C242" t="n">
        <v>30</v>
      </c>
      <c r="D242" t="inlineStr">
        <is>
          <t>나). 제수변 접합 및 부설</t>
        </is>
      </c>
      <c r="E242" t="inlineStr">
        <is>
          <t>150㎜</t>
        </is>
      </c>
      <c r="F242" t="n">
        <v>8</v>
      </c>
      <c r="G242" t="inlineStr">
        <is>
          <t>개소</t>
        </is>
      </c>
      <c r="H242" s="64" t="n">
        <v>0</v>
      </c>
      <c r="I242" s="64">
        <f>F242*H242</f>
        <v/>
      </c>
      <c r="J242" s="64" t="n">
        <v>53686</v>
      </c>
      <c r="K242" s="64">
        <f>F242*J242</f>
        <v/>
      </c>
      <c r="L242" s="64" t="n">
        <v>0</v>
      </c>
      <c r="M242" s="64">
        <f>F242*L242</f>
        <v/>
      </c>
      <c r="N242" s="64">
        <f>H242+J242+L242</f>
        <v/>
      </c>
      <c r="O242" s="64">
        <f>I242+K242+M242</f>
        <v/>
      </c>
      <c r="Q242" t="inlineStr">
        <is>
          <t>부설</t>
        </is>
      </c>
    </row>
    <row r="243" ht="24" customHeight="1" s="34">
      <c r="A243" t="inlineStr">
        <is>
          <t>01 토목</t>
        </is>
      </c>
      <c r="B243" t="inlineStr">
        <is>
          <t>4. 상 수 공</t>
        </is>
      </c>
      <c r="C243" t="n">
        <v>31</v>
      </c>
      <c r="D243" t="inlineStr">
        <is>
          <t>가). 공기밸브 접합 및 부설</t>
        </is>
      </c>
      <c r="E243" t="inlineStr">
        <is>
          <t>100㎜</t>
        </is>
      </c>
      <c r="F243" t="n">
        <v>1</v>
      </c>
      <c r="G243" t="inlineStr">
        <is>
          <t>개소</t>
        </is>
      </c>
      <c r="H243" s="64" t="n">
        <v>0</v>
      </c>
      <c r="I243" s="64">
        <f>F243*H243</f>
        <v/>
      </c>
      <c r="J243" s="64" t="n">
        <v>31637</v>
      </c>
      <c r="K243" s="64">
        <f>F243*J243</f>
        <v/>
      </c>
      <c r="L243" s="64" t="n">
        <v>0</v>
      </c>
      <c r="M243" s="64">
        <f>F243*L243</f>
        <v/>
      </c>
      <c r="N243" s="64">
        <f>H243+J243+L243</f>
        <v/>
      </c>
      <c r="O243" s="64">
        <f>I243+K243+M243</f>
        <v/>
      </c>
      <c r="Q243" t="inlineStr">
        <is>
          <t>부설</t>
        </is>
      </c>
    </row>
    <row r="244" ht="24" customHeight="1" s="34">
      <c r="A244" t="inlineStr">
        <is>
          <t>01 토목</t>
        </is>
      </c>
      <c r="B244" t="inlineStr">
        <is>
          <t>4. 상 수 공</t>
        </is>
      </c>
      <c r="C244" t="n">
        <v>32</v>
      </c>
      <c r="D244" t="inlineStr">
        <is>
          <t>가). 지상식소화전</t>
        </is>
      </c>
      <c r="E244" t="inlineStr">
        <is>
          <t>쌍구, D100mm</t>
        </is>
      </c>
      <c r="F244" t="n">
        <v>7</v>
      </c>
      <c r="G244" t="inlineStr">
        <is>
          <t>개소</t>
        </is>
      </c>
      <c r="H244" s="64" t="n">
        <v>1818</v>
      </c>
      <c r="I244" s="64">
        <f>F244*H244</f>
        <v/>
      </c>
      <c r="J244" s="64" t="n">
        <v>34539</v>
      </c>
      <c r="K244" s="64">
        <f>F244*J244</f>
        <v/>
      </c>
      <c r="L244" s="64" t="n">
        <v>0</v>
      </c>
      <c r="M244" s="64">
        <f>F244*L244</f>
        <v/>
      </c>
      <c r="N244" s="64">
        <f>H244+J244+L244</f>
        <v/>
      </c>
      <c r="O244" s="64">
        <f>I244+K244+M244</f>
        <v/>
      </c>
      <c r="Q244" t="inlineStr">
        <is>
          <t>D100mm</t>
        </is>
      </c>
    </row>
    <row r="245" ht="24" customHeight="1" s="34">
      <c r="A245" t="inlineStr">
        <is>
          <t>01 토목</t>
        </is>
      </c>
      <c r="B245" t="inlineStr">
        <is>
          <t>4. 상 수 공</t>
        </is>
      </c>
      <c r="C245" t="n">
        <v>33</v>
      </c>
      <c r="D245" t="inlineStr">
        <is>
          <t>나). 소화전보호틀</t>
        </is>
      </c>
      <c r="E245" t="inlineStr">
        <is>
          <t>600x600x750xø76A, Steel</t>
        </is>
      </c>
      <c r="F245" t="n">
        <v>7</v>
      </c>
      <c r="G245" t="inlineStr">
        <is>
          <t>개소</t>
        </is>
      </c>
      <c r="H245" s="64" t="n">
        <v>75000</v>
      </c>
      <c r="I245" s="64">
        <f>F245*H245</f>
        <v/>
      </c>
      <c r="J245" s="64" t="n">
        <v>25000</v>
      </c>
      <c r="K245" s="64">
        <f>F245*J245</f>
        <v/>
      </c>
      <c r="L245" s="64" t="n">
        <v>25000</v>
      </c>
      <c r="M245" s="64">
        <f>F245*L245</f>
        <v/>
      </c>
      <c r="N245" s="64">
        <f>H245+J245+L245</f>
        <v/>
      </c>
      <c r="O245" s="64">
        <f>I245+K245+M245</f>
        <v/>
      </c>
      <c r="P245" t="inlineStr">
        <is>
          <t>가영현</t>
        </is>
      </c>
      <c r="Q245" t="inlineStr">
        <is>
          <t>600x600x750xø76A, Steel, 소화전보호틀, 600x600x750xø76A, Steel</t>
        </is>
      </c>
    </row>
    <row r="246" ht="24" customHeight="1" s="34">
      <c r="A246" t="inlineStr">
        <is>
          <t>01 토목</t>
        </is>
      </c>
      <c r="B246" t="inlineStr">
        <is>
          <t>4. 상 수 공</t>
        </is>
      </c>
      <c r="C246" t="n">
        <v>34</v>
      </c>
      <c r="D246" t="inlineStr">
        <is>
          <t>(1). 차선도색(융착식,수동식),신설구간</t>
        </is>
      </c>
      <c r="E246" t="inlineStr">
        <is>
          <t>문자,기호, 백색</t>
        </is>
      </c>
      <c r="F246" t="n">
        <v>1</v>
      </c>
      <c r="G246" t="inlineStr">
        <is>
          <t>㎡</t>
        </is>
      </c>
      <c r="H246" s="64" t="n">
        <v>21956</v>
      </c>
      <c r="I246" s="64">
        <f>F246*H246</f>
        <v/>
      </c>
      <c r="J246" s="64" t="n">
        <v>5987</v>
      </c>
      <c r="K246" s="64">
        <f>F246*J246</f>
        <v/>
      </c>
      <c r="L246" s="64" t="n">
        <v>724</v>
      </c>
      <c r="M246" s="64">
        <f>F246*L246</f>
        <v/>
      </c>
      <c r="N246" s="64">
        <f>H246+J246+L246</f>
        <v/>
      </c>
      <c r="O246" s="64">
        <f>I246+K246+M246</f>
        <v/>
      </c>
      <c r="Q246" t="inlineStr">
        <is>
          <t>융착식</t>
        </is>
      </c>
    </row>
    <row r="247" ht="24" customHeight="1" s="34">
      <c r="A247" t="inlineStr">
        <is>
          <t>01 토목</t>
        </is>
      </c>
      <c r="B247" t="inlineStr">
        <is>
          <t>4. 상 수 공</t>
        </is>
      </c>
      <c r="C247" t="n">
        <v>35</v>
      </c>
      <c r="D247" t="inlineStr">
        <is>
          <t>(2). 차선도색(융착식,수동식),신설구간</t>
        </is>
      </c>
      <c r="E247" t="inlineStr">
        <is>
          <t>문자,기호, 적색</t>
        </is>
      </c>
      <c r="F247" t="n">
        <v>23</v>
      </c>
      <c r="G247" t="inlineStr">
        <is>
          <t>㎡</t>
        </is>
      </c>
      <c r="H247" s="64" t="n">
        <v>21956</v>
      </c>
      <c r="I247" s="64">
        <f>F247*H247</f>
        <v/>
      </c>
      <c r="J247" s="64" t="n">
        <v>5987</v>
      </c>
      <c r="K247" s="64">
        <f>F247*J247</f>
        <v/>
      </c>
      <c r="L247" s="64" t="n">
        <v>724</v>
      </c>
      <c r="M247" s="64">
        <f>F247*L247</f>
        <v/>
      </c>
      <c r="N247" s="64">
        <f>H247+J247+L247</f>
        <v/>
      </c>
      <c r="O247" s="64">
        <f>I247+K247+M247</f>
        <v/>
      </c>
      <c r="Q247" t="inlineStr">
        <is>
          <t>융착식</t>
        </is>
      </c>
    </row>
    <row r="248" ht="24" customHeight="1" s="34">
      <c r="A248" t="inlineStr">
        <is>
          <t>01 토목</t>
        </is>
      </c>
      <c r="B248" t="inlineStr">
        <is>
          <t>4. 상 수 공</t>
        </is>
      </c>
      <c r="C248" t="n">
        <v>36</v>
      </c>
      <c r="D248" t="inlineStr">
        <is>
          <t>라). 소화용수표지판</t>
        </is>
      </c>
      <c r="E248" t="inlineStr">
        <is>
          <t>원형</t>
        </is>
      </c>
      <c r="F248" t="n">
        <v>7</v>
      </c>
      <c r="G248" t="inlineStr">
        <is>
          <t>개소</t>
        </is>
      </c>
      <c r="H248" s="64" t="n">
        <v>5729</v>
      </c>
      <c r="I248" s="64">
        <f>F248*H248</f>
        <v/>
      </c>
      <c r="J248" s="64" t="n">
        <v>256796</v>
      </c>
      <c r="K248" s="64">
        <f>F248*J248</f>
        <v/>
      </c>
      <c r="L248" s="64" t="n">
        <v>3547</v>
      </c>
      <c r="M248" s="64">
        <f>F248*L248</f>
        <v/>
      </c>
      <c r="N248" s="64">
        <f>H248+J248+L248</f>
        <v/>
      </c>
      <c r="O248" s="64">
        <f>I248+K248+M248</f>
        <v/>
      </c>
      <c r="P248" t="inlineStr">
        <is>
          <t>가영현</t>
        </is>
      </c>
      <c r="Q248" t="inlineStr">
        <is>
          <t>원형</t>
        </is>
      </c>
    </row>
    <row r="249" ht="24" customHeight="1" s="34">
      <c r="A249" t="inlineStr">
        <is>
          <t>01 토목</t>
        </is>
      </c>
      <c r="B249" t="inlineStr">
        <is>
          <t>4. 상 수 공</t>
        </is>
      </c>
      <c r="C249" t="n">
        <v>37</v>
      </c>
      <c r="D249" t="inlineStr">
        <is>
          <t>가). 초음파유량계설치</t>
        </is>
      </c>
      <c r="E249" t="inlineStr">
        <is>
          <t>D150mm, TM/TC포함</t>
        </is>
      </c>
      <c r="F249" t="n">
        <v>1</v>
      </c>
      <c r="G249" t="inlineStr">
        <is>
          <t>개소</t>
        </is>
      </c>
      <c r="H249" s="64" t="n">
        <v>2000</v>
      </c>
      <c r="I249" s="64">
        <f>F249*H249</f>
        <v/>
      </c>
      <c r="J249" s="64" t="n">
        <v>37989</v>
      </c>
      <c r="K249" s="64">
        <f>F249*J249</f>
        <v/>
      </c>
      <c r="L249" s="64" t="n">
        <v>0</v>
      </c>
      <c r="M249" s="64">
        <f>F249*L249</f>
        <v/>
      </c>
      <c r="N249" s="64">
        <f>H249+J249+L249</f>
        <v/>
      </c>
      <c r="O249" s="64">
        <f>I249+K249+M249</f>
        <v/>
      </c>
      <c r="Q249" t="inlineStr">
        <is>
          <t>D150mm</t>
        </is>
      </c>
    </row>
    <row r="250" ht="24" customHeight="1" s="34">
      <c r="A250" t="inlineStr">
        <is>
          <t>01 토목</t>
        </is>
      </c>
      <c r="B250" t="inlineStr">
        <is>
          <t>4. 상 수 공</t>
        </is>
      </c>
      <c r="C250" t="n">
        <v>38</v>
      </c>
      <c r="D250" t="inlineStr">
        <is>
          <t>가). 제수변실</t>
        </is>
      </c>
      <c r="E250" t="inlineStr">
        <is>
          <t>2.50×2.00</t>
        </is>
      </c>
      <c r="F250" t="n">
        <v>1</v>
      </c>
      <c r="G250" t="inlineStr">
        <is>
          <t>개소</t>
        </is>
      </c>
      <c r="H250" s="64" t="n">
        <v>75000</v>
      </c>
      <c r="I250" s="64">
        <f>F250*H250</f>
        <v/>
      </c>
      <c r="J250" s="64" t="n">
        <v>45000</v>
      </c>
      <c r="K250" s="64">
        <f>F250*J250</f>
        <v/>
      </c>
      <c r="L250" s="64" t="n">
        <v>35000</v>
      </c>
      <c r="M250" s="64">
        <f>F250*L250</f>
        <v/>
      </c>
      <c r="N250" s="64">
        <f>H250+J250+L250</f>
        <v/>
      </c>
      <c r="O250" s="64">
        <f>I250+K250+M250</f>
        <v/>
      </c>
      <c r="P250" t="inlineStr">
        <is>
          <t>가영현</t>
        </is>
      </c>
      <c r="Q250" t="inlineStr">
        <is>
          <t>2.50×2.00, 제수변실</t>
        </is>
      </c>
    </row>
    <row r="251" ht="24" customHeight="1" s="34">
      <c r="A251" t="inlineStr">
        <is>
          <t>01 토목</t>
        </is>
      </c>
      <c r="B251" t="inlineStr">
        <is>
          <t>4. 상 수 공</t>
        </is>
      </c>
      <c r="C251" t="n">
        <v>39</v>
      </c>
      <c r="D251" t="inlineStr">
        <is>
          <t>나). 원형제수변실(D100mm)</t>
        </is>
      </c>
      <c r="E251" t="inlineStr">
        <is>
          <t>D800, 흄관</t>
        </is>
      </c>
      <c r="F251" t="n">
        <v>1</v>
      </c>
      <c r="G251" t="inlineStr">
        <is>
          <t>개소</t>
        </is>
      </c>
      <c r="H251" s="64" t="n">
        <v>13953</v>
      </c>
      <c r="I251" s="64">
        <f>F251*H251</f>
        <v/>
      </c>
      <c r="J251" s="64" t="n">
        <v>609212</v>
      </c>
      <c r="K251" s="64">
        <f>F251*J251</f>
        <v/>
      </c>
      <c r="L251" s="64" t="n">
        <v>9169</v>
      </c>
      <c r="M251" s="64">
        <f>F251*L251</f>
        <v/>
      </c>
      <c r="N251" s="64">
        <f>H251+J251+L251</f>
        <v/>
      </c>
      <c r="O251" s="64">
        <f>I251+K251+M251</f>
        <v/>
      </c>
      <c r="Q251" t="inlineStr">
        <is>
          <t>흄관</t>
        </is>
      </c>
    </row>
    <row r="252" ht="24" customHeight="1" s="34">
      <c r="A252" t="inlineStr">
        <is>
          <t>01 토목</t>
        </is>
      </c>
      <c r="B252" t="inlineStr">
        <is>
          <t>4. 상 수 공</t>
        </is>
      </c>
      <c r="C252" t="n">
        <v>40</v>
      </c>
      <c r="D252" t="inlineStr">
        <is>
          <t>다). 원형제수변실(D150mm)</t>
        </is>
      </c>
      <c r="E252" t="inlineStr">
        <is>
          <t>D800, 흄관</t>
        </is>
      </c>
      <c r="F252" t="n">
        <v>3</v>
      </c>
      <c r="G252" t="inlineStr">
        <is>
          <t>개소</t>
        </is>
      </c>
      <c r="H252" s="64" t="n">
        <v>13953</v>
      </c>
      <c r="I252" s="64">
        <f>F252*H252</f>
        <v/>
      </c>
      <c r="J252" s="64" t="n">
        <v>609212</v>
      </c>
      <c r="K252" s="64">
        <f>F252*J252</f>
        <v/>
      </c>
      <c r="L252" s="64" t="n">
        <v>9169</v>
      </c>
      <c r="M252" s="64">
        <f>F252*L252</f>
        <v/>
      </c>
      <c r="N252" s="64">
        <f>H252+J252+L252</f>
        <v/>
      </c>
      <c r="O252" s="64">
        <f>I252+K252+M252</f>
        <v/>
      </c>
      <c r="Q252" t="inlineStr">
        <is>
          <t>흄관</t>
        </is>
      </c>
    </row>
    <row r="253" ht="24" customHeight="1" s="34">
      <c r="A253" t="inlineStr">
        <is>
          <t>01 토목</t>
        </is>
      </c>
      <c r="B253" t="inlineStr">
        <is>
          <t>4. 상 수 공</t>
        </is>
      </c>
      <c r="C253" t="n">
        <v>41</v>
      </c>
      <c r="D253" t="inlineStr">
        <is>
          <t>가). 공기변실</t>
        </is>
      </c>
      <c r="E253" t="inlineStr">
        <is>
          <t>1.20×1.20</t>
        </is>
      </c>
      <c r="F253" t="n">
        <v>1</v>
      </c>
      <c r="G253" t="inlineStr">
        <is>
          <t>개소</t>
        </is>
      </c>
      <c r="I253" s="64">
        <f>F253*H253</f>
        <v/>
      </c>
      <c r="J253" s="64" t="n"/>
      <c r="K253" s="64">
        <f>F253*J253</f>
        <v/>
      </c>
      <c r="L253" s="64" t="n"/>
      <c r="M253" s="64">
        <f>F253*L253</f>
        <v/>
      </c>
      <c r="N253" s="64">
        <f>H253+J253+L253</f>
        <v/>
      </c>
      <c r="O253" s="64">
        <f>I253+K253+M253</f>
        <v/>
      </c>
      <c r="P253" t="inlineStr">
        <is>
          <t>미매칭</t>
        </is>
      </c>
      <c r="Q253" t="inlineStr">
        <is>
          <t>1.20×1.20, 공기변실</t>
        </is>
      </c>
    </row>
    <row r="254" ht="24" customHeight="1" s="34">
      <c r="A254" t="inlineStr">
        <is>
          <t>01 토목</t>
        </is>
      </c>
      <c r="B254" t="inlineStr">
        <is>
          <t>4. 상 수 공</t>
        </is>
      </c>
      <c r="C254" t="n">
        <v>42</v>
      </c>
      <c r="D254" t="inlineStr">
        <is>
          <t>가). 이토변실</t>
        </is>
      </c>
      <c r="E254" t="inlineStr">
        <is>
          <t>1.20×1.20</t>
        </is>
      </c>
      <c r="F254" t="n">
        <v>2</v>
      </c>
      <c r="G254" t="inlineStr">
        <is>
          <t>개소</t>
        </is>
      </c>
      <c r="I254" s="64">
        <f>F254*H254</f>
        <v/>
      </c>
      <c r="J254" s="64" t="n"/>
      <c r="K254" s="64">
        <f>F254*J254</f>
        <v/>
      </c>
      <c r="L254" s="64" t="n"/>
      <c r="M254" s="64">
        <f>F254*L254</f>
        <v/>
      </c>
      <c r="N254" s="64">
        <f>H254+J254+L254</f>
        <v/>
      </c>
      <c r="O254" s="64">
        <f>I254+K254+M254</f>
        <v/>
      </c>
      <c r="P254" t="inlineStr">
        <is>
          <t>미매칭</t>
        </is>
      </c>
      <c r="Q254" t="inlineStr">
        <is>
          <t>1.20×1.20, 이토변실</t>
        </is>
      </c>
    </row>
    <row r="255" ht="24" customHeight="1" s="34">
      <c r="A255" t="inlineStr">
        <is>
          <t>01 토목</t>
        </is>
      </c>
      <c r="B255" t="inlineStr">
        <is>
          <t>4. 상 수 공</t>
        </is>
      </c>
      <c r="C255" t="n">
        <v>43</v>
      </c>
      <c r="D255" t="inlineStr">
        <is>
          <t>가). 유량계실</t>
        </is>
      </c>
      <c r="E255" t="inlineStr">
        <is>
          <t>3.00×1.80</t>
        </is>
      </c>
      <c r="F255" t="n">
        <v>1</v>
      </c>
      <c r="G255" t="inlineStr">
        <is>
          <t>개소</t>
        </is>
      </c>
      <c r="I255" s="64">
        <f>F255*H255</f>
        <v/>
      </c>
      <c r="J255" s="64" t="n"/>
      <c r="K255" s="64">
        <f>F255*J255</f>
        <v/>
      </c>
      <c r="L255" s="64" t="n"/>
      <c r="M255" s="64">
        <f>F255*L255</f>
        <v/>
      </c>
      <c r="N255" s="64">
        <f>H255+J255+L255</f>
        <v/>
      </c>
      <c r="O255" s="64">
        <f>I255+K255+M255</f>
        <v/>
      </c>
      <c r="P255" t="inlineStr">
        <is>
          <t>미매칭</t>
        </is>
      </c>
      <c r="Q255" t="inlineStr">
        <is>
          <t>3.00×1.80, 유량계실</t>
        </is>
      </c>
    </row>
    <row r="256" ht="24" customHeight="1" s="34">
      <c r="A256" t="inlineStr">
        <is>
          <t>01 토목</t>
        </is>
      </c>
      <c r="B256" t="inlineStr">
        <is>
          <t>4. 상 수 공</t>
        </is>
      </c>
      <c r="C256" t="n">
        <v>44</v>
      </c>
      <c r="D256" t="inlineStr">
        <is>
          <t>(1). 지수전 보호통</t>
        </is>
      </c>
      <c r="E256" t="inlineStr">
        <is>
          <t>D25mm</t>
        </is>
      </c>
      <c r="F256" t="n">
        <v>3</v>
      </c>
      <c r="G256" t="inlineStr">
        <is>
          <t>개소</t>
        </is>
      </c>
      <c r="H256" s="64" t="n">
        <v>6303</v>
      </c>
      <c r="I256" s="64">
        <f>F256*H256</f>
        <v/>
      </c>
      <c r="J256" s="64" t="n">
        <v>210121</v>
      </c>
      <c r="K256" s="64">
        <f>F256*J256</f>
        <v/>
      </c>
      <c r="L256" s="64" t="n">
        <v>0</v>
      </c>
      <c r="M256" s="64">
        <f>F256*L256</f>
        <v/>
      </c>
      <c r="N256" s="64">
        <f>H256+J256+L256</f>
        <v/>
      </c>
      <c r="O256" s="64">
        <f>I256+K256+M256</f>
        <v/>
      </c>
      <c r="Q256" t="inlineStr">
        <is>
          <t>1</t>
        </is>
      </c>
    </row>
    <row r="257" ht="24" customHeight="1" s="34">
      <c r="A257" t="inlineStr">
        <is>
          <t>01 토목</t>
        </is>
      </c>
      <c r="B257" t="inlineStr">
        <is>
          <t>4. 상 수 공</t>
        </is>
      </c>
      <c r="C257" t="n">
        <v>45</v>
      </c>
      <c r="D257" t="inlineStr">
        <is>
          <t>(2). 지수전 보호통</t>
        </is>
      </c>
      <c r="E257" t="inlineStr">
        <is>
          <t>D50mm</t>
        </is>
      </c>
      <c r="F257" t="n">
        <v>8</v>
      </c>
      <c r="G257" t="inlineStr">
        <is>
          <t>개소</t>
        </is>
      </c>
      <c r="H257" s="64" t="n">
        <v>704</v>
      </c>
      <c r="I257" s="64">
        <f>F257*H257</f>
        <v/>
      </c>
      <c r="J257" s="64" t="n">
        <v>35218</v>
      </c>
      <c r="K257" s="64">
        <f>F257*J257</f>
        <v/>
      </c>
      <c r="L257" s="64" t="n">
        <v>0</v>
      </c>
      <c r="M257" s="64">
        <f>F257*L257</f>
        <v/>
      </c>
      <c r="N257" s="64">
        <f>H257+J257+L257</f>
        <v/>
      </c>
      <c r="O257" s="64">
        <f>I257+K257+M257</f>
        <v/>
      </c>
      <c r="Q257" t="inlineStr">
        <is>
          <t>D50mm</t>
        </is>
      </c>
    </row>
    <row r="258" ht="24" customHeight="1" s="34">
      <c r="A258" t="inlineStr">
        <is>
          <t>01 토목</t>
        </is>
      </c>
      <c r="B258" t="inlineStr">
        <is>
          <t>4. 상 수 공</t>
        </is>
      </c>
      <c r="C258" t="n">
        <v>46</v>
      </c>
      <c r="D258" t="inlineStr">
        <is>
          <t>(1). 제수변보호통설치</t>
        </is>
      </c>
      <c r="E258" t="inlineStr">
        <is>
          <t>D100mm</t>
        </is>
      </c>
      <c r="F258" t="n">
        <v>7</v>
      </c>
      <c r="G258" t="inlineStr">
        <is>
          <t>개소</t>
        </is>
      </c>
      <c r="H258" s="64" t="n">
        <v>1002</v>
      </c>
      <c r="I258" s="64">
        <f>F258*H258</f>
        <v/>
      </c>
      <c r="J258" s="64" t="n">
        <v>50118</v>
      </c>
      <c r="K258" s="64">
        <f>F258*J258</f>
        <v/>
      </c>
      <c r="L258" s="64" t="n">
        <v>0</v>
      </c>
      <c r="M258" s="64">
        <f>F258*L258</f>
        <v/>
      </c>
      <c r="N258" s="64">
        <f>H258+J258+L258</f>
        <v/>
      </c>
      <c r="O258" s="64">
        <f>I258+K258+M258</f>
        <v/>
      </c>
      <c r="Q258" t="inlineStr">
        <is>
          <t>D100mm</t>
        </is>
      </c>
    </row>
    <row r="259" ht="24" customHeight="1" s="34">
      <c r="A259" t="inlineStr">
        <is>
          <t>01 토목</t>
        </is>
      </c>
      <c r="B259" t="inlineStr">
        <is>
          <t>4. 상 수 공</t>
        </is>
      </c>
      <c r="C259" t="n">
        <v>47</v>
      </c>
      <c r="D259" t="inlineStr">
        <is>
          <t>(2). 제수변보호통설치</t>
        </is>
      </c>
      <c r="E259" t="inlineStr">
        <is>
          <t>D150mm</t>
        </is>
      </c>
      <c r="F259" t="n">
        <v>2</v>
      </c>
      <c r="G259" t="inlineStr">
        <is>
          <t>개소</t>
        </is>
      </c>
      <c r="H259" s="64" t="n">
        <v>2000</v>
      </c>
      <c r="I259" s="64">
        <f>F259*H259</f>
        <v/>
      </c>
      <c r="J259" s="64" t="n">
        <v>37989</v>
      </c>
      <c r="K259" s="64">
        <f>F259*J259</f>
        <v/>
      </c>
      <c r="L259" s="64" t="n">
        <v>0</v>
      </c>
      <c r="M259" s="64">
        <f>F259*L259</f>
        <v/>
      </c>
      <c r="N259" s="64">
        <f>H259+J259+L259</f>
        <v/>
      </c>
      <c r="O259" s="64">
        <f>I259+K259+M259</f>
        <v/>
      </c>
      <c r="Q259" t="inlineStr">
        <is>
          <t>D150mm</t>
        </is>
      </c>
    </row>
    <row r="260" ht="24" customHeight="1" s="34">
      <c r="A260" t="inlineStr">
        <is>
          <t>01 토목</t>
        </is>
      </c>
      <c r="B260" t="inlineStr">
        <is>
          <t>4. 상 수 공</t>
        </is>
      </c>
      <c r="C260" t="n">
        <v>48</v>
      </c>
      <c r="D260" t="inlineStr">
        <is>
          <t>가). 분기관 표식설치</t>
        </is>
      </c>
      <c r="E260" t="inlineStr">
        <is>
          <t>ELP D80,L=1.5M</t>
        </is>
      </c>
      <c r="F260" t="n">
        <v>11</v>
      </c>
      <c r="G260" t="inlineStr">
        <is>
          <t>개소</t>
        </is>
      </c>
      <c r="H260" s="64" t="n">
        <v>6303</v>
      </c>
      <c r="I260" s="64">
        <f>F260*H260</f>
        <v/>
      </c>
      <c r="J260" s="64" t="n">
        <v>210121</v>
      </c>
      <c r="K260" s="64">
        <f>F260*J260</f>
        <v/>
      </c>
      <c r="L260" s="64" t="n"/>
      <c r="M260" s="64">
        <f>F260*L260</f>
        <v/>
      </c>
      <c r="N260" s="64">
        <f>H260+J260+L260</f>
        <v/>
      </c>
      <c r="O260" s="64">
        <f>I260+K260+M260</f>
        <v/>
      </c>
      <c r="P260" t="inlineStr">
        <is>
          <t>가영현</t>
        </is>
      </c>
      <c r="Q260" t="inlineStr">
        <is>
          <t>L=1.5M</t>
        </is>
      </c>
    </row>
    <row r="261" ht="24" customHeight="1" s="34">
      <c r="A261" t="inlineStr">
        <is>
          <t>01 토목</t>
        </is>
      </c>
      <c r="B261" t="inlineStr">
        <is>
          <t>4. 상 수 공</t>
        </is>
      </c>
      <c r="C261" t="n">
        <v>49</v>
      </c>
      <c r="D261" t="inlineStr">
        <is>
          <t>나). 분기관표시못 설치</t>
        </is>
      </c>
      <c r="E261" t="inlineStr">
        <is>
          <t>D80X110</t>
        </is>
      </c>
      <c r="F261" t="n">
        <v>57</v>
      </c>
      <c r="G261" t="inlineStr">
        <is>
          <t>개소</t>
        </is>
      </c>
      <c r="H261" s="64" t="n">
        <v>2600</v>
      </c>
      <c r="I261" s="64">
        <f>F261*H261</f>
        <v/>
      </c>
      <c r="J261" s="64" t="n">
        <v>39820</v>
      </c>
      <c r="K261" s="64">
        <f>F261*J261</f>
        <v/>
      </c>
      <c r="L261" s="64" t="n">
        <v>2608</v>
      </c>
      <c r="M261" s="64">
        <f>F261*L261</f>
        <v/>
      </c>
      <c r="N261" s="64">
        <f>H261+J261+L261</f>
        <v/>
      </c>
      <c r="O261" s="64">
        <f>I261+K261+M261</f>
        <v/>
      </c>
      <c r="P261" t="inlineStr">
        <is>
          <t>가영현</t>
        </is>
      </c>
      <c r="Q261" t="inlineStr">
        <is>
          <t>분기관표시못 설치</t>
        </is>
      </c>
    </row>
    <row r="262" ht="24" customHeight="1" s="34">
      <c r="A262" t="inlineStr">
        <is>
          <t>01 토목</t>
        </is>
      </c>
      <c r="B262" t="inlineStr">
        <is>
          <t>4. 상 수 공</t>
        </is>
      </c>
      <c r="C262" t="n">
        <v>50</v>
      </c>
      <c r="D262" t="inlineStr">
        <is>
          <t>다). 관로경고용테이프</t>
        </is>
      </c>
      <c r="E262" t="inlineStr">
        <is>
          <t>200mmx1m</t>
        </is>
      </c>
      <c r="F262" t="n">
        <v>1379</v>
      </c>
      <c r="G262" t="inlineStr">
        <is>
          <t>m</t>
        </is>
      </c>
      <c r="H262" s="64" t="n">
        <v>500</v>
      </c>
      <c r="I262" s="64">
        <f>F262*H262</f>
        <v/>
      </c>
      <c r="J262" s="64" t="n">
        <v>1000</v>
      </c>
      <c r="K262" s="64">
        <f>F262*J262</f>
        <v/>
      </c>
      <c r="L262" s="64" t="n"/>
      <c r="M262" s="64">
        <f>F262*L262</f>
        <v/>
      </c>
      <c r="N262" s="64">
        <f>H262+J262+L262</f>
        <v/>
      </c>
      <c r="O262" s="64">
        <f>I262+K262+M262</f>
        <v/>
      </c>
      <c r="P262" t="inlineStr">
        <is>
          <t>가영현</t>
        </is>
      </c>
      <c r="Q262" t="inlineStr">
        <is>
          <t>200mmx1m, 관로경고용테이프</t>
        </is>
      </c>
    </row>
    <row r="263" ht="24" customHeight="1" s="34">
      <c r="A263" t="inlineStr">
        <is>
          <t>01 토목</t>
        </is>
      </c>
      <c r="B263" t="inlineStr">
        <is>
          <t>4. 상 수 공</t>
        </is>
      </c>
      <c r="C263" t="n">
        <v>51</v>
      </c>
      <c r="D263" t="inlineStr">
        <is>
          <t>가). 통수시험</t>
        </is>
      </c>
      <c r="F263" t="n">
        <v>919</v>
      </c>
      <c r="G263" t="inlineStr">
        <is>
          <t>m</t>
        </is>
      </c>
      <c r="I263" s="64">
        <f>F263*H263</f>
        <v/>
      </c>
      <c r="J263" s="64" t="n"/>
      <c r="K263" s="64">
        <f>F263*J263</f>
        <v/>
      </c>
      <c r="L263" s="64" t="n"/>
      <c r="M263" s="64">
        <f>F263*L263</f>
        <v/>
      </c>
      <c r="N263" s="64">
        <f>H263+J263+L263</f>
        <v/>
      </c>
      <c r="O263" s="64">
        <f>I263+K263+M263</f>
        <v/>
      </c>
      <c r="P263" t="inlineStr">
        <is>
          <t>미매칭</t>
        </is>
      </c>
      <c r="Q263" t="inlineStr">
        <is>
          <t>통수시험</t>
        </is>
      </c>
    </row>
    <row r="264" ht="24" customHeight="1" s="34">
      <c r="A264" t="inlineStr">
        <is>
          <t>01 토목</t>
        </is>
      </c>
      <c r="B264" t="inlineStr">
        <is>
          <t>4. 상 수 공</t>
        </is>
      </c>
      <c r="C264" t="n">
        <v>52</v>
      </c>
      <c r="D264" t="inlineStr">
        <is>
          <t>나). 물사용량</t>
        </is>
      </c>
      <c r="E264" t="inlineStr">
        <is>
          <t>일반용</t>
        </is>
      </c>
      <c r="F264" t="n">
        <v>150</v>
      </c>
      <c r="G264" t="inlineStr">
        <is>
          <t>㎥</t>
        </is>
      </c>
      <c r="I264" s="64">
        <f>F264*H264</f>
        <v/>
      </c>
      <c r="J264" s="64" t="n"/>
      <c r="K264" s="64">
        <f>F264*J264</f>
        <v/>
      </c>
      <c r="L264" s="64" t="n"/>
      <c r="M264" s="64">
        <f>F264*L264</f>
        <v/>
      </c>
      <c r="N264" s="64">
        <f>H264+J264+L264</f>
        <v/>
      </c>
      <c r="O264" s="64">
        <f>I264+K264+M264</f>
        <v/>
      </c>
      <c r="P264" t="inlineStr">
        <is>
          <t>미매칭</t>
        </is>
      </c>
      <c r="Q264" t="inlineStr">
        <is>
          <t>일반용, 물사용량</t>
        </is>
      </c>
    </row>
    <row r="265" ht="24" customHeight="1" s="34">
      <c r="A265" t="inlineStr">
        <is>
          <t>01 토목</t>
        </is>
      </c>
      <c r="B265" t="inlineStr">
        <is>
          <t>4. 상 수 공</t>
        </is>
      </c>
      <c r="C265" t="n">
        <v>53</v>
      </c>
      <c r="D265" t="inlineStr">
        <is>
          <t>가). 수압시험비</t>
        </is>
      </c>
      <c r="E265" t="inlineStr">
        <is>
          <t>D100mm</t>
        </is>
      </c>
      <c r="F265" t="n">
        <v>1</v>
      </c>
      <c r="G265" t="inlineStr">
        <is>
          <t>회</t>
        </is>
      </c>
      <c r="I265" s="64">
        <f>F265*H265</f>
        <v/>
      </c>
      <c r="J265" s="64" t="n"/>
      <c r="K265" s="64">
        <f>F265*J265</f>
        <v/>
      </c>
      <c r="L265" s="64" t="n"/>
      <c r="M265" s="64">
        <f>F265*L265</f>
        <v/>
      </c>
      <c r="N265" s="64">
        <f>H265+J265+L265</f>
        <v/>
      </c>
      <c r="O265" s="64">
        <f>I265+K265+M265</f>
        <v/>
      </c>
      <c r="P265" t="inlineStr">
        <is>
          <t>미매칭</t>
        </is>
      </c>
      <c r="Q265" t="inlineStr">
        <is>
          <t>D100mm, 수압시험비</t>
        </is>
      </c>
    </row>
    <row r="266" ht="24" customHeight="1" s="34">
      <c r="A266" t="inlineStr">
        <is>
          <t>01 토목</t>
        </is>
      </c>
      <c r="B266" t="inlineStr">
        <is>
          <t>4. 상 수 공</t>
        </is>
      </c>
      <c r="C266" t="n">
        <v>54</v>
      </c>
      <c r="D266" t="inlineStr">
        <is>
          <t>나). 수압시험비</t>
        </is>
      </c>
      <c r="E266" t="inlineStr">
        <is>
          <t>D150mm</t>
        </is>
      </c>
      <c r="F266" t="n">
        <v>4</v>
      </c>
      <c r="G266" t="inlineStr">
        <is>
          <t>회</t>
        </is>
      </c>
      <c r="I266" s="64">
        <f>F266*H266</f>
        <v/>
      </c>
      <c r="J266" s="64" t="n"/>
      <c r="K266" s="64">
        <f>F266*J266</f>
        <v/>
      </c>
      <c r="L266" s="64" t="n"/>
      <c r="M266" s="64">
        <f>F266*L266</f>
        <v/>
      </c>
      <c r="N266" s="64">
        <f>H266+J266+L266</f>
        <v/>
      </c>
      <c r="O266" s="64">
        <f>I266+K266+M266</f>
        <v/>
      </c>
      <c r="P266" t="inlineStr">
        <is>
          <t>미매칭</t>
        </is>
      </c>
      <c r="Q266" t="inlineStr">
        <is>
          <t>D150mm, 수압시험비</t>
        </is>
      </c>
    </row>
    <row r="267" ht="24" customHeight="1" s="34">
      <c r="A267" t="inlineStr">
        <is>
          <t>01 토목</t>
        </is>
      </c>
      <c r="B267" t="inlineStr">
        <is>
          <t>4. 상 수 공</t>
        </is>
      </c>
      <c r="C267" t="n">
        <v>55</v>
      </c>
      <c r="D267" t="inlineStr">
        <is>
          <t>가). 레미콘</t>
        </is>
      </c>
      <c r="E267" t="inlineStr">
        <is>
          <t>25-21-12(Mpa)</t>
        </is>
      </c>
      <c r="F267" t="n">
        <v>2</v>
      </c>
      <c r="G267" t="inlineStr">
        <is>
          <t>㎥</t>
        </is>
      </c>
      <c r="H267" s="64" t="n">
        <v>115000</v>
      </c>
      <c r="I267" s="64">
        <f>F267*H267</f>
        <v/>
      </c>
      <c r="J267" s="64" t="n">
        <v>0</v>
      </c>
      <c r="K267" s="64">
        <f>F267*J267</f>
        <v/>
      </c>
      <c r="L267" s="64" t="n"/>
      <c r="M267" s="64">
        <f>F267*L267</f>
        <v/>
      </c>
      <c r="N267" s="64">
        <f>H267+J267+L267</f>
        <v/>
      </c>
      <c r="O267" s="64">
        <f>I267+K267+M267</f>
        <v/>
      </c>
      <c r="P267" t="inlineStr">
        <is>
          <t>가영현</t>
        </is>
      </c>
      <c r="Q267" t="inlineStr">
        <is>
          <t>레미콘</t>
        </is>
      </c>
    </row>
    <row r="268" ht="24" customHeight="1" s="34">
      <c r="A268" t="inlineStr">
        <is>
          <t>01 토목</t>
        </is>
      </c>
      <c r="B268" t="inlineStr">
        <is>
          <t>4. 상 수 공</t>
        </is>
      </c>
      <c r="C268" t="n">
        <v>56</v>
      </c>
      <c r="D268" t="inlineStr">
        <is>
          <t>나). 레미콘</t>
        </is>
      </c>
      <c r="E268" t="inlineStr">
        <is>
          <t>25-21- 8(Mpa)</t>
        </is>
      </c>
      <c r="F268" t="n">
        <v>35</v>
      </c>
      <c r="G268" t="inlineStr">
        <is>
          <t>㎥</t>
        </is>
      </c>
      <c r="H268" s="64" t="n">
        <v>108000</v>
      </c>
      <c r="I268" s="64">
        <f>F268*H268</f>
        <v/>
      </c>
      <c r="J268" s="64" t="n">
        <v>0</v>
      </c>
      <c r="K268" s="64">
        <f>F268*J268</f>
        <v/>
      </c>
      <c r="L268" s="64" t="n"/>
      <c r="M268" s="64">
        <f>F268*L268</f>
        <v/>
      </c>
      <c r="N268" s="64">
        <f>H268+J268+L268</f>
        <v/>
      </c>
      <c r="O268" s="64">
        <f>I268+K268+M268</f>
        <v/>
      </c>
      <c r="P268" t="inlineStr">
        <is>
          <t>가영현</t>
        </is>
      </c>
      <c r="Q268" t="inlineStr">
        <is>
          <t>레미콘</t>
        </is>
      </c>
    </row>
    <row r="269" ht="24" customHeight="1" s="34">
      <c r="A269" t="inlineStr">
        <is>
          <t>01 토목</t>
        </is>
      </c>
      <c r="B269" t="inlineStr">
        <is>
          <t>4. 상 수 공</t>
        </is>
      </c>
      <c r="C269" t="n">
        <v>57</v>
      </c>
      <c r="D269" t="inlineStr">
        <is>
          <t>다). 레미콘</t>
        </is>
      </c>
      <c r="E269" t="inlineStr">
        <is>
          <t>25-18-8(Mpa)</t>
        </is>
      </c>
      <c r="F269" t="n">
        <v>6</v>
      </c>
      <c r="G269" t="inlineStr">
        <is>
          <t>㎥</t>
        </is>
      </c>
      <c r="H269" s="64" t="n">
        <v>99000</v>
      </c>
      <c r="I269" s="64">
        <f>F269*H269</f>
        <v/>
      </c>
      <c r="J269" s="64" t="n">
        <v>0</v>
      </c>
      <c r="K269" s="64">
        <f>F269*J269</f>
        <v/>
      </c>
      <c r="L269" s="64" t="n"/>
      <c r="M269" s="64">
        <f>F269*L269</f>
        <v/>
      </c>
      <c r="N269" s="64">
        <f>H269+J269+L269</f>
        <v/>
      </c>
      <c r="O269" s="64">
        <f>I269+K269+M269</f>
        <v/>
      </c>
      <c r="P269" t="inlineStr">
        <is>
          <t>가영현</t>
        </is>
      </c>
      <c r="Q269" t="inlineStr">
        <is>
          <t>레미콘</t>
        </is>
      </c>
    </row>
    <row r="270" ht="24" customHeight="1" s="34">
      <c r="A270" t="inlineStr">
        <is>
          <t>01 토목</t>
        </is>
      </c>
      <c r="B270" t="inlineStr">
        <is>
          <t>4. 상 수 공</t>
        </is>
      </c>
      <c r="C270" t="n">
        <v>58</v>
      </c>
      <c r="D270" t="inlineStr">
        <is>
          <t>가). 이형철근</t>
        </is>
      </c>
      <c r="E270" t="inlineStr">
        <is>
          <t>D13M/M 0.995KG/M SD30A</t>
        </is>
      </c>
      <c r="F270" t="n">
        <v>1.64</v>
      </c>
      <c r="G270" t="inlineStr">
        <is>
          <t>Ton</t>
        </is>
      </c>
      <c r="H270" s="64" t="n">
        <v>952000</v>
      </c>
      <c r="I270" s="64">
        <f>F270*H270</f>
        <v/>
      </c>
      <c r="J270" s="64" t="n">
        <v>0</v>
      </c>
      <c r="K270" s="64">
        <f>F270*J270</f>
        <v/>
      </c>
      <c r="L270" s="64" t="n">
        <v>0</v>
      </c>
      <c r="M270" s="64">
        <f>F270*L270</f>
        <v/>
      </c>
      <c r="N270" s="64">
        <f>H270+J270+L270</f>
        <v/>
      </c>
      <c r="O270" s="64">
        <f>I270+K270+M270</f>
        <v/>
      </c>
      <c r="Q270" t="inlineStr">
        <is>
          <t>이형철근</t>
        </is>
      </c>
    </row>
    <row r="271" ht="24" customHeight="1" s="34">
      <c r="A271" t="inlineStr">
        <is>
          <t>01 토목</t>
        </is>
      </c>
      <c r="B271" t="inlineStr">
        <is>
          <t>4. 상 수 공</t>
        </is>
      </c>
      <c r="C271" t="n">
        <v>59</v>
      </c>
      <c r="D271" t="inlineStr">
        <is>
          <t>나). 이형철근</t>
        </is>
      </c>
      <c r="E271" t="inlineStr">
        <is>
          <t>D16M/M 1.560KG/M SD30A</t>
        </is>
      </c>
      <c r="F271" t="n">
        <v>2.53</v>
      </c>
      <c r="G271" t="inlineStr">
        <is>
          <t>Ton</t>
        </is>
      </c>
      <c r="H271" s="64" t="n">
        <v>952000</v>
      </c>
      <c r="I271" s="64">
        <f>F271*H271</f>
        <v/>
      </c>
      <c r="J271" s="64" t="n">
        <v>0</v>
      </c>
      <c r="K271" s="64">
        <f>F271*J271</f>
        <v/>
      </c>
      <c r="L271" s="64" t="n">
        <v>0</v>
      </c>
      <c r="M271" s="64">
        <f>F271*L271</f>
        <v/>
      </c>
      <c r="N271" s="64">
        <f>H271+J271+L271</f>
        <v/>
      </c>
      <c r="O271" s="64">
        <f>I271+K271+M271</f>
        <v/>
      </c>
      <c r="Q271" t="inlineStr">
        <is>
          <t>이형철근</t>
        </is>
      </c>
    </row>
    <row r="272" ht="24" customHeight="1" s="34">
      <c r="A272" t="inlineStr">
        <is>
          <t>01 토목</t>
        </is>
      </c>
      <c r="B272" t="inlineStr">
        <is>
          <t>4. 상 수 공</t>
        </is>
      </c>
      <c r="C272" t="n">
        <v>60</v>
      </c>
      <c r="D272" t="inlineStr">
        <is>
          <t>다). 철근운반비</t>
        </is>
      </c>
      <c r="E272" t="inlineStr">
        <is>
          <t>L=10km이내</t>
        </is>
      </c>
      <c r="F272" t="n">
        <v>4.16</v>
      </c>
      <c r="G272" t="inlineStr">
        <is>
          <t>Ton</t>
        </is>
      </c>
      <c r="I272" s="64">
        <f>F272*H272</f>
        <v/>
      </c>
      <c r="J272" s="64" t="n"/>
      <c r="K272" s="64">
        <f>F272*J272</f>
        <v/>
      </c>
      <c r="L272" s="64" t="n">
        <v>30000</v>
      </c>
      <c r="M272" s="64">
        <f>F272*L272</f>
        <v/>
      </c>
      <c r="N272" s="64">
        <f>H272+J272+L272</f>
        <v/>
      </c>
      <c r="O272" s="64">
        <f>I272+K272+M272</f>
        <v/>
      </c>
      <c r="P272" t="inlineStr">
        <is>
          <t>가영현</t>
        </is>
      </c>
      <c r="Q272" t="inlineStr">
        <is>
          <t>L=10km이내, 철근운반비</t>
        </is>
      </c>
    </row>
    <row r="273" ht="24" customHeight="1" s="34">
      <c r="A273" t="inlineStr">
        <is>
          <t>01 토목</t>
        </is>
      </c>
      <c r="B273" t="inlineStr">
        <is>
          <t>4. 상 수 공</t>
        </is>
      </c>
      <c r="C273" t="n">
        <v>61</v>
      </c>
      <c r="D273" t="inlineStr">
        <is>
          <t>라). 고철(고재)</t>
        </is>
      </c>
      <c r="E273" t="inlineStr">
        <is>
          <t>중량A</t>
        </is>
      </c>
      <c r="F273" t="n">
        <v>0.08</v>
      </c>
      <c r="G273" t="inlineStr">
        <is>
          <t>Ton</t>
        </is>
      </c>
      <c r="H273" s="64" t="n">
        <v>-100000</v>
      </c>
      <c r="I273" s="64">
        <f>F273*H273</f>
        <v/>
      </c>
      <c r="J273" s="64" t="n"/>
      <c r="K273" s="64">
        <f>F273*J273</f>
        <v/>
      </c>
      <c r="L273" s="64" t="n"/>
      <c r="M273" s="64">
        <f>F273*L273</f>
        <v/>
      </c>
      <c r="N273" s="64">
        <f>H273+J273+L273</f>
        <v/>
      </c>
      <c r="O273" s="64">
        <f>I273+K273+M273</f>
        <v/>
      </c>
      <c r="P273" t="inlineStr">
        <is>
          <t>가영현</t>
        </is>
      </c>
      <c r="Q273" t="inlineStr">
        <is>
          <t>중량A, 고재, 고철</t>
        </is>
      </c>
    </row>
    <row r="274" ht="24" customHeight="1" s="34">
      <c r="A274" t="inlineStr">
        <is>
          <t>01 토목</t>
        </is>
      </c>
      <c r="B274" t="inlineStr">
        <is>
          <t>4. 상 수 공</t>
        </is>
      </c>
      <c r="C274" t="n">
        <v>62</v>
      </c>
      <c r="D274" t="inlineStr">
        <is>
          <t>가). 보통시멘트</t>
        </is>
      </c>
      <c r="E274" t="inlineStr">
        <is>
          <t>40kg/대 (포장품)</t>
        </is>
      </c>
      <c r="F274" t="n">
        <v>73</v>
      </c>
      <c r="G274" t="inlineStr">
        <is>
          <t>대</t>
        </is>
      </c>
      <c r="H274" s="64" t="n">
        <v>5500</v>
      </c>
      <c r="I274" s="64">
        <f>F274*H274</f>
        <v/>
      </c>
      <c r="J274" s="64" t="n"/>
      <c r="K274" s="64">
        <f>F274*J274</f>
        <v/>
      </c>
      <c r="L274" s="64" t="n"/>
      <c r="M274" s="64">
        <f>F274*L274</f>
        <v/>
      </c>
      <c r="N274" s="64">
        <f>H274+J274+L274</f>
        <v/>
      </c>
      <c r="O274" s="64">
        <f>I274+K274+M274</f>
        <v/>
      </c>
      <c r="P274" t="inlineStr">
        <is>
          <t>가영현</t>
        </is>
      </c>
      <c r="Q274" t="inlineStr">
        <is>
          <t>40kg/대 (포장품), 포장품, 보통시멘트, 40kg, 대 (포장품)</t>
        </is>
      </c>
    </row>
    <row r="275" ht="24" customHeight="1" s="34">
      <c r="A275" t="inlineStr">
        <is>
          <t>01 토목</t>
        </is>
      </c>
      <c r="B275" t="inlineStr">
        <is>
          <t>4. 상 수 공</t>
        </is>
      </c>
      <c r="C275" t="n">
        <v>63</v>
      </c>
      <c r="D275" t="inlineStr">
        <is>
          <t>나). 시멘트운반</t>
        </is>
      </c>
      <c r="E275" t="inlineStr">
        <is>
          <t>L=30km이내</t>
        </is>
      </c>
      <c r="F275" t="n">
        <v>73</v>
      </c>
      <c r="G275" t="inlineStr">
        <is>
          <t>대</t>
        </is>
      </c>
      <c r="I275" s="64">
        <f>F275*H275</f>
        <v/>
      </c>
      <c r="J275" s="64" t="n"/>
      <c r="K275" s="64">
        <f>F275*J275</f>
        <v/>
      </c>
      <c r="L275" s="64" t="n">
        <v>200</v>
      </c>
      <c r="M275" s="64">
        <f>F275*L275</f>
        <v/>
      </c>
      <c r="N275" s="64">
        <f>H275+J275+L275</f>
        <v/>
      </c>
      <c r="O275" s="64">
        <f>I275+K275+M275</f>
        <v/>
      </c>
      <c r="P275" t="inlineStr">
        <is>
          <t>가영현</t>
        </is>
      </c>
      <c r="Q275" t="inlineStr">
        <is>
          <t>L=30km이내, 시멘트운반</t>
        </is>
      </c>
    </row>
    <row r="276" ht="24" customHeight="1" s="34">
      <c r="A276" t="inlineStr">
        <is>
          <t>01 토목</t>
        </is>
      </c>
      <c r="B276" t="inlineStr">
        <is>
          <t>4. 상 수 공</t>
        </is>
      </c>
      <c r="C276" t="n">
        <v>64</v>
      </c>
      <c r="D276" t="inlineStr">
        <is>
          <t>가). 모래</t>
        </is>
      </c>
      <c r="E276" t="inlineStr">
        <is>
          <t>강모래, 현장도착도</t>
        </is>
      </c>
      <c r="F276" t="n">
        <v>4</v>
      </c>
      <c r="G276" t="inlineStr">
        <is>
          <t>㎥</t>
        </is>
      </c>
      <c r="H276" s="64" t="n">
        <v>45000</v>
      </c>
      <c r="I276" s="64">
        <f>F276*H276</f>
        <v/>
      </c>
      <c r="J276" s="64" t="n">
        <v>0</v>
      </c>
      <c r="K276" s="64">
        <f>F276*J276</f>
        <v/>
      </c>
      <c r="L276" s="64" t="n"/>
      <c r="M276" s="64">
        <f>F276*L276</f>
        <v/>
      </c>
      <c r="N276" s="64">
        <f>H276+J276+L276</f>
        <v/>
      </c>
      <c r="O276" s="64">
        <f>I276+K276+M276</f>
        <v/>
      </c>
      <c r="P276" t="inlineStr">
        <is>
          <t>가영현</t>
        </is>
      </c>
      <c r="Q276" t="inlineStr">
        <is>
          <t>모래</t>
        </is>
      </c>
    </row>
    <row r="277" ht="24" customHeight="1" s="34">
      <c r="A277" t="inlineStr">
        <is>
          <t>01 토목</t>
        </is>
      </c>
      <c r="B277" t="inlineStr">
        <is>
          <t>4. 상 수 공</t>
        </is>
      </c>
      <c r="C277" t="n">
        <v>65</v>
      </c>
      <c r="D277" t="inlineStr">
        <is>
          <t>나). 쇄석자갈</t>
        </is>
      </c>
      <c r="E277" t="inlineStr">
        <is>
          <t>Φ25mm, 현장도착도</t>
        </is>
      </c>
      <c r="F277" t="n">
        <v>5</v>
      </c>
      <c r="G277" t="inlineStr">
        <is>
          <t>㎥</t>
        </is>
      </c>
      <c r="H277" s="64" t="n">
        <v>45000</v>
      </c>
      <c r="I277" s="64">
        <f>F277*H277</f>
        <v/>
      </c>
      <c r="J277" s="64" t="n">
        <v>18064</v>
      </c>
      <c r="K277" s="64">
        <f>F277*J277</f>
        <v/>
      </c>
      <c r="L277" s="64" t="n">
        <v>10496</v>
      </c>
      <c r="M277" s="64">
        <f>F277*L277</f>
        <v/>
      </c>
      <c r="N277" s="64">
        <f>H277+J277+L277</f>
        <v/>
      </c>
      <c r="O277" s="64">
        <f>I277+K277+M277</f>
        <v/>
      </c>
      <c r="P277" t="inlineStr">
        <is>
          <t>가영현</t>
        </is>
      </c>
      <c r="Q277" t="inlineStr">
        <is>
          <t>Φ25mm</t>
        </is>
      </c>
    </row>
    <row r="278" ht="24" customHeight="1" s="34">
      <c r="A278" t="inlineStr">
        <is>
          <t>01 토목</t>
        </is>
      </c>
      <c r="B278" t="inlineStr">
        <is>
          <t>4. 상 수 공</t>
        </is>
      </c>
      <c r="C278" t="n">
        <v>66</v>
      </c>
      <c r="D278" t="inlineStr">
        <is>
          <t>다). 쇄석자갈</t>
        </is>
      </c>
      <c r="E278" t="inlineStr">
        <is>
          <t>Φ40mm, 현장도착도</t>
        </is>
      </c>
      <c r="F278" t="n">
        <v>1</v>
      </c>
      <c r="G278" t="inlineStr">
        <is>
          <t>㎥</t>
        </is>
      </c>
      <c r="H278" s="64" t="n">
        <v>40000</v>
      </c>
      <c r="I278" s="64">
        <f>F278*H278</f>
        <v/>
      </c>
      <c r="J278" s="64" t="n">
        <v>4036</v>
      </c>
      <c r="K278" s="64">
        <f>F278*J278</f>
        <v/>
      </c>
      <c r="L278" s="64" t="n">
        <v>947</v>
      </c>
      <c r="M278" s="64">
        <f>F278*L278</f>
        <v/>
      </c>
      <c r="N278" s="64">
        <f>H278+J278+L278</f>
        <v/>
      </c>
      <c r="O278" s="64">
        <f>I278+K278+M278</f>
        <v/>
      </c>
      <c r="P278" t="inlineStr">
        <is>
          <t>가영현</t>
        </is>
      </c>
      <c r="Q278" t="inlineStr">
        <is>
          <t>쇄석자갈</t>
        </is>
      </c>
    </row>
    <row r="279" ht="24" customHeight="1" s="34">
      <c r="A279" t="inlineStr">
        <is>
          <t>01 토목</t>
        </is>
      </c>
      <c r="B279" t="inlineStr">
        <is>
          <t>4. 상 수 공</t>
        </is>
      </c>
      <c r="C279" t="n">
        <v>67</v>
      </c>
      <c r="D279" t="inlineStr">
        <is>
          <t>라). 잡석</t>
        </is>
      </c>
      <c r="E279" t="inlineStr">
        <is>
          <t>Φ50mm, 현장도착도</t>
        </is>
      </c>
      <c r="F279" t="n">
        <v>5</v>
      </c>
      <c r="G279" t="inlineStr">
        <is>
          <t>㎥</t>
        </is>
      </c>
      <c r="H279" s="64" t="n">
        <v>40000</v>
      </c>
      <c r="I279" s="64">
        <f>F279*H279</f>
        <v/>
      </c>
      <c r="J279" s="64" t="n"/>
      <c r="K279" s="64">
        <f>F279*J279</f>
        <v/>
      </c>
      <c r="L279" s="64" t="n"/>
      <c r="M279" s="64">
        <f>F279*L279</f>
        <v/>
      </c>
      <c r="N279" s="64">
        <f>H279+J279+L279</f>
        <v/>
      </c>
      <c r="O279" s="64">
        <f>I279+K279+M279</f>
        <v/>
      </c>
      <c r="P279" t="inlineStr">
        <is>
          <t>가영현</t>
        </is>
      </c>
      <c r="Q279" t="inlineStr">
        <is>
          <t>잡석</t>
        </is>
      </c>
    </row>
    <row r="280" ht="24" customHeight="1" s="34">
      <c r="A280" t="inlineStr">
        <is>
          <t>01 토목</t>
        </is>
      </c>
      <c r="B280" t="inlineStr">
        <is>
          <t>4. 상 수 공</t>
        </is>
      </c>
      <c r="C280" t="n">
        <v>68</v>
      </c>
      <c r="D280" t="inlineStr">
        <is>
          <t>마). 잡석</t>
        </is>
      </c>
      <c r="E280" t="inlineStr">
        <is>
          <t>Φ150mm이하, 현장도착도</t>
        </is>
      </c>
      <c r="F280" t="n">
        <v>1</v>
      </c>
      <c r="G280" t="inlineStr">
        <is>
          <t>㎥</t>
        </is>
      </c>
      <c r="H280" s="64" t="n">
        <v>40000</v>
      </c>
      <c r="I280" s="64">
        <f>F280*H280</f>
        <v/>
      </c>
      <c r="J280" s="64" t="n"/>
      <c r="K280" s="64">
        <f>F280*J280</f>
        <v/>
      </c>
      <c r="L280" s="64" t="n"/>
      <c r="M280" s="64">
        <f>F280*L280</f>
        <v/>
      </c>
      <c r="N280" s="64">
        <f>H280+J280+L280</f>
        <v/>
      </c>
      <c r="O280" s="64">
        <f>I280+K280+M280</f>
        <v/>
      </c>
      <c r="P280" t="inlineStr">
        <is>
          <t>가영현</t>
        </is>
      </c>
      <c r="Q280" t="inlineStr">
        <is>
          <t>잡석</t>
        </is>
      </c>
    </row>
    <row r="281" ht="24" customHeight="1" s="34">
      <c r="A281" t="inlineStr">
        <is>
          <t>01 토목</t>
        </is>
      </c>
      <c r="B281" t="inlineStr">
        <is>
          <t>4. 상 수 공</t>
        </is>
      </c>
      <c r="C281" t="n">
        <v>69</v>
      </c>
      <c r="D281" t="inlineStr">
        <is>
          <t>가). 수도용닥타일주철관(직관)</t>
        </is>
      </c>
      <c r="E281" t="inlineStr">
        <is>
          <t>100㎜ x 5ｍ (KP시멘트,2종)</t>
        </is>
      </c>
      <c r="F281" t="n">
        <v>24</v>
      </c>
      <c r="G281" t="inlineStr">
        <is>
          <t>본</t>
        </is>
      </c>
      <c r="H281" s="64" t="n">
        <v>5970</v>
      </c>
      <c r="I281" s="64">
        <f>F281*H281</f>
        <v/>
      </c>
      <c r="J281" s="64" t="n">
        <v>24709</v>
      </c>
      <c r="K281" s="64">
        <f>F281*J281</f>
        <v/>
      </c>
      <c r="L281" s="64" t="n">
        <v>5659</v>
      </c>
      <c r="M281" s="64">
        <f>F281*L281</f>
        <v/>
      </c>
      <c r="N281" s="64">
        <f>H281+J281+L281</f>
        <v/>
      </c>
      <c r="O281" s="64">
        <f>I281+K281+M281</f>
        <v/>
      </c>
      <c r="P281" t="inlineStr">
        <is>
          <t>가영현</t>
        </is>
      </c>
      <c r="Q281" t="inlineStr">
        <is>
          <t>수도용닥타일주철관</t>
        </is>
      </c>
    </row>
    <row r="282" ht="24" customHeight="1" s="34">
      <c r="A282" t="inlineStr">
        <is>
          <t>01 토목</t>
        </is>
      </c>
      <c r="B282" t="inlineStr">
        <is>
          <t>4. 상 수 공</t>
        </is>
      </c>
      <c r="C282" t="n">
        <v>70</v>
      </c>
      <c r="D282" t="inlineStr">
        <is>
          <t>나). 수도용닥타일주철관(직관)</t>
        </is>
      </c>
      <c r="E282" t="inlineStr">
        <is>
          <t>150㎜ x 6ｍ (KP시멘트,2종)</t>
        </is>
      </c>
      <c r="F282" t="n">
        <v>135</v>
      </c>
      <c r="G282" t="inlineStr">
        <is>
          <t>본</t>
        </is>
      </c>
      <c r="H282" s="64" t="n">
        <v>5970</v>
      </c>
      <c r="I282" s="64">
        <f>F282*H282</f>
        <v/>
      </c>
      <c r="J282" s="64" t="n">
        <v>24709</v>
      </c>
      <c r="K282" s="64">
        <f>F282*J282</f>
        <v/>
      </c>
      <c r="L282" s="64" t="n">
        <v>5659</v>
      </c>
      <c r="M282" s="64">
        <f>F282*L282</f>
        <v/>
      </c>
      <c r="N282" s="64">
        <f>H282+J282+L282</f>
        <v/>
      </c>
      <c r="O282" s="64">
        <f>I282+K282+M282</f>
        <v/>
      </c>
      <c r="P282" t="inlineStr">
        <is>
          <t>가영현</t>
        </is>
      </c>
      <c r="Q282" t="inlineStr">
        <is>
          <t>수도용닥타일주철관</t>
        </is>
      </c>
    </row>
    <row r="283" ht="24" customHeight="1" s="34">
      <c r="A283" t="inlineStr">
        <is>
          <t>01 토목</t>
        </is>
      </c>
      <c r="B283" t="inlineStr">
        <is>
          <t>4. 상 수 공</t>
        </is>
      </c>
      <c r="C283" t="n">
        <v>71</v>
      </c>
      <c r="D283" t="inlineStr">
        <is>
          <t>다). 수도용닥타일이형관</t>
        </is>
      </c>
      <c r="E283" t="inlineStr">
        <is>
          <t>시멘트라이닝</t>
        </is>
      </c>
      <c r="F283" t="n">
        <v>1977</v>
      </c>
      <c r="G283" t="inlineStr">
        <is>
          <t>kg</t>
        </is>
      </c>
      <c r="I283" s="64">
        <f>F283*H283</f>
        <v/>
      </c>
      <c r="J283" s="64" t="n"/>
      <c r="K283" s="64">
        <f>F283*J283</f>
        <v/>
      </c>
      <c r="L283" s="64" t="n"/>
      <c r="M283" s="64">
        <f>F283*L283</f>
        <v/>
      </c>
      <c r="N283" s="64">
        <f>H283+J283+L283</f>
        <v/>
      </c>
      <c r="O283" s="64">
        <f>I283+K283+M283</f>
        <v/>
      </c>
      <c r="P283" t="inlineStr">
        <is>
          <t>미매칭</t>
        </is>
      </c>
      <c r="Q283" t="inlineStr">
        <is>
          <t>시멘트라이닝, 수도용닥타일이형관</t>
        </is>
      </c>
    </row>
    <row r="284" ht="24" customHeight="1" s="34">
      <c r="A284" t="inlineStr">
        <is>
          <t>01 토목</t>
        </is>
      </c>
      <c r="B284" t="inlineStr">
        <is>
          <t>4. 상 수 공</t>
        </is>
      </c>
      <c r="C284" t="n">
        <v>72</v>
      </c>
      <c r="D284" t="inlineStr">
        <is>
          <t>라). 주철관운반비</t>
        </is>
      </c>
      <c r="E284" t="inlineStr">
        <is>
          <t>공장---&gt;현장, L=160KM</t>
        </is>
      </c>
      <c r="F284" t="n">
        <v>46</v>
      </c>
      <c r="G284" t="inlineStr">
        <is>
          <t>ton</t>
        </is>
      </c>
      <c r="I284" s="64">
        <f>F284*H284</f>
        <v/>
      </c>
      <c r="J284" s="64" t="n"/>
      <c r="K284" s="64">
        <f>F284*J284</f>
        <v/>
      </c>
      <c r="L284" s="64" t="n"/>
      <c r="M284" s="64">
        <f>F284*L284</f>
        <v/>
      </c>
      <c r="N284" s="64">
        <f>H284+J284+L284</f>
        <v/>
      </c>
      <c r="O284" s="64">
        <f>I284+K284+M284</f>
        <v/>
      </c>
      <c r="P284" t="inlineStr">
        <is>
          <t>미매칭</t>
        </is>
      </c>
      <c r="Q284" t="inlineStr">
        <is>
          <t>공장---&gt;현장, L=160KM, 주철관운반비, 공장---&gt;현장, L=160KM</t>
        </is>
      </c>
    </row>
    <row r="285" ht="24" customHeight="1" s="34">
      <c r="A285" t="inlineStr">
        <is>
          <t>01 토목</t>
        </is>
      </c>
      <c r="B285" t="inlineStr">
        <is>
          <t>4. 상 수 공</t>
        </is>
      </c>
      <c r="C285" t="n">
        <v>73</v>
      </c>
      <c r="D285" t="inlineStr">
        <is>
          <t>가). 스테인레스강관</t>
        </is>
      </c>
      <c r="E285" t="inlineStr">
        <is>
          <t>D25</t>
        </is>
      </c>
      <c r="F285" t="n">
        <v>39</v>
      </c>
      <c r="G285" t="inlineStr">
        <is>
          <t>m</t>
        </is>
      </c>
      <c r="H285" s="64" t="n">
        <v>1010</v>
      </c>
      <c r="I285" s="64">
        <f>F285*H285</f>
        <v/>
      </c>
      <c r="J285" s="64" t="n">
        <v>10206</v>
      </c>
      <c r="K285" s="64">
        <f>F285*J285</f>
        <v/>
      </c>
      <c r="L285" s="64" t="n">
        <v>0</v>
      </c>
      <c r="M285" s="64">
        <f>F285*L285</f>
        <v/>
      </c>
      <c r="N285" s="64">
        <f>H285+J285+L285</f>
        <v/>
      </c>
      <c r="O285" s="64">
        <f>I285+K285+M285</f>
        <v/>
      </c>
      <c r="Q285" t="inlineStr">
        <is>
          <t>D25</t>
        </is>
      </c>
    </row>
    <row r="286" ht="24" customHeight="1" s="34">
      <c r="A286" t="inlineStr">
        <is>
          <t>01 토목</t>
        </is>
      </c>
      <c r="B286" t="inlineStr">
        <is>
          <t>4. 상 수 공</t>
        </is>
      </c>
      <c r="C286" t="n">
        <v>74</v>
      </c>
      <c r="D286" t="inlineStr">
        <is>
          <t>나). 스테인레스강관</t>
        </is>
      </c>
      <c r="E286" t="inlineStr">
        <is>
          <t>D50</t>
        </is>
      </c>
      <c r="F286" t="n">
        <v>51</v>
      </c>
      <c r="G286" t="inlineStr">
        <is>
          <t>m</t>
        </is>
      </c>
      <c r="H286" s="64" t="n">
        <v>1606</v>
      </c>
      <c r="I286" s="64">
        <f>F286*H286</f>
        <v/>
      </c>
      <c r="J286" s="64" t="n">
        <v>6471</v>
      </c>
      <c r="K286" s="64">
        <f>F286*J286</f>
        <v/>
      </c>
      <c r="L286" s="64" t="n">
        <v>1168</v>
      </c>
      <c r="M286" s="64">
        <f>F286*L286</f>
        <v/>
      </c>
      <c r="N286" s="64">
        <f>H286+J286+L286</f>
        <v/>
      </c>
      <c r="O286" s="64">
        <f>I286+K286+M286</f>
        <v/>
      </c>
      <c r="Q286" t="inlineStr">
        <is>
          <t>D50</t>
        </is>
      </c>
    </row>
    <row r="287" ht="24" customHeight="1" s="34">
      <c r="A287" t="inlineStr">
        <is>
          <t>01 토목</t>
        </is>
      </c>
      <c r="B287" t="inlineStr">
        <is>
          <t>4. 상 수 공</t>
        </is>
      </c>
      <c r="C287" t="n">
        <v>75</v>
      </c>
      <c r="D287" t="inlineStr">
        <is>
          <t>다). 분수전연결용주름마디강관(STS)</t>
        </is>
      </c>
      <c r="E287" t="inlineStr">
        <is>
          <t>D25 × 1.0</t>
        </is>
      </c>
      <c r="F287" t="n">
        <v>3</v>
      </c>
      <c r="G287" t="inlineStr">
        <is>
          <t>ea</t>
        </is>
      </c>
      <c r="H287" s="64" t="n">
        <v>16010</v>
      </c>
      <c r="I287" s="64">
        <f>F287*H287</f>
        <v/>
      </c>
      <c r="J287" s="64" t="n">
        <v>0</v>
      </c>
      <c r="K287" s="64">
        <f>F287*J287</f>
        <v/>
      </c>
      <c r="L287" s="64" t="n">
        <v>0</v>
      </c>
      <c r="M287" s="64">
        <f>F287*L287</f>
        <v/>
      </c>
      <c r="N287" s="64">
        <f>H287+J287+L287</f>
        <v/>
      </c>
      <c r="O287" s="64">
        <f>I287+K287+M287</f>
        <v/>
      </c>
      <c r="Q287" t="inlineStr">
        <is>
          <t>STS</t>
        </is>
      </c>
    </row>
    <row r="288" ht="24" customHeight="1" s="34">
      <c r="A288" t="inlineStr">
        <is>
          <t>01 토목</t>
        </is>
      </c>
      <c r="B288" t="inlineStr">
        <is>
          <t>4. 상 수 공</t>
        </is>
      </c>
      <c r="C288" t="n">
        <v>76</v>
      </c>
      <c r="D288" t="inlineStr">
        <is>
          <t>라). 분수전연결용주름마디강관(STS)</t>
        </is>
      </c>
      <c r="E288" t="inlineStr">
        <is>
          <t>D50 × 1.0</t>
        </is>
      </c>
      <c r="F288" t="n">
        <v>8</v>
      </c>
      <c r="G288" t="inlineStr">
        <is>
          <t>ea</t>
        </is>
      </c>
      <c r="H288" s="64" t="n">
        <v>16010</v>
      </c>
      <c r="I288" s="64">
        <f>F288*H288</f>
        <v/>
      </c>
      <c r="J288" s="64" t="n">
        <v>0</v>
      </c>
      <c r="K288" s="64">
        <f>F288*J288</f>
        <v/>
      </c>
      <c r="L288" s="64" t="n">
        <v>0</v>
      </c>
      <c r="M288" s="64">
        <f>F288*L288</f>
        <v/>
      </c>
      <c r="N288" s="64">
        <f>H288+J288+L288</f>
        <v/>
      </c>
      <c r="O288" s="64">
        <f>I288+K288+M288</f>
        <v/>
      </c>
      <c r="Q288" t="inlineStr">
        <is>
          <t>STS</t>
        </is>
      </c>
    </row>
    <row r="289" ht="24" customHeight="1" s="34">
      <c r="A289" t="inlineStr">
        <is>
          <t>01 토목</t>
        </is>
      </c>
      <c r="B289" t="inlineStr">
        <is>
          <t>4. 상 수 공</t>
        </is>
      </c>
      <c r="C289" t="n">
        <v>77</v>
      </c>
      <c r="D289" t="inlineStr">
        <is>
          <t>마). 밸브소켓(슬립인조인트)</t>
        </is>
      </c>
      <c r="E289" t="inlineStr">
        <is>
          <t>D25</t>
        </is>
      </c>
      <c r="F289" t="n">
        <v>3</v>
      </c>
      <c r="G289" t="inlineStr">
        <is>
          <t>ea</t>
        </is>
      </c>
      <c r="H289" s="64" t="n">
        <v>15850</v>
      </c>
      <c r="I289" s="64">
        <f>F289*H289</f>
        <v/>
      </c>
      <c r="J289" s="64" t="n">
        <v>792543</v>
      </c>
      <c r="K289" s="64">
        <f>F289*J289</f>
        <v/>
      </c>
      <c r="L289" s="64" t="n">
        <v>0</v>
      </c>
      <c r="M289" s="64">
        <f>F289*L289</f>
        <v/>
      </c>
      <c r="N289" s="64">
        <f>H289+J289+L289</f>
        <v/>
      </c>
      <c r="O289" s="64">
        <f>I289+K289+M289</f>
        <v/>
      </c>
      <c r="Q289" t="inlineStr">
        <is>
          <t>D25</t>
        </is>
      </c>
    </row>
    <row r="290" ht="24" customHeight="1" s="34">
      <c r="A290" t="inlineStr">
        <is>
          <t>01 토목</t>
        </is>
      </c>
      <c r="B290" t="inlineStr">
        <is>
          <t>4. 상 수 공</t>
        </is>
      </c>
      <c r="C290" t="n">
        <v>78</v>
      </c>
      <c r="D290" t="inlineStr">
        <is>
          <t>바). 밸브소켓(슬립인조인트)</t>
        </is>
      </c>
      <c r="E290" t="inlineStr">
        <is>
          <t>D50</t>
        </is>
      </c>
      <c r="F290" t="n">
        <v>8</v>
      </c>
      <c r="G290" t="inlineStr">
        <is>
          <t>ea</t>
        </is>
      </c>
      <c r="H290" s="64" t="n">
        <v>25882</v>
      </c>
      <c r="I290" s="64">
        <f>F290*H290</f>
        <v/>
      </c>
      <c r="J290" s="64" t="n">
        <v>1294149</v>
      </c>
      <c r="K290" s="64">
        <f>F290*J290</f>
        <v/>
      </c>
      <c r="L290" s="64" t="n">
        <v>0</v>
      </c>
      <c r="M290" s="64">
        <f>F290*L290</f>
        <v/>
      </c>
      <c r="N290" s="64">
        <f>H290+J290+L290</f>
        <v/>
      </c>
      <c r="O290" s="64">
        <f>I290+K290+M290</f>
        <v/>
      </c>
      <c r="Q290" t="inlineStr">
        <is>
          <t>D50</t>
        </is>
      </c>
    </row>
    <row r="291" ht="24" customHeight="1" s="34">
      <c r="A291" t="inlineStr">
        <is>
          <t>01 토목</t>
        </is>
      </c>
      <c r="B291" t="inlineStr">
        <is>
          <t>4. 상 수 공</t>
        </is>
      </c>
      <c r="C291" t="n">
        <v>79</v>
      </c>
      <c r="D291" t="inlineStr">
        <is>
          <t>사). 연결유니온</t>
        </is>
      </c>
      <c r="E291" t="inlineStr">
        <is>
          <t>D25</t>
        </is>
      </c>
      <c r="F291" t="n">
        <v>3</v>
      </c>
      <c r="G291" t="inlineStr">
        <is>
          <t>ea</t>
        </is>
      </c>
      <c r="H291" s="64" t="n">
        <v>15850</v>
      </c>
      <c r="I291" s="64">
        <f>F291*H291</f>
        <v/>
      </c>
      <c r="J291" s="64" t="n">
        <v>792543</v>
      </c>
      <c r="K291" s="64">
        <f>F291*J291</f>
        <v/>
      </c>
      <c r="L291" s="64" t="n">
        <v>0</v>
      </c>
      <c r="M291" s="64">
        <f>F291*L291</f>
        <v/>
      </c>
      <c r="N291" s="64">
        <f>H291+J291+L291</f>
        <v/>
      </c>
      <c r="O291" s="64">
        <f>I291+K291+M291</f>
        <v/>
      </c>
      <c r="Q291" t="inlineStr">
        <is>
          <t>D25</t>
        </is>
      </c>
    </row>
    <row r="292" ht="24" customHeight="1" s="34">
      <c r="A292" t="inlineStr">
        <is>
          <t>01 토목</t>
        </is>
      </c>
      <c r="B292" t="inlineStr">
        <is>
          <t>4. 상 수 공</t>
        </is>
      </c>
      <c r="C292" t="n">
        <v>80</v>
      </c>
      <c r="D292" t="inlineStr">
        <is>
          <t>아). 연결유니온</t>
        </is>
      </c>
      <c r="E292" t="inlineStr">
        <is>
          <t>D50</t>
        </is>
      </c>
      <c r="F292" t="n">
        <v>8</v>
      </c>
      <c r="G292" t="inlineStr">
        <is>
          <t>ea</t>
        </is>
      </c>
      <c r="H292" s="64" t="n">
        <v>25882</v>
      </c>
      <c r="I292" s="64">
        <f>F292*H292</f>
        <v/>
      </c>
      <c r="J292" s="64" t="n">
        <v>1294149</v>
      </c>
      <c r="K292" s="64">
        <f>F292*J292</f>
        <v/>
      </c>
      <c r="L292" s="64" t="n">
        <v>0</v>
      </c>
      <c r="M292" s="64">
        <f>F292*L292</f>
        <v/>
      </c>
      <c r="N292" s="64">
        <f>H292+J292+L292</f>
        <v/>
      </c>
      <c r="O292" s="64">
        <f>I292+K292+M292</f>
        <v/>
      </c>
      <c r="Q292" t="inlineStr">
        <is>
          <t>D50</t>
        </is>
      </c>
    </row>
    <row r="293" ht="24" customHeight="1" s="34">
      <c r="A293" t="inlineStr">
        <is>
          <t>01 토목</t>
        </is>
      </c>
      <c r="B293" t="inlineStr">
        <is>
          <t>4. 상 수 공</t>
        </is>
      </c>
      <c r="C293" t="n">
        <v>81</v>
      </c>
      <c r="D293" t="inlineStr">
        <is>
          <t>자). 프러그(슬립인조인트)</t>
        </is>
      </c>
      <c r="E293" t="inlineStr">
        <is>
          <t>D25</t>
        </is>
      </c>
      <c r="F293" t="n">
        <v>3</v>
      </c>
      <c r="G293" t="inlineStr">
        <is>
          <t>ea</t>
        </is>
      </c>
      <c r="H293" s="64" t="n">
        <v>15850</v>
      </c>
      <c r="I293" s="64">
        <f>F293*H293</f>
        <v/>
      </c>
      <c r="J293" s="64" t="n">
        <v>792543</v>
      </c>
      <c r="K293" s="64">
        <f>F293*J293</f>
        <v/>
      </c>
      <c r="L293" s="64" t="n">
        <v>0</v>
      </c>
      <c r="M293" s="64">
        <f>F293*L293</f>
        <v/>
      </c>
      <c r="N293" s="64">
        <f>H293+J293+L293</f>
        <v/>
      </c>
      <c r="O293" s="64">
        <f>I293+K293+M293</f>
        <v/>
      </c>
      <c r="Q293" t="inlineStr">
        <is>
          <t>D25</t>
        </is>
      </c>
    </row>
    <row r="294" ht="24" customHeight="1" s="34">
      <c r="A294" t="inlineStr">
        <is>
          <t>01 토목</t>
        </is>
      </c>
      <c r="B294" t="inlineStr">
        <is>
          <t>4. 상 수 공</t>
        </is>
      </c>
      <c r="C294" t="n">
        <v>82</v>
      </c>
      <c r="D294" t="inlineStr">
        <is>
          <t>차). 프러그(슬립인조인트)</t>
        </is>
      </c>
      <c r="E294" t="inlineStr">
        <is>
          <t>D50</t>
        </is>
      </c>
      <c r="F294" t="n">
        <v>8</v>
      </c>
      <c r="G294" t="inlineStr">
        <is>
          <t>ea</t>
        </is>
      </c>
      <c r="H294" s="64" t="n">
        <v>25882</v>
      </c>
      <c r="I294" s="64">
        <f>F294*H294</f>
        <v/>
      </c>
      <c r="J294" s="64" t="n">
        <v>1294149</v>
      </c>
      <c r="K294" s="64">
        <f>F294*J294</f>
        <v/>
      </c>
      <c r="L294" s="64" t="n">
        <v>0</v>
      </c>
      <c r="M294" s="64">
        <f>F294*L294</f>
        <v/>
      </c>
      <c r="N294" s="64">
        <f>H294+J294+L294</f>
        <v/>
      </c>
      <c r="O294" s="64">
        <f>I294+K294+M294</f>
        <v/>
      </c>
      <c r="Q294" t="inlineStr">
        <is>
          <t>D50</t>
        </is>
      </c>
    </row>
    <row r="295" ht="24" customHeight="1" s="34">
      <c r="A295" t="inlineStr">
        <is>
          <t>01 토목</t>
        </is>
      </c>
      <c r="B295" t="inlineStr">
        <is>
          <t>4. 상 수 공</t>
        </is>
      </c>
      <c r="C295" t="n">
        <v>83</v>
      </c>
      <c r="D295" t="inlineStr">
        <is>
          <t>가). 소프트실제수밸브</t>
        </is>
      </c>
      <c r="E295" t="inlineStr">
        <is>
          <t>100㎜</t>
        </is>
      </c>
      <c r="F295" t="n">
        <v>11</v>
      </c>
      <c r="G295" t="inlineStr">
        <is>
          <t>ea</t>
        </is>
      </c>
      <c r="H295" s="64" t="n">
        <v>3261</v>
      </c>
      <c r="I295" s="64">
        <f>F295*H295</f>
        <v/>
      </c>
      <c r="J295" s="64" t="n">
        <v>43712</v>
      </c>
      <c r="K295" s="64">
        <f>F295*J295</f>
        <v/>
      </c>
      <c r="L295" s="64" t="n"/>
      <c r="M295" s="64">
        <f>F295*L295</f>
        <v/>
      </c>
      <c r="N295" s="64">
        <f>H295+J295+L295</f>
        <v/>
      </c>
      <c r="O295" s="64">
        <f>I295+K295+M295</f>
        <v/>
      </c>
      <c r="P295" t="inlineStr">
        <is>
          <t>가영현</t>
        </is>
      </c>
      <c r="Q295" t="inlineStr">
        <is>
          <t>100㎜</t>
        </is>
      </c>
    </row>
    <row r="296" ht="24" customHeight="1" s="34">
      <c r="A296" t="inlineStr">
        <is>
          <t>01 토목</t>
        </is>
      </c>
      <c r="B296" t="inlineStr">
        <is>
          <t>4. 상 수 공</t>
        </is>
      </c>
      <c r="C296" t="n">
        <v>84</v>
      </c>
      <c r="D296" t="inlineStr">
        <is>
          <t>나). 소프트실제수밸브</t>
        </is>
      </c>
      <c r="E296" t="inlineStr">
        <is>
          <t>150㎜</t>
        </is>
      </c>
      <c r="F296" t="n">
        <v>8</v>
      </c>
      <c r="G296" t="inlineStr">
        <is>
          <t>ea</t>
        </is>
      </c>
      <c r="H296" s="64" t="n">
        <v>3261</v>
      </c>
      <c r="I296" s="64">
        <f>F296*H296</f>
        <v/>
      </c>
      <c r="J296" s="64" t="n">
        <v>43712</v>
      </c>
      <c r="K296" s="64">
        <f>F296*J296</f>
        <v/>
      </c>
      <c r="L296" s="64" t="n"/>
      <c r="M296" s="64">
        <f>F296*L296</f>
        <v/>
      </c>
      <c r="N296" s="64">
        <f>H296+J296+L296</f>
        <v/>
      </c>
      <c r="O296" s="64">
        <f>I296+K296+M296</f>
        <v/>
      </c>
      <c r="P296" t="inlineStr">
        <is>
          <t>가영현</t>
        </is>
      </c>
      <c r="Q296" t="inlineStr">
        <is>
          <t>150㎜</t>
        </is>
      </c>
    </row>
    <row r="297" ht="24" customHeight="1" s="34">
      <c r="A297" t="inlineStr">
        <is>
          <t>01 토목</t>
        </is>
      </c>
      <c r="B297" t="inlineStr">
        <is>
          <t>4. 상 수 공</t>
        </is>
      </c>
      <c r="C297" t="n">
        <v>85</v>
      </c>
      <c r="D297" t="inlineStr">
        <is>
          <t>다). 급속공기밸브(수도용)</t>
        </is>
      </c>
      <c r="E297" t="inlineStr">
        <is>
          <t>100A</t>
        </is>
      </c>
      <c r="F297" t="n">
        <v>1</v>
      </c>
      <c r="G297" t="inlineStr">
        <is>
          <t>ea</t>
        </is>
      </c>
      <c r="H297" s="64" t="n">
        <v>2490</v>
      </c>
      <c r="I297" s="64">
        <f>F297*H297</f>
        <v/>
      </c>
      <c r="J297" s="64" t="n">
        <v>0</v>
      </c>
      <c r="K297" s="64">
        <f>F297*J297</f>
        <v/>
      </c>
      <c r="L297" s="64" t="n">
        <v>0</v>
      </c>
      <c r="M297" s="64">
        <f>F297*L297</f>
        <v/>
      </c>
      <c r="N297" s="64">
        <f>H297+J297+L297</f>
        <v/>
      </c>
      <c r="O297" s="64">
        <f>I297+K297+M297</f>
        <v/>
      </c>
      <c r="Q297" t="inlineStr">
        <is>
          <t>100A</t>
        </is>
      </c>
    </row>
    <row r="298" ht="24" customHeight="1" s="34">
      <c r="A298" t="inlineStr">
        <is>
          <t>01 토목</t>
        </is>
      </c>
      <c r="B298" t="inlineStr">
        <is>
          <t>4. 상 수 공</t>
        </is>
      </c>
      <c r="C298" t="n">
        <v>86</v>
      </c>
      <c r="D298" t="inlineStr">
        <is>
          <t>가). 맨홀뚜껑(주철제)</t>
        </is>
      </c>
      <c r="E298" t="inlineStr">
        <is>
          <t>Φ648x250, KS, 상수도용</t>
        </is>
      </c>
      <c r="F298" t="n">
        <v>9</v>
      </c>
      <c r="G298" t="inlineStr">
        <is>
          <t>조</t>
        </is>
      </c>
      <c r="H298" s="64" t="n">
        <v>0</v>
      </c>
      <c r="I298" s="64">
        <f>F298*H298</f>
        <v/>
      </c>
      <c r="J298" s="64" t="n">
        <v>289893</v>
      </c>
      <c r="K298" s="64">
        <f>F298*J298</f>
        <v/>
      </c>
      <c r="L298" s="64" t="n">
        <v>0</v>
      </c>
      <c r="M298" s="64">
        <f>F298*L298</f>
        <v/>
      </c>
      <c r="N298" s="64">
        <f>H298+J298+L298</f>
        <v/>
      </c>
      <c r="O298" s="64">
        <f>I298+K298+M298</f>
        <v/>
      </c>
      <c r="Q298" t="inlineStr">
        <is>
          <t>주철제</t>
        </is>
      </c>
    </row>
    <row r="299" ht="24" customHeight="1" s="34">
      <c r="A299" s="15" t="inlineStr">
        <is>
          <t>01 토목</t>
        </is>
      </c>
      <c r="B299" s="15" t="inlineStr">
        <is>
          <t>4. 상 수 공</t>
        </is>
      </c>
      <c r="C299" s="15" t="n"/>
      <c r="D299" s="15" t="inlineStr">
        <is>
          <t>★ 4. 상 수 공 소계</t>
        </is>
      </c>
      <c r="E299" s="15" t="n"/>
      <c r="F299" s="15" t="n"/>
      <c r="G299" s="15" t="n"/>
      <c r="H299" s="66" t="n"/>
      <c r="I299" s="66">
        <f>SUM(I213:I298)</f>
        <v/>
      </c>
      <c r="J299" s="66" t="n"/>
      <c r="K299" s="66">
        <f>SUM(K213:K298)</f>
        <v/>
      </c>
      <c r="L299" s="66" t="n"/>
      <c r="M299" s="66">
        <f>SUM(M213:M298)</f>
        <v/>
      </c>
      <c r="N299" s="66" t="n"/>
      <c r="O299" s="66">
        <f>SUM(O213:O298)</f>
        <v/>
      </c>
      <c r="P299" s="15" t="n"/>
      <c r="Q299" s="15" t="inlineStr">
        <is>
          <t>86건</t>
        </is>
      </c>
    </row>
    <row r="300" ht="24" customHeight="1" s="34">
      <c r="A300" t="inlineStr">
        <is>
          <t>01 토목</t>
        </is>
      </c>
      <c r="B300" t="inlineStr">
        <is>
          <t>5. 포 장 공</t>
        </is>
      </c>
      <c r="C300" t="n">
        <v>1</v>
      </c>
      <c r="D300" t="inlineStr">
        <is>
          <t>가). 구조물터파기(토사)</t>
        </is>
      </c>
      <c r="E300" t="inlineStr">
        <is>
          <t>기계90%+인력10%, 보통토사</t>
        </is>
      </c>
      <c r="F300" t="n">
        <v>66</v>
      </c>
      <c r="G300" t="inlineStr">
        <is>
          <t>㎥</t>
        </is>
      </c>
      <c r="H300" s="64" t="n">
        <v>0</v>
      </c>
      <c r="I300" s="64">
        <f>F300*H300</f>
        <v/>
      </c>
      <c r="J300" s="64" t="n">
        <v>33455</v>
      </c>
      <c r="K300" s="64">
        <f>F300*J300</f>
        <v/>
      </c>
      <c r="L300" s="64" t="n">
        <v>0</v>
      </c>
      <c r="M300" s="64">
        <f>F300*L300</f>
        <v/>
      </c>
      <c r="N300" s="64">
        <f>H300+J300+L300</f>
        <v/>
      </c>
      <c r="O300" s="64">
        <f>I300+K300+M300</f>
        <v/>
      </c>
      <c r="Q300" t="inlineStr">
        <is>
          <t>토사</t>
        </is>
      </c>
    </row>
    <row r="301" ht="24" customHeight="1" s="34">
      <c r="A301" t="inlineStr">
        <is>
          <t>01 토목</t>
        </is>
      </c>
      <c r="B301" t="inlineStr">
        <is>
          <t>5. 포 장 공</t>
        </is>
      </c>
      <c r="C301" t="n">
        <v>2</v>
      </c>
      <c r="D301" t="inlineStr">
        <is>
          <t>가). 되메우기및다짐(토사)</t>
        </is>
      </c>
      <c r="E301" t="inlineStr">
        <is>
          <t>기계90%+인력10%,래머 80KG</t>
        </is>
      </c>
      <c r="F301" t="n">
        <v>60</v>
      </c>
      <c r="G301" t="inlineStr">
        <is>
          <t>㎥</t>
        </is>
      </c>
      <c r="H301" s="64" t="n">
        <v>608</v>
      </c>
      <c r="I301" s="64">
        <f>F301*H301</f>
        <v/>
      </c>
      <c r="J301" s="64" t="n">
        <v>9980</v>
      </c>
      <c r="K301" s="64">
        <f>F301*J301</f>
        <v/>
      </c>
      <c r="L301" s="64" t="n">
        <v>440</v>
      </c>
      <c r="M301" s="64">
        <f>F301*L301</f>
        <v/>
      </c>
      <c r="N301" s="64">
        <f>H301+J301+L301</f>
        <v/>
      </c>
      <c r="O301" s="64">
        <f>I301+K301+M301</f>
        <v/>
      </c>
      <c r="Q301" t="inlineStr">
        <is>
          <t>되메우기및다짐</t>
        </is>
      </c>
    </row>
    <row r="302" ht="24" customHeight="1" s="34">
      <c r="A302" t="inlineStr">
        <is>
          <t>01 토목</t>
        </is>
      </c>
      <c r="B302" t="inlineStr">
        <is>
          <t>5. 포 장 공</t>
        </is>
      </c>
      <c r="C302" t="n">
        <v>3</v>
      </c>
      <c r="D302" t="inlineStr">
        <is>
          <t>가). 잔토처리(토사)</t>
        </is>
      </c>
      <c r="E302" t="inlineStr">
        <is>
          <t>기계100%</t>
        </is>
      </c>
      <c r="F302" t="n">
        <v>7</v>
      </c>
      <c r="G302" t="inlineStr">
        <is>
          <t>㎥</t>
        </is>
      </c>
      <c r="H302" s="64" t="n">
        <v>447</v>
      </c>
      <c r="I302" s="64">
        <f>F302*H302</f>
        <v/>
      </c>
      <c r="J302" s="64" t="n">
        <v>955</v>
      </c>
      <c r="K302" s="64">
        <f>F302*J302</f>
        <v/>
      </c>
      <c r="L302" s="64" t="n">
        <v>336</v>
      </c>
      <c r="M302" s="64">
        <f>F302*L302</f>
        <v/>
      </c>
      <c r="N302" s="64">
        <f>H302+J302+L302</f>
        <v/>
      </c>
      <c r="O302" s="64">
        <f>I302+K302+M302</f>
        <v/>
      </c>
      <c r="Q302" t="inlineStr">
        <is>
          <t>토사</t>
        </is>
      </c>
    </row>
    <row r="303" ht="24" customHeight="1" s="34">
      <c r="A303" t="inlineStr">
        <is>
          <t>01 토목</t>
        </is>
      </c>
      <c r="B303" t="inlineStr">
        <is>
          <t>5. 포 장 공</t>
        </is>
      </c>
      <c r="C303" t="n">
        <v>4</v>
      </c>
      <c r="D303" t="inlineStr">
        <is>
          <t>1). 아스팔트 표층 기계포설(대형장비)</t>
        </is>
      </c>
      <c r="E303" t="inlineStr">
        <is>
          <t>3.0m≤B, T=5cm</t>
        </is>
      </c>
      <c r="F303" t="n">
        <v>6959</v>
      </c>
      <c r="G303" t="inlineStr">
        <is>
          <t>㎡</t>
        </is>
      </c>
      <c r="H303" s="64" t="n">
        <v>177</v>
      </c>
      <c r="I303" s="64">
        <f>F303*H303</f>
        <v/>
      </c>
      <c r="J303" s="64" t="n">
        <v>1249</v>
      </c>
      <c r="K303" s="64">
        <f>F303*J303</f>
        <v/>
      </c>
      <c r="L303" s="64" t="n">
        <v>311</v>
      </c>
      <c r="M303" s="64">
        <f>F303*L303</f>
        <v/>
      </c>
      <c r="N303" s="64">
        <f>H303+J303+L303</f>
        <v/>
      </c>
      <c r="O303" s="64">
        <f>I303+K303+M303</f>
        <v/>
      </c>
      <c r="Q303" t="inlineStr">
        <is>
          <t>대형장비</t>
        </is>
      </c>
    </row>
    <row r="304" ht="24" customHeight="1" s="34">
      <c r="A304" t="inlineStr">
        <is>
          <t>01 토목</t>
        </is>
      </c>
      <c r="B304" t="inlineStr">
        <is>
          <t>5. 포 장 공</t>
        </is>
      </c>
      <c r="C304" t="n">
        <v>5</v>
      </c>
      <c r="D304" t="inlineStr">
        <is>
          <t>2). 아스팔트 중간층 기계포설(대형장비)</t>
        </is>
      </c>
      <c r="E304" t="inlineStr">
        <is>
          <t>3.0m≤B, T=5cm</t>
        </is>
      </c>
      <c r="F304" t="n">
        <v>4880</v>
      </c>
      <c r="G304" t="inlineStr">
        <is>
          <t>㎡</t>
        </is>
      </c>
      <c r="H304" s="64" t="n">
        <v>177</v>
      </c>
      <c r="I304" s="64">
        <f>F304*H304</f>
        <v/>
      </c>
      <c r="J304" s="64" t="n">
        <v>1249</v>
      </c>
      <c r="K304" s="64">
        <f>F304*J304</f>
        <v/>
      </c>
      <c r="L304" s="64" t="n">
        <v>311</v>
      </c>
      <c r="M304" s="64">
        <f>F304*L304</f>
        <v/>
      </c>
      <c r="N304" s="64">
        <f>H304+J304+L304</f>
        <v/>
      </c>
      <c r="O304" s="64">
        <f>I304+K304+M304</f>
        <v/>
      </c>
      <c r="Q304" t="inlineStr">
        <is>
          <t>대형장비</t>
        </is>
      </c>
    </row>
    <row r="305" ht="24" customHeight="1" s="34">
      <c r="A305" t="inlineStr">
        <is>
          <t>01 토목</t>
        </is>
      </c>
      <c r="B305" t="inlineStr">
        <is>
          <t>5. 포 장 공</t>
        </is>
      </c>
      <c r="C305" t="n">
        <v>6</v>
      </c>
      <c r="D305" t="inlineStr">
        <is>
          <t>3). 아스팔트 기층 기계포설(대형장비)</t>
        </is>
      </c>
      <c r="E305" t="inlineStr">
        <is>
          <t>3.0m≤B, T=15cm, 2회</t>
        </is>
      </c>
      <c r="F305" t="n">
        <v>6952</v>
      </c>
      <c r="G305" t="inlineStr">
        <is>
          <t>㎡</t>
        </is>
      </c>
      <c r="H305" s="64" t="n">
        <v>0</v>
      </c>
      <c r="I305" s="64">
        <f>F305*H305</f>
        <v/>
      </c>
      <c r="J305" s="64" t="n">
        <v>0</v>
      </c>
      <c r="K305" s="64">
        <f>F305*J305</f>
        <v/>
      </c>
      <c r="L305" s="64" t="n">
        <v>0</v>
      </c>
      <c r="M305" s="64">
        <f>F305*L305</f>
        <v/>
      </c>
      <c r="N305" s="64">
        <f>H305+J305+L305</f>
        <v/>
      </c>
      <c r="O305" s="64">
        <f>I305+K305+M305</f>
        <v/>
      </c>
      <c r="Q305" t="inlineStr">
        <is>
          <t>대형장비</t>
        </is>
      </c>
    </row>
    <row r="306" ht="24" customHeight="1" s="34">
      <c r="A306" t="inlineStr">
        <is>
          <t>01 토목</t>
        </is>
      </c>
      <c r="B306" t="inlineStr">
        <is>
          <t>5. 포 장 공</t>
        </is>
      </c>
      <c r="C306" t="n">
        <v>7</v>
      </c>
      <c r="D306" t="inlineStr">
        <is>
          <t>4). 텍코팅(기계식)</t>
        </is>
      </c>
      <c r="E306" t="inlineStr">
        <is>
          <t>RSC-4:45ℓ/a, 2회</t>
        </is>
      </c>
      <c r="F306" t="n">
        <v>4880</v>
      </c>
      <c r="G306" t="inlineStr">
        <is>
          <t>㎡</t>
        </is>
      </c>
      <c r="H306" s="64" t="n">
        <v>11</v>
      </c>
      <c r="I306" s="64">
        <f>F306*H306</f>
        <v/>
      </c>
      <c r="J306" s="64" t="n">
        <v>36</v>
      </c>
      <c r="K306" s="64">
        <f>F306*J306</f>
        <v/>
      </c>
      <c r="L306" s="64" t="n">
        <v>1</v>
      </c>
      <c r="M306" s="64">
        <f>F306*L306</f>
        <v/>
      </c>
      <c r="N306" s="64">
        <f>H306+J306+L306</f>
        <v/>
      </c>
      <c r="O306" s="64">
        <f>I306+K306+M306</f>
        <v/>
      </c>
      <c r="Q306" t="inlineStr">
        <is>
          <t>텍코팅</t>
        </is>
      </c>
    </row>
    <row r="307" ht="24" customHeight="1" s="34">
      <c r="A307" t="inlineStr">
        <is>
          <t>01 토목</t>
        </is>
      </c>
      <c r="B307" t="inlineStr">
        <is>
          <t>5. 포 장 공</t>
        </is>
      </c>
      <c r="C307" t="n">
        <v>8</v>
      </c>
      <c r="D307" t="inlineStr">
        <is>
          <t>5). 텍코팅(기계식)</t>
        </is>
      </c>
      <c r="E307" t="inlineStr">
        <is>
          <t>RSC-4:45ℓ/a</t>
        </is>
      </c>
      <c r="F307" t="n">
        <v>2079</v>
      </c>
      <c r="G307" t="inlineStr">
        <is>
          <t>㎡</t>
        </is>
      </c>
      <c r="H307" s="64" t="n">
        <v>11</v>
      </c>
      <c r="I307" s="64">
        <f>F307*H307</f>
        <v/>
      </c>
      <c r="J307" s="64" t="n">
        <v>36</v>
      </c>
      <c r="K307" s="64">
        <f>F307*J307</f>
        <v/>
      </c>
      <c r="L307" s="64" t="n">
        <v>1</v>
      </c>
      <c r="M307" s="64">
        <f>F307*L307</f>
        <v/>
      </c>
      <c r="N307" s="64">
        <f>H307+J307+L307</f>
        <v/>
      </c>
      <c r="O307" s="64">
        <f>I307+K307+M307</f>
        <v/>
      </c>
      <c r="Q307" t="inlineStr">
        <is>
          <t>텍코팅</t>
        </is>
      </c>
    </row>
    <row r="308" ht="24" customHeight="1" s="34">
      <c r="A308" t="inlineStr">
        <is>
          <t>01 토목</t>
        </is>
      </c>
      <c r="B308" t="inlineStr">
        <is>
          <t>5. 포 장 공</t>
        </is>
      </c>
      <c r="C308" t="n">
        <v>9</v>
      </c>
      <c r="D308" t="inlineStr">
        <is>
          <t>6). 프라임코팅(기계식)</t>
        </is>
      </c>
      <c r="E308" t="inlineStr">
        <is>
          <t>RSC-3:150ℓ/a</t>
        </is>
      </c>
      <c r="F308" t="n">
        <v>6945</v>
      </c>
      <c r="G308" t="inlineStr">
        <is>
          <t>㎡</t>
        </is>
      </c>
      <c r="H308" s="64" t="n">
        <v>11</v>
      </c>
      <c r="I308" s="64">
        <f>F308*H308</f>
        <v/>
      </c>
      <c r="J308" s="64" t="n">
        <v>36</v>
      </c>
      <c r="K308" s="64">
        <f>F308*J308</f>
        <v/>
      </c>
      <c r="L308" s="64" t="n">
        <v>1</v>
      </c>
      <c r="M308" s="64">
        <f>F308*L308</f>
        <v/>
      </c>
      <c r="N308" s="64">
        <f>H308+J308+L308</f>
        <v/>
      </c>
      <c r="O308" s="64">
        <f>I308+K308+M308</f>
        <v/>
      </c>
      <c r="Q308" t="inlineStr">
        <is>
          <t>프라임코팅</t>
        </is>
      </c>
    </row>
    <row r="309" ht="24" customHeight="1" s="34">
      <c r="A309" t="inlineStr">
        <is>
          <t>01 토목</t>
        </is>
      </c>
      <c r="B309" t="inlineStr">
        <is>
          <t>5. 포 장 공</t>
        </is>
      </c>
      <c r="C309" t="n">
        <v>10</v>
      </c>
      <c r="D309" t="inlineStr">
        <is>
          <t>7). 보조기층(기계시공)</t>
        </is>
      </c>
      <c r="E309" t="inlineStr">
        <is>
          <t>본선포장, T=20cm</t>
        </is>
      </c>
      <c r="F309" t="n">
        <v>1625</v>
      </c>
      <c r="G309" t="inlineStr">
        <is>
          <t>㎥</t>
        </is>
      </c>
      <c r="H309" s="64" t="n">
        <v>2216</v>
      </c>
      <c r="I309" s="64">
        <f>F309*H309</f>
        <v/>
      </c>
      <c r="J309" s="64" t="n">
        <v>7533</v>
      </c>
      <c r="K309" s="64">
        <f>F309*J309</f>
        <v/>
      </c>
      <c r="L309" s="64" t="n">
        <v>2292</v>
      </c>
      <c r="M309" s="64">
        <f>F309*L309</f>
        <v/>
      </c>
      <c r="N309" s="64">
        <f>H309+J309+L309</f>
        <v/>
      </c>
      <c r="O309" s="64">
        <f>I309+K309+M309</f>
        <v/>
      </c>
      <c r="Q309" t="inlineStr">
        <is>
          <t>기계시공</t>
        </is>
      </c>
    </row>
    <row r="310" ht="24" customHeight="1" s="34">
      <c r="A310" t="inlineStr">
        <is>
          <t>01 토목</t>
        </is>
      </c>
      <c r="B310" t="inlineStr">
        <is>
          <t>5. 포 장 공</t>
        </is>
      </c>
      <c r="C310" t="n">
        <v>11</v>
      </c>
      <c r="D310" t="inlineStr">
        <is>
          <t>가). 보도용블럭포장(소형)</t>
        </is>
      </c>
      <c r="E310" t="inlineStr">
        <is>
          <t>A-TYPE, T=8㎝이하</t>
        </is>
      </c>
      <c r="F310" t="n">
        <v>2645</v>
      </c>
      <c r="G310" t="inlineStr">
        <is>
          <t>㎡</t>
        </is>
      </c>
      <c r="H310" s="64" t="n">
        <v>596</v>
      </c>
      <c r="I310" s="64">
        <f>F310*H310</f>
        <v/>
      </c>
      <c r="J310" s="64" t="n">
        <v>7175</v>
      </c>
      <c r="K310" s="64">
        <f>F310*J310</f>
        <v/>
      </c>
      <c r="L310" s="64" t="n">
        <v>641</v>
      </c>
      <c r="M310" s="64">
        <f>F310*L310</f>
        <v/>
      </c>
      <c r="N310" s="64">
        <f>H310+J310+L310</f>
        <v/>
      </c>
      <c r="O310" s="64">
        <f>I310+K310+M310</f>
        <v/>
      </c>
      <c r="Q310" t="inlineStr">
        <is>
          <t>소형</t>
        </is>
      </c>
    </row>
    <row r="311" ht="24" customHeight="1" s="34">
      <c r="A311" t="inlineStr">
        <is>
          <t>01 토목</t>
        </is>
      </c>
      <c r="B311" t="inlineStr">
        <is>
          <t>5. 포 장 공</t>
        </is>
      </c>
      <c r="C311" t="n">
        <v>12</v>
      </c>
      <c r="D311" t="inlineStr">
        <is>
          <t>나). 보조기층(인력식)</t>
        </is>
      </c>
      <c r="E311" t="inlineStr">
        <is>
          <t>소규모장비</t>
        </is>
      </c>
      <c r="F311" t="n">
        <v>290</v>
      </c>
      <c r="G311" t="inlineStr">
        <is>
          <t>㎥</t>
        </is>
      </c>
      <c r="H311" s="64" t="n">
        <v>1320</v>
      </c>
      <c r="I311" s="64">
        <f>F311*H311</f>
        <v/>
      </c>
      <c r="J311" s="64" t="n">
        <v>11220</v>
      </c>
      <c r="K311" s="64">
        <f>F311*J311</f>
        <v/>
      </c>
      <c r="L311" s="64" t="n">
        <v>1521</v>
      </c>
      <c r="M311" s="64">
        <f>F311*L311</f>
        <v/>
      </c>
      <c r="N311" s="64">
        <f>H311+J311+L311</f>
        <v/>
      </c>
      <c r="O311" s="64">
        <f>I311+K311+M311</f>
        <v/>
      </c>
      <c r="Q311" t="inlineStr">
        <is>
          <t>소규모장비</t>
        </is>
      </c>
    </row>
    <row r="312" ht="24" customHeight="1" s="34">
      <c r="A312" t="inlineStr">
        <is>
          <t>01 토목</t>
        </is>
      </c>
      <c r="B312" t="inlineStr">
        <is>
          <t>5. 포 장 공</t>
        </is>
      </c>
      <c r="C312" t="n">
        <v>13</v>
      </c>
      <c r="D312" t="inlineStr">
        <is>
          <t>가). 보도용블럭포장(유도블록)</t>
        </is>
      </c>
      <c r="E312" t="inlineStr">
        <is>
          <t>A-TYPE, T=6㎝이하</t>
        </is>
      </c>
      <c r="F312" t="n">
        <v>26</v>
      </c>
      <c r="G312" t="inlineStr">
        <is>
          <t>㎡</t>
        </is>
      </c>
      <c r="H312" s="64" t="n">
        <v>445</v>
      </c>
      <c r="I312" s="64">
        <f>F312*H312</f>
        <v/>
      </c>
      <c r="J312" s="64" t="n">
        <v>1402</v>
      </c>
      <c r="K312" s="64">
        <f>F312*J312</f>
        <v/>
      </c>
      <c r="L312" s="64" t="n">
        <v>783</v>
      </c>
      <c r="M312" s="64">
        <f>F312*L312</f>
        <v/>
      </c>
      <c r="N312" s="64">
        <f>H312+J312+L312</f>
        <v/>
      </c>
      <c r="O312" s="64">
        <f>I312+K312+M312</f>
        <v/>
      </c>
      <c r="Q312" t="inlineStr">
        <is>
          <t>A-TYPE</t>
        </is>
      </c>
    </row>
    <row r="313" ht="24" customHeight="1" s="34">
      <c r="A313" t="inlineStr">
        <is>
          <t>01 토목</t>
        </is>
      </c>
      <c r="B313" t="inlineStr">
        <is>
          <t>5. 포 장 공</t>
        </is>
      </c>
      <c r="C313" t="n">
        <v>14</v>
      </c>
      <c r="D313" t="inlineStr">
        <is>
          <t>나). 보도용블럭포장(점자블록)</t>
        </is>
      </c>
      <c r="E313" t="inlineStr">
        <is>
          <t>A-TYPE, T=6㎝이하</t>
        </is>
      </c>
      <c r="F313" t="n">
        <v>57</v>
      </c>
      <c r="G313" t="inlineStr">
        <is>
          <t>㎡</t>
        </is>
      </c>
      <c r="H313" s="64" t="n">
        <v>445</v>
      </c>
      <c r="I313" s="64">
        <f>F313*H313</f>
        <v/>
      </c>
      <c r="J313" s="64" t="n">
        <v>1402</v>
      </c>
      <c r="K313" s="64">
        <f>F313*J313</f>
        <v/>
      </c>
      <c r="L313" s="64" t="n">
        <v>783</v>
      </c>
      <c r="M313" s="64">
        <f>F313*L313</f>
        <v/>
      </c>
      <c r="N313" s="64">
        <f>H313+J313+L313</f>
        <v/>
      </c>
      <c r="O313" s="64">
        <f>I313+K313+M313</f>
        <v/>
      </c>
      <c r="Q313" t="inlineStr">
        <is>
          <t>A-TYPE</t>
        </is>
      </c>
    </row>
    <row r="314" ht="24" customHeight="1" s="34">
      <c r="A314" t="inlineStr">
        <is>
          <t>01 토목</t>
        </is>
      </c>
      <c r="B314" t="inlineStr">
        <is>
          <t>5. 포 장 공</t>
        </is>
      </c>
      <c r="C314" t="n">
        <v>15</v>
      </c>
      <c r="D314" t="inlineStr">
        <is>
          <t>다). 보조기층(인력식)</t>
        </is>
      </c>
      <c r="E314" t="inlineStr">
        <is>
          <t>T=10cm, 소규모장비</t>
        </is>
      </c>
      <c r="F314" t="n">
        <v>9</v>
      </c>
      <c r="G314" t="inlineStr">
        <is>
          <t>㎥</t>
        </is>
      </c>
      <c r="H314" s="64" t="n">
        <v>1320</v>
      </c>
      <c r="I314" s="64">
        <f>F314*H314</f>
        <v/>
      </c>
      <c r="J314" s="64" t="n">
        <v>11220</v>
      </c>
      <c r="K314" s="64">
        <f>F314*J314</f>
        <v/>
      </c>
      <c r="L314" s="64" t="n">
        <v>1521</v>
      </c>
      <c r="M314" s="64">
        <f>F314*L314</f>
        <v/>
      </c>
      <c r="N314" s="64">
        <f>H314+J314+L314</f>
        <v/>
      </c>
      <c r="O314" s="64">
        <f>I314+K314+M314</f>
        <v/>
      </c>
      <c r="Q314" t="inlineStr">
        <is>
          <t>인력식</t>
        </is>
      </c>
    </row>
    <row r="315" ht="24" customHeight="1" s="34">
      <c r="A315" t="inlineStr">
        <is>
          <t>01 토목</t>
        </is>
      </c>
      <c r="B315" t="inlineStr">
        <is>
          <t>5. 포 장 공</t>
        </is>
      </c>
      <c r="C315" t="n">
        <v>16</v>
      </c>
      <c r="D315" t="inlineStr">
        <is>
          <t>1). 미끄럼방지공</t>
        </is>
      </c>
      <c r="E315" t="inlineStr">
        <is>
          <t>전면식</t>
        </is>
      </c>
      <c r="F315" t="n">
        <v>1612</v>
      </c>
      <c r="G315" t="inlineStr">
        <is>
          <t>㎡</t>
        </is>
      </c>
      <c r="H315" s="64" t="n">
        <v>5499</v>
      </c>
      <c r="I315" s="64">
        <f>F315*H315</f>
        <v/>
      </c>
      <c r="J315" s="64" t="n">
        <v>71313</v>
      </c>
      <c r="K315" s="64">
        <f>F315*J315</f>
        <v/>
      </c>
      <c r="L315" s="64" t="n">
        <v>3096</v>
      </c>
      <c r="M315" s="64">
        <f>F315*L315</f>
        <v/>
      </c>
      <c r="N315" s="64">
        <f>H315+J315+L315</f>
        <v/>
      </c>
      <c r="O315" s="64">
        <f>I315+K315+M315</f>
        <v/>
      </c>
      <c r="Q315" t="inlineStr">
        <is>
          <t>전면식</t>
        </is>
      </c>
    </row>
    <row r="316" ht="24" customHeight="1" s="34">
      <c r="A316" t="inlineStr">
        <is>
          <t>01 토목</t>
        </is>
      </c>
      <c r="B316" t="inlineStr">
        <is>
          <t>5. 포 장 공</t>
        </is>
      </c>
      <c r="C316" t="n">
        <v>17</v>
      </c>
      <c r="D316" t="inlineStr">
        <is>
          <t>1). 아스팔트 표층 기계포설(대형장비)</t>
        </is>
      </c>
      <c r="E316" t="inlineStr">
        <is>
          <t>3.0m≤B, T=10cm</t>
        </is>
      </c>
      <c r="F316" t="n">
        <v>79</v>
      </c>
      <c r="G316" t="inlineStr">
        <is>
          <t>㎡</t>
        </is>
      </c>
      <c r="H316" s="64" t="n">
        <v>177</v>
      </c>
      <c r="I316" s="64">
        <f>F316*H316</f>
        <v/>
      </c>
      <c r="J316" s="64" t="n">
        <v>1249</v>
      </c>
      <c r="K316" s="64">
        <f>F316*J316</f>
        <v/>
      </c>
      <c r="L316" s="64" t="n">
        <v>311</v>
      </c>
      <c r="M316" s="64">
        <f>F316*L316</f>
        <v/>
      </c>
      <c r="N316" s="64">
        <f>H316+J316+L316</f>
        <v/>
      </c>
      <c r="O316" s="64">
        <f>I316+K316+M316</f>
        <v/>
      </c>
      <c r="Q316" t="inlineStr">
        <is>
          <t>대형장비</t>
        </is>
      </c>
    </row>
    <row r="317" ht="24" customHeight="1" s="34">
      <c r="A317" t="inlineStr">
        <is>
          <t>01 토목</t>
        </is>
      </c>
      <c r="B317" t="inlineStr">
        <is>
          <t>5. 포 장 공</t>
        </is>
      </c>
      <c r="C317" t="n">
        <v>18</v>
      </c>
      <c r="D317" t="inlineStr">
        <is>
          <t>2). 텍코팅(기계식)</t>
        </is>
      </c>
      <c r="E317" t="inlineStr">
        <is>
          <t>RSC-4:45ℓ/a</t>
        </is>
      </c>
      <c r="F317" t="n">
        <v>256</v>
      </c>
      <c r="G317" t="inlineStr">
        <is>
          <t>㎡</t>
        </is>
      </c>
      <c r="H317" s="64" t="n">
        <v>11</v>
      </c>
      <c r="I317" s="64">
        <f>F317*H317</f>
        <v/>
      </c>
      <c r="J317" s="64" t="n">
        <v>36</v>
      </c>
      <c r="K317" s="64">
        <f>F317*J317</f>
        <v/>
      </c>
      <c r="L317" s="64" t="n">
        <v>1</v>
      </c>
      <c r="M317" s="64">
        <f>F317*L317</f>
        <v/>
      </c>
      <c r="N317" s="64">
        <f>H317+J317+L317</f>
        <v/>
      </c>
      <c r="O317" s="64">
        <f>I317+K317+M317</f>
        <v/>
      </c>
      <c r="Q317" t="inlineStr">
        <is>
          <t>텍코팅</t>
        </is>
      </c>
    </row>
    <row r="318" ht="24" customHeight="1" s="34">
      <c r="A318" t="inlineStr">
        <is>
          <t>01 토목</t>
        </is>
      </c>
      <c r="B318" t="inlineStr">
        <is>
          <t>5. 포 장 공</t>
        </is>
      </c>
      <c r="C318" t="n">
        <v>19</v>
      </c>
      <c r="D318" t="inlineStr">
        <is>
          <t>3). 차선도색(융착식,수동식),신설구간</t>
        </is>
      </c>
      <c r="E318" t="inlineStr">
        <is>
          <t>백색-실선</t>
        </is>
      </c>
      <c r="F318" t="n">
        <v>64</v>
      </c>
      <c r="G318" t="inlineStr">
        <is>
          <t>㎡</t>
        </is>
      </c>
      <c r="H318" s="64" t="n">
        <v>21956</v>
      </c>
      <c r="I318" s="64">
        <f>F318*H318</f>
        <v/>
      </c>
      <c r="J318" s="64" t="n">
        <v>5987</v>
      </c>
      <c r="K318" s="64">
        <f>F318*J318</f>
        <v/>
      </c>
      <c r="L318" s="64" t="n">
        <v>724</v>
      </c>
      <c r="M318" s="64">
        <f>F318*L318</f>
        <v/>
      </c>
      <c r="N318" s="64">
        <f>H318+J318+L318</f>
        <v/>
      </c>
      <c r="O318" s="64">
        <f>I318+K318+M318</f>
        <v/>
      </c>
      <c r="Q318" t="inlineStr">
        <is>
          <t>융착식</t>
        </is>
      </c>
    </row>
    <row r="319" ht="24" customHeight="1" s="34">
      <c r="A319" t="inlineStr">
        <is>
          <t>01 토목</t>
        </is>
      </c>
      <c r="B319" t="inlineStr">
        <is>
          <t>5. 포 장 공</t>
        </is>
      </c>
      <c r="C319" t="n">
        <v>20</v>
      </c>
      <c r="D319" t="inlineStr">
        <is>
          <t>4). 차선도색(융착식,수동식),신설구간</t>
        </is>
      </c>
      <c r="E319" t="inlineStr">
        <is>
          <t>황색-실선</t>
        </is>
      </c>
      <c r="F319" t="n">
        <v>64</v>
      </c>
      <c r="G319" t="inlineStr">
        <is>
          <t>㎡</t>
        </is>
      </c>
      <c r="H319" s="64" t="n">
        <v>21956</v>
      </c>
      <c r="I319" s="64">
        <f>F319*H319</f>
        <v/>
      </c>
      <c r="J319" s="64" t="n">
        <v>5987</v>
      </c>
      <c r="K319" s="64">
        <f>F319*J319</f>
        <v/>
      </c>
      <c r="L319" s="64" t="n">
        <v>724</v>
      </c>
      <c r="M319" s="64">
        <f>F319*L319</f>
        <v/>
      </c>
      <c r="N319" s="64">
        <f>H319+J319+L319</f>
        <v/>
      </c>
      <c r="O319" s="64">
        <f>I319+K319+M319</f>
        <v/>
      </c>
      <c r="Q319" t="inlineStr">
        <is>
          <t>융착식</t>
        </is>
      </c>
    </row>
    <row r="320" ht="24" customHeight="1" s="34">
      <c r="A320" t="inlineStr">
        <is>
          <t>01 토목</t>
        </is>
      </c>
      <c r="B320" t="inlineStr">
        <is>
          <t>5. 포 장 공</t>
        </is>
      </c>
      <c r="C320" t="n">
        <v>21</v>
      </c>
      <c r="D320" t="inlineStr">
        <is>
          <t>5). 차선도색(차로밑그림),신설구간</t>
        </is>
      </c>
      <c r="E320" t="inlineStr">
        <is>
          <t>실선</t>
        </is>
      </c>
      <c r="F320" t="n">
        <v>128</v>
      </c>
      <c r="G320" t="inlineStr">
        <is>
          <t>㎡</t>
        </is>
      </c>
      <c r="H320" s="64" t="n">
        <v>4840</v>
      </c>
      <c r="I320" s="64">
        <f>F320*H320</f>
        <v/>
      </c>
      <c r="J320" s="64" t="n">
        <v>3492</v>
      </c>
      <c r="K320" s="64">
        <f>F320*J320</f>
        <v/>
      </c>
      <c r="L320" s="64" t="n">
        <v>247</v>
      </c>
      <c r="M320" s="64">
        <f>F320*L320</f>
        <v/>
      </c>
      <c r="N320" s="64">
        <f>H320+J320+L320</f>
        <v/>
      </c>
      <c r="O320" s="64">
        <f>I320+K320+M320</f>
        <v/>
      </c>
      <c r="Q320" t="inlineStr">
        <is>
          <t>차선도색</t>
        </is>
      </c>
    </row>
    <row r="321" ht="24" customHeight="1" s="34">
      <c r="A321" t="inlineStr">
        <is>
          <t>01 토목</t>
        </is>
      </c>
      <c r="B321" t="inlineStr">
        <is>
          <t>5. 포 장 공</t>
        </is>
      </c>
      <c r="C321" t="n">
        <v>22</v>
      </c>
      <c r="D321" t="inlineStr">
        <is>
          <t>1). 아스팔트 표층 기계포설(대형장비)</t>
        </is>
      </c>
      <c r="E321" t="inlineStr">
        <is>
          <t>3.0m≤B, T=5cm</t>
        </is>
      </c>
      <c r="F321" t="n">
        <v>96</v>
      </c>
      <c r="G321" t="inlineStr">
        <is>
          <t>㎡</t>
        </is>
      </c>
      <c r="H321" s="64" t="n">
        <v>177</v>
      </c>
      <c r="I321" s="64">
        <f>F321*H321</f>
        <v/>
      </c>
      <c r="J321" s="64" t="n">
        <v>1249</v>
      </c>
      <c r="K321" s="64">
        <f>F321*J321</f>
        <v/>
      </c>
      <c r="L321" s="64" t="n">
        <v>311</v>
      </c>
      <c r="M321" s="64">
        <f>F321*L321</f>
        <v/>
      </c>
      <c r="N321" s="64">
        <f>H321+J321+L321</f>
        <v/>
      </c>
      <c r="O321" s="64">
        <f>I321+K321+M321</f>
        <v/>
      </c>
      <c r="Q321" t="inlineStr">
        <is>
          <t>대형장비</t>
        </is>
      </c>
    </row>
    <row r="322" ht="24" customHeight="1" s="34">
      <c r="A322" t="inlineStr">
        <is>
          <t>01 토목</t>
        </is>
      </c>
      <c r="B322" t="inlineStr">
        <is>
          <t>5. 포 장 공</t>
        </is>
      </c>
      <c r="C322" t="n">
        <v>23</v>
      </c>
      <c r="D322" t="inlineStr">
        <is>
          <t>2). 텍코팅(기계식)</t>
        </is>
      </c>
      <c r="E322" t="inlineStr">
        <is>
          <t>RSC-4:45ℓ/a</t>
        </is>
      </c>
      <c r="F322" t="n">
        <v>193</v>
      </c>
      <c r="G322" t="inlineStr">
        <is>
          <t>㎡</t>
        </is>
      </c>
      <c r="H322" s="64" t="n">
        <v>11</v>
      </c>
      <c r="I322" s="64">
        <f>F322*H322</f>
        <v/>
      </c>
      <c r="J322" s="64" t="n">
        <v>36</v>
      </c>
      <c r="K322" s="64">
        <f>F322*J322</f>
        <v/>
      </c>
      <c r="L322" s="64" t="n">
        <v>1</v>
      </c>
      <c r="M322" s="64">
        <f>F322*L322</f>
        <v/>
      </c>
      <c r="N322" s="64">
        <f>H322+J322+L322</f>
        <v/>
      </c>
      <c r="O322" s="64">
        <f>I322+K322+M322</f>
        <v/>
      </c>
      <c r="Q322" t="inlineStr">
        <is>
          <t>텍코팅</t>
        </is>
      </c>
    </row>
    <row r="323" ht="24" customHeight="1" s="34">
      <c r="A323" t="inlineStr">
        <is>
          <t>01 토목</t>
        </is>
      </c>
      <c r="B323" t="inlineStr">
        <is>
          <t>5. 포 장 공</t>
        </is>
      </c>
      <c r="C323" t="n">
        <v>24</v>
      </c>
      <c r="D323" t="inlineStr">
        <is>
          <t>3). 미끄럼방지공</t>
        </is>
      </c>
      <c r="E323" t="inlineStr">
        <is>
          <t>전면식</t>
        </is>
      </c>
      <c r="F323" t="n">
        <v>48</v>
      </c>
      <c r="G323" t="inlineStr">
        <is>
          <t>㎡</t>
        </is>
      </c>
      <c r="H323" s="64" t="n">
        <v>5499</v>
      </c>
      <c r="I323" s="64">
        <f>F323*H323</f>
        <v/>
      </c>
      <c r="J323" s="64" t="n">
        <v>71313</v>
      </c>
      <c r="K323" s="64">
        <f>F323*J323</f>
        <v/>
      </c>
      <c r="L323" s="64" t="n">
        <v>3096</v>
      </c>
      <c r="M323" s="64">
        <f>F323*L323</f>
        <v/>
      </c>
      <c r="N323" s="64">
        <f>H323+J323+L323</f>
        <v/>
      </c>
      <c r="O323" s="64">
        <f>I323+K323+M323</f>
        <v/>
      </c>
      <c r="Q323" t="inlineStr">
        <is>
          <t>전면식</t>
        </is>
      </c>
    </row>
    <row r="324" ht="24" customHeight="1" s="34">
      <c r="A324" t="inlineStr">
        <is>
          <t>01 토목</t>
        </is>
      </c>
      <c r="B324" t="inlineStr">
        <is>
          <t>5. 포 장 공</t>
        </is>
      </c>
      <c r="C324" t="n">
        <v>25</v>
      </c>
      <c r="D324" t="inlineStr">
        <is>
          <t>4). 차선도색(융착식,수동식),신설구간</t>
        </is>
      </c>
      <c r="E324" t="inlineStr">
        <is>
          <t>횡단보도,주차장</t>
        </is>
      </c>
      <c r="F324" t="n">
        <v>24</v>
      </c>
      <c r="G324" t="inlineStr">
        <is>
          <t>㎡</t>
        </is>
      </c>
      <c r="H324" s="64" t="n">
        <v>21956</v>
      </c>
      <c r="I324" s="64">
        <f>F324*H324</f>
        <v/>
      </c>
      <c r="J324" s="64" t="n">
        <v>5987</v>
      </c>
      <c r="K324" s="64">
        <f>F324*J324</f>
        <v/>
      </c>
      <c r="L324" s="64" t="n">
        <v>724</v>
      </c>
      <c r="M324" s="64">
        <f>F324*L324</f>
        <v/>
      </c>
      <c r="N324" s="64">
        <f>H324+J324+L324</f>
        <v/>
      </c>
      <c r="O324" s="64">
        <f>I324+K324+M324</f>
        <v/>
      </c>
      <c r="Q324" t="inlineStr">
        <is>
          <t>융착식</t>
        </is>
      </c>
    </row>
    <row r="325" ht="24" customHeight="1" s="34">
      <c r="A325" t="inlineStr">
        <is>
          <t>01 토목</t>
        </is>
      </c>
      <c r="B325" t="inlineStr">
        <is>
          <t>5. 포 장 공</t>
        </is>
      </c>
      <c r="C325" t="n">
        <v>26</v>
      </c>
      <c r="D325" t="inlineStr">
        <is>
          <t>5). 차선도색(융착식,수동식),신설구간</t>
        </is>
      </c>
      <c r="E325" t="inlineStr">
        <is>
          <t>문자,기호</t>
        </is>
      </c>
      <c r="F325" t="n">
        <v>2</v>
      </c>
      <c r="G325" t="inlineStr">
        <is>
          <t>㎡</t>
        </is>
      </c>
      <c r="H325" s="64" t="n">
        <v>21956</v>
      </c>
      <c r="I325" s="64">
        <f>F325*H325</f>
        <v/>
      </c>
      <c r="J325" s="64" t="n">
        <v>5987</v>
      </c>
      <c r="K325" s="64">
        <f>F325*J325</f>
        <v/>
      </c>
      <c r="L325" s="64" t="n">
        <v>724</v>
      </c>
      <c r="M325" s="64">
        <f>F325*L325</f>
        <v/>
      </c>
      <c r="N325" s="64">
        <f>H325+J325+L325</f>
        <v/>
      </c>
      <c r="O325" s="64">
        <f>I325+K325+M325</f>
        <v/>
      </c>
      <c r="Q325" t="inlineStr">
        <is>
          <t>융착식</t>
        </is>
      </c>
    </row>
    <row r="326" ht="24" customHeight="1" s="34">
      <c r="A326" t="inlineStr">
        <is>
          <t>01 토목</t>
        </is>
      </c>
      <c r="B326" t="inlineStr">
        <is>
          <t>5. 포 장 공</t>
        </is>
      </c>
      <c r="C326" t="n">
        <v>27</v>
      </c>
      <c r="D326" t="inlineStr">
        <is>
          <t>6). 차선도색(차로밑그림),신설구간</t>
        </is>
      </c>
      <c r="E326" t="inlineStr">
        <is>
          <t>횡단보도,주차장</t>
        </is>
      </c>
      <c r="F326" t="n">
        <v>24</v>
      </c>
      <c r="G326" t="inlineStr">
        <is>
          <t>㎡</t>
        </is>
      </c>
      <c r="H326" s="64" t="n">
        <v>4840</v>
      </c>
      <c r="I326" s="64">
        <f>F326*H326</f>
        <v/>
      </c>
      <c r="J326" s="64" t="n">
        <v>3492</v>
      </c>
      <c r="K326" s="64">
        <f>F326*J326</f>
        <v/>
      </c>
      <c r="L326" s="64" t="n">
        <v>247</v>
      </c>
      <c r="M326" s="64">
        <f>F326*L326</f>
        <v/>
      </c>
      <c r="N326" s="64">
        <f>H326+J326+L326</f>
        <v/>
      </c>
      <c r="O326" s="64">
        <f>I326+K326+M326</f>
        <v/>
      </c>
      <c r="Q326" t="inlineStr">
        <is>
          <t>차선도색</t>
        </is>
      </c>
    </row>
    <row r="327" ht="24" customHeight="1" s="34">
      <c r="A327" t="inlineStr">
        <is>
          <t>01 토목</t>
        </is>
      </c>
      <c r="B327" t="inlineStr">
        <is>
          <t>5. 포 장 공</t>
        </is>
      </c>
      <c r="C327" t="n">
        <v>28</v>
      </c>
      <c r="D327" t="inlineStr">
        <is>
          <t>7). 차선도색(차로밑그림),신설구간</t>
        </is>
      </c>
      <c r="E327" t="inlineStr">
        <is>
          <t>문자,기호</t>
        </is>
      </c>
      <c r="F327" t="n">
        <v>2</v>
      </c>
      <c r="G327" t="inlineStr">
        <is>
          <t>㎡</t>
        </is>
      </c>
      <c r="H327" s="64" t="n">
        <v>4840</v>
      </c>
      <c r="I327" s="64">
        <f>F327*H327</f>
        <v/>
      </c>
      <c r="J327" s="64" t="n">
        <v>3492</v>
      </c>
      <c r="K327" s="64">
        <f>F327*J327</f>
        <v/>
      </c>
      <c r="L327" s="64" t="n">
        <v>247</v>
      </c>
      <c r="M327" s="64">
        <f>F327*L327</f>
        <v/>
      </c>
      <c r="N327" s="64">
        <f>H327+J327+L327</f>
        <v/>
      </c>
      <c r="O327" s="64">
        <f>I327+K327+M327</f>
        <v/>
      </c>
      <c r="Q327" t="inlineStr">
        <is>
          <t>차선도색</t>
        </is>
      </c>
    </row>
    <row r="328" ht="24" customHeight="1" s="34">
      <c r="A328" t="inlineStr">
        <is>
          <t>01 토목</t>
        </is>
      </c>
      <c r="B328" t="inlineStr">
        <is>
          <t>5. 포 장 공</t>
        </is>
      </c>
      <c r="C328" t="n">
        <v>29</v>
      </c>
      <c r="D328" t="inlineStr">
        <is>
          <t>가). 보차도경계석 설치</t>
        </is>
      </c>
      <c r="E328" t="inlineStr">
        <is>
          <t>180×200×1000, A-TYPE(직선구간)</t>
        </is>
      </c>
      <c r="F328" t="n">
        <v>1235</v>
      </c>
      <c r="G328" t="inlineStr">
        <is>
          <t>m</t>
        </is>
      </c>
      <c r="H328" s="64" t="n">
        <v>659</v>
      </c>
      <c r="I328" s="64">
        <f>F328*H328</f>
        <v/>
      </c>
      <c r="J328" s="64" t="n">
        <v>6686</v>
      </c>
      <c r="K328" s="64">
        <f>F328*J328</f>
        <v/>
      </c>
      <c r="L328" s="64" t="n">
        <v>522</v>
      </c>
      <c r="M328" s="64">
        <f>F328*L328</f>
        <v/>
      </c>
      <c r="N328" s="64">
        <f>H328+J328+L328</f>
        <v/>
      </c>
      <c r="O328" s="64">
        <f>I328+K328+M328</f>
        <v/>
      </c>
      <c r="Q328" t="inlineStr">
        <is>
          <t>직선구간</t>
        </is>
      </c>
    </row>
    <row r="329" ht="24" customHeight="1" s="34">
      <c r="A329" t="inlineStr">
        <is>
          <t>01 토목</t>
        </is>
      </c>
      <c r="B329" t="inlineStr">
        <is>
          <t>5. 포 장 공</t>
        </is>
      </c>
      <c r="C329" t="n">
        <v>30</v>
      </c>
      <c r="D329" t="inlineStr">
        <is>
          <t>나). 보차도경계석 설치</t>
        </is>
      </c>
      <c r="E329" t="inlineStr">
        <is>
          <t>180×200×1000, A-TYPE(곡선구간)</t>
        </is>
      </c>
      <c r="F329" t="n">
        <v>114</v>
      </c>
      <c r="G329" t="inlineStr">
        <is>
          <t>m</t>
        </is>
      </c>
      <c r="H329" s="64" t="n">
        <v>771</v>
      </c>
      <c r="I329" s="64">
        <f>F329*H329</f>
        <v/>
      </c>
      <c r="J329" s="64" t="n">
        <v>7823</v>
      </c>
      <c r="K329" s="64">
        <f>F329*J329</f>
        <v/>
      </c>
      <c r="L329" s="64" t="n">
        <v>610</v>
      </c>
      <c r="M329" s="64">
        <f>F329*L329</f>
        <v/>
      </c>
      <c r="N329" s="64">
        <f>H329+J329+L329</f>
        <v/>
      </c>
      <c r="O329" s="64">
        <f>I329+K329+M329</f>
        <v/>
      </c>
      <c r="Q329" t="inlineStr">
        <is>
          <t>곡선구간</t>
        </is>
      </c>
    </row>
    <row r="330" ht="24" customHeight="1" s="34">
      <c r="A330" t="inlineStr">
        <is>
          <t>01 토목</t>
        </is>
      </c>
      <c r="B330" t="inlineStr">
        <is>
          <t>5. 포 장 공</t>
        </is>
      </c>
      <c r="C330" t="n">
        <v>31</v>
      </c>
      <c r="D330" t="inlineStr">
        <is>
          <t>다). 보차도경계석 설치(경사)</t>
        </is>
      </c>
      <c r="E330" t="inlineStr">
        <is>
          <t>180×200~100×1000, A-TYPE(곡선구간)</t>
        </is>
      </c>
      <c r="F330" t="n">
        <v>84</v>
      </c>
      <c r="G330" t="inlineStr">
        <is>
          <t>m</t>
        </is>
      </c>
      <c r="H330" s="64" t="n">
        <v>771</v>
      </c>
      <c r="I330" s="64">
        <f>F330*H330</f>
        <v/>
      </c>
      <c r="J330" s="64" t="n">
        <v>7823</v>
      </c>
      <c r="K330" s="64">
        <f>F330*J330</f>
        <v/>
      </c>
      <c r="L330" s="64" t="n">
        <v>610</v>
      </c>
      <c r="M330" s="64">
        <f>F330*L330</f>
        <v/>
      </c>
      <c r="N330" s="64">
        <f>H330+J330+L330</f>
        <v/>
      </c>
      <c r="O330" s="64">
        <f>I330+K330+M330</f>
        <v/>
      </c>
      <c r="Q330" t="inlineStr">
        <is>
          <t>곡선구간</t>
        </is>
      </c>
    </row>
    <row r="331" ht="24" customHeight="1" s="34">
      <c r="A331" t="inlineStr">
        <is>
          <t>01 토목</t>
        </is>
      </c>
      <c r="B331" t="inlineStr">
        <is>
          <t>5. 포 장 공</t>
        </is>
      </c>
      <c r="C331" t="n">
        <v>32</v>
      </c>
      <c r="D331" t="inlineStr">
        <is>
          <t>라). 보차도경계석 설치(낮춤)</t>
        </is>
      </c>
      <c r="E331" t="inlineStr">
        <is>
          <t>180×100×1000, A-TYPE(곡선구간)</t>
        </is>
      </c>
      <c r="F331" t="n">
        <v>113</v>
      </c>
      <c r="G331" t="inlineStr">
        <is>
          <t>m</t>
        </is>
      </c>
      <c r="H331" s="64" t="n">
        <v>771</v>
      </c>
      <c r="I331" s="64">
        <f>F331*H331</f>
        <v/>
      </c>
      <c r="J331" s="64" t="n">
        <v>7823</v>
      </c>
      <c r="K331" s="64">
        <f>F331*J331</f>
        <v/>
      </c>
      <c r="L331" s="64" t="n">
        <v>610</v>
      </c>
      <c r="M331" s="64">
        <f>F331*L331</f>
        <v/>
      </c>
      <c r="N331" s="64">
        <f>H331+J331+L331</f>
        <v/>
      </c>
      <c r="O331" s="64">
        <f>I331+K331+M331</f>
        <v/>
      </c>
      <c r="Q331" t="inlineStr">
        <is>
          <t>곡선구간</t>
        </is>
      </c>
    </row>
    <row r="332" ht="24" customHeight="1" s="34">
      <c r="A332" t="inlineStr">
        <is>
          <t>01 토목</t>
        </is>
      </c>
      <c r="B332" t="inlineStr">
        <is>
          <t>5. 포 장 공</t>
        </is>
      </c>
      <c r="C332" t="n">
        <v>33</v>
      </c>
      <c r="D332" t="inlineStr">
        <is>
          <t>가). 도로경계석 설치</t>
        </is>
      </c>
      <c r="E332" t="inlineStr">
        <is>
          <t>120×120×1000, A-TYPE(직선구간)</t>
        </is>
      </c>
      <c r="F332" t="n">
        <v>1297</v>
      </c>
      <c r="G332" t="inlineStr">
        <is>
          <t>m</t>
        </is>
      </c>
      <c r="H332" s="64" t="n">
        <v>659</v>
      </c>
      <c r="I332" s="64">
        <f>F332*H332</f>
        <v/>
      </c>
      <c r="J332" s="64" t="n">
        <v>6686</v>
      </c>
      <c r="K332" s="64">
        <f>F332*J332</f>
        <v/>
      </c>
      <c r="L332" s="64" t="n">
        <v>522</v>
      </c>
      <c r="M332" s="64">
        <f>F332*L332</f>
        <v/>
      </c>
      <c r="N332" s="64">
        <f>H332+J332+L332</f>
        <v/>
      </c>
      <c r="O332" s="64">
        <f>I332+K332+M332</f>
        <v/>
      </c>
      <c r="Q332" t="inlineStr">
        <is>
          <t>직선구간</t>
        </is>
      </c>
    </row>
    <row r="333" ht="24" customHeight="1" s="34">
      <c r="A333" t="inlineStr">
        <is>
          <t>01 토목</t>
        </is>
      </c>
      <c r="B333" t="inlineStr">
        <is>
          <t>5. 포 장 공</t>
        </is>
      </c>
      <c r="C333" t="n">
        <v>34</v>
      </c>
      <c r="D333" t="inlineStr">
        <is>
          <t>가). 교통안전표지판(삼각)(과속방지턱)</t>
        </is>
      </c>
      <c r="E333" t="inlineStr">
        <is>
          <t>1변 900 MM</t>
        </is>
      </c>
      <c r="F333" t="n">
        <v>6</v>
      </c>
      <c r="G333" t="inlineStr">
        <is>
          <t>개</t>
        </is>
      </c>
      <c r="H333" s="64" t="n">
        <v>10164</v>
      </c>
      <c r="I333" s="64">
        <f>F333*H333</f>
        <v/>
      </c>
      <c r="J333" s="64" t="n">
        <v>386451</v>
      </c>
      <c r="K333" s="64">
        <f>F333*J333</f>
        <v/>
      </c>
      <c r="L333" s="64" t="n">
        <v>10071</v>
      </c>
      <c r="M333" s="64">
        <f>F333*L333</f>
        <v/>
      </c>
      <c r="N333" s="64">
        <f>H333+J333+L333</f>
        <v/>
      </c>
      <c r="O333" s="64">
        <f>I333+K333+M333</f>
        <v/>
      </c>
      <c r="Q333" t="inlineStr">
        <is>
          <t>삼각</t>
        </is>
      </c>
    </row>
    <row r="334" ht="24" customHeight="1" s="34">
      <c r="A334" t="inlineStr">
        <is>
          <t>01 토목</t>
        </is>
      </c>
      <c r="B334" t="inlineStr">
        <is>
          <t>5. 포 장 공</t>
        </is>
      </c>
      <c r="C334" t="n">
        <v>35</v>
      </c>
      <c r="D334" t="inlineStr">
        <is>
          <t>나). 교통안전표지판(오각)(횡단보도)</t>
        </is>
      </c>
      <c r="E334" t="inlineStr">
        <is>
          <t>600×200×600mm, 횡단보도</t>
        </is>
      </c>
      <c r="F334" t="n">
        <v>6</v>
      </c>
      <c r="G334" t="inlineStr">
        <is>
          <t>개</t>
        </is>
      </c>
      <c r="H334" s="64" t="n">
        <v>10164</v>
      </c>
      <c r="I334" s="64">
        <f>F334*H334</f>
        <v/>
      </c>
      <c r="J334" s="64" t="n">
        <v>386451</v>
      </c>
      <c r="K334" s="64">
        <f>F334*J334</f>
        <v/>
      </c>
      <c r="L334" s="64" t="n">
        <v>10071</v>
      </c>
      <c r="M334" s="64">
        <f>F334*L334</f>
        <v/>
      </c>
      <c r="N334" s="64">
        <f>H334+J334+L334</f>
        <v/>
      </c>
      <c r="O334" s="64">
        <f>I334+K334+M334</f>
        <v/>
      </c>
      <c r="Q334" t="inlineStr">
        <is>
          <t>오각</t>
        </is>
      </c>
    </row>
    <row r="335" ht="24" customHeight="1" s="34">
      <c r="A335" t="inlineStr">
        <is>
          <t>01 토목</t>
        </is>
      </c>
      <c r="B335" t="inlineStr">
        <is>
          <t>5. 포 장 공</t>
        </is>
      </c>
      <c r="C335" t="n">
        <v>36</v>
      </c>
      <c r="D335" t="inlineStr">
        <is>
          <t>다). 교통안전표지판(오각+삼각)(횡단보도+과속방지턱)</t>
        </is>
      </c>
      <c r="E335" t="inlineStr">
        <is>
          <t>1변 900mm+1변 900mm,600×200×600mm</t>
        </is>
      </c>
      <c r="F335" t="n">
        <v>1</v>
      </c>
      <c r="G335" t="inlineStr">
        <is>
          <t>개</t>
        </is>
      </c>
      <c r="H335" s="64" t="n">
        <v>10164</v>
      </c>
      <c r="I335" s="64">
        <f>F335*H335</f>
        <v/>
      </c>
      <c r="J335" s="64" t="n">
        <v>386451</v>
      </c>
      <c r="K335" s="64">
        <f>F335*J335</f>
        <v/>
      </c>
      <c r="L335" s="64" t="n">
        <v>10071</v>
      </c>
      <c r="M335" s="64">
        <f>F335*L335</f>
        <v/>
      </c>
      <c r="N335" s="64">
        <f>H335+J335+L335</f>
        <v/>
      </c>
      <c r="O335" s="64">
        <f>I335+K335+M335</f>
        <v/>
      </c>
      <c r="P335" t="inlineStr">
        <is>
          <t>가영현</t>
        </is>
      </c>
      <c r="Q335" t="inlineStr">
        <is>
          <t>교통안전표지판</t>
        </is>
      </c>
    </row>
    <row r="336" ht="24" customHeight="1" s="34">
      <c r="A336" t="inlineStr">
        <is>
          <t>01 토목</t>
        </is>
      </c>
      <c r="B336" t="inlineStr">
        <is>
          <t>5. 포 장 공</t>
        </is>
      </c>
      <c r="C336" t="n">
        <v>37</v>
      </c>
      <c r="D336" t="inlineStr">
        <is>
          <t>라). 교통안전표지판(사각)(주차장)</t>
        </is>
      </c>
      <c r="E336" t="inlineStr">
        <is>
          <t>600mmx600mm</t>
        </is>
      </c>
      <c r="F336" t="n">
        <v>2</v>
      </c>
      <c r="G336" t="inlineStr">
        <is>
          <t>개</t>
        </is>
      </c>
      <c r="H336" s="64" t="n">
        <v>16510</v>
      </c>
      <c r="I336" s="64">
        <f>F336*H336</f>
        <v/>
      </c>
      <c r="J336" s="64" t="n"/>
      <c r="K336" s="64">
        <f>F336*J336</f>
        <v/>
      </c>
      <c r="L336" s="64" t="n"/>
      <c r="M336" s="64">
        <f>F336*L336</f>
        <v/>
      </c>
      <c r="N336" s="64">
        <f>H336+J336+L336</f>
        <v/>
      </c>
      <c r="O336" s="64">
        <f>I336+K336+M336</f>
        <v/>
      </c>
      <c r="P336" t="inlineStr">
        <is>
          <t>가영현</t>
        </is>
      </c>
      <c r="Q336" t="inlineStr">
        <is>
          <t>사각</t>
        </is>
      </c>
    </row>
    <row r="337" ht="24" customHeight="1" s="34">
      <c r="A337" t="inlineStr">
        <is>
          <t>01 토목</t>
        </is>
      </c>
      <c r="B337" t="inlineStr">
        <is>
          <t>5. 포 장 공</t>
        </is>
      </c>
      <c r="C337" t="n">
        <v>38</v>
      </c>
      <c r="D337" t="inlineStr">
        <is>
          <t>마). 교통안전표지판(삼각)(오르막경사)</t>
        </is>
      </c>
      <c r="E337" t="inlineStr">
        <is>
          <t>1변 900 MM</t>
        </is>
      </c>
      <c r="F337" t="n">
        <v>1</v>
      </c>
      <c r="G337" t="inlineStr">
        <is>
          <t>개</t>
        </is>
      </c>
      <c r="H337" s="64" t="n">
        <v>10164</v>
      </c>
      <c r="I337" s="64">
        <f>F337*H337</f>
        <v/>
      </c>
      <c r="J337" s="64" t="n">
        <v>386451</v>
      </c>
      <c r="K337" s="64">
        <f>F337*J337</f>
        <v/>
      </c>
      <c r="L337" s="64" t="n">
        <v>10071</v>
      </c>
      <c r="M337" s="64">
        <f>F337*L337</f>
        <v/>
      </c>
      <c r="N337" s="64">
        <f>H337+J337+L337</f>
        <v/>
      </c>
      <c r="O337" s="64">
        <f>I337+K337+M337</f>
        <v/>
      </c>
      <c r="Q337" t="inlineStr">
        <is>
          <t>삼각</t>
        </is>
      </c>
    </row>
    <row r="338" ht="24" customHeight="1" s="34">
      <c r="A338" t="inlineStr">
        <is>
          <t>01 토목</t>
        </is>
      </c>
      <c r="B338" t="inlineStr">
        <is>
          <t>5. 포 장 공</t>
        </is>
      </c>
      <c r="C338" t="n">
        <v>39</v>
      </c>
      <c r="D338" t="inlineStr">
        <is>
          <t>바). 교통안전표지판(삼각)(내리막경사)</t>
        </is>
      </c>
      <c r="E338" t="inlineStr">
        <is>
          <t>1변 900 MM</t>
        </is>
      </c>
      <c r="F338" t="n">
        <v>1</v>
      </c>
      <c r="G338" t="inlineStr">
        <is>
          <t>개</t>
        </is>
      </c>
      <c r="H338" s="64" t="n">
        <v>10164</v>
      </c>
      <c r="I338" s="64">
        <f>F338*H338</f>
        <v/>
      </c>
      <c r="J338" s="64" t="n">
        <v>386451</v>
      </c>
      <c r="K338" s="64">
        <f>F338*J338</f>
        <v/>
      </c>
      <c r="L338" s="64" t="n">
        <v>10071</v>
      </c>
      <c r="M338" s="64">
        <f>F338*L338</f>
        <v/>
      </c>
      <c r="N338" s="64">
        <f>H338+J338+L338</f>
        <v/>
      </c>
      <c r="O338" s="64">
        <f>I338+K338+M338</f>
        <v/>
      </c>
      <c r="Q338" t="inlineStr">
        <is>
          <t>삼각</t>
        </is>
      </c>
    </row>
    <row r="339" ht="24" customHeight="1" s="34">
      <c r="A339" t="inlineStr">
        <is>
          <t>01 토목</t>
        </is>
      </c>
      <c r="B339" t="inlineStr">
        <is>
          <t>5. 포 장 공</t>
        </is>
      </c>
      <c r="C339" t="n">
        <v>40</v>
      </c>
      <c r="D339" t="inlineStr">
        <is>
          <t>사). 교통안전표지판(삼각+삼각)(우로굽은도로+과속방지턱)</t>
        </is>
      </c>
      <c r="E339" t="inlineStr">
        <is>
          <t>1변 900 MM+1변 900 MM</t>
        </is>
      </c>
      <c r="F339" t="n">
        <v>1</v>
      </c>
      <c r="G339" t="inlineStr">
        <is>
          <t>개</t>
        </is>
      </c>
      <c r="H339" s="64" t="n">
        <v>11023</v>
      </c>
      <c r="I339" s="64">
        <f>F339*H339</f>
        <v/>
      </c>
      <c r="J339" s="64" t="n">
        <v>423623</v>
      </c>
      <c r="K339" s="64">
        <f>F339*J339</f>
        <v/>
      </c>
      <c r="L339" s="64" t="n">
        <v>10917</v>
      </c>
      <c r="M339" s="64">
        <f>F339*L339</f>
        <v/>
      </c>
      <c r="N339" s="64">
        <f>H339+J339+L339</f>
        <v/>
      </c>
      <c r="O339" s="64">
        <f>I339+K339+M339</f>
        <v/>
      </c>
      <c r="P339" t="inlineStr">
        <is>
          <t>가영현</t>
        </is>
      </c>
      <c r="Q339" t="inlineStr">
        <is>
          <t>교통안전표지판</t>
        </is>
      </c>
    </row>
    <row r="340" ht="24" customHeight="1" s="34">
      <c r="A340" t="inlineStr">
        <is>
          <t>01 토목</t>
        </is>
      </c>
      <c r="B340" t="inlineStr">
        <is>
          <t>5. 포 장 공</t>
        </is>
      </c>
      <c r="C340" t="n">
        <v>41</v>
      </c>
      <c r="D340" t="inlineStr">
        <is>
          <t>아). 교통안전표지판(오각+삼각)(횡단보도+좌로굽은도로)</t>
        </is>
      </c>
      <c r="E340" t="inlineStr">
        <is>
          <t>1변 900mm+1변 900mm,600×200×600mm</t>
        </is>
      </c>
      <c r="F340" t="n">
        <v>1</v>
      </c>
      <c r="G340" t="inlineStr">
        <is>
          <t>개</t>
        </is>
      </c>
      <c r="H340" s="64" t="n">
        <v>10164</v>
      </c>
      <c r="I340" s="64">
        <f>F340*H340</f>
        <v/>
      </c>
      <c r="J340" s="64" t="n">
        <v>386451</v>
      </c>
      <c r="K340" s="64">
        <f>F340*J340</f>
        <v/>
      </c>
      <c r="L340" s="64" t="n">
        <v>10071</v>
      </c>
      <c r="M340" s="64">
        <f>F340*L340</f>
        <v/>
      </c>
      <c r="N340" s="64">
        <f>H340+J340+L340</f>
        <v/>
      </c>
      <c r="O340" s="64">
        <f>I340+K340+M340</f>
        <v/>
      </c>
      <c r="P340" t="inlineStr">
        <is>
          <t>가영현</t>
        </is>
      </c>
      <c r="Q340" t="inlineStr">
        <is>
          <t>교통안전표지판</t>
        </is>
      </c>
    </row>
    <row r="341" ht="24" customHeight="1" s="34">
      <c r="A341" t="inlineStr">
        <is>
          <t>01 토목</t>
        </is>
      </c>
      <c r="B341" t="inlineStr">
        <is>
          <t>5. 포 장 공</t>
        </is>
      </c>
      <c r="C341" t="n">
        <v>42</v>
      </c>
      <c r="D341" t="inlineStr">
        <is>
          <t>자). 갈매기표지판</t>
        </is>
      </c>
      <c r="E341" t="inlineStr">
        <is>
          <t>AL 450×600</t>
        </is>
      </c>
      <c r="F341" t="n">
        <v>4</v>
      </c>
      <c r="G341" t="inlineStr">
        <is>
          <t>개</t>
        </is>
      </c>
      <c r="H341" s="64" t="n">
        <v>6569</v>
      </c>
      <c r="I341" s="64">
        <f>F341*H341</f>
        <v/>
      </c>
      <c r="J341" s="64" t="n">
        <v>167148</v>
      </c>
      <c r="K341" s="64">
        <f>F341*J341</f>
        <v/>
      </c>
      <c r="L341" s="64" t="n">
        <v>6876</v>
      </c>
      <c r="M341" s="64">
        <f>F341*L341</f>
        <v/>
      </c>
      <c r="N341" s="64">
        <f>H341+J341+L341</f>
        <v/>
      </c>
      <c r="O341" s="64">
        <f>I341+K341+M341</f>
        <v/>
      </c>
      <c r="Q341" t="inlineStr">
        <is>
          <t>갈매기표지판</t>
        </is>
      </c>
    </row>
    <row r="342" ht="24" customHeight="1" s="34">
      <c r="A342" t="inlineStr">
        <is>
          <t>01 토목</t>
        </is>
      </c>
      <c r="B342" t="inlineStr">
        <is>
          <t>5. 포 장 공</t>
        </is>
      </c>
      <c r="C342" t="n">
        <v>43</v>
      </c>
      <c r="D342" t="inlineStr">
        <is>
          <t>가). 차선도색(페인트,기계식),신설구간</t>
        </is>
      </c>
      <c r="E342" t="inlineStr">
        <is>
          <t>황색-실선</t>
        </is>
      </c>
      <c r="F342" t="n">
        <v>111</v>
      </c>
      <c r="G342" t="inlineStr">
        <is>
          <t>㎡</t>
        </is>
      </c>
      <c r="H342" s="64" t="n">
        <v>4840</v>
      </c>
      <c r="I342" s="64">
        <f>F342*H342</f>
        <v/>
      </c>
      <c r="J342" s="64" t="n">
        <v>3492</v>
      </c>
      <c r="K342" s="64">
        <f>F342*J342</f>
        <v/>
      </c>
      <c r="L342" s="64" t="n">
        <v>247</v>
      </c>
      <c r="M342" s="64">
        <f>F342*L342</f>
        <v/>
      </c>
      <c r="N342" s="64">
        <f>H342+J342+L342</f>
        <v/>
      </c>
      <c r="O342" s="64">
        <f>I342+K342+M342</f>
        <v/>
      </c>
      <c r="Q342" t="inlineStr">
        <is>
          <t>페인트</t>
        </is>
      </c>
    </row>
    <row r="343" ht="24" customHeight="1" s="34">
      <c r="A343" t="inlineStr">
        <is>
          <t>01 토목</t>
        </is>
      </c>
      <c r="B343" t="inlineStr">
        <is>
          <t>5. 포 장 공</t>
        </is>
      </c>
      <c r="C343" t="n">
        <v>44</v>
      </c>
      <c r="D343" t="inlineStr">
        <is>
          <t>나). 차선도색(페인트,기계식),신설구간</t>
        </is>
      </c>
      <c r="E343" t="inlineStr">
        <is>
          <t>백색-실선</t>
        </is>
      </c>
      <c r="F343" t="n">
        <v>214</v>
      </c>
      <c r="G343" t="inlineStr">
        <is>
          <t>㎡</t>
        </is>
      </c>
      <c r="H343" s="64" t="n">
        <v>4840</v>
      </c>
      <c r="I343" s="64">
        <f>F343*H343</f>
        <v/>
      </c>
      <c r="J343" s="64" t="n">
        <v>3492</v>
      </c>
      <c r="K343" s="64">
        <f>F343*J343</f>
        <v/>
      </c>
      <c r="L343" s="64" t="n">
        <v>247</v>
      </c>
      <c r="M343" s="64">
        <f>F343*L343</f>
        <v/>
      </c>
      <c r="N343" s="64">
        <f>H343+J343+L343</f>
        <v/>
      </c>
      <c r="O343" s="64">
        <f>I343+K343+M343</f>
        <v/>
      </c>
      <c r="Q343" t="inlineStr">
        <is>
          <t>페인트</t>
        </is>
      </c>
    </row>
    <row r="344" ht="24" customHeight="1" s="34">
      <c r="A344" t="inlineStr">
        <is>
          <t>01 토목</t>
        </is>
      </c>
      <c r="B344" t="inlineStr">
        <is>
          <t>5. 포 장 공</t>
        </is>
      </c>
      <c r="C344" t="n">
        <v>45</v>
      </c>
      <c r="D344" t="inlineStr">
        <is>
          <t>다). 차선도색(페인트,기계식),신설구간</t>
        </is>
      </c>
      <c r="E344" t="inlineStr">
        <is>
          <t>백색-파선</t>
        </is>
      </c>
      <c r="F344" t="n">
        <v>1</v>
      </c>
      <c r="G344" t="inlineStr">
        <is>
          <t>㎡</t>
        </is>
      </c>
      <c r="H344" s="64" t="n">
        <v>4840</v>
      </c>
      <c r="I344" s="64">
        <f>F344*H344</f>
        <v/>
      </c>
      <c r="J344" s="64" t="n">
        <v>3492</v>
      </c>
      <c r="K344" s="64">
        <f>F344*J344</f>
        <v/>
      </c>
      <c r="L344" s="64" t="n">
        <v>247</v>
      </c>
      <c r="M344" s="64">
        <f>F344*L344</f>
        <v/>
      </c>
      <c r="N344" s="64">
        <f>H344+J344+L344</f>
        <v/>
      </c>
      <c r="O344" s="64">
        <f>I344+K344+M344</f>
        <v/>
      </c>
      <c r="Q344" t="inlineStr">
        <is>
          <t>페인트</t>
        </is>
      </c>
    </row>
    <row r="345" ht="24" customHeight="1" s="34">
      <c r="A345" t="inlineStr">
        <is>
          <t>01 토목</t>
        </is>
      </c>
      <c r="B345" t="inlineStr">
        <is>
          <t>5. 포 장 공</t>
        </is>
      </c>
      <c r="C345" t="n">
        <v>46</v>
      </c>
      <c r="D345" t="inlineStr">
        <is>
          <t>라). 차선도색(융착식,수동식),신설구간</t>
        </is>
      </c>
      <c r="E345" t="inlineStr">
        <is>
          <t>횡단보도,주차장</t>
        </is>
      </c>
      <c r="F345" t="n">
        <v>211</v>
      </c>
      <c r="G345" t="inlineStr">
        <is>
          <t>㎡</t>
        </is>
      </c>
      <c r="H345" s="64" t="n">
        <v>21956</v>
      </c>
      <c r="I345" s="64">
        <f>F345*H345</f>
        <v/>
      </c>
      <c r="J345" s="64" t="n">
        <v>5987</v>
      </c>
      <c r="K345" s="64">
        <f>F345*J345</f>
        <v/>
      </c>
      <c r="L345" s="64" t="n">
        <v>724</v>
      </c>
      <c r="M345" s="64">
        <f>F345*L345</f>
        <v/>
      </c>
      <c r="N345" s="64">
        <f>H345+J345+L345</f>
        <v/>
      </c>
      <c r="O345" s="64">
        <f>I345+K345+M345</f>
        <v/>
      </c>
      <c r="Q345" t="inlineStr">
        <is>
          <t>융착식</t>
        </is>
      </c>
    </row>
    <row r="346" ht="24" customHeight="1" s="34">
      <c r="A346" t="inlineStr">
        <is>
          <t>01 토목</t>
        </is>
      </c>
      <c r="B346" t="inlineStr">
        <is>
          <t>5. 포 장 공</t>
        </is>
      </c>
      <c r="C346" t="n">
        <v>47</v>
      </c>
      <c r="D346" t="inlineStr">
        <is>
          <t>마). 차선도색(융착식,수동식),신설구간</t>
        </is>
      </c>
      <c r="E346" t="inlineStr">
        <is>
          <t>문자,기호</t>
        </is>
      </c>
      <c r="F346" t="n">
        <v>26</v>
      </c>
      <c r="G346" t="inlineStr">
        <is>
          <t>㎡</t>
        </is>
      </c>
      <c r="H346" s="64" t="n">
        <v>21956</v>
      </c>
      <c r="I346" s="64">
        <f>F346*H346</f>
        <v/>
      </c>
      <c r="J346" s="64" t="n">
        <v>5987</v>
      </c>
      <c r="K346" s="64">
        <f>F346*J346</f>
        <v/>
      </c>
      <c r="L346" s="64" t="n">
        <v>724</v>
      </c>
      <c r="M346" s="64">
        <f>F346*L346</f>
        <v/>
      </c>
      <c r="N346" s="64">
        <f>H346+J346+L346</f>
        <v/>
      </c>
      <c r="O346" s="64">
        <f>I346+K346+M346</f>
        <v/>
      </c>
      <c r="Q346" t="inlineStr">
        <is>
          <t>융착식</t>
        </is>
      </c>
    </row>
    <row r="347" ht="24" customHeight="1" s="34">
      <c r="A347" t="inlineStr">
        <is>
          <t>01 토목</t>
        </is>
      </c>
      <c r="B347" t="inlineStr">
        <is>
          <t>5. 포 장 공</t>
        </is>
      </c>
      <c r="C347" t="n">
        <v>48</v>
      </c>
      <c r="D347" t="inlineStr">
        <is>
          <t>바). 차선도색(차로밑그림),신설구간</t>
        </is>
      </c>
      <c r="E347" t="inlineStr">
        <is>
          <t>실선</t>
        </is>
      </c>
      <c r="F347" t="n">
        <v>324</v>
      </c>
      <c r="G347" t="inlineStr">
        <is>
          <t>㎡</t>
        </is>
      </c>
      <c r="H347" s="64" t="n">
        <v>4840</v>
      </c>
      <c r="I347" s="64">
        <f>F347*H347</f>
        <v/>
      </c>
      <c r="J347" s="64" t="n">
        <v>3492</v>
      </c>
      <c r="K347" s="64">
        <f>F347*J347</f>
        <v/>
      </c>
      <c r="L347" s="64" t="n">
        <v>247</v>
      </c>
      <c r="M347" s="64">
        <f>F347*L347</f>
        <v/>
      </c>
      <c r="N347" s="64">
        <f>H347+J347+L347</f>
        <v/>
      </c>
      <c r="O347" s="64">
        <f>I347+K347+M347</f>
        <v/>
      </c>
      <c r="Q347" t="inlineStr">
        <is>
          <t>차선도색</t>
        </is>
      </c>
    </row>
    <row r="348" ht="24" customHeight="1" s="34">
      <c r="A348" t="inlineStr">
        <is>
          <t>01 토목</t>
        </is>
      </c>
      <c r="B348" t="inlineStr">
        <is>
          <t>5. 포 장 공</t>
        </is>
      </c>
      <c r="C348" t="n">
        <v>49</v>
      </c>
      <c r="D348" t="inlineStr">
        <is>
          <t>사). 차선도색(차로밑그림),신설구간</t>
        </is>
      </c>
      <c r="E348" t="inlineStr">
        <is>
          <t>파선</t>
        </is>
      </c>
      <c r="F348" t="n">
        <v>1</v>
      </c>
      <c r="G348" t="inlineStr">
        <is>
          <t>㎡</t>
        </is>
      </c>
      <c r="H348" s="64" t="n">
        <v>4840</v>
      </c>
      <c r="I348" s="64">
        <f>F348*H348</f>
        <v/>
      </c>
      <c r="J348" s="64" t="n">
        <v>3492</v>
      </c>
      <c r="K348" s="64">
        <f>F348*J348</f>
        <v/>
      </c>
      <c r="L348" s="64" t="n">
        <v>247</v>
      </c>
      <c r="M348" s="64">
        <f>F348*L348</f>
        <v/>
      </c>
      <c r="N348" s="64">
        <f>H348+J348+L348</f>
        <v/>
      </c>
      <c r="O348" s="64">
        <f>I348+K348+M348</f>
        <v/>
      </c>
      <c r="Q348" t="inlineStr">
        <is>
          <t>차선도색</t>
        </is>
      </c>
    </row>
    <row r="349" ht="24" customHeight="1" s="34">
      <c r="A349" t="inlineStr">
        <is>
          <t>01 토목</t>
        </is>
      </c>
      <c r="B349" t="inlineStr">
        <is>
          <t>5. 포 장 공</t>
        </is>
      </c>
      <c r="C349" t="n">
        <v>50</v>
      </c>
      <c r="D349" t="inlineStr">
        <is>
          <t>아). 차선도색(차로밑그림),신설구간</t>
        </is>
      </c>
      <c r="E349" t="inlineStr">
        <is>
          <t>횡단보도,주차장</t>
        </is>
      </c>
      <c r="F349" t="n">
        <v>211</v>
      </c>
      <c r="G349" t="inlineStr">
        <is>
          <t>㎡</t>
        </is>
      </c>
      <c r="H349" s="64" t="n">
        <v>4840</v>
      </c>
      <c r="I349" s="64">
        <f>F349*H349</f>
        <v/>
      </c>
      <c r="J349" s="64" t="n">
        <v>3492</v>
      </c>
      <c r="K349" s="64">
        <f>F349*J349</f>
        <v/>
      </c>
      <c r="L349" s="64" t="n">
        <v>247</v>
      </c>
      <c r="M349" s="64">
        <f>F349*L349</f>
        <v/>
      </c>
      <c r="N349" s="64">
        <f>H349+J349+L349</f>
        <v/>
      </c>
      <c r="O349" s="64">
        <f>I349+K349+M349</f>
        <v/>
      </c>
      <c r="Q349" t="inlineStr">
        <is>
          <t>차선도색</t>
        </is>
      </c>
    </row>
    <row r="350" ht="24" customHeight="1" s="34">
      <c r="A350" t="inlineStr">
        <is>
          <t>01 토목</t>
        </is>
      </c>
      <c r="B350" t="inlineStr">
        <is>
          <t>5. 포 장 공</t>
        </is>
      </c>
      <c r="C350" t="n">
        <v>51</v>
      </c>
      <c r="D350" t="inlineStr">
        <is>
          <t>자). 차선도색(차로밑그림),신설구간</t>
        </is>
      </c>
      <c r="E350" t="inlineStr">
        <is>
          <t>문자,기호</t>
        </is>
      </c>
      <c r="F350" t="n">
        <v>26</v>
      </c>
      <c r="G350" t="inlineStr">
        <is>
          <t>㎡</t>
        </is>
      </c>
      <c r="H350" s="64" t="n">
        <v>4840</v>
      </c>
      <c r="I350" s="64">
        <f>F350*H350</f>
        <v/>
      </c>
      <c r="J350" s="64" t="n">
        <v>3492</v>
      </c>
      <c r="K350" s="64">
        <f>F350*J350</f>
        <v/>
      </c>
      <c r="L350" s="64" t="n">
        <v>247</v>
      </c>
      <c r="M350" s="64">
        <f>F350*L350</f>
        <v/>
      </c>
      <c r="N350" s="64">
        <f>H350+J350+L350</f>
        <v/>
      </c>
      <c r="O350" s="64">
        <f>I350+K350+M350</f>
        <v/>
      </c>
      <c r="Q350" t="inlineStr">
        <is>
          <t>차선도색</t>
        </is>
      </c>
    </row>
    <row r="351" ht="24" customHeight="1" s="34">
      <c r="A351" t="inlineStr">
        <is>
          <t>01 토목</t>
        </is>
      </c>
      <c r="B351" t="inlineStr">
        <is>
          <t>5. 포 장 공</t>
        </is>
      </c>
      <c r="C351" t="n">
        <v>52</v>
      </c>
      <c r="D351" t="inlineStr">
        <is>
          <t>가). 도로표지병설치</t>
        </is>
      </c>
      <c r="E351" t="inlineStr">
        <is>
          <t>양면</t>
        </is>
      </c>
      <c r="F351" t="n">
        <v>41</v>
      </c>
      <c r="G351" t="inlineStr">
        <is>
          <t>개</t>
        </is>
      </c>
      <c r="H351" s="64" t="n">
        <v>265</v>
      </c>
      <c r="I351" s="64">
        <f>F351*H351</f>
        <v/>
      </c>
      <c r="J351" s="64" t="n">
        <v>5316</v>
      </c>
      <c r="K351" s="64">
        <f>F351*J351</f>
        <v/>
      </c>
      <c r="L351" s="64" t="n">
        <v>0</v>
      </c>
      <c r="M351" s="64">
        <f>F351*L351</f>
        <v/>
      </c>
      <c r="N351" s="64">
        <f>H351+J351+L351</f>
        <v/>
      </c>
      <c r="O351" s="64">
        <f>I351+K351+M351</f>
        <v/>
      </c>
      <c r="Q351" t="inlineStr">
        <is>
          <t>도로표지병설치</t>
        </is>
      </c>
    </row>
    <row r="352" ht="24" customHeight="1" s="34">
      <c r="A352" t="inlineStr">
        <is>
          <t>01 토목</t>
        </is>
      </c>
      <c r="B352" t="inlineStr">
        <is>
          <t>5. 포 장 공</t>
        </is>
      </c>
      <c r="C352" t="n">
        <v>53</v>
      </c>
      <c r="D352" t="inlineStr">
        <is>
          <t>나). 도로반사경(1면)</t>
        </is>
      </c>
      <c r="E352" t="inlineStr">
        <is>
          <t>Ø 800 mm, STS</t>
        </is>
      </c>
      <c r="F352" t="n">
        <v>6</v>
      </c>
      <c r="G352" t="inlineStr">
        <is>
          <t>개</t>
        </is>
      </c>
      <c r="H352" s="64" t="n">
        <v>16010</v>
      </c>
      <c r="I352" s="64">
        <f>F352*H352</f>
        <v/>
      </c>
      <c r="J352" s="64" t="n">
        <v>0</v>
      </c>
      <c r="K352" s="64">
        <f>F352*J352</f>
        <v/>
      </c>
      <c r="L352" s="64" t="n">
        <v>0</v>
      </c>
      <c r="M352" s="64">
        <f>F352*L352</f>
        <v/>
      </c>
      <c r="N352" s="64">
        <f>H352+J352+L352</f>
        <v/>
      </c>
      <c r="O352" s="64">
        <f>I352+K352+M352</f>
        <v/>
      </c>
      <c r="Q352" t="inlineStr">
        <is>
          <t>STS</t>
        </is>
      </c>
    </row>
    <row r="353" ht="24" customHeight="1" s="34">
      <c r="A353" t="inlineStr">
        <is>
          <t>01 토목</t>
        </is>
      </c>
      <c r="B353" t="inlineStr">
        <is>
          <t>5. 포 장 공</t>
        </is>
      </c>
      <c r="C353" t="n">
        <v>54</v>
      </c>
      <c r="D353" t="inlineStr">
        <is>
          <t>다). 탄성볼라드</t>
        </is>
      </c>
      <c r="E353" t="inlineStr">
        <is>
          <t>Ø130×1,050mm</t>
        </is>
      </c>
      <c r="F353" t="n">
        <v>25</v>
      </c>
      <c r="G353" t="inlineStr">
        <is>
          <t>개소</t>
        </is>
      </c>
      <c r="H353" s="64" t="n">
        <v>85000</v>
      </c>
      <c r="I353" s="64">
        <f>F353*H353</f>
        <v/>
      </c>
      <c r="J353" s="64" t="n">
        <v>45000</v>
      </c>
      <c r="K353" s="64">
        <f>F353*J353</f>
        <v/>
      </c>
      <c r="L353" s="64" t="n">
        <v>15000</v>
      </c>
      <c r="M353" s="64">
        <f>F353*L353</f>
        <v/>
      </c>
      <c r="N353" s="64">
        <f>H353+J353+L353</f>
        <v/>
      </c>
      <c r="O353" s="64">
        <f>I353+K353+M353</f>
        <v/>
      </c>
      <c r="P353" t="inlineStr">
        <is>
          <t>가영현</t>
        </is>
      </c>
      <c r="Q353" t="inlineStr">
        <is>
          <t>탄성볼라드</t>
        </is>
      </c>
    </row>
    <row r="354" ht="24" customHeight="1" s="34">
      <c r="A354" t="inlineStr">
        <is>
          <t>01 토목</t>
        </is>
      </c>
      <c r="B354" t="inlineStr">
        <is>
          <t>5. 포 장 공</t>
        </is>
      </c>
      <c r="C354" t="n">
        <v>55</v>
      </c>
      <c r="D354" t="inlineStr">
        <is>
          <t>라). 시멘트운반</t>
        </is>
      </c>
      <c r="E354" t="inlineStr">
        <is>
          <t>L=30km이내</t>
        </is>
      </c>
      <c r="F354" t="n">
        <v>10</v>
      </c>
      <c r="G354" t="inlineStr">
        <is>
          <t>대</t>
        </is>
      </c>
      <c r="I354" s="64">
        <f>F354*H354</f>
        <v/>
      </c>
      <c r="J354" s="64" t="n"/>
      <c r="K354" s="64">
        <f>F354*J354</f>
        <v/>
      </c>
      <c r="L354" s="64" t="n">
        <v>200</v>
      </c>
      <c r="M354" s="64">
        <f>F354*L354</f>
        <v/>
      </c>
      <c r="N354" s="64">
        <f>H354+J354+L354</f>
        <v/>
      </c>
      <c r="O354" s="64">
        <f>I354+K354+M354</f>
        <v/>
      </c>
      <c r="P354" t="inlineStr">
        <is>
          <t>가영현</t>
        </is>
      </c>
      <c r="Q354" t="inlineStr">
        <is>
          <t>L=30km이내, 시멘트운반</t>
        </is>
      </c>
    </row>
    <row r="355" ht="24" customHeight="1" s="34">
      <c r="A355" t="inlineStr">
        <is>
          <t>01 토목</t>
        </is>
      </c>
      <c r="B355" t="inlineStr">
        <is>
          <t>5. 포 장 공</t>
        </is>
      </c>
      <c r="C355" t="n">
        <v>56</v>
      </c>
      <c r="D355" t="inlineStr">
        <is>
          <t>1). 레미콘</t>
        </is>
      </c>
      <c r="E355" t="inlineStr">
        <is>
          <t>25-21- 8(Mpa)</t>
        </is>
      </c>
      <c r="F355" t="n">
        <v>188</v>
      </c>
      <c r="G355" t="inlineStr">
        <is>
          <t>㎥</t>
        </is>
      </c>
      <c r="H355" s="64" t="n">
        <v>108000</v>
      </c>
      <c r="I355" s="64">
        <f>F355*H355</f>
        <v/>
      </c>
      <c r="J355" s="64" t="n">
        <v>64674</v>
      </c>
      <c r="K355" s="64">
        <f>F355*J355</f>
        <v/>
      </c>
      <c r="L355" s="64" t="n"/>
      <c r="M355" s="64">
        <f>F355*L355</f>
        <v/>
      </c>
      <c r="N355" s="64">
        <f>H355+J355+L355</f>
        <v/>
      </c>
      <c r="O355" s="64">
        <f>I355+K355+M355</f>
        <v/>
      </c>
      <c r="P355" t="inlineStr">
        <is>
          <t>가영현</t>
        </is>
      </c>
      <c r="Q355" t="inlineStr">
        <is>
          <t>레미콘</t>
        </is>
      </c>
    </row>
    <row r="356" ht="24" customHeight="1" s="34">
      <c r="A356" t="inlineStr">
        <is>
          <t>01 토목</t>
        </is>
      </c>
      <c r="B356" t="inlineStr">
        <is>
          <t>5. 포 장 공</t>
        </is>
      </c>
      <c r="C356" t="n">
        <v>57</v>
      </c>
      <c r="D356" t="inlineStr">
        <is>
          <t>2). 레미콘</t>
        </is>
      </c>
      <c r="E356" t="inlineStr">
        <is>
          <t>25-18- 8(Mpa)</t>
        </is>
      </c>
      <c r="F356" t="n">
        <v>42</v>
      </c>
      <c r="G356" t="inlineStr">
        <is>
          <t>㎥</t>
        </is>
      </c>
      <c r="H356" s="64" t="n">
        <v>99000</v>
      </c>
      <c r="I356" s="64">
        <f>F356*H356</f>
        <v/>
      </c>
      <c r="J356" s="64" t="n">
        <v>64674</v>
      </c>
      <c r="K356" s="64">
        <f>F356*J356</f>
        <v/>
      </c>
      <c r="L356" s="64" t="n"/>
      <c r="M356" s="64">
        <f>F356*L356</f>
        <v/>
      </c>
      <c r="N356" s="64">
        <f>H356+J356+L356</f>
        <v/>
      </c>
      <c r="O356" s="64">
        <f>I356+K356+M356</f>
        <v/>
      </c>
      <c r="P356" t="inlineStr">
        <is>
          <t>가영현</t>
        </is>
      </c>
      <c r="Q356" t="inlineStr">
        <is>
          <t>레미콘</t>
        </is>
      </c>
    </row>
    <row r="357" ht="24" customHeight="1" s="34">
      <c r="A357" t="inlineStr">
        <is>
          <t>01 토목</t>
        </is>
      </c>
      <c r="B357" t="inlineStr">
        <is>
          <t>5. 포 장 공</t>
        </is>
      </c>
      <c r="C357" t="n">
        <v>58</v>
      </c>
      <c r="D357" t="inlineStr">
        <is>
          <t>3). 보통시멘트</t>
        </is>
      </c>
      <c r="E357" t="inlineStr">
        <is>
          <t>40kg/대 (포장품)</t>
        </is>
      </c>
      <c r="F357" t="n">
        <v>10</v>
      </c>
      <c r="G357" t="inlineStr">
        <is>
          <t>대</t>
        </is>
      </c>
      <c r="H357" s="64" t="n">
        <v>5500</v>
      </c>
      <c r="I357" s="64">
        <f>F357*H357</f>
        <v/>
      </c>
      <c r="J357" s="64" t="n"/>
      <c r="K357" s="64">
        <f>F357*J357</f>
        <v/>
      </c>
      <c r="L357" s="64" t="n"/>
      <c r="M357" s="64">
        <f>F357*L357</f>
        <v/>
      </c>
      <c r="N357" s="64">
        <f>H357+J357+L357</f>
        <v/>
      </c>
      <c r="O357" s="64">
        <f>I357+K357+M357</f>
        <v/>
      </c>
      <c r="P357" t="inlineStr">
        <is>
          <t>가영현</t>
        </is>
      </c>
      <c r="Q357" t="inlineStr">
        <is>
          <t>40kg/대 (포장품), 포장품, 보통시멘트, 40kg, 대 (포장품)</t>
        </is>
      </c>
    </row>
    <row r="358" ht="24" customHeight="1" s="34">
      <c r="A358" t="inlineStr">
        <is>
          <t>01 토목</t>
        </is>
      </c>
      <c r="B358" t="inlineStr">
        <is>
          <t>5. 포 장 공</t>
        </is>
      </c>
      <c r="C358" t="n">
        <v>59</v>
      </c>
      <c r="D358" t="inlineStr">
        <is>
          <t>4). 모래</t>
        </is>
      </c>
      <c r="E358" t="inlineStr">
        <is>
          <t>강모래, 현장도착도</t>
        </is>
      </c>
      <c r="F358" t="n">
        <v>88</v>
      </c>
      <c r="G358" t="inlineStr">
        <is>
          <t>㎥</t>
        </is>
      </c>
      <c r="H358" s="64" t="n">
        <v>45000</v>
      </c>
      <c r="I358" s="64">
        <f>F358*H358</f>
        <v/>
      </c>
      <c r="J358" s="64" t="n">
        <v>113564</v>
      </c>
      <c r="K358" s="64">
        <f>F358*J358</f>
        <v/>
      </c>
      <c r="L358" s="64" t="n"/>
      <c r="M358" s="64">
        <f>F358*L358</f>
        <v/>
      </c>
      <c r="N358" s="64">
        <f>H358+J358+L358</f>
        <v/>
      </c>
      <c r="O358" s="64">
        <f>I358+K358+M358</f>
        <v/>
      </c>
      <c r="P358" t="inlineStr">
        <is>
          <t>가영현</t>
        </is>
      </c>
      <c r="Q358" t="inlineStr">
        <is>
          <t>모래</t>
        </is>
      </c>
    </row>
    <row r="359" ht="24" customHeight="1" s="34">
      <c r="A359" t="inlineStr">
        <is>
          <t>01 토목</t>
        </is>
      </c>
      <c r="B359" t="inlineStr">
        <is>
          <t>5. 포 장 공</t>
        </is>
      </c>
      <c r="C359" t="n">
        <v>60</v>
      </c>
      <c r="D359" t="inlineStr">
        <is>
          <t>5). 혼합골재(보조기층용)</t>
        </is>
      </c>
      <c r="E359" t="inlineStr">
        <is>
          <t>Φ40mm, 현장도착도</t>
        </is>
      </c>
      <c r="F359" t="n">
        <v>311</v>
      </c>
      <c r="G359" t="inlineStr">
        <is>
          <t>㎥</t>
        </is>
      </c>
      <c r="H359" s="64" t="n">
        <v>1320</v>
      </c>
      <c r="I359" s="64">
        <f>F359*H359</f>
        <v/>
      </c>
      <c r="J359" s="64" t="n">
        <v>11220</v>
      </c>
      <c r="K359" s="64">
        <f>F359*J359</f>
        <v/>
      </c>
      <c r="L359" s="64" t="n">
        <v>1521</v>
      </c>
      <c r="M359" s="64">
        <f>F359*L359</f>
        <v/>
      </c>
      <c r="N359" s="64">
        <f>H359+J359+L359</f>
        <v/>
      </c>
      <c r="O359" s="64">
        <f>I359+K359+M359</f>
        <v/>
      </c>
      <c r="Q359" t="inlineStr">
        <is>
          <t>보조기층용</t>
        </is>
      </c>
    </row>
    <row r="360" ht="24" customHeight="1" s="34">
      <c r="A360" t="inlineStr">
        <is>
          <t>01 토목</t>
        </is>
      </c>
      <c r="B360" t="inlineStr">
        <is>
          <t>5. 포 장 공</t>
        </is>
      </c>
      <c r="C360" t="n">
        <v>61</v>
      </c>
      <c r="D360" t="inlineStr">
        <is>
          <t>6). 혼합골재(보조기층용)</t>
        </is>
      </c>
      <c r="E360" t="inlineStr">
        <is>
          <t>Φ80mm이하, 현장도착도</t>
        </is>
      </c>
      <c r="F360" t="n">
        <v>1014</v>
      </c>
      <c r="G360" t="inlineStr">
        <is>
          <t>㎥</t>
        </is>
      </c>
      <c r="H360" s="64" t="n">
        <v>1320</v>
      </c>
      <c r="I360" s="64">
        <f>F360*H360</f>
        <v/>
      </c>
      <c r="J360" s="64" t="n">
        <v>11220</v>
      </c>
      <c r="K360" s="64">
        <f>F360*J360</f>
        <v/>
      </c>
      <c r="L360" s="64" t="n">
        <v>1521</v>
      </c>
      <c r="M360" s="64">
        <f>F360*L360</f>
        <v/>
      </c>
      <c r="N360" s="64">
        <f>H360+J360+L360</f>
        <v/>
      </c>
      <c r="O360" s="64">
        <f>I360+K360+M360</f>
        <v/>
      </c>
      <c r="Q360" t="inlineStr">
        <is>
          <t>보조기층용</t>
        </is>
      </c>
    </row>
    <row r="361" ht="24" customHeight="1" s="34">
      <c r="A361" t="inlineStr">
        <is>
          <t>01 토목</t>
        </is>
      </c>
      <c r="B361" t="inlineStr">
        <is>
          <t>5. 포 장 공</t>
        </is>
      </c>
      <c r="C361" t="n">
        <v>62</v>
      </c>
      <c r="D361" t="inlineStr">
        <is>
          <t>7). 혼합골재(보조기층용)(순환골재)</t>
        </is>
      </c>
      <c r="E361" t="inlineStr">
        <is>
          <t>Φ80mm이하, 현장도착도</t>
        </is>
      </c>
      <c r="F361" t="n">
        <v>676</v>
      </c>
      <c r="G361" t="inlineStr">
        <is>
          <t>㎥</t>
        </is>
      </c>
      <c r="H361" s="64" t="n">
        <v>1320</v>
      </c>
      <c r="I361" s="64">
        <f>F361*H361</f>
        <v/>
      </c>
      <c r="J361" s="64" t="n">
        <v>11220</v>
      </c>
      <c r="K361" s="64">
        <f>F361*J361</f>
        <v/>
      </c>
      <c r="L361" s="64" t="n">
        <v>1521</v>
      </c>
      <c r="M361" s="64">
        <f>F361*L361</f>
        <v/>
      </c>
      <c r="N361" s="64">
        <f>H361+J361+L361</f>
        <v/>
      </c>
      <c r="O361" s="64">
        <f>I361+K361+M361</f>
        <v/>
      </c>
      <c r="Q361" t="inlineStr">
        <is>
          <t>보조기층용</t>
        </is>
      </c>
    </row>
    <row r="362" ht="24" customHeight="1" s="34">
      <c r="A362" t="inlineStr">
        <is>
          <t>01 토목</t>
        </is>
      </c>
      <c r="B362" t="inlineStr">
        <is>
          <t>5. 포 장 공</t>
        </is>
      </c>
      <c r="C362" t="n">
        <v>63</v>
      </c>
      <c r="D362" t="inlineStr">
        <is>
          <t>8). 아스팔트(유제)</t>
        </is>
      </c>
      <c r="E362" t="inlineStr">
        <is>
          <t>RS(C)-3 (200ℓ)</t>
        </is>
      </c>
      <c r="F362" t="n">
        <v>54</v>
      </c>
      <c r="G362" t="inlineStr">
        <is>
          <t>D/M</t>
        </is>
      </c>
      <c r="H362" s="64" t="n">
        <v>154620</v>
      </c>
      <c r="I362" s="64">
        <f>F362*H362</f>
        <v/>
      </c>
      <c r="J362" s="64" t="n">
        <v>0</v>
      </c>
      <c r="K362" s="64">
        <f>F362*J362</f>
        <v/>
      </c>
      <c r="L362" s="64" t="n">
        <v>0</v>
      </c>
      <c r="M362" s="64">
        <f>F362*L362</f>
        <v/>
      </c>
      <c r="N362" s="64">
        <f>H362+J362+L362</f>
        <v/>
      </c>
      <c r="O362" s="64">
        <f>I362+K362+M362</f>
        <v/>
      </c>
      <c r="Q362" t="inlineStr">
        <is>
          <t>아스팔트</t>
        </is>
      </c>
    </row>
    <row r="363" ht="24" customHeight="1" s="34">
      <c r="A363" t="inlineStr">
        <is>
          <t>01 토목</t>
        </is>
      </c>
      <c r="B363" t="inlineStr">
        <is>
          <t>5. 포 장 공</t>
        </is>
      </c>
      <c r="C363" t="n">
        <v>64</v>
      </c>
      <c r="D363" t="inlineStr">
        <is>
          <t>9). 아스팔트(유제)</t>
        </is>
      </c>
      <c r="E363" t="inlineStr">
        <is>
          <t>RS(C)-4 (200ℓ)</t>
        </is>
      </c>
      <c r="F363" t="n">
        <v>46</v>
      </c>
      <c r="G363" t="inlineStr">
        <is>
          <t>D/M</t>
        </is>
      </c>
      <c r="H363" s="64" t="n">
        <v>154620</v>
      </c>
      <c r="I363" s="64">
        <f>F363*H363</f>
        <v/>
      </c>
      <c r="J363" s="64" t="n">
        <v>0</v>
      </c>
      <c r="K363" s="64">
        <f>F363*J363</f>
        <v/>
      </c>
      <c r="L363" s="64" t="n">
        <v>0</v>
      </c>
      <c r="M363" s="64">
        <f>F363*L363</f>
        <v/>
      </c>
      <c r="N363" s="64">
        <f>H363+J363+L363</f>
        <v/>
      </c>
      <c r="O363" s="64">
        <f>I363+K363+M363</f>
        <v/>
      </c>
      <c r="Q363" t="inlineStr">
        <is>
          <t>아스팔트</t>
        </is>
      </c>
    </row>
    <row r="364" ht="24" customHeight="1" s="34">
      <c r="A364" t="inlineStr">
        <is>
          <t>01 토목</t>
        </is>
      </c>
      <c r="B364" t="inlineStr">
        <is>
          <t>5. 포 장 공</t>
        </is>
      </c>
      <c r="C364" t="n">
        <v>65</v>
      </c>
      <c r="D364" t="inlineStr">
        <is>
          <t>10). 아스팔트콘크리트</t>
        </is>
      </c>
      <c r="E364" t="inlineStr">
        <is>
          <t>#78 표층용</t>
        </is>
      </c>
      <c r="F364" t="n">
        <v>880</v>
      </c>
      <c r="G364" t="inlineStr">
        <is>
          <t>Ton</t>
        </is>
      </c>
      <c r="H364" s="64" t="n">
        <v>120000</v>
      </c>
      <c r="I364" s="64">
        <f>F364*H364</f>
        <v/>
      </c>
      <c r="J364" s="64" t="n">
        <v>7500</v>
      </c>
      <c r="K364" s="64">
        <f>F364*J364</f>
        <v/>
      </c>
      <c r="L364" s="64" t="n">
        <v>12000</v>
      </c>
      <c r="M364" s="64">
        <f>F364*L364</f>
        <v/>
      </c>
      <c r="N364" s="64">
        <f>H364+J364+L364</f>
        <v/>
      </c>
      <c r="O364" s="64">
        <f>I364+K364+M364</f>
        <v/>
      </c>
      <c r="P364" t="inlineStr">
        <is>
          <t>가영현</t>
        </is>
      </c>
      <c r="Q364" t="inlineStr">
        <is>
          <t>#78 표층용, 아스팔트콘크리트</t>
        </is>
      </c>
    </row>
    <row r="365" ht="24" customHeight="1" s="34">
      <c r="A365" t="inlineStr">
        <is>
          <t>01 토목</t>
        </is>
      </c>
      <c r="B365" t="inlineStr">
        <is>
          <t>5. 포 장 공</t>
        </is>
      </c>
      <c r="C365" t="n">
        <v>66</v>
      </c>
      <c r="D365" t="inlineStr">
        <is>
          <t>11). 아스팔트콘크리트</t>
        </is>
      </c>
      <c r="E365" t="inlineStr">
        <is>
          <t>#67 중간층용</t>
        </is>
      </c>
      <c r="F365" t="n">
        <v>702</v>
      </c>
      <c r="G365" t="inlineStr">
        <is>
          <t>Ton</t>
        </is>
      </c>
      <c r="H365" s="64" t="n">
        <v>110000</v>
      </c>
      <c r="I365" s="64">
        <f>F365*H365</f>
        <v/>
      </c>
      <c r="J365" s="64" t="n">
        <v>7500</v>
      </c>
      <c r="K365" s="64">
        <f>F365*J365</f>
        <v/>
      </c>
      <c r="L365" s="64" t="n">
        <v>12000</v>
      </c>
      <c r="M365" s="64">
        <f>F365*L365</f>
        <v/>
      </c>
      <c r="N365" s="64">
        <f>H365+J365+L365</f>
        <v/>
      </c>
      <c r="O365" s="64">
        <f>I365+K365+M365</f>
        <v/>
      </c>
      <c r="P365" t="inlineStr">
        <is>
          <t>가영현</t>
        </is>
      </c>
      <c r="Q365" t="inlineStr">
        <is>
          <t>#67 중간층용, 아스팔트콘크리트</t>
        </is>
      </c>
    </row>
    <row r="366" ht="24" customHeight="1" s="34">
      <c r="A366" t="inlineStr">
        <is>
          <t>01 토목</t>
        </is>
      </c>
      <c r="B366" t="inlineStr">
        <is>
          <t>5. 포 장 공</t>
        </is>
      </c>
      <c r="C366" t="n">
        <v>67</v>
      </c>
      <c r="D366" t="inlineStr">
        <is>
          <t>12). 아스팔트콘크리트</t>
        </is>
      </c>
      <c r="E366" t="inlineStr">
        <is>
          <t>#467 기층용</t>
        </is>
      </c>
      <c r="F366" t="n">
        <v>669</v>
      </c>
      <c r="G366" t="inlineStr">
        <is>
          <t>Ton</t>
        </is>
      </c>
      <c r="H366" s="64" t="n">
        <v>110000</v>
      </c>
      <c r="I366" s="64">
        <f>F366*H366</f>
        <v/>
      </c>
      <c r="J366" s="64" t="n">
        <v>7500</v>
      </c>
      <c r="K366" s="64">
        <f>F366*J366</f>
        <v/>
      </c>
      <c r="L366" s="64" t="n">
        <v>12000</v>
      </c>
      <c r="M366" s="64">
        <f>F366*L366</f>
        <v/>
      </c>
      <c r="N366" s="64">
        <f>H366+J366+L366</f>
        <v/>
      </c>
      <c r="O366" s="64">
        <f>I366+K366+M366</f>
        <v/>
      </c>
      <c r="P366" t="inlineStr">
        <is>
          <t>가영현</t>
        </is>
      </c>
      <c r="Q366" t="inlineStr">
        <is>
          <t>#467 기층용, 아스팔트콘크리트</t>
        </is>
      </c>
    </row>
    <row r="367" ht="24" customHeight="1" s="34">
      <c r="A367" t="inlineStr">
        <is>
          <t>01 토목</t>
        </is>
      </c>
      <c r="B367" t="inlineStr">
        <is>
          <t>5. 포 장 공</t>
        </is>
      </c>
      <c r="C367" t="n">
        <v>68</v>
      </c>
      <c r="D367" t="inlineStr">
        <is>
          <t>13). 아스팔트콘크리트(재생)</t>
        </is>
      </c>
      <c r="E367" t="inlineStr">
        <is>
          <t>#467 기층용(안정처리제)</t>
        </is>
      </c>
      <c r="F367" t="n">
        <v>1501</v>
      </c>
      <c r="G367" t="inlineStr">
        <is>
          <t>Ton</t>
        </is>
      </c>
      <c r="H367" s="64" t="n">
        <v>90000</v>
      </c>
      <c r="I367" s="64">
        <f>F367*H367</f>
        <v/>
      </c>
      <c r="J367" s="64" t="n">
        <v>7500</v>
      </c>
      <c r="K367" s="64">
        <f>F367*J367</f>
        <v/>
      </c>
      <c r="L367" s="64" t="n">
        <v>12000</v>
      </c>
      <c r="M367" s="64">
        <f>F367*L367</f>
        <v/>
      </c>
      <c r="N367" s="64">
        <f>H367+J367+L367</f>
        <v/>
      </c>
      <c r="O367" s="64">
        <f>I367+K367+M367</f>
        <v/>
      </c>
      <c r="P367" t="inlineStr">
        <is>
          <t>가영현</t>
        </is>
      </c>
      <c r="Q367" t="inlineStr">
        <is>
          <t>#467 기층용(안정처리제), 재생, 안정처리제, 아스팔트콘크리트</t>
        </is>
      </c>
    </row>
    <row r="368" ht="24" customHeight="1" s="34">
      <c r="A368" t="inlineStr">
        <is>
          <t>01 토목</t>
        </is>
      </c>
      <c r="B368" t="inlineStr">
        <is>
          <t>5. 포 장 공</t>
        </is>
      </c>
      <c r="C368" t="n">
        <v>69</v>
      </c>
      <c r="D368" t="inlineStr">
        <is>
          <t>14). 보차도경계석(화강석)</t>
        </is>
      </c>
      <c r="E368" t="inlineStr">
        <is>
          <t>180x200x1000㎜ (직선)</t>
        </is>
      </c>
      <c r="F368" t="n">
        <v>1272</v>
      </c>
      <c r="G368" t="inlineStr">
        <is>
          <t>ea</t>
        </is>
      </c>
      <c r="H368" s="64" t="n">
        <v>659</v>
      </c>
      <c r="I368" s="64">
        <f>F368*H368</f>
        <v/>
      </c>
      <c r="J368" s="64" t="n">
        <v>6686</v>
      </c>
      <c r="K368" s="64">
        <f>F368*J368</f>
        <v/>
      </c>
      <c r="L368" s="64" t="n">
        <v>522</v>
      </c>
      <c r="M368" s="64">
        <f>F368*L368</f>
        <v/>
      </c>
      <c r="N368" s="64">
        <f>H368+J368+L368</f>
        <v/>
      </c>
      <c r="O368" s="64">
        <f>I368+K368+M368</f>
        <v/>
      </c>
      <c r="Q368" t="inlineStr">
        <is>
          <t>직선</t>
        </is>
      </c>
    </row>
    <row r="369" ht="24" customHeight="1" s="34">
      <c r="A369" t="inlineStr">
        <is>
          <t>01 토목</t>
        </is>
      </c>
      <c r="B369" t="inlineStr">
        <is>
          <t>5. 포 장 공</t>
        </is>
      </c>
      <c r="C369" t="n">
        <v>70</v>
      </c>
      <c r="D369" t="inlineStr">
        <is>
          <t>15). 보차도경계석(화강석)</t>
        </is>
      </c>
      <c r="E369" t="inlineStr">
        <is>
          <t>180x200x1000㎜ (곡선)</t>
        </is>
      </c>
      <c r="F369" t="n">
        <v>117</v>
      </c>
      <c r="G369" t="inlineStr">
        <is>
          <t>ea</t>
        </is>
      </c>
      <c r="H369" s="64" t="n">
        <v>771</v>
      </c>
      <c r="I369" s="64">
        <f>F369*H369</f>
        <v/>
      </c>
      <c r="J369" s="64" t="n">
        <v>7823</v>
      </c>
      <c r="K369" s="64">
        <f>F369*J369</f>
        <v/>
      </c>
      <c r="L369" s="64" t="n">
        <v>610</v>
      </c>
      <c r="M369" s="64">
        <f>F369*L369</f>
        <v/>
      </c>
      <c r="N369" s="64">
        <f>H369+J369+L369</f>
        <v/>
      </c>
      <c r="O369" s="64">
        <f>I369+K369+M369</f>
        <v/>
      </c>
      <c r="Q369" t="inlineStr">
        <is>
          <t>곡선</t>
        </is>
      </c>
    </row>
    <row r="370" ht="24" customHeight="1" s="34">
      <c r="A370" t="inlineStr">
        <is>
          <t>01 토목</t>
        </is>
      </c>
      <c r="B370" t="inlineStr">
        <is>
          <t>5. 포 장 공</t>
        </is>
      </c>
      <c r="C370" t="n">
        <v>71</v>
      </c>
      <c r="D370" t="inlineStr">
        <is>
          <t>16). 횡단보도경계석(화강석)(경사)</t>
        </is>
      </c>
      <c r="E370" t="inlineStr">
        <is>
          <t>180x200∼100x1000㎜ (곡선경사)</t>
        </is>
      </c>
      <c r="F370" t="n">
        <v>87</v>
      </c>
      <c r="G370" t="inlineStr">
        <is>
          <t>ea</t>
        </is>
      </c>
      <c r="H370" s="64" t="n">
        <v>28000</v>
      </c>
      <c r="I370" s="64">
        <f>F370*H370</f>
        <v/>
      </c>
      <c r="J370" s="64" t="n">
        <v>12000</v>
      </c>
      <c r="K370" s="64">
        <f>F370*J370</f>
        <v/>
      </c>
      <c r="L370" s="64" t="n">
        <v>8000</v>
      </c>
      <c r="M370" s="64">
        <f>F370*L370</f>
        <v/>
      </c>
      <c r="N370" s="64">
        <f>H370+J370+L370</f>
        <v/>
      </c>
      <c r="O370" s="64">
        <f>I370+K370+M370</f>
        <v/>
      </c>
      <c r="P370" t="inlineStr">
        <is>
          <t>가영현</t>
        </is>
      </c>
      <c r="Q370" t="inlineStr">
        <is>
          <t>횡단보도경계석</t>
        </is>
      </c>
    </row>
    <row r="371" ht="24" customHeight="1" s="34">
      <c r="A371" t="inlineStr">
        <is>
          <t>01 토목</t>
        </is>
      </c>
      <c r="B371" t="inlineStr">
        <is>
          <t>5. 포 장 공</t>
        </is>
      </c>
      <c r="C371" t="n">
        <v>72</v>
      </c>
      <c r="D371" t="inlineStr">
        <is>
          <t>17). 횡단보도경계석(화강석)(낮춤)</t>
        </is>
      </c>
      <c r="E371" t="inlineStr">
        <is>
          <t>180x100x1000㎜ (곡선)</t>
        </is>
      </c>
      <c r="F371" t="n">
        <v>116</v>
      </c>
      <c r="G371" t="inlineStr">
        <is>
          <t>ea</t>
        </is>
      </c>
      <c r="H371" s="64" t="n">
        <v>771</v>
      </c>
      <c r="I371" s="64">
        <f>F371*H371</f>
        <v/>
      </c>
      <c r="J371" s="64" t="n">
        <v>7823</v>
      </c>
      <c r="K371" s="64">
        <f>F371*J371</f>
        <v/>
      </c>
      <c r="L371" s="64" t="n">
        <v>610</v>
      </c>
      <c r="M371" s="64">
        <f>F371*L371</f>
        <v/>
      </c>
      <c r="N371" s="64">
        <f>H371+J371+L371</f>
        <v/>
      </c>
      <c r="O371" s="64">
        <f>I371+K371+M371</f>
        <v/>
      </c>
      <c r="Q371" t="inlineStr">
        <is>
          <t>곡선</t>
        </is>
      </c>
    </row>
    <row r="372" ht="24" customHeight="1" s="34">
      <c r="A372" t="inlineStr">
        <is>
          <t>01 토목</t>
        </is>
      </c>
      <c r="B372" t="inlineStr">
        <is>
          <t>5. 포 장 공</t>
        </is>
      </c>
      <c r="C372" t="n">
        <v>73</v>
      </c>
      <c r="D372" t="inlineStr">
        <is>
          <t>18). 도로경계석(화강석)</t>
        </is>
      </c>
      <c r="E372" t="inlineStr">
        <is>
          <t>120x120x1000㎜ (직선), 국산</t>
        </is>
      </c>
      <c r="F372" t="n">
        <v>1336</v>
      </c>
      <c r="G372" t="inlineStr">
        <is>
          <t>ea</t>
        </is>
      </c>
      <c r="H372" s="64" t="n">
        <v>659</v>
      </c>
      <c r="I372" s="64">
        <f>F372*H372</f>
        <v/>
      </c>
      <c r="J372" s="64" t="n">
        <v>6686</v>
      </c>
      <c r="K372" s="64">
        <f>F372*J372</f>
        <v/>
      </c>
      <c r="L372" s="64" t="n">
        <v>522</v>
      </c>
      <c r="M372" s="64">
        <f>F372*L372</f>
        <v/>
      </c>
      <c r="N372" s="64">
        <f>H372+J372+L372</f>
        <v/>
      </c>
      <c r="O372" s="64">
        <f>I372+K372+M372</f>
        <v/>
      </c>
      <c r="Q372" t="inlineStr">
        <is>
          <t>직선</t>
        </is>
      </c>
    </row>
    <row r="373" ht="24" customHeight="1" s="34">
      <c r="A373" t="inlineStr">
        <is>
          <t>01 토목</t>
        </is>
      </c>
      <c r="B373" t="inlineStr">
        <is>
          <t>5. 포 장 공</t>
        </is>
      </c>
      <c r="C373" t="n">
        <v>74</v>
      </c>
      <c r="D373" t="inlineStr">
        <is>
          <t>19). 보도블록(인조화강)</t>
        </is>
      </c>
      <c r="E373" t="inlineStr">
        <is>
          <t>200x200x60, 투수</t>
        </is>
      </c>
      <c r="F373" t="n">
        <v>2750</v>
      </c>
      <c r="G373" t="inlineStr">
        <is>
          <t>㎡</t>
        </is>
      </c>
      <c r="H373" s="64" t="n">
        <v>18000</v>
      </c>
      <c r="I373" s="64">
        <f>F373*H373</f>
        <v/>
      </c>
      <c r="J373" s="64" t="n">
        <v>15000</v>
      </c>
      <c r="K373" s="64">
        <f>F373*J373</f>
        <v/>
      </c>
      <c r="L373" s="64" t="n">
        <v>10000</v>
      </c>
      <c r="M373" s="64">
        <f>F373*L373</f>
        <v/>
      </c>
      <c r="N373" s="64">
        <f>H373+J373+L373</f>
        <v/>
      </c>
      <c r="O373" s="64">
        <f>I373+K373+M373</f>
        <v/>
      </c>
      <c r="P373" t="inlineStr">
        <is>
          <t>가영현</t>
        </is>
      </c>
      <c r="Q373" t="inlineStr">
        <is>
          <t>투수</t>
        </is>
      </c>
    </row>
    <row r="374" ht="24" customHeight="1" s="34">
      <c r="A374" t="inlineStr">
        <is>
          <t>01 토목</t>
        </is>
      </c>
      <c r="B374" t="inlineStr">
        <is>
          <t>5. 포 장 공</t>
        </is>
      </c>
      <c r="C374" t="n">
        <v>75</v>
      </c>
      <c r="D374" t="inlineStr">
        <is>
          <t>20). 장애인용보도 선형블록</t>
        </is>
      </c>
      <c r="E374" t="inlineStr">
        <is>
          <t>300x300x60, 고강도, 논슬립</t>
        </is>
      </c>
      <c r="F374" t="n">
        <v>300</v>
      </c>
      <c r="G374" t="inlineStr">
        <is>
          <t>ea</t>
        </is>
      </c>
      <c r="I374" s="64">
        <f>F374*H374</f>
        <v/>
      </c>
      <c r="J374" s="64" t="n"/>
      <c r="K374" s="64">
        <f>F374*J374</f>
        <v/>
      </c>
      <c r="L374" s="64" t="n"/>
      <c r="M374" s="64">
        <f>F374*L374</f>
        <v/>
      </c>
      <c r="N374" s="64">
        <f>H374+J374+L374</f>
        <v/>
      </c>
      <c r="O374" s="64">
        <f>I374+K374+M374</f>
        <v/>
      </c>
      <c r="P374" t="inlineStr">
        <is>
          <t>미매칭</t>
        </is>
      </c>
      <c r="Q374" t="inlineStr">
        <is>
          <t>300x300x60, 고강도, 논슬립, 장애인용보도 선형블록, 300x300x60, 고강도, 논슬립</t>
        </is>
      </c>
    </row>
    <row r="375" ht="24" customHeight="1" s="34">
      <c r="A375" t="inlineStr">
        <is>
          <t>01 토목</t>
        </is>
      </c>
      <c r="B375" t="inlineStr">
        <is>
          <t>5. 포 장 공</t>
        </is>
      </c>
      <c r="C375" t="n">
        <v>76</v>
      </c>
      <c r="D375" t="inlineStr">
        <is>
          <t>21). 장애인용보도 점형블록</t>
        </is>
      </c>
      <c r="E375" t="inlineStr">
        <is>
          <t>300x300x60, 고강도, 논슬립</t>
        </is>
      </c>
      <c r="F375" t="n">
        <v>657</v>
      </c>
      <c r="G375" t="inlineStr">
        <is>
          <t>ea</t>
        </is>
      </c>
      <c r="I375" s="64">
        <f>F375*H375</f>
        <v/>
      </c>
      <c r="J375" s="64" t="n"/>
      <c r="K375" s="64">
        <f>F375*J375</f>
        <v/>
      </c>
      <c r="L375" s="64" t="n"/>
      <c r="M375" s="64">
        <f>F375*L375</f>
        <v/>
      </c>
      <c r="N375" s="64">
        <f>H375+J375+L375</f>
        <v/>
      </c>
      <c r="O375" s="64">
        <f>I375+K375+M375</f>
        <v/>
      </c>
      <c r="P375" t="inlineStr">
        <is>
          <t>미매칭</t>
        </is>
      </c>
      <c r="Q375" t="inlineStr">
        <is>
          <t>300x300x60, 고강도, 논슬립, 장애인용보도 점형블록, 300x300x60, 고강도, 논슬립</t>
        </is>
      </c>
    </row>
    <row r="376" ht="24" customHeight="1" s="34">
      <c r="A376" s="15" t="inlineStr">
        <is>
          <t>01 토목</t>
        </is>
      </c>
      <c r="B376" s="15" t="inlineStr">
        <is>
          <t>5. 포 장 공</t>
        </is>
      </c>
      <c r="C376" s="15" t="n"/>
      <c r="D376" s="15" t="inlineStr">
        <is>
          <t>★ 5. 포 장 공 소계</t>
        </is>
      </c>
      <c r="E376" s="15" t="n"/>
      <c r="F376" s="15" t="n"/>
      <c r="G376" s="15" t="n"/>
      <c r="H376" s="66" t="n"/>
      <c r="I376" s="66">
        <f>SUM(I300:I375)</f>
        <v/>
      </c>
      <c r="J376" s="66" t="n"/>
      <c r="K376" s="66">
        <f>SUM(K300:K375)</f>
        <v/>
      </c>
      <c r="L376" s="66" t="n"/>
      <c r="M376" s="66">
        <f>SUM(M300:M375)</f>
        <v/>
      </c>
      <c r="N376" s="66" t="n"/>
      <c r="O376" s="66">
        <f>SUM(O300:O375)</f>
        <v/>
      </c>
      <c r="P376" s="15" t="n"/>
      <c r="Q376" s="15" t="inlineStr">
        <is>
          <t>76건</t>
        </is>
      </c>
    </row>
    <row r="377" ht="24" customHeight="1" s="34">
      <c r="A377" t="inlineStr">
        <is>
          <t>01 토목</t>
        </is>
      </c>
      <c r="B377" t="inlineStr">
        <is>
          <t>6. 구조물공</t>
        </is>
      </c>
      <c r="C377" t="n">
        <v>1</v>
      </c>
      <c r="D377" t="inlineStr">
        <is>
          <t>1). 콘크리트타설</t>
        </is>
      </c>
      <c r="E377" t="inlineStr">
        <is>
          <t>장비사용, 철근구조물</t>
        </is>
      </c>
      <c r="F377" t="n">
        <v>131</v>
      </c>
      <c r="G377" t="inlineStr">
        <is>
          <t>㎥</t>
        </is>
      </c>
      <c r="H377" s="64" t="n">
        <v>5963</v>
      </c>
      <c r="I377" s="64">
        <f>F377*H377</f>
        <v/>
      </c>
      <c r="J377" s="64" t="n">
        <v>50648</v>
      </c>
      <c r="K377" s="64">
        <f>F377*J377</f>
        <v/>
      </c>
      <c r="L377" s="64" t="n">
        <v>6730</v>
      </c>
      <c r="M377" s="64">
        <f>F377*L377</f>
        <v/>
      </c>
      <c r="N377" s="64">
        <f>H377+J377+L377</f>
        <v/>
      </c>
      <c r="O377" s="64">
        <f>I377+K377+M377</f>
        <v/>
      </c>
      <c r="Q377" t="inlineStr">
        <is>
          <t>콘크리트타설</t>
        </is>
      </c>
    </row>
    <row r="378" ht="24" customHeight="1" s="34">
      <c r="A378" t="inlineStr">
        <is>
          <t>01 토목</t>
        </is>
      </c>
      <c r="B378" t="inlineStr">
        <is>
          <t>6. 구조물공</t>
        </is>
      </c>
      <c r="C378" t="n">
        <v>2</v>
      </c>
      <c r="D378" t="inlineStr">
        <is>
          <t>2). 콘크리트타설</t>
        </is>
      </c>
      <c r="E378" t="inlineStr">
        <is>
          <t>장비사용, 무근구조물</t>
        </is>
      </c>
      <c r="F378" t="n">
        <v>16</v>
      </c>
      <c r="G378" t="inlineStr">
        <is>
          <t>㎥</t>
        </is>
      </c>
      <c r="H378" s="64" t="n">
        <v>5963</v>
      </c>
      <c r="I378" s="64">
        <f>F378*H378</f>
        <v/>
      </c>
      <c r="J378" s="64" t="n">
        <v>50648</v>
      </c>
      <c r="K378" s="64">
        <f>F378*J378</f>
        <v/>
      </c>
      <c r="L378" s="64" t="n">
        <v>6730</v>
      </c>
      <c r="M378" s="64">
        <f>F378*L378</f>
        <v/>
      </c>
      <c r="N378" s="64">
        <f>H378+J378+L378</f>
        <v/>
      </c>
      <c r="O378" s="64">
        <f>I378+K378+M378</f>
        <v/>
      </c>
      <c r="Q378" t="inlineStr">
        <is>
          <t>콘크리트타설</t>
        </is>
      </c>
    </row>
    <row r="379" ht="24" customHeight="1" s="34">
      <c r="A379" t="inlineStr">
        <is>
          <t>01 토목</t>
        </is>
      </c>
      <c r="B379" t="inlineStr">
        <is>
          <t>6. 구조물공</t>
        </is>
      </c>
      <c r="C379" t="n">
        <v>3</v>
      </c>
      <c r="D379" t="inlineStr">
        <is>
          <t>3). 철근가공조립(현장)</t>
        </is>
      </c>
      <c r="E379" t="inlineStr">
        <is>
          <t>TYPE-1-1</t>
        </is>
      </c>
      <c r="F379" t="n">
        <v>9.622999999999999</v>
      </c>
      <c r="G379" t="inlineStr">
        <is>
          <t>ton</t>
        </is>
      </c>
      <c r="H379" s="64" t="n">
        <v>46413</v>
      </c>
      <c r="I379" s="64">
        <f>F379*H379</f>
        <v/>
      </c>
      <c r="J379" s="64" t="n">
        <v>1492954</v>
      </c>
      <c r="K379" s="64">
        <f>F379*J379</f>
        <v/>
      </c>
      <c r="L379" s="64" t="n">
        <v>0</v>
      </c>
      <c r="M379" s="64">
        <f>F379*L379</f>
        <v/>
      </c>
      <c r="N379" s="64">
        <f>H379+J379+L379</f>
        <v/>
      </c>
      <c r="O379" s="64">
        <f>I379+K379+M379</f>
        <v/>
      </c>
      <c r="Q379" t="inlineStr">
        <is>
          <t>철근가공조립</t>
        </is>
      </c>
    </row>
    <row r="380" ht="24" customHeight="1" s="34">
      <c r="A380" t="inlineStr">
        <is>
          <t>01 토목</t>
        </is>
      </c>
      <c r="B380" t="inlineStr">
        <is>
          <t>6. 구조물공</t>
        </is>
      </c>
      <c r="C380" t="n">
        <v>4</v>
      </c>
      <c r="D380" t="inlineStr">
        <is>
          <t>4). 문양거푸집</t>
        </is>
      </c>
      <c r="E380" t="inlineStr">
        <is>
          <t>판넬</t>
        </is>
      </c>
      <c r="F380" t="n">
        <v>136</v>
      </c>
      <c r="G380" t="inlineStr">
        <is>
          <t>㎡</t>
        </is>
      </c>
      <c r="H380" s="64" t="n">
        <v>8500</v>
      </c>
      <c r="I380" s="64">
        <f>F380*H380</f>
        <v/>
      </c>
      <c r="J380" s="64" t="n">
        <v>19663</v>
      </c>
      <c r="K380" s="64">
        <f>F380*J380</f>
        <v/>
      </c>
      <c r="L380" s="64" t="n"/>
      <c r="M380" s="64">
        <f>F380*L380</f>
        <v/>
      </c>
      <c r="N380" s="64">
        <f>H380+J380+L380</f>
        <v/>
      </c>
      <c r="O380" s="64">
        <f>I380+K380+M380</f>
        <v/>
      </c>
      <c r="P380" t="inlineStr">
        <is>
          <t>가영현</t>
        </is>
      </c>
      <c r="Q380" t="inlineStr">
        <is>
          <t>문양거푸집</t>
        </is>
      </c>
    </row>
    <row r="381" ht="24" customHeight="1" s="34">
      <c r="A381" t="inlineStr">
        <is>
          <t>01 토목</t>
        </is>
      </c>
      <c r="B381" t="inlineStr">
        <is>
          <t>6. 구조물공</t>
        </is>
      </c>
      <c r="C381" t="n">
        <v>5</v>
      </c>
      <c r="D381" t="inlineStr">
        <is>
          <t>5). 거푸집</t>
        </is>
      </c>
      <c r="E381" t="inlineStr">
        <is>
          <t>합판4회(보통)</t>
        </is>
      </c>
      <c r="F381" t="n">
        <v>244</v>
      </c>
      <c r="G381" t="inlineStr">
        <is>
          <t>㎡</t>
        </is>
      </c>
      <c r="H381" s="64" t="n">
        <v>378</v>
      </c>
      <c r="I381" s="64">
        <f>F381*H381</f>
        <v/>
      </c>
      <c r="J381" s="64" t="n">
        <v>37806</v>
      </c>
      <c r="K381" s="64">
        <f>F381*J381</f>
        <v/>
      </c>
      <c r="L381" s="64" t="n">
        <v>0</v>
      </c>
      <c r="M381" s="64">
        <f>F381*L381</f>
        <v/>
      </c>
      <c r="N381" s="64">
        <f>H381+J381+L381</f>
        <v/>
      </c>
      <c r="O381" s="64">
        <f>I381+K381+M381</f>
        <v/>
      </c>
      <c r="Q381" t="inlineStr">
        <is>
          <t>거푸집</t>
        </is>
      </c>
    </row>
    <row r="382" ht="24" customHeight="1" s="34">
      <c r="A382" t="inlineStr">
        <is>
          <t>01 토목</t>
        </is>
      </c>
      <c r="B382" t="inlineStr">
        <is>
          <t>6. 구조물공</t>
        </is>
      </c>
      <c r="C382" t="n">
        <v>6</v>
      </c>
      <c r="D382" t="inlineStr">
        <is>
          <t>6). 거푸집</t>
        </is>
      </c>
      <c r="E382" t="inlineStr">
        <is>
          <t>합판6회(간단)</t>
        </is>
      </c>
      <c r="F382" t="n">
        <v>6</v>
      </c>
      <c r="G382" t="inlineStr">
        <is>
          <t>㎡</t>
        </is>
      </c>
      <c r="H382" s="64" t="n">
        <v>378</v>
      </c>
      <c r="I382" s="64">
        <f>F382*H382</f>
        <v/>
      </c>
      <c r="J382" s="64" t="n">
        <v>37806</v>
      </c>
      <c r="K382" s="64">
        <f>F382*J382</f>
        <v/>
      </c>
      <c r="L382" s="64" t="n">
        <v>0</v>
      </c>
      <c r="M382" s="64">
        <f>F382*L382</f>
        <v/>
      </c>
      <c r="N382" s="64">
        <f>H382+J382+L382</f>
        <v/>
      </c>
      <c r="O382" s="64">
        <f>I382+K382+M382</f>
        <v/>
      </c>
      <c r="Q382" t="inlineStr">
        <is>
          <t>거푸집</t>
        </is>
      </c>
    </row>
    <row r="383" ht="24" customHeight="1" s="34">
      <c r="A383" t="inlineStr">
        <is>
          <t>01 토목</t>
        </is>
      </c>
      <c r="B383" t="inlineStr">
        <is>
          <t>6. 구조물공</t>
        </is>
      </c>
      <c r="C383" t="n">
        <v>7</v>
      </c>
      <c r="D383" t="inlineStr">
        <is>
          <t>7). 강관비계</t>
        </is>
      </c>
      <c r="E383" t="inlineStr">
        <is>
          <t>10m이하-3개월사용</t>
        </is>
      </c>
      <c r="F383" t="n">
        <v>127</v>
      </c>
      <c r="G383" t="inlineStr">
        <is>
          <t>㎡</t>
        </is>
      </c>
      <c r="H383" s="64" t="n">
        <v>9641</v>
      </c>
      <c r="I383" s="64">
        <f>F383*H383</f>
        <v/>
      </c>
      <c r="J383" s="64" t="n">
        <v>17902</v>
      </c>
      <c r="K383" s="64">
        <f>F383*J383</f>
        <v/>
      </c>
      <c r="L383" s="64" t="n">
        <v>0</v>
      </c>
      <c r="M383" s="64">
        <f>F383*L383</f>
        <v/>
      </c>
      <c r="N383" s="64">
        <f>H383+J383+L383</f>
        <v/>
      </c>
      <c r="O383" s="64">
        <f>I383+K383+M383</f>
        <v/>
      </c>
      <c r="Q383" t="inlineStr">
        <is>
          <t>강관비계</t>
        </is>
      </c>
    </row>
    <row r="384" ht="24" customHeight="1" s="34">
      <c r="A384" t="inlineStr">
        <is>
          <t>01 토목</t>
        </is>
      </c>
      <c r="B384" t="inlineStr">
        <is>
          <t>6. 구조물공</t>
        </is>
      </c>
      <c r="C384" t="n">
        <v>8</v>
      </c>
      <c r="D384" t="inlineStr">
        <is>
          <t>8). 스페이셔설치</t>
        </is>
      </c>
      <c r="E384" t="inlineStr">
        <is>
          <t>수직</t>
        </is>
      </c>
      <c r="F384" t="n">
        <v>229</v>
      </c>
      <c r="G384" t="inlineStr">
        <is>
          <t>㎡</t>
        </is>
      </c>
      <c r="H384" s="64" t="n">
        <v>623</v>
      </c>
      <c r="I384" s="64">
        <f>F384*H384</f>
        <v/>
      </c>
      <c r="J384" s="64" t="n">
        <v>9748</v>
      </c>
      <c r="K384" s="64">
        <f>F384*J384</f>
        <v/>
      </c>
      <c r="L384" s="64" t="n">
        <v>0</v>
      </c>
      <c r="M384" s="64">
        <f>F384*L384</f>
        <v/>
      </c>
      <c r="N384" s="64">
        <f>H384+J384+L384</f>
        <v/>
      </c>
      <c r="O384" s="64">
        <f>I384+K384+M384</f>
        <v/>
      </c>
      <c r="Q384" t="inlineStr">
        <is>
          <t>수직</t>
        </is>
      </c>
    </row>
    <row r="385" ht="24" customHeight="1" s="34">
      <c r="A385" t="inlineStr">
        <is>
          <t>01 토목</t>
        </is>
      </c>
      <c r="B385" t="inlineStr">
        <is>
          <t>6. 구조물공</t>
        </is>
      </c>
      <c r="C385" t="n">
        <v>9</v>
      </c>
      <c r="D385" t="inlineStr">
        <is>
          <t>9). 스페이셔설치</t>
        </is>
      </c>
      <c r="E385" t="inlineStr">
        <is>
          <t>수평</t>
        </is>
      </c>
      <c r="F385" t="n">
        <v>136</v>
      </c>
      <c r="G385" t="inlineStr">
        <is>
          <t>㎡</t>
        </is>
      </c>
      <c r="H385" s="64" t="n">
        <v>2105</v>
      </c>
      <c r="I385" s="64">
        <f>F385*H385</f>
        <v/>
      </c>
      <c r="J385" s="64" t="n">
        <v>5410</v>
      </c>
      <c r="K385" s="64">
        <f>F385*J385</f>
        <v/>
      </c>
      <c r="L385" s="64" t="n"/>
      <c r="M385" s="64">
        <f>F385*L385</f>
        <v/>
      </c>
      <c r="N385" s="64">
        <f>H385+J385+L385</f>
        <v/>
      </c>
      <c r="O385" s="64">
        <f>I385+K385+M385</f>
        <v/>
      </c>
      <c r="P385" t="inlineStr">
        <is>
          <t>가영현</t>
        </is>
      </c>
      <c r="Q385" t="inlineStr">
        <is>
          <t>수평</t>
        </is>
      </c>
    </row>
    <row r="386" ht="24" customHeight="1" s="34">
      <c r="A386" t="inlineStr">
        <is>
          <t>01 토목</t>
        </is>
      </c>
      <c r="B386" t="inlineStr">
        <is>
          <t>6. 구조물공</t>
        </is>
      </c>
      <c r="C386" t="n">
        <v>10</v>
      </c>
      <c r="D386" t="inlineStr">
        <is>
          <t>10). PVC관 부설 및 접합</t>
        </is>
      </c>
      <c r="E386" t="inlineStr">
        <is>
          <t>Ø 100 MM - VG2 일반관</t>
        </is>
      </c>
      <c r="F386" t="n">
        <v>5</v>
      </c>
      <c r="G386" t="inlineStr">
        <is>
          <t>m</t>
        </is>
      </c>
      <c r="H386" s="64" t="n">
        <v>522</v>
      </c>
      <c r="I386" s="64">
        <f>F386*H386</f>
        <v/>
      </c>
      <c r="J386" s="64" t="n">
        <v>5273</v>
      </c>
      <c r="K386" s="64">
        <f>F386*J386</f>
        <v/>
      </c>
      <c r="L386" s="64" t="n">
        <v>0</v>
      </c>
      <c r="M386" s="64">
        <f>F386*L386</f>
        <v/>
      </c>
      <c r="N386" s="64">
        <f>H386+J386+L386</f>
        <v/>
      </c>
      <c r="O386" s="64">
        <f>I386+K386+M386</f>
        <v/>
      </c>
      <c r="Q386" t="inlineStr">
        <is>
          <t>접합</t>
        </is>
      </c>
    </row>
    <row r="387" ht="24" customHeight="1" s="34">
      <c r="A387" t="inlineStr">
        <is>
          <t>01 토목</t>
        </is>
      </c>
      <c r="B387" t="inlineStr">
        <is>
          <t>6. 구조물공</t>
        </is>
      </c>
      <c r="C387" t="n">
        <v>11</v>
      </c>
      <c r="D387" t="inlineStr">
        <is>
          <t>11). 드레인보드 설치</t>
        </is>
      </c>
      <c r="E387" t="inlineStr">
        <is>
          <t>옹벽 배수용</t>
        </is>
      </c>
      <c r="F387" t="n">
        <v>113</v>
      </c>
      <c r="G387" t="inlineStr">
        <is>
          <t>㎡</t>
        </is>
      </c>
      <c r="H387" s="64" t="n">
        <v>2290</v>
      </c>
      <c r="I387" s="64">
        <f>F387*H387</f>
        <v/>
      </c>
      <c r="J387" s="64" t="n">
        <v>0</v>
      </c>
      <c r="K387" s="64">
        <f>F387*J387</f>
        <v/>
      </c>
      <c r="L387" s="64" t="n">
        <v>0</v>
      </c>
      <c r="M387" s="64">
        <f>F387*L387</f>
        <v/>
      </c>
      <c r="N387" s="64">
        <f>H387+J387+L387</f>
        <v/>
      </c>
      <c r="O387" s="64">
        <f>I387+K387+M387</f>
        <v/>
      </c>
      <c r="Q387" t="inlineStr">
        <is>
          <t>드레인보드 설치</t>
        </is>
      </c>
    </row>
    <row r="388" ht="24" customHeight="1" s="34">
      <c r="A388" t="inlineStr">
        <is>
          <t>01 토목</t>
        </is>
      </c>
      <c r="B388" t="inlineStr">
        <is>
          <t>6. 구조물공</t>
        </is>
      </c>
      <c r="C388" t="n">
        <v>12</v>
      </c>
      <c r="D388" t="inlineStr">
        <is>
          <t>12). 부직포설치</t>
        </is>
      </c>
      <c r="F388" t="n">
        <v>113</v>
      </c>
      <c r="G388" t="inlineStr">
        <is>
          <t>㎡</t>
        </is>
      </c>
      <c r="H388" s="64" t="n">
        <v>34</v>
      </c>
      <c r="I388" s="64">
        <f>F388*H388</f>
        <v/>
      </c>
      <c r="J388" s="64" t="n">
        <v>358</v>
      </c>
      <c r="K388" s="64">
        <f>F388*J388</f>
        <v/>
      </c>
      <c r="L388" s="64" t="n">
        <v>24</v>
      </c>
      <c r="M388" s="64">
        <f>F388*L388</f>
        <v/>
      </c>
      <c r="N388" s="64">
        <f>H388+J388+L388</f>
        <v/>
      </c>
      <c r="O388" s="64">
        <f>I388+K388+M388</f>
        <v/>
      </c>
      <c r="Q388" t="inlineStr">
        <is>
          <t>부직포설치</t>
        </is>
      </c>
    </row>
    <row r="389" ht="24" customHeight="1" s="34">
      <c r="A389" t="inlineStr">
        <is>
          <t>01 토목</t>
        </is>
      </c>
      <c r="B389" t="inlineStr">
        <is>
          <t>6. 구조물공</t>
        </is>
      </c>
      <c r="C389" t="n">
        <v>13</v>
      </c>
      <c r="D389" t="inlineStr">
        <is>
          <t>13). 신축이음(Joint filler)</t>
        </is>
      </c>
      <c r="E389" t="inlineStr">
        <is>
          <t>t=20mm</t>
        </is>
      </c>
      <c r="F389" t="n">
        <v>15</v>
      </c>
      <c r="G389" t="inlineStr">
        <is>
          <t>㎡</t>
        </is>
      </c>
      <c r="H389" s="64" t="n">
        <v>0</v>
      </c>
      <c r="I389" s="64">
        <f>F389*H389</f>
        <v/>
      </c>
      <c r="J389" s="64" t="n">
        <v>9030</v>
      </c>
      <c r="K389" s="64">
        <f>F389*J389</f>
        <v/>
      </c>
      <c r="L389" s="64" t="n">
        <v>0</v>
      </c>
      <c r="M389" s="64">
        <f>F389*L389</f>
        <v/>
      </c>
      <c r="N389" s="64">
        <f>H389+J389+L389</f>
        <v/>
      </c>
      <c r="O389" s="64">
        <f>I389+K389+M389</f>
        <v/>
      </c>
      <c r="Q389" t="inlineStr">
        <is>
          <t>신축이음</t>
        </is>
      </c>
    </row>
    <row r="390" ht="24" customHeight="1" s="34">
      <c r="A390" t="inlineStr">
        <is>
          <t>01 토목</t>
        </is>
      </c>
      <c r="B390" t="inlineStr">
        <is>
          <t>6. 구조물공</t>
        </is>
      </c>
      <c r="C390" t="n">
        <v>14</v>
      </c>
      <c r="D390" t="inlineStr">
        <is>
          <t>14). DOWEL BAR(옹벽용)</t>
        </is>
      </c>
      <c r="E390" t="inlineStr">
        <is>
          <t>Ø32×800(기성품)</t>
        </is>
      </c>
      <c r="F390" t="n">
        <v>307</v>
      </c>
      <c r="G390" t="inlineStr">
        <is>
          <t>ea</t>
        </is>
      </c>
      <c r="H390" s="64" t="n">
        <v>35000</v>
      </c>
      <c r="I390" s="64">
        <f>F390*H390</f>
        <v/>
      </c>
      <c r="J390" s="64" t="n">
        <v>12000</v>
      </c>
      <c r="K390" s="64">
        <f>F390*J390</f>
        <v/>
      </c>
      <c r="L390" s="64" t="n">
        <v>800</v>
      </c>
      <c r="M390" s="64">
        <f>F390*L390</f>
        <v/>
      </c>
      <c r="N390" s="64">
        <f>H390+J390+L390</f>
        <v/>
      </c>
      <c r="O390" s="64">
        <f>I390+K390+M390</f>
        <v/>
      </c>
      <c r="P390" t="inlineStr">
        <is>
          <t>가영현</t>
        </is>
      </c>
      <c r="Q390" t="inlineStr">
        <is>
          <t>옹벽용</t>
        </is>
      </c>
    </row>
    <row r="391" ht="24" customHeight="1" s="34">
      <c r="A391" t="inlineStr">
        <is>
          <t>01 토목</t>
        </is>
      </c>
      <c r="B391" t="inlineStr">
        <is>
          <t>6. 구조물공</t>
        </is>
      </c>
      <c r="C391" t="n">
        <v>15</v>
      </c>
      <c r="D391" t="inlineStr">
        <is>
          <t>15). 실링마감(실런트)</t>
        </is>
      </c>
      <c r="E391" t="inlineStr">
        <is>
          <t>20×25</t>
        </is>
      </c>
      <c r="F391" t="n">
        <v>117</v>
      </c>
      <c r="G391" t="inlineStr">
        <is>
          <t>m</t>
        </is>
      </c>
      <c r="H391" s="64" t="n">
        <v>51</v>
      </c>
      <c r="I391" s="64">
        <f>F391*H391</f>
        <v/>
      </c>
      <c r="J391" s="64" t="n">
        <v>5125</v>
      </c>
      <c r="K391" s="64">
        <f>F391*J391</f>
        <v/>
      </c>
      <c r="L391" s="64" t="n">
        <v>0</v>
      </c>
      <c r="M391" s="64">
        <f>F391*L391</f>
        <v/>
      </c>
      <c r="N391" s="64">
        <f>H391+J391+L391</f>
        <v/>
      </c>
      <c r="O391" s="64">
        <f>I391+K391+M391</f>
        <v/>
      </c>
      <c r="Q391" t="inlineStr">
        <is>
          <t>실런트</t>
        </is>
      </c>
    </row>
    <row r="392" ht="24" customHeight="1" s="34">
      <c r="A392" t="inlineStr">
        <is>
          <t>01 토목</t>
        </is>
      </c>
      <c r="B392" t="inlineStr">
        <is>
          <t>6. 구조물공</t>
        </is>
      </c>
      <c r="C392" t="n">
        <v>16</v>
      </c>
      <c r="D392" t="inlineStr">
        <is>
          <t>16). 기초지정</t>
        </is>
      </c>
      <c r="E392" t="inlineStr">
        <is>
          <t>잡석지정, 재료비 제외</t>
        </is>
      </c>
      <c r="F392" t="n">
        <v>137</v>
      </c>
      <c r="G392" t="inlineStr">
        <is>
          <t>㎥</t>
        </is>
      </c>
      <c r="H392" s="64" t="n">
        <v>1606</v>
      </c>
      <c r="I392" s="64">
        <f>F392*H392</f>
        <v/>
      </c>
      <c r="J392" s="64" t="n">
        <v>8751</v>
      </c>
      <c r="K392" s="64">
        <f>F392*J392</f>
        <v/>
      </c>
      <c r="L392" s="64" t="n">
        <v>1798</v>
      </c>
      <c r="M392" s="64">
        <f>F392*L392</f>
        <v/>
      </c>
      <c r="N392" s="64">
        <f>H392+J392+L392</f>
        <v/>
      </c>
      <c r="O392" s="64">
        <f>I392+K392+M392</f>
        <v/>
      </c>
      <c r="Q392" t="inlineStr">
        <is>
          <t>기초지정</t>
        </is>
      </c>
    </row>
    <row r="393" ht="24" customHeight="1" s="34">
      <c r="A393" t="inlineStr">
        <is>
          <t>01 토목</t>
        </is>
      </c>
      <c r="B393" t="inlineStr">
        <is>
          <t>6. 구조물공</t>
        </is>
      </c>
      <c r="C393" t="n">
        <v>17</v>
      </c>
      <c r="D393" t="inlineStr">
        <is>
          <t>가). 철근운반비</t>
        </is>
      </c>
      <c r="E393" t="inlineStr">
        <is>
          <t>L=10km이내</t>
        </is>
      </c>
      <c r="F393" t="n">
        <v>14.018</v>
      </c>
      <c r="G393" t="inlineStr">
        <is>
          <t>Ton</t>
        </is>
      </c>
      <c r="I393" s="64">
        <f>F393*H393</f>
        <v/>
      </c>
      <c r="J393" s="64" t="n"/>
      <c r="K393" s="64">
        <f>F393*J393</f>
        <v/>
      </c>
      <c r="L393" s="64" t="n">
        <v>30000</v>
      </c>
      <c r="M393" s="64">
        <f>F393*L393</f>
        <v/>
      </c>
      <c r="N393" s="64">
        <f>H393+J393+L393</f>
        <v/>
      </c>
      <c r="O393" s="64">
        <f>I393+K393+M393</f>
        <v/>
      </c>
      <c r="P393" t="inlineStr">
        <is>
          <t>가영현</t>
        </is>
      </c>
      <c r="Q393" t="inlineStr">
        <is>
          <t>L=10km이내, 철근운반비</t>
        </is>
      </c>
    </row>
    <row r="394" ht="24" customHeight="1" s="34">
      <c r="A394" t="inlineStr">
        <is>
          <t>01 토목</t>
        </is>
      </c>
      <c r="B394" t="inlineStr">
        <is>
          <t>6. 구조물공</t>
        </is>
      </c>
      <c r="C394" t="n">
        <v>18</v>
      </c>
      <c r="D394" t="inlineStr">
        <is>
          <t>나). 고철(고재)</t>
        </is>
      </c>
      <c r="E394" t="inlineStr">
        <is>
          <t>중량A</t>
        </is>
      </c>
      <c r="F394" t="n">
        <v>0.408</v>
      </c>
      <c r="G394" t="inlineStr">
        <is>
          <t>Ton</t>
        </is>
      </c>
      <c r="H394" s="64" t="n">
        <v>-100000</v>
      </c>
      <c r="I394" s="64">
        <f>F394*H394</f>
        <v/>
      </c>
      <c r="J394" s="64" t="n"/>
      <c r="K394" s="64">
        <f>F394*J394</f>
        <v/>
      </c>
      <c r="L394" s="64" t="n"/>
      <c r="M394" s="64">
        <f>F394*L394</f>
        <v/>
      </c>
      <c r="N394" s="64">
        <f>H394+J394+L394</f>
        <v/>
      </c>
      <c r="O394" s="64">
        <f>I394+K394+M394</f>
        <v/>
      </c>
      <c r="P394" t="inlineStr">
        <is>
          <t>가영현</t>
        </is>
      </c>
      <c r="Q394" t="inlineStr">
        <is>
          <t>중량A, 고재, 고철</t>
        </is>
      </c>
    </row>
    <row r="395" ht="24" customHeight="1" s="34">
      <c r="A395" t="inlineStr">
        <is>
          <t>01 토목</t>
        </is>
      </c>
      <c r="B395" t="inlineStr">
        <is>
          <t>6. 구조물공</t>
        </is>
      </c>
      <c r="C395" t="n">
        <v>19</v>
      </c>
      <c r="D395" t="inlineStr">
        <is>
          <t>가). 레미콘</t>
        </is>
      </c>
      <c r="E395" t="inlineStr">
        <is>
          <t>25-24-12(Mpa)</t>
        </is>
      </c>
      <c r="F395" t="n">
        <v>132</v>
      </c>
      <c r="G395" t="inlineStr">
        <is>
          <t>㎥</t>
        </is>
      </c>
      <c r="H395" s="64" t="n">
        <v>114000</v>
      </c>
      <c r="I395" s="64">
        <f>F395*H395</f>
        <v/>
      </c>
      <c r="J395" s="64" t="n">
        <v>64674</v>
      </c>
      <c r="K395" s="64">
        <f>F395*J395</f>
        <v/>
      </c>
      <c r="L395" s="64" t="n"/>
      <c r="M395" s="64">
        <f>F395*L395</f>
        <v/>
      </c>
      <c r="N395" s="64">
        <f>H395+J395+L395</f>
        <v/>
      </c>
      <c r="O395" s="64">
        <f>I395+K395+M395</f>
        <v/>
      </c>
      <c r="P395" t="inlineStr">
        <is>
          <t>가영현</t>
        </is>
      </c>
      <c r="Q395" t="inlineStr">
        <is>
          <t>레미콘</t>
        </is>
      </c>
    </row>
    <row r="396" ht="24" customHeight="1" s="34">
      <c r="A396" t="inlineStr">
        <is>
          <t>01 토목</t>
        </is>
      </c>
      <c r="B396" t="inlineStr">
        <is>
          <t>6. 구조물공</t>
        </is>
      </c>
      <c r="C396" t="n">
        <v>20</v>
      </c>
      <c r="D396" t="inlineStr">
        <is>
          <t>나). 레미콘</t>
        </is>
      </c>
      <c r="E396" t="inlineStr">
        <is>
          <t>25-21-8(Mpa)</t>
        </is>
      </c>
      <c r="F396" t="n">
        <v>16</v>
      </c>
      <c r="G396" t="inlineStr">
        <is>
          <t>㎥</t>
        </is>
      </c>
      <c r="H396" s="64" t="n">
        <v>108000</v>
      </c>
      <c r="I396" s="64">
        <f>F396*H396</f>
        <v/>
      </c>
      <c r="J396" s="64" t="n">
        <v>64674</v>
      </c>
      <c r="K396" s="64">
        <f>F396*J396</f>
        <v/>
      </c>
      <c r="L396" s="64" t="n"/>
      <c r="M396" s="64">
        <f>F396*L396</f>
        <v/>
      </c>
      <c r="N396" s="64">
        <f>H396+J396+L396</f>
        <v/>
      </c>
      <c r="O396" s="64">
        <f>I396+K396+M396</f>
        <v/>
      </c>
      <c r="P396" t="inlineStr">
        <is>
          <t>가영현</t>
        </is>
      </c>
      <c r="Q396" t="inlineStr">
        <is>
          <t>레미콘</t>
        </is>
      </c>
    </row>
    <row r="397" ht="24" customHeight="1" s="34">
      <c r="A397" t="inlineStr">
        <is>
          <t>01 토목</t>
        </is>
      </c>
      <c r="B397" t="inlineStr">
        <is>
          <t>6. 구조물공</t>
        </is>
      </c>
      <c r="C397" t="n">
        <v>21</v>
      </c>
      <c r="D397" t="inlineStr">
        <is>
          <t>다). 잡석</t>
        </is>
      </c>
      <c r="E397" t="inlineStr">
        <is>
          <t>Φ80mm이하, 현장도착도</t>
        </is>
      </c>
      <c r="F397" t="n">
        <v>143</v>
      </c>
      <c r="G397" t="inlineStr">
        <is>
          <t>㎥</t>
        </is>
      </c>
      <c r="H397" s="64" t="n">
        <v>45000</v>
      </c>
      <c r="I397" s="64">
        <f>F397*H397</f>
        <v/>
      </c>
      <c r="J397" s="64" t="n"/>
      <c r="K397" s="64">
        <f>F397*J397</f>
        <v/>
      </c>
      <c r="L397" s="64" t="n"/>
      <c r="M397" s="64">
        <f>F397*L397</f>
        <v/>
      </c>
      <c r="N397" s="64">
        <f>H397+J397+L397</f>
        <v/>
      </c>
      <c r="O397" s="64">
        <f>I397+K397+M397</f>
        <v/>
      </c>
      <c r="P397" t="inlineStr">
        <is>
          <t>가영현</t>
        </is>
      </c>
      <c r="Q397" t="inlineStr">
        <is>
          <t>잡석</t>
        </is>
      </c>
    </row>
    <row r="398" ht="24" customHeight="1" s="34">
      <c r="A398" t="inlineStr">
        <is>
          <t>01 토목</t>
        </is>
      </c>
      <c r="B398" t="inlineStr">
        <is>
          <t>6. 구조물공</t>
        </is>
      </c>
      <c r="C398" t="n">
        <v>22</v>
      </c>
      <c r="D398" t="inlineStr">
        <is>
          <t>라). 이형철근(고장력철근)</t>
        </is>
      </c>
      <c r="E398" t="inlineStr">
        <is>
          <t>HD13M/M 0.995KG/M SD40</t>
        </is>
      </c>
      <c r="F398" t="n">
        <v>4.106</v>
      </c>
      <c r="G398" t="inlineStr">
        <is>
          <t>TON</t>
        </is>
      </c>
      <c r="H398" s="64" t="n">
        <v>952000</v>
      </c>
      <c r="I398" s="64">
        <f>F398*H398</f>
        <v/>
      </c>
      <c r="J398" s="64" t="n">
        <v>0</v>
      </c>
      <c r="K398" s="64">
        <f>F398*J398</f>
        <v/>
      </c>
      <c r="L398" s="64" t="n">
        <v>0</v>
      </c>
      <c r="M398" s="64">
        <f>F398*L398</f>
        <v/>
      </c>
      <c r="N398" s="64">
        <f>H398+J398+L398</f>
        <v/>
      </c>
      <c r="O398" s="64">
        <f>I398+K398+M398</f>
        <v/>
      </c>
      <c r="Q398" t="inlineStr">
        <is>
          <t>이형철근</t>
        </is>
      </c>
    </row>
    <row r="399" ht="24" customHeight="1" s="34">
      <c r="A399" t="inlineStr">
        <is>
          <t>01 토목</t>
        </is>
      </c>
      <c r="B399" t="inlineStr">
        <is>
          <t>6. 구조물공</t>
        </is>
      </c>
      <c r="C399" t="n">
        <v>23</v>
      </c>
      <c r="D399" t="inlineStr">
        <is>
          <t>마). 이형철근(고장력철근)</t>
        </is>
      </c>
      <c r="E399" t="inlineStr">
        <is>
          <t>HD16M/M 1.560KG/M SD40</t>
        </is>
      </c>
      <c r="F399" t="n">
        <v>5.255</v>
      </c>
      <c r="G399" t="inlineStr">
        <is>
          <t>TON</t>
        </is>
      </c>
      <c r="H399" s="64" t="n">
        <v>952000</v>
      </c>
      <c r="I399" s="64">
        <f>F399*H399</f>
        <v/>
      </c>
      <c r="J399" s="64" t="n">
        <v>0</v>
      </c>
      <c r="K399" s="64">
        <f>F399*J399</f>
        <v/>
      </c>
      <c r="L399" s="64" t="n">
        <v>0</v>
      </c>
      <c r="M399" s="64">
        <f>F399*L399</f>
        <v/>
      </c>
      <c r="N399" s="64">
        <f>H399+J399+L399</f>
        <v/>
      </c>
      <c r="O399" s="64">
        <f>I399+K399+M399</f>
        <v/>
      </c>
      <c r="Q399" t="inlineStr">
        <is>
          <t>이형철근</t>
        </is>
      </c>
    </row>
    <row r="400" ht="24" customHeight="1" s="34">
      <c r="A400" t="inlineStr">
        <is>
          <t>01 토목</t>
        </is>
      </c>
      <c r="B400" t="inlineStr">
        <is>
          <t>6. 구조물공</t>
        </is>
      </c>
      <c r="C400" t="n">
        <v>24</v>
      </c>
      <c r="D400" t="inlineStr">
        <is>
          <t>바). 이형철근(고장력철근)</t>
        </is>
      </c>
      <c r="E400" t="inlineStr">
        <is>
          <t>HD19M/M 2.250KG/M SD40</t>
        </is>
      </c>
      <c r="F400" t="n">
        <v>4.225</v>
      </c>
      <c r="G400" t="inlineStr">
        <is>
          <t>TON</t>
        </is>
      </c>
      <c r="H400" s="64" t="n">
        <v>952000</v>
      </c>
      <c r="I400" s="64">
        <f>F400*H400</f>
        <v/>
      </c>
      <c r="J400" s="64" t="n">
        <v>0</v>
      </c>
      <c r="K400" s="64">
        <f>F400*J400</f>
        <v/>
      </c>
      <c r="L400" s="64" t="n">
        <v>0</v>
      </c>
      <c r="M400" s="64">
        <f>F400*L400</f>
        <v/>
      </c>
      <c r="N400" s="64">
        <f>H400+J400+L400</f>
        <v/>
      </c>
      <c r="O400" s="64">
        <f>I400+K400+M400</f>
        <v/>
      </c>
      <c r="Q400" t="inlineStr">
        <is>
          <t>이형철근</t>
        </is>
      </c>
    </row>
    <row r="401" ht="24" customHeight="1" s="34">
      <c r="A401" t="inlineStr">
        <is>
          <t>01 토목</t>
        </is>
      </c>
      <c r="B401" t="inlineStr">
        <is>
          <t>6. 구조물공</t>
        </is>
      </c>
      <c r="C401" t="n">
        <v>25</v>
      </c>
      <c r="D401" t="inlineStr">
        <is>
          <t>사). 이형철근(고장력철근)</t>
        </is>
      </c>
      <c r="E401" t="inlineStr">
        <is>
          <t>HD22M/M 3.040KG/M SD40</t>
        </is>
      </c>
      <c r="F401" t="n">
        <v>0.432</v>
      </c>
      <c r="G401" t="inlineStr">
        <is>
          <t>TON</t>
        </is>
      </c>
      <c r="H401" s="64" t="n">
        <v>952000</v>
      </c>
      <c r="I401" s="64">
        <f>F401*H401</f>
        <v/>
      </c>
      <c r="J401" s="64" t="n">
        <v>0</v>
      </c>
      <c r="K401" s="64">
        <f>F401*J401</f>
        <v/>
      </c>
      <c r="L401" s="64" t="n">
        <v>0</v>
      </c>
      <c r="M401" s="64">
        <f>F401*L401</f>
        <v/>
      </c>
      <c r="N401" s="64">
        <f>H401+J401+L401</f>
        <v/>
      </c>
      <c r="O401" s="64">
        <f>I401+K401+M401</f>
        <v/>
      </c>
      <c r="Q401" t="inlineStr">
        <is>
          <t>이형철근</t>
        </is>
      </c>
    </row>
    <row r="402" ht="24" customHeight="1" s="34">
      <c r="A402" t="inlineStr">
        <is>
          <t>01 토목</t>
        </is>
      </c>
      <c r="B402" t="inlineStr">
        <is>
          <t>6. 구조물공</t>
        </is>
      </c>
      <c r="C402" t="n">
        <v>26</v>
      </c>
      <c r="D402" t="inlineStr">
        <is>
          <t>가). 터파기(토사)</t>
        </is>
      </c>
      <c r="E402" t="inlineStr">
        <is>
          <t>TYPE-1, 백호1.0, 기계100%</t>
        </is>
      </c>
      <c r="F402" t="n">
        <v>449</v>
      </c>
      <c r="G402" t="inlineStr">
        <is>
          <t>㎥</t>
        </is>
      </c>
      <c r="H402" s="64" t="n">
        <v>447</v>
      </c>
      <c r="I402" s="64">
        <f>F402*H402</f>
        <v/>
      </c>
      <c r="J402" s="64" t="n">
        <v>955</v>
      </c>
      <c r="K402" s="64">
        <f>F402*J402</f>
        <v/>
      </c>
      <c r="L402" s="64" t="n">
        <v>336</v>
      </c>
      <c r="M402" s="64">
        <f>F402*L402</f>
        <v/>
      </c>
      <c r="N402" s="64">
        <f>H402+J402+L402</f>
        <v/>
      </c>
      <c r="O402" s="64">
        <f>I402+K402+M402</f>
        <v/>
      </c>
      <c r="Q402" t="inlineStr">
        <is>
          <t>토사</t>
        </is>
      </c>
    </row>
    <row r="403" ht="24" customHeight="1" s="34">
      <c r="A403" t="inlineStr">
        <is>
          <t>01 토목</t>
        </is>
      </c>
      <c r="B403" t="inlineStr">
        <is>
          <t>6. 구조물공</t>
        </is>
      </c>
      <c r="C403" t="n">
        <v>27</v>
      </c>
      <c r="D403" t="inlineStr">
        <is>
          <t>나). 되메우기및다짐(토사)</t>
        </is>
      </c>
      <c r="E403" t="inlineStr">
        <is>
          <t>백호0.7+플레이트콤펙터1.5ton</t>
        </is>
      </c>
      <c r="F403" t="n">
        <v>34</v>
      </c>
      <c r="G403" t="inlineStr">
        <is>
          <t>㎥</t>
        </is>
      </c>
      <c r="H403" s="64" t="n">
        <v>1652</v>
      </c>
      <c r="I403" s="64">
        <f>F403*H403</f>
        <v/>
      </c>
      <c r="J403" s="64" t="n">
        <v>3924</v>
      </c>
      <c r="K403" s="64">
        <f>F403*J403</f>
        <v/>
      </c>
      <c r="L403" s="64" t="n">
        <v>1432</v>
      </c>
      <c r="M403" s="64">
        <f>F403*L403</f>
        <v/>
      </c>
      <c r="N403" s="64">
        <f>H403+J403+L403</f>
        <v/>
      </c>
      <c r="O403" s="64">
        <f>I403+K403+M403</f>
        <v/>
      </c>
      <c r="Q403" t="inlineStr">
        <is>
          <t>되메우기및다짐</t>
        </is>
      </c>
    </row>
    <row r="404" ht="24" customHeight="1" s="34">
      <c r="A404" t="inlineStr">
        <is>
          <t>01 토목</t>
        </is>
      </c>
      <c r="B404" t="inlineStr">
        <is>
          <t>6. 구조물공</t>
        </is>
      </c>
      <c r="C404" t="n">
        <v>28</v>
      </c>
      <c r="D404" t="inlineStr">
        <is>
          <t>다). 잔토처리(토사)</t>
        </is>
      </c>
      <c r="E404" t="inlineStr">
        <is>
          <t>기계</t>
        </is>
      </c>
      <c r="F404" t="n">
        <v>415</v>
      </c>
      <c r="G404" t="inlineStr">
        <is>
          <t>㎥</t>
        </is>
      </c>
      <c r="H404" s="64" t="n">
        <v>447</v>
      </c>
      <c r="I404" s="64">
        <f>F404*H404</f>
        <v/>
      </c>
      <c r="J404" s="64" t="n">
        <v>955</v>
      </c>
      <c r="K404" s="64">
        <f>F404*J404</f>
        <v/>
      </c>
      <c r="L404" s="64" t="n">
        <v>336</v>
      </c>
      <c r="M404" s="64">
        <f>F404*L404</f>
        <v/>
      </c>
      <c r="N404" s="64">
        <f>H404+J404+L404</f>
        <v/>
      </c>
      <c r="O404" s="64">
        <f>I404+K404+M404</f>
        <v/>
      </c>
      <c r="Q404" t="inlineStr">
        <is>
          <t>기계</t>
        </is>
      </c>
    </row>
    <row r="405" ht="24" customHeight="1" s="34">
      <c r="A405" t="inlineStr">
        <is>
          <t>01 토목</t>
        </is>
      </c>
      <c r="B405" t="inlineStr">
        <is>
          <t>6. 구조물공</t>
        </is>
      </c>
      <c r="C405" t="n">
        <v>29</v>
      </c>
      <c r="D405" t="inlineStr">
        <is>
          <t>라). 거푸집</t>
        </is>
      </c>
      <c r="E405" t="inlineStr">
        <is>
          <t>합판6회(간단)</t>
        </is>
      </c>
      <c r="F405" t="n">
        <v>43</v>
      </c>
      <c r="G405" t="inlineStr">
        <is>
          <t>㎡</t>
        </is>
      </c>
      <c r="H405" s="64" t="n">
        <v>378</v>
      </c>
      <c r="I405" s="64">
        <f>F405*H405</f>
        <v/>
      </c>
      <c r="J405" s="64" t="n">
        <v>37806</v>
      </c>
      <c r="K405" s="64">
        <f>F405*J405</f>
        <v/>
      </c>
      <c r="L405" s="64" t="n">
        <v>0</v>
      </c>
      <c r="M405" s="64">
        <f>F405*L405</f>
        <v/>
      </c>
      <c r="N405" s="64">
        <f>H405+J405+L405</f>
        <v/>
      </c>
      <c r="O405" s="64">
        <f>I405+K405+M405</f>
        <v/>
      </c>
      <c r="Q405" t="inlineStr">
        <is>
          <t>거푸집</t>
        </is>
      </c>
    </row>
    <row r="406" ht="24" customHeight="1" s="34">
      <c r="A406" t="inlineStr">
        <is>
          <t>01 토목</t>
        </is>
      </c>
      <c r="B406" t="inlineStr">
        <is>
          <t>6. 구조물공</t>
        </is>
      </c>
      <c r="C406" t="n">
        <v>30</v>
      </c>
      <c r="D406" t="inlineStr">
        <is>
          <t>마). 콘크리트타설</t>
        </is>
      </c>
      <c r="E406" t="inlineStr">
        <is>
          <t>장비사용, 무근구조물</t>
        </is>
      </c>
      <c r="F406" t="n">
        <v>21</v>
      </c>
      <c r="G406" t="inlineStr">
        <is>
          <t>㎥</t>
        </is>
      </c>
      <c r="H406" s="64" t="n">
        <v>5963</v>
      </c>
      <c r="I406" s="64">
        <f>F406*H406</f>
        <v/>
      </c>
      <c r="J406" s="64" t="n">
        <v>50648</v>
      </c>
      <c r="K406" s="64">
        <f>F406*J406</f>
        <v/>
      </c>
      <c r="L406" s="64" t="n">
        <v>6730</v>
      </c>
      <c r="M406" s="64">
        <f>F406*L406</f>
        <v/>
      </c>
      <c r="N406" s="64">
        <f>H406+J406+L406</f>
        <v/>
      </c>
      <c r="O406" s="64">
        <f>I406+K406+M406</f>
        <v/>
      </c>
      <c r="Q406" t="inlineStr">
        <is>
          <t>콘크리트타설</t>
        </is>
      </c>
    </row>
    <row r="407" ht="24" customHeight="1" s="34">
      <c r="A407" t="inlineStr">
        <is>
          <t>01 토목</t>
        </is>
      </c>
      <c r="B407" t="inlineStr">
        <is>
          <t>6. 구조물공</t>
        </is>
      </c>
      <c r="C407" t="n">
        <v>31</v>
      </c>
      <c r="D407" t="inlineStr">
        <is>
          <t>가). 보강토옹벽(마감형블럭)</t>
        </is>
      </c>
      <c r="E407" t="inlineStr">
        <is>
          <t>450x410x125</t>
        </is>
      </c>
      <c r="F407" t="n">
        <v>9</v>
      </c>
      <c r="G407" t="inlineStr">
        <is>
          <t>㎡</t>
        </is>
      </c>
      <c r="H407" s="64" t="n">
        <v>1915</v>
      </c>
      <c r="I407" s="64">
        <f>F407*H407</f>
        <v/>
      </c>
      <c r="J407" s="64" t="n">
        <v>63817</v>
      </c>
      <c r="K407" s="64">
        <f>F407*J407</f>
        <v/>
      </c>
      <c r="L407" s="64" t="n">
        <v>2824</v>
      </c>
      <c r="M407" s="64">
        <f>F407*L407</f>
        <v/>
      </c>
      <c r="N407" s="64">
        <f>H407+J407+L407</f>
        <v/>
      </c>
      <c r="O407" s="64">
        <f>I407+K407+M407</f>
        <v/>
      </c>
      <c r="P407" t="inlineStr">
        <is>
          <t>가영현</t>
        </is>
      </c>
      <c r="Q407" t="inlineStr">
        <is>
          <t>보강토옹벽</t>
        </is>
      </c>
    </row>
    <row r="408" ht="24" customHeight="1" s="34">
      <c r="A408" t="inlineStr">
        <is>
          <t>01 토목</t>
        </is>
      </c>
      <c r="B408" t="inlineStr">
        <is>
          <t>6. 구조물공</t>
        </is>
      </c>
      <c r="C408" t="n">
        <v>32</v>
      </c>
      <c r="D408" t="inlineStr">
        <is>
          <t>나). 보강토옹벽(표준형블럭)</t>
        </is>
      </c>
      <c r="E408" t="inlineStr">
        <is>
          <t>550x420x250</t>
        </is>
      </c>
      <c r="F408" t="n">
        <v>166</v>
      </c>
      <c r="G408" t="inlineStr">
        <is>
          <t>㎡</t>
        </is>
      </c>
      <c r="H408" s="64" t="n">
        <v>1915</v>
      </c>
      <c r="I408" s="64">
        <f>F408*H408</f>
        <v/>
      </c>
      <c r="J408" s="64" t="n">
        <v>63817</v>
      </c>
      <c r="K408" s="64">
        <f>F408*J408</f>
        <v/>
      </c>
      <c r="L408" s="64" t="n">
        <v>2824</v>
      </c>
      <c r="M408" s="64">
        <f>F408*L408</f>
        <v/>
      </c>
      <c r="N408" s="64">
        <f>H408+J408+L408</f>
        <v/>
      </c>
      <c r="O408" s="64">
        <f>I408+K408+M408</f>
        <v/>
      </c>
      <c r="P408" t="inlineStr">
        <is>
          <t>가영현</t>
        </is>
      </c>
      <c r="Q408" t="inlineStr">
        <is>
          <t>보강토옹벽</t>
        </is>
      </c>
    </row>
    <row r="409" ht="24" customHeight="1" s="34">
      <c r="A409" t="inlineStr">
        <is>
          <t>01 토목</t>
        </is>
      </c>
      <c r="B409" t="inlineStr">
        <is>
          <t>6. 구조물공</t>
        </is>
      </c>
      <c r="C409" t="n">
        <v>33</v>
      </c>
      <c r="D409" t="inlineStr">
        <is>
          <t>가). 보강토옹벽 뒤채움및다짐</t>
        </is>
      </c>
      <c r="F409" t="n">
        <v>1134</v>
      </c>
      <c r="G409" t="inlineStr">
        <is>
          <t>㎥</t>
        </is>
      </c>
      <c r="H409" s="64" t="n">
        <v>1081</v>
      </c>
      <c r="I409" s="64">
        <f>F409*H409</f>
        <v/>
      </c>
      <c r="J409" s="64" t="n">
        <v>4807</v>
      </c>
      <c r="K409" s="64">
        <f>F409*J409</f>
        <v/>
      </c>
      <c r="L409" s="64" t="n">
        <v>1268</v>
      </c>
      <c r="M409" s="64">
        <f>F409*L409</f>
        <v/>
      </c>
      <c r="N409" s="64">
        <f>H409+J409+L409</f>
        <v/>
      </c>
      <c r="O409" s="64">
        <f>I409+K409+M409</f>
        <v/>
      </c>
      <c r="Q409" t="inlineStr">
        <is>
          <t>보강토옹벽 뒤채움및다짐</t>
        </is>
      </c>
    </row>
    <row r="410" ht="24" customHeight="1" s="34">
      <c r="A410" t="inlineStr">
        <is>
          <t>01 토목</t>
        </is>
      </c>
      <c r="B410" t="inlineStr">
        <is>
          <t>6. 구조물공</t>
        </is>
      </c>
      <c r="C410" t="n">
        <v>34</v>
      </c>
      <c r="D410" t="inlineStr">
        <is>
          <t>가). 보강토옹벽(마감형) 운반비</t>
        </is>
      </c>
      <c r="E410" t="inlineStr">
        <is>
          <t>공장---&gt;현장, L=290KM</t>
        </is>
      </c>
      <c r="F410" t="n">
        <v>9</v>
      </c>
      <c r="G410" t="inlineStr">
        <is>
          <t>㎡</t>
        </is>
      </c>
      <c r="I410" s="64">
        <f>F410*H410</f>
        <v/>
      </c>
      <c r="J410" s="64" t="n"/>
      <c r="K410" s="64">
        <f>F410*J410</f>
        <v/>
      </c>
      <c r="L410" s="64" t="n">
        <v>20000</v>
      </c>
      <c r="M410" s="64">
        <f>F410*L410</f>
        <v/>
      </c>
      <c r="N410" s="64">
        <f>H410+J410+L410</f>
        <v/>
      </c>
      <c r="O410" s="64">
        <f>I410+K410+M410</f>
        <v/>
      </c>
      <c r="P410" t="inlineStr">
        <is>
          <t>가영현</t>
        </is>
      </c>
      <c r="Q410" t="inlineStr">
        <is>
          <t>공장---&gt;현장, L=290KM, 마감형, 보강토옹벽 운반비, 공장---&gt;현장, L=290KM</t>
        </is>
      </c>
    </row>
    <row r="411" ht="24" customHeight="1" s="34">
      <c r="A411" t="inlineStr">
        <is>
          <t>01 토목</t>
        </is>
      </c>
      <c r="B411" t="inlineStr">
        <is>
          <t>6. 구조물공</t>
        </is>
      </c>
      <c r="C411" t="n">
        <v>35</v>
      </c>
      <c r="D411" t="inlineStr">
        <is>
          <t>나). 보강토옹벽(표준형) 운반비</t>
        </is>
      </c>
      <c r="E411" t="inlineStr">
        <is>
          <t>공장---&gt;현장, L=290KM</t>
        </is>
      </c>
      <c r="F411" t="n">
        <v>171</v>
      </c>
      <c r="G411" t="inlineStr">
        <is>
          <t>㎡</t>
        </is>
      </c>
      <c r="I411" s="64">
        <f>F411*H411</f>
        <v/>
      </c>
      <c r="J411" s="64" t="n"/>
      <c r="K411" s="64">
        <f>F411*J411</f>
        <v/>
      </c>
      <c r="L411" s="64" t="n">
        <v>20000</v>
      </c>
      <c r="M411" s="64">
        <f>F411*L411</f>
        <v/>
      </c>
      <c r="N411" s="64">
        <f>H411+J411+L411</f>
        <v/>
      </c>
      <c r="O411" s="64">
        <f>I411+K411+M411</f>
        <v/>
      </c>
      <c r="P411" t="inlineStr">
        <is>
          <t>가영현</t>
        </is>
      </c>
      <c r="Q411" t="inlineStr">
        <is>
          <t>공장---&gt;현장, L=290KM, 표준형, 보강토옹벽 운반비, 공장---&gt;현장, L=290KM</t>
        </is>
      </c>
    </row>
    <row r="412" ht="24" customHeight="1" s="34">
      <c r="A412" t="inlineStr">
        <is>
          <t>01 토목</t>
        </is>
      </c>
      <c r="B412" t="inlineStr">
        <is>
          <t>6. 구조물공</t>
        </is>
      </c>
      <c r="C412" t="n">
        <v>36</v>
      </c>
      <c r="D412" t="inlineStr">
        <is>
          <t>가). 레미콘</t>
        </is>
      </c>
      <c r="E412" t="inlineStr">
        <is>
          <t>25-21-12(Mpa)</t>
        </is>
      </c>
      <c r="F412" t="n">
        <v>21</v>
      </c>
      <c r="G412" t="inlineStr">
        <is>
          <t>㎥</t>
        </is>
      </c>
      <c r="H412" s="64" t="n">
        <v>118000</v>
      </c>
      <c r="I412" s="64">
        <f>F412*H412</f>
        <v/>
      </c>
      <c r="J412" s="64" t="n">
        <v>64674</v>
      </c>
      <c r="K412" s="64">
        <f>F412*J412</f>
        <v/>
      </c>
      <c r="L412" s="64" t="n"/>
      <c r="M412" s="64">
        <f>F412*L412</f>
        <v/>
      </c>
      <c r="N412" s="64">
        <f>H412+J412+L412</f>
        <v/>
      </c>
      <c r="O412" s="64">
        <f>I412+K412+M412</f>
        <v/>
      </c>
      <c r="P412" t="inlineStr">
        <is>
          <t>가영현</t>
        </is>
      </c>
      <c r="Q412" t="inlineStr">
        <is>
          <t>레미콘</t>
        </is>
      </c>
    </row>
    <row r="413" ht="24" customHeight="1" s="34">
      <c r="A413" t="inlineStr">
        <is>
          <t>01 토목</t>
        </is>
      </c>
      <c r="B413" t="inlineStr">
        <is>
          <t>6. 구조물공</t>
        </is>
      </c>
      <c r="C413" t="n">
        <v>37</v>
      </c>
      <c r="D413" t="inlineStr">
        <is>
          <t>나). 쇄석자갈</t>
        </is>
      </c>
      <c r="E413" t="inlineStr">
        <is>
          <t>Φ25mm, 현장도착도</t>
        </is>
      </c>
      <c r="F413" t="n">
        <v>86</v>
      </c>
      <c r="G413" t="inlineStr">
        <is>
          <t>㎥</t>
        </is>
      </c>
      <c r="H413" s="64" t="n">
        <v>45000</v>
      </c>
      <c r="I413" s="64">
        <f>F413*H413</f>
        <v/>
      </c>
      <c r="J413" s="64" t="n">
        <v>18064</v>
      </c>
      <c r="K413" s="64">
        <f>F413*J413</f>
        <v/>
      </c>
      <c r="L413" s="64" t="n">
        <v>10496</v>
      </c>
      <c r="M413" s="64">
        <f>F413*L413</f>
        <v/>
      </c>
      <c r="N413" s="64">
        <f>H413+J413+L413</f>
        <v/>
      </c>
      <c r="O413" s="64">
        <f>I413+K413+M413</f>
        <v/>
      </c>
      <c r="P413" t="inlineStr">
        <is>
          <t>가영현</t>
        </is>
      </c>
      <c r="Q413" t="inlineStr">
        <is>
          <t>Φ25mm</t>
        </is>
      </c>
    </row>
    <row r="414" ht="24" customHeight="1" s="34">
      <c r="A414" t="inlineStr">
        <is>
          <t>01 토목</t>
        </is>
      </c>
      <c r="B414" t="inlineStr">
        <is>
          <t>6. 구조물공</t>
        </is>
      </c>
      <c r="C414" t="n">
        <v>38</v>
      </c>
      <c r="D414" t="inlineStr">
        <is>
          <t>다). PE 유공관(배수유공관)</t>
        </is>
      </c>
      <c r="E414" t="inlineStr">
        <is>
          <t>D150mm</t>
        </is>
      </c>
      <c r="F414" t="n">
        <v>74</v>
      </c>
      <c r="G414" t="inlineStr">
        <is>
          <t>m</t>
        </is>
      </c>
      <c r="H414" s="64" t="n">
        <v>230</v>
      </c>
      <c r="I414" s="64">
        <f>F414*H414</f>
        <v/>
      </c>
      <c r="J414" s="64" t="n">
        <v>4360</v>
      </c>
      <c r="K414" s="64">
        <f>F414*J414</f>
        <v/>
      </c>
      <c r="L414" s="64" t="n">
        <v>0</v>
      </c>
      <c r="M414" s="64">
        <f>F414*L414</f>
        <v/>
      </c>
      <c r="N414" s="64">
        <f>H414+J414+L414</f>
        <v/>
      </c>
      <c r="O414" s="64">
        <f>I414+K414+M414</f>
        <v/>
      </c>
      <c r="Q414" t="inlineStr">
        <is>
          <t>D150mm</t>
        </is>
      </c>
    </row>
    <row r="415" ht="24" customHeight="1" s="34">
      <c r="A415" t="inlineStr">
        <is>
          <t>01 토목</t>
        </is>
      </c>
      <c r="B415" t="inlineStr">
        <is>
          <t>6. 구조물공</t>
        </is>
      </c>
      <c r="C415" t="n">
        <v>39</v>
      </c>
      <c r="D415" t="inlineStr">
        <is>
          <t>라). 부직포</t>
        </is>
      </c>
      <c r="E415" t="inlineStr">
        <is>
          <t>500g/cm2, 사면보호용</t>
        </is>
      </c>
      <c r="F415" t="n">
        <v>74</v>
      </c>
      <c r="G415" t="inlineStr">
        <is>
          <t>㎡</t>
        </is>
      </c>
      <c r="H415" s="64" t="n">
        <v>1800</v>
      </c>
      <c r="I415" s="64">
        <f>F415*H415</f>
        <v/>
      </c>
      <c r="J415" s="64" t="n">
        <v>237</v>
      </c>
      <c r="K415" s="64">
        <f>F415*J415</f>
        <v/>
      </c>
      <c r="L415" s="64" t="n">
        <v>16</v>
      </c>
      <c r="M415" s="64">
        <f>F415*L415</f>
        <v/>
      </c>
      <c r="N415" s="64">
        <f>H415+J415+L415</f>
        <v/>
      </c>
      <c r="O415" s="64">
        <f>I415+K415+M415</f>
        <v/>
      </c>
      <c r="P415" t="inlineStr">
        <is>
          <t>가영현</t>
        </is>
      </c>
      <c r="Q415" t="inlineStr">
        <is>
          <t>부직포</t>
        </is>
      </c>
    </row>
    <row r="416" ht="24" customHeight="1" s="34">
      <c r="A416" t="inlineStr">
        <is>
          <t>01 토목</t>
        </is>
      </c>
      <c r="B416" t="inlineStr">
        <is>
          <t>6. 구조물공</t>
        </is>
      </c>
      <c r="C416" t="n">
        <v>40</v>
      </c>
      <c r="D416" t="inlineStr">
        <is>
          <t>마). 보강토옹벽 - 마감블럭</t>
        </is>
      </c>
      <c r="E416" t="inlineStr">
        <is>
          <t>450x410x125</t>
        </is>
      </c>
      <c r="F416" t="n">
        <v>9</v>
      </c>
      <c r="G416" t="inlineStr">
        <is>
          <t>㎡</t>
        </is>
      </c>
      <c r="H416" s="64" t="n">
        <v>4548</v>
      </c>
      <c r="I416" s="64">
        <f>F416*H416</f>
        <v/>
      </c>
      <c r="J416" s="64" t="n">
        <v>69755</v>
      </c>
      <c r="K416" s="64">
        <f>F416*J416</f>
        <v/>
      </c>
      <c r="L416" s="64" t="n">
        <v>16289</v>
      </c>
      <c r="M416" s="64">
        <f>F416*L416</f>
        <v/>
      </c>
      <c r="N416" s="64">
        <f>H416+J416+L416</f>
        <v/>
      </c>
      <c r="O416" s="64">
        <f>I416+K416+M416</f>
        <v/>
      </c>
      <c r="P416" t="inlineStr">
        <is>
          <t>가영현</t>
        </is>
      </c>
      <c r="Q416" t="inlineStr">
        <is>
          <t>보강토옹벽 - 마감블럭</t>
        </is>
      </c>
    </row>
    <row r="417" ht="24" customHeight="1" s="34">
      <c r="A417" t="inlineStr">
        <is>
          <t>01 토목</t>
        </is>
      </c>
      <c r="B417" t="inlineStr">
        <is>
          <t>6. 구조물공</t>
        </is>
      </c>
      <c r="C417" t="n">
        <v>41</v>
      </c>
      <c r="D417" t="inlineStr">
        <is>
          <t>바). 보강토옹벽 - 기본블럭</t>
        </is>
      </c>
      <c r="E417" t="inlineStr">
        <is>
          <t>550x420x250</t>
        </is>
      </c>
      <c r="F417" t="n">
        <v>171</v>
      </c>
      <c r="G417" t="inlineStr">
        <is>
          <t>㎡</t>
        </is>
      </c>
      <c r="H417" s="64" t="n">
        <v>4548</v>
      </c>
      <c r="I417" s="64">
        <f>F417*H417</f>
        <v/>
      </c>
      <c r="J417" s="64" t="n">
        <v>69755</v>
      </c>
      <c r="K417" s="64">
        <f>F417*J417</f>
        <v/>
      </c>
      <c r="L417" s="64" t="n">
        <v>16289</v>
      </c>
      <c r="M417" s="64">
        <f>F417*L417</f>
        <v/>
      </c>
      <c r="N417" s="64">
        <f>H417+J417+L417</f>
        <v/>
      </c>
      <c r="O417" s="64">
        <f>I417+K417+M417</f>
        <v/>
      </c>
      <c r="P417" t="inlineStr">
        <is>
          <t>가영현</t>
        </is>
      </c>
      <c r="Q417" t="inlineStr">
        <is>
          <t>보강토옹벽 - 기본블럭</t>
        </is>
      </c>
    </row>
    <row r="418" ht="24" customHeight="1" s="34">
      <c r="A418" t="inlineStr">
        <is>
          <t>01 토목</t>
        </is>
      </c>
      <c r="B418" t="inlineStr">
        <is>
          <t>6. 구조물공</t>
        </is>
      </c>
      <c r="C418" t="n">
        <v>42</v>
      </c>
      <c r="D418" t="inlineStr">
        <is>
          <t>사). 보강토옹벽 그리드</t>
        </is>
      </c>
      <c r="E418" t="inlineStr">
        <is>
          <t>지오그리드 6T</t>
        </is>
      </c>
      <c r="F418" t="n">
        <v>1166</v>
      </c>
      <c r="G418" t="inlineStr">
        <is>
          <t>㎡</t>
        </is>
      </c>
      <c r="H418" s="64" t="n">
        <v>4788</v>
      </c>
      <c r="I418" s="64">
        <f>F418*H418</f>
        <v/>
      </c>
      <c r="J418" s="64" t="n">
        <v>92481</v>
      </c>
      <c r="K418" s="64">
        <f>F418*J418</f>
        <v/>
      </c>
      <c r="L418" s="64" t="n">
        <v>7060</v>
      </c>
      <c r="M418" s="64">
        <f>F418*L418</f>
        <v/>
      </c>
      <c r="N418" s="64">
        <f>H418+J418+L418</f>
        <v/>
      </c>
      <c r="O418" s="64">
        <f>I418+K418+M418</f>
        <v/>
      </c>
      <c r="P418" t="inlineStr">
        <is>
          <t>가영현</t>
        </is>
      </c>
      <c r="Q418" t="inlineStr">
        <is>
          <t>보강토옹벽 그리드</t>
        </is>
      </c>
    </row>
    <row r="419" ht="24" customHeight="1" s="34">
      <c r="A419" t="inlineStr">
        <is>
          <t>01 토목</t>
        </is>
      </c>
      <c r="B419" t="inlineStr">
        <is>
          <t>6. 구조물공</t>
        </is>
      </c>
      <c r="C419" t="n">
        <v>43</v>
      </c>
      <c r="D419" t="inlineStr">
        <is>
          <t>아). 보강토옹벽 그리드</t>
        </is>
      </c>
      <c r="E419" t="inlineStr">
        <is>
          <t>지오그리드 8T</t>
        </is>
      </c>
      <c r="F419" t="n">
        <v>203</v>
      </c>
      <c r="G419" t="inlineStr">
        <is>
          <t>㎡</t>
        </is>
      </c>
      <c r="H419" s="64" t="n">
        <v>4788</v>
      </c>
      <c r="I419" s="64">
        <f>F419*H419</f>
        <v/>
      </c>
      <c r="J419" s="64" t="n">
        <v>92481</v>
      </c>
      <c r="K419" s="64">
        <f>F419*J419</f>
        <v/>
      </c>
      <c r="L419" s="64" t="n">
        <v>7060</v>
      </c>
      <c r="M419" s="64">
        <f>F419*L419</f>
        <v/>
      </c>
      <c r="N419" s="64">
        <f>H419+J419+L419</f>
        <v/>
      </c>
      <c r="O419" s="64">
        <f>I419+K419+M419</f>
        <v/>
      </c>
      <c r="P419" t="inlineStr">
        <is>
          <t>가영현</t>
        </is>
      </c>
      <c r="Q419" t="inlineStr">
        <is>
          <t>보강토옹벽 그리드</t>
        </is>
      </c>
    </row>
    <row r="420" ht="24" customHeight="1" s="34">
      <c r="A420" s="15" t="inlineStr">
        <is>
          <t>01 토목</t>
        </is>
      </c>
      <c r="B420" s="15" t="inlineStr">
        <is>
          <t>6. 구조물공</t>
        </is>
      </c>
      <c r="C420" s="15" t="n"/>
      <c r="D420" s="15" t="inlineStr">
        <is>
          <t>★ 6. 구조물공 소계</t>
        </is>
      </c>
      <c r="E420" s="15" t="n"/>
      <c r="F420" s="15" t="n"/>
      <c r="G420" s="15" t="n"/>
      <c r="H420" s="66" t="n"/>
      <c r="I420" s="66">
        <f>SUM(I377:I419)</f>
        <v/>
      </c>
      <c r="J420" s="66" t="n"/>
      <c r="K420" s="66">
        <f>SUM(K377:K419)</f>
        <v/>
      </c>
      <c r="L420" s="66" t="n"/>
      <c r="M420" s="66">
        <f>SUM(M377:M419)</f>
        <v/>
      </c>
      <c r="N420" s="66" t="n"/>
      <c r="O420" s="66">
        <f>SUM(O377:O419)</f>
        <v/>
      </c>
      <c r="P420" s="15" t="n"/>
      <c r="Q420" s="15" t="inlineStr">
        <is>
          <t>43건</t>
        </is>
      </c>
    </row>
    <row r="421" ht="24" customHeight="1" s="34">
      <c r="A421" t="inlineStr">
        <is>
          <t>01 토목</t>
        </is>
      </c>
      <c r="B421" t="inlineStr">
        <is>
          <t>7. 부 대 공</t>
        </is>
      </c>
      <c r="C421" t="n">
        <v>1</v>
      </c>
      <c r="D421" t="inlineStr">
        <is>
          <t>가). 터파기(토사)</t>
        </is>
      </c>
      <c r="E421" t="inlineStr">
        <is>
          <t>인력100%</t>
        </is>
      </c>
      <c r="F421" t="n">
        <v>3</v>
      </c>
      <c r="G421" t="inlineStr">
        <is>
          <t>㎥</t>
        </is>
      </c>
      <c r="H421" s="64" t="n">
        <v>0</v>
      </c>
      <c r="I421" s="64">
        <f>F421*H421</f>
        <v/>
      </c>
      <c r="J421" s="64" t="n">
        <v>33455</v>
      </c>
      <c r="K421" s="64">
        <f>F421*J421</f>
        <v/>
      </c>
      <c r="L421" s="64" t="n">
        <v>0</v>
      </c>
      <c r="M421" s="64">
        <f>F421*L421</f>
        <v/>
      </c>
      <c r="N421" s="64">
        <f>H421+J421+L421</f>
        <v/>
      </c>
      <c r="O421" s="64">
        <f>I421+K421+M421</f>
        <v/>
      </c>
      <c r="Q421" t="inlineStr">
        <is>
          <t>토사</t>
        </is>
      </c>
    </row>
    <row r="422" ht="24" customHeight="1" s="34">
      <c r="A422" t="inlineStr">
        <is>
          <t>01 토목</t>
        </is>
      </c>
      <c r="B422" t="inlineStr">
        <is>
          <t>7. 부 대 공</t>
        </is>
      </c>
      <c r="C422" t="n">
        <v>2</v>
      </c>
      <c r="D422" t="inlineStr">
        <is>
          <t>나). 터파기(토사)</t>
        </is>
      </c>
      <c r="E422" t="inlineStr">
        <is>
          <t>TYPE-1, 백호1.0, 기계100%</t>
        </is>
      </c>
      <c r="F422" t="n">
        <v>1040</v>
      </c>
      <c r="G422" t="inlineStr">
        <is>
          <t>㎥</t>
        </is>
      </c>
      <c r="H422" s="64" t="n">
        <v>447</v>
      </c>
      <c r="I422" s="64">
        <f>F422*H422</f>
        <v/>
      </c>
      <c r="J422" s="64" t="n">
        <v>955</v>
      </c>
      <c r="K422" s="64">
        <f>F422*J422</f>
        <v/>
      </c>
      <c r="L422" s="64" t="n">
        <v>336</v>
      </c>
      <c r="M422" s="64">
        <f>F422*L422</f>
        <v/>
      </c>
      <c r="N422" s="64">
        <f>H422+J422+L422</f>
        <v/>
      </c>
      <c r="O422" s="64">
        <f>I422+K422+M422</f>
        <v/>
      </c>
      <c r="Q422" t="inlineStr">
        <is>
          <t>토사</t>
        </is>
      </c>
    </row>
    <row r="423" ht="24" customHeight="1" s="34">
      <c r="A423" t="inlineStr">
        <is>
          <t>01 토목</t>
        </is>
      </c>
      <c r="B423" t="inlineStr">
        <is>
          <t>7. 부 대 공</t>
        </is>
      </c>
      <c r="C423" t="n">
        <v>3</v>
      </c>
      <c r="D423" t="inlineStr">
        <is>
          <t>가). 되메우기및다짐</t>
        </is>
      </c>
      <c r="E423" t="inlineStr">
        <is>
          <t>인력100%</t>
        </is>
      </c>
      <c r="F423" t="n">
        <v>2</v>
      </c>
      <c r="G423" t="inlineStr">
        <is>
          <t>㎥</t>
        </is>
      </c>
      <c r="H423" s="64" t="n">
        <v>608</v>
      </c>
      <c r="I423" s="64">
        <f>F423*H423</f>
        <v/>
      </c>
      <c r="J423" s="64" t="n">
        <v>9980</v>
      </c>
      <c r="K423" s="64">
        <f>F423*J423</f>
        <v/>
      </c>
      <c r="L423" s="64" t="n">
        <v>440</v>
      </c>
      <c r="M423" s="64">
        <f>F423*L423</f>
        <v/>
      </c>
      <c r="N423" s="64">
        <f>H423+J423+L423</f>
        <v/>
      </c>
      <c r="O423" s="64">
        <f>I423+K423+M423</f>
        <v/>
      </c>
      <c r="Q423" t="inlineStr">
        <is>
          <t>되메우기및다짐</t>
        </is>
      </c>
    </row>
    <row r="424" ht="24" customHeight="1" s="34">
      <c r="A424" t="inlineStr">
        <is>
          <t>01 토목</t>
        </is>
      </c>
      <c r="B424" t="inlineStr">
        <is>
          <t>7. 부 대 공</t>
        </is>
      </c>
      <c r="C424" t="n">
        <v>4</v>
      </c>
      <c r="D424" t="inlineStr">
        <is>
          <t>나). 되메우기(토사)</t>
        </is>
      </c>
      <c r="E424" t="inlineStr">
        <is>
          <t>백호0.7, 기계100%</t>
        </is>
      </c>
      <c r="F424" t="n">
        <v>1040</v>
      </c>
      <c r="G424" t="inlineStr">
        <is>
          <t>㎥</t>
        </is>
      </c>
      <c r="H424" s="64" t="n">
        <v>547</v>
      </c>
      <c r="I424" s="64">
        <f>F424*H424</f>
        <v/>
      </c>
      <c r="J424" s="64" t="n">
        <v>8585</v>
      </c>
      <c r="K424" s="64">
        <f>F424*J424</f>
        <v/>
      </c>
      <c r="L424" s="64" t="n">
        <v>492</v>
      </c>
      <c r="M424" s="64">
        <f>F424*L424</f>
        <v/>
      </c>
      <c r="N424" s="64">
        <f>H424+J424+L424</f>
        <v/>
      </c>
      <c r="O424" s="64">
        <f>I424+K424+M424</f>
        <v/>
      </c>
      <c r="Q424" t="inlineStr">
        <is>
          <t>되메우기</t>
        </is>
      </c>
    </row>
    <row r="425" ht="24" customHeight="1" s="34">
      <c r="A425" t="inlineStr">
        <is>
          <t>01 토목</t>
        </is>
      </c>
      <c r="B425" t="inlineStr">
        <is>
          <t>7. 부 대 공</t>
        </is>
      </c>
      <c r="C425" t="n">
        <v>5</v>
      </c>
      <c r="D425" t="inlineStr">
        <is>
          <t>가). 잔토처리(토사)</t>
        </is>
      </c>
      <c r="E425" t="inlineStr">
        <is>
          <t>기계100%</t>
        </is>
      </c>
      <c r="F425" t="n">
        <v>1</v>
      </c>
      <c r="G425" t="inlineStr">
        <is>
          <t>㎥</t>
        </is>
      </c>
      <c r="H425" s="64" t="n">
        <v>447</v>
      </c>
      <c r="I425" s="64">
        <f>F425*H425</f>
        <v/>
      </c>
      <c r="J425" s="64" t="n">
        <v>955</v>
      </c>
      <c r="K425" s="64">
        <f>F425*J425</f>
        <v/>
      </c>
      <c r="L425" s="64" t="n">
        <v>336</v>
      </c>
      <c r="M425" s="64">
        <f>F425*L425</f>
        <v/>
      </c>
      <c r="N425" s="64">
        <f>H425+J425+L425</f>
        <v/>
      </c>
      <c r="O425" s="64">
        <f>I425+K425+M425</f>
        <v/>
      </c>
      <c r="Q425" t="inlineStr">
        <is>
          <t>토사</t>
        </is>
      </c>
    </row>
    <row r="426" ht="24" customHeight="1" s="34">
      <c r="A426" t="inlineStr">
        <is>
          <t>01 토목</t>
        </is>
      </c>
      <c r="B426" t="inlineStr">
        <is>
          <t>7. 부 대 공</t>
        </is>
      </c>
      <c r="C426" t="n">
        <v>6</v>
      </c>
      <c r="D426" t="inlineStr">
        <is>
          <t>1). 가설방음판넬</t>
        </is>
      </c>
      <c r="E426" t="inlineStr">
        <is>
          <t>H=3.0+1.0m, 34개월</t>
        </is>
      </c>
      <c r="F426" t="n">
        <v>1242</v>
      </c>
      <c r="G426" t="inlineStr">
        <is>
          <t>m</t>
        </is>
      </c>
      <c r="H426" s="64" t="n">
        <v>15000</v>
      </c>
      <c r="I426" s="64">
        <f>F426*H426</f>
        <v/>
      </c>
      <c r="J426" s="64" t="n">
        <v>25000</v>
      </c>
      <c r="K426" s="64">
        <f>F426*J426</f>
        <v/>
      </c>
      <c r="L426" s="64" t="n">
        <v>1200</v>
      </c>
      <c r="M426" s="64">
        <f>F426*L426</f>
        <v/>
      </c>
      <c r="N426" s="64">
        <f>H426+J426+L426</f>
        <v/>
      </c>
      <c r="O426" s="64">
        <f>I426+K426+M426</f>
        <v/>
      </c>
      <c r="P426" t="inlineStr">
        <is>
          <t>가영현</t>
        </is>
      </c>
      <c r="Q426" t="inlineStr">
        <is>
          <t>가설방음판넬</t>
        </is>
      </c>
    </row>
    <row r="427" ht="24" customHeight="1" s="34">
      <c r="A427" t="inlineStr">
        <is>
          <t>01 토목</t>
        </is>
      </c>
      <c r="B427" t="inlineStr">
        <is>
          <t>7. 부 대 공</t>
        </is>
      </c>
      <c r="C427" t="n">
        <v>7</v>
      </c>
      <c r="D427" t="inlineStr">
        <is>
          <t>1). 비닐깔기(PE필름)</t>
        </is>
      </c>
      <c r="E427" t="inlineStr">
        <is>
          <t>t=0.1mm</t>
        </is>
      </c>
      <c r="F427" t="n">
        <v>272</v>
      </c>
      <c r="G427" t="inlineStr">
        <is>
          <t>㎡</t>
        </is>
      </c>
      <c r="H427" s="64" t="n">
        <v>0</v>
      </c>
      <c r="I427" s="64">
        <f>F427*H427</f>
        <v/>
      </c>
      <c r="J427" s="64" t="n">
        <v>608</v>
      </c>
      <c r="K427" s="64">
        <f>F427*J427</f>
        <v/>
      </c>
      <c r="L427" s="64" t="n">
        <v>0</v>
      </c>
      <c r="M427" s="64">
        <f>F427*L427</f>
        <v/>
      </c>
      <c r="N427" s="64">
        <f>H427+J427+L427</f>
        <v/>
      </c>
      <c r="O427" s="64">
        <f>I427+K427+M427</f>
        <v/>
      </c>
      <c r="Q427" t="inlineStr">
        <is>
          <t>비닐깔기</t>
        </is>
      </c>
    </row>
    <row r="428" ht="24" customHeight="1" s="34">
      <c r="A428" t="inlineStr">
        <is>
          <t>01 토목</t>
        </is>
      </c>
      <c r="B428" t="inlineStr">
        <is>
          <t>7. 부 대 공</t>
        </is>
      </c>
      <c r="C428" t="n">
        <v>8</v>
      </c>
      <c r="D428" t="inlineStr">
        <is>
          <t>2). 톤마대 쌓기 및 헐기</t>
        </is>
      </c>
      <c r="E428" t="inlineStr">
        <is>
          <t>0.7㎥/개</t>
        </is>
      </c>
      <c r="F428" t="n">
        <v>57</v>
      </c>
      <c r="G428" t="inlineStr">
        <is>
          <t>ea</t>
        </is>
      </c>
      <c r="H428" s="64" t="n">
        <v>2401</v>
      </c>
      <c r="I428" s="64">
        <f>F428*H428</f>
        <v/>
      </c>
      <c r="J428" s="64" t="n">
        <v>8160</v>
      </c>
      <c r="K428" s="64">
        <f>F428*J428</f>
        <v/>
      </c>
      <c r="L428" s="64" t="n">
        <v>1804</v>
      </c>
      <c r="M428" s="64">
        <f>F428*L428</f>
        <v/>
      </c>
      <c r="N428" s="64">
        <f>H428+J428+L428</f>
        <v/>
      </c>
      <c r="O428" s="64">
        <f>I428+K428+M428</f>
        <v/>
      </c>
      <c r="Q428" t="inlineStr">
        <is>
          <t>톤마대 쌓기</t>
        </is>
      </c>
    </row>
    <row r="429" ht="24" customHeight="1" s="34">
      <c r="A429" t="inlineStr">
        <is>
          <t>01 토목</t>
        </is>
      </c>
      <c r="B429" t="inlineStr">
        <is>
          <t>7. 부 대 공</t>
        </is>
      </c>
      <c r="C429" t="n">
        <v>9</v>
      </c>
      <c r="D429" t="inlineStr">
        <is>
          <t>3). 흄관 접합및부설(소켓식)</t>
        </is>
      </c>
      <c r="E429" t="inlineStr">
        <is>
          <t>Ø 700 MM</t>
        </is>
      </c>
      <c r="F429" t="n">
        <v>9</v>
      </c>
      <c r="G429" t="inlineStr">
        <is>
          <t>m</t>
        </is>
      </c>
      <c r="H429" s="64" t="n">
        <v>611</v>
      </c>
      <c r="I429" s="64">
        <f>F429*H429</f>
        <v/>
      </c>
      <c r="J429" s="64" t="n">
        <v>19737</v>
      </c>
      <c r="K429" s="64">
        <f>F429*J429</f>
        <v/>
      </c>
      <c r="L429" s="64" t="n">
        <v>0</v>
      </c>
      <c r="M429" s="64">
        <f>F429*L429</f>
        <v/>
      </c>
      <c r="N429" s="64">
        <f>H429+J429+L429</f>
        <v/>
      </c>
      <c r="O429" s="64">
        <f>I429+K429+M429</f>
        <v/>
      </c>
      <c r="Q429" t="inlineStr">
        <is>
          <t>소켓식</t>
        </is>
      </c>
    </row>
    <row r="430" ht="24" customHeight="1" s="34">
      <c r="A430" t="inlineStr">
        <is>
          <t>01 토목</t>
        </is>
      </c>
      <c r="B430" t="inlineStr">
        <is>
          <t>7. 부 대 공</t>
        </is>
      </c>
      <c r="C430" t="n">
        <v>10</v>
      </c>
      <c r="D430" t="inlineStr">
        <is>
          <t>4). 퇴적토준설</t>
        </is>
      </c>
      <c r="E430" t="inlineStr">
        <is>
          <t>백호0.7㎥, 수중</t>
        </is>
      </c>
      <c r="F430" t="n">
        <v>108</v>
      </c>
      <c r="G430" t="inlineStr">
        <is>
          <t>㎥</t>
        </is>
      </c>
      <c r="H430" s="64" t="n">
        <v>713</v>
      </c>
      <c r="I430" s="64">
        <f>F430*H430</f>
        <v/>
      </c>
      <c r="J430" s="64" t="n">
        <v>4325</v>
      </c>
      <c r="K430" s="64">
        <f>F430*J430</f>
        <v/>
      </c>
      <c r="L430" s="64" t="n">
        <v>817</v>
      </c>
      <c r="M430" s="64">
        <f>F430*L430</f>
        <v/>
      </c>
      <c r="N430" s="64">
        <f>H430+J430+L430</f>
        <v/>
      </c>
      <c r="O430" s="64">
        <f>I430+K430+M430</f>
        <v/>
      </c>
      <c r="Q430" t="inlineStr">
        <is>
          <t>수중</t>
        </is>
      </c>
    </row>
    <row r="431" ht="24" customHeight="1" s="34">
      <c r="A431" t="inlineStr">
        <is>
          <t>01 토목</t>
        </is>
      </c>
      <c r="B431" t="inlineStr">
        <is>
          <t>7. 부 대 공</t>
        </is>
      </c>
      <c r="C431" t="n">
        <v>11</v>
      </c>
      <c r="D431" t="inlineStr">
        <is>
          <t>1). 비닐깔기(PE필름)</t>
        </is>
      </c>
      <c r="E431" t="inlineStr">
        <is>
          <t>t=0.1mm</t>
        </is>
      </c>
      <c r="F431" t="n">
        <v>1895</v>
      </c>
      <c r="G431" t="inlineStr">
        <is>
          <t>㎡</t>
        </is>
      </c>
      <c r="H431" s="64" t="n">
        <v>0</v>
      </c>
      <c r="I431" s="64">
        <f>F431*H431</f>
        <v/>
      </c>
      <c r="J431" s="64" t="n">
        <v>608</v>
      </c>
      <c r="K431" s="64">
        <f>F431*J431</f>
        <v/>
      </c>
      <c r="L431" s="64" t="n">
        <v>0</v>
      </c>
      <c r="M431" s="64">
        <f>F431*L431</f>
        <v/>
      </c>
      <c r="N431" s="64">
        <f>H431+J431+L431</f>
        <v/>
      </c>
      <c r="O431" s="64">
        <f>I431+K431+M431</f>
        <v/>
      </c>
      <c r="Q431" t="inlineStr">
        <is>
          <t>비닐깔기</t>
        </is>
      </c>
    </row>
    <row r="432" ht="24" customHeight="1" s="34">
      <c r="A432" t="inlineStr">
        <is>
          <t>01 토목</t>
        </is>
      </c>
      <c r="B432" t="inlineStr">
        <is>
          <t>7. 부 대 공</t>
        </is>
      </c>
      <c r="C432" t="n">
        <v>12</v>
      </c>
      <c r="D432" t="inlineStr">
        <is>
          <t>2). PP마대 쌓기 및 헐기</t>
        </is>
      </c>
      <c r="E432" t="inlineStr">
        <is>
          <t>45×75cm(인력)</t>
        </is>
      </c>
      <c r="F432" t="n">
        <v>1178</v>
      </c>
      <c r="G432" t="inlineStr">
        <is>
          <t>ea</t>
        </is>
      </c>
      <c r="H432" s="64" t="n">
        <v>0</v>
      </c>
      <c r="I432" s="64">
        <f>F432*H432</f>
        <v/>
      </c>
      <c r="J432" s="64" t="n">
        <v>74174</v>
      </c>
      <c r="K432" s="64">
        <f>F432*J432</f>
        <v/>
      </c>
      <c r="L432" s="64" t="n">
        <v>0</v>
      </c>
      <c r="M432" s="64">
        <f>F432*L432</f>
        <v/>
      </c>
      <c r="N432" s="64">
        <f>H432+J432+L432</f>
        <v/>
      </c>
      <c r="O432" s="64">
        <f>I432+K432+M432</f>
        <v/>
      </c>
      <c r="Q432" t="inlineStr">
        <is>
          <t>인력</t>
        </is>
      </c>
    </row>
    <row r="433" ht="24" customHeight="1" s="34">
      <c r="A433" t="inlineStr">
        <is>
          <t>01 토목</t>
        </is>
      </c>
      <c r="B433" t="inlineStr">
        <is>
          <t>7. 부 대 공</t>
        </is>
      </c>
      <c r="C433" t="n">
        <v>13</v>
      </c>
      <c r="D433" t="inlineStr">
        <is>
          <t>3). 퇴적토준설</t>
        </is>
      </c>
      <c r="E433" t="inlineStr">
        <is>
          <t>백호0.7㎥, 수중</t>
        </is>
      </c>
      <c r="F433" t="n">
        <v>259</v>
      </c>
      <c r="G433" t="inlineStr">
        <is>
          <t>㎥</t>
        </is>
      </c>
      <c r="H433" s="64" t="n">
        <v>713</v>
      </c>
      <c r="I433" s="64">
        <f>F433*H433</f>
        <v/>
      </c>
      <c r="J433" s="64" t="n">
        <v>4325</v>
      </c>
      <c r="K433" s="64">
        <f>F433*J433</f>
        <v/>
      </c>
      <c r="L433" s="64" t="n">
        <v>817</v>
      </c>
      <c r="M433" s="64">
        <f>F433*L433</f>
        <v/>
      </c>
      <c r="N433" s="64">
        <f>H433+J433+L433</f>
        <v/>
      </c>
      <c r="O433" s="64">
        <f>I433+K433+M433</f>
        <v/>
      </c>
      <c r="Q433" t="inlineStr">
        <is>
          <t>수중</t>
        </is>
      </c>
    </row>
    <row r="434" ht="24" customHeight="1" s="34">
      <c r="A434" t="inlineStr">
        <is>
          <t>01 토목</t>
        </is>
      </c>
      <c r="B434" t="inlineStr">
        <is>
          <t>7. 부 대 공</t>
        </is>
      </c>
      <c r="C434" t="n">
        <v>14</v>
      </c>
      <c r="D434" t="inlineStr">
        <is>
          <t>1). 세륜세차시설 설치및해체</t>
        </is>
      </c>
      <c r="E434" t="inlineStr">
        <is>
          <t>자동세륜기, 34개월</t>
        </is>
      </c>
      <c r="F434" t="n">
        <v>1</v>
      </c>
      <c r="G434" t="inlineStr">
        <is>
          <t>개소</t>
        </is>
      </c>
      <c r="H434" s="64" t="n">
        <v>2500000</v>
      </c>
      <c r="I434" s="64">
        <f>F434*H434</f>
        <v/>
      </c>
      <c r="J434" s="64" t="n">
        <v>15000000</v>
      </c>
      <c r="K434" s="64">
        <f>F434*J434</f>
        <v/>
      </c>
      <c r="L434" s="64" t="n">
        <v>1200000</v>
      </c>
      <c r="M434" s="64">
        <f>F434*L434</f>
        <v/>
      </c>
      <c r="N434" s="64">
        <f>H434+J434+L434</f>
        <v/>
      </c>
      <c r="O434" s="64">
        <f>I434+K434+M434</f>
        <v/>
      </c>
      <c r="P434" t="inlineStr">
        <is>
          <t>가영현</t>
        </is>
      </c>
      <c r="Q434" t="inlineStr">
        <is>
          <t>해체</t>
        </is>
      </c>
    </row>
    <row r="435" ht="24" customHeight="1" s="34">
      <c r="A435" t="inlineStr">
        <is>
          <t>01 토목</t>
        </is>
      </c>
      <c r="B435" t="inlineStr">
        <is>
          <t>7. 부 대 공</t>
        </is>
      </c>
      <c r="C435" t="n">
        <v>15</v>
      </c>
      <c r="D435" t="inlineStr">
        <is>
          <t>2). 세륜세차시설 운영</t>
        </is>
      </c>
      <c r="E435" t="inlineStr">
        <is>
          <t>자동세륜기, 34개월</t>
        </is>
      </c>
      <c r="F435" t="n">
        <v>1</v>
      </c>
      <c r="G435" t="inlineStr">
        <is>
          <t>개소</t>
        </is>
      </c>
      <c r="H435" s="64" t="n">
        <v>2866603</v>
      </c>
      <c r="I435" s="64">
        <f>F435*H435</f>
        <v/>
      </c>
      <c r="J435" s="64" t="n">
        <v>15796906</v>
      </c>
      <c r="K435" s="64">
        <f>F435*J435</f>
        <v/>
      </c>
      <c r="L435" s="64" t="n">
        <v>2578098</v>
      </c>
      <c r="M435" s="64">
        <f>F435*L435</f>
        <v/>
      </c>
      <c r="N435" s="64">
        <f>H435+J435+L435</f>
        <v/>
      </c>
      <c r="O435" s="64">
        <f>I435+K435+M435</f>
        <v/>
      </c>
      <c r="P435" t="inlineStr">
        <is>
          <t>가영현</t>
        </is>
      </c>
      <c r="Q435" t="inlineStr">
        <is>
          <t>세륜세차시설 운영</t>
        </is>
      </c>
    </row>
    <row r="436" ht="24" customHeight="1" s="34">
      <c r="A436" t="inlineStr">
        <is>
          <t>01 토목</t>
        </is>
      </c>
      <c r="B436" t="inlineStr">
        <is>
          <t>7. 부 대 공</t>
        </is>
      </c>
      <c r="C436" t="n">
        <v>16</v>
      </c>
      <c r="D436" t="inlineStr">
        <is>
          <t>1). 폐유류저장소</t>
        </is>
      </c>
      <c r="E436" t="inlineStr">
        <is>
          <t>2.4MX2.4M</t>
        </is>
      </c>
      <c r="F436" t="n">
        <v>1</v>
      </c>
      <c r="G436" t="inlineStr">
        <is>
          <t>개소</t>
        </is>
      </c>
      <c r="H436" s="64" t="n">
        <v>2500000</v>
      </c>
      <c r="I436" s="64">
        <f>F436*H436</f>
        <v/>
      </c>
      <c r="J436" s="64" t="n">
        <v>1500000</v>
      </c>
      <c r="K436" s="64">
        <f>F436*J436</f>
        <v/>
      </c>
      <c r="L436" s="64" t="n">
        <v>2000000</v>
      </c>
      <c r="M436" s="64">
        <f>F436*L436</f>
        <v/>
      </c>
      <c r="N436" s="64">
        <f>H436+J436+L436</f>
        <v/>
      </c>
      <c r="O436" s="64">
        <f>I436+K436+M436</f>
        <v/>
      </c>
      <c r="P436" t="inlineStr">
        <is>
          <t>가영현</t>
        </is>
      </c>
      <c r="Q436" t="inlineStr">
        <is>
          <t>2.4MX2.4M, 폐유류저장소</t>
        </is>
      </c>
    </row>
    <row r="437" ht="24" customHeight="1" s="34">
      <c r="A437" t="inlineStr">
        <is>
          <t>01 토목</t>
        </is>
      </c>
      <c r="B437" t="inlineStr">
        <is>
          <t>7. 부 대 공</t>
        </is>
      </c>
      <c r="C437" t="n">
        <v>17</v>
      </c>
      <c r="D437" t="inlineStr">
        <is>
          <t>가). 감리감독자 사무실</t>
        </is>
      </c>
      <c r="E437" t="inlineStr">
        <is>
          <t>조립식, 34개월</t>
        </is>
      </c>
      <c r="F437" t="n">
        <v>100</v>
      </c>
      <c r="G437" t="inlineStr">
        <is>
          <t>㎡</t>
        </is>
      </c>
      <c r="H437" s="64" t="n">
        <v>465</v>
      </c>
      <c r="I437" s="64">
        <f>F437*H437</f>
        <v/>
      </c>
      <c r="J437" s="64" t="n">
        <v>23281</v>
      </c>
      <c r="K437" s="64">
        <f>F437*J437</f>
        <v/>
      </c>
      <c r="L437" s="64" t="n"/>
      <c r="M437" s="64">
        <f>F437*L437</f>
        <v/>
      </c>
      <c r="N437" s="64">
        <f>H437+J437+L437</f>
        <v/>
      </c>
      <c r="O437" s="64">
        <f>I437+K437+M437</f>
        <v/>
      </c>
      <c r="P437" t="inlineStr">
        <is>
          <t>가영현</t>
        </is>
      </c>
      <c r="Q437" t="inlineStr">
        <is>
          <t>조립식</t>
        </is>
      </c>
    </row>
    <row r="438" ht="24" customHeight="1" s="34">
      <c r="A438" t="inlineStr">
        <is>
          <t>01 토목</t>
        </is>
      </c>
      <c r="B438" t="inlineStr">
        <is>
          <t>7. 부 대 공</t>
        </is>
      </c>
      <c r="C438" t="n">
        <v>18</v>
      </c>
      <c r="D438" t="inlineStr">
        <is>
          <t>나). 공사도급자 사무실</t>
        </is>
      </c>
      <c r="E438" t="inlineStr">
        <is>
          <t>조립식, 34개월</t>
        </is>
      </c>
      <c r="F438" t="n">
        <v>130</v>
      </c>
      <c r="G438" t="inlineStr">
        <is>
          <t>㎡</t>
        </is>
      </c>
      <c r="H438" s="64" t="n">
        <v>465</v>
      </c>
      <c r="I438" s="64">
        <f>F438*H438</f>
        <v/>
      </c>
      <c r="J438" s="64" t="n">
        <v>23281</v>
      </c>
      <c r="K438" s="64">
        <f>F438*J438</f>
        <v/>
      </c>
      <c r="L438" s="64" t="n"/>
      <c r="M438" s="64">
        <f>F438*L438</f>
        <v/>
      </c>
      <c r="N438" s="64">
        <f>H438+J438+L438</f>
        <v/>
      </c>
      <c r="O438" s="64">
        <f>I438+K438+M438</f>
        <v/>
      </c>
      <c r="P438" t="inlineStr">
        <is>
          <t>가영현</t>
        </is>
      </c>
      <c r="Q438" t="inlineStr">
        <is>
          <t>조립식</t>
        </is>
      </c>
    </row>
    <row r="439" ht="24" customHeight="1" s="34">
      <c r="A439" t="inlineStr">
        <is>
          <t>01 토목</t>
        </is>
      </c>
      <c r="B439" t="inlineStr">
        <is>
          <t>7. 부 대 공</t>
        </is>
      </c>
      <c r="C439" t="n">
        <v>19</v>
      </c>
      <c r="D439" t="inlineStr">
        <is>
          <t>다). 창고</t>
        </is>
      </c>
      <c r="E439" t="inlineStr">
        <is>
          <t>조립식, 34개월</t>
        </is>
      </c>
      <c r="F439" t="n">
        <v>80</v>
      </c>
      <c r="G439" t="inlineStr">
        <is>
          <t>㎡</t>
        </is>
      </c>
      <c r="H439" s="64" t="n">
        <v>465</v>
      </c>
      <c r="I439" s="64">
        <f>F439*H439</f>
        <v/>
      </c>
      <c r="J439" s="64" t="n">
        <v>23281</v>
      </c>
      <c r="K439" s="64">
        <f>F439*J439</f>
        <v/>
      </c>
      <c r="L439" s="64" t="n"/>
      <c r="M439" s="64">
        <f>F439*L439</f>
        <v/>
      </c>
      <c r="N439" s="64">
        <f>H439+J439+L439</f>
        <v/>
      </c>
      <c r="O439" s="64">
        <f>I439+K439+M439</f>
        <v/>
      </c>
      <c r="P439" t="inlineStr">
        <is>
          <t>가영현</t>
        </is>
      </c>
      <c r="Q439" t="inlineStr">
        <is>
          <t>조립식</t>
        </is>
      </c>
    </row>
    <row r="440" ht="24" customHeight="1" s="34">
      <c r="A440" t="inlineStr">
        <is>
          <t>01 토목</t>
        </is>
      </c>
      <c r="B440" t="inlineStr">
        <is>
          <t>7. 부 대 공</t>
        </is>
      </c>
      <c r="C440" t="n">
        <v>20</v>
      </c>
      <c r="D440" t="inlineStr">
        <is>
          <t>라). 시험실</t>
        </is>
      </c>
      <c r="E440" t="inlineStr">
        <is>
          <t>조립식, 34개월</t>
        </is>
      </c>
      <c r="F440" t="n">
        <v>20</v>
      </c>
      <c r="G440" t="inlineStr">
        <is>
          <t>㎡</t>
        </is>
      </c>
      <c r="H440" s="64" t="n">
        <v>465</v>
      </c>
      <c r="I440" s="64">
        <f>F440*H440</f>
        <v/>
      </c>
      <c r="J440" s="64" t="n">
        <v>23281</v>
      </c>
      <c r="K440" s="64">
        <f>F440*J440</f>
        <v/>
      </c>
      <c r="L440" s="64" t="n"/>
      <c r="M440" s="64">
        <f>F440*L440</f>
        <v/>
      </c>
      <c r="N440" s="64">
        <f>H440+J440+L440</f>
        <v/>
      </c>
      <c r="O440" s="64">
        <f>I440+K440+M440</f>
        <v/>
      </c>
      <c r="P440" t="inlineStr">
        <is>
          <t>가영현</t>
        </is>
      </c>
      <c r="Q440" t="inlineStr">
        <is>
          <t>조립식</t>
        </is>
      </c>
    </row>
    <row r="441" ht="24" customHeight="1" s="34">
      <c r="A441" t="inlineStr">
        <is>
          <t>01 토목</t>
        </is>
      </c>
      <c r="B441" t="inlineStr">
        <is>
          <t>7. 부 대 공</t>
        </is>
      </c>
      <c r="C441" t="n">
        <v>21</v>
      </c>
      <c r="D441" t="inlineStr">
        <is>
          <t>마). 도급자 숙소</t>
        </is>
      </c>
      <c r="E441" t="inlineStr">
        <is>
          <t>조립식, 34개월</t>
        </is>
      </c>
      <c r="F441" t="n">
        <v>100</v>
      </c>
      <c r="G441" t="inlineStr">
        <is>
          <t>㎡</t>
        </is>
      </c>
      <c r="H441" s="64" t="n">
        <v>465</v>
      </c>
      <c r="I441" s="64">
        <f>F441*H441</f>
        <v/>
      </c>
      <c r="J441" s="64" t="n">
        <v>23281</v>
      </c>
      <c r="K441" s="64">
        <f>F441*J441</f>
        <v/>
      </c>
      <c r="L441" s="64" t="n"/>
      <c r="M441" s="64">
        <f>F441*L441</f>
        <v/>
      </c>
      <c r="N441" s="64">
        <f>H441+J441+L441</f>
        <v/>
      </c>
      <c r="O441" s="64">
        <f>I441+K441+M441</f>
        <v/>
      </c>
      <c r="P441" t="inlineStr">
        <is>
          <t>가영현</t>
        </is>
      </c>
      <c r="Q441" t="inlineStr">
        <is>
          <t>조립식</t>
        </is>
      </c>
    </row>
    <row r="442" ht="24" customHeight="1" s="34">
      <c r="A442" t="inlineStr">
        <is>
          <t>01 토목</t>
        </is>
      </c>
      <c r="B442" t="inlineStr">
        <is>
          <t>7. 부 대 공</t>
        </is>
      </c>
      <c r="C442" t="n">
        <v>22</v>
      </c>
      <c r="D442" t="inlineStr">
        <is>
          <t>바). 복지시설</t>
        </is>
      </c>
      <c r="E442" t="inlineStr">
        <is>
          <t>조립식, 34개월</t>
        </is>
      </c>
      <c r="F442" t="n">
        <v>120</v>
      </c>
      <c r="G442" t="inlineStr">
        <is>
          <t>㎡</t>
        </is>
      </c>
      <c r="H442" s="64" t="n">
        <v>465</v>
      </c>
      <c r="I442" s="64">
        <f>F442*H442</f>
        <v/>
      </c>
      <c r="J442" s="64" t="n">
        <v>23281</v>
      </c>
      <c r="K442" s="64">
        <f>F442*J442</f>
        <v/>
      </c>
      <c r="L442" s="64" t="n"/>
      <c r="M442" s="64">
        <f>F442*L442</f>
        <v/>
      </c>
      <c r="N442" s="64">
        <f>H442+J442+L442</f>
        <v/>
      </c>
      <c r="O442" s="64">
        <f>I442+K442+M442</f>
        <v/>
      </c>
      <c r="P442" t="inlineStr">
        <is>
          <t>가영현</t>
        </is>
      </c>
      <c r="Q442" t="inlineStr">
        <is>
          <t>조립식</t>
        </is>
      </c>
    </row>
    <row r="443" ht="24" customHeight="1" s="34">
      <c r="A443" t="inlineStr">
        <is>
          <t>01 토목</t>
        </is>
      </c>
      <c r="B443" t="inlineStr">
        <is>
          <t>7. 부 대 공</t>
        </is>
      </c>
      <c r="C443" t="n">
        <v>23</v>
      </c>
      <c r="D443" t="inlineStr">
        <is>
          <t>사). 오수정화조</t>
        </is>
      </c>
      <c r="E443" t="inlineStr">
        <is>
          <t>8PPM, 50인용</t>
        </is>
      </c>
      <c r="F443" t="n">
        <v>1</v>
      </c>
      <c r="G443" t="inlineStr">
        <is>
          <t>개소</t>
        </is>
      </c>
      <c r="I443" s="64">
        <f>F443*H443</f>
        <v/>
      </c>
      <c r="J443" s="64" t="n"/>
      <c r="K443" s="64">
        <f>F443*J443</f>
        <v/>
      </c>
      <c r="L443" s="64" t="n"/>
      <c r="M443" s="64">
        <f>F443*L443</f>
        <v/>
      </c>
      <c r="N443" s="64">
        <f>H443+J443+L443</f>
        <v/>
      </c>
      <c r="O443" s="64">
        <f>I443+K443+M443</f>
        <v/>
      </c>
      <c r="P443" t="inlineStr">
        <is>
          <t>미매칭</t>
        </is>
      </c>
      <c r="Q443" t="inlineStr">
        <is>
          <t>8PPM, 50인용, 오수정화조, 8PPM, 50인용</t>
        </is>
      </c>
    </row>
    <row r="444" ht="24" customHeight="1" s="34">
      <c r="A444" t="inlineStr">
        <is>
          <t>01 토목</t>
        </is>
      </c>
      <c r="B444" t="inlineStr">
        <is>
          <t>7. 부 대 공</t>
        </is>
      </c>
      <c r="C444" t="n">
        <v>24</v>
      </c>
      <c r="D444" t="inlineStr">
        <is>
          <t>1). 살수(물탱크 16000ℓ)</t>
        </is>
      </c>
      <c r="E444" t="inlineStr">
        <is>
          <t>32개월</t>
        </is>
      </c>
      <c r="F444" t="n">
        <v>12</v>
      </c>
      <c r="G444" t="inlineStr">
        <is>
          <t>a</t>
        </is>
      </c>
      <c r="H444" s="64" t="n">
        <v>0</v>
      </c>
      <c r="I444" s="64">
        <f>F444*H444</f>
        <v/>
      </c>
      <c r="J444" s="64" t="n">
        <v>1500000</v>
      </c>
      <c r="K444" s="64">
        <f>F444*J444</f>
        <v/>
      </c>
      <c r="L444" s="64" t="n">
        <v>4500000</v>
      </c>
      <c r="M444" s="64">
        <f>F444*L444</f>
        <v/>
      </c>
      <c r="N444" s="64">
        <f>H444+J444+L444</f>
        <v/>
      </c>
      <c r="O444" s="64">
        <f>I444+K444+M444</f>
        <v/>
      </c>
      <c r="P444" t="inlineStr">
        <is>
          <t>가영현</t>
        </is>
      </c>
      <c r="Q444" t="inlineStr">
        <is>
          <t>살수</t>
        </is>
      </c>
    </row>
    <row r="445" ht="24" customHeight="1" s="34">
      <c r="A445" t="inlineStr">
        <is>
          <t>01 토목</t>
        </is>
      </c>
      <c r="B445" t="inlineStr">
        <is>
          <t>7. 부 대 공</t>
        </is>
      </c>
      <c r="C445" t="n">
        <v>25</v>
      </c>
      <c r="D445" t="inlineStr">
        <is>
          <t>1). 전광판 소음측정기</t>
        </is>
      </c>
      <c r="E445" t="inlineStr">
        <is>
          <t>800x1200, 현장설치도</t>
        </is>
      </c>
      <c r="F445" t="n">
        <v>1</v>
      </c>
      <c r="G445" t="inlineStr">
        <is>
          <t>개소</t>
        </is>
      </c>
      <c r="H445" s="64" t="n">
        <v>450000</v>
      </c>
      <c r="I445" s="64">
        <f>F445*H445</f>
        <v/>
      </c>
      <c r="J445" s="64" t="n">
        <v>150000</v>
      </c>
      <c r="K445" s="64">
        <f>F445*J445</f>
        <v/>
      </c>
      <c r="L445" s="64" t="n"/>
      <c r="M445" s="64">
        <f>F445*L445</f>
        <v/>
      </c>
      <c r="N445" s="64">
        <f>H445+J445+L445</f>
        <v/>
      </c>
      <c r="O445" s="64">
        <f>I445+K445+M445</f>
        <v/>
      </c>
      <c r="P445" t="inlineStr">
        <is>
          <t>가영현</t>
        </is>
      </c>
      <c r="Q445" t="inlineStr">
        <is>
          <t>800x1200, 현장설치도, 전광판 소음측정기, 800x1200, 현장설치도</t>
        </is>
      </c>
    </row>
    <row r="446" ht="24" customHeight="1" s="34">
      <c r="A446" t="inlineStr">
        <is>
          <t>01 토목</t>
        </is>
      </c>
      <c r="B446" t="inlineStr">
        <is>
          <t>7. 부 대 공</t>
        </is>
      </c>
      <c r="C446" t="n">
        <v>26</v>
      </c>
      <c r="D446" t="inlineStr">
        <is>
          <t>1). 시공상세도</t>
        </is>
      </c>
      <c r="E446" t="inlineStr">
        <is>
          <t>단순</t>
        </is>
      </c>
      <c r="F446" t="n">
        <v>38</v>
      </c>
      <c r="G446" t="inlineStr">
        <is>
          <t>매</t>
        </is>
      </c>
      <c r="H446" s="64" t="n">
        <v>80000</v>
      </c>
      <c r="I446" s="64">
        <f>F446*H446</f>
        <v/>
      </c>
      <c r="J446" s="64" t="n">
        <v>150000</v>
      </c>
      <c r="K446" s="64">
        <f>F446*J446</f>
        <v/>
      </c>
      <c r="L446" s="64" t="n"/>
      <c r="M446" s="64">
        <f>F446*L446</f>
        <v/>
      </c>
      <c r="N446" s="64">
        <f>H446+J446+L446</f>
        <v/>
      </c>
      <c r="O446" s="64">
        <f>I446+K446+M446</f>
        <v/>
      </c>
      <c r="P446" t="inlineStr">
        <is>
          <t>가영현</t>
        </is>
      </c>
      <c r="Q446" t="inlineStr">
        <is>
          <t>단순, 시공상세도</t>
        </is>
      </c>
    </row>
    <row r="447" ht="24" customHeight="1" s="34">
      <c r="A447" t="inlineStr">
        <is>
          <t>01 토목</t>
        </is>
      </c>
      <c r="B447" t="inlineStr">
        <is>
          <t>7. 부 대 공</t>
        </is>
      </c>
      <c r="C447" t="n">
        <v>27</v>
      </c>
      <c r="D447" t="inlineStr">
        <is>
          <t>2). 시공상세도</t>
        </is>
      </c>
      <c r="E447" t="inlineStr">
        <is>
          <t>보통</t>
        </is>
      </c>
      <c r="F447" t="n">
        <v>70</v>
      </c>
      <c r="G447" t="inlineStr">
        <is>
          <t>매</t>
        </is>
      </c>
      <c r="H447" s="64" t="n">
        <v>80000</v>
      </c>
      <c r="I447" s="64">
        <f>F447*H447</f>
        <v/>
      </c>
      <c r="J447" s="64" t="n">
        <v>150000</v>
      </c>
      <c r="K447" s="64">
        <f>F447*J447</f>
        <v/>
      </c>
      <c r="L447" s="64" t="n"/>
      <c r="M447" s="64">
        <f>F447*L447</f>
        <v/>
      </c>
      <c r="N447" s="64">
        <f>H447+J447+L447</f>
        <v/>
      </c>
      <c r="O447" s="64">
        <f>I447+K447+M447</f>
        <v/>
      </c>
      <c r="P447" t="inlineStr">
        <is>
          <t>가영현</t>
        </is>
      </c>
      <c r="Q447" t="inlineStr">
        <is>
          <t>보통</t>
        </is>
      </c>
    </row>
    <row r="448" ht="24" customHeight="1" s="34">
      <c r="A448" t="inlineStr">
        <is>
          <t>01 토목</t>
        </is>
      </c>
      <c r="B448" t="inlineStr">
        <is>
          <t>7. 부 대 공</t>
        </is>
      </c>
      <c r="C448" t="n">
        <v>28</v>
      </c>
      <c r="D448" t="inlineStr">
        <is>
          <t>3). 시공상세도</t>
        </is>
      </c>
      <c r="E448" t="inlineStr">
        <is>
          <t>복잡</t>
        </is>
      </c>
      <c r="F448" t="n">
        <v>11</v>
      </c>
      <c r="G448" t="inlineStr">
        <is>
          <t>매</t>
        </is>
      </c>
      <c r="H448" s="64" t="n">
        <v>100000</v>
      </c>
      <c r="I448" s="64">
        <f>F448*H448</f>
        <v/>
      </c>
      <c r="J448" s="64" t="n">
        <v>200000</v>
      </c>
      <c r="K448" s="64">
        <f>F448*J448</f>
        <v/>
      </c>
      <c r="L448" s="64" t="n"/>
      <c r="M448" s="64">
        <f>F448*L448</f>
        <v/>
      </c>
      <c r="N448" s="64">
        <f>H448+J448+L448</f>
        <v/>
      </c>
      <c r="O448" s="64">
        <f>I448+K448+M448</f>
        <v/>
      </c>
      <c r="P448" t="inlineStr">
        <is>
          <t>가영현</t>
        </is>
      </c>
      <c r="Q448" t="inlineStr">
        <is>
          <t>복잡, 시공상세도</t>
        </is>
      </c>
    </row>
    <row r="449" ht="24" customHeight="1" s="34">
      <c r="A449" t="inlineStr">
        <is>
          <t>01 토목</t>
        </is>
      </c>
      <c r="B449" t="inlineStr">
        <is>
          <t>7. 부 대 공</t>
        </is>
      </c>
      <c r="C449" t="n">
        <v>29</v>
      </c>
      <c r="D449" t="inlineStr">
        <is>
          <t>가). 혼합골재</t>
        </is>
      </c>
      <c r="E449" t="inlineStr">
        <is>
          <t>Φ40mm, 현장도착도</t>
        </is>
      </c>
      <c r="F449" t="n">
        <v>57</v>
      </c>
      <c r="G449" t="inlineStr">
        <is>
          <t>㎥</t>
        </is>
      </c>
      <c r="H449" s="64" t="n">
        <v>45000</v>
      </c>
      <c r="I449" s="64">
        <f>F449*H449</f>
        <v/>
      </c>
      <c r="J449" s="64" t="n"/>
      <c r="K449" s="64">
        <f>F449*J449</f>
        <v/>
      </c>
      <c r="L449" s="64" t="n"/>
      <c r="M449" s="64">
        <f>F449*L449</f>
        <v/>
      </c>
      <c r="N449" s="64">
        <f>H449+J449+L449</f>
        <v/>
      </c>
      <c r="O449" s="64">
        <f>I449+K449+M449</f>
        <v/>
      </c>
      <c r="P449" t="inlineStr">
        <is>
          <t>가영현</t>
        </is>
      </c>
      <c r="Q449" t="inlineStr">
        <is>
          <t>Φ40mm, 현장도착도, 혼합골재, Φ40mm, 현장도착도</t>
        </is>
      </c>
    </row>
    <row r="450" ht="24" customHeight="1" s="34">
      <c r="A450" t="inlineStr">
        <is>
          <t>01 토목</t>
        </is>
      </c>
      <c r="B450" t="inlineStr">
        <is>
          <t>7. 부 대 공</t>
        </is>
      </c>
      <c r="C450" t="n">
        <v>30</v>
      </c>
      <c r="D450" t="inlineStr">
        <is>
          <t>가). 이형철근</t>
        </is>
      </c>
      <c r="E450" t="inlineStr">
        <is>
          <t>D13M/M 0.995KG/M SD30A</t>
        </is>
      </c>
      <c r="F450" t="n">
        <v>0.872</v>
      </c>
      <c r="G450" t="inlineStr">
        <is>
          <t>Ton</t>
        </is>
      </c>
      <c r="H450" s="64" t="n">
        <v>952000</v>
      </c>
      <c r="I450" s="64">
        <f>F450*H450</f>
        <v/>
      </c>
      <c r="J450" s="64" t="n">
        <v>0</v>
      </c>
      <c r="K450" s="64">
        <f>F450*J450</f>
        <v/>
      </c>
      <c r="L450" s="64" t="n">
        <v>0</v>
      </c>
      <c r="M450" s="64">
        <f>F450*L450</f>
        <v/>
      </c>
      <c r="N450" s="64">
        <f>H450+J450+L450</f>
        <v/>
      </c>
      <c r="O450" s="64">
        <f>I450+K450+M450</f>
        <v/>
      </c>
      <c r="Q450" t="inlineStr">
        <is>
          <t>이형철근</t>
        </is>
      </c>
    </row>
    <row r="451" ht="24" customHeight="1" s="34">
      <c r="A451" t="inlineStr">
        <is>
          <t>01 토목</t>
        </is>
      </c>
      <c r="B451" t="inlineStr">
        <is>
          <t>7. 부 대 공</t>
        </is>
      </c>
      <c r="C451" t="n">
        <v>31</v>
      </c>
      <c r="D451" t="inlineStr">
        <is>
          <t>나). 철근운반비</t>
        </is>
      </c>
      <c r="E451" t="inlineStr">
        <is>
          <t>L=10Km</t>
        </is>
      </c>
      <c r="F451" t="n">
        <v>0.872</v>
      </c>
      <c r="G451" t="inlineStr">
        <is>
          <t>ton</t>
        </is>
      </c>
      <c r="I451" s="64">
        <f>F451*H451</f>
        <v/>
      </c>
      <c r="J451" s="64" t="n"/>
      <c r="K451" s="64">
        <f>F451*J451</f>
        <v/>
      </c>
      <c r="L451" s="64" t="n">
        <v>30000</v>
      </c>
      <c r="M451" s="64">
        <f>F451*L451</f>
        <v/>
      </c>
      <c r="N451" s="64">
        <f>H451+J451+L451</f>
        <v/>
      </c>
      <c r="O451" s="64">
        <f>I451+K451+M451</f>
        <v/>
      </c>
      <c r="P451" t="inlineStr">
        <is>
          <t>가영현</t>
        </is>
      </c>
      <c r="Q451" t="inlineStr">
        <is>
          <t>L=10Km, 철근운반비</t>
        </is>
      </c>
    </row>
    <row r="452" ht="24" customHeight="1" s="34">
      <c r="A452" t="inlineStr">
        <is>
          <t>01 토목</t>
        </is>
      </c>
      <c r="B452" t="inlineStr">
        <is>
          <t>7. 부 대 공</t>
        </is>
      </c>
      <c r="C452" t="n">
        <v>32</v>
      </c>
      <c r="D452" t="inlineStr">
        <is>
          <t>다). 고철(고재)</t>
        </is>
      </c>
      <c r="E452" t="inlineStr">
        <is>
          <t>중량A</t>
        </is>
      </c>
      <c r="F452" t="n">
        <v>0.026</v>
      </c>
      <c r="G452" t="inlineStr">
        <is>
          <t>Ton</t>
        </is>
      </c>
      <c r="H452" s="64" t="n">
        <v>-100000</v>
      </c>
      <c r="I452" s="64">
        <f>F452*H452</f>
        <v/>
      </c>
      <c r="J452" s="64" t="n"/>
      <c r="K452" s="64">
        <f>F452*J452</f>
        <v/>
      </c>
      <c r="L452" s="64" t="n"/>
      <c r="M452" s="64">
        <f>F452*L452</f>
        <v/>
      </c>
      <c r="N452" s="64">
        <f>H452+J452+L452</f>
        <v/>
      </c>
      <c r="O452" s="64">
        <f>I452+K452+M452</f>
        <v/>
      </c>
      <c r="P452" t="inlineStr">
        <is>
          <t>가영현</t>
        </is>
      </c>
      <c r="Q452" t="inlineStr">
        <is>
          <t>중량A, 고재, 고철</t>
        </is>
      </c>
    </row>
    <row r="453" ht="24" customHeight="1" s="34">
      <c r="A453" t="inlineStr">
        <is>
          <t>01 토목</t>
        </is>
      </c>
      <c r="B453" t="inlineStr">
        <is>
          <t>7. 부 대 공</t>
        </is>
      </c>
      <c r="C453" t="n">
        <v>33</v>
      </c>
      <c r="D453" t="inlineStr">
        <is>
          <t>가). 레미콘</t>
        </is>
      </c>
      <c r="E453" t="inlineStr">
        <is>
          <t>25-21-15(Mpa)</t>
        </is>
      </c>
      <c r="F453" t="n">
        <v>51</v>
      </c>
      <c r="G453" t="inlineStr">
        <is>
          <t>㎥</t>
        </is>
      </c>
      <c r="H453" s="64" t="n">
        <v>118000</v>
      </c>
      <c r="I453" s="64">
        <f>F453*H453</f>
        <v/>
      </c>
      <c r="J453" s="64" t="n">
        <v>64674</v>
      </c>
      <c r="K453" s="64">
        <f>F453*J453</f>
        <v/>
      </c>
      <c r="L453" s="64" t="n"/>
      <c r="M453" s="64">
        <f>F453*L453</f>
        <v/>
      </c>
      <c r="N453" s="64">
        <f>H453+J453+L453</f>
        <v/>
      </c>
      <c r="O453" s="64">
        <f>I453+K453+M453</f>
        <v/>
      </c>
      <c r="P453" t="inlineStr">
        <is>
          <t>가영현</t>
        </is>
      </c>
      <c r="Q453" t="inlineStr">
        <is>
          <t>레미콘</t>
        </is>
      </c>
    </row>
    <row r="454" ht="24" customHeight="1" s="34">
      <c r="A454" t="inlineStr">
        <is>
          <t>01 토목</t>
        </is>
      </c>
      <c r="B454" t="inlineStr">
        <is>
          <t>7. 부 대 공</t>
        </is>
      </c>
      <c r="C454" t="n">
        <v>34</v>
      </c>
      <c r="D454" t="inlineStr">
        <is>
          <t>나). 레미콘</t>
        </is>
      </c>
      <c r="E454" t="inlineStr">
        <is>
          <t>25-18- 8(Mpa)</t>
        </is>
      </c>
      <c r="F454" t="n">
        <v>109</v>
      </c>
      <c r="G454" t="inlineStr">
        <is>
          <t>㎥</t>
        </is>
      </c>
      <c r="H454" s="64" t="n">
        <v>99000</v>
      </c>
      <c r="I454" s="64">
        <f>F454*H454</f>
        <v/>
      </c>
      <c r="J454" s="64" t="n">
        <v>64674</v>
      </c>
      <c r="K454" s="64">
        <f>F454*J454</f>
        <v/>
      </c>
      <c r="L454" s="64" t="n"/>
      <c r="M454" s="64">
        <f>F454*L454</f>
        <v/>
      </c>
      <c r="N454" s="64">
        <f>H454+J454+L454</f>
        <v/>
      </c>
      <c r="O454" s="64">
        <f>I454+K454+M454</f>
        <v/>
      </c>
      <c r="P454" t="inlineStr">
        <is>
          <t>가영현</t>
        </is>
      </c>
      <c r="Q454" t="inlineStr">
        <is>
          <t>레미콘</t>
        </is>
      </c>
    </row>
    <row r="455" ht="24" customHeight="1" s="34">
      <c r="A455" t="inlineStr">
        <is>
          <t>01 토목</t>
        </is>
      </c>
      <c r="B455" t="inlineStr">
        <is>
          <t>7. 부 대 공</t>
        </is>
      </c>
      <c r="C455" t="n">
        <v>35</v>
      </c>
      <c r="D455" t="inlineStr">
        <is>
          <t>가). 원심력철근콘크리트관(보통2종)</t>
        </is>
      </c>
      <c r="E455" t="inlineStr">
        <is>
          <t>700㎜ (소켓식,B형)</t>
        </is>
      </c>
      <c r="F455" t="n">
        <v>9</v>
      </c>
      <c r="G455" t="inlineStr">
        <is>
          <t>ｍ</t>
        </is>
      </c>
      <c r="H455" s="64" t="n">
        <v>2339</v>
      </c>
      <c r="I455" s="64">
        <f>F455*H455</f>
        <v/>
      </c>
      <c r="J455" s="64" t="n">
        <v>19375</v>
      </c>
      <c r="K455" s="64">
        <f>F455*J455</f>
        <v/>
      </c>
      <c r="L455" s="64" t="n">
        <v>2505</v>
      </c>
      <c r="M455" s="64">
        <f>F455*L455</f>
        <v/>
      </c>
      <c r="N455" s="64">
        <f>H455+J455+L455</f>
        <v/>
      </c>
      <c r="O455" s="64">
        <f>I455+K455+M455</f>
        <v/>
      </c>
      <c r="Q455" t="inlineStr">
        <is>
          <t>원심력철근콘크리트관</t>
        </is>
      </c>
    </row>
    <row r="456" ht="24" customHeight="1" s="34">
      <c r="A456" t="inlineStr">
        <is>
          <t>01 토목</t>
        </is>
      </c>
      <c r="B456" t="inlineStr">
        <is>
          <t>7. 부 대 공</t>
        </is>
      </c>
      <c r="C456" t="n">
        <v>36</v>
      </c>
      <c r="D456" t="inlineStr">
        <is>
          <t>나). 흄관하차비</t>
        </is>
      </c>
      <c r="E456" t="inlineStr">
        <is>
          <t>Ø 700 MM - 차상도</t>
        </is>
      </c>
      <c r="F456" t="n">
        <v>4</v>
      </c>
      <c r="G456" t="inlineStr">
        <is>
          <t>본</t>
        </is>
      </c>
      <c r="I456" s="64">
        <f>F456*H456</f>
        <v/>
      </c>
      <c r="J456" s="64" t="n"/>
      <c r="K456" s="64">
        <f>F456*J456</f>
        <v/>
      </c>
      <c r="L456" s="64" t="n">
        <v>3800</v>
      </c>
      <c r="M456" s="64">
        <f>F456*L456</f>
        <v/>
      </c>
      <c r="N456" s="64">
        <f>H456+J456+L456</f>
        <v/>
      </c>
      <c r="O456" s="64">
        <f>I456+K456+M456</f>
        <v/>
      </c>
      <c r="P456" t="inlineStr">
        <is>
          <t>가영현</t>
        </is>
      </c>
      <c r="Q456" t="inlineStr">
        <is>
          <t>Ø 700 MM - 차상도, 흄관하차비</t>
        </is>
      </c>
    </row>
    <row r="457" ht="24" customHeight="1" s="34">
      <c r="A457" s="15" t="inlineStr">
        <is>
          <t>01 토목</t>
        </is>
      </c>
      <c r="B457" s="15" t="inlineStr">
        <is>
          <t>7. 부 대 공</t>
        </is>
      </c>
      <c r="C457" s="15" t="n"/>
      <c r="D457" s="15" t="inlineStr">
        <is>
          <t>★ 7. 부 대 공 소계</t>
        </is>
      </c>
      <c r="E457" s="15" t="n"/>
      <c r="F457" s="15" t="n"/>
      <c r="G457" s="15" t="n"/>
      <c r="H457" s="66" t="n"/>
      <c r="I457" s="66">
        <f>SUM(I421:I456)</f>
        <v/>
      </c>
      <c r="J457" s="66" t="n"/>
      <c r="K457" s="66">
        <f>SUM(K421:K456)</f>
        <v/>
      </c>
      <c r="L457" s="66" t="n"/>
      <c r="M457" s="66">
        <f>SUM(M421:M456)</f>
        <v/>
      </c>
      <c r="N457" s="66" t="n"/>
      <c r="O457" s="66">
        <f>SUM(O421:O456)</f>
        <v/>
      </c>
      <c r="P457" s="15" t="n"/>
      <c r="Q457" s="15" t="inlineStr">
        <is>
          <t>36건</t>
        </is>
      </c>
    </row>
    <row r="458" ht="24" customHeight="1" s="34">
      <c r="A458" t="inlineStr">
        <is>
          <t>01 토목</t>
        </is>
      </c>
      <c r="B458" t="inlineStr">
        <is>
          <t>8. 하수처리장</t>
        </is>
      </c>
      <c r="C458" t="n">
        <v>1</v>
      </c>
      <c r="D458" t="inlineStr">
        <is>
          <t>가). 터파기(토사)</t>
        </is>
      </c>
      <c r="E458" t="inlineStr">
        <is>
          <t>TYPE-1, 백호1.0, 기계100%</t>
        </is>
      </c>
      <c r="F458" t="n">
        <v>397</v>
      </c>
      <c r="G458" t="inlineStr">
        <is>
          <t>㎥</t>
        </is>
      </c>
      <c r="H458" s="64" t="n">
        <v>447</v>
      </c>
      <c r="I458" s="64">
        <f>F458*H458</f>
        <v/>
      </c>
      <c r="J458" s="64" t="n">
        <v>955</v>
      </c>
      <c r="K458" s="64">
        <f>F458*J458</f>
        <v/>
      </c>
      <c r="L458" s="64" t="n">
        <v>336</v>
      </c>
      <c r="M458" s="64">
        <f>F458*L458</f>
        <v/>
      </c>
      <c r="N458" s="64">
        <f>H458+J458+L458</f>
        <v/>
      </c>
      <c r="O458" s="64">
        <f>I458+K458+M458</f>
        <v/>
      </c>
      <c r="Q458" t="inlineStr">
        <is>
          <t>토사</t>
        </is>
      </c>
    </row>
    <row r="459" ht="24" customHeight="1" s="34">
      <c r="A459" t="inlineStr">
        <is>
          <t>01 토목</t>
        </is>
      </c>
      <c r="B459" t="inlineStr">
        <is>
          <t>8. 하수처리장</t>
        </is>
      </c>
      <c r="C459" t="n">
        <v>2</v>
      </c>
      <c r="D459" t="inlineStr">
        <is>
          <t>나). 뒤채움 및 다짐</t>
        </is>
      </c>
      <c r="E459" t="inlineStr">
        <is>
          <t>대형장비</t>
        </is>
      </c>
      <c r="F459" t="n">
        <v>264</v>
      </c>
      <c r="G459" t="inlineStr">
        <is>
          <t>㎥</t>
        </is>
      </c>
      <c r="H459" s="64" t="n">
        <v>1694</v>
      </c>
      <c r="I459" s="64">
        <f>F459*H459</f>
        <v/>
      </c>
      <c r="J459" s="64" t="n">
        <v>6166</v>
      </c>
      <c r="K459" s="64">
        <f>F459*J459</f>
        <v/>
      </c>
      <c r="L459" s="64" t="n">
        <v>1825</v>
      </c>
      <c r="M459" s="64">
        <f>F459*L459</f>
        <v/>
      </c>
      <c r="N459" s="64">
        <f>H459+J459+L459</f>
        <v/>
      </c>
      <c r="O459" s="64">
        <f>I459+K459+M459</f>
        <v/>
      </c>
      <c r="Q459" t="inlineStr">
        <is>
          <t>뒤채움 및 다짐</t>
        </is>
      </c>
    </row>
    <row r="460" ht="24" customHeight="1" s="34">
      <c r="A460" t="inlineStr">
        <is>
          <t>01 토목</t>
        </is>
      </c>
      <c r="B460" t="inlineStr">
        <is>
          <t>8. 하수처리장</t>
        </is>
      </c>
      <c r="C460" t="n">
        <v>3</v>
      </c>
      <c r="D460" t="inlineStr">
        <is>
          <t>가). 콘크리트타설(펌프차,철근)</t>
        </is>
      </c>
      <c r="E460" t="inlineStr">
        <is>
          <t>S:15cm, TYPE-2</t>
        </is>
      </c>
      <c r="F460" t="n">
        <v>110</v>
      </c>
      <c r="G460" t="inlineStr">
        <is>
          <t>㎥</t>
        </is>
      </c>
      <c r="H460" s="64" t="n">
        <v>2470</v>
      </c>
      <c r="I460" s="64">
        <f>F460*H460</f>
        <v/>
      </c>
      <c r="J460" s="64" t="n">
        <v>16046</v>
      </c>
      <c r="K460" s="64">
        <f>F460*J460</f>
        <v/>
      </c>
      <c r="L460" s="64" t="n">
        <v>4186</v>
      </c>
      <c r="M460" s="64">
        <f>F460*L460</f>
        <v/>
      </c>
      <c r="N460" s="64">
        <f>H460+J460+L460</f>
        <v/>
      </c>
      <c r="O460" s="64">
        <f>I460+K460+M460</f>
        <v/>
      </c>
      <c r="Q460" t="inlineStr">
        <is>
          <t>콘크리트타설</t>
        </is>
      </c>
    </row>
    <row r="461" ht="24" customHeight="1" s="34">
      <c r="A461" t="inlineStr">
        <is>
          <t>01 토목</t>
        </is>
      </c>
      <c r="B461" t="inlineStr">
        <is>
          <t>8. 하수처리장</t>
        </is>
      </c>
      <c r="C461" t="n">
        <v>4</v>
      </c>
      <c r="D461" t="inlineStr">
        <is>
          <t>나). 콘크리트타설</t>
        </is>
      </c>
      <c r="E461" t="inlineStr">
        <is>
          <t>장비사용, 무근구조물</t>
        </is>
      </c>
      <c r="F461" t="n">
        <v>6</v>
      </c>
      <c r="G461" t="inlineStr">
        <is>
          <t>㎥</t>
        </is>
      </c>
      <c r="H461" s="64" t="n">
        <v>5963</v>
      </c>
      <c r="I461" s="64">
        <f>F461*H461</f>
        <v/>
      </c>
      <c r="J461" s="64" t="n">
        <v>50648</v>
      </c>
      <c r="K461" s="64">
        <f>F461*J461</f>
        <v/>
      </c>
      <c r="L461" s="64" t="n">
        <v>6730</v>
      </c>
      <c r="M461" s="64">
        <f>F461*L461</f>
        <v/>
      </c>
      <c r="N461" s="64">
        <f>H461+J461+L461</f>
        <v/>
      </c>
      <c r="O461" s="64">
        <f>I461+K461+M461</f>
        <v/>
      </c>
      <c r="Q461" t="inlineStr">
        <is>
          <t>콘크리트타설</t>
        </is>
      </c>
    </row>
    <row r="462" ht="24" customHeight="1" s="34">
      <c r="A462" t="inlineStr">
        <is>
          <t>01 토목</t>
        </is>
      </c>
      <c r="B462" t="inlineStr">
        <is>
          <t>8. 하수처리장</t>
        </is>
      </c>
      <c r="C462" t="n">
        <v>5</v>
      </c>
      <c r="D462" t="inlineStr">
        <is>
          <t>다). 거푸집</t>
        </is>
      </c>
      <c r="E462" t="inlineStr">
        <is>
          <t>합판3회(복잡)</t>
        </is>
      </c>
      <c r="F462" t="n">
        <v>47</v>
      </c>
      <c r="G462" t="inlineStr">
        <is>
          <t>㎡</t>
        </is>
      </c>
      <c r="H462" s="64" t="n">
        <v>378</v>
      </c>
      <c r="I462" s="64">
        <f>F462*H462</f>
        <v/>
      </c>
      <c r="J462" s="64" t="n">
        <v>37806</v>
      </c>
      <c r="K462" s="64">
        <f>F462*J462</f>
        <v/>
      </c>
      <c r="L462" s="64" t="n">
        <v>0</v>
      </c>
      <c r="M462" s="64">
        <f>F462*L462</f>
        <v/>
      </c>
      <c r="N462" s="64">
        <f>H462+J462+L462</f>
        <v/>
      </c>
      <c r="O462" s="64">
        <f>I462+K462+M462</f>
        <v/>
      </c>
      <c r="Q462" t="inlineStr">
        <is>
          <t>거푸집</t>
        </is>
      </c>
    </row>
    <row r="463" ht="24" customHeight="1" s="34">
      <c r="A463" t="inlineStr">
        <is>
          <t>01 토목</t>
        </is>
      </c>
      <c r="B463" t="inlineStr">
        <is>
          <t>8. 하수처리장</t>
        </is>
      </c>
      <c r="C463" t="n">
        <v>6</v>
      </c>
      <c r="D463" t="inlineStr">
        <is>
          <t>라). 거푸집</t>
        </is>
      </c>
      <c r="E463" t="inlineStr">
        <is>
          <t>합판6회(간단)</t>
        </is>
      </c>
      <c r="F463" t="n">
        <v>3</v>
      </c>
      <c r="G463" t="inlineStr">
        <is>
          <t>㎡</t>
        </is>
      </c>
      <c r="H463" s="64" t="n">
        <v>378</v>
      </c>
      <c r="I463" s="64">
        <f>F463*H463</f>
        <v/>
      </c>
      <c r="J463" s="64" t="n">
        <v>37806</v>
      </c>
      <c r="K463" s="64">
        <f>F463*J463</f>
        <v/>
      </c>
      <c r="L463" s="64" t="n">
        <v>0</v>
      </c>
      <c r="M463" s="64">
        <f>F463*L463</f>
        <v/>
      </c>
      <c r="N463" s="64">
        <f>H463+J463+L463</f>
        <v/>
      </c>
      <c r="O463" s="64">
        <f>I463+K463+M463</f>
        <v/>
      </c>
      <c r="Q463" t="inlineStr">
        <is>
          <t>거푸집</t>
        </is>
      </c>
    </row>
    <row r="464" ht="24" customHeight="1" s="34">
      <c r="A464" t="inlineStr">
        <is>
          <t>01 토목</t>
        </is>
      </c>
      <c r="B464" t="inlineStr">
        <is>
          <t>8. 하수처리장</t>
        </is>
      </c>
      <c r="C464" t="n">
        <v>7</v>
      </c>
      <c r="D464" t="inlineStr">
        <is>
          <t>마). 유로폼 조립.해체</t>
        </is>
      </c>
      <c r="E464" t="inlineStr">
        <is>
          <t>벽체</t>
        </is>
      </c>
      <c r="F464" t="n">
        <v>362</v>
      </c>
      <c r="G464" t="inlineStr">
        <is>
          <t>㎡</t>
        </is>
      </c>
      <c r="H464" s="64" t="n">
        <v>68</v>
      </c>
      <c r="I464" s="64">
        <f>F464*H464</f>
        <v/>
      </c>
      <c r="J464" s="64" t="n">
        <v>1619</v>
      </c>
      <c r="K464" s="64">
        <f>F464*J464</f>
        <v/>
      </c>
      <c r="L464" s="64" t="n">
        <v>0</v>
      </c>
      <c r="M464" s="64">
        <f>F464*L464</f>
        <v/>
      </c>
      <c r="N464" s="64">
        <f>H464+J464+L464</f>
        <v/>
      </c>
      <c r="O464" s="64">
        <f>I464+K464+M464</f>
        <v/>
      </c>
      <c r="Q464" t="inlineStr">
        <is>
          <t>벽체</t>
        </is>
      </c>
    </row>
    <row r="465" ht="24" customHeight="1" s="34">
      <c r="A465" t="inlineStr">
        <is>
          <t>01 토목</t>
        </is>
      </c>
      <c r="B465" t="inlineStr">
        <is>
          <t>8. 하수처리장</t>
        </is>
      </c>
      <c r="C465" t="n">
        <v>8</v>
      </c>
      <c r="D465" t="inlineStr">
        <is>
          <t>바). 철근가공조립(현장)</t>
        </is>
      </c>
      <c r="E465" t="inlineStr">
        <is>
          <t>TYPE-2-1</t>
        </is>
      </c>
      <c r="F465" t="n">
        <v>11.559</v>
      </c>
      <c r="G465" t="inlineStr">
        <is>
          <t>ton</t>
        </is>
      </c>
      <c r="H465" s="64" t="n">
        <v>46413</v>
      </c>
      <c r="I465" s="64">
        <f>F465*H465</f>
        <v/>
      </c>
      <c r="J465" s="64" t="n">
        <v>1492954</v>
      </c>
      <c r="K465" s="64">
        <f>F465*J465</f>
        <v/>
      </c>
      <c r="L465" s="64" t="n">
        <v>0</v>
      </c>
      <c r="M465" s="64">
        <f>F465*L465</f>
        <v/>
      </c>
      <c r="N465" s="64">
        <f>H465+J465+L465</f>
        <v/>
      </c>
      <c r="O465" s="64">
        <f>I465+K465+M465</f>
        <v/>
      </c>
      <c r="Q465" t="inlineStr">
        <is>
          <t>철근가공조립</t>
        </is>
      </c>
    </row>
    <row r="466" ht="24" customHeight="1" s="34">
      <c r="A466" t="inlineStr">
        <is>
          <t>01 토목</t>
        </is>
      </c>
      <c r="B466" t="inlineStr">
        <is>
          <t>8. 하수처리장</t>
        </is>
      </c>
      <c r="C466" t="n">
        <v>9</v>
      </c>
      <c r="D466" t="inlineStr">
        <is>
          <t>사). 시스템비계</t>
        </is>
      </c>
      <c r="E466" t="inlineStr">
        <is>
          <t>10m이하-3개월사용</t>
        </is>
      </c>
      <c r="F466" t="n">
        <v>201</v>
      </c>
      <c r="G466" t="inlineStr">
        <is>
          <t>㎡</t>
        </is>
      </c>
      <c r="H466" s="64" t="n">
        <v>498</v>
      </c>
      <c r="I466" s="64">
        <f>F466*H466</f>
        <v/>
      </c>
      <c r="J466" s="64" t="n">
        <v>16083</v>
      </c>
      <c r="K466" s="64">
        <f>F466*J466</f>
        <v/>
      </c>
      <c r="L466" s="64" t="n">
        <v>0</v>
      </c>
      <c r="M466" s="64">
        <f>F466*L466</f>
        <v/>
      </c>
      <c r="N466" s="64">
        <f>H466+J466+L466</f>
        <v/>
      </c>
      <c r="O466" s="64">
        <f>I466+K466+M466</f>
        <v/>
      </c>
      <c r="Q466" t="inlineStr">
        <is>
          <t>시스템비계</t>
        </is>
      </c>
    </row>
    <row r="467" ht="24" customHeight="1" s="34">
      <c r="A467" t="inlineStr">
        <is>
          <t>01 토목</t>
        </is>
      </c>
      <c r="B467" t="inlineStr">
        <is>
          <t>8. 하수처리장</t>
        </is>
      </c>
      <c r="C467" t="n">
        <v>10</v>
      </c>
      <c r="D467" t="inlineStr">
        <is>
          <t>아). 시스템동바리</t>
        </is>
      </c>
      <c r="E467" t="inlineStr">
        <is>
          <t>10m이하-3개월사용</t>
        </is>
      </c>
      <c r="F467" t="n">
        <v>130</v>
      </c>
      <c r="G467" t="inlineStr">
        <is>
          <t>공/㎥</t>
        </is>
      </c>
      <c r="H467" s="64" t="n">
        <v>4500</v>
      </c>
      <c r="I467" s="64">
        <f>F467*H467</f>
        <v/>
      </c>
      <c r="J467" s="64" t="n">
        <v>7500</v>
      </c>
      <c r="K467" s="64">
        <f>F467*J467</f>
        <v/>
      </c>
      <c r="L467" s="64" t="n"/>
      <c r="M467" s="64">
        <f>F467*L467</f>
        <v/>
      </c>
      <c r="N467" s="64">
        <f>H467+J467+L467</f>
        <v/>
      </c>
      <c r="O467" s="64">
        <f>I467+K467+M467</f>
        <v/>
      </c>
      <c r="P467" t="inlineStr">
        <is>
          <t>가영현</t>
        </is>
      </c>
      <c r="Q467" t="inlineStr">
        <is>
          <t>10m이하-3개월사용, 시스템동바리</t>
        </is>
      </c>
    </row>
    <row r="468" ht="24" customHeight="1" s="34">
      <c r="A468" t="inlineStr">
        <is>
          <t>01 토목</t>
        </is>
      </c>
      <c r="B468" t="inlineStr">
        <is>
          <t>8. 하수처리장</t>
        </is>
      </c>
      <c r="C468" t="n">
        <v>11</v>
      </c>
      <c r="D468" t="inlineStr">
        <is>
          <t>자). 스페이셔설치</t>
        </is>
      </c>
      <c r="E468" t="inlineStr">
        <is>
          <t>수평</t>
        </is>
      </c>
      <c r="F468" t="n">
        <v>47</v>
      </c>
      <c r="G468" t="inlineStr">
        <is>
          <t>㎡</t>
        </is>
      </c>
      <c r="H468" s="64" t="n">
        <v>500</v>
      </c>
      <c r="I468" s="64">
        <f>F468*H468</f>
        <v/>
      </c>
      <c r="J468" s="64" t="n">
        <v>1000</v>
      </c>
      <c r="K468" s="64">
        <f>F468*J468</f>
        <v/>
      </c>
      <c r="L468" s="64" t="n"/>
      <c r="M468" s="64">
        <f>F468*L468</f>
        <v/>
      </c>
      <c r="N468" s="64">
        <f>H468+J468+L468</f>
        <v/>
      </c>
      <c r="O468" s="64">
        <f>I468+K468+M468</f>
        <v/>
      </c>
      <c r="P468" t="inlineStr">
        <is>
          <t>가영현</t>
        </is>
      </c>
      <c r="Q468" t="inlineStr">
        <is>
          <t>수평</t>
        </is>
      </c>
    </row>
    <row r="469" ht="24" customHeight="1" s="34">
      <c r="A469" t="inlineStr">
        <is>
          <t>01 토목</t>
        </is>
      </c>
      <c r="B469" t="inlineStr">
        <is>
          <t>8. 하수처리장</t>
        </is>
      </c>
      <c r="C469" t="n">
        <v>12</v>
      </c>
      <c r="D469" t="inlineStr">
        <is>
          <t>차). 스페이셔설치</t>
        </is>
      </c>
      <c r="E469" t="inlineStr">
        <is>
          <t>수직</t>
        </is>
      </c>
      <c r="F469" t="n">
        <v>362</v>
      </c>
      <c r="G469" t="inlineStr">
        <is>
          <t>㎡</t>
        </is>
      </c>
      <c r="H469" s="64" t="n">
        <v>623</v>
      </c>
      <c r="I469" s="64">
        <f>F469*H469</f>
        <v/>
      </c>
      <c r="J469" s="64" t="n">
        <v>9748</v>
      </c>
      <c r="K469" s="64">
        <f>F469*J469</f>
        <v/>
      </c>
      <c r="L469" s="64" t="n">
        <v>0</v>
      </c>
      <c r="M469" s="64">
        <f>F469*L469</f>
        <v/>
      </c>
      <c r="N469" s="64">
        <f>H469+J469+L469</f>
        <v/>
      </c>
      <c r="O469" s="64">
        <f>I469+K469+M469</f>
        <v/>
      </c>
      <c r="Q469" t="inlineStr">
        <is>
          <t>수직</t>
        </is>
      </c>
    </row>
    <row r="470" ht="24" customHeight="1" s="34">
      <c r="A470" t="inlineStr">
        <is>
          <t>01 토목</t>
        </is>
      </c>
      <c r="B470" t="inlineStr">
        <is>
          <t>8. 하수처리장</t>
        </is>
      </c>
      <c r="C470" t="n">
        <v>13</v>
      </c>
      <c r="D470" t="inlineStr">
        <is>
          <t>카). 콘크리트치핑</t>
        </is>
      </c>
      <c r="F470" t="n">
        <v>30</v>
      </c>
      <c r="G470" t="inlineStr">
        <is>
          <t>㎡</t>
        </is>
      </c>
      <c r="H470" s="64" t="n">
        <v>2446</v>
      </c>
      <c r="I470" s="64">
        <f>F470*H470</f>
        <v/>
      </c>
      <c r="J470" s="64" t="n">
        <v>30575</v>
      </c>
      <c r="K470" s="64">
        <f>F470*J470</f>
        <v/>
      </c>
      <c r="L470" s="64" t="n">
        <v>0</v>
      </c>
      <c r="M470" s="64">
        <f>F470*L470</f>
        <v/>
      </c>
      <c r="N470" s="64">
        <f>H470+J470+L470</f>
        <v/>
      </c>
      <c r="O470" s="64">
        <f>I470+K470+M470</f>
        <v/>
      </c>
      <c r="Q470" t="inlineStr">
        <is>
          <t>콘크리트치핑</t>
        </is>
      </c>
    </row>
    <row r="471" ht="24" customHeight="1" s="34">
      <c r="A471" t="inlineStr">
        <is>
          <t>01 토목</t>
        </is>
      </c>
      <c r="B471" t="inlineStr">
        <is>
          <t>8. 하수처리장</t>
        </is>
      </c>
      <c r="C471" t="n">
        <v>14</v>
      </c>
      <c r="D471" t="inlineStr">
        <is>
          <t>타). 지수판 설치(PVC 용접)</t>
        </is>
      </c>
      <c r="E471" t="inlineStr">
        <is>
          <t>200×5t</t>
        </is>
      </c>
      <c r="F471" t="n">
        <v>80</v>
      </c>
      <c r="G471" t="inlineStr">
        <is>
          <t>m</t>
        </is>
      </c>
      <c r="H471" s="64" t="n">
        <v>1574</v>
      </c>
      <c r="I471" s="64">
        <f>F471*H471</f>
        <v/>
      </c>
      <c r="J471" s="64" t="n">
        <v>52498</v>
      </c>
      <c r="K471" s="64">
        <f>F471*J471</f>
        <v/>
      </c>
      <c r="L471" s="64" t="n">
        <v>0</v>
      </c>
      <c r="M471" s="64">
        <f>F471*L471</f>
        <v/>
      </c>
      <c r="N471" s="64">
        <f>H471+J471+L471</f>
        <v/>
      </c>
      <c r="O471" s="64">
        <f>I471+K471+M471</f>
        <v/>
      </c>
      <c r="Q471" t="inlineStr">
        <is>
          <t>지수판 설치</t>
        </is>
      </c>
    </row>
    <row r="472" ht="24" customHeight="1" s="34">
      <c r="A472" t="inlineStr">
        <is>
          <t>01 토목</t>
        </is>
      </c>
      <c r="B472" t="inlineStr">
        <is>
          <t>8. 하수처리장</t>
        </is>
      </c>
      <c r="C472" t="n">
        <v>15</v>
      </c>
      <c r="D472" t="inlineStr">
        <is>
          <t>파). 외부방수(폴리우레아도막방수)</t>
        </is>
      </c>
      <c r="E472" t="inlineStr">
        <is>
          <t>t=2.0mm, 현장설치도</t>
        </is>
      </c>
      <c r="F472" t="n">
        <v>166</v>
      </c>
      <c r="G472" t="inlineStr">
        <is>
          <t>m2</t>
        </is>
      </c>
      <c r="H472" s="64" t="n">
        <v>6000</v>
      </c>
      <c r="I472" s="64">
        <f>F472*H472</f>
        <v/>
      </c>
      <c r="J472" s="64" t="n">
        <v>15000</v>
      </c>
      <c r="K472" s="64">
        <f>F472*J472</f>
        <v/>
      </c>
      <c r="L472" s="64" t="n"/>
      <c r="M472" s="64">
        <f>F472*L472</f>
        <v/>
      </c>
      <c r="N472" s="64">
        <f>H472+J472+L472</f>
        <v/>
      </c>
      <c r="O472" s="64">
        <f>I472+K472+M472</f>
        <v/>
      </c>
      <c r="P472" t="inlineStr">
        <is>
          <t>가영현</t>
        </is>
      </c>
      <c r="Q472" t="inlineStr">
        <is>
          <t>t=2.0mm</t>
        </is>
      </c>
    </row>
    <row r="473" ht="24" customHeight="1" s="34">
      <c r="A473" t="inlineStr">
        <is>
          <t>01 토목</t>
        </is>
      </c>
      <c r="B473" t="inlineStr">
        <is>
          <t>8. 하수처리장</t>
        </is>
      </c>
      <c r="C473" t="n">
        <v>16</v>
      </c>
      <c r="D473" t="inlineStr">
        <is>
          <t>하). 내부방수(세라믹코팅제)</t>
        </is>
      </c>
      <c r="E473" t="inlineStr">
        <is>
          <t>현장설치도</t>
        </is>
      </c>
      <c r="F473" t="n">
        <v>252</v>
      </c>
      <c r="G473" t="inlineStr">
        <is>
          <t>m2</t>
        </is>
      </c>
      <c r="H473" s="64" t="n">
        <v>4500</v>
      </c>
      <c r="I473" s="64">
        <f>F473*H473</f>
        <v/>
      </c>
      <c r="J473" s="64" t="n">
        <v>12000</v>
      </c>
      <c r="K473" s="64">
        <f>F473*J473</f>
        <v/>
      </c>
      <c r="L473" s="64" t="n"/>
      <c r="M473" s="64">
        <f>F473*L473</f>
        <v/>
      </c>
      <c r="N473" s="64">
        <f>H473+J473+L473</f>
        <v/>
      </c>
      <c r="O473" s="64">
        <f>I473+K473+M473</f>
        <v/>
      </c>
      <c r="P473" t="inlineStr">
        <is>
          <t>가영현</t>
        </is>
      </c>
      <c r="Q473" t="inlineStr">
        <is>
          <t>현장설치도, 세라믹코팅제, 내부방수</t>
        </is>
      </c>
    </row>
    <row r="474" ht="24" customHeight="1" s="34">
      <c r="A474" t="inlineStr">
        <is>
          <t>01 토목</t>
        </is>
      </c>
      <c r="B474" t="inlineStr">
        <is>
          <t>8. 하수처리장</t>
        </is>
      </c>
      <c r="C474" t="n">
        <v>17</v>
      </c>
      <c r="D474" t="inlineStr">
        <is>
          <t>갸). 바닥방수(에폭시)</t>
        </is>
      </c>
      <c r="E474" t="inlineStr">
        <is>
          <t>t=2.0mm, 현장설치도</t>
        </is>
      </c>
      <c r="F474" t="n">
        <v>57</v>
      </c>
      <c r="G474" t="inlineStr">
        <is>
          <t>m2</t>
        </is>
      </c>
      <c r="H474" s="64" t="n">
        <v>15000</v>
      </c>
      <c r="I474" s="64">
        <f>F474*H474</f>
        <v/>
      </c>
      <c r="J474" s="64" t="n">
        <v>45000</v>
      </c>
      <c r="K474" s="64">
        <f>F474*J474</f>
        <v/>
      </c>
      <c r="L474" s="64" t="n"/>
      <c r="M474" s="64">
        <f>F474*L474</f>
        <v/>
      </c>
      <c r="N474" s="64">
        <f>H474+J474+L474</f>
        <v/>
      </c>
      <c r="O474" s="64">
        <f>I474+K474+M474</f>
        <v/>
      </c>
      <c r="P474" t="inlineStr">
        <is>
          <t>가영현</t>
        </is>
      </c>
      <c r="Q474" t="inlineStr">
        <is>
          <t>t=2.0mm</t>
        </is>
      </c>
    </row>
    <row r="475" ht="24" customHeight="1" s="34">
      <c r="A475" t="inlineStr">
        <is>
          <t>01 토목</t>
        </is>
      </c>
      <c r="B475" t="inlineStr">
        <is>
          <t>8. 하수처리장</t>
        </is>
      </c>
      <c r="C475" t="n">
        <v>18</v>
      </c>
      <c r="D475" t="inlineStr">
        <is>
          <t>가). 레미콘</t>
        </is>
      </c>
      <c r="E475" t="inlineStr">
        <is>
          <t>25-27-15(Mpa)</t>
        </is>
      </c>
      <c r="F475" t="n">
        <v>111</v>
      </c>
      <c r="G475" t="inlineStr">
        <is>
          <t>㎥</t>
        </is>
      </c>
      <c r="H475" s="64" t="n">
        <v>1293</v>
      </c>
      <c r="I475" s="64">
        <f>F475*H475</f>
        <v/>
      </c>
      <c r="J475" s="64" t="n">
        <v>64674</v>
      </c>
      <c r="K475" s="64">
        <f>F475*J475</f>
        <v/>
      </c>
      <c r="L475" s="64" t="n"/>
      <c r="M475" s="64">
        <f>F475*L475</f>
        <v/>
      </c>
      <c r="N475" s="64">
        <f>H475+J475+L475</f>
        <v/>
      </c>
      <c r="O475" s="64">
        <f>I475+K475+M475</f>
        <v/>
      </c>
      <c r="P475" t="inlineStr">
        <is>
          <t>가영현</t>
        </is>
      </c>
      <c r="Q475" t="inlineStr">
        <is>
          <t>레미콘</t>
        </is>
      </c>
    </row>
    <row r="476" ht="24" customHeight="1" s="34">
      <c r="A476" t="inlineStr">
        <is>
          <t>01 토목</t>
        </is>
      </c>
      <c r="B476" t="inlineStr">
        <is>
          <t>8. 하수처리장</t>
        </is>
      </c>
      <c r="C476" t="n">
        <v>19</v>
      </c>
      <c r="D476" t="inlineStr">
        <is>
          <t>나). 레미콘</t>
        </is>
      </c>
      <c r="E476" t="inlineStr">
        <is>
          <t>25-18- 8(Mpa)</t>
        </is>
      </c>
      <c r="F476" t="n">
        <v>6</v>
      </c>
      <c r="G476" t="inlineStr">
        <is>
          <t>㎥</t>
        </is>
      </c>
      <c r="H476" s="64" t="n">
        <v>1293</v>
      </c>
      <c r="I476" s="64">
        <f>F476*H476</f>
        <v/>
      </c>
      <c r="J476" s="64" t="n">
        <v>64674</v>
      </c>
      <c r="K476" s="64">
        <f>F476*J476</f>
        <v/>
      </c>
      <c r="L476" s="64" t="n"/>
      <c r="M476" s="64">
        <f>F476*L476</f>
        <v/>
      </c>
      <c r="N476" s="64">
        <f>H476+J476+L476</f>
        <v/>
      </c>
      <c r="O476" s="64">
        <f>I476+K476+M476</f>
        <v/>
      </c>
      <c r="P476" t="inlineStr">
        <is>
          <t>가영현</t>
        </is>
      </c>
      <c r="Q476" t="inlineStr">
        <is>
          <t>레미콘</t>
        </is>
      </c>
    </row>
    <row r="477" ht="24" customHeight="1" s="34">
      <c r="A477" t="inlineStr">
        <is>
          <t>01 토목</t>
        </is>
      </c>
      <c r="B477" t="inlineStr">
        <is>
          <t>8. 하수처리장</t>
        </is>
      </c>
      <c r="C477" t="n">
        <v>20</v>
      </c>
      <c r="D477" t="inlineStr">
        <is>
          <t>다). 이형철근(고장력철근)</t>
        </is>
      </c>
      <c r="E477" t="inlineStr">
        <is>
          <t>HD13M/M 0.995KG/M SD40</t>
        </is>
      </c>
      <c r="F477" t="n">
        <v>3.9</v>
      </c>
      <c r="G477" t="inlineStr">
        <is>
          <t>TON</t>
        </is>
      </c>
      <c r="H477" s="64" t="n">
        <v>952000</v>
      </c>
      <c r="I477" s="64">
        <f>F477*H477</f>
        <v/>
      </c>
      <c r="J477" s="64" t="n">
        <v>0</v>
      </c>
      <c r="K477" s="64">
        <f>F477*J477</f>
        <v/>
      </c>
      <c r="L477" s="64" t="n">
        <v>0</v>
      </c>
      <c r="M477" s="64">
        <f>F477*L477</f>
        <v/>
      </c>
      <c r="N477" s="64">
        <f>H477+J477+L477</f>
        <v/>
      </c>
      <c r="O477" s="64">
        <f>I477+K477+M477</f>
        <v/>
      </c>
      <c r="Q477" t="inlineStr">
        <is>
          <t>이형철근</t>
        </is>
      </c>
    </row>
    <row r="478" ht="24" customHeight="1" s="34">
      <c r="A478" t="inlineStr">
        <is>
          <t>01 토목</t>
        </is>
      </c>
      <c r="B478" t="inlineStr">
        <is>
          <t>8. 하수처리장</t>
        </is>
      </c>
      <c r="C478" t="n">
        <v>21</v>
      </c>
      <c r="D478" t="inlineStr">
        <is>
          <t>라). 이형철근(고장력철근)</t>
        </is>
      </c>
      <c r="E478" t="inlineStr">
        <is>
          <t>HD16M/M 1.560KG/M SD40</t>
        </is>
      </c>
      <c r="F478" t="n">
        <v>7.381</v>
      </c>
      <c r="G478" t="inlineStr">
        <is>
          <t>TON</t>
        </is>
      </c>
      <c r="H478" s="64" t="n">
        <v>952000</v>
      </c>
      <c r="I478" s="64">
        <f>F478*H478</f>
        <v/>
      </c>
      <c r="J478" s="64" t="n">
        <v>0</v>
      </c>
      <c r="K478" s="64">
        <f>F478*J478</f>
        <v/>
      </c>
      <c r="L478" s="64" t="n">
        <v>0</v>
      </c>
      <c r="M478" s="64">
        <f>F478*L478</f>
        <v/>
      </c>
      <c r="N478" s="64">
        <f>H478+J478+L478</f>
        <v/>
      </c>
      <c r="O478" s="64">
        <f>I478+K478+M478</f>
        <v/>
      </c>
      <c r="Q478" t="inlineStr">
        <is>
          <t>이형철근</t>
        </is>
      </c>
    </row>
    <row r="479" ht="24" customHeight="1" s="34">
      <c r="A479" t="inlineStr">
        <is>
          <t>01 토목</t>
        </is>
      </c>
      <c r="B479" t="inlineStr">
        <is>
          <t>8. 하수처리장</t>
        </is>
      </c>
      <c r="C479" t="n">
        <v>22</v>
      </c>
      <c r="D479" t="inlineStr">
        <is>
          <t>마). 이형철근(고장력철근)</t>
        </is>
      </c>
      <c r="E479" t="inlineStr">
        <is>
          <t>HD19M/M 2.250KG/M SD40</t>
        </is>
      </c>
      <c r="F479" t="n">
        <v>0.625</v>
      </c>
      <c r="G479" t="inlineStr">
        <is>
          <t>TON</t>
        </is>
      </c>
      <c r="H479" s="64" t="n">
        <v>952000</v>
      </c>
      <c r="I479" s="64">
        <f>F479*H479</f>
        <v/>
      </c>
      <c r="J479" s="64" t="n">
        <v>0</v>
      </c>
      <c r="K479" s="64">
        <f>F479*J479</f>
        <v/>
      </c>
      <c r="L479" s="64" t="n">
        <v>0</v>
      </c>
      <c r="M479" s="64">
        <f>F479*L479</f>
        <v/>
      </c>
      <c r="N479" s="64">
        <f>H479+J479+L479</f>
        <v/>
      </c>
      <c r="O479" s="64">
        <f>I479+K479+M479</f>
        <v/>
      </c>
      <c r="Q479" t="inlineStr">
        <is>
          <t>이형철근</t>
        </is>
      </c>
    </row>
    <row r="480" ht="24" customHeight="1" s="34">
      <c r="A480" t="inlineStr">
        <is>
          <t>01 토목</t>
        </is>
      </c>
      <c r="B480" t="inlineStr">
        <is>
          <t>8. 하수처리장</t>
        </is>
      </c>
      <c r="C480" t="n">
        <v>23</v>
      </c>
      <c r="D480" t="inlineStr">
        <is>
          <t>바). 철근운반비</t>
        </is>
      </c>
      <c r="E480" t="inlineStr">
        <is>
          <t>L=10Km 이내</t>
        </is>
      </c>
      <c r="F480" t="n">
        <v>11.906</v>
      </c>
      <c r="G480" t="inlineStr">
        <is>
          <t>ton</t>
        </is>
      </c>
      <c r="I480" s="64">
        <f>F480*H480</f>
        <v/>
      </c>
      <c r="J480" s="64" t="n"/>
      <c r="K480" s="64">
        <f>F480*J480</f>
        <v/>
      </c>
      <c r="L480" s="64" t="n">
        <v>30000</v>
      </c>
      <c r="M480" s="64">
        <f>F480*L480</f>
        <v/>
      </c>
      <c r="N480" s="64">
        <f>H480+J480+L480</f>
        <v/>
      </c>
      <c r="O480" s="64">
        <f>I480+K480+M480</f>
        <v/>
      </c>
      <c r="P480" t="inlineStr">
        <is>
          <t>가영현</t>
        </is>
      </c>
      <c r="Q480" t="inlineStr">
        <is>
          <t>L=10Km 이내, 철근운반비</t>
        </is>
      </c>
    </row>
    <row r="481" ht="24" customHeight="1" s="34">
      <c r="A481" t="inlineStr">
        <is>
          <t>01 토목</t>
        </is>
      </c>
      <c r="B481" t="inlineStr">
        <is>
          <t>8. 하수처리장</t>
        </is>
      </c>
      <c r="C481" t="n">
        <v>24</v>
      </c>
      <c r="D481" t="inlineStr">
        <is>
          <t>사). 고철(고재)</t>
        </is>
      </c>
      <c r="E481" t="inlineStr">
        <is>
          <t>중량A</t>
        </is>
      </c>
      <c r="F481" t="n">
        <v>0.347</v>
      </c>
      <c r="G481" t="inlineStr">
        <is>
          <t>Ton</t>
        </is>
      </c>
      <c r="H481" s="64" t="n">
        <v>-100000</v>
      </c>
      <c r="I481" s="64">
        <f>F481*H481</f>
        <v/>
      </c>
      <c r="J481" s="64" t="n"/>
      <c r="K481" s="64">
        <f>F481*J481</f>
        <v/>
      </c>
      <c r="L481" s="64" t="n"/>
      <c r="M481" s="64">
        <f>F481*L481</f>
        <v/>
      </c>
      <c r="N481" s="64">
        <f>H481+J481+L481</f>
        <v/>
      </c>
      <c r="O481" s="64">
        <f>I481+K481+M481</f>
        <v/>
      </c>
      <c r="P481" t="inlineStr">
        <is>
          <t>가영현</t>
        </is>
      </c>
      <c r="Q481" t="inlineStr">
        <is>
          <t>중량A, 고재, 고철</t>
        </is>
      </c>
    </row>
    <row r="482" ht="24" customHeight="1" s="34">
      <c r="A482" t="inlineStr">
        <is>
          <t>01 토목</t>
        </is>
      </c>
      <c r="B482" t="inlineStr">
        <is>
          <t>8. 하수처리장</t>
        </is>
      </c>
      <c r="C482" t="n">
        <v>25</v>
      </c>
      <c r="D482" t="inlineStr">
        <is>
          <t>가). 구조물터파기(토사)</t>
        </is>
      </c>
      <c r="E482" t="inlineStr">
        <is>
          <t>TYPE-1, 굴착기1.0, 기계100%</t>
        </is>
      </c>
      <c r="F482" t="n">
        <v>63</v>
      </c>
      <c r="G482" t="inlineStr">
        <is>
          <t>㎥</t>
        </is>
      </c>
      <c r="H482" s="64" t="n">
        <v>447</v>
      </c>
      <c r="I482" s="64">
        <f>F482*H482</f>
        <v/>
      </c>
      <c r="J482" s="64" t="n">
        <v>955</v>
      </c>
      <c r="K482" s="64">
        <f>F482*J482</f>
        <v/>
      </c>
      <c r="L482" s="64" t="n">
        <v>336</v>
      </c>
      <c r="M482" s="64">
        <f>F482*L482</f>
        <v/>
      </c>
      <c r="N482" s="64">
        <f>H482+J482+L482</f>
        <v/>
      </c>
      <c r="O482" s="64">
        <f>I482+K482+M482</f>
        <v/>
      </c>
      <c r="Q482" t="inlineStr">
        <is>
          <t>토사</t>
        </is>
      </c>
    </row>
    <row r="483" ht="24" customHeight="1" s="34">
      <c r="A483" t="inlineStr">
        <is>
          <t>01 토목</t>
        </is>
      </c>
      <c r="B483" t="inlineStr">
        <is>
          <t>8. 하수처리장</t>
        </is>
      </c>
      <c r="C483" t="n">
        <v>26</v>
      </c>
      <c r="D483" t="inlineStr">
        <is>
          <t>나). 구조물터파기(토사)</t>
        </is>
      </c>
      <c r="E483" t="inlineStr">
        <is>
          <t>기계90%+인력10%, 보통토사</t>
        </is>
      </c>
      <c r="F483" t="n">
        <v>16</v>
      </c>
      <c r="G483" t="inlineStr">
        <is>
          <t>㎥</t>
        </is>
      </c>
      <c r="H483" s="64" t="n">
        <v>0</v>
      </c>
      <c r="I483" s="64">
        <f>F483*H483</f>
        <v/>
      </c>
      <c r="J483" s="64" t="n">
        <v>33455</v>
      </c>
      <c r="K483" s="64">
        <f>F483*J483</f>
        <v/>
      </c>
      <c r="L483" s="64" t="n">
        <v>0</v>
      </c>
      <c r="M483" s="64">
        <f>F483*L483</f>
        <v/>
      </c>
      <c r="N483" s="64">
        <f>H483+J483+L483</f>
        <v/>
      </c>
      <c r="O483" s="64">
        <f>I483+K483+M483</f>
        <v/>
      </c>
      <c r="Q483" t="inlineStr">
        <is>
          <t>토사</t>
        </is>
      </c>
    </row>
    <row r="484" ht="24" customHeight="1" s="34">
      <c r="A484" t="inlineStr">
        <is>
          <t>01 토목</t>
        </is>
      </c>
      <c r="B484" t="inlineStr">
        <is>
          <t>8. 하수처리장</t>
        </is>
      </c>
      <c r="C484" t="n">
        <v>27</v>
      </c>
      <c r="D484" t="inlineStr">
        <is>
          <t>다). 터파기(토사)</t>
        </is>
      </c>
      <c r="E484" t="inlineStr">
        <is>
          <t>인력100%</t>
        </is>
      </c>
      <c r="F484" t="n">
        <v>18</v>
      </c>
      <c r="G484" t="inlineStr">
        <is>
          <t>㎥</t>
        </is>
      </c>
      <c r="H484" s="64" t="n">
        <v>0</v>
      </c>
      <c r="I484" s="64">
        <f>F484*H484</f>
        <v/>
      </c>
      <c r="J484" s="64" t="n">
        <v>33455</v>
      </c>
      <c r="K484" s="64">
        <f>F484*J484</f>
        <v/>
      </c>
      <c r="L484" s="64" t="n">
        <v>0</v>
      </c>
      <c r="M484" s="64">
        <f>F484*L484</f>
        <v/>
      </c>
      <c r="N484" s="64">
        <f>H484+J484+L484</f>
        <v/>
      </c>
      <c r="O484" s="64">
        <f>I484+K484+M484</f>
        <v/>
      </c>
      <c r="Q484" t="inlineStr">
        <is>
          <t>토사</t>
        </is>
      </c>
    </row>
    <row r="485" ht="24" customHeight="1" s="34">
      <c r="A485" t="inlineStr">
        <is>
          <t>01 토목</t>
        </is>
      </c>
      <c r="B485" t="inlineStr">
        <is>
          <t>8. 하수처리장</t>
        </is>
      </c>
      <c r="C485" t="n">
        <v>28</v>
      </c>
      <c r="D485" t="inlineStr">
        <is>
          <t>라). 되메우기 및 다짐(토사)</t>
        </is>
      </c>
      <c r="E485" t="inlineStr">
        <is>
          <t>백호0.7+플레이트콤펙터1.5ton</t>
        </is>
      </c>
      <c r="F485" t="n">
        <v>92</v>
      </c>
      <c r="G485" t="inlineStr">
        <is>
          <t>㎥</t>
        </is>
      </c>
      <c r="H485" s="64" t="n">
        <v>1652</v>
      </c>
      <c r="I485" s="64">
        <f>F485*H485</f>
        <v/>
      </c>
      <c r="J485" s="64" t="n">
        <v>3924</v>
      </c>
      <c r="K485" s="64">
        <f>F485*J485</f>
        <v/>
      </c>
      <c r="L485" s="64" t="n">
        <v>1432</v>
      </c>
      <c r="M485" s="64">
        <f>F485*L485</f>
        <v/>
      </c>
      <c r="N485" s="64">
        <f>H485+J485+L485</f>
        <v/>
      </c>
      <c r="O485" s="64">
        <f>I485+K485+M485</f>
        <v/>
      </c>
      <c r="Q485" t="inlineStr">
        <is>
          <t>되메우기 및 다짐</t>
        </is>
      </c>
    </row>
    <row r="486" ht="24" customHeight="1" s="34">
      <c r="A486" t="inlineStr">
        <is>
          <t>01 토목</t>
        </is>
      </c>
      <c r="B486" t="inlineStr">
        <is>
          <t>8. 하수처리장</t>
        </is>
      </c>
      <c r="C486" t="n">
        <v>29</v>
      </c>
      <c r="D486" t="inlineStr">
        <is>
          <t>마). 잔토처리(토사)</t>
        </is>
      </c>
      <c r="E486" t="inlineStr">
        <is>
          <t>기계100%</t>
        </is>
      </c>
      <c r="F486" t="n">
        <v>5</v>
      </c>
      <c r="G486" t="inlineStr">
        <is>
          <t>㎥</t>
        </is>
      </c>
      <c r="H486" s="64" t="n">
        <v>447</v>
      </c>
      <c r="I486" s="64">
        <f>F486*H486</f>
        <v/>
      </c>
      <c r="J486" s="64" t="n">
        <v>955</v>
      </c>
      <c r="K486" s="64">
        <f>F486*J486</f>
        <v/>
      </c>
      <c r="L486" s="64" t="n">
        <v>336</v>
      </c>
      <c r="M486" s="64">
        <f>F486*L486</f>
        <v/>
      </c>
      <c r="N486" s="64">
        <f>H486+J486+L486</f>
        <v/>
      </c>
      <c r="O486" s="64">
        <f>I486+K486+M486</f>
        <v/>
      </c>
      <c r="Q486" t="inlineStr">
        <is>
          <t>토사</t>
        </is>
      </c>
    </row>
    <row r="487" ht="24" customHeight="1" s="34">
      <c r="A487" t="inlineStr">
        <is>
          <t>01 토목</t>
        </is>
      </c>
      <c r="B487" t="inlineStr">
        <is>
          <t>8. 하수처리장</t>
        </is>
      </c>
      <c r="C487" t="n">
        <v>30</v>
      </c>
      <c r="D487" t="inlineStr">
        <is>
          <t>가). 아스팔트 표층 기계포설(대형장비)</t>
        </is>
      </c>
      <c r="E487" t="inlineStr">
        <is>
          <t>3.0m≤B, T=5cm</t>
        </is>
      </c>
      <c r="F487" t="n">
        <v>142</v>
      </c>
      <c r="G487" t="inlineStr">
        <is>
          <t>㎡</t>
        </is>
      </c>
      <c r="H487" s="64" t="n">
        <v>177</v>
      </c>
      <c r="I487" s="64">
        <f>F487*H487</f>
        <v/>
      </c>
      <c r="J487" s="64" t="n">
        <v>1249</v>
      </c>
      <c r="K487" s="64">
        <f>F487*J487</f>
        <v/>
      </c>
      <c r="L487" s="64" t="n">
        <v>311</v>
      </c>
      <c r="M487" s="64">
        <f>F487*L487</f>
        <v/>
      </c>
      <c r="N487" s="64">
        <f>H487+J487+L487</f>
        <v/>
      </c>
      <c r="O487" s="64">
        <f>I487+K487+M487</f>
        <v/>
      </c>
      <c r="Q487" t="inlineStr">
        <is>
          <t>대형장비</t>
        </is>
      </c>
    </row>
    <row r="488" ht="24" customHeight="1" s="34">
      <c r="A488" t="inlineStr">
        <is>
          <t>01 토목</t>
        </is>
      </c>
      <c r="B488" t="inlineStr">
        <is>
          <t>8. 하수처리장</t>
        </is>
      </c>
      <c r="C488" t="n">
        <v>31</v>
      </c>
      <c r="D488" t="inlineStr">
        <is>
          <t>나). 아스팔트 기층 기계포설(대형장비)</t>
        </is>
      </c>
      <c r="E488" t="inlineStr">
        <is>
          <t>3.0m≤B, T=13cm</t>
        </is>
      </c>
      <c r="F488" t="n">
        <v>142</v>
      </c>
      <c r="G488" t="inlineStr">
        <is>
          <t>㎡</t>
        </is>
      </c>
      <c r="H488" s="64" t="n">
        <v>0</v>
      </c>
      <c r="I488" s="64">
        <f>F488*H488</f>
        <v/>
      </c>
      <c r="J488" s="64" t="n">
        <v>0</v>
      </c>
      <c r="K488" s="64">
        <f>F488*J488</f>
        <v/>
      </c>
      <c r="L488" s="64" t="n">
        <v>0</v>
      </c>
      <c r="M488" s="64">
        <f>F488*L488</f>
        <v/>
      </c>
      <c r="N488" s="64">
        <f>H488+J488+L488</f>
        <v/>
      </c>
      <c r="O488" s="64">
        <f>I488+K488+M488</f>
        <v/>
      </c>
      <c r="Q488" t="inlineStr">
        <is>
          <t>대형장비</t>
        </is>
      </c>
    </row>
    <row r="489" ht="24" customHeight="1" s="34">
      <c r="A489" t="inlineStr">
        <is>
          <t>01 토목</t>
        </is>
      </c>
      <c r="B489" t="inlineStr">
        <is>
          <t>8. 하수처리장</t>
        </is>
      </c>
      <c r="C489" t="n">
        <v>32</v>
      </c>
      <c r="D489" t="inlineStr">
        <is>
          <t>다). 텍코팅(기계식)</t>
        </is>
      </c>
      <c r="E489" t="inlineStr">
        <is>
          <t>RSC-4:45ℓ/a</t>
        </is>
      </c>
      <c r="F489" t="n">
        <v>142</v>
      </c>
      <c r="G489" t="inlineStr">
        <is>
          <t>㎡</t>
        </is>
      </c>
      <c r="H489" s="64" t="n">
        <v>11</v>
      </c>
      <c r="I489" s="64">
        <f>F489*H489</f>
        <v/>
      </c>
      <c r="J489" s="64" t="n">
        <v>36</v>
      </c>
      <c r="K489" s="64">
        <f>F489*J489</f>
        <v/>
      </c>
      <c r="L489" s="64" t="n">
        <v>1</v>
      </c>
      <c r="M489" s="64">
        <f>F489*L489</f>
        <v/>
      </c>
      <c r="N489" s="64">
        <f>H489+J489+L489</f>
        <v/>
      </c>
      <c r="O489" s="64">
        <f>I489+K489+M489</f>
        <v/>
      </c>
      <c r="Q489" t="inlineStr">
        <is>
          <t>텍코팅</t>
        </is>
      </c>
    </row>
    <row r="490" ht="24" customHeight="1" s="34">
      <c r="A490" t="inlineStr">
        <is>
          <t>01 토목</t>
        </is>
      </c>
      <c r="B490" t="inlineStr">
        <is>
          <t>8. 하수처리장</t>
        </is>
      </c>
      <c r="C490" t="n">
        <v>33</v>
      </c>
      <c r="D490" t="inlineStr">
        <is>
          <t>라). 프라임코팅(기계식)</t>
        </is>
      </c>
      <c r="E490" t="inlineStr">
        <is>
          <t>RSC-3:150ℓ/a</t>
        </is>
      </c>
      <c r="F490" t="n">
        <v>142</v>
      </c>
      <c r="G490" t="inlineStr">
        <is>
          <t>㎡</t>
        </is>
      </c>
      <c r="H490" s="64" t="n">
        <v>11</v>
      </c>
      <c r="I490" s="64">
        <f>F490*H490</f>
        <v/>
      </c>
      <c r="J490" s="64" t="n">
        <v>36</v>
      </c>
      <c r="K490" s="64">
        <f>F490*J490</f>
        <v/>
      </c>
      <c r="L490" s="64" t="n">
        <v>1</v>
      </c>
      <c r="M490" s="64">
        <f>F490*L490</f>
        <v/>
      </c>
      <c r="N490" s="64">
        <f>H490+J490+L490</f>
        <v/>
      </c>
      <c r="O490" s="64">
        <f>I490+K490+M490</f>
        <v/>
      </c>
      <c r="Q490" t="inlineStr">
        <is>
          <t>프라임코팅</t>
        </is>
      </c>
    </row>
    <row r="491" ht="24" customHeight="1" s="34">
      <c r="A491" t="inlineStr">
        <is>
          <t>01 토목</t>
        </is>
      </c>
      <c r="B491" t="inlineStr">
        <is>
          <t>8. 하수처리장</t>
        </is>
      </c>
      <c r="C491" t="n">
        <v>34</v>
      </c>
      <c r="D491" t="inlineStr">
        <is>
          <t>마). 보조기층(기계시공)</t>
        </is>
      </c>
      <c r="E491" t="inlineStr">
        <is>
          <t>본선포장, T=22cm</t>
        </is>
      </c>
      <c r="F491" t="n">
        <v>36</v>
      </c>
      <c r="G491" t="inlineStr">
        <is>
          <t>㎥</t>
        </is>
      </c>
      <c r="H491" s="64" t="n">
        <v>2216</v>
      </c>
      <c r="I491" s="64">
        <f>F491*H491</f>
        <v/>
      </c>
      <c r="J491" s="64" t="n">
        <v>7533</v>
      </c>
      <c r="K491" s="64">
        <f>F491*J491</f>
        <v/>
      </c>
      <c r="L491" s="64" t="n">
        <v>2292</v>
      </c>
      <c r="M491" s="64">
        <f>F491*L491</f>
        <v/>
      </c>
      <c r="N491" s="64">
        <f>H491+J491+L491</f>
        <v/>
      </c>
      <c r="O491" s="64">
        <f>I491+K491+M491</f>
        <v/>
      </c>
      <c r="Q491" t="inlineStr">
        <is>
          <t>기계시공</t>
        </is>
      </c>
    </row>
    <row r="492" ht="24" customHeight="1" s="34">
      <c r="A492" t="inlineStr">
        <is>
          <t>01 토목</t>
        </is>
      </c>
      <c r="B492" t="inlineStr">
        <is>
          <t>8. 하수처리장</t>
        </is>
      </c>
      <c r="C492" t="n">
        <v>35</v>
      </c>
      <c r="D492" t="inlineStr">
        <is>
          <t>가). 보차도경계석 설치</t>
        </is>
      </c>
      <c r="E492" t="inlineStr">
        <is>
          <t>180×200×1000, A-TYPE(직선구간)</t>
        </is>
      </c>
      <c r="F492" t="n">
        <v>63</v>
      </c>
      <c r="G492" t="inlineStr">
        <is>
          <t>m</t>
        </is>
      </c>
      <c r="H492" s="64" t="n">
        <v>659</v>
      </c>
      <c r="I492" s="64">
        <f>F492*H492</f>
        <v/>
      </c>
      <c r="J492" s="64" t="n">
        <v>6686</v>
      </c>
      <c r="K492" s="64">
        <f>F492*J492</f>
        <v/>
      </c>
      <c r="L492" s="64" t="n">
        <v>522</v>
      </c>
      <c r="M492" s="64">
        <f>F492*L492</f>
        <v/>
      </c>
      <c r="N492" s="64">
        <f>H492+J492+L492</f>
        <v/>
      </c>
      <c r="O492" s="64">
        <f>I492+K492+M492</f>
        <v/>
      </c>
      <c r="Q492" t="inlineStr">
        <is>
          <t>직선구간</t>
        </is>
      </c>
    </row>
    <row r="493" ht="24" customHeight="1" s="34">
      <c r="A493" t="inlineStr">
        <is>
          <t>01 토목</t>
        </is>
      </c>
      <c r="B493" t="inlineStr">
        <is>
          <t>8. 하수처리장</t>
        </is>
      </c>
      <c r="C493" t="n">
        <v>36</v>
      </c>
      <c r="D493" t="inlineStr">
        <is>
          <t>가). 차선도색(페인트,기계식),신설구간</t>
        </is>
      </c>
      <c r="E493" t="inlineStr">
        <is>
          <t>백색-실선</t>
        </is>
      </c>
      <c r="F493" t="n">
        <v>11</v>
      </c>
      <c r="G493" t="inlineStr">
        <is>
          <t>㎡</t>
        </is>
      </c>
      <c r="H493" s="64" t="n">
        <v>4840</v>
      </c>
      <c r="I493" s="64">
        <f>F493*H493</f>
        <v/>
      </c>
      <c r="J493" s="64" t="n">
        <v>3492</v>
      </c>
      <c r="K493" s="64">
        <f>F493*J493</f>
        <v/>
      </c>
      <c r="L493" s="64" t="n">
        <v>247</v>
      </c>
      <c r="M493" s="64">
        <f>F493*L493</f>
        <v/>
      </c>
      <c r="N493" s="64">
        <f>H493+J493+L493</f>
        <v/>
      </c>
      <c r="O493" s="64">
        <f>I493+K493+M493</f>
        <v/>
      </c>
      <c r="Q493" t="inlineStr">
        <is>
          <t>페인트</t>
        </is>
      </c>
    </row>
    <row r="494" ht="24" customHeight="1" s="34">
      <c r="A494" t="inlineStr">
        <is>
          <t>01 토목</t>
        </is>
      </c>
      <c r="B494" t="inlineStr">
        <is>
          <t>8. 하수처리장</t>
        </is>
      </c>
      <c r="C494" t="n">
        <v>37</v>
      </c>
      <c r="D494" t="inlineStr">
        <is>
          <t>가). 원심력철근콘크리트관 접합및부설(소켓식)</t>
        </is>
      </c>
      <c r="E494" t="inlineStr">
        <is>
          <t>Ø 250mm, 시공조건 B</t>
        </is>
      </c>
      <c r="F494" t="n">
        <v>44</v>
      </c>
      <c r="G494" t="inlineStr">
        <is>
          <t>m</t>
        </is>
      </c>
      <c r="H494" s="64" t="n">
        <v>2339</v>
      </c>
      <c r="I494" s="64">
        <f>F494*H494</f>
        <v/>
      </c>
      <c r="J494" s="64" t="n">
        <v>19375</v>
      </c>
      <c r="K494" s="64">
        <f>F494*J494</f>
        <v/>
      </c>
      <c r="L494" s="64" t="n">
        <v>2505</v>
      </c>
      <c r="M494" s="64">
        <f>F494*L494</f>
        <v/>
      </c>
      <c r="N494" s="64">
        <f>H494+J494+L494</f>
        <v/>
      </c>
      <c r="O494" s="64">
        <f>I494+K494+M494</f>
        <v/>
      </c>
      <c r="Q494" t="inlineStr">
        <is>
          <t>소켓식</t>
        </is>
      </c>
    </row>
    <row r="495" ht="24" customHeight="1" s="34">
      <c r="A495" t="inlineStr">
        <is>
          <t>01 토목</t>
        </is>
      </c>
      <c r="B495" t="inlineStr">
        <is>
          <t>8. 하수처리장</t>
        </is>
      </c>
      <c r="C495" t="n">
        <v>38</v>
      </c>
      <c r="D495" t="inlineStr">
        <is>
          <t>나). 원심력철근콘크리트관 절단</t>
        </is>
      </c>
      <c r="E495" t="inlineStr">
        <is>
          <t>Ø 250 MM</t>
        </is>
      </c>
      <c r="F495" t="n">
        <v>6</v>
      </c>
      <c r="G495" t="inlineStr">
        <is>
          <t>개소</t>
        </is>
      </c>
      <c r="H495" s="64" t="n">
        <v>0</v>
      </c>
      <c r="I495" s="64">
        <f>F495*H495</f>
        <v/>
      </c>
      <c r="J495" s="64" t="n">
        <v>13039</v>
      </c>
      <c r="K495" s="64">
        <f>F495*J495</f>
        <v/>
      </c>
      <c r="L495" s="64" t="n">
        <v>782</v>
      </c>
      <c r="M495" s="64">
        <f>F495*L495</f>
        <v/>
      </c>
      <c r="N495" s="64">
        <f>H495+J495+L495</f>
        <v/>
      </c>
      <c r="O495" s="64">
        <f>I495+K495+M495</f>
        <v/>
      </c>
      <c r="Q495" t="inlineStr">
        <is>
          <t>원심력철근콘크리트관 절단</t>
        </is>
      </c>
    </row>
    <row r="496" ht="24" customHeight="1" s="34">
      <c r="A496" t="inlineStr">
        <is>
          <t>01 토목</t>
        </is>
      </c>
      <c r="B496" t="inlineStr">
        <is>
          <t>8. 하수처리장</t>
        </is>
      </c>
      <c r="C496" t="n">
        <v>39</v>
      </c>
      <c r="D496" t="inlineStr">
        <is>
          <t>다). 1호 우수받이</t>
        </is>
      </c>
      <c r="E496" t="inlineStr">
        <is>
          <t>0.3×0.4×0.9m, 스틸그레이팅포함</t>
        </is>
      </c>
      <c r="F496" t="n">
        <v>5</v>
      </c>
      <c r="G496" t="inlineStr">
        <is>
          <t>개소</t>
        </is>
      </c>
      <c r="H496" s="64" t="n">
        <v>75000</v>
      </c>
      <c r="I496" s="64">
        <f>F496*H496</f>
        <v/>
      </c>
      <c r="J496" s="64" t="n">
        <v>35000</v>
      </c>
      <c r="K496" s="64">
        <f>F496*J496</f>
        <v/>
      </c>
      <c r="L496" s="64" t="n">
        <v>45000</v>
      </c>
      <c r="M496" s="64">
        <f>F496*L496</f>
        <v/>
      </c>
      <c r="N496" s="64">
        <f>H496+J496+L496</f>
        <v/>
      </c>
      <c r="O496" s="64">
        <f>I496+K496+M496</f>
        <v/>
      </c>
      <c r="P496" t="inlineStr">
        <is>
          <t>가영현</t>
        </is>
      </c>
      <c r="Q496" t="inlineStr">
        <is>
          <t>0.3×0.4×0.9m, 스틸그레이팅포함, 1호 우수받이, 0.3×0.4×0.9m, 스틸그레이팅포함</t>
        </is>
      </c>
    </row>
    <row r="497" ht="24" customHeight="1" s="34">
      <c r="A497" t="inlineStr">
        <is>
          <t>01 토목</t>
        </is>
      </c>
      <c r="B497" t="inlineStr">
        <is>
          <t>8. 하수처리장</t>
        </is>
      </c>
      <c r="C497" t="n">
        <v>40</v>
      </c>
      <c r="D497" t="inlineStr">
        <is>
          <t>라). 집수정</t>
        </is>
      </c>
      <c r="E497" t="inlineStr">
        <is>
          <t>0.6x0.6, H=1.70, 스틸그레이팅</t>
        </is>
      </c>
      <c r="F497" t="n">
        <v>1</v>
      </c>
      <c r="G497" t="inlineStr">
        <is>
          <t>개소</t>
        </is>
      </c>
      <c r="H497" s="64" t="n">
        <v>20286</v>
      </c>
      <c r="I497" s="64">
        <f>F497*H497</f>
        <v/>
      </c>
      <c r="J497" s="64" t="n">
        <v>857267</v>
      </c>
      <c r="K497" s="64">
        <f>F497*J497</f>
        <v/>
      </c>
      <c r="L497" s="64" t="n">
        <v>13568</v>
      </c>
      <c r="M497" s="64">
        <f>F497*L497</f>
        <v/>
      </c>
      <c r="N497" s="64">
        <f>H497+J497+L497</f>
        <v/>
      </c>
      <c r="O497" s="64">
        <f>I497+K497+M497</f>
        <v/>
      </c>
      <c r="P497" t="inlineStr">
        <is>
          <t>가영현</t>
        </is>
      </c>
      <c r="Q497" t="inlineStr">
        <is>
          <t>집수정</t>
        </is>
      </c>
    </row>
    <row r="498" ht="24" customHeight="1" s="34">
      <c r="A498" t="inlineStr">
        <is>
          <t>01 토목</t>
        </is>
      </c>
      <c r="B498" t="inlineStr">
        <is>
          <t>8. 하수처리장</t>
        </is>
      </c>
      <c r="C498" t="n">
        <v>41</v>
      </c>
      <c r="D498" t="inlineStr">
        <is>
          <t>가). 메쉬I휀스</t>
        </is>
      </c>
      <c r="E498" t="inlineStr">
        <is>
          <t>W2.0×H1.5m, 기초형, 현장설치도</t>
        </is>
      </c>
      <c r="F498" t="n">
        <v>86</v>
      </c>
      <c r="G498" t="inlineStr">
        <is>
          <t>m</t>
        </is>
      </c>
      <c r="H498" s="64" t="n">
        <v>133</v>
      </c>
      <c r="I498" s="64">
        <f>F498*H498</f>
        <v/>
      </c>
      <c r="J498" s="64" t="n">
        <v>4297</v>
      </c>
      <c r="K498" s="64">
        <f>F498*J498</f>
        <v/>
      </c>
      <c r="L498" s="64" t="n"/>
      <c r="M498" s="64">
        <f>F498*L498</f>
        <v/>
      </c>
      <c r="N498" s="64">
        <f>H498+J498+L498</f>
        <v/>
      </c>
      <c r="O498" s="64">
        <f>I498+K498+M498</f>
        <v/>
      </c>
      <c r="P498" t="inlineStr">
        <is>
          <t>가영현</t>
        </is>
      </c>
      <c r="Q498" t="inlineStr">
        <is>
          <t>현장설치도</t>
        </is>
      </c>
    </row>
    <row r="499" ht="24" customHeight="1" s="34">
      <c r="A499" t="inlineStr">
        <is>
          <t>01 토목</t>
        </is>
      </c>
      <c r="B499" t="inlineStr">
        <is>
          <t>8. 하수처리장</t>
        </is>
      </c>
      <c r="C499" t="n">
        <v>42</v>
      </c>
      <c r="D499" t="inlineStr">
        <is>
          <t>가). 메쉬I휀스 출입문</t>
        </is>
      </c>
      <c r="E499" t="inlineStr">
        <is>
          <t>W2.0×H1.8m(쌍문), 기초형, 현장설치도</t>
        </is>
      </c>
      <c r="F499" t="n">
        <v>2</v>
      </c>
      <c r="G499" t="inlineStr">
        <is>
          <t>개소</t>
        </is>
      </c>
      <c r="H499" s="64" t="n">
        <v>10547</v>
      </c>
      <c r="I499" s="64">
        <f>F499*H499</f>
        <v/>
      </c>
      <c r="J499" s="64" t="n">
        <v>156082</v>
      </c>
      <c r="K499" s="64">
        <f>F499*J499</f>
        <v/>
      </c>
      <c r="L499" s="64" t="n">
        <v>11117</v>
      </c>
      <c r="M499" s="64">
        <f>F499*L499</f>
        <v/>
      </c>
      <c r="N499" s="64">
        <f>H499+J499+L499</f>
        <v/>
      </c>
      <c r="O499" s="64">
        <f>I499+K499+M499</f>
        <v/>
      </c>
      <c r="P499" t="inlineStr">
        <is>
          <t>가영현</t>
        </is>
      </c>
      <c r="Q499" t="inlineStr">
        <is>
          <t>현장설치도</t>
        </is>
      </c>
    </row>
    <row r="500" ht="24" customHeight="1" s="34">
      <c r="A500" t="inlineStr">
        <is>
          <t>01 토목</t>
        </is>
      </c>
      <c r="B500" t="inlineStr">
        <is>
          <t>8. 하수처리장</t>
        </is>
      </c>
      <c r="C500" t="n">
        <v>43</v>
      </c>
      <c r="D500" t="inlineStr">
        <is>
          <t>가). 레미콘</t>
        </is>
      </c>
      <c r="E500" t="inlineStr">
        <is>
          <t>25-18- 8(Mpa)</t>
        </is>
      </c>
      <c r="F500" t="n">
        <v>10</v>
      </c>
      <c r="G500" t="inlineStr">
        <is>
          <t>㎥</t>
        </is>
      </c>
      <c r="H500" s="64" t="n">
        <v>1293</v>
      </c>
      <c r="I500" s="64">
        <f>F500*H500</f>
        <v/>
      </c>
      <c r="J500" s="64" t="n">
        <v>64674</v>
      </c>
      <c r="K500" s="64">
        <f>F500*J500</f>
        <v/>
      </c>
      <c r="L500" s="64" t="n"/>
      <c r="M500" s="64">
        <f>F500*L500</f>
        <v/>
      </c>
      <c r="N500" s="64">
        <f>H500+J500+L500</f>
        <v/>
      </c>
      <c r="O500" s="64">
        <f>I500+K500+M500</f>
        <v/>
      </c>
      <c r="P500" t="inlineStr">
        <is>
          <t>가영현</t>
        </is>
      </c>
      <c r="Q500" t="inlineStr">
        <is>
          <t>레미콘</t>
        </is>
      </c>
    </row>
    <row r="501" ht="24" customHeight="1" s="34">
      <c r="A501" t="inlineStr">
        <is>
          <t>01 토목</t>
        </is>
      </c>
      <c r="B501" t="inlineStr">
        <is>
          <t>8. 하수처리장</t>
        </is>
      </c>
      <c r="C501" t="n">
        <v>44</v>
      </c>
      <c r="D501" t="inlineStr">
        <is>
          <t>나). 혼합골재(보조기층용)(순환골재)</t>
        </is>
      </c>
      <c r="E501" t="inlineStr">
        <is>
          <t>Φ80mm이하, 현장도착도</t>
        </is>
      </c>
      <c r="F501" t="n">
        <v>37</v>
      </c>
      <c r="G501" t="inlineStr">
        <is>
          <t>㎥</t>
        </is>
      </c>
      <c r="H501" s="64" t="n">
        <v>1320</v>
      </c>
      <c r="I501" s="64">
        <f>F501*H501</f>
        <v/>
      </c>
      <c r="J501" s="64" t="n">
        <v>11220</v>
      </c>
      <c r="K501" s="64">
        <f>F501*J501</f>
        <v/>
      </c>
      <c r="L501" s="64" t="n">
        <v>1521</v>
      </c>
      <c r="M501" s="64">
        <f>F501*L501</f>
        <v/>
      </c>
      <c r="N501" s="64">
        <f>H501+J501+L501</f>
        <v/>
      </c>
      <c r="O501" s="64">
        <f>I501+K501+M501</f>
        <v/>
      </c>
      <c r="Q501" t="inlineStr">
        <is>
          <t>보조기층용</t>
        </is>
      </c>
    </row>
    <row r="502" ht="24" customHeight="1" s="34">
      <c r="A502" t="inlineStr">
        <is>
          <t>01 토목</t>
        </is>
      </c>
      <c r="B502" t="inlineStr">
        <is>
          <t>8. 하수처리장</t>
        </is>
      </c>
      <c r="C502" t="n">
        <v>45</v>
      </c>
      <c r="D502" t="inlineStr">
        <is>
          <t>다). 아스팔트(유제)</t>
        </is>
      </c>
      <c r="E502" t="inlineStr">
        <is>
          <t>RS(C)-3 (200ℓ)</t>
        </is>
      </c>
      <c r="F502" t="n">
        <v>1</v>
      </c>
      <c r="G502" t="inlineStr">
        <is>
          <t>D/M</t>
        </is>
      </c>
      <c r="H502" s="64" t="n">
        <v>154620</v>
      </c>
      <c r="I502" s="64">
        <f>F502*H502</f>
        <v/>
      </c>
      <c r="J502" s="64" t="n">
        <v>0</v>
      </c>
      <c r="K502" s="64">
        <f>F502*J502</f>
        <v/>
      </c>
      <c r="L502" s="64" t="n">
        <v>0</v>
      </c>
      <c r="M502" s="64">
        <f>F502*L502</f>
        <v/>
      </c>
      <c r="N502" s="64">
        <f>H502+J502+L502</f>
        <v/>
      </c>
      <c r="O502" s="64">
        <f>I502+K502+M502</f>
        <v/>
      </c>
      <c r="Q502" t="inlineStr">
        <is>
          <t>아스팔트</t>
        </is>
      </c>
    </row>
    <row r="503" ht="24" customHeight="1" s="34">
      <c r="A503" t="inlineStr">
        <is>
          <t>01 토목</t>
        </is>
      </c>
      <c r="B503" t="inlineStr">
        <is>
          <t>8. 하수처리장</t>
        </is>
      </c>
      <c r="C503" t="n">
        <v>46</v>
      </c>
      <c r="D503" t="inlineStr">
        <is>
          <t>라). 아스팔트(유제)</t>
        </is>
      </c>
      <c r="E503" t="inlineStr">
        <is>
          <t>RS(C)-4 (200ℓ)</t>
        </is>
      </c>
      <c r="F503" t="n">
        <v>1</v>
      </c>
      <c r="G503" t="inlineStr">
        <is>
          <t>D/M</t>
        </is>
      </c>
      <c r="H503" s="64" t="n">
        <v>154620</v>
      </c>
      <c r="I503" s="64">
        <f>F503*H503</f>
        <v/>
      </c>
      <c r="J503" s="64" t="n">
        <v>0</v>
      </c>
      <c r="K503" s="64">
        <f>F503*J503</f>
        <v/>
      </c>
      <c r="L503" s="64" t="n">
        <v>0</v>
      </c>
      <c r="M503" s="64">
        <f>F503*L503</f>
        <v/>
      </c>
      <c r="N503" s="64">
        <f>H503+J503+L503</f>
        <v/>
      </c>
      <c r="O503" s="64">
        <f>I503+K503+M503</f>
        <v/>
      </c>
      <c r="Q503" t="inlineStr">
        <is>
          <t>아스팔트</t>
        </is>
      </c>
    </row>
    <row r="504" ht="24" customHeight="1" s="34">
      <c r="A504" t="inlineStr">
        <is>
          <t>01 토목</t>
        </is>
      </c>
      <c r="B504" t="inlineStr">
        <is>
          <t>8. 하수처리장</t>
        </is>
      </c>
      <c r="C504" t="n">
        <v>47</v>
      </c>
      <c r="D504" t="inlineStr">
        <is>
          <t>마). 아스팔트콘크리트</t>
        </is>
      </c>
      <c r="E504" t="inlineStr">
        <is>
          <t>#78 표층용</t>
        </is>
      </c>
      <c r="F504" t="n">
        <v>17</v>
      </c>
      <c r="G504" t="inlineStr">
        <is>
          <t>Ton</t>
        </is>
      </c>
      <c r="H504" s="64" t="n">
        <v>120000</v>
      </c>
      <c r="I504" s="64">
        <f>F504*H504</f>
        <v/>
      </c>
      <c r="J504" s="64" t="n">
        <v>7500</v>
      </c>
      <c r="K504" s="64">
        <f>F504*J504</f>
        <v/>
      </c>
      <c r="L504" s="64" t="n">
        <v>12000</v>
      </c>
      <c r="M504" s="64">
        <f>F504*L504</f>
        <v/>
      </c>
      <c r="N504" s="64">
        <f>H504+J504+L504</f>
        <v/>
      </c>
      <c r="O504" s="64">
        <f>I504+K504+M504</f>
        <v/>
      </c>
      <c r="P504" t="inlineStr">
        <is>
          <t>가영현</t>
        </is>
      </c>
      <c r="Q504" t="inlineStr">
        <is>
          <t>#78 표층용, 아스팔트콘크리트</t>
        </is>
      </c>
    </row>
    <row r="505" ht="24" customHeight="1" s="34">
      <c r="A505" t="inlineStr">
        <is>
          <t>01 토목</t>
        </is>
      </c>
      <c r="B505" t="inlineStr">
        <is>
          <t>8. 하수처리장</t>
        </is>
      </c>
      <c r="C505" t="n">
        <v>48</v>
      </c>
      <c r="D505" t="inlineStr">
        <is>
          <t>바). 아스팔트콘크리트</t>
        </is>
      </c>
      <c r="E505" t="inlineStr">
        <is>
          <t>#467 기층용</t>
        </is>
      </c>
      <c r="F505" t="n">
        <v>44</v>
      </c>
      <c r="G505" t="inlineStr">
        <is>
          <t>Ton</t>
        </is>
      </c>
      <c r="H505" s="64" t="n">
        <v>110000</v>
      </c>
      <c r="I505" s="64">
        <f>F505*H505</f>
        <v/>
      </c>
      <c r="J505" s="64" t="n">
        <v>7500</v>
      </c>
      <c r="K505" s="64">
        <f>F505*J505</f>
        <v/>
      </c>
      <c r="L505" s="64" t="n">
        <v>12000</v>
      </c>
      <c r="M505" s="64">
        <f>F505*L505</f>
        <v/>
      </c>
      <c r="N505" s="64">
        <f>H505+J505+L505</f>
        <v/>
      </c>
      <c r="O505" s="64">
        <f>I505+K505+M505</f>
        <v/>
      </c>
      <c r="P505" t="inlineStr">
        <is>
          <t>가영현</t>
        </is>
      </c>
      <c r="Q505" t="inlineStr">
        <is>
          <t>#467 기층용, 아스팔트콘크리트</t>
        </is>
      </c>
    </row>
    <row r="506" ht="24" customHeight="1" s="34">
      <c r="A506" t="inlineStr">
        <is>
          <t>01 토목</t>
        </is>
      </c>
      <c r="B506" t="inlineStr">
        <is>
          <t>8. 하수처리장</t>
        </is>
      </c>
      <c r="C506" t="n">
        <v>49</v>
      </c>
      <c r="D506" t="inlineStr">
        <is>
          <t>사). 보차도경계석(화강석)</t>
        </is>
      </c>
      <c r="E506" t="inlineStr">
        <is>
          <t>180x200x1000㎜ (직선)</t>
        </is>
      </c>
      <c r="F506" t="n">
        <v>65</v>
      </c>
      <c r="G506" t="inlineStr">
        <is>
          <t>ea</t>
        </is>
      </c>
      <c r="H506" s="64" t="n">
        <v>659</v>
      </c>
      <c r="I506" s="64">
        <f>F506*H506</f>
        <v/>
      </c>
      <c r="J506" s="64" t="n">
        <v>6686</v>
      </c>
      <c r="K506" s="64">
        <f>F506*J506</f>
        <v/>
      </c>
      <c r="L506" s="64" t="n">
        <v>522</v>
      </c>
      <c r="M506" s="64">
        <f>F506*L506</f>
        <v/>
      </c>
      <c r="N506" s="64">
        <f>H506+J506+L506</f>
        <v/>
      </c>
      <c r="O506" s="64">
        <f>I506+K506+M506</f>
        <v/>
      </c>
      <c r="Q506" t="inlineStr">
        <is>
          <t>직선</t>
        </is>
      </c>
    </row>
    <row r="507" ht="24" customHeight="1" s="34">
      <c r="A507" t="inlineStr">
        <is>
          <t>01 토목</t>
        </is>
      </c>
      <c r="B507" t="inlineStr">
        <is>
          <t>8. 하수처리장</t>
        </is>
      </c>
      <c r="C507" t="n">
        <v>50</v>
      </c>
      <c r="D507" t="inlineStr">
        <is>
          <t>아). 보통시멘트</t>
        </is>
      </c>
      <c r="E507" t="inlineStr">
        <is>
          <t>40kg/대 (포장품)</t>
        </is>
      </c>
      <c r="F507" t="n">
        <v>1</v>
      </c>
      <c r="G507" t="inlineStr">
        <is>
          <t>대</t>
        </is>
      </c>
      <c r="H507" s="64" t="n">
        <v>5500</v>
      </c>
      <c r="I507" s="64">
        <f>F507*H507</f>
        <v/>
      </c>
      <c r="J507" s="64" t="n"/>
      <c r="K507" s="64">
        <f>F507*J507</f>
        <v/>
      </c>
      <c r="L507" s="64" t="n"/>
      <c r="M507" s="64">
        <f>F507*L507</f>
        <v/>
      </c>
      <c r="N507" s="64">
        <f>H507+J507+L507</f>
        <v/>
      </c>
      <c r="O507" s="64">
        <f>I507+K507+M507</f>
        <v/>
      </c>
      <c r="P507" t="inlineStr">
        <is>
          <t>가영현</t>
        </is>
      </c>
      <c r="Q507" t="inlineStr">
        <is>
          <t>40kg/대 (포장품), 포장품, 보통시멘트, 40kg, 대 (포장품)</t>
        </is>
      </c>
    </row>
    <row r="508" ht="24" customHeight="1" s="34">
      <c r="A508" t="inlineStr">
        <is>
          <t>01 토목</t>
        </is>
      </c>
      <c r="B508" t="inlineStr">
        <is>
          <t>8. 하수처리장</t>
        </is>
      </c>
      <c r="C508" t="n">
        <v>51</v>
      </c>
      <c r="D508" t="inlineStr">
        <is>
          <t>자). 시멘트운반</t>
        </is>
      </c>
      <c r="E508" t="inlineStr">
        <is>
          <t>L=30km이내</t>
        </is>
      </c>
      <c r="F508" t="n">
        <v>1</v>
      </c>
      <c r="G508" t="inlineStr">
        <is>
          <t>대</t>
        </is>
      </c>
      <c r="I508" s="64">
        <f>F508*H508</f>
        <v/>
      </c>
      <c r="J508" s="64" t="n"/>
      <c r="K508" s="64">
        <f>F508*J508</f>
        <v/>
      </c>
      <c r="L508" s="64" t="n">
        <v>200</v>
      </c>
      <c r="M508" s="64">
        <f>F508*L508</f>
        <v/>
      </c>
      <c r="N508" s="64">
        <f>H508+J508+L508</f>
        <v/>
      </c>
      <c r="O508" s="64">
        <f>I508+K508+M508</f>
        <v/>
      </c>
      <c r="P508" t="inlineStr">
        <is>
          <t>가영현</t>
        </is>
      </c>
      <c r="Q508" t="inlineStr">
        <is>
          <t>L=30km이내, 시멘트운반</t>
        </is>
      </c>
    </row>
    <row r="509" ht="24" customHeight="1" s="34">
      <c r="A509" t="inlineStr">
        <is>
          <t>01 토목</t>
        </is>
      </c>
      <c r="B509" t="inlineStr">
        <is>
          <t>8. 하수처리장</t>
        </is>
      </c>
      <c r="C509" t="n">
        <v>52</v>
      </c>
      <c r="D509" t="inlineStr">
        <is>
          <t>차). 원심력철근콘크리트관(보통2종)</t>
        </is>
      </c>
      <c r="E509" t="inlineStr">
        <is>
          <t>250㎜ (소켓식,B형)</t>
        </is>
      </c>
      <c r="F509" t="n">
        <v>46</v>
      </c>
      <c r="G509" t="inlineStr">
        <is>
          <t>ｍ</t>
        </is>
      </c>
      <c r="H509" s="64" t="n">
        <v>2339</v>
      </c>
      <c r="I509" s="64">
        <f>F509*H509</f>
        <v/>
      </c>
      <c r="J509" s="64" t="n">
        <v>19375</v>
      </c>
      <c r="K509" s="64">
        <f>F509*J509</f>
        <v/>
      </c>
      <c r="L509" s="64" t="n">
        <v>2505</v>
      </c>
      <c r="M509" s="64">
        <f>F509*L509</f>
        <v/>
      </c>
      <c r="N509" s="64">
        <f>H509+J509+L509</f>
        <v/>
      </c>
      <c r="O509" s="64">
        <f>I509+K509+M509</f>
        <v/>
      </c>
      <c r="Q509" t="inlineStr">
        <is>
          <t>원심력철근콘크리트관</t>
        </is>
      </c>
    </row>
    <row r="510" ht="24" customHeight="1" s="34">
      <c r="A510" t="inlineStr">
        <is>
          <t>01 토목</t>
        </is>
      </c>
      <c r="B510" t="inlineStr">
        <is>
          <t>8. 하수처리장</t>
        </is>
      </c>
      <c r="C510" t="n">
        <v>53</v>
      </c>
      <c r="D510" t="inlineStr">
        <is>
          <t>카). 흄관하차비</t>
        </is>
      </c>
      <c r="E510" t="inlineStr">
        <is>
          <t>Ø 250 MM - 차상도</t>
        </is>
      </c>
      <c r="F510" t="n">
        <v>19</v>
      </c>
      <c r="G510" t="inlineStr">
        <is>
          <t>본</t>
        </is>
      </c>
      <c r="I510" s="64">
        <f>F510*H510</f>
        <v/>
      </c>
      <c r="J510" s="64" t="n"/>
      <c r="K510" s="64">
        <f>F510*J510</f>
        <v/>
      </c>
      <c r="L510" s="64" t="n">
        <v>1800</v>
      </c>
      <c r="M510" s="64">
        <f>F510*L510</f>
        <v/>
      </c>
      <c r="N510" s="64">
        <f>H510+J510+L510</f>
        <v/>
      </c>
      <c r="O510" s="64">
        <f>I510+K510+M510</f>
        <v/>
      </c>
      <c r="P510" t="inlineStr">
        <is>
          <t>가영현</t>
        </is>
      </c>
      <c r="Q510" t="inlineStr">
        <is>
          <t>Ø 250 MM - 차상도, 흄관하차비</t>
        </is>
      </c>
    </row>
    <row r="511" ht="24" customHeight="1" s="34">
      <c r="A511" s="15" t="inlineStr">
        <is>
          <t>01 토목</t>
        </is>
      </c>
      <c r="B511" s="15" t="inlineStr">
        <is>
          <t>8. 하수처리장</t>
        </is>
      </c>
      <c r="C511" s="15" t="n"/>
      <c r="D511" s="15" t="inlineStr">
        <is>
          <t>★ 8. 하수처리장 소계</t>
        </is>
      </c>
      <c r="E511" s="15" t="n"/>
      <c r="F511" s="15" t="n"/>
      <c r="G511" s="15" t="n"/>
      <c r="H511" s="66" t="n"/>
      <c r="I511" s="66">
        <f>SUM(I458:I510)</f>
        <v/>
      </c>
      <c r="J511" s="66" t="n"/>
      <c r="K511" s="66">
        <f>SUM(K458:K510)</f>
        <v/>
      </c>
      <c r="L511" s="66" t="n"/>
      <c r="M511" s="66">
        <f>SUM(M458:M510)</f>
        <v/>
      </c>
      <c r="N511" s="66" t="n"/>
      <c r="O511" s="66">
        <f>SUM(O458:O510)</f>
        <v/>
      </c>
      <c r="P511" s="15" t="n"/>
      <c r="Q511" s="15" t="inlineStr">
        <is>
          <t>53건</t>
        </is>
      </c>
    </row>
    <row r="512" ht="24" customHeight="1" s="34">
      <c r="A512" t="inlineStr">
        <is>
          <t>01 토목</t>
        </is>
      </c>
      <c r="B512" t="inlineStr">
        <is>
          <t>9. 지하저류조</t>
        </is>
      </c>
      <c r="C512" t="n">
        <v>1</v>
      </c>
      <c r="D512" t="inlineStr">
        <is>
          <t>가). 터파기(토사)</t>
        </is>
      </c>
      <c r="E512" t="inlineStr">
        <is>
          <t>TYPE-1, 백호1.0, 기계100%</t>
        </is>
      </c>
      <c r="F512" t="n">
        <v>6487</v>
      </c>
      <c r="G512" t="inlineStr">
        <is>
          <t>㎥</t>
        </is>
      </c>
      <c r="H512" s="64" t="n">
        <v>447</v>
      </c>
      <c r="I512" s="64">
        <f>F512*H512</f>
        <v/>
      </c>
      <c r="J512" s="64" t="n">
        <v>955</v>
      </c>
      <c r="K512" s="64">
        <f>F512*J512</f>
        <v/>
      </c>
      <c r="L512" s="64" t="n">
        <v>336</v>
      </c>
      <c r="M512" s="64">
        <f>F512*L512</f>
        <v/>
      </c>
      <c r="N512" s="64">
        <f>H512+J512+L512</f>
        <v/>
      </c>
      <c r="O512" s="64">
        <f>I512+K512+M512</f>
        <v/>
      </c>
      <c r="Q512" t="inlineStr">
        <is>
          <t>토사</t>
        </is>
      </c>
    </row>
    <row r="513" ht="24" customHeight="1" s="34">
      <c r="A513" t="inlineStr">
        <is>
          <t>01 토목</t>
        </is>
      </c>
      <c r="B513" t="inlineStr">
        <is>
          <t>9. 지하저류조</t>
        </is>
      </c>
      <c r="C513" t="n">
        <v>2</v>
      </c>
      <c r="D513" t="inlineStr">
        <is>
          <t>가). 되메우기및다짐(토사)</t>
        </is>
      </c>
      <c r="E513" t="inlineStr">
        <is>
          <t>백호0.7+플레이트콤펙터1.5ton</t>
        </is>
      </c>
      <c r="F513" t="n">
        <v>1834</v>
      </c>
      <c r="G513" t="inlineStr">
        <is>
          <t>㎥</t>
        </is>
      </c>
      <c r="H513" s="64" t="n">
        <v>1652</v>
      </c>
      <c r="I513" s="64">
        <f>F513*H513</f>
        <v/>
      </c>
      <c r="J513" s="64" t="n">
        <v>3924</v>
      </c>
      <c r="K513" s="64">
        <f>F513*J513</f>
        <v/>
      </c>
      <c r="L513" s="64" t="n">
        <v>1432</v>
      </c>
      <c r="M513" s="64">
        <f>F513*L513</f>
        <v/>
      </c>
      <c r="N513" s="64">
        <f>H513+J513+L513</f>
        <v/>
      </c>
      <c r="O513" s="64">
        <f>I513+K513+M513</f>
        <v/>
      </c>
      <c r="Q513" t="inlineStr">
        <is>
          <t>되메우기및다짐</t>
        </is>
      </c>
    </row>
    <row r="514" ht="24" customHeight="1" s="34">
      <c r="A514" t="inlineStr">
        <is>
          <t>01 토목</t>
        </is>
      </c>
      <c r="B514" t="inlineStr">
        <is>
          <t>9. 지하저류조</t>
        </is>
      </c>
      <c r="C514" t="n">
        <v>3</v>
      </c>
      <c r="D514" t="inlineStr">
        <is>
          <t>가). 잔토처리(토사)</t>
        </is>
      </c>
      <c r="E514" t="inlineStr">
        <is>
          <t>기계</t>
        </is>
      </c>
      <c r="F514" t="n">
        <v>4653</v>
      </c>
      <c r="G514" t="inlineStr">
        <is>
          <t>㎥</t>
        </is>
      </c>
      <c r="H514" s="64" t="n">
        <v>447</v>
      </c>
      <c r="I514" s="64">
        <f>F514*H514</f>
        <v/>
      </c>
      <c r="J514" s="64" t="n">
        <v>955</v>
      </c>
      <c r="K514" s="64">
        <f>F514*J514</f>
        <v/>
      </c>
      <c r="L514" s="64" t="n">
        <v>336</v>
      </c>
      <c r="M514" s="64">
        <f>F514*L514</f>
        <v/>
      </c>
      <c r="N514" s="64">
        <f>H514+J514+L514</f>
        <v/>
      </c>
      <c r="O514" s="64">
        <f>I514+K514+M514</f>
        <v/>
      </c>
      <c r="Q514" t="inlineStr">
        <is>
          <t>기계</t>
        </is>
      </c>
    </row>
    <row r="515" ht="24" customHeight="1" s="34">
      <c r="A515" t="inlineStr">
        <is>
          <t>01 토목</t>
        </is>
      </c>
      <c r="B515" t="inlineStr">
        <is>
          <t>9. 지하저류조</t>
        </is>
      </c>
      <c r="C515" t="n">
        <v>4</v>
      </c>
      <c r="D515" t="inlineStr">
        <is>
          <t>1). 석분깔기</t>
        </is>
      </c>
      <c r="E515" t="inlineStr">
        <is>
          <t>T100</t>
        </is>
      </c>
      <c r="F515" t="n">
        <v>45</v>
      </c>
      <c r="G515" t="inlineStr">
        <is>
          <t>m2</t>
        </is>
      </c>
      <c r="H515" s="64" t="n">
        <v>2604</v>
      </c>
      <c r="I515" s="64">
        <f>F515*H515</f>
        <v/>
      </c>
      <c r="J515" s="64" t="n">
        <v>29018</v>
      </c>
      <c r="K515" s="64">
        <f>F515*J515</f>
        <v/>
      </c>
      <c r="L515" s="64" t="n">
        <v>4673</v>
      </c>
      <c r="M515" s="64">
        <f>F515*L515</f>
        <v/>
      </c>
      <c r="N515" s="64">
        <f>H515+J515+L515</f>
        <v/>
      </c>
      <c r="O515" s="64">
        <f>I515+K515+M515</f>
        <v/>
      </c>
      <c r="P515" t="inlineStr">
        <is>
          <t>가영현</t>
        </is>
      </c>
      <c r="Q515" t="inlineStr">
        <is>
          <t>석분깔기</t>
        </is>
      </c>
    </row>
    <row r="516" ht="24" customHeight="1" s="34">
      <c r="A516" t="inlineStr">
        <is>
          <t>01 토목</t>
        </is>
      </c>
      <c r="B516" t="inlineStr">
        <is>
          <t>9. 지하저류조</t>
        </is>
      </c>
      <c r="C516" t="n">
        <v>5</v>
      </c>
      <c r="D516" t="inlineStr">
        <is>
          <t>2). 조립식 블록형 빗물저류시설</t>
        </is>
      </c>
      <c r="F516" t="n">
        <v>1693</v>
      </c>
      <c r="G516" t="inlineStr">
        <is>
          <t>m3</t>
        </is>
      </c>
      <c r="H516" s="64" t="n">
        <v>55000</v>
      </c>
      <c r="I516" s="64">
        <f>F516*H516</f>
        <v/>
      </c>
      <c r="J516" s="64" t="n">
        <v>35000</v>
      </c>
      <c r="K516" s="64">
        <f>F516*J516</f>
        <v/>
      </c>
      <c r="L516" s="64" t="n">
        <v>70000</v>
      </c>
      <c r="M516" s="64">
        <f>F516*L516</f>
        <v/>
      </c>
      <c r="N516" s="64">
        <f>H516+J516+L516</f>
        <v/>
      </c>
      <c r="O516" s="64">
        <f>I516+K516+M516</f>
        <v/>
      </c>
      <c r="P516" t="inlineStr">
        <is>
          <t>가영현</t>
        </is>
      </c>
      <c r="Q516" t="inlineStr">
        <is>
          <t>조립식 블록형 빗물저류시설</t>
        </is>
      </c>
    </row>
    <row r="517" ht="24" customHeight="1" s="34">
      <c r="A517" t="inlineStr">
        <is>
          <t>01 토목</t>
        </is>
      </c>
      <c r="B517" t="inlineStr">
        <is>
          <t>9. 지하저류조</t>
        </is>
      </c>
      <c r="C517" t="n">
        <v>6</v>
      </c>
      <c r="D517" t="inlineStr">
        <is>
          <t>3). 매트부설</t>
        </is>
      </c>
      <c r="E517" t="inlineStr">
        <is>
          <t>1차 200g/m2</t>
        </is>
      </c>
      <c r="F517" t="n">
        <v>1250</v>
      </c>
      <c r="G517" t="inlineStr">
        <is>
          <t>m2</t>
        </is>
      </c>
      <c r="H517" s="64" t="n">
        <v>0</v>
      </c>
      <c r="I517" s="64">
        <f>F517*H517</f>
        <v/>
      </c>
      <c r="J517" s="64" t="n">
        <v>415</v>
      </c>
      <c r="K517" s="64">
        <f>F517*J517</f>
        <v/>
      </c>
      <c r="L517" s="64" t="n">
        <v>0</v>
      </c>
      <c r="M517" s="64">
        <f>F517*L517</f>
        <v/>
      </c>
      <c r="N517" s="64">
        <f>H517+J517+L517</f>
        <v/>
      </c>
      <c r="O517" s="64">
        <f>I517+K517+M517</f>
        <v/>
      </c>
      <c r="Q517" t="inlineStr">
        <is>
          <t>매트부설</t>
        </is>
      </c>
    </row>
    <row r="518" ht="24" customHeight="1" s="34">
      <c r="A518" t="inlineStr">
        <is>
          <t>01 토목</t>
        </is>
      </c>
      <c r="B518" t="inlineStr">
        <is>
          <t>9. 지하저류조</t>
        </is>
      </c>
      <c r="C518" t="n">
        <v>7</v>
      </c>
      <c r="D518" t="inlineStr">
        <is>
          <t>4). 유지관리용 PC 점검구 설치</t>
        </is>
      </c>
      <c r="E518" t="inlineStr">
        <is>
          <t>1000x1000x1000</t>
        </is>
      </c>
      <c r="F518" t="n">
        <v>1</v>
      </c>
      <c r="G518" t="inlineStr">
        <is>
          <t>개소</t>
        </is>
      </c>
      <c r="H518" s="64" t="n">
        <v>11921</v>
      </c>
      <c r="I518" s="64">
        <f>F518*H518</f>
        <v/>
      </c>
      <c r="J518" s="64" t="n">
        <v>98951</v>
      </c>
      <c r="K518" s="64">
        <f>F518*J518</f>
        <v/>
      </c>
      <c r="L518" s="64" t="n"/>
      <c r="M518" s="64">
        <f>F518*L518</f>
        <v/>
      </c>
      <c r="N518" s="64">
        <f>H518+J518+L518</f>
        <v/>
      </c>
      <c r="O518" s="64">
        <f>I518+K518+M518</f>
        <v/>
      </c>
      <c r="P518" t="inlineStr">
        <is>
          <t>가영현</t>
        </is>
      </c>
      <c r="Q518" t="inlineStr">
        <is>
          <t>유지관리용 PC 점검구 설치</t>
        </is>
      </c>
    </row>
    <row r="519" ht="24" customHeight="1" s="34">
      <c r="A519" t="inlineStr">
        <is>
          <t>01 토목</t>
        </is>
      </c>
      <c r="B519" t="inlineStr">
        <is>
          <t>9. 지하저류조</t>
        </is>
      </c>
      <c r="C519" t="n">
        <v>8</v>
      </c>
      <c r="D519" t="inlineStr">
        <is>
          <t>5). PC 슬래브 설치</t>
        </is>
      </c>
      <c r="E519" t="inlineStr">
        <is>
          <t>1000x1500xT200</t>
        </is>
      </c>
      <c r="F519" t="n">
        <v>87</v>
      </c>
      <c r="G519" t="inlineStr">
        <is>
          <t>개소</t>
        </is>
      </c>
      <c r="H519" s="64" t="n">
        <v>12773</v>
      </c>
      <c r="I519" s="64">
        <f>F519*H519</f>
        <v/>
      </c>
      <c r="J519" s="64" t="n">
        <v>84824</v>
      </c>
      <c r="K519" s="64">
        <f>F519*J519</f>
        <v/>
      </c>
      <c r="L519" s="64" t="n">
        <v>15657</v>
      </c>
      <c r="M519" s="64">
        <f>F519*L519</f>
        <v/>
      </c>
      <c r="N519" s="64">
        <f>H519+J519+L519</f>
        <v/>
      </c>
      <c r="O519" s="64">
        <f>I519+K519+M519</f>
        <v/>
      </c>
      <c r="P519" t="inlineStr">
        <is>
          <t>가영현</t>
        </is>
      </c>
      <c r="Q519" t="inlineStr">
        <is>
          <t>PC 슬래브 설치</t>
        </is>
      </c>
    </row>
    <row r="520" ht="24" customHeight="1" s="34">
      <c r="A520" t="inlineStr">
        <is>
          <t>01 토목</t>
        </is>
      </c>
      <c r="B520" t="inlineStr">
        <is>
          <t>9. 지하저류조</t>
        </is>
      </c>
      <c r="C520" t="n">
        <v>9</v>
      </c>
      <c r="D520" t="inlineStr">
        <is>
          <t>1). 빗물저류블록 하차비</t>
        </is>
      </c>
      <c r="E520" t="inlineStr">
        <is>
          <t>1000x1000x1160</t>
        </is>
      </c>
      <c r="F520" t="n">
        <v>3115.12</v>
      </c>
      <c r="G520" t="inlineStr">
        <is>
          <t>Ton</t>
        </is>
      </c>
      <c r="I520" s="64">
        <f>F520*H520</f>
        <v/>
      </c>
      <c r="J520" s="64" t="n"/>
      <c r="K520" s="64">
        <f>F520*J520</f>
        <v/>
      </c>
      <c r="L520" s="64" t="n">
        <v>800</v>
      </c>
      <c r="M520" s="64">
        <f>F520*L520</f>
        <v/>
      </c>
      <c r="N520" s="64">
        <f>H520+J520+L520</f>
        <v/>
      </c>
      <c r="O520" s="64">
        <f>I520+K520+M520</f>
        <v/>
      </c>
      <c r="P520" t="inlineStr">
        <is>
          <t>가영현</t>
        </is>
      </c>
      <c r="Q520" t="inlineStr">
        <is>
          <t>1000x1000x1160, 빗물저류블록 하차비</t>
        </is>
      </c>
    </row>
    <row r="521" ht="24" customHeight="1" s="34">
      <c r="A521" s="15" t="inlineStr">
        <is>
          <t>01 토목</t>
        </is>
      </c>
      <c r="B521" s="15" t="inlineStr">
        <is>
          <t>9. 지하저류조</t>
        </is>
      </c>
      <c r="C521" s="15" t="n"/>
      <c r="D521" s="15" t="inlineStr">
        <is>
          <t>★ 9. 지하저류조 소계</t>
        </is>
      </c>
      <c r="E521" s="15" t="n"/>
      <c r="F521" s="15" t="n"/>
      <c r="G521" s="15" t="n"/>
      <c r="H521" s="66" t="n"/>
      <c r="I521" s="66">
        <f>SUM(I512:I520)</f>
        <v/>
      </c>
      <c r="J521" s="66" t="n"/>
      <c r="K521" s="66">
        <f>SUM(K512:K520)</f>
        <v/>
      </c>
      <c r="L521" s="66" t="n"/>
      <c r="M521" s="66">
        <f>SUM(M512:M520)</f>
        <v/>
      </c>
      <c r="N521" s="66" t="n"/>
      <c r="O521" s="66">
        <f>SUM(O512:O520)</f>
        <v/>
      </c>
      <c r="P521" s="15" t="n"/>
      <c r="Q521" s="15" t="inlineStr">
        <is>
          <t>9건</t>
        </is>
      </c>
    </row>
    <row r="522" ht="24" customHeight="1" s="34">
      <c r="A522" t="inlineStr">
        <is>
          <t>01 토목</t>
        </is>
      </c>
      <c r="B522" t="inlineStr">
        <is>
          <t>▣ 품질관리비</t>
        </is>
      </c>
      <c r="C522" t="n">
        <v>1</v>
      </c>
      <c r="D522" t="inlineStr">
        <is>
          <t>1). 품질시험</t>
        </is>
      </c>
      <c r="F522" t="n">
        <v>1</v>
      </c>
      <c r="G522" t="inlineStr">
        <is>
          <t>sum</t>
        </is>
      </c>
      <c r="I522" s="64">
        <f>F522*H522</f>
        <v/>
      </c>
      <c r="J522" s="64" t="n"/>
      <c r="K522" s="64">
        <f>F522*J522</f>
        <v/>
      </c>
      <c r="L522" s="64" t="n"/>
      <c r="M522" s="64">
        <f>F522*L522</f>
        <v/>
      </c>
      <c r="N522" s="64">
        <f>H522+J522+L522</f>
        <v/>
      </c>
      <c r="O522" s="64">
        <f>I522+K522+M522</f>
        <v/>
      </c>
      <c r="P522" t="inlineStr">
        <is>
          <t>미매칭</t>
        </is>
      </c>
      <c r="Q522" t="inlineStr">
        <is>
          <t>품질시험</t>
        </is>
      </c>
    </row>
    <row r="523" ht="24" customHeight="1" s="34">
      <c r="A523" t="inlineStr">
        <is>
          <t>01 토목</t>
        </is>
      </c>
      <c r="B523" t="inlineStr">
        <is>
          <t>▣ 품질관리비</t>
        </is>
      </c>
      <c r="C523" t="n">
        <v>2</v>
      </c>
      <c r="D523" t="inlineStr">
        <is>
          <t>가). 품질관리자인건비</t>
        </is>
      </c>
      <c r="E523" t="inlineStr">
        <is>
          <t>중급품질관리대상</t>
        </is>
      </c>
      <c r="F523" t="n">
        <v>14</v>
      </c>
      <c r="G523" t="inlineStr">
        <is>
          <t>개월</t>
        </is>
      </c>
      <c r="I523" s="64">
        <f>F523*H523</f>
        <v/>
      </c>
      <c r="J523" s="64" t="n"/>
      <c r="K523" s="64">
        <f>F523*J523</f>
        <v/>
      </c>
      <c r="L523" s="64" t="n"/>
      <c r="M523" s="64">
        <f>F523*L523</f>
        <v/>
      </c>
      <c r="N523" s="64">
        <f>H523+J523+L523</f>
        <v/>
      </c>
      <c r="O523" s="64">
        <f>I523+K523+M523</f>
        <v/>
      </c>
      <c r="P523" t="inlineStr">
        <is>
          <t>미매칭</t>
        </is>
      </c>
      <c r="Q523" t="inlineStr">
        <is>
          <t>중급품질관리대상, 품질관리자인건비</t>
        </is>
      </c>
    </row>
    <row r="524" ht="24" customHeight="1" s="34">
      <c r="A524" s="15" t="inlineStr">
        <is>
          <t>01 토목</t>
        </is>
      </c>
      <c r="B524" s="15" t="inlineStr">
        <is>
          <t>▣ 품질관리비</t>
        </is>
      </c>
      <c r="C524" s="15" t="n"/>
      <c r="D524" s="15" t="inlineStr">
        <is>
          <t>★ ▣ 품질관리비 소계</t>
        </is>
      </c>
      <c r="E524" s="15" t="n"/>
      <c r="F524" s="15" t="n"/>
      <c r="G524" s="15" t="n"/>
      <c r="H524" s="66" t="n"/>
      <c r="I524" s="66">
        <f>SUM(I522:I523)</f>
        <v/>
      </c>
      <c r="J524" s="66" t="n"/>
      <c r="K524" s="66">
        <f>SUM(K522:K523)</f>
        <v/>
      </c>
      <c r="L524" s="66" t="n"/>
      <c r="M524" s="66">
        <f>SUM(M522:M523)</f>
        <v/>
      </c>
      <c r="N524" s="66" t="n"/>
      <c r="O524" s="66">
        <f>SUM(O522:O523)</f>
        <v/>
      </c>
      <c r="P524" s="15" t="n"/>
      <c r="Q524" s="15" t="inlineStr">
        <is>
          <t>2건</t>
        </is>
      </c>
    </row>
    <row r="525" ht="24" customHeight="1" s="34">
      <c r="A525" t="inlineStr">
        <is>
          <t>01 조경</t>
        </is>
      </c>
      <c r="B525" t="inlineStr">
        <is>
          <t>10. 조 경 공</t>
        </is>
      </c>
      <c r="C525" t="n">
        <v>1</v>
      </c>
      <c r="D525" t="inlineStr">
        <is>
          <t>가). 소나무</t>
        </is>
      </c>
      <c r="E525" t="inlineStr">
        <is>
          <t>H4.0xW2.0xR15</t>
        </is>
      </c>
      <c r="F525" t="n">
        <v>10</v>
      </c>
      <c r="G525" t="inlineStr">
        <is>
          <t>주</t>
        </is>
      </c>
      <c r="H525" s="64" t="n">
        <v>550000</v>
      </c>
      <c r="I525" s="64">
        <f>F525*H525</f>
        <v/>
      </c>
      <c r="J525" s="64" t="n">
        <v>80000</v>
      </c>
      <c r="K525" s="64">
        <f>F525*J525</f>
        <v/>
      </c>
      <c r="L525" s="64" t="n">
        <v>8000</v>
      </c>
      <c r="M525" s="64">
        <f>F525*L525</f>
        <v/>
      </c>
      <c r="N525" s="64">
        <f>H525+J525+L525</f>
        <v/>
      </c>
      <c r="O525" s="64">
        <f>I525+K525+M525</f>
        <v/>
      </c>
      <c r="Q525" t="inlineStr">
        <is>
          <t>푸른조경</t>
        </is>
      </c>
    </row>
    <row r="526" ht="24" customHeight="1" s="34">
      <c r="A526" t="inlineStr">
        <is>
          <t>01 조경</t>
        </is>
      </c>
      <c r="B526" t="inlineStr">
        <is>
          <t>10. 조 경 공</t>
        </is>
      </c>
      <c r="C526" t="n">
        <v>2</v>
      </c>
      <c r="D526" t="inlineStr">
        <is>
          <t>나). 스트로브잣</t>
        </is>
      </c>
      <c r="E526" t="inlineStr">
        <is>
          <t>H3.5xW1.8</t>
        </is>
      </c>
      <c r="F526" t="n">
        <v>55</v>
      </c>
      <c r="G526" t="inlineStr">
        <is>
          <t>주</t>
        </is>
      </c>
      <c r="H526" s="64" t="n">
        <v>160000</v>
      </c>
      <c r="I526" s="64">
        <f>F526*H526</f>
        <v/>
      </c>
      <c r="J526" s="64" t="n">
        <v>60000</v>
      </c>
      <c r="K526" s="64">
        <f>F526*J526</f>
        <v/>
      </c>
      <c r="L526" s="64" t="n">
        <v>6000</v>
      </c>
      <c r="M526" s="64">
        <f>F526*L526</f>
        <v/>
      </c>
      <c r="N526" s="64">
        <f>H526+J526+L526</f>
        <v/>
      </c>
      <c r="O526" s="64">
        <f>I526+K526+M526</f>
        <v/>
      </c>
      <c r="Q526" t="inlineStr">
        <is>
          <t>푸른조경</t>
        </is>
      </c>
    </row>
    <row r="527" ht="24" customHeight="1" s="34">
      <c r="A527" t="inlineStr">
        <is>
          <t>01 조경</t>
        </is>
      </c>
      <c r="B527" t="inlineStr">
        <is>
          <t>10. 조 경 공</t>
        </is>
      </c>
      <c r="C527" t="n">
        <v>3</v>
      </c>
      <c r="D527" t="inlineStr">
        <is>
          <t>다). 느티나무</t>
        </is>
      </c>
      <c r="E527" t="inlineStr">
        <is>
          <t>H4.0xR15</t>
        </is>
      </c>
      <c r="F527" t="n">
        <v>7</v>
      </c>
      <c r="G527" t="inlineStr">
        <is>
          <t>주</t>
        </is>
      </c>
      <c r="H527" s="64" t="n">
        <v>420000</v>
      </c>
      <c r="I527" s="64">
        <f>F527*H527</f>
        <v/>
      </c>
      <c r="J527" s="64" t="n">
        <v>80000</v>
      </c>
      <c r="K527" s="64">
        <f>F527*J527</f>
        <v/>
      </c>
      <c r="L527" s="64" t="n">
        <v>8000</v>
      </c>
      <c r="M527" s="64">
        <f>F527*L527</f>
        <v/>
      </c>
      <c r="N527" s="64">
        <f>H527+J527+L527</f>
        <v/>
      </c>
      <c r="O527" s="64">
        <f>I527+K527+M527</f>
        <v/>
      </c>
      <c r="Q527" t="inlineStr">
        <is>
          <t>푸른조경</t>
        </is>
      </c>
    </row>
    <row r="528" ht="24" customHeight="1" s="34">
      <c r="A528" t="inlineStr">
        <is>
          <t>01 조경</t>
        </is>
      </c>
      <c r="B528" t="inlineStr">
        <is>
          <t>10. 조 경 공</t>
        </is>
      </c>
      <c r="C528" t="n">
        <v>4</v>
      </c>
      <c r="D528" t="inlineStr">
        <is>
          <t>라). 배롱나무</t>
        </is>
      </c>
      <c r="E528" t="inlineStr">
        <is>
          <t>H3.0xR10</t>
        </is>
      </c>
      <c r="F528" t="n">
        <v>3</v>
      </c>
      <c r="G528" t="inlineStr">
        <is>
          <t>주</t>
        </is>
      </c>
      <c r="H528" s="64" t="n">
        <v>380000</v>
      </c>
      <c r="I528" s="64">
        <f>F528*H528</f>
        <v/>
      </c>
      <c r="J528" s="64" t="n">
        <v>80000</v>
      </c>
      <c r="K528" s="64">
        <f>F528*J528</f>
        <v/>
      </c>
      <c r="L528" s="64" t="n">
        <v>6000</v>
      </c>
      <c r="M528" s="64">
        <f>F528*L528</f>
        <v/>
      </c>
      <c r="N528" s="64">
        <f>H528+J528+L528</f>
        <v/>
      </c>
      <c r="O528" s="64">
        <f>I528+K528+M528</f>
        <v/>
      </c>
      <c r="Q528" t="inlineStr">
        <is>
          <t>푸른조경</t>
        </is>
      </c>
    </row>
    <row r="529" ht="24" customHeight="1" s="34">
      <c r="A529" t="inlineStr">
        <is>
          <t>01 조경</t>
        </is>
      </c>
      <c r="B529" t="inlineStr">
        <is>
          <t>10. 조 경 공</t>
        </is>
      </c>
      <c r="C529" t="n">
        <v>5</v>
      </c>
      <c r="D529" t="inlineStr">
        <is>
          <t>마). 왕벚나무</t>
        </is>
      </c>
      <c r="E529" t="inlineStr">
        <is>
          <t>H3.5xB8</t>
        </is>
      </c>
      <c r="F529" t="n">
        <v>8</v>
      </c>
      <c r="G529" t="inlineStr">
        <is>
          <t>주</t>
        </is>
      </c>
      <c r="H529" s="64" t="n">
        <v>160000</v>
      </c>
      <c r="I529" s="64">
        <f>F529*H529</f>
        <v/>
      </c>
      <c r="J529" s="64" t="n">
        <v>50000</v>
      </c>
      <c r="K529" s="64">
        <f>F529*J529</f>
        <v/>
      </c>
      <c r="L529" s="64" t="n">
        <v>5000</v>
      </c>
      <c r="M529" s="64">
        <f>F529*L529</f>
        <v/>
      </c>
      <c r="N529" s="64">
        <f>H529+J529+L529</f>
        <v/>
      </c>
      <c r="O529" s="64">
        <f>I529+K529+M529</f>
        <v/>
      </c>
      <c r="Q529" t="inlineStr">
        <is>
          <t>푸른조경</t>
        </is>
      </c>
    </row>
    <row r="530" ht="24" customHeight="1" s="34">
      <c r="A530" t="inlineStr">
        <is>
          <t>01 조경</t>
        </is>
      </c>
      <c r="B530" t="inlineStr">
        <is>
          <t>10. 조 경 공</t>
        </is>
      </c>
      <c r="C530" t="n">
        <v>6</v>
      </c>
      <c r="D530" t="inlineStr">
        <is>
          <t>바). 청단풍</t>
        </is>
      </c>
      <c r="E530" t="inlineStr">
        <is>
          <t>H3.0xR8</t>
        </is>
      </c>
      <c r="F530" t="n">
        <v>15</v>
      </c>
      <c r="G530" t="inlineStr">
        <is>
          <t>주</t>
        </is>
      </c>
      <c r="H530" s="64" t="n">
        <v>100000</v>
      </c>
      <c r="I530" s="64">
        <f>F530*H530</f>
        <v/>
      </c>
      <c r="J530" s="64" t="n">
        <v>50000</v>
      </c>
      <c r="K530" s="64">
        <f>F530*J530</f>
        <v/>
      </c>
      <c r="L530" s="64" t="n">
        <v>5000</v>
      </c>
      <c r="M530" s="64">
        <f>F530*L530</f>
        <v/>
      </c>
      <c r="N530" s="64">
        <f>H530+J530+L530</f>
        <v/>
      </c>
      <c r="O530" s="64">
        <f>I530+K530+M530</f>
        <v/>
      </c>
      <c r="Q530" t="inlineStr">
        <is>
          <t>푸른조경</t>
        </is>
      </c>
    </row>
    <row r="531" ht="24" customHeight="1" s="34">
      <c r="A531" t="inlineStr">
        <is>
          <t>01 조경</t>
        </is>
      </c>
      <c r="B531" t="inlineStr">
        <is>
          <t>10. 조 경 공</t>
        </is>
      </c>
      <c r="C531" t="n">
        <v>7</v>
      </c>
      <c r="D531" t="inlineStr">
        <is>
          <t>사). 이팝나무</t>
        </is>
      </c>
      <c r="E531" t="inlineStr">
        <is>
          <t>H3.0xR8</t>
        </is>
      </c>
      <c r="F531" t="n">
        <v>21</v>
      </c>
      <c r="G531" t="inlineStr">
        <is>
          <t>주</t>
        </is>
      </c>
      <c r="H531" s="64" t="n">
        <v>120000</v>
      </c>
      <c r="I531" s="64">
        <f>F531*H531</f>
        <v/>
      </c>
      <c r="J531" s="64" t="n">
        <v>50000</v>
      </c>
      <c r="K531" s="64">
        <f>F531*J531</f>
        <v/>
      </c>
      <c r="L531" s="64" t="n">
        <v>5000</v>
      </c>
      <c r="M531" s="64">
        <f>F531*L531</f>
        <v/>
      </c>
      <c r="N531" s="64">
        <f>H531+J531+L531</f>
        <v/>
      </c>
      <c r="O531" s="64">
        <f>I531+K531+M531</f>
        <v/>
      </c>
      <c r="Q531" t="inlineStr">
        <is>
          <t>푸른조경</t>
        </is>
      </c>
    </row>
    <row r="532" ht="24" customHeight="1" s="34">
      <c r="A532" t="inlineStr">
        <is>
          <t>01 조경</t>
        </is>
      </c>
      <c r="B532" t="inlineStr">
        <is>
          <t>10. 조 경 공</t>
        </is>
      </c>
      <c r="C532" t="n">
        <v>8</v>
      </c>
      <c r="D532" t="inlineStr">
        <is>
          <t>아). 복자기</t>
        </is>
      </c>
      <c r="E532" t="inlineStr">
        <is>
          <t>H3.5xR8</t>
        </is>
      </c>
      <c r="F532" t="n">
        <v>20</v>
      </c>
      <c r="G532" t="inlineStr">
        <is>
          <t>주</t>
        </is>
      </c>
      <c r="H532" s="64" t="n">
        <v>130000</v>
      </c>
      <c r="I532" s="64">
        <f>F532*H532</f>
        <v/>
      </c>
      <c r="J532" s="64" t="n">
        <v>50000</v>
      </c>
      <c r="K532" s="64">
        <f>F532*J532</f>
        <v/>
      </c>
      <c r="L532" s="64" t="n">
        <v>5000</v>
      </c>
      <c r="M532" s="64">
        <f>F532*L532</f>
        <v/>
      </c>
      <c r="N532" s="64">
        <f>H532+J532+L532</f>
        <v/>
      </c>
      <c r="O532" s="64">
        <f>I532+K532+M532</f>
        <v/>
      </c>
      <c r="Q532" t="inlineStr">
        <is>
          <t>푸른조경</t>
        </is>
      </c>
    </row>
    <row r="533" ht="24" customHeight="1" s="34">
      <c r="A533" t="inlineStr">
        <is>
          <t>01 조경</t>
        </is>
      </c>
      <c r="B533" t="inlineStr">
        <is>
          <t>10. 조 경 공</t>
        </is>
      </c>
      <c r="C533" t="n">
        <v>9</v>
      </c>
      <c r="D533" t="inlineStr">
        <is>
          <t>자). 영산홍</t>
        </is>
      </c>
      <c r="E533" t="inlineStr">
        <is>
          <t>H0.3xW0.3</t>
        </is>
      </c>
      <c r="F533" t="n">
        <v>1770</v>
      </c>
      <c r="G533" t="inlineStr">
        <is>
          <t>주</t>
        </is>
      </c>
      <c r="H533" s="64" t="n">
        <v>2000</v>
      </c>
      <c r="I533" s="64">
        <f>F533*H533</f>
        <v/>
      </c>
      <c r="J533" s="64" t="n">
        <v>2000</v>
      </c>
      <c r="K533" s="64">
        <f>F533*J533</f>
        <v/>
      </c>
      <c r="L533" s="64" t="n">
        <v>5000</v>
      </c>
      <c r="M533" s="64">
        <f>F533*L533</f>
        <v/>
      </c>
      <c r="N533" s="64">
        <f>H533+J533+L533</f>
        <v/>
      </c>
      <c r="O533" s="64">
        <f>I533+K533+M533</f>
        <v/>
      </c>
      <c r="Q533" t="inlineStr">
        <is>
          <t>푸른조경</t>
        </is>
      </c>
    </row>
    <row r="534" ht="24" customHeight="1" s="34">
      <c r="A534" t="inlineStr">
        <is>
          <t>01 조경</t>
        </is>
      </c>
      <c r="B534" t="inlineStr">
        <is>
          <t>10. 조 경 공</t>
        </is>
      </c>
      <c r="C534" t="n">
        <v>10</v>
      </c>
      <c r="D534" t="inlineStr">
        <is>
          <t>차). 산철쭉</t>
        </is>
      </c>
      <c r="E534" t="inlineStr">
        <is>
          <t>H0.3xW0.3</t>
        </is>
      </c>
      <c r="F534" t="n">
        <v>1250</v>
      </c>
      <c r="G534" t="inlineStr">
        <is>
          <t>주</t>
        </is>
      </c>
      <c r="H534" s="64" t="n">
        <v>2000</v>
      </c>
      <c r="I534" s="64">
        <f>F534*H534</f>
        <v/>
      </c>
      <c r="J534" s="64" t="n">
        <v>2000</v>
      </c>
      <c r="K534" s="64">
        <f>F534*J534</f>
        <v/>
      </c>
      <c r="L534" s="64" t="n">
        <v>5000</v>
      </c>
      <c r="M534" s="64">
        <f>F534*L534</f>
        <v/>
      </c>
      <c r="N534" s="64">
        <f>H534+J534+L534</f>
        <v/>
      </c>
      <c r="O534" s="64">
        <f>I534+K534+M534</f>
        <v/>
      </c>
      <c r="Q534" t="inlineStr">
        <is>
          <t>푸른조경</t>
        </is>
      </c>
    </row>
    <row r="535" ht="24" customHeight="1" s="34">
      <c r="A535" t="inlineStr">
        <is>
          <t>01 조경</t>
        </is>
      </c>
      <c r="B535" t="inlineStr">
        <is>
          <t>10. 조 경 공</t>
        </is>
      </c>
      <c r="C535" t="n">
        <v>11</v>
      </c>
      <c r="D535" t="inlineStr">
        <is>
          <t>카). 잔디(평떼)</t>
        </is>
      </c>
      <c r="E535" t="inlineStr">
        <is>
          <t>0.3x0.3x0.03</t>
        </is>
      </c>
      <c r="F535" t="n">
        <v>1100</v>
      </c>
      <c r="G535" t="inlineStr">
        <is>
          <t>m2</t>
        </is>
      </c>
      <c r="H535" s="64" t="n">
        <v>5000</v>
      </c>
      <c r="I535" s="64">
        <f>F535*H535</f>
        <v/>
      </c>
      <c r="J535" s="64" t="n">
        <v>6000</v>
      </c>
      <c r="K535" s="64">
        <f>F535*J535</f>
        <v/>
      </c>
      <c r="L535" s="64" t="n">
        <v>5000</v>
      </c>
      <c r="M535" s="64">
        <f>F535*L535</f>
        <v/>
      </c>
      <c r="N535" s="64">
        <f>H535+J535+L535</f>
        <v/>
      </c>
      <c r="O535" s="64">
        <f>I535+K535+M535</f>
        <v/>
      </c>
      <c r="Q535" t="inlineStr">
        <is>
          <t>푸른조경</t>
        </is>
      </c>
    </row>
    <row r="536" ht="24" customHeight="1" s="34">
      <c r="A536" t="inlineStr">
        <is>
          <t>01 조경</t>
        </is>
      </c>
      <c r="B536" t="inlineStr">
        <is>
          <t>10. 조 경 공</t>
        </is>
      </c>
      <c r="C536" t="n">
        <v>12</v>
      </c>
      <c r="D536" t="inlineStr">
        <is>
          <t>가). 생활체육시설A</t>
        </is>
      </c>
      <c r="E536" t="inlineStr">
        <is>
          <t>1850*840*H1760</t>
        </is>
      </c>
      <c r="F536" t="n">
        <v>1</v>
      </c>
      <c r="G536" t="inlineStr">
        <is>
          <t>EA</t>
        </is>
      </c>
      <c r="H536" s="64" t="n">
        <v>4200000</v>
      </c>
      <c r="I536" s="64">
        <f>F536*H536</f>
        <v/>
      </c>
      <c r="J536" s="64" t="n">
        <v>250000</v>
      </c>
      <c r="K536" s="64">
        <f>F536*J536</f>
        <v/>
      </c>
      <c r="L536" s="64" t="n">
        <v>0</v>
      </c>
      <c r="M536" s="64">
        <f>F536*L536</f>
        <v/>
      </c>
      <c r="N536" s="64">
        <f>H536+J536+L536</f>
        <v/>
      </c>
      <c r="O536" s="64">
        <f>I536+K536+M536</f>
        <v/>
      </c>
      <c r="Q536" t="inlineStr">
        <is>
          <t>푸른조경</t>
        </is>
      </c>
    </row>
    <row r="537" ht="24" customHeight="1" s="34">
      <c r="A537" t="inlineStr">
        <is>
          <t>01 조경</t>
        </is>
      </c>
      <c r="B537" t="inlineStr">
        <is>
          <t>10. 조 경 공</t>
        </is>
      </c>
      <c r="C537" t="n">
        <v>13</v>
      </c>
      <c r="D537" t="inlineStr">
        <is>
          <t>나). 생활체육시설B</t>
        </is>
      </c>
      <c r="E537" t="inlineStr">
        <is>
          <t>2836*600*H1760</t>
        </is>
      </c>
      <c r="F537" t="n">
        <v>1</v>
      </c>
      <c r="G537" t="inlineStr">
        <is>
          <t>EA</t>
        </is>
      </c>
      <c r="H537" s="64" t="n">
        <v>4450000</v>
      </c>
      <c r="I537" s="64">
        <f>F537*H537</f>
        <v/>
      </c>
      <c r="J537" s="64" t="n">
        <v>250000</v>
      </c>
      <c r="K537" s="64">
        <f>F537*J537</f>
        <v/>
      </c>
      <c r="L537" s="64" t="n">
        <v>0</v>
      </c>
      <c r="M537" s="64">
        <f>F537*L537</f>
        <v/>
      </c>
      <c r="N537" s="64">
        <f>H537+J537+L537</f>
        <v/>
      </c>
      <c r="O537" s="64">
        <f>I537+K537+M537</f>
        <v/>
      </c>
      <c r="Q537" t="inlineStr">
        <is>
          <t>푸른조경</t>
        </is>
      </c>
    </row>
    <row r="538" ht="24" customHeight="1" s="34">
      <c r="A538" t="inlineStr">
        <is>
          <t>01 조경</t>
        </is>
      </c>
      <c r="B538" t="inlineStr">
        <is>
          <t>10. 조 경 공</t>
        </is>
      </c>
      <c r="C538" t="n">
        <v>14</v>
      </c>
      <c r="D538" t="inlineStr">
        <is>
          <t>다). 생활체육시설C</t>
        </is>
      </c>
      <c r="E538" t="inlineStr">
        <is>
          <t>2200*750*H1760</t>
        </is>
      </c>
      <c r="F538" t="n">
        <v>1</v>
      </c>
      <c r="G538" t="inlineStr">
        <is>
          <t>EA</t>
        </is>
      </c>
      <c r="H538" s="64" t="n">
        <v>4200000</v>
      </c>
      <c r="I538" s="64">
        <f>F538*H538</f>
        <v/>
      </c>
      <c r="J538" s="64" t="n">
        <v>250000</v>
      </c>
      <c r="K538" s="64">
        <f>F538*J538</f>
        <v/>
      </c>
      <c r="L538" s="64" t="n">
        <v>0</v>
      </c>
      <c r="M538" s="64">
        <f>F538*L538</f>
        <v/>
      </c>
      <c r="N538" s="64">
        <f>H538+J538+L538</f>
        <v/>
      </c>
      <c r="O538" s="64">
        <f>I538+K538+M538</f>
        <v/>
      </c>
      <c r="Q538" t="inlineStr">
        <is>
          <t>푸른조경</t>
        </is>
      </c>
    </row>
    <row r="539" ht="24" customHeight="1" s="34">
      <c r="A539" t="inlineStr">
        <is>
          <t>01 조경</t>
        </is>
      </c>
      <c r="B539" t="inlineStr">
        <is>
          <t>10. 조 경 공</t>
        </is>
      </c>
      <c r="C539" t="n">
        <v>15</v>
      </c>
      <c r="D539" t="inlineStr">
        <is>
          <t>라). 생활체육시설D</t>
        </is>
      </c>
      <c r="E539" t="inlineStr">
        <is>
          <t>2470*750*H1760</t>
        </is>
      </c>
      <c r="F539" t="n">
        <v>1</v>
      </c>
      <c r="G539" t="inlineStr">
        <is>
          <t>EA</t>
        </is>
      </c>
      <c r="H539" s="64" t="n">
        <v>4400000</v>
      </c>
      <c r="I539" s="64">
        <f>F539*H539</f>
        <v/>
      </c>
      <c r="J539" s="64" t="n">
        <v>250000</v>
      </c>
      <c r="K539" s="64">
        <f>F539*J539</f>
        <v/>
      </c>
      <c r="L539" s="64" t="n">
        <v>0</v>
      </c>
      <c r="M539" s="64">
        <f>F539*L539</f>
        <v/>
      </c>
      <c r="N539" s="64">
        <f>H539+J539+L539</f>
        <v/>
      </c>
      <c r="O539" s="64">
        <f>I539+K539+M539</f>
        <v/>
      </c>
      <c r="Q539" t="inlineStr">
        <is>
          <t>푸른조경</t>
        </is>
      </c>
    </row>
    <row r="540" ht="24" customHeight="1" s="34">
      <c r="A540" t="inlineStr">
        <is>
          <t>01 조경</t>
        </is>
      </c>
      <c r="B540" t="inlineStr">
        <is>
          <t>10. 조 경 공</t>
        </is>
      </c>
      <c r="C540" t="n">
        <v>16</v>
      </c>
      <c r="D540" t="inlineStr">
        <is>
          <t>마). 파고라A</t>
        </is>
      </c>
      <c r="E540" t="inlineStr">
        <is>
          <t>5000*3200*H2700</t>
        </is>
      </c>
      <c r="F540" t="n">
        <v>1</v>
      </c>
      <c r="G540" t="inlineStr">
        <is>
          <t>개소</t>
        </is>
      </c>
      <c r="H540" s="64" t="n">
        <v>18000000</v>
      </c>
      <c r="I540" s="64">
        <f>F540*H540</f>
        <v/>
      </c>
      <c r="J540" s="64" t="n">
        <v>250000</v>
      </c>
      <c r="K540" s="64">
        <f>F540*J540</f>
        <v/>
      </c>
      <c r="L540" s="64" t="n">
        <v>0</v>
      </c>
      <c r="M540" s="64">
        <f>F540*L540</f>
        <v/>
      </c>
      <c r="N540" s="64">
        <f>H540+J540+L540</f>
        <v/>
      </c>
      <c r="O540" s="64">
        <f>I540+K540+M540</f>
        <v/>
      </c>
      <c r="Q540" t="inlineStr">
        <is>
          <t>푸른조경</t>
        </is>
      </c>
    </row>
    <row r="541" ht="24" customHeight="1" s="34">
      <c r="A541" t="inlineStr">
        <is>
          <t>01 조경</t>
        </is>
      </c>
      <c r="B541" t="inlineStr">
        <is>
          <t>10. 조 경 공</t>
        </is>
      </c>
      <c r="C541" t="n">
        <v>17</v>
      </c>
      <c r="D541" t="inlineStr">
        <is>
          <t>바). 등의자</t>
        </is>
      </c>
      <c r="E541" t="inlineStr">
        <is>
          <t>1600*533*H766</t>
        </is>
      </c>
      <c r="F541" t="n">
        <v>9</v>
      </c>
      <c r="G541" t="inlineStr">
        <is>
          <t>EA</t>
        </is>
      </c>
      <c r="H541" s="64" t="n">
        <v>750000</v>
      </c>
      <c r="I541" s="64">
        <f>F541*H541</f>
        <v/>
      </c>
      <c r="J541" s="64" t="n">
        <v>250000</v>
      </c>
      <c r="K541" s="64">
        <f>F541*J541</f>
        <v/>
      </c>
      <c r="L541" s="64" t="n">
        <v>0</v>
      </c>
      <c r="M541" s="64">
        <f>F541*L541</f>
        <v/>
      </c>
      <c r="N541" s="64">
        <f>H541+J541+L541</f>
        <v/>
      </c>
      <c r="O541" s="64">
        <f>I541+K541+M541</f>
        <v/>
      </c>
      <c r="Q541" t="inlineStr">
        <is>
          <t>푸른조경</t>
        </is>
      </c>
    </row>
    <row r="542" ht="24" customHeight="1" s="34">
      <c r="A542" t="inlineStr">
        <is>
          <t>01 조경</t>
        </is>
      </c>
      <c r="B542" t="inlineStr">
        <is>
          <t>10. 조 경 공</t>
        </is>
      </c>
      <c r="C542" t="n">
        <v>18</v>
      </c>
      <c r="D542" t="inlineStr">
        <is>
          <t>사). 플랜터형의자</t>
        </is>
      </c>
      <c r="E542" t="inlineStr">
        <is>
          <t>2200*2200*H700</t>
        </is>
      </c>
      <c r="F542" t="n">
        <v>3</v>
      </c>
      <c r="G542" t="inlineStr">
        <is>
          <t>EA</t>
        </is>
      </c>
      <c r="H542" s="64" t="n">
        <v>3200000</v>
      </c>
      <c r="I542" s="64">
        <f>F542*H542</f>
        <v/>
      </c>
      <c r="J542" s="64" t="n">
        <v>250000</v>
      </c>
      <c r="K542" s="64">
        <f>F542*J542</f>
        <v/>
      </c>
      <c r="L542" s="64" t="n">
        <v>0</v>
      </c>
      <c r="M542" s="64">
        <f>F542*L542</f>
        <v/>
      </c>
      <c r="N542" s="64">
        <f>H542+J542+L542</f>
        <v/>
      </c>
      <c r="O542" s="64">
        <f>I542+K542+M542</f>
        <v/>
      </c>
      <c r="Q542" t="inlineStr">
        <is>
          <t>푸른조경</t>
        </is>
      </c>
    </row>
    <row r="543" ht="24" customHeight="1" s="34">
      <c r="A543" t="inlineStr">
        <is>
          <t>01 조경</t>
        </is>
      </c>
      <c r="B543" t="inlineStr">
        <is>
          <t>10. 조 경 공</t>
        </is>
      </c>
      <c r="C543" t="n">
        <v>19</v>
      </c>
      <c r="D543" t="inlineStr">
        <is>
          <t>가). 투수블럭포장 A</t>
        </is>
      </c>
      <c r="E543" t="inlineStr">
        <is>
          <t>T60</t>
        </is>
      </c>
      <c r="F543" t="n">
        <v>68</v>
      </c>
      <c r="G543" t="inlineStr">
        <is>
          <t>m2</t>
        </is>
      </c>
      <c r="H543" s="64" t="n">
        <v>45000</v>
      </c>
      <c r="I543" s="64">
        <f>F543*H543</f>
        <v/>
      </c>
      <c r="J543" s="64" t="n">
        <v>15000</v>
      </c>
      <c r="K543" s="64">
        <f>F543*J543</f>
        <v/>
      </c>
      <c r="L543" s="64" t="n">
        <v>0</v>
      </c>
      <c r="M543" s="64">
        <f>F543*L543</f>
        <v/>
      </c>
      <c r="N543" s="64">
        <f>H543+J543+L543</f>
        <v/>
      </c>
      <c r="O543" s="64">
        <f>I543+K543+M543</f>
        <v/>
      </c>
      <c r="Q543" t="inlineStr">
        <is>
          <t>푸른조경</t>
        </is>
      </c>
    </row>
    <row r="544" ht="24" customHeight="1" s="34">
      <c r="A544" t="inlineStr">
        <is>
          <t>01 조경</t>
        </is>
      </c>
      <c r="B544" t="inlineStr">
        <is>
          <t>10. 조 경 공</t>
        </is>
      </c>
      <c r="C544" t="n">
        <v>20</v>
      </c>
      <c r="D544" t="inlineStr">
        <is>
          <t>나). 투수블럭포장 B</t>
        </is>
      </c>
      <c r="E544" t="inlineStr">
        <is>
          <t>T80</t>
        </is>
      </c>
      <c r="F544" t="n">
        <v>143</v>
      </c>
      <c r="G544" t="inlineStr">
        <is>
          <t>m2</t>
        </is>
      </c>
      <c r="H544" s="64" t="n">
        <v>65000</v>
      </c>
      <c r="I544" s="64">
        <f>F544*H544</f>
        <v/>
      </c>
      <c r="J544" s="64" t="n">
        <v>18000</v>
      </c>
      <c r="K544" s="64">
        <f>F544*J544</f>
        <v/>
      </c>
      <c r="L544" s="64" t="n">
        <v>0</v>
      </c>
      <c r="M544" s="64">
        <f>F544*L544</f>
        <v/>
      </c>
      <c r="N544" s="64">
        <f>H544+J544+L544</f>
        <v/>
      </c>
      <c r="O544" s="64">
        <f>I544+K544+M544</f>
        <v/>
      </c>
      <c r="Q544" t="inlineStr">
        <is>
          <t>푸른조경</t>
        </is>
      </c>
    </row>
    <row r="545" ht="24" customHeight="1" s="34">
      <c r="A545" t="inlineStr">
        <is>
          <t>01 조경</t>
        </is>
      </c>
      <c r="B545" t="inlineStr">
        <is>
          <t>10. 조 경 공</t>
        </is>
      </c>
      <c r="C545" t="n">
        <v>21</v>
      </c>
      <c r="D545" t="inlineStr">
        <is>
          <t>다). 흙콘크리트포장</t>
        </is>
      </c>
      <c r="E545" t="inlineStr">
        <is>
          <t>T150</t>
        </is>
      </c>
      <c r="F545" t="n">
        <v>224</v>
      </c>
      <c r="G545" t="inlineStr">
        <is>
          <t>m2</t>
        </is>
      </c>
      <c r="H545" s="64" t="n">
        <v>480000</v>
      </c>
      <c r="I545" s="64">
        <f>F545*H545</f>
        <v/>
      </c>
      <c r="J545" s="64" t="n">
        <v>150000</v>
      </c>
      <c r="K545" s="64">
        <f>F545*J545</f>
        <v/>
      </c>
      <c r="L545" s="64" t="n">
        <v>0</v>
      </c>
      <c r="M545" s="64">
        <f>F545*L545</f>
        <v/>
      </c>
      <c r="N545" s="64">
        <f>H545+J545+L545</f>
        <v/>
      </c>
      <c r="O545" s="64">
        <f>I545+K545+M545</f>
        <v/>
      </c>
      <c r="Q545" t="inlineStr">
        <is>
          <t>푸른조경</t>
        </is>
      </c>
    </row>
    <row r="546" ht="24" customHeight="1" s="34">
      <c r="A546" t="inlineStr">
        <is>
          <t>01 조경</t>
        </is>
      </c>
      <c r="B546" t="inlineStr">
        <is>
          <t>10. 조 경 공</t>
        </is>
      </c>
      <c r="C546" t="n">
        <v>22</v>
      </c>
      <c r="D546" t="inlineStr">
        <is>
          <t>라). 흙콘크리트거푸집</t>
        </is>
      </c>
      <c r="E546" t="inlineStr">
        <is>
          <t>H150</t>
        </is>
      </c>
      <c r="F546" t="n">
        <v>315</v>
      </c>
      <c r="G546" t="inlineStr">
        <is>
          <t>m</t>
        </is>
      </c>
      <c r="H546" s="64" t="n">
        <v>5000</v>
      </c>
      <c r="I546" s="64">
        <f>F546*H546</f>
        <v/>
      </c>
      <c r="J546" s="64" t="n">
        <v>5000</v>
      </c>
      <c r="K546" s="64">
        <f>F546*J546</f>
        <v/>
      </c>
      <c r="L546" s="64" t="n">
        <v>0</v>
      </c>
      <c r="M546" s="64">
        <f>F546*L546</f>
        <v/>
      </c>
      <c r="N546" s="64">
        <f>H546+J546+L546</f>
        <v/>
      </c>
      <c r="O546" s="64">
        <f>I546+K546+M546</f>
        <v/>
      </c>
      <c r="Q546" t="inlineStr">
        <is>
          <t>푸른조경</t>
        </is>
      </c>
    </row>
    <row r="547" ht="24" customHeight="1" s="34">
      <c r="A547" t="inlineStr">
        <is>
          <t>01 조경</t>
        </is>
      </c>
      <c r="B547" t="inlineStr">
        <is>
          <t>10. 조 경 공</t>
        </is>
      </c>
      <c r="C547" t="n">
        <v>23</v>
      </c>
      <c r="D547" t="inlineStr">
        <is>
          <t>마). 야자매트</t>
        </is>
      </c>
      <c r="E547" t="inlineStr">
        <is>
          <t>T35</t>
        </is>
      </c>
      <c r="F547" t="n">
        <v>17</v>
      </c>
      <c r="G547" t="inlineStr">
        <is>
          <t>m2</t>
        </is>
      </c>
      <c r="H547" s="64" t="n">
        <v>0</v>
      </c>
      <c r="I547" s="64">
        <f>F547*H547</f>
        <v/>
      </c>
      <c r="J547" s="64" t="n">
        <v>0</v>
      </c>
      <c r="K547" s="64">
        <f>F547*J547</f>
        <v/>
      </c>
      <c r="L547" s="64" t="n">
        <v>0</v>
      </c>
      <c r="M547" s="64">
        <f>F547*L547</f>
        <v/>
      </c>
      <c r="N547" s="64">
        <f>H547+J547+L547</f>
        <v/>
      </c>
      <c r="O547" s="64">
        <f>I547+K547+M547</f>
        <v/>
      </c>
      <c r="Q547" t="inlineStr">
        <is>
          <t>푸른조경</t>
        </is>
      </c>
    </row>
    <row r="548" ht="24" customHeight="1" s="34">
      <c r="A548" t="inlineStr">
        <is>
          <t>01 조경</t>
        </is>
      </c>
      <c r="B548" t="inlineStr">
        <is>
          <t>10. 조 경 공</t>
        </is>
      </c>
      <c r="C548" t="n">
        <v>24</v>
      </c>
      <c r="D548" t="inlineStr">
        <is>
          <t>바). 녹지경계석(직선)</t>
        </is>
      </c>
      <c r="E548" t="inlineStr">
        <is>
          <t>150x150x1000</t>
        </is>
      </c>
      <c r="F548" t="n">
        <v>459</v>
      </c>
      <c r="G548" t="inlineStr">
        <is>
          <t>m</t>
        </is>
      </c>
      <c r="H548" s="64" t="n">
        <v>45000</v>
      </c>
      <c r="I548" s="64">
        <f>F548*H548</f>
        <v/>
      </c>
      <c r="J548" s="64" t="n">
        <v>18000</v>
      </c>
      <c r="K548" s="64">
        <f>F548*J548</f>
        <v/>
      </c>
      <c r="L548" s="64" t="n">
        <v>0</v>
      </c>
      <c r="M548" s="64">
        <f>F548*L548</f>
        <v/>
      </c>
      <c r="N548" s="64">
        <f>H548+J548+L548</f>
        <v/>
      </c>
      <c r="O548" s="64">
        <f>I548+K548+M548</f>
        <v/>
      </c>
      <c r="Q548" t="inlineStr">
        <is>
          <t>푸른조경</t>
        </is>
      </c>
    </row>
    <row r="549" ht="24" customHeight="1" s="34">
      <c r="A549" t="inlineStr">
        <is>
          <t>01 조경</t>
        </is>
      </c>
      <c r="B549" t="inlineStr">
        <is>
          <t>10. 조 경 공</t>
        </is>
      </c>
      <c r="C549" t="n">
        <v>25</v>
      </c>
      <c r="D549" t="inlineStr">
        <is>
          <t>사). 포장경계석(직선)</t>
        </is>
      </c>
      <c r="E549" t="inlineStr">
        <is>
          <t>100x100x1000</t>
        </is>
      </c>
      <c r="F549" t="n">
        <v>10</v>
      </c>
      <c r="G549" t="inlineStr">
        <is>
          <t>m</t>
        </is>
      </c>
      <c r="H549" s="64" t="n">
        <v>50000</v>
      </c>
      <c r="I549" s="64">
        <f>F549*H549</f>
        <v/>
      </c>
      <c r="J549" s="64" t="n">
        <v>18000</v>
      </c>
      <c r="K549" s="64">
        <f>F549*J549</f>
        <v/>
      </c>
      <c r="L549" s="64" t="n">
        <v>0</v>
      </c>
      <c r="M549" s="64">
        <f>F549*L549</f>
        <v/>
      </c>
      <c r="N549" s="64">
        <f>H549+J549+L549</f>
        <v/>
      </c>
      <c r="O549" s="64">
        <f>I549+K549+M549</f>
        <v/>
      </c>
      <c r="Q549" t="inlineStr">
        <is>
          <t>푸른조경</t>
        </is>
      </c>
    </row>
    <row r="550" ht="24" customHeight="1" s="34">
      <c r="A550" t="inlineStr">
        <is>
          <t>01 조경</t>
        </is>
      </c>
      <c r="B550" t="inlineStr">
        <is>
          <t>10. 조 경 공</t>
        </is>
      </c>
      <c r="C550" t="n">
        <v>26</v>
      </c>
      <c r="D550" t="inlineStr">
        <is>
          <t>가). 집수정</t>
        </is>
      </c>
      <c r="E550" t="inlineStr">
        <is>
          <t>600*600*H900</t>
        </is>
      </c>
      <c r="F550" t="n">
        <v>4</v>
      </c>
      <c r="G550" t="inlineStr">
        <is>
          <t>EA</t>
        </is>
      </c>
      <c r="H550" s="64" t="n">
        <v>600000</v>
      </c>
      <c r="I550" s="64">
        <f>F550*H550</f>
        <v/>
      </c>
      <c r="J550" s="64" t="n">
        <v>100000</v>
      </c>
      <c r="K550" s="64">
        <f>F550*J550</f>
        <v/>
      </c>
      <c r="L550" s="64" t="n">
        <v>0</v>
      </c>
      <c r="M550" s="64">
        <f>F550*L550</f>
        <v/>
      </c>
      <c r="N550" s="64">
        <f>H550+J550+L550</f>
        <v/>
      </c>
      <c r="O550" s="64">
        <f>I550+K550+M550</f>
        <v/>
      </c>
      <c r="Q550" t="inlineStr">
        <is>
          <t>푸른조경</t>
        </is>
      </c>
    </row>
    <row r="551" ht="24" customHeight="1" s="34">
      <c r="A551" t="inlineStr">
        <is>
          <t>01 조경</t>
        </is>
      </c>
      <c r="B551" t="inlineStr">
        <is>
          <t>10. 조 경 공</t>
        </is>
      </c>
      <c r="C551" t="n">
        <v>27</v>
      </c>
      <c r="D551" t="inlineStr">
        <is>
          <t>나). 맹암거(간선)</t>
        </is>
      </c>
      <c r="E551" t="inlineStr">
        <is>
          <t>D300</t>
        </is>
      </c>
      <c r="F551" t="n">
        <v>24</v>
      </c>
      <c r="G551" t="inlineStr">
        <is>
          <t>M</t>
        </is>
      </c>
      <c r="H551" s="64" t="n">
        <v>25000</v>
      </c>
      <c r="I551" s="64">
        <f>F551*H551</f>
        <v/>
      </c>
      <c r="J551" s="64" t="n">
        <v>10000</v>
      </c>
      <c r="K551" s="64">
        <f>F551*J551</f>
        <v/>
      </c>
      <c r="L551" s="64" t="n">
        <v>0</v>
      </c>
      <c r="M551" s="64">
        <f>F551*L551</f>
        <v/>
      </c>
      <c r="N551" s="64">
        <f>H551+J551+L551</f>
        <v/>
      </c>
      <c r="O551" s="64">
        <f>I551+K551+M551</f>
        <v/>
      </c>
      <c r="Q551" t="inlineStr">
        <is>
          <t>푸른조경</t>
        </is>
      </c>
    </row>
    <row r="552" ht="24" customHeight="1" s="34">
      <c r="A552" t="inlineStr">
        <is>
          <t>01 조경</t>
        </is>
      </c>
      <c r="B552" t="inlineStr">
        <is>
          <t>10. 조 경 공</t>
        </is>
      </c>
      <c r="C552" t="n">
        <v>28</v>
      </c>
      <c r="D552" t="inlineStr">
        <is>
          <t>다). 맹암거(지선)</t>
        </is>
      </c>
      <c r="E552" t="inlineStr">
        <is>
          <t>D150</t>
        </is>
      </c>
      <c r="F552" t="n">
        <v>32</v>
      </c>
      <c r="G552" t="inlineStr">
        <is>
          <t>M</t>
        </is>
      </c>
      <c r="H552" s="64" t="n">
        <v>15000</v>
      </c>
      <c r="I552" s="64">
        <f>F552*H552</f>
        <v/>
      </c>
      <c r="J552" s="64" t="n">
        <v>10000</v>
      </c>
      <c r="K552" s="64">
        <f>F552*J552</f>
        <v/>
      </c>
      <c r="L552" s="64" t="n">
        <v>0</v>
      </c>
      <c r="M552" s="64">
        <f>F552*L552</f>
        <v/>
      </c>
      <c r="N552" s="64">
        <f>H552+J552+L552</f>
        <v/>
      </c>
      <c r="O552" s="64">
        <f>I552+K552+M552</f>
        <v/>
      </c>
      <c r="Q552" t="inlineStr">
        <is>
          <t>푸른조경</t>
        </is>
      </c>
    </row>
    <row r="553" ht="24" customHeight="1" s="34">
      <c r="A553" t="inlineStr">
        <is>
          <t>01 조경</t>
        </is>
      </c>
      <c r="B553" t="inlineStr">
        <is>
          <t>10. 조 경 공</t>
        </is>
      </c>
      <c r="C553" t="n">
        <v>29</v>
      </c>
      <c r="D553" t="inlineStr">
        <is>
          <t>라). 우수관</t>
        </is>
      </c>
      <c r="E553" t="inlineStr">
        <is>
          <t>D300</t>
        </is>
      </c>
      <c r="F553" t="n">
        <v>61</v>
      </c>
      <c r="G553" t="inlineStr">
        <is>
          <t>m</t>
        </is>
      </c>
      <c r="H553" s="64" t="n">
        <v>32000</v>
      </c>
      <c r="I553" s="64">
        <f>F553*H553</f>
        <v/>
      </c>
      <c r="J553" s="64" t="n">
        <v>20000</v>
      </c>
      <c r="K553" s="64">
        <f>F553*J553</f>
        <v/>
      </c>
      <c r="L553" s="64" t="n">
        <v>0</v>
      </c>
      <c r="M553" s="64">
        <f>F553*L553</f>
        <v/>
      </c>
      <c r="N553" s="64">
        <f>H553+J553+L553</f>
        <v/>
      </c>
      <c r="O553" s="64">
        <f>I553+K553+M553</f>
        <v/>
      </c>
      <c r="Q553" t="inlineStr">
        <is>
          <t>푸른조경</t>
        </is>
      </c>
    </row>
    <row r="554" ht="24" customHeight="1" s="34">
      <c r="A554" t="inlineStr">
        <is>
          <t>01 조경</t>
        </is>
      </c>
      <c r="B554" t="inlineStr">
        <is>
          <t>10. 조 경 공</t>
        </is>
      </c>
      <c r="C554" t="n">
        <v>30</v>
      </c>
      <c r="D554" t="inlineStr">
        <is>
          <t>마). 산마루측구</t>
        </is>
      </c>
      <c r="E554" t="inlineStr">
        <is>
          <t>W300</t>
        </is>
      </c>
      <c r="F554" t="n">
        <v>48</v>
      </c>
      <c r="G554" t="inlineStr">
        <is>
          <t>m</t>
        </is>
      </c>
      <c r="H554" s="64" t="n">
        <v>60000</v>
      </c>
      <c r="I554" s="64">
        <f>F554*H554</f>
        <v/>
      </c>
      <c r="J554" s="64" t="n">
        <v>20000</v>
      </c>
      <c r="K554" s="64">
        <f>F554*J554</f>
        <v/>
      </c>
      <c r="L554" s="64" t="n">
        <v>0</v>
      </c>
      <c r="M554" s="64">
        <f>F554*L554</f>
        <v/>
      </c>
      <c r="N554" s="64">
        <f>H554+J554+L554</f>
        <v/>
      </c>
      <c r="O554" s="64">
        <f>I554+K554+M554</f>
        <v/>
      </c>
      <c r="Q554" t="inlineStr">
        <is>
          <t>푸른조경</t>
        </is>
      </c>
    </row>
    <row r="555" ht="24" customHeight="1" s="34">
      <c r="A555" t="inlineStr">
        <is>
          <t>01 조경</t>
        </is>
      </c>
      <c r="B555" t="inlineStr">
        <is>
          <t>10. 조 경 공</t>
        </is>
      </c>
      <c r="C555" t="n">
        <v>31</v>
      </c>
      <c r="D555" t="inlineStr">
        <is>
          <t>가). 소나무</t>
        </is>
      </c>
      <c r="E555" t="inlineStr">
        <is>
          <t>H4.0xW2.0xR15</t>
        </is>
      </c>
      <c r="F555" t="n">
        <v>9</v>
      </c>
      <c r="G555" t="inlineStr">
        <is>
          <t>주</t>
        </is>
      </c>
      <c r="H555" s="64" t="n">
        <v>550000</v>
      </c>
      <c r="I555" s="64">
        <f>F555*H555</f>
        <v/>
      </c>
      <c r="J555" s="64" t="n">
        <v>80000</v>
      </c>
      <c r="K555" s="64">
        <f>F555*J555</f>
        <v/>
      </c>
      <c r="L555" s="64" t="n">
        <v>8000</v>
      </c>
      <c r="M555" s="64">
        <f>F555*L555</f>
        <v/>
      </c>
      <c r="N555" s="64">
        <f>H555+J555+L555</f>
        <v/>
      </c>
      <c r="O555" s="64">
        <f>I555+K555+M555</f>
        <v/>
      </c>
      <c r="Q555" t="inlineStr">
        <is>
          <t>푸른조경</t>
        </is>
      </c>
    </row>
    <row r="556" ht="24" customHeight="1" s="34">
      <c r="A556" t="inlineStr">
        <is>
          <t>01 조경</t>
        </is>
      </c>
      <c r="B556" t="inlineStr">
        <is>
          <t>10. 조 경 공</t>
        </is>
      </c>
      <c r="C556" t="n">
        <v>32</v>
      </c>
      <c r="D556" t="inlineStr">
        <is>
          <t>나). 스트로브잣</t>
        </is>
      </c>
      <c r="E556" t="inlineStr">
        <is>
          <t>H3.5xW1.8</t>
        </is>
      </c>
      <c r="F556" t="n">
        <v>27</v>
      </c>
      <c r="G556" t="inlineStr">
        <is>
          <t>주</t>
        </is>
      </c>
      <c r="H556" s="64" t="n">
        <v>160000</v>
      </c>
      <c r="I556" s="64">
        <f>F556*H556</f>
        <v/>
      </c>
      <c r="J556" s="64" t="n">
        <v>60000</v>
      </c>
      <c r="K556" s="64">
        <f>F556*J556</f>
        <v/>
      </c>
      <c r="L556" s="64" t="n">
        <v>6000</v>
      </c>
      <c r="M556" s="64">
        <f>F556*L556</f>
        <v/>
      </c>
      <c r="N556" s="64">
        <f>H556+J556+L556</f>
        <v/>
      </c>
      <c r="O556" s="64">
        <f>I556+K556+M556</f>
        <v/>
      </c>
      <c r="Q556" t="inlineStr">
        <is>
          <t>푸른조경</t>
        </is>
      </c>
    </row>
    <row r="557" ht="24" customHeight="1" s="34">
      <c r="A557" t="inlineStr">
        <is>
          <t>01 조경</t>
        </is>
      </c>
      <c r="B557" t="inlineStr">
        <is>
          <t>10. 조 경 공</t>
        </is>
      </c>
      <c r="C557" t="n">
        <v>33</v>
      </c>
      <c r="D557" t="inlineStr">
        <is>
          <t>다). 느티나무</t>
        </is>
      </c>
      <c r="E557" t="inlineStr">
        <is>
          <t>H4.0xR15</t>
        </is>
      </c>
      <c r="F557" t="n">
        <v>11</v>
      </c>
      <c r="G557" t="inlineStr">
        <is>
          <t>주</t>
        </is>
      </c>
      <c r="H557" s="64" t="n">
        <v>420000</v>
      </c>
      <c r="I557" s="64">
        <f>F557*H557</f>
        <v/>
      </c>
      <c r="J557" s="64" t="n">
        <v>80000</v>
      </c>
      <c r="K557" s="64">
        <f>F557*J557</f>
        <v/>
      </c>
      <c r="L557" s="64" t="n">
        <v>8000</v>
      </c>
      <c r="M557" s="64">
        <f>F557*L557</f>
        <v/>
      </c>
      <c r="N557" s="64">
        <f>H557+J557+L557</f>
        <v/>
      </c>
      <c r="O557" s="64">
        <f>I557+K557+M557</f>
        <v/>
      </c>
      <c r="Q557" t="inlineStr">
        <is>
          <t>푸른조경</t>
        </is>
      </c>
    </row>
    <row r="558" ht="24" customHeight="1" s="34">
      <c r="A558" t="inlineStr">
        <is>
          <t>01 조경</t>
        </is>
      </c>
      <c r="B558" t="inlineStr">
        <is>
          <t>10. 조 경 공</t>
        </is>
      </c>
      <c r="C558" t="n">
        <v>34</v>
      </c>
      <c r="D558" t="inlineStr">
        <is>
          <t>라). 배롱나무</t>
        </is>
      </c>
      <c r="E558" t="inlineStr">
        <is>
          <t>H3.0xR10</t>
        </is>
      </c>
      <c r="F558" t="n">
        <v>3</v>
      </c>
      <c r="G558" t="inlineStr">
        <is>
          <t>주</t>
        </is>
      </c>
      <c r="H558" s="64" t="n">
        <v>380000</v>
      </c>
      <c r="I558" s="64">
        <f>F558*H558</f>
        <v/>
      </c>
      <c r="J558" s="64" t="n">
        <v>80000</v>
      </c>
      <c r="K558" s="64">
        <f>F558*J558</f>
        <v/>
      </c>
      <c r="L558" s="64" t="n">
        <v>8000</v>
      </c>
      <c r="M558" s="64">
        <f>F558*L558</f>
        <v/>
      </c>
      <c r="N558" s="64">
        <f>H558+J558+L558</f>
        <v/>
      </c>
      <c r="O558" s="64">
        <f>I558+K558+M558</f>
        <v/>
      </c>
      <c r="Q558" t="inlineStr">
        <is>
          <t>푸른조경</t>
        </is>
      </c>
    </row>
    <row r="559" ht="24" customHeight="1" s="34">
      <c r="A559" t="inlineStr">
        <is>
          <t>01 조경</t>
        </is>
      </c>
      <c r="B559" t="inlineStr">
        <is>
          <t>10. 조 경 공</t>
        </is>
      </c>
      <c r="C559" t="n">
        <v>35</v>
      </c>
      <c r="D559" t="inlineStr">
        <is>
          <t>마). 왕벚나무</t>
        </is>
      </c>
      <c r="E559" t="inlineStr">
        <is>
          <t>H3.5xB8</t>
        </is>
      </c>
      <c r="F559" t="n">
        <v>14</v>
      </c>
      <c r="G559" t="inlineStr">
        <is>
          <t>주</t>
        </is>
      </c>
      <c r="H559" s="64" t="n">
        <v>160000</v>
      </c>
      <c r="I559" s="64">
        <f>F559*H559</f>
        <v/>
      </c>
      <c r="J559" s="64" t="n">
        <v>50000</v>
      </c>
      <c r="K559" s="64">
        <f>F559*J559</f>
        <v/>
      </c>
      <c r="L559" s="64" t="n">
        <v>5000</v>
      </c>
      <c r="M559" s="64">
        <f>F559*L559</f>
        <v/>
      </c>
      <c r="N559" s="64">
        <f>H559+J559+L559</f>
        <v/>
      </c>
      <c r="O559" s="64">
        <f>I559+K559+M559</f>
        <v/>
      </c>
      <c r="Q559" t="inlineStr">
        <is>
          <t>푸른조경</t>
        </is>
      </c>
    </row>
    <row r="560" ht="24" customHeight="1" s="34">
      <c r="A560" t="inlineStr">
        <is>
          <t>01 조경</t>
        </is>
      </c>
      <c r="B560" t="inlineStr">
        <is>
          <t>10. 조 경 공</t>
        </is>
      </c>
      <c r="C560" t="n">
        <v>36</v>
      </c>
      <c r="D560" t="inlineStr">
        <is>
          <t>바). 청단풍</t>
        </is>
      </c>
      <c r="E560" t="inlineStr">
        <is>
          <t>H3.0xR8</t>
        </is>
      </c>
      <c r="F560" t="n">
        <v>5</v>
      </c>
      <c r="G560" t="inlineStr">
        <is>
          <t>주</t>
        </is>
      </c>
      <c r="H560" s="64" t="n">
        <v>100000</v>
      </c>
      <c r="I560" s="64">
        <f>F560*H560</f>
        <v/>
      </c>
      <c r="J560" s="64" t="n">
        <v>50000</v>
      </c>
      <c r="K560" s="64">
        <f>F560*J560</f>
        <v/>
      </c>
      <c r="L560" s="64" t="n">
        <v>5000</v>
      </c>
      <c r="M560" s="64">
        <f>F560*L560</f>
        <v/>
      </c>
      <c r="N560" s="64">
        <f>H560+J560+L560</f>
        <v/>
      </c>
      <c r="O560" s="64">
        <f>I560+K560+M560</f>
        <v/>
      </c>
      <c r="Q560" t="inlineStr">
        <is>
          <t>푸른조경</t>
        </is>
      </c>
    </row>
    <row r="561" ht="24" customHeight="1" s="34">
      <c r="A561" t="inlineStr">
        <is>
          <t>01 조경</t>
        </is>
      </c>
      <c r="B561" t="inlineStr">
        <is>
          <t>10. 조 경 공</t>
        </is>
      </c>
      <c r="C561" t="n">
        <v>37</v>
      </c>
      <c r="D561" t="inlineStr">
        <is>
          <t>사). 이팝나무</t>
        </is>
      </c>
      <c r="E561" t="inlineStr">
        <is>
          <t>H3.0xR8</t>
        </is>
      </c>
      <c r="F561" t="n">
        <v>6</v>
      </c>
      <c r="G561" t="inlineStr">
        <is>
          <t>주</t>
        </is>
      </c>
      <c r="H561" s="64" t="n">
        <v>120000</v>
      </c>
      <c r="I561" s="64">
        <f>F561*H561</f>
        <v/>
      </c>
      <c r="J561" s="64" t="n">
        <v>50000</v>
      </c>
      <c r="K561" s="64">
        <f>F561*J561</f>
        <v/>
      </c>
      <c r="L561" s="64" t="n">
        <v>5000</v>
      </c>
      <c r="M561" s="64">
        <f>F561*L561</f>
        <v/>
      </c>
      <c r="N561" s="64">
        <f>H561+J561+L561</f>
        <v/>
      </c>
      <c r="O561" s="64">
        <f>I561+K561+M561</f>
        <v/>
      </c>
      <c r="Q561" t="inlineStr">
        <is>
          <t>푸른조경</t>
        </is>
      </c>
    </row>
    <row r="562" ht="24" customHeight="1" s="34">
      <c r="A562" t="inlineStr">
        <is>
          <t>01 조경</t>
        </is>
      </c>
      <c r="B562" t="inlineStr">
        <is>
          <t>10. 조 경 공</t>
        </is>
      </c>
      <c r="C562" t="n">
        <v>38</v>
      </c>
      <c r="D562" t="inlineStr">
        <is>
          <t>아). 꽃사과</t>
        </is>
      </c>
      <c r="E562" t="inlineStr">
        <is>
          <t>H3.5xR8</t>
        </is>
      </c>
      <c r="F562" t="n">
        <v>6</v>
      </c>
      <c r="G562" t="inlineStr">
        <is>
          <t>주</t>
        </is>
      </c>
      <c r="H562" s="64" t="n">
        <v>100000</v>
      </c>
      <c r="I562" s="64">
        <f>F562*H562</f>
        <v/>
      </c>
      <c r="J562" s="64" t="n">
        <v>50000</v>
      </c>
      <c r="K562" s="64">
        <f>F562*J562</f>
        <v/>
      </c>
      <c r="L562" s="64" t="n">
        <v>5000</v>
      </c>
      <c r="M562" s="64">
        <f>F562*L562</f>
        <v/>
      </c>
      <c r="N562" s="64">
        <f>H562+J562+L562</f>
        <v/>
      </c>
      <c r="O562" s="64">
        <f>I562+K562+M562</f>
        <v/>
      </c>
      <c r="Q562" t="inlineStr">
        <is>
          <t>푸른조경</t>
        </is>
      </c>
    </row>
    <row r="563" ht="24" customHeight="1" s="34">
      <c r="A563" t="inlineStr">
        <is>
          <t>01 조경</t>
        </is>
      </c>
      <c r="B563" t="inlineStr">
        <is>
          <t>10. 조 경 공</t>
        </is>
      </c>
      <c r="C563" t="n">
        <v>39</v>
      </c>
      <c r="D563" t="inlineStr">
        <is>
          <t>자). 복자기</t>
        </is>
      </c>
      <c r="E563" t="inlineStr">
        <is>
          <t>H3.5xR8</t>
        </is>
      </c>
      <c r="F563" t="n">
        <v>5</v>
      </c>
      <c r="G563" t="inlineStr">
        <is>
          <t>주</t>
        </is>
      </c>
      <c r="H563" s="64" t="n">
        <v>130000</v>
      </c>
      <c r="I563" s="64">
        <f>F563*H563</f>
        <v/>
      </c>
      <c r="J563" s="64" t="n">
        <v>50000</v>
      </c>
      <c r="K563" s="64">
        <f>F563*J563</f>
        <v/>
      </c>
      <c r="L563" s="64" t="n">
        <v>5000</v>
      </c>
      <c r="M563" s="64">
        <f>F563*L563</f>
        <v/>
      </c>
      <c r="N563" s="64">
        <f>H563+J563+L563</f>
        <v/>
      </c>
      <c r="O563" s="64">
        <f>I563+K563+M563</f>
        <v/>
      </c>
      <c r="Q563" t="inlineStr">
        <is>
          <t>푸른조경</t>
        </is>
      </c>
    </row>
    <row r="564" ht="24" customHeight="1" s="34">
      <c r="A564" t="inlineStr">
        <is>
          <t>01 조경</t>
        </is>
      </c>
      <c r="B564" t="inlineStr">
        <is>
          <t>10. 조 경 공</t>
        </is>
      </c>
      <c r="C564" t="n">
        <v>40</v>
      </c>
      <c r="D564" t="inlineStr">
        <is>
          <t>차). 모감주나무</t>
        </is>
      </c>
      <c r="E564" t="inlineStr">
        <is>
          <t>H3.5xR8</t>
        </is>
      </c>
      <c r="F564" t="n">
        <v>5</v>
      </c>
      <c r="G564" t="inlineStr">
        <is>
          <t>주</t>
        </is>
      </c>
      <c r="H564" s="64" t="n">
        <v>100000</v>
      </c>
      <c r="I564" s="64">
        <f>F564*H564</f>
        <v/>
      </c>
      <c r="J564" s="64" t="n">
        <v>40000</v>
      </c>
      <c r="K564" s="64">
        <f>F564*J564</f>
        <v/>
      </c>
      <c r="L564" s="64" t="n">
        <v>5000</v>
      </c>
      <c r="M564" s="64">
        <f>F564*L564</f>
        <v/>
      </c>
      <c r="N564" s="64">
        <f>H564+J564+L564</f>
        <v/>
      </c>
      <c r="O564" s="64">
        <f>I564+K564+M564</f>
        <v/>
      </c>
      <c r="Q564" t="inlineStr">
        <is>
          <t>푸른조경</t>
        </is>
      </c>
    </row>
    <row r="565" ht="24" customHeight="1" s="34">
      <c r="A565" t="inlineStr">
        <is>
          <t>01 조경</t>
        </is>
      </c>
      <c r="B565" t="inlineStr">
        <is>
          <t>10. 조 경 공</t>
        </is>
      </c>
      <c r="C565" t="n">
        <v>41</v>
      </c>
      <c r="D565" t="inlineStr">
        <is>
          <t>카). 영산홍</t>
        </is>
      </c>
      <c r="E565" t="inlineStr">
        <is>
          <t>H0.3xW0.3</t>
        </is>
      </c>
      <c r="F565" t="n">
        <v>160</v>
      </c>
      <c r="G565" t="inlineStr">
        <is>
          <t>주</t>
        </is>
      </c>
      <c r="H565" s="64" t="n">
        <v>2000</v>
      </c>
      <c r="I565" s="64">
        <f>F565*H565</f>
        <v/>
      </c>
      <c r="J565" s="64" t="n">
        <v>2000</v>
      </c>
      <c r="K565" s="64">
        <f>F565*J565</f>
        <v/>
      </c>
      <c r="L565" s="64" t="n">
        <v>0</v>
      </c>
      <c r="M565" s="64">
        <f>F565*L565</f>
        <v/>
      </c>
      <c r="N565" s="64">
        <f>H565+J565+L565</f>
        <v/>
      </c>
      <c r="O565" s="64">
        <f>I565+K565+M565</f>
        <v/>
      </c>
      <c r="Q565" t="inlineStr">
        <is>
          <t>푸른조경</t>
        </is>
      </c>
    </row>
    <row r="566" ht="24" customHeight="1" s="34">
      <c r="A566" t="inlineStr">
        <is>
          <t>01 조경</t>
        </is>
      </c>
      <c r="B566" t="inlineStr">
        <is>
          <t>10. 조 경 공</t>
        </is>
      </c>
      <c r="C566" t="n">
        <v>42</v>
      </c>
      <c r="D566" t="inlineStr">
        <is>
          <t>타). 산철쭉</t>
        </is>
      </c>
      <c r="E566" t="inlineStr">
        <is>
          <t>H0.3xW0.3</t>
        </is>
      </c>
      <c r="F566" t="n">
        <v>800</v>
      </c>
      <c r="G566" t="inlineStr">
        <is>
          <t>주</t>
        </is>
      </c>
      <c r="H566" s="64" t="n">
        <v>2000</v>
      </c>
      <c r="I566" s="64">
        <f>F566*H566</f>
        <v/>
      </c>
      <c r="J566" s="64" t="n">
        <v>2000</v>
      </c>
      <c r="K566" s="64">
        <f>F566*J566</f>
        <v/>
      </c>
      <c r="L566" s="64" t="n">
        <v>0</v>
      </c>
      <c r="M566" s="64">
        <f>F566*L566</f>
        <v/>
      </c>
      <c r="N566" s="64">
        <f>H566+J566+L566</f>
        <v/>
      </c>
      <c r="O566" s="64">
        <f>I566+K566+M566</f>
        <v/>
      </c>
      <c r="Q566" t="inlineStr">
        <is>
          <t>푸른조경</t>
        </is>
      </c>
    </row>
    <row r="567" ht="24" customHeight="1" s="34">
      <c r="A567" t="inlineStr">
        <is>
          <t>01 조경</t>
        </is>
      </c>
      <c r="B567" t="inlineStr">
        <is>
          <t>10. 조 경 공</t>
        </is>
      </c>
      <c r="C567" t="n">
        <v>43</v>
      </c>
      <c r="D567" t="inlineStr">
        <is>
          <t>파). 조팝나무</t>
        </is>
      </c>
      <c r="E567" t="inlineStr">
        <is>
          <t>H0.3xW0.3</t>
        </is>
      </c>
      <c r="F567" t="n">
        <v>330</v>
      </c>
      <c r="G567" t="inlineStr">
        <is>
          <t>주</t>
        </is>
      </c>
      <c r="H567" s="64" t="n">
        <v>800</v>
      </c>
      <c r="I567" s="64">
        <f>F567*H567</f>
        <v/>
      </c>
      <c r="J567" s="64" t="n">
        <v>1200</v>
      </c>
      <c r="K567" s="64">
        <f>F567*J567</f>
        <v/>
      </c>
      <c r="L567" s="64" t="n">
        <v>0</v>
      </c>
      <c r="M567" s="64">
        <f>F567*L567</f>
        <v/>
      </c>
      <c r="N567" s="64">
        <f>H567+J567+L567</f>
        <v/>
      </c>
      <c r="O567" s="64">
        <f>I567+K567+M567</f>
        <v/>
      </c>
      <c r="Q567" t="inlineStr">
        <is>
          <t>푸른조경</t>
        </is>
      </c>
    </row>
    <row r="568" ht="24" customHeight="1" s="34">
      <c r="A568" t="inlineStr">
        <is>
          <t>01 조경</t>
        </is>
      </c>
      <c r="B568" t="inlineStr">
        <is>
          <t>10. 조 경 공</t>
        </is>
      </c>
      <c r="C568" t="n">
        <v>44</v>
      </c>
      <c r="D568" t="inlineStr">
        <is>
          <t>하). 쥐똥나무</t>
        </is>
      </c>
      <c r="E568" t="inlineStr">
        <is>
          <t>H1.2xW0.3</t>
        </is>
      </c>
      <c r="F568" t="n">
        <v>720</v>
      </c>
      <c r="G568" t="inlineStr">
        <is>
          <t>주</t>
        </is>
      </c>
      <c r="H568" s="64" t="n">
        <v>1400</v>
      </c>
      <c r="I568" s="64">
        <f>F568*H568</f>
        <v/>
      </c>
      <c r="J568" s="64" t="n">
        <v>1200</v>
      </c>
      <c r="K568" s="64">
        <f>F568*J568</f>
        <v/>
      </c>
      <c r="L568" s="64" t="n">
        <v>0</v>
      </c>
      <c r="M568" s="64">
        <f>F568*L568</f>
        <v/>
      </c>
      <c r="N568" s="64">
        <f>H568+J568+L568</f>
        <v/>
      </c>
      <c r="O568" s="64">
        <f>I568+K568+M568</f>
        <v/>
      </c>
      <c r="Q568" t="inlineStr">
        <is>
          <t>푸른조경</t>
        </is>
      </c>
    </row>
    <row r="569" ht="24" customHeight="1" s="34">
      <c r="A569" t="inlineStr">
        <is>
          <t>01 조경</t>
        </is>
      </c>
      <c r="B569" t="inlineStr">
        <is>
          <t>10. 조 경 공</t>
        </is>
      </c>
      <c r="C569" t="n">
        <v>45</v>
      </c>
      <c r="D569" t="inlineStr">
        <is>
          <t>갸). 잔디(평떼)</t>
        </is>
      </c>
      <c r="E569" t="inlineStr">
        <is>
          <t>0.3x0.3x0.03</t>
        </is>
      </c>
      <c r="F569" t="n">
        <v>1100</v>
      </c>
      <c r="G569" t="inlineStr">
        <is>
          <t>m2</t>
        </is>
      </c>
      <c r="H569" s="64" t="n">
        <v>5000</v>
      </c>
      <c r="I569" s="64">
        <f>F569*H569</f>
        <v/>
      </c>
      <c r="J569" s="64" t="n">
        <v>6000</v>
      </c>
      <c r="K569" s="64">
        <f>F569*J569</f>
        <v/>
      </c>
      <c r="L569" s="64" t="n">
        <v>0</v>
      </c>
      <c r="M569" s="64">
        <f>F569*L569</f>
        <v/>
      </c>
      <c r="N569" s="64">
        <f>H569+J569+L569</f>
        <v/>
      </c>
      <c r="O569" s="64">
        <f>I569+K569+M569</f>
        <v/>
      </c>
      <c r="Q569" t="inlineStr">
        <is>
          <t>푸른조경</t>
        </is>
      </c>
    </row>
    <row r="570" ht="24" customHeight="1" s="34">
      <c r="A570" t="inlineStr">
        <is>
          <t>01 조경</t>
        </is>
      </c>
      <c r="B570" t="inlineStr">
        <is>
          <t>10. 조 경 공</t>
        </is>
      </c>
      <c r="C570" t="n">
        <v>46</v>
      </c>
      <c r="D570" t="inlineStr">
        <is>
          <t>가). 생활체육시설E</t>
        </is>
      </c>
      <c r="E570" t="inlineStr">
        <is>
          <t>1860*1730*H1760</t>
        </is>
      </c>
      <c r="F570" t="n">
        <v>1</v>
      </c>
      <c r="G570" t="inlineStr">
        <is>
          <t>EA</t>
        </is>
      </c>
      <c r="H570" s="64" t="n">
        <v>4300000</v>
      </c>
      <c r="I570" s="64">
        <f>F570*H570</f>
        <v/>
      </c>
      <c r="J570" s="64" t="n">
        <v>250000</v>
      </c>
      <c r="K570" s="64">
        <f>F570*J570</f>
        <v/>
      </c>
      <c r="L570" s="64" t="n">
        <v>0</v>
      </c>
      <c r="M570" s="64">
        <f>F570*L570</f>
        <v/>
      </c>
      <c r="N570" s="64">
        <f>H570+J570+L570</f>
        <v/>
      </c>
      <c r="O570" s="64">
        <f>I570+K570+M570</f>
        <v/>
      </c>
      <c r="Q570" t="inlineStr">
        <is>
          <t>푸른조경</t>
        </is>
      </c>
    </row>
    <row r="571" ht="24" customHeight="1" s="34">
      <c r="A571" t="inlineStr">
        <is>
          <t>01 조경</t>
        </is>
      </c>
      <c r="B571" t="inlineStr">
        <is>
          <t>10. 조 경 공</t>
        </is>
      </c>
      <c r="C571" t="n">
        <v>47</v>
      </c>
      <c r="D571" t="inlineStr">
        <is>
          <t>나). 생활체육시설F</t>
        </is>
      </c>
      <c r="E571" t="inlineStr">
        <is>
          <t>2870*860*H1760</t>
        </is>
      </c>
      <c r="F571" t="n">
        <v>1</v>
      </c>
      <c r="G571" t="inlineStr">
        <is>
          <t>EA</t>
        </is>
      </c>
      <c r="H571" s="64" t="n">
        <v>4500000</v>
      </c>
      <c r="I571" s="64">
        <f>F571*H571</f>
        <v/>
      </c>
      <c r="J571" s="64" t="n">
        <v>250000</v>
      </c>
      <c r="K571" s="64">
        <f>F571*J571</f>
        <v/>
      </c>
      <c r="L571" s="64" t="n">
        <v>0</v>
      </c>
      <c r="M571" s="64">
        <f>F571*L571</f>
        <v/>
      </c>
      <c r="N571" s="64">
        <f>H571+J571+L571</f>
        <v/>
      </c>
      <c r="O571" s="64">
        <f>I571+K571+M571</f>
        <v/>
      </c>
      <c r="Q571" t="inlineStr">
        <is>
          <t>푸른조경</t>
        </is>
      </c>
    </row>
    <row r="572" ht="24" customHeight="1" s="34">
      <c r="A572" t="inlineStr">
        <is>
          <t>01 조경</t>
        </is>
      </c>
      <c r="B572" t="inlineStr">
        <is>
          <t>10. 조 경 공</t>
        </is>
      </c>
      <c r="C572" t="n">
        <v>48</v>
      </c>
      <c r="D572" t="inlineStr">
        <is>
          <t>다). 생활체육시설G</t>
        </is>
      </c>
      <c r="E572" t="inlineStr">
        <is>
          <t>1850*560*H1760</t>
        </is>
      </c>
      <c r="F572" t="n">
        <v>1</v>
      </c>
      <c r="G572" t="inlineStr">
        <is>
          <t>EA</t>
        </is>
      </c>
      <c r="H572" s="64" t="n">
        <v>4100000</v>
      </c>
      <c r="I572" s="64">
        <f>F572*H572</f>
        <v/>
      </c>
      <c r="J572" s="64" t="n">
        <v>250000</v>
      </c>
      <c r="K572" s="64">
        <f>F572*J572</f>
        <v/>
      </c>
      <c r="L572" s="64" t="n">
        <v>0</v>
      </c>
      <c r="M572" s="64">
        <f>F572*L572</f>
        <v/>
      </c>
      <c r="N572" s="64">
        <f>H572+J572+L572</f>
        <v/>
      </c>
      <c r="O572" s="64">
        <f>I572+K572+M572</f>
        <v/>
      </c>
      <c r="Q572" t="inlineStr">
        <is>
          <t>푸른조경</t>
        </is>
      </c>
    </row>
    <row r="573" ht="24" customHeight="1" s="34">
      <c r="A573" t="inlineStr">
        <is>
          <t>01 조경</t>
        </is>
      </c>
      <c r="B573" t="inlineStr">
        <is>
          <t>10. 조 경 공</t>
        </is>
      </c>
      <c r="C573" t="n">
        <v>49</v>
      </c>
      <c r="D573" t="inlineStr">
        <is>
          <t>라). 파고라B</t>
        </is>
      </c>
      <c r="E573" t="inlineStr">
        <is>
          <t>4000*4000*H3200</t>
        </is>
      </c>
      <c r="F573" t="n">
        <v>1</v>
      </c>
      <c r="G573" t="inlineStr">
        <is>
          <t>개소</t>
        </is>
      </c>
      <c r="H573" s="64" t="n">
        <v>15000000</v>
      </c>
      <c r="I573" s="64">
        <f>F573*H573</f>
        <v/>
      </c>
      <c r="J573" s="64" t="n">
        <v>600000</v>
      </c>
      <c r="K573" s="64">
        <f>F573*J573</f>
        <v/>
      </c>
      <c r="L573" s="64" t="n">
        <v>0</v>
      </c>
      <c r="M573" s="64">
        <f>F573*L573</f>
        <v/>
      </c>
      <c r="N573" s="64">
        <f>H573+J573+L573</f>
        <v/>
      </c>
      <c r="O573" s="64">
        <f>I573+K573+M573</f>
        <v/>
      </c>
      <c r="Q573" t="inlineStr">
        <is>
          <t>푸른조경</t>
        </is>
      </c>
    </row>
    <row r="574" ht="24" customHeight="1" s="34">
      <c r="A574" t="inlineStr">
        <is>
          <t>01 조경</t>
        </is>
      </c>
      <c r="B574" t="inlineStr">
        <is>
          <t>10. 조 경 공</t>
        </is>
      </c>
      <c r="C574" t="n">
        <v>50</v>
      </c>
      <c r="D574" t="inlineStr">
        <is>
          <t>마). 평의자</t>
        </is>
      </c>
      <c r="E574" t="inlineStr">
        <is>
          <t>1600*440*H430</t>
        </is>
      </c>
      <c r="F574" t="n">
        <v>3</v>
      </c>
      <c r="G574" t="inlineStr">
        <is>
          <t>EA</t>
        </is>
      </c>
      <c r="H574" s="64" t="n">
        <v>500000</v>
      </c>
      <c r="I574" s="64">
        <f>F574*H574</f>
        <v/>
      </c>
      <c r="J574" s="64" t="n">
        <v>0</v>
      </c>
      <c r="K574" s="64">
        <f>F574*J574</f>
        <v/>
      </c>
      <c r="L574" s="64" t="n">
        <v>0</v>
      </c>
      <c r="M574" s="64">
        <f>F574*L574</f>
        <v/>
      </c>
      <c r="N574" s="64">
        <f>H574+J574+L574</f>
        <v/>
      </c>
      <c r="O574" s="64">
        <f>I574+K574+M574</f>
        <v/>
      </c>
      <c r="Q574" t="inlineStr">
        <is>
          <t>푸른조경</t>
        </is>
      </c>
    </row>
    <row r="575" ht="24" customHeight="1" s="34">
      <c r="A575" t="inlineStr">
        <is>
          <t>01 조경</t>
        </is>
      </c>
      <c r="B575" t="inlineStr">
        <is>
          <t>10. 조 경 공</t>
        </is>
      </c>
      <c r="C575" t="n">
        <v>51</v>
      </c>
      <c r="D575" t="inlineStr">
        <is>
          <t>바). 등의자</t>
        </is>
      </c>
      <c r="E575" t="inlineStr">
        <is>
          <t>1600*533*H766</t>
        </is>
      </c>
      <c r="F575" t="n">
        <v>4</v>
      </c>
      <c r="G575" t="inlineStr">
        <is>
          <t>EA</t>
        </is>
      </c>
      <c r="H575" s="64" t="n">
        <v>750000</v>
      </c>
      <c r="I575" s="64">
        <f>F575*H575</f>
        <v/>
      </c>
      <c r="J575" s="64" t="n">
        <v>0</v>
      </c>
      <c r="K575" s="64">
        <f>F575*J575</f>
        <v/>
      </c>
      <c r="L575" s="64" t="n">
        <v>0</v>
      </c>
      <c r="M575" s="64">
        <f>F575*L575</f>
        <v/>
      </c>
      <c r="N575" s="64">
        <f>H575+J575+L575</f>
        <v/>
      </c>
      <c r="O575" s="64">
        <f>I575+K575+M575</f>
        <v/>
      </c>
      <c r="Q575" t="inlineStr">
        <is>
          <t>푸른조경</t>
        </is>
      </c>
    </row>
    <row r="576" ht="24" customHeight="1" s="34">
      <c r="A576" t="inlineStr">
        <is>
          <t>01 조경</t>
        </is>
      </c>
      <c r="B576" t="inlineStr">
        <is>
          <t>10. 조 경 공</t>
        </is>
      </c>
      <c r="C576" t="n">
        <v>52</v>
      </c>
      <c r="D576" t="inlineStr">
        <is>
          <t>사). 플랜터형의자</t>
        </is>
      </c>
      <c r="E576" t="inlineStr">
        <is>
          <t>2200*2200*H700</t>
        </is>
      </c>
      <c r="F576" t="n">
        <v>3</v>
      </c>
      <c r="G576" t="inlineStr">
        <is>
          <t>EA</t>
        </is>
      </c>
      <c r="H576" s="64" t="n">
        <v>3200000</v>
      </c>
      <c r="I576" s="64">
        <f>F576*H576</f>
        <v/>
      </c>
      <c r="J576" s="64" t="n">
        <v>200000</v>
      </c>
      <c r="K576" s="64">
        <f>F576*J576</f>
        <v/>
      </c>
      <c r="L576" s="64" t="n">
        <v>0</v>
      </c>
      <c r="M576" s="64">
        <f>F576*L576</f>
        <v/>
      </c>
      <c r="N576" s="64">
        <f>H576+J576+L576</f>
        <v/>
      </c>
      <c r="O576" s="64">
        <f>I576+K576+M576</f>
        <v/>
      </c>
      <c r="Q576" t="inlineStr">
        <is>
          <t>푸른조경</t>
        </is>
      </c>
    </row>
    <row r="577" ht="24" customHeight="1" s="34">
      <c r="A577" t="inlineStr">
        <is>
          <t>01 조경</t>
        </is>
      </c>
      <c r="B577" t="inlineStr">
        <is>
          <t>10. 조 경 공</t>
        </is>
      </c>
      <c r="C577" t="n">
        <v>53</v>
      </c>
      <c r="D577" t="inlineStr">
        <is>
          <t>아). 안전휀스</t>
        </is>
      </c>
      <c r="E577" t="inlineStr">
        <is>
          <t>2200*2200*H700</t>
        </is>
      </c>
      <c r="F577" t="n">
        <v>23</v>
      </c>
      <c r="G577" t="inlineStr">
        <is>
          <t>경간</t>
        </is>
      </c>
      <c r="H577" s="64" t="n">
        <v>220000</v>
      </c>
      <c r="I577" s="64">
        <f>F577*H577</f>
        <v/>
      </c>
      <c r="J577" s="64" t="n">
        <v>5000</v>
      </c>
      <c r="K577" s="64">
        <f>F577*J577</f>
        <v/>
      </c>
      <c r="L577" s="64" t="n">
        <v>0</v>
      </c>
      <c r="M577" s="64">
        <f>F577*L577</f>
        <v/>
      </c>
      <c r="N577" s="64">
        <f>H577+J577+L577</f>
        <v/>
      </c>
      <c r="O577" s="64">
        <f>I577+K577+M577</f>
        <v/>
      </c>
      <c r="Q577" t="inlineStr">
        <is>
          <t>푸른조경</t>
        </is>
      </c>
    </row>
    <row r="578" ht="24" customHeight="1" s="34">
      <c r="A578" t="inlineStr">
        <is>
          <t>01 조경</t>
        </is>
      </c>
      <c r="B578" t="inlineStr">
        <is>
          <t>10. 조 경 공</t>
        </is>
      </c>
      <c r="C578" t="n">
        <v>54</v>
      </c>
      <c r="D578" t="inlineStr">
        <is>
          <t>가). 투수블럭포장 A</t>
        </is>
      </c>
      <c r="E578" t="inlineStr">
        <is>
          <t>T60</t>
        </is>
      </c>
      <c r="F578" t="n">
        <v>122</v>
      </c>
      <c r="G578" t="inlineStr">
        <is>
          <t>m2</t>
        </is>
      </c>
      <c r="H578" s="64" t="n">
        <v>45000</v>
      </c>
      <c r="I578" s="64">
        <f>F578*H578</f>
        <v/>
      </c>
      <c r="J578" s="64" t="n">
        <v>15000</v>
      </c>
      <c r="K578" s="64">
        <f>F578*J578</f>
        <v/>
      </c>
      <c r="L578" s="64" t="n">
        <v>0</v>
      </c>
      <c r="M578" s="64">
        <f>F578*L578</f>
        <v/>
      </c>
      <c r="N578" s="64">
        <f>H578+J578+L578</f>
        <v/>
      </c>
      <c r="O578" s="64">
        <f>I578+K578+M578</f>
        <v/>
      </c>
      <c r="Q578" t="inlineStr">
        <is>
          <t>푸른조경</t>
        </is>
      </c>
    </row>
    <row r="579" ht="24" customHeight="1" s="34">
      <c r="A579" t="inlineStr">
        <is>
          <t>01 조경</t>
        </is>
      </c>
      <c r="B579" t="inlineStr">
        <is>
          <t>10. 조 경 공</t>
        </is>
      </c>
      <c r="C579" t="n">
        <v>55</v>
      </c>
      <c r="D579" t="inlineStr">
        <is>
          <t>나). 투수블럭포장 B</t>
        </is>
      </c>
      <c r="E579" t="inlineStr">
        <is>
          <t>T80</t>
        </is>
      </c>
      <c r="F579" t="n">
        <v>21</v>
      </c>
      <c r="G579" t="inlineStr">
        <is>
          <t>m2</t>
        </is>
      </c>
      <c r="H579" s="64" t="n">
        <v>65000</v>
      </c>
      <c r="I579" s="64">
        <f>F579*H579</f>
        <v/>
      </c>
      <c r="J579" s="64" t="n">
        <v>18000</v>
      </c>
      <c r="K579" s="64">
        <f>F579*J579</f>
        <v/>
      </c>
      <c r="L579" s="64" t="n">
        <v>0</v>
      </c>
      <c r="M579" s="64">
        <f>F579*L579</f>
        <v/>
      </c>
      <c r="N579" s="64">
        <f>H579+J579+L579</f>
        <v/>
      </c>
      <c r="O579" s="64">
        <f>I579+K579+M579</f>
        <v/>
      </c>
      <c r="Q579" t="inlineStr">
        <is>
          <t>푸른조경</t>
        </is>
      </c>
    </row>
    <row r="580" ht="24" customHeight="1" s="34">
      <c r="A580" t="inlineStr">
        <is>
          <t>01 조경</t>
        </is>
      </c>
      <c r="B580" t="inlineStr">
        <is>
          <t>10. 조 경 공</t>
        </is>
      </c>
      <c r="C580" t="n">
        <v>56</v>
      </c>
      <c r="D580" t="inlineStr">
        <is>
          <t>다). 흙콘크리트포장</t>
        </is>
      </c>
      <c r="E580" t="inlineStr">
        <is>
          <t>T150</t>
        </is>
      </c>
      <c r="F580" t="n">
        <v>169</v>
      </c>
      <c r="G580" t="inlineStr">
        <is>
          <t>m2</t>
        </is>
      </c>
      <c r="H580" s="64" t="n">
        <v>120000</v>
      </c>
      <c r="I580" s="64">
        <f>F580*H580</f>
        <v/>
      </c>
      <c r="J580" s="64" t="n">
        <v>30000</v>
      </c>
      <c r="K580" s="64">
        <f>F580*J580</f>
        <v/>
      </c>
      <c r="L580" s="64" t="n">
        <v>0</v>
      </c>
      <c r="M580" s="64">
        <f>F580*L580</f>
        <v/>
      </c>
      <c r="N580" s="64">
        <f>H580+J580+L580</f>
        <v/>
      </c>
      <c r="O580" s="64">
        <f>I580+K580+M580</f>
        <v/>
      </c>
      <c r="Q580" t="inlineStr">
        <is>
          <t>푸른조경</t>
        </is>
      </c>
    </row>
    <row r="581" ht="24" customHeight="1" s="34">
      <c r="A581" t="inlineStr">
        <is>
          <t>01 조경</t>
        </is>
      </c>
      <c r="B581" t="inlineStr">
        <is>
          <t>10. 조 경 공</t>
        </is>
      </c>
      <c r="C581" t="n">
        <v>57</v>
      </c>
      <c r="D581" t="inlineStr">
        <is>
          <t>라). 흙콘크리트거푸집</t>
        </is>
      </c>
      <c r="E581" t="inlineStr">
        <is>
          <t>H150</t>
        </is>
      </c>
      <c r="F581" t="n">
        <v>225</v>
      </c>
      <c r="G581" t="inlineStr">
        <is>
          <t>m</t>
        </is>
      </c>
      <c r="H581" s="64" t="n">
        <v>5000</v>
      </c>
      <c r="I581" s="64">
        <f>F581*H581</f>
        <v/>
      </c>
      <c r="J581" s="64" t="n">
        <v>5000</v>
      </c>
      <c r="K581" s="64">
        <f>F581*J581</f>
        <v/>
      </c>
      <c r="L581" s="64" t="n">
        <v>0</v>
      </c>
      <c r="M581" s="64">
        <f>F581*L581</f>
        <v/>
      </c>
      <c r="N581" s="64">
        <f>H581+J581+L581</f>
        <v/>
      </c>
      <c r="O581" s="64">
        <f>I581+K581+M581</f>
        <v/>
      </c>
      <c r="Q581" t="inlineStr">
        <is>
          <t>푸른조경</t>
        </is>
      </c>
    </row>
    <row r="582" ht="24" customHeight="1" s="34">
      <c r="A582" t="inlineStr">
        <is>
          <t>01 조경</t>
        </is>
      </c>
      <c r="B582" t="inlineStr">
        <is>
          <t>10. 조 경 공</t>
        </is>
      </c>
      <c r="C582" t="n">
        <v>58</v>
      </c>
      <c r="D582" t="inlineStr">
        <is>
          <t>마). 녹지경계석(직선)</t>
        </is>
      </c>
      <c r="E582" t="inlineStr">
        <is>
          <t>150x150x1000</t>
        </is>
      </c>
      <c r="F582" t="n">
        <v>243</v>
      </c>
      <c r="G582" t="inlineStr">
        <is>
          <t>m</t>
        </is>
      </c>
      <c r="H582" s="64" t="n">
        <v>45000</v>
      </c>
      <c r="I582" s="64">
        <f>F582*H582</f>
        <v/>
      </c>
      <c r="J582" s="64" t="n">
        <v>18000</v>
      </c>
      <c r="K582" s="64">
        <f>F582*J582</f>
        <v/>
      </c>
      <c r="L582" s="64" t="n">
        <v>0</v>
      </c>
      <c r="M582" s="64">
        <f>F582*L582</f>
        <v/>
      </c>
      <c r="N582" s="64">
        <f>H582+J582+L582</f>
        <v/>
      </c>
      <c r="O582" s="64">
        <f>I582+K582+M582</f>
        <v/>
      </c>
      <c r="Q582" t="inlineStr">
        <is>
          <t>푸른조경</t>
        </is>
      </c>
    </row>
    <row r="583" ht="24" customHeight="1" s="34">
      <c r="A583" t="inlineStr">
        <is>
          <t>01 조경</t>
        </is>
      </c>
      <c r="B583" t="inlineStr">
        <is>
          <t>10. 조 경 공</t>
        </is>
      </c>
      <c r="C583" t="n">
        <v>59</v>
      </c>
      <c r="D583" t="inlineStr">
        <is>
          <t>바). 포장경계석(직선)</t>
        </is>
      </c>
      <c r="E583" t="inlineStr">
        <is>
          <t>100x100x1000</t>
        </is>
      </c>
      <c r="F583" t="n">
        <v>29</v>
      </c>
      <c r="G583" t="inlineStr">
        <is>
          <t>m</t>
        </is>
      </c>
      <c r="H583" s="64" t="n">
        <v>50000</v>
      </c>
      <c r="I583" s="64">
        <f>F583*H583</f>
        <v/>
      </c>
      <c r="J583" s="64" t="n">
        <v>18000</v>
      </c>
      <c r="K583" s="64">
        <f>F583*J583</f>
        <v/>
      </c>
      <c r="L583" s="64" t="n">
        <v>0</v>
      </c>
      <c r="M583" s="64">
        <f>F583*L583</f>
        <v/>
      </c>
      <c r="N583" s="64">
        <f>H583+J583+L583</f>
        <v/>
      </c>
      <c r="O583" s="64">
        <f>I583+K583+M583</f>
        <v/>
      </c>
      <c r="Q583" t="inlineStr">
        <is>
          <t>푸른조경</t>
        </is>
      </c>
    </row>
    <row r="584" ht="24" customHeight="1" s="34">
      <c r="A584" t="inlineStr">
        <is>
          <t>01 조경</t>
        </is>
      </c>
      <c r="B584" t="inlineStr">
        <is>
          <t>10. 조 경 공</t>
        </is>
      </c>
      <c r="C584" t="n">
        <v>60</v>
      </c>
      <c r="D584" t="inlineStr">
        <is>
          <t>가). 집수정</t>
        </is>
      </c>
      <c r="E584" t="inlineStr">
        <is>
          <t>600*600*H900</t>
        </is>
      </c>
      <c r="F584" t="n">
        <v>8</v>
      </c>
      <c r="G584" t="inlineStr">
        <is>
          <t>EA</t>
        </is>
      </c>
      <c r="H584" s="64" t="n">
        <v>600000</v>
      </c>
      <c r="I584" s="64">
        <f>F584*H584</f>
        <v/>
      </c>
      <c r="J584" s="64" t="n">
        <v>100000</v>
      </c>
      <c r="K584" s="64">
        <f>F584*J584</f>
        <v/>
      </c>
      <c r="L584" s="64" t="n">
        <v>0</v>
      </c>
      <c r="M584" s="64">
        <f>F584*L584</f>
        <v/>
      </c>
      <c r="N584" s="64">
        <f>H584+J584+L584</f>
        <v/>
      </c>
      <c r="O584" s="64">
        <f>I584+K584+M584</f>
        <v/>
      </c>
      <c r="Q584" t="inlineStr">
        <is>
          <t>푸른조경</t>
        </is>
      </c>
    </row>
    <row r="585" ht="24" customHeight="1" s="34">
      <c r="A585" t="inlineStr">
        <is>
          <t>01 조경</t>
        </is>
      </c>
      <c r="B585" t="inlineStr">
        <is>
          <t>10. 조 경 공</t>
        </is>
      </c>
      <c r="C585" t="n">
        <v>61</v>
      </c>
      <c r="D585" t="inlineStr">
        <is>
          <t>나). 맹암거(간선)</t>
        </is>
      </c>
      <c r="E585" t="inlineStr">
        <is>
          <t>D300</t>
        </is>
      </c>
      <c r="F585" t="n">
        <v>20</v>
      </c>
      <c r="G585" t="inlineStr">
        <is>
          <t>M</t>
        </is>
      </c>
      <c r="H585" s="64" t="n">
        <v>25000</v>
      </c>
      <c r="I585" s="64">
        <f>F585*H585</f>
        <v/>
      </c>
      <c r="J585" s="64" t="n">
        <v>10000</v>
      </c>
      <c r="K585" s="64">
        <f>F585*J585</f>
        <v/>
      </c>
      <c r="L585" s="64" t="n">
        <v>0</v>
      </c>
      <c r="M585" s="64">
        <f>F585*L585</f>
        <v/>
      </c>
      <c r="N585" s="64">
        <f>H585+J585+L585</f>
        <v/>
      </c>
      <c r="O585" s="64">
        <f>I585+K585+M585</f>
        <v/>
      </c>
      <c r="Q585" t="inlineStr">
        <is>
          <t>푸른조경</t>
        </is>
      </c>
    </row>
    <row r="586" ht="24" customHeight="1" s="34">
      <c r="A586" t="inlineStr">
        <is>
          <t>01 조경</t>
        </is>
      </c>
      <c r="B586" t="inlineStr">
        <is>
          <t>10. 조 경 공</t>
        </is>
      </c>
      <c r="C586" t="n">
        <v>62</v>
      </c>
      <c r="D586" t="inlineStr">
        <is>
          <t>다). 맹암거(지선)</t>
        </is>
      </c>
      <c r="E586" t="inlineStr">
        <is>
          <t>D150</t>
        </is>
      </c>
      <c r="F586" t="n">
        <v>82</v>
      </c>
      <c r="G586" t="inlineStr">
        <is>
          <t>M</t>
        </is>
      </c>
      <c r="H586" s="64" t="n">
        <v>15000</v>
      </c>
      <c r="I586" s="64">
        <f>F586*H586</f>
        <v/>
      </c>
      <c r="J586" s="64" t="n">
        <v>10000</v>
      </c>
      <c r="K586" s="64">
        <f>F586*J586</f>
        <v/>
      </c>
      <c r="L586" s="64" t="n">
        <v>0</v>
      </c>
      <c r="M586" s="64">
        <f>F586*L586</f>
        <v/>
      </c>
      <c r="N586" s="64">
        <f>H586+J586+L586</f>
        <v/>
      </c>
      <c r="O586" s="64">
        <f>I586+K586+M586</f>
        <v/>
      </c>
      <c r="Q586" t="inlineStr">
        <is>
          <t>푸른조경</t>
        </is>
      </c>
    </row>
    <row r="587" ht="24" customHeight="1" s="34">
      <c r="A587" t="inlineStr">
        <is>
          <t>01 조경</t>
        </is>
      </c>
      <c r="B587" t="inlineStr">
        <is>
          <t>10. 조 경 공</t>
        </is>
      </c>
      <c r="C587" t="n">
        <v>63</v>
      </c>
      <c r="D587" t="inlineStr">
        <is>
          <t>라). 우수관</t>
        </is>
      </c>
      <c r="E587" t="inlineStr">
        <is>
          <t>D300</t>
        </is>
      </c>
      <c r="F587" t="n">
        <v>88</v>
      </c>
      <c r="G587" t="inlineStr">
        <is>
          <t>m</t>
        </is>
      </c>
      <c r="H587" s="64" t="n">
        <v>32000</v>
      </c>
      <c r="I587" s="64">
        <f>F587*H587</f>
        <v/>
      </c>
      <c r="J587" s="64" t="n">
        <v>20000</v>
      </c>
      <c r="K587" s="64">
        <f>F587*J587</f>
        <v/>
      </c>
      <c r="L587" s="64" t="n">
        <v>0</v>
      </c>
      <c r="M587" s="64">
        <f>F587*L587</f>
        <v/>
      </c>
      <c r="N587" s="64">
        <f>H587+J587+L587</f>
        <v/>
      </c>
      <c r="O587" s="64">
        <f>I587+K587+M587</f>
        <v/>
      </c>
      <c r="Q587" t="inlineStr">
        <is>
          <t>푸른조경</t>
        </is>
      </c>
    </row>
    <row r="588" ht="24" customHeight="1" s="34">
      <c r="A588" t="inlineStr">
        <is>
          <t>01 조경</t>
        </is>
      </c>
      <c r="B588" t="inlineStr">
        <is>
          <t>10. 조 경 공</t>
        </is>
      </c>
      <c r="C588" t="n">
        <v>64</v>
      </c>
      <c r="D588" t="inlineStr">
        <is>
          <t>가). 상수리나무(이식)</t>
        </is>
      </c>
      <c r="E588" t="inlineStr">
        <is>
          <t>R31</t>
        </is>
      </c>
      <c r="F588" t="n">
        <v>55</v>
      </c>
      <c r="G588" t="inlineStr">
        <is>
          <t>주</t>
        </is>
      </c>
      <c r="H588" s="64" t="n">
        <v>55000</v>
      </c>
      <c r="I588" s="64">
        <f>F588*H588</f>
        <v/>
      </c>
      <c r="J588" s="64" t="n">
        <v>550000</v>
      </c>
      <c r="K588" s="64">
        <f>F588*J588</f>
        <v/>
      </c>
      <c r="L588" s="64" t="n">
        <v>60000</v>
      </c>
      <c r="M588" s="64">
        <f>F588*L588</f>
        <v/>
      </c>
      <c r="N588" s="64">
        <f>H588+J588+L588</f>
        <v/>
      </c>
      <c r="O588" s="64">
        <f>I588+K588+M588</f>
        <v/>
      </c>
      <c r="Q588" t="inlineStr">
        <is>
          <t>푸른조경</t>
        </is>
      </c>
    </row>
    <row r="589" ht="24" customHeight="1" s="34">
      <c r="A589" t="inlineStr">
        <is>
          <t>01 조경</t>
        </is>
      </c>
      <c r="B589" t="inlineStr">
        <is>
          <t>10. 조 경 공</t>
        </is>
      </c>
      <c r="C589" t="n">
        <v>65</v>
      </c>
      <c r="D589" t="inlineStr">
        <is>
          <t>나). 소나무(이식)</t>
        </is>
      </c>
      <c r="E589" t="inlineStr">
        <is>
          <t>R29</t>
        </is>
      </c>
      <c r="F589" t="n">
        <v>5</v>
      </c>
      <c r="G589" t="inlineStr">
        <is>
          <t>주</t>
        </is>
      </c>
      <c r="H589" s="64" t="n">
        <v>50000</v>
      </c>
      <c r="I589" s="64">
        <f>F589*H589</f>
        <v/>
      </c>
      <c r="J589" s="64" t="n">
        <v>500000</v>
      </c>
      <c r="K589" s="64">
        <f>F589*J589</f>
        <v/>
      </c>
      <c r="L589" s="64" t="n">
        <v>5000</v>
      </c>
      <c r="M589" s="64">
        <f>F589*L589</f>
        <v/>
      </c>
      <c r="N589" s="64">
        <f>H589+J589+L589</f>
        <v/>
      </c>
      <c r="O589" s="64">
        <f>I589+K589+M589</f>
        <v/>
      </c>
      <c r="Q589" t="inlineStr">
        <is>
          <t>푸른조경</t>
        </is>
      </c>
    </row>
    <row r="590" ht="24" customHeight="1" s="34">
      <c r="A590" t="inlineStr">
        <is>
          <t>01 조경</t>
        </is>
      </c>
      <c r="B590" t="inlineStr">
        <is>
          <t>10. 조 경 공</t>
        </is>
      </c>
      <c r="C590" t="n">
        <v>66</v>
      </c>
      <c r="D590" t="inlineStr">
        <is>
          <t>다). 스트로브잣</t>
        </is>
      </c>
      <c r="E590" t="inlineStr">
        <is>
          <t>H3.5xW1.8</t>
        </is>
      </c>
      <c r="F590" t="n">
        <v>45</v>
      </c>
      <c r="G590" t="inlineStr">
        <is>
          <t>주</t>
        </is>
      </c>
      <c r="H590" s="64" t="n">
        <v>160000</v>
      </c>
      <c r="I590" s="64">
        <f>F590*H590</f>
        <v/>
      </c>
      <c r="J590" s="64" t="n">
        <v>60000</v>
      </c>
      <c r="K590" s="64">
        <f>F590*J590</f>
        <v/>
      </c>
      <c r="L590" s="64" t="n">
        <v>6000</v>
      </c>
      <c r="M590" s="64">
        <f>F590*L590</f>
        <v/>
      </c>
      <c r="N590" s="64">
        <f>H590+J590+L590</f>
        <v/>
      </c>
      <c r="O590" s="64">
        <f>I590+K590+M590</f>
        <v/>
      </c>
      <c r="Q590" t="inlineStr">
        <is>
          <t>푸른조경</t>
        </is>
      </c>
    </row>
    <row r="591" ht="24" customHeight="1" s="34">
      <c r="A591" t="inlineStr">
        <is>
          <t>01 조경</t>
        </is>
      </c>
      <c r="B591" t="inlineStr">
        <is>
          <t>10. 조 경 공</t>
        </is>
      </c>
      <c r="C591" t="n">
        <v>67</v>
      </c>
      <c r="D591" t="inlineStr">
        <is>
          <t>라). 복자기</t>
        </is>
      </c>
      <c r="E591" t="inlineStr">
        <is>
          <t>H3.5xR8</t>
        </is>
      </c>
      <c r="F591" t="n">
        <v>35</v>
      </c>
      <c r="G591" t="inlineStr">
        <is>
          <t>주</t>
        </is>
      </c>
      <c r="H591" s="64" t="n">
        <v>130000</v>
      </c>
      <c r="I591" s="64">
        <f>F591*H591</f>
        <v/>
      </c>
      <c r="J591" s="64" t="n">
        <v>50000</v>
      </c>
      <c r="K591" s="64">
        <f>F591*J591</f>
        <v/>
      </c>
      <c r="L591" s="64" t="n">
        <v>5000</v>
      </c>
      <c r="M591" s="64">
        <f>F591*L591</f>
        <v/>
      </c>
      <c r="N591" s="64">
        <f>H591+J591+L591</f>
        <v/>
      </c>
      <c r="O591" s="64">
        <f>I591+K591+M591</f>
        <v/>
      </c>
      <c r="Q591" t="inlineStr">
        <is>
          <t>푸른조경</t>
        </is>
      </c>
    </row>
    <row r="592" ht="24" customHeight="1" s="34">
      <c r="A592" t="inlineStr">
        <is>
          <t>01 조경</t>
        </is>
      </c>
      <c r="B592" t="inlineStr">
        <is>
          <t>10. 조 경 공</t>
        </is>
      </c>
      <c r="C592" t="n">
        <v>68</v>
      </c>
      <c r="D592" t="inlineStr">
        <is>
          <t>마). 청단풍</t>
        </is>
      </c>
      <c r="E592" t="inlineStr">
        <is>
          <t>H3.0xR8</t>
        </is>
      </c>
      <c r="F592" t="n">
        <v>35</v>
      </c>
      <c r="G592" t="inlineStr">
        <is>
          <t>주</t>
        </is>
      </c>
      <c r="H592" s="64" t="n">
        <v>100000</v>
      </c>
      <c r="I592" s="64">
        <f>F592*H592</f>
        <v/>
      </c>
      <c r="J592" s="64" t="n">
        <v>50000</v>
      </c>
      <c r="K592" s="64">
        <f>F592*J592</f>
        <v/>
      </c>
      <c r="L592" s="64" t="n">
        <v>5000</v>
      </c>
      <c r="M592" s="64">
        <f>F592*L592</f>
        <v/>
      </c>
      <c r="N592" s="64">
        <f>H592+J592+L592</f>
        <v/>
      </c>
      <c r="O592" s="64">
        <f>I592+K592+M592</f>
        <v/>
      </c>
      <c r="Q592" t="inlineStr">
        <is>
          <t>푸른조경</t>
        </is>
      </c>
    </row>
    <row r="593" ht="24" customHeight="1" s="34">
      <c r="A593" t="inlineStr">
        <is>
          <t>01 조경</t>
        </is>
      </c>
      <c r="B593" t="inlineStr">
        <is>
          <t>10. 조 경 공</t>
        </is>
      </c>
      <c r="C593" t="n">
        <v>69</v>
      </c>
      <c r="D593" t="inlineStr">
        <is>
          <t>바). 산철쭉</t>
        </is>
      </c>
      <c r="E593" t="inlineStr">
        <is>
          <t>H0.3xW0.3</t>
        </is>
      </c>
      <c r="F593" t="n">
        <v>1470</v>
      </c>
      <c r="G593" t="inlineStr">
        <is>
          <t>주</t>
        </is>
      </c>
      <c r="H593" s="64" t="n">
        <v>2000</v>
      </c>
      <c r="I593" s="64">
        <f>F593*H593</f>
        <v/>
      </c>
      <c r="J593" s="64" t="n">
        <v>2000</v>
      </c>
      <c r="K593" s="64">
        <f>F593*J593</f>
        <v/>
      </c>
      <c r="L593" s="64" t="n">
        <v>0</v>
      </c>
      <c r="M593" s="64">
        <f>F593*L593</f>
        <v/>
      </c>
      <c r="N593" s="64">
        <f>H593+J593+L593</f>
        <v/>
      </c>
      <c r="O593" s="64">
        <f>I593+K593+M593</f>
        <v/>
      </c>
      <c r="Q593" t="inlineStr">
        <is>
          <t>푸른조경</t>
        </is>
      </c>
    </row>
    <row r="594" ht="24" customHeight="1" s="34">
      <c r="A594" t="inlineStr">
        <is>
          <t>01 조경</t>
        </is>
      </c>
      <c r="B594" t="inlineStr">
        <is>
          <t>10. 조 경 공</t>
        </is>
      </c>
      <c r="C594" t="n">
        <v>70</v>
      </c>
      <c r="D594" t="inlineStr">
        <is>
          <t>사). 법면보호공</t>
        </is>
      </c>
      <c r="E594" t="inlineStr">
        <is>
          <t>잔디붙임(줄떼)</t>
        </is>
      </c>
      <c r="F594" t="n">
        <v>2900</v>
      </c>
      <c r="G594" t="inlineStr">
        <is>
          <t>㎡</t>
        </is>
      </c>
      <c r="H594" s="64" t="n">
        <v>5000</v>
      </c>
      <c r="I594" s="64">
        <f>F594*H594</f>
        <v/>
      </c>
      <c r="J594" s="64" t="n">
        <v>6000</v>
      </c>
      <c r="K594" s="64">
        <f>F594*J594</f>
        <v/>
      </c>
      <c r="L594" s="64" t="n">
        <v>0</v>
      </c>
      <c r="M594" s="64">
        <f>F594*L594</f>
        <v/>
      </c>
      <c r="N594" s="64">
        <f>H594+J594+L594</f>
        <v/>
      </c>
      <c r="O594" s="64">
        <f>I594+K594+M594</f>
        <v/>
      </c>
      <c r="Q594" t="inlineStr">
        <is>
          <t>푸른조경</t>
        </is>
      </c>
    </row>
    <row r="595" ht="24" customHeight="1" s="34">
      <c r="A595" t="inlineStr">
        <is>
          <t>01 조경</t>
        </is>
      </c>
      <c r="B595" t="inlineStr">
        <is>
          <t>10. 조 경 공</t>
        </is>
      </c>
      <c r="C595" t="n">
        <v>71</v>
      </c>
      <c r="D595" t="inlineStr">
        <is>
          <t>가). 상수리나무(이식)</t>
        </is>
      </c>
      <c r="E595" t="inlineStr">
        <is>
          <t>R27</t>
        </is>
      </c>
      <c r="F595" t="n">
        <v>300</v>
      </c>
      <c r="G595" t="inlineStr">
        <is>
          <t>주</t>
        </is>
      </c>
      <c r="H595" s="64" t="n">
        <v>45000</v>
      </c>
      <c r="I595" s="64">
        <f>F595*H595</f>
        <v/>
      </c>
      <c r="J595" s="64" t="n">
        <v>450000</v>
      </c>
      <c r="K595" s="64">
        <f>F595*J595</f>
        <v/>
      </c>
      <c r="L595" s="64" t="n">
        <v>5000</v>
      </c>
      <c r="M595" s="64">
        <f>F595*L595</f>
        <v/>
      </c>
      <c r="N595" s="64">
        <f>H595+J595+L595</f>
        <v/>
      </c>
      <c r="O595" s="64">
        <f>I595+K595+M595</f>
        <v/>
      </c>
      <c r="Q595" t="inlineStr">
        <is>
          <t>푸른조경</t>
        </is>
      </c>
    </row>
    <row r="596" ht="24" customHeight="1" s="34">
      <c r="A596" t="inlineStr">
        <is>
          <t>01 조경</t>
        </is>
      </c>
      <c r="B596" t="inlineStr">
        <is>
          <t>10. 조 경 공</t>
        </is>
      </c>
      <c r="C596" t="n">
        <v>72</v>
      </c>
      <c r="D596" t="inlineStr">
        <is>
          <t>나). 상수리나무(이식)</t>
        </is>
      </c>
      <c r="E596" t="inlineStr">
        <is>
          <t>R29</t>
        </is>
      </c>
      <c r="F596" t="n">
        <v>26</v>
      </c>
      <c r="G596" t="inlineStr">
        <is>
          <t>주</t>
        </is>
      </c>
      <c r="H596" s="64" t="n">
        <v>50000</v>
      </c>
      <c r="I596" s="64">
        <f>F596*H596</f>
        <v/>
      </c>
      <c r="J596" s="64" t="n">
        <v>500000</v>
      </c>
      <c r="K596" s="64">
        <f>F596*J596</f>
        <v/>
      </c>
      <c r="L596" s="64" t="n">
        <v>5000</v>
      </c>
      <c r="M596" s="64">
        <f>F596*L596</f>
        <v/>
      </c>
      <c r="N596" s="64">
        <f>H596+J596+L596</f>
        <v/>
      </c>
      <c r="O596" s="64">
        <f>I596+K596+M596</f>
        <v/>
      </c>
      <c r="Q596" t="inlineStr">
        <is>
          <t>푸른조경</t>
        </is>
      </c>
    </row>
    <row r="597" ht="24" customHeight="1" s="34">
      <c r="A597" t="inlineStr">
        <is>
          <t>01 조경</t>
        </is>
      </c>
      <c r="B597" t="inlineStr">
        <is>
          <t>10. 조 경 공</t>
        </is>
      </c>
      <c r="C597" t="n">
        <v>73</v>
      </c>
      <c r="D597" t="inlineStr">
        <is>
          <t>다). 소나무(이식)</t>
        </is>
      </c>
      <c r="E597" t="inlineStr">
        <is>
          <t>R25</t>
        </is>
      </c>
      <c r="F597" t="n">
        <v>5</v>
      </c>
      <c r="G597" t="inlineStr">
        <is>
          <t>주</t>
        </is>
      </c>
      <c r="H597" s="64" t="n">
        <v>45000</v>
      </c>
      <c r="I597" s="64">
        <f>F597*H597</f>
        <v/>
      </c>
      <c r="J597" s="64" t="n">
        <v>450000</v>
      </c>
      <c r="K597" s="64">
        <f>F597*J597</f>
        <v/>
      </c>
      <c r="L597" s="64" t="n">
        <v>5000</v>
      </c>
      <c r="M597" s="64">
        <f>F597*L597</f>
        <v/>
      </c>
      <c r="N597" s="64">
        <f>H597+J597+L597</f>
        <v/>
      </c>
      <c r="O597" s="64">
        <f>I597+K597+M597</f>
        <v/>
      </c>
      <c r="Q597" t="inlineStr">
        <is>
          <t>푸른조경</t>
        </is>
      </c>
    </row>
    <row r="598" ht="24" customHeight="1" s="34">
      <c r="A598" t="inlineStr">
        <is>
          <t>01 조경</t>
        </is>
      </c>
      <c r="B598" t="inlineStr">
        <is>
          <t>10. 조 경 공</t>
        </is>
      </c>
      <c r="C598" t="n">
        <v>74</v>
      </c>
      <c r="D598" t="inlineStr">
        <is>
          <t>라). 스트로브잣</t>
        </is>
      </c>
      <c r="E598" t="inlineStr">
        <is>
          <t>H3.5xW1.8</t>
        </is>
      </c>
      <c r="F598" t="n">
        <v>141</v>
      </c>
      <c r="G598" t="inlineStr">
        <is>
          <t>주</t>
        </is>
      </c>
      <c r="H598" s="64" t="n">
        <v>160000</v>
      </c>
      <c r="I598" s="64">
        <f>F598*H598</f>
        <v/>
      </c>
      <c r="J598" s="64" t="n">
        <v>60000</v>
      </c>
      <c r="K598" s="64">
        <f>F598*J598</f>
        <v/>
      </c>
      <c r="L598" s="64" t="n">
        <v>6000</v>
      </c>
      <c r="M598" s="64">
        <f>F598*L598</f>
        <v/>
      </c>
      <c r="N598" s="64">
        <f>H598+J598+L598</f>
        <v/>
      </c>
      <c r="O598" s="64">
        <f>I598+K598+M598</f>
        <v/>
      </c>
      <c r="Q598" t="inlineStr">
        <is>
          <t>푸른조경</t>
        </is>
      </c>
    </row>
    <row r="599" ht="24" customHeight="1" s="34">
      <c r="A599" t="inlineStr">
        <is>
          <t>01 조경</t>
        </is>
      </c>
      <c r="B599" t="inlineStr">
        <is>
          <t>10. 조 경 공</t>
        </is>
      </c>
      <c r="C599" t="n">
        <v>75</v>
      </c>
      <c r="D599" t="inlineStr">
        <is>
          <t>마). 복자기</t>
        </is>
      </c>
      <c r="E599" t="inlineStr">
        <is>
          <t>H3.5xR8</t>
        </is>
      </c>
      <c r="F599" t="n">
        <v>50</v>
      </c>
      <c r="G599" t="inlineStr">
        <is>
          <t>주</t>
        </is>
      </c>
      <c r="H599" s="64" t="n">
        <v>130000</v>
      </c>
      <c r="I599" s="64">
        <f>F599*H599</f>
        <v/>
      </c>
      <c r="J599" s="64" t="n">
        <v>50000</v>
      </c>
      <c r="K599" s="64">
        <f>F599*J599</f>
        <v/>
      </c>
      <c r="L599" s="64" t="n">
        <v>5000</v>
      </c>
      <c r="M599" s="64">
        <f>F599*L599</f>
        <v/>
      </c>
      <c r="N599" s="64">
        <f>H599+J599+L599</f>
        <v/>
      </c>
      <c r="O599" s="64">
        <f>I599+K599+M599</f>
        <v/>
      </c>
      <c r="Q599" t="inlineStr">
        <is>
          <t>푸른조경</t>
        </is>
      </c>
    </row>
    <row r="600" ht="24" customHeight="1" s="34">
      <c r="A600" t="inlineStr">
        <is>
          <t>01 조경</t>
        </is>
      </c>
      <c r="B600" t="inlineStr">
        <is>
          <t>10. 조 경 공</t>
        </is>
      </c>
      <c r="C600" t="n">
        <v>76</v>
      </c>
      <c r="D600" t="inlineStr">
        <is>
          <t>바). 청단풍</t>
        </is>
      </c>
      <c r="E600" t="inlineStr">
        <is>
          <t>H3.0xR8</t>
        </is>
      </c>
      <c r="F600" t="n">
        <v>45</v>
      </c>
      <c r="G600" t="inlineStr">
        <is>
          <t>주</t>
        </is>
      </c>
      <c r="H600" s="64" t="n">
        <v>100000</v>
      </c>
      <c r="I600" s="64">
        <f>F600*H600</f>
        <v/>
      </c>
      <c r="J600" s="64" t="n">
        <v>50000</v>
      </c>
      <c r="K600" s="64">
        <f>F600*J600</f>
        <v/>
      </c>
      <c r="L600" s="64" t="n">
        <v>5000</v>
      </c>
      <c r="M600" s="64">
        <f>F600*L600</f>
        <v/>
      </c>
      <c r="N600" s="64">
        <f>H600+J600+L600</f>
        <v/>
      </c>
      <c r="O600" s="64">
        <f>I600+K600+M600</f>
        <v/>
      </c>
      <c r="Q600" t="inlineStr">
        <is>
          <t>푸른조경</t>
        </is>
      </c>
    </row>
    <row r="601" ht="24" customHeight="1" s="34">
      <c r="A601" t="inlineStr">
        <is>
          <t>01 조경</t>
        </is>
      </c>
      <c r="B601" t="inlineStr">
        <is>
          <t>10. 조 경 공</t>
        </is>
      </c>
      <c r="C601" t="n">
        <v>77</v>
      </c>
      <c r="D601" t="inlineStr">
        <is>
          <t>사). 산철쭉</t>
        </is>
      </c>
      <c r="E601" t="inlineStr">
        <is>
          <t>H0.3xW0.3</t>
        </is>
      </c>
      <c r="F601" t="n">
        <v>2670</v>
      </c>
      <c r="G601" t="inlineStr">
        <is>
          <t>주</t>
        </is>
      </c>
      <c r="H601" s="64" t="n">
        <v>2000</v>
      </c>
      <c r="I601" s="64">
        <f>F601*H601</f>
        <v/>
      </c>
      <c r="J601" s="64" t="n">
        <v>2000</v>
      </c>
      <c r="K601" s="64">
        <f>F601*J601</f>
        <v/>
      </c>
      <c r="L601" s="64" t="n">
        <v>0</v>
      </c>
      <c r="M601" s="64">
        <f>F601*L601</f>
        <v/>
      </c>
      <c r="N601" s="64">
        <f>H601+J601+L601</f>
        <v/>
      </c>
      <c r="O601" s="64">
        <f>I601+K601+M601</f>
        <v/>
      </c>
      <c r="Q601" t="inlineStr">
        <is>
          <t>푸른조경</t>
        </is>
      </c>
    </row>
    <row r="602" ht="24" customHeight="1" s="34">
      <c r="A602" t="inlineStr">
        <is>
          <t>01 조경</t>
        </is>
      </c>
      <c r="B602" t="inlineStr">
        <is>
          <t>10. 조 경 공</t>
        </is>
      </c>
      <c r="C602" t="n">
        <v>78</v>
      </c>
      <c r="D602" t="inlineStr">
        <is>
          <t>아). 법면보호공</t>
        </is>
      </c>
      <c r="E602" t="inlineStr">
        <is>
          <t>잔디붙임(줄떼)</t>
        </is>
      </c>
      <c r="F602" t="n">
        <v>7300</v>
      </c>
      <c r="G602" t="inlineStr">
        <is>
          <t>㎡</t>
        </is>
      </c>
      <c r="H602" s="64" t="n">
        <v>5000</v>
      </c>
      <c r="I602" s="64">
        <f>F602*H602</f>
        <v/>
      </c>
      <c r="J602" s="64" t="n">
        <v>6000</v>
      </c>
      <c r="K602" s="64">
        <f>F602*J602</f>
        <v/>
      </c>
      <c r="L602" s="64" t="n">
        <v>0</v>
      </c>
      <c r="M602" s="64">
        <f>F602*L602</f>
        <v/>
      </c>
      <c r="N602" s="64">
        <f>H602+J602+L602</f>
        <v/>
      </c>
      <c r="O602" s="64">
        <f>I602+K602+M602</f>
        <v/>
      </c>
      <c r="Q602" t="inlineStr">
        <is>
          <t>푸른조경</t>
        </is>
      </c>
    </row>
    <row r="603" ht="24" customHeight="1" s="34">
      <c r="A603" t="inlineStr">
        <is>
          <t>01 조경</t>
        </is>
      </c>
      <c r="B603" t="inlineStr">
        <is>
          <t>10. 조 경 공</t>
        </is>
      </c>
      <c r="C603" t="n">
        <v>79</v>
      </c>
      <c r="D603" t="inlineStr">
        <is>
          <t>가). 목백합(튜립)</t>
        </is>
      </c>
      <c r="E603" t="inlineStr">
        <is>
          <t>H5.0xR15</t>
        </is>
      </c>
      <c r="F603" t="n">
        <v>144</v>
      </c>
      <c r="G603" t="inlineStr">
        <is>
          <t>주</t>
        </is>
      </c>
      <c r="H603" s="64" t="n">
        <v>460000</v>
      </c>
      <c r="I603" s="64">
        <f>F603*H603</f>
        <v/>
      </c>
      <c r="J603" s="64" t="n">
        <v>150000</v>
      </c>
      <c r="K603" s="64">
        <f>F603*J603</f>
        <v/>
      </c>
      <c r="L603" s="64" t="n">
        <v>6000</v>
      </c>
      <c r="M603" s="64">
        <f>F603*L603</f>
        <v/>
      </c>
      <c r="N603" s="64">
        <f>H603+J603+L603</f>
        <v/>
      </c>
      <c r="O603" s="64">
        <f>I603+K603+M603</f>
        <v/>
      </c>
      <c r="Q603" t="inlineStr">
        <is>
          <t>푸른조경</t>
        </is>
      </c>
    </row>
    <row r="604" ht="24" customHeight="1" s="34">
      <c r="A604" t="inlineStr">
        <is>
          <t>01 조경</t>
        </is>
      </c>
      <c r="B604" t="inlineStr">
        <is>
          <t>10. 조 경 공</t>
        </is>
      </c>
      <c r="C604" t="n">
        <v>80</v>
      </c>
      <c r="D604" t="inlineStr">
        <is>
          <t>가). 수목보호판</t>
        </is>
      </c>
      <c r="E604" t="inlineStr">
        <is>
          <t>800*800</t>
        </is>
      </c>
      <c r="F604" t="n">
        <v>144</v>
      </c>
      <c r="G604" t="inlineStr">
        <is>
          <t>EA</t>
        </is>
      </c>
      <c r="H604" s="64" t="n">
        <v>290000</v>
      </c>
      <c r="I604" s="64">
        <f>F604*H604</f>
        <v/>
      </c>
      <c r="J604" s="64" t="n">
        <v>20000</v>
      </c>
      <c r="K604" s="64">
        <f>F604*J604</f>
        <v/>
      </c>
      <c r="L604" s="64" t="n">
        <v>3000</v>
      </c>
      <c r="M604" s="64">
        <f>F604*L604</f>
        <v/>
      </c>
      <c r="N604" s="64">
        <f>H604+J604+L604</f>
        <v/>
      </c>
      <c r="O604" s="64">
        <f>I604+K604+M604</f>
        <v/>
      </c>
      <c r="Q604" t="inlineStr">
        <is>
          <t>푸른조경</t>
        </is>
      </c>
    </row>
    <row r="605" ht="24" customHeight="1" s="34">
      <c r="A605" s="15" t="inlineStr">
        <is>
          <t>01 조경</t>
        </is>
      </c>
      <c r="B605" s="15" t="inlineStr">
        <is>
          <t>10. 조 경 공</t>
        </is>
      </c>
      <c r="C605" s="15" t="n"/>
      <c r="D605" s="15" t="inlineStr">
        <is>
          <t>★ 10. 조 경 공 소계</t>
        </is>
      </c>
      <c r="E605" s="15" t="n"/>
      <c r="F605" s="15" t="n"/>
      <c r="G605" s="15" t="n"/>
      <c r="H605" s="66" t="n"/>
      <c r="I605" s="66">
        <f>SUM(I525:I604)</f>
        <v/>
      </c>
      <c r="J605" s="66" t="n"/>
      <c r="K605" s="66">
        <f>SUM(K525:K604)</f>
        <v/>
      </c>
      <c r="L605" s="66" t="n"/>
      <c r="M605" s="66">
        <f>SUM(M525:M604)</f>
        <v/>
      </c>
      <c r="N605" s="66" t="n"/>
      <c r="O605" s="66">
        <f>SUM(O525:O604)</f>
        <v/>
      </c>
      <c r="P605" s="15" t="n"/>
      <c r="Q605" s="15" t="inlineStr">
        <is>
          <t>80건</t>
        </is>
      </c>
    </row>
    <row r="606" ht="24" customHeight="1" s="34">
      <c r="A606" s="4" t="n"/>
      <c r="B606" s="4" t="n"/>
      <c r="C606" s="4" t="n"/>
      <c r="D606" s="4" t="inlineStr">
        <is>
          <t>★ 토목(조경) 내역 합계</t>
        </is>
      </c>
      <c r="E606" s="4" t="n"/>
      <c r="F606" s="4" t="n"/>
      <c r="G606" s="4" t="n"/>
      <c r="H606" s="67" t="n"/>
      <c r="I606" s="67">
        <f>SUMIF(C22:C605,"&lt;&gt;",I22:I605)</f>
        <v/>
      </c>
      <c r="J606" s="67" t="n"/>
      <c r="K606" s="67">
        <f>SUMIF(C22:C605,"&lt;&gt;",K22:K605)</f>
        <v/>
      </c>
      <c r="L606" s="67" t="n"/>
      <c r="M606" s="67">
        <f>SUMIF(C22:C605,"&lt;&gt;",M22:M605)</f>
        <v/>
      </c>
      <c r="N606" s="67" t="n"/>
      <c r="O606" s="67">
        <f>SUMIF(C22:C605,"&lt;&gt;",O22:O605)</f>
        <v/>
      </c>
      <c r="P606" s="4" t="n"/>
      <c r="Q606" s="4" t="inlineStr">
        <is>
          <t>No&lt;&gt;인 행 합산</t>
        </is>
      </c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4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7"/>
  <sheetViews>
    <sheetView view="pageBreakPreview" zoomScale="60" zoomScaleNormal="100" workbookViewId="0">
      <pane ySplit="19" topLeftCell="A47" activePane="bottomLeft" state="frozen"/>
      <selection activeCell="F132" sqref="F132"/>
      <selection pane="bottomLeft" activeCell="S12" sqref="S12"/>
    </sheetView>
  </sheetViews>
  <sheetFormatPr baseColWidth="8" defaultRowHeight="16.5"/>
  <cols>
    <col width="27" bestFit="1" customWidth="1" style="34" min="1" max="1"/>
    <col width="14" bestFit="1" customWidth="1" style="34" min="2" max="2"/>
    <col width="20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7"/>
    <col width="14" bestFit="1" customWidth="1" style="34" min="8" max="8"/>
    <col width="15" bestFit="1" customWidth="1" style="34" min="9" max="9"/>
    <col width="14" bestFit="1" customWidth="1" style="34" min="10" max="11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지구단위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06</t>
        </is>
      </c>
      <c r="B4" t="inlineStr">
        <is>
          <t>06 개발행위</t>
        </is>
      </c>
      <c r="C4" t="inlineStr">
        <is>
          <t>1. 토 공</t>
        </is>
      </c>
      <c r="D4" t="n">
        <v>9</v>
      </c>
      <c r="E4" t="n">
        <v>9</v>
      </c>
      <c r="F4" s="61" t="n">
        <v>1</v>
      </c>
      <c r="G4" s="3" t="n">
        <v>329303137</v>
      </c>
      <c r="H4" s="3" t="n">
        <v>633526312</v>
      </c>
      <c r="I4" s="3" t="n">
        <v>288990853</v>
      </c>
      <c r="J4" s="3" t="n">
        <v>1251820302</v>
      </c>
      <c r="K4" s="14" t="n">
        <v>12.51820302</v>
      </c>
    </row>
    <row r="5" ht="24" customHeight="1" s="34">
      <c r="A5" t="inlineStr">
        <is>
          <t>06</t>
        </is>
      </c>
      <c r="B5" t="inlineStr">
        <is>
          <t>06 개발행위</t>
        </is>
      </c>
      <c r="C5" t="inlineStr">
        <is>
          <t>2. A1</t>
        </is>
      </c>
      <c r="D5" t="n">
        <v>14</v>
      </c>
      <c r="E5" t="n">
        <v>14</v>
      </c>
      <c r="F5" s="61" t="n">
        <v>1</v>
      </c>
      <c r="G5" s="3" t="n">
        <v>1322809</v>
      </c>
      <c r="H5" s="3" t="n">
        <v>36399255</v>
      </c>
      <c r="I5" s="3" t="n">
        <v>1512006</v>
      </c>
      <c r="J5" s="3" t="n">
        <v>39234070</v>
      </c>
      <c r="K5" s="14" t="n">
        <v>0.3923407</v>
      </c>
    </row>
    <row r="6" ht="24" customHeight="1" s="34">
      <c r="A6" t="inlineStr">
        <is>
          <t>06</t>
        </is>
      </c>
      <c r="B6" t="inlineStr">
        <is>
          <t>06 개발행위</t>
        </is>
      </c>
      <c r="C6" t="inlineStr">
        <is>
          <t>3. A2</t>
        </is>
      </c>
      <c r="D6" t="n">
        <v>17</v>
      </c>
      <c r="E6" t="n">
        <v>17</v>
      </c>
      <c r="F6" s="61" t="n">
        <v>1</v>
      </c>
      <c r="G6" s="3" t="n">
        <v>2352580</v>
      </c>
      <c r="H6" s="3" t="n">
        <v>88315220</v>
      </c>
      <c r="I6" s="3" t="n">
        <v>2468726</v>
      </c>
      <c r="J6" s="3" t="n">
        <v>93136526</v>
      </c>
      <c r="K6" s="14" t="n">
        <v>0.93136526</v>
      </c>
    </row>
    <row r="7" ht="24" customHeight="1" s="34">
      <c r="A7" t="inlineStr">
        <is>
          <t>06</t>
        </is>
      </c>
      <c r="B7" t="inlineStr">
        <is>
          <t>06 개발행위</t>
        </is>
      </c>
      <c r="C7" t="inlineStr">
        <is>
          <t>4. A3</t>
        </is>
      </c>
      <c r="D7" t="n">
        <v>16</v>
      </c>
      <c r="E7" t="n">
        <v>17</v>
      </c>
      <c r="F7" s="61" t="n">
        <v>0.9411764705882353</v>
      </c>
      <c r="G7" s="3" t="n">
        <v>1709156</v>
      </c>
      <c r="H7" s="3" t="n">
        <v>77274394</v>
      </c>
      <c r="I7" s="3" t="n">
        <v>2194560</v>
      </c>
      <c r="J7" s="3" t="n">
        <v>81178110</v>
      </c>
      <c r="K7" s="14" t="n">
        <v>0.8117811</v>
      </c>
    </row>
    <row r="8" ht="24" customHeight="1" s="34">
      <c r="A8" t="inlineStr">
        <is>
          <t>06</t>
        </is>
      </c>
      <c r="B8" t="inlineStr">
        <is>
          <t>06 개발행위</t>
        </is>
      </c>
      <c r="C8" t="inlineStr">
        <is>
          <t>5. A4</t>
        </is>
      </c>
      <c r="D8" t="n">
        <v>14</v>
      </c>
      <c r="E8" t="n">
        <v>15</v>
      </c>
      <c r="F8" s="61" t="n">
        <v>0.9333333333333333</v>
      </c>
      <c r="G8" s="3" t="n">
        <v>1677855</v>
      </c>
      <c r="H8" s="3" t="n">
        <v>59383425</v>
      </c>
      <c r="I8" s="3" t="n">
        <v>2123566</v>
      </c>
      <c r="J8" s="3" t="n">
        <v>63184846</v>
      </c>
      <c r="K8" s="14" t="n">
        <v>0.6318484599999999</v>
      </c>
    </row>
    <row r="9" ht="24" customHeight="1" s="34">
      <c r="A9" t="inlineStr">
        <is>
          <t>06</t>
        </is>
      </c>
      <c r="B9" t="inlineStr">
        <is>
          <t>06 개발행위</t>
        </is>
      </c>
      <c r="C9" t="inlineStr">
        <is>
          <t>6. A5</t>
        </is>
      </c>
      <c r="D9" t="n">
        <v>14</v>
      </c>
      <c r="E9" t="n">
        <v>15</v>
      </c>
      <c r="F9" s="61" t="n">
        <v>0.9333333333333333</v>
      </c>
      <c r="G9" s="3" t="n">
        <v>1149785</v>
      </c>
      <c r="H9" s="3" t="n">
        <v>45609407</v>
      </c>
      <c r="I9" s="3" t="n">
        <v>1591411</v>
      </c>
      <c r="J9" s="3" t="n">
        <v>48350603</v>
      </c>
      <c r="K9" s="14" t="n">
        <v>0.48350603</v>
      </c>
    </row>
    <row r="10" ht="24" customHeight="1" s="34">
      <c r="A10" t="inlineStr">
        <is>
          <t>06</t>
        </is>
      </c>
      <c r="B10" t="inlineStr">
        <is>
          <t>06 개발행위</t>
        </is>
      </c>
      <c r="C10" t="inlineStr">
        <is>
          <t>7. B1</t>
        </is>
      </c>
      <c r="D10" t="n">
        <v>13</v>
      </c>
      <c r="E10" t="n">
        <v>14</v>
      </c>
      <c r="F10" s="61" t="n">
        <v>0.9285714285714286</v>
      </c>
      <c r="G10" s="3" t="n">
        <v>1161816</v>
      </c>
      <c r="H10" s="3" t="n">
        <v>62903235</v>
      </c>
      <c r="I10" s="3" t="n">
        <v>1273047</v>
      </c>
      <c r="J10" s="3" t="n">
        <v>65338098</v>
      </c>
      <c r="K10" s="14" t="n">
        <v>0.65338098</v>
      </c>
    </row>
    <row r="11" ht="24" customHeight="1" s="34">
      <c r="A11" t="inlineStr">
        <is>
          <t>06</t>
        </is>
      </c>
      <c r="B11" t="inlineStr">
        <is>
          <t>06 개발행위</t>
        </is>
      </c>
      <c r="C11" t="inlineStr">
        <is>
          <t>8. B2</t>
        </is>
      </c>
      <c r="D11" t="n">
        <v>13</v>
      </c>
      <c r="E11" t="n">
        <v>14</v>
      </c>
      <c r="F11" s="61" t="n">
        <v>0.9285714285714286</v>
      </c>
      <c r="G11" s="3" t="n">
        <v>1365630</v>
      </c>
      <c r="H11" s="3" t="n">
        <v>58315326</v>
      </c>
      <c r="I11" s="3" t="n">
        <v>1427499</v>
      </c>
      <c r="J11" s="3" t="n">
        <v>61108455</v>
      </c>
      <c r="K11" s="14" t="n">
        <v>0.6110845499999999</v>
      </c>
    </row>
    <row r="12" ht="24" customHeight="1" s="34">
      <c r="A12" t="inlineStr">
        <is>
          <t>06</t>
        </is>
      </c>
      <c r="B12" t="inlineStr">
        <is>
          <t>06 개발행위</t>
        </is>
      </c>
      <c r="C12" t="inlineStr">
        <is>
          <t>9. 지원시설</t>
        </is>
      </c>
      <c r="D12" t="n">
        <v>11</v>
      </c>
      <c r="E12" t="n">
        <v>12</v>
      </c>
      <c r="F12" s="61" t="n">
        <v>0.9166666666666666</v>
      </c>
      <c r="G12" s="3" t="n">
        <v>656770</v>
      </c>
      <c r="H12" s="3" t="n">
        <v>13039376</v>
      </c>
      <c r="I12" s="3" t="n">
        <v>460290</v>
      </c>
      <c r="J12" s="3" t="n">
        <v>14156436</v>
      </c>
      <c r="K12" s="14" t="n">
        <v>0.14156436</v>
      </c>
    </row>
    <row r="13" ht="24" customHeight="1" s="34">
      <c r="A13" t="inlineStr">
        <is>
          <t>06</t>
        </is>
      </c>
      <c r="B13" t="inlineStr">
        <is>
          <t>06 개발행위</t>
        </is>
      </c>
      <c r="C13" t="inlineStr">
        <is>
          <t>10. 주차장</t>
        </is>
      </c>
      <c r="D13" t="n">
        <v>9</v>
      </c>
      <c r="E13" t="n">
        <v>10</v>
      </c>
      <c r="F13" s="61" t="n">
        <v>0.9</v>
      </c>
      <c r="G13" s="3" t="n">
        <v>476321</v>
      </c>
      <c r="H13" s="3" t="n">
        <v>4825299</v>
      </c>
      <c r="I13" s="3" t="n">
        <v>600364</v>
      </c>
      <c r="J13" s="3" t="n">
        <v>5901984</v>
      </c>
      <c r="K13" s="14" t="n">
        <v>0.05901984</v>
      </c>
    </row>
    <row r="14" ht="24" customHeight="1" s="34">
      <c r="A14" s="15" t="inlineStr">
        <is>
          <t>06</t>
        </is>
      </c>
      <c r="B14" s="15" t="inlineStr">
        <is>
          <t>06 개발행위</t>
        </is>
      </c>
      <c r="C14" s="15" t="inlineStr">
        <is>
          <t>★ 06 개발행위 소계</t>
        </is>
      </c>
      <c r="D14" s="15" t="n">
        <v>130</v>
      </c>
      <c r="E14" s="15" t="n">
        <v>137</v>
      </c>
      <c r="F14" s="63" t="n">
        <v>0.948905109489051</v>
      </c>
      <c r="G14" s="16" t="n">
        <v>341175859</v>
      </c>
      <c r="H14" s="16" t="n">
        <v>1079591249</v>
      </c>
      <c r="I14" s="16" t="n">
        <v>302642322</v>
      </c>
      <c r="J14" s="16" t="n">
        <v>1723409430</v>
      </c>
      <c r="K14" s="17" t="n">
        <v>17.2340943</v>
      </c>
    </row>
    <row r="15" ht="24" customHeight="1" s="34">
      <c r="A15" s="4" t="n"/>
      <c r="B15" s="4" t="inlineStr">
        <is>
          <t>지구단위</t>
        </is>
      </c>
      <c r="C15" s="4" t="inlineStr">
        <is>
          <t>★ 지구단위 합계</t>
        </is>
      </c>
      <c r="D15" s="4" t="n">
        <v>130</v>
      </c>
      <c r="E15" s="4" t="n">
        <v>137</v>
      </c>
      <c r="F15" s="62" t="n">
        <v>0.948905109489051</v>
      </c>
      <c r="G15" s="5" t="n">
        <v>341175859</v>
      </c>
      <c r="H15" s="5" t="n">
        <v>1079591249</v>
      </c>
      <c r="I15" s="5" t="n">
        <v>302642322</v>
      </c>
      <c r="J15" s="5" t="n">
        <v>1723409430</v>
      </c>
      <c r="K15" s="22" t="n">
        <v>17.2340943</v>
      </c>
    </row>
    <row r="16" ht="24" customHeight="1" s="34"/>
    <row r="17" ht="24" customHeight="1" s="34">
      <c r="A17" t="inlineStr">
        <is>
          <t>◆ 지구단위 — 내역 일괄</t>
        </is>
      </c>
    </row>
    <row r="18" ht="24" customHeight="1" s="34"/>
    <row r="19" ht="24" customHeight="1" s="34">
      <c r="A19" s="38" t="inlineStr">
        <is>
          <t>내역서</t>
        </is>
      </c>
      <c r="B19" s="38" t="inlineStr">
        <is>
          <t>공종</t>
        </is>
      </c>
      <c r="C19" s="38" t="inlineStr">
        <is>
          <t>No</t>
        </is>
      </c>
      <c r="D19" s="38" t="inlineStr">
        <is>
          <t>공종명</t>
        </is>
      </c>
      <c r="E19" s="38" t="inlineStr">
        <is>
          <t>규격</t>
        </is>
      </c>
      <c r="F19" s="38" t="inlineStr">
        <is>
          <t>수량</t>
        </is>
      </c>
      <c r="G19" s="38" t="inlineStr">
        <is>
          <t>단위</t>
        </is>
      </c>
      <c r="H19" s="38" t="inlineStr">
        <is>
          <t>재료단가</t>
        </is>
      </c>
      <c r="I19" s="38" t="inlineStr">
        <is>
          <t>재료금액</t>
        </is>
      </c>
      <c r="J19" s="38" t="inlineStr">
        <is>
          <t>노무단가</t>
        </is>
      </c>
      <c r="K19" s="38" t="inlineStr">
        <is>
          <t>노무금액</t>
        </is>
      </c>
      <c r="L19" s="38" t="inlineStr">
        <is>
          <t>경비단가</t>
        </is>
      </c>
      <c r="M19" s="38" t="inlineStr">
        <is>
          <t>경비금액</t>
        </is>
      </c>
      <c r="N19" s="38" t="inlineStr">
        <is>
          <t>합계단가</t>
        </is>
      </c>
      <c r="O19" s="38" t="inlineStr">
        <is>
          <t>합계금액</t>
        </is>
      </c>
      <c r="P19" s="38" t="inlineStr">
        <is>
          <t>상태</t>
        </is>
      </c>
      <c r="Q19" s="38" t="inlineStr">
        <is>
          <t>비고</t>
        </is>
      </c>
    </row>
    <row r="20" ht="24" customHeight="1" s="34">
      <c r="A20" t="inlineStr">
        <is>
          <t>06 개발행위</t>
        </is>
      </c>
      <c r="B20" t="inlineStr">
        <is>
          <t>1. 토 공</t>
        </is>
      </c>
      <c r="C20" t="n">
        <v>1</v>
      </c>
      <c r="D20" t="inlineStr">
        <is>
          <t>가).흙깍기(기계,토사)</t>
        </is>
      </c>
      <c r="E20" t="inlineStr">
        <is>
          <t>중규모, 보통토사, 불도져 19ton</t>
        </is>
      </c>
      <c r="F20" t="n">
        <v>140244</v>
      </c>
      <c r="G20" t="inlineStr">
        <is>
          <t>㎥</t>
        </is>
      </c>
      <c r="H20" s="3" t="n">
        <v>570</v>
      </c>
      <c r="I20" s="3">
        <f>F20*H20</f>
        <v/>
      </c>
      <c r="J20" s="3" t="n">
        <v>843</v>
      </c>
      <c r="K20" s="3">
        <f>F20*J20</f>
        <v/>
      </c>
      <c r="L20" s="3" t="n">
        <v>513</v>
      </c>
      <c r="M20" s="3">
        <f>F20*L20</f>
        <v/>
      </c>
      <c r="N20" s="3">
        <f>H20+J20+L20</f>
        <v/>
      </c>
      <c r="O20" s="3">
        <f>I20+K20+M20</f>
        <v/>
      </c>
      <c r="Q20" t="inlineStr">
        <is>
          <t>기계</t>
        </is>
      </c>
    </row>
    <row r="21" ht="24" customHeight="1" s="34">
      <c r="A21" t="inlineStr">
        <is>
          <t>06 개발행위</t>
        </is>
      </c>
      <c r="B21" t="inlineStr">
        <is>
          <t>1. 토 공</t>
        </is>
      </c>
      <c r="C21" t="n">
        <v>2</v>
      </c>
      <c r="D21" t="inlineStr">
        <is>
          <t>가). 흙깍기(리핑암)</t>
        </is>
      </c>
      <c r="E21" t="inlineStr">
        <is>
          <t>불도저 32ton + 리퍼</t>
        </is>
      </c>
      <c r="F21" t="n">
        <v>20870</v>
      </c>
      <c r="G21" t="inlineStr">
        <is>
          <t>㎥</t>
        </is>
      </c>
      <c r="H21" s="3" t="n">
        <v>991</v>
      </c>
      <c r="I21" s="3">
        <f>F21*H21</f>
        <v/>
      </c>
      <c r="J21" s="3" t="n">
        <v>893</v>
      </c>
      <c r="K21" s="3">
        <f>F21*J21</f>
        <v/>
      </c>
      <c r="L21" s="3" t="n">
        <v>732</v>
      </c>
      <c r="M21" s="3">
        <f>F21*L21</f>
        <v/>
      </c>
      <c r="N21" s="3">
        <f>H21+J21+L21</f>
        <v/>
      </c>
      <c r="O21" s="3">
        <f>I21+K21+M21</f>
        <v/>
      </c>
      <c r="Q21" t="inlineStr">
        <is>
          <t>가). 흙깎기</t>
        </is>
      </c>
    </row>
    <row r="22" ht="24" customHeight="1" s="34">
      <c r="A22" t="inlineStr">
        <is>
          <t>06 개발행위</t>
        </is>
      </c>
      <c r="B22" t="inlineStr">
        <is>
          <t>1. 토 공</t>
        </is>
      </c>
      <c r="C22" t="n">
        <v>3</v>
      </c>
      <c r="D22" t="inlineStr">
        <is>
          <t>가). 땅깍기(암석절취)</t>
        </is>
      </c>
      <c r="E22" t="inlineStr">
        <is>
          <t>중규모진동제어발파, 연암</t>
        </is>
      </c>
      <c r="F22" t="n">
        <v>11485</v>
      </c>
      <c r="G22" t="inlineStr">
        <is>
          <t>㎥</t>
        </is>
      </c>
      <c r="H22" s="3" t="n">
        <v>3359</v>
      </c>
      <c r="I22" s="3">
        <f>F22*H22</f>
        <v/>
      </c>
      <c r="J22" s="3" t="n">
        <v>5469</v>
      </c>
      <c r="K22" s="3">
        <f>F22*J22</f>
        <v/>
      </c>
      <c r="L22" s="3" t="n">
        <v>1896</v>
      </c>
      <c r="M22" s="3">
        <f>F22*L22</f>
        <v/>
      </c>
      <c r="N22" s="3">
        <f>H22+J22+L22</f>
        <v/>
      </c>
      <c r="O22" s="3">
        <f>I22+K22+M22</f>
        <v/>
      </c>
      <c r="Q22" t="inlineStr">
        <is>
          <t>중규모진동제어발파</t>
        </is>
      </c>
    </row>
    <row r="23" ht="24" customHeight="1" s="34">
      <c r="A23" t="inlineStr">
        <is>
          <t>06 개발행위</t>
        </is>
      </c>
      <c r="B23" t="inlineStr">
        <is>
          <t>1. 토 공</t>
        </is>
      </c>
      <c r="C23" t="n">
        <v>4</v>
      </c>
      <c r="D23" t="inlineStr">
        <is>
          <t>가). 땅깍기(암석절취)</t>
        </is>
      </c>
      <c r="E23" t="inlineStr">
        <is>
          <t>일반발파, 보통암</t>
        </is>
      </c>
      <c r="F23" t="n">
        <v>8203</v>
      </c>
      <c r="G23" t="inlineStr">
        <is>
          <t>㎥</t>
        </is>
      </c>
      <c r="H23" s="3" t="n">
        <v>5916</v>
      </c>
      <c r="I23" s="3">
        <f>F23*H23</f>
        <v/>
      </c>
      <c r="J23" s="3" t="n">
        <v>19069</v>
      </c>
      <c r="K23" s="3">
        <f>F23*J23</f>
        <v/>
      </c>
      <c r="L23" s="3" t="n">
        <v>9487</v>
      </c>
      <c r="M23" s="3">
        <f>F23*L23</f>
        <v/>
      </c>
      <c r="N23" s="3">
        <f>H23+J23+L23</f>
        <v/>
      </c>
      <c r="O23" s="3">
        <f>I23+K23+M23</f>
        <v/>
      </c>
      <c r="Q23" t="inlineStr">
        <is>
          <t>가). 흙깎기</t>
        </is>
      </c>
    </row>
    <row r="24" ht="24" customHeight="1" s="34">
      <c r="A24" t="inlineStr">
        <is>
          <t>06 개발행위</t>
        </is>
      </c>
      <c r="B24" t="inlineStr">
        <is>
          <t>1. 토 공</t>
        </is>
      </c>
      <c r="C24" t="n">
        <v>5</v>
      </c>
      <c r="D24" t="inlineStr">
        <is>
          <t>가). 흙쌓기(토사)</t>
        </is>
      </c>
      <c r="E24" t="inlineStr">
        <is>
          <t>비다짐, 불도저 32톤</t>
        </is>
      </c>
      <c r="F24" t="n">
        <v>72163</v>
      </c>
      <c r="G24" t="inlineStr">
        <is>
          <t>㎥</t>
        </is>
      </c>
      <c r="H24" s="3" t="n">
        <v>582</v>
      </c>
      <c r="I24" s="3">
        <f>F24*H24</f>
        <v/>
      </c>
      <c r="J24" s="3" t="n">
        <v>1162</v>
      </c>
      <c r="K24" s="3">
        <f>F24*J24</f>
        <v/>
      </c>
      <c r="L24" s="3" t="n">
        <v>501</v>
      </c>
      <c r="M24" s="3">
        <f>F24*L24</f>
        <v/>
      </c>
      <c r="N24" s="3">
        <f>H24+J24+L24</f>
        <v/>
      </c>
      <c r="O24" s="3">
        <f>I24+K24+M24</f>
        <v/>
      </c>
      <c r="Q24" t="inlineStr">
        <is>
          <t>가). 흙쌓기</t>
        </is>
      </c>
    </row>
    <row r="25" ht="24" customHeight="1" s="34">
      <c r="A25" t="inlineStr">
        <is>
          <t>06 개발행위</t>
        </is>
      </c>
      <c r="B25" t="inlineStr">
        <is>
          <t>1. 토 공</t>
        </is>
      </c>
      <c r="C25" t="n">
        <v>6</v>
      </c>
      <c r="D25" t="inlineStr">
        <is>
          <t>가). 흙 운반(토사)(야적장)</t>
        </is>
      </c>
      <c r="E25" t="inlineStr">
        <is>
          <t>굴삭기1.0㎥+덤프24톤, L=0.238Km</t>
        </is>
      </c>
      <c r="F25" t="n">
        <v>60064</v>
      </c>
      <c r="G25" t="inlineStr">
        <is>
          <t>㎥</t>
        </is>
      </c>
      <c r="H25" s="3" t="n">
        <v>873</v>
      </c>
      <c r="I25" s="3">
        <f>F25*H25</f>
        <v/>
      </c>
      <c r="J25" s="3" t="n">
        <v>1719</v>
      </c>
      <c r="K25" s="3">
        <f>F25*J25</f>
        <v/>
      </c>
      <c r="L25" s="3" t="n">
        <v>653</v>
      </c>
      <c r="M25" s="3">
        <f>F25*L25</f>
        <v/>
      </c>
      <c r="N25" s="3">
        <f>H25+J25+L25</f>
        <v/>
      </c>
      <c r="O25" s="3">
        <f>I25+K25+M25</f>
        <v/>
      </c>
      <c r="Q25" t="inlineStr">
        <is>
          <t>토사</t>
        </is>
      </c>
    </row>
    <row r="26" ht="24" customHeight="1" s="34">
      <c r="A26" t="inlineStr">
        <is>
          <t>06 개발행위</t>
        </is>
      </c>
      <c r="B26" t="inlineStr">
        <is>
          <t>1. 토 공</t>
        </is>
      </c>
      <c r="C26" t="n">
        <v>7</v>
      </c>
      <c r="D26" t="inlineStr">
        <is>
          <t>나). 흙운반(풍화암)(야적장)</t>
        </is>
      </c>
      <c r="E26" t="inlineStr">
        <is>
          <t>로우더1.72㎥+덤프24톤, L=0.212Km</t>
        </is>
      </c>
      <c r="F26" t="n">
        <v>25508</v>
      </c>
      <c r="G26" t="inlineStr">
        <is>
          <t>㎥</t>
        </is>
      </c>
      <c r="H26" s="3" t="n">
        <v>906</v>
      </c>
      <c r="I26" s="3">
        <f>F26*H26</f>
        <v/>
      </c>
      <c r="J26" s="3" t="n">
        <v>1736</v>
      </c>
      <c r="K26" s="3">
        <f>F26*J26</f>
        <v/>
      </c>
      <c r="L26" s="3" t="n">
        <v>515</v>
      </c>
      <c r="M26" s="3">
        <f>F26*L26</f>
        <v/>
      </c>
      <c r="N26" s="3">
        <f>H26+J26+L26</f>
        <v/>
      </c>
      <c r="O26" s="3">
        <f>I26+K26+M26</f>
        <v/>
      </c>
      <c r="Q26" t="inlineStr">
        <is>
          <t>나). 흙운반</t>
        </is>
      </c>
    </row>
    <row r="27" ht="24" customHeight="1" s="34">
      <c r="A27" t="inlineStr">
        <is>
          <t>06 개발행위</t>
        </is>
      </c>
      <c r="B27" t="inlineStr">
        <is>
          <t>1. 토 공</t>
        </is>
      </c>
      <c r="C27" t="n">
        <v>8</v>
      </c>
      <c r="D27" t="inlineStr">
        <is>
          <t>다). 흙운반(연암)(야적장)</t>
        </is>
      </c>
      <c r="E27" t="inlineStr">
        <is>
          <t>굴삭기1.0㎥+덤프24톤, L=0.216Km</t>
        </is>
      </c>
      <c r="F27" t="n">
        <v>14675</v>
      </c>
      <c r="G27" t="inlineStr">
        <is>
          <t>㎥</t>
        </is>
      </c>
      <c r="H27" s="3" t="n">
        <v>906</v>
      </c>
      <c r="I27" s="3">
        <f>F27*H27</f>
        <v/>
      </c>
      <c r="J27" s="3" t="n">
        <v>1736</v>
      </c>
      <c r="K27" s="3">
        <f>F27*J27</f>
        <v/>
      </c>
      <c r="L27" s="3" t="n">
        <v>515</v>
      </c>
      <c r="M27" s="3">
        <f>F27*L27</f>
        <v/>
      </c>
      <c r="N27" s="3">
        <f>H27+J27+L27</f>
        <v/>
      </c>
      <c r="O27" s="3">
        <f>I27+K27+M27</f>
        <v/>
      </c>
      <c r="Q27" t="inlineStr">
        <is>
          <t>다). 흙운반</t>
        </is>
      </c>
    </row>
    <row r="28" ht="24" customHeight="1" s="34">
      <c r="A28" t="inlineStr">
        <is>
          <t>06 개발행위</t>
        </is>
      </c>
      <c r="B28" t="inlineStr">
        <is>
          <t>1. 토 공</t>
        </is>
      </c>
      <c r="C28" t="n">
        <v>9</v>
      </c>
      <c r="D28" t="inlineStr">
        <is>
          <t>라). 흙운반(보통암)(야적장)</t>
        </is>
      </c>
      <c r="E28" t="inlineStr">
        <is>
          <t>굴삭기1.0㎥+덤프24톤, L=0.226Km</t>
        </is>
      </c>
      <c r="F28" t="n">
        <v>11848</v>
      </c>
      <c r="G28" t="inlineStr">
        <is>
          <t>㎥</t>
        </is>
      </c>
      <c r="H28" s="3" t="n">
        <v>906</v>
      </c>
      <c r="I28" s="3">
        <f>F28*H28</f>
        <v/>
      </c>
      <c r="J28" s="3" t="n">
        <v>1736</v>
      </c>
      <c r="K28" s="3">
        <f>F28*J28</f>
        <v/>
      </c>
      <c r="L28" s="3" t="n">
        <v>515</v>
      </c>
      <c r="M28" s="3">
        <f>F28*L28</f>
        <v/>
      </c>
      <c r="N28" s="3">
        <f>H28+J28+L28</f>
        <v/>
      </c>
      <c r="O28" s="3">
        <f>I28+K28+M28</f>
        <v/>
      </c>
      <c r="Q28" t="inlineStr">
        <is>
          <t>라). 흙운반</t>
        </is>
      </c>
    </row>
    <row r="29" ht="24" customHeight="1" s="34">
      <c r="A29" s="15" t="inlineStr">
        <is>
          <t>06 개발행위</t>
        </is>
      </c>
      <c r="B29" s="15" t="inlineStr">
        <is>
          <t>1. 토 공</t>
        </is>
      </c>
      <c r="C29" s="15" t="n"/>
      <c r="D29" s="15" t="inlineStr">
        <is>
          <t>★ 1. 토 공 소계</t>
        </is>
      </c>
      <c r="E29" s="15" t="n"/>
      <c r="F29" s="15" t="n"/>
      <c r="G29" s="15" t="n"/>
      <c r="H29" s="15" t="n"/>
      <c r="I29" s="16">
        <f>SUM(I20:I28)</f>
        <v/>
      </c>
      <c r="J29" s="15" t="n"/>
      <c r="K29" s="16">
        <f>SUM(K20:K28)</f>
        <v/>
      </c>
      <c r="L29" s="15" t="n"/>
      <c r="M29" s="16">
        <f>SUM(M20:M28)</f>
        <v/>
      </c>
      <c r="N29" s="15" t="n"/>
      <c r="O29" s="16">
        <f>SUM(O20:O28)</f>
        <v/>
      </c>
      <c r="P29" s="15" t="n"/>
      <c r="Q29" s="15" t="inlineStr">
        <is>
          <t>9건</t>
        </is>
      </c>
    </row>
    <row r="30" ht="24" customHeight="1" s="34">
      <c r="A30" t="inlineStr">
        <is>
          <t>06 개발행위</t>
        </is>
      </c>
      <c r="B30" t="inlineStr">
        <is>
          <t>2. A1</t>
        </is>
      </c>
      <c r="C30" t="n">
        <v>1</v>
      </c>
      <c r="D30" t="inlineStr">
        <is>
          <t>1). 우수 원형1호 맨홀</t>
        </is>
      </c>
      <c r="E30" t="inlineStr">
        <is>
          <t>D900</t>
        </is>
      </c>
      <c r="F30" t="n">
        <v>1</v>
      </c>
      <c r="G30" t="inlineStr">
        <is>
          <t>개소</t>
        </is>
      </c>
      <c r="H30" s="3" t="n">
        <v>0</v>
      </c>
      <c r="I30" s="3">
        <f>F30*H30</f>
        <v/>
      </c>
      <c r="J30" s="3" t="n">
        <v>71377</v>
      </c>
      <c r="K30" s="3">
        <f>F30*J30</f>
        <v/>
      </c>
      <c r="L30" s="3" t="n">
        <v>0</v>
      </c>
      <c r="M30" s="3">
        <f>F30*L30</f>
        <v/>
      </c>
      <c r="N30" s="3">
        <f>H30+J30+L30</f>
        <v/>
      </c>
      <c r="O30" s="3">
        <f>I30+K30+M30</f>
        <v/>
      </c>
      <c r="Q30" t="inlineStr">
        <is>
          <t>D900</t>
        </is>
      </c>
    </row>
    <row r="31" ht="24" customHeight="1" s="34">
      <c r="A31" t="inlineStr">
        <is>
          <t>06 개발행위</t>
        </is>
      </c>
      <c r="B31" t="inlineStr">
        <is>
          <t>2. A1</t>
        </is>
      </c>
      <c r="C31" t="n">
        <v>2</v>
      </c>
      <c r="D31" t="inlineStr">
        <is>
          <t>2). 집수정</t>
        </is>
      </c>
      <c r="E31" t="inlineStr">
        <is>
          <t>0.6x0.6,스틸그레이팅</t>
        </is>
      </c>
      <c r="F31" t="n">
        <v>7</v>
      </c>
      <c r="G31" t="inlineStr">
        <is>
          <t>개소</t>
        </is>
      </c>
      <c r="H31" s="3" t="n">
        <v>5775</v>
      </c>
      <c r="I31" s="3">
        <f>F31*H31</f>
        <v/>
      </c>
      <c r="J31" s="3" t="n">
        <v>258574</v>
      </c>
      <c r="K31" s="3">
        <f>F31*J31</f>
        <v/>
      </c>
      <c r="L31" s="3" t="n">
        <v>3583</v>
      </c>
      <c r="M31" s="3">
        <f>F31*L31</f>
        <v/>
      </c>
      <c r="N31" s="3">
        <f>H31+J31+L31</f>
        <v/>
      </c>
      <c r="O31" s="3">
        <f>I31+K31+M31</f>
        <v/>
      </c>
      <c r="Q31" t="inlineStr">
        <is>
          <t>표준DB CTC30702040S (점수0.55) / 대안: 스틸레자방음문(0.51) · 깍기부집수정(흄관)(0.51)</t>
        </is>
      </c>
    </row>
    <row r="32" ht="24" customHeight="1" s="34">
      <c r="A32" t="inlineStr">
        <is>
          <t>06 개발행위</t>
        </is>
      </c>
      <c r="B32" t="inlineStr">
        <is>
          <t>2. A1</t>
        </is>
      </c>
      <c r="C32" t="n">
        <v>3</v>
      </c>
      <c r="D32" t="inlineStr">
        <is>
          <t>3). 오수받이</t>
        </is>
      </c>
      <c r="F32" t="n">
        <v>1</v>
      </c>
      <c r="G32" t="inlineStr">
        <is>
          <t>개소</t>
        </is>
      </c>
      <c r="H32" t="n">
        <v>340000</v>
      </c>
      <c r="I32" s="3">
        <f>F32*H32</f>
        <v/>
      </c>
      <c r="J32" s="3" t="n">
        <v>75000</v>
      </c>
      <c r="K32" s="3">
        <f>F32*J32</f>
        <v/>
      </c>
      <c r="L32" t="n">
        <v>75000</v>
      </c>
      <c r="M32" s="3">
        <f>F32*L32</f>
        <v/>
      </c>
      <c r="N32" s="3">
        <f>H32+J32+L32</f>
        <v/>
      </c>
      <c r="O32" s="3">
        <f>I32+K32+M32</f>
        <v/>
      </c>
      <c r="P32" t="inlineStr">
        <is>
          <t>가영현</t>
        </is>
      </c>
      <c r="Q32" t="inlineStr">
        <is>
          <t>3). 오수받이</t>
        </is>
      </c>
    </row>
    <row r="33" ht="24" customHeight="1" s="34">
      <c r="A33" t="inlineStr">
        <is>
          <t>06 개발행위</t>
        </is>
      </c>
      <c r="B33" t="inlineStr">
        <is>
          <t>2. A1</t>
        </is>
      </c>
      <c r="C33" t="n">
        <v>4</v>
      </c>
      <c r="D33" t="inlineStr">
        <is>
          <t>4). 고강성 PVC 이중벽관 접합 및 부설</t>
        </is>
      </c>
      <c r="E33" t="inlineStr">
        <is>
          <t>D150mm, 시공조건B</t>
        </is>
      </c>
      <c r="F33" t="n">
        <v>15</v>
      </c>
      <c r="G33" t="inlineStr">
        <is>
          <t>m</t>
        </is>
      </c>
      <c r="H33" s="3" t="n">
        <v>230</v>
      </c>
      <c r="I33" s="3">
        <f>F33*H33</f>
        <v/>
      </c>
      <c r="J33" s="3" t="n">
        <v>4360</v>
      </c>
      <c r="K33" s="3">
        <f>F33*J33</f>
        <v/>
      </c>
      <c r="L33" s="3" t="n">
        <v>0</v>
      </c>
      <c r="M33" s="3">
        <f>F33*L33</f>
        <v/>
      </c>
      <c r="N33" s="3">
        <f>H33+J33+L33</f>
        <v/>
      </c>
      <c r="O33" s="3">
        <f>I33+K33+M33</f>
        <v/>
      </c>
      <c r="Q33" t="inlineStr">
        <is>
          <t>D150mm</t>
        </is>
      </c>
    </row>
    <row r="34" ht="24" customHeight="1" s="34">
      <c r="A34" t="inlineStr">
        <is>
          <t>06 개발행위</t>
        </is>
      </c>
      <c r="B34" t="inlineStr">
        <is>
          <t>2. A1</t>
        </is>
      </c>
      <c r="C34" t="n">
        <v>5</v>
      </c>
      <c r="D34" t="inlineStr">
        <is>
          <t>5). 고강성 PVC 이중벽관 접합 및 부설</t>
        </is>
      </c>
      <c r="E34" t="inlineStr">
        <is>
          <t>D450mm, 시공조건B</t>
        </is>
      </c>
      <c r="F34" t="n">
        <v>154</v>
      </c>
      <c r="G34" t="inlineStr">
        <is>
          <t>m</t>
        </is>
      </c>
      <c r="H34" s="3" t="n">
        <v>230</v>
      </c>
      <c r="I34" s="3">
        <f>F34*H34</f>
        <v/>
      </c>
      <c r="J34" s="3" t="n">
        <v>4360</v>
      </c>
      <c r="K34" s="3">
        <f>F34*J34</f>
        <v/>
      </c>
      <c r="L34" s="3" t="n">
        <v>0</v>
      </c>
      <c r="M34" s="3">
        <f>F34*L34</f>
        <v/>
      </c>
      <c r="N34" s="3">
        <f>H34+J34+L34</f>
        <v/>
      </c>
      <c r="O34" s="3">
        <f>I34+K34+M34</f>
        <v/>
      </c>
      <c r="Q34" t="inlineStr">
        <is>
          <t>부설</t>
        </is>
      </c>
    </row>
    <row r="35" ht="24" customHeight="1" s="34">
      <c r="A35" t="inlineStr">
        <is>
          <t>06 개발행위</t>
        </is>
      </c>
      <c r="B35" t="inlineStr">
        <is>
          <t>2. A1</t>
        </is>
      </c>
      <c r="C35" t="n">
        <v>6</v>
      </c>
      <c r="D35" t="inlineStr">
        <is>
          <t>6). 고강성PVC이중벽관</t>
        </is>
      </c>
      <c r="E35" t="inlineStr">
        <is>
          <t>D150mm, 직관</t>
        </is>
      </c>
      <c r="F35" t="n">
        <v>3</v>
      </c>
      <c r="G35" t="inlineStr">
        <is>
          <t>본</t>
        </is>
      </c>
      <c r="H35" s="3" t="n">
        <v>505</v>
      </c>
      <c r="I35" s="3">
        <f>F35*H35</f>
        <v/>
      </c>
      <c r="J35" s="3" t="n">
        <v>25263</v>
      </c>
      <c r="K35" s="3">
        <f>F35*J35</f>
        <v/>
      </c>
      <c r="L35" s="3" t="n">
        <v>0</v>
      </c>
      <c r="M35" s="3">
        <f>F35*L35</f>
        <v/>
      </c>
      <c r="N35" s="3">
        <f>H35+J35+L35</f>
        <v/>
      </c>
      <c r="O35" s="3">
        <f>I35+K35+M35</f>
        <v/>
      </c>
      <c r="Q35" t="inlineStr">
        <is>
          <t>표준DB CGR10100500S (점수0.55) / 대안: 내충격PVC수도관 부설 및 접(0.55) · 내충격PVC수도관 부설 및 접(0.55)</t>
        </is>
      </c>
    </row>
    <row r="36" ht="24" customHeight="1" s="34">
      <c r="A36" t="inlineStr">
        <is>
          <t>06 개발행위</t>
        </is>
      </c>
      <c r="B36" t="inlineStr">
        <is>
          <t>2. A1</t>
        </is>
      </c>
      <c r="C36" t="n">
        <v>7</v>
      </c>
      <c r="D36" t="inlineStr">
        <is>
          <t>7). 고강성PVC이중벽관</t>
        </is>
      </c>
      <c r="E36" t="inlineStr">
        <is>
          <t>D450mm, 직관</t>
        </is>
      </c>
      <c r="F36" t="n">
        <v>26</v>
      </c>
      <c r="G36" t="inlineStr">
        <is>
          <t>본</t>
        </is>
      </c>
      <c r="H36" s="3" t="n">
        <v>180000</v>
      </c>
      <c r="I36" s="3">
        <f>F36*H36</f>
        <v/>
      </c>
      <c r="J36" s="3" t="n">
        <v>25263</v>
      </c>
      <c r="K36" s="3">
        <f>F36*J36</f>
        <v/>
      </c>
      <c r="M36" s="3">
        <f>F36*L36</f>
        <v/>
      </c>
      <c r="N36" s="3">
        <f>H36+J36+L36</f>
        <v/>
      </c>
      <c r="O36" s="3">
        <f>I36+K36+M36</f>
        <v/>
      </c>
      <c r="P36" t="inlineStr">
        <is>
          <t>가영현</t>
        </is>
      </c>
      <c r="Q36" t="inlineStr">
        <is>
          <t>7). 고강성PVC이중벽관</t>
        </is>
      </c>
    </row>
    <row r="37" ht="24" customHeight="1" s="34">
      <c r="A37" t="inlineStr">
        <is>
          <t>06 개발행위</t>
        </is>
      </c>
      <c r="B37" t="inlineStr">
        <is>
          <t>2. A1</t>
        </is>
      </c>
      <c r="C37" t="n">
        <v>8</v>
      </c>
      <c r="D37" t="inlineStr">
        <is>
          <t>8). 원심력철근콘크리트관 접합및부설(소켓식)</t>
        </is>
      </c>
      <c r="E37" t="inlineStr">
        <is>
          <t>Ø 600mm, 시공조건 B</t>
        </is>
      </c>
      <c r="F37" t="n">
        <v>11</v>
      </c>
      <c r="G37" t="inlineStr">
        <is>
          <t>m</t>
        </is>
      </c>
      <c r="H37" s="3" t="n">
        <v>2339</v>
      </c>
      <c r="I37" s="3">
        <f>F37*H37</f>
        <v/>
      </c>
      <c r="J37" s="3" t="n">
        <v>19375</v>
      </c>
      <c r="K37" s="3">
        <f>F37*J37</f>
        <v/>
      </c>
      <c r="L37" s="3" t="n">
        <v>2505</v>
      </c>
      <c r="M37" s="3">
        <f>F37*L37</f>
        <v/>
      </c>
      <c r="N37" s="3">
        <f>H37+J37+L37</f>
        <v/>
      </c>
      <c r="O37" s="3">
        <f>I37+K37+M37</f>
        <v/>
      </c>
      <c r="Q37" t="inlineStr">
        <is>
          <t>소켓식</t>
        </is>
      </c>
    </row>
    <row r="38" ht="24" customHeight="1" s="34">
      <c r="A38" t="inlineStr">
        <is>
          <t>06 개발행위</t>
        </is>
      </c>
      <c r="B38" t="inlineStr">
        <is>
          <t>2. A1</t>
        </is>
      </c>
      <c r="C38" t="n">
        <v>9</v>
      </c>
      <c r="D38" t="inlineStr">
        <is>
          <t>9). 사각수로관</t>
        </is>
      </c>
      <c r="E38" t="inlineStr">
        <is>
          <t>Ø 300mm</t>
        </is>
      </c>
      <c r="F38" t="n">
        <v>15</v>
      </c>
      <c r="G38" t="inlineStr">
        <is>
          <t>m</t>
        </is>
      </c>
      <c r="H38" s="3" t="n">
        <v>32611</v>
      </c>
      <c r="I38" s="3">
        <f>F38*H38</f>
        <v/>
      </c>
      <c r="J38" s="3" t="n">
        <v>106288</v>
      </c>
      <c r="K38" s="3">
        <f>F38*J38</f>
        <v/>
      </c>
      <c r="L38" s="3" t="n">
        <v>62900</v>
      </c>
      <c r="M38" s="3">
        <f>F38*L38</f>
        <v/>
      </c>
      <c r="N38" s="3">
        <f>H38+J38+L38</f>
        <v/>
      </c>
      <c r="O38" s="3">
        <f>I38+K38+M38</f>
        <v/>
      </c>
      <c r="Q38" t="inlineStr">
        <is>
          <t>Ø 300mm</t>
        </is>
      </c>
    </row>
    <row r="39" ht="24" customHeight="1" s="34">
      <c r="A39" t="inlineStr">
        <is>
          <t>06 개발행위</t>
        </is>
      </c>
      <c r="B39" t="inlineStr">
        <is>
          <t>2. A1</t>
        </is>
      </c>
      <c r="C39" t="n">
        <v>10</v>
      </c>
      <c r="D39" t="inlineStr">
        <is>
          <t>10). CEP옹벽</t>
        </is>
      </c>
      <c r="E39" t="inlineStr">
        <is>
          <t>1.5m~5.0m</t>
        </is>
      </c>
      <c r="F39" t="n">
        <v>35</v>
      </c>
      <c r="G39" t="inlineStr">
        <is>
          <t>M2</t>
        </is>
      </c>
      <c r="H39" s="3" t="n">
        <v>150000</v>
      </c>
      <c r="I39" s="3">
        <f>F39*H39</f>
        <v/>
      </c>
      <c r="J39" s="3" t="n">
        <v>150000</v>
      </c>
      <c r="K39" s="3">
        <f>F39*J39</f>
        <v/>
      </c>
      <c r="L39" t="n">
        <v>50000</v>
      </c>
      <c r="M39" s="3">
        <f>F39*L39</f>
        <v/>
      </c>
      <c r="N39" s="3">
        <f>H39+J39+L39</f>
        <v/>
      </c>
      <c r="O39" s="3">
        <f>I39+K39+M39</f>
        <v/>
      </c>
      <c r="P39" t="inlineStr">
        <is>
          <t>가영현</t>
        </is>
      </c>
      <c r="Q39" t="inlineStr">
        <is>
          <t>1.5m~5.0m</t>
        </is>
      </c>
    </row>
    <row r="40" ht="24" customHeight="1" s="34">
      <c r="A40" t="inlineStr">
        <is>
          <t>06 개발행위</t>
        </is>
      </c>
      <c r="B40" t="inlineStr">
        <is>
          <t>2. A1</t>
        </is>
      </c>
      <c r="C40" t="n">
        <v>11</v>
      </c>
      <c r="D40" t="inlineStr">
        <is>
          <t>11). 메쉬휀스</t>
        </is>
      </c>
      <c r="E40" t="inlineStr">
        <is>
          <t>H=1.5m</t>
        </is>
      </c>
      <c r="F40" t="n">
        <v>74</v>
      </c>
      <c r="G40" t="inlineStr">
        <is>
          <t>m</t>
        </is>
      </c>
      <c r="H40" s="3" t="n">
        <v>2290</v>
      </c>
      <c r="I40" s="3">
        <f>F40*H40</f>
        <v/>
      </c>
      <c r="J40" s="3" t="n">
        <v>40880</v>
      </c>
      <c r="K40" s="3">
        <f>F40*J40</f>
        <v/>
      </c>
      <c r="L40" s="3" t="n">
        <v>2681</v>
      </c>
      <c r="M40" s="3">
        <f>F40*L40</f>
        <v/>
      </c>
      <c r="N40" s="3">
        <f>H40+J40+L40</f>
        <v/>
      </c>
      <c r="O40" s="3">
        <f>I40+K40+M40</f>
        <v/>
      </c>
      <c r="Q40" t="inlineStr">
        <is>
          <t>H=1.5m</t>
        </is>
      </c>
    </row>
    <row r="41" ht="24" customHeight="1" s="34">
      <c r="A41" t="inlineStr">
        <is>
          <t>06 개발행위</t>
        </is>
      </c>
      <c r="B41" t="inlineStr">
        <is>
          <t>2. A1</t>
        </is>
      </c>
      <c r="C41" t="n">
        <v>12</v>
      </c>
      <c r="D41" t="inlineStr">
        <is>
          <t>12). 콘크리트포장</t>
        </is>
      </c>
      <c r="E41" t="inlineStr">
        <is>
          <t>T=20Cm</t>
        </is>
      </c>
      <c r="F41" t="n">
        <v>2284</v>
      </c>
      <c r="G41" t="inlineStr">
        <is>
          <t>㎡</t>
        </is>
      </c>
      <c r="H41" s="3" t="n">
        <v>185</v>
      </c>
      <c r="I41" s="3">
        <f>F41*H41</f>
        <v/>
      </c>
      <c r="J41" s="3" t="n">
        <v>197</v>
      </c>
      <c r="K41" s="3">
        <f>F41*J41</f>
        <v/>
      </c>
      <c r="L41" s="3" t="n">
        <v>139</v>
      </c>
      <c r="M41" s="3">
        <f>F41*L41</f>
        <v/>
      </c>
      <c r="N41" s="3">
        <f>H41+J41+L41</f>
        <v/>
      </c>
      <c r="O41" s="3">
        <f>I41+K41+M41</f>
        <v/>
      </c>
      <c r="Q41" t="inlineStr">
        <is>
          <t>T=20Cm</t>
        </is>
      </c>
    </row>
    <row r="42" ht="24" customHeight="1" s="34">
      <c r="A42" t="inlineStr">
        <is>
          <t>06 개발행위</t>
        </is>
      </c>
      <c r="B42" t="inlineStr">
        <is>
          <t>2. A1</t>
        </is>
      </c>
      <c r="C42" t="n">
        <v>13</v>
      </c>
      <c r="D42" t="inlineStr">
        <is>
          <t>13). 관목</t>
        </is>
      </c>
      <c r="E42" t="inlineStr">
        <is>
          <t>H0.3xW0.3</t>
        </is>
      </c>
      <c r="F42" t="n">
        <v>6750</v>
      </c>
      <c r="G42" t="inlineStr">
        <is>
          <t>주</t>
        </is>
      </c>
      <c r="I42" s="3">
        <f>F42*H42</f>
        <v/>
      </c>
      <c r="J42" s="3" t="n">
        <v>3797</v>
      </c>
      <c r="K42" s="3">
        <f>F42*J42</f>
        <v/>
      </c>
      <c r="M42" s="3">
        <f>F42*L42</f>
        <v/>
      </c>
      <c r="N42" s="3">
        <f>H42+J42+L42</f>
        <v/>
      </c>
      <c r="O42" s="3">
        <f>I42+K42+M42</f>
        <v/>
      </c>
      <c r="P42" t="inlineStr">
        <is>
          <t>가영현</t>
        </is>
      </c>
      <c r="Q42" t="inlineStr">
        <is>
          <t>13). 관목</t>
        </is>
      </c>
    </row>
    <row r="43" ht="24" customHeight="1" s="34">
      <c r="A43" t="inlineStr">
        <is>
          <t>06 개발행위</t>
        </is>
      </c>
      <c r="B43" t="inlineStr">
        <is>
          <t>2. A1</t>
        </is>
      </c>
      <c r="C43" t="n">
        <v>14</v>
      </c>
      <c r="D43" t="inlineStr">
        <is>
          <t>14). 법면보호공</t>
        </is>
      </c>
      <c r="E43" t="inlineStr">
        <is>
          <t>잔디붙임(줄떼)</t>
        </is>
      </c>
      <c r="F43" t="n">
        <v>83</v>
      </c>
      <c r="G43" t="inlineStr">
        <is>
          <t>㎡</t>
        </is>
      </c>
      <c r="H43" s="3" t="n">
        <v>0</v>
      </c>
      <c r="I43" s="3">
        <f>F43*H43</f>
        <v/>
      </c>
      <c r="J43" s="3" t="n">
        <v>4699</v>
      </c>
      <c r="K43" s="3">
        <f>F43*J43</f>
        <v/>
      </c>
      <c r="L43" s="3" t="n">
        <v>0</v>
      </c>
      <c r="M43" s="3">
        <f>F43*L43</f>
        <v/>
      </c>
      <c r="N43" s="3">
        <f>H43+J43+L43</f>
        <v/>
      </c>
      <c r="O43" s="3">
        <f>I43+K43+M43</f>
        <v/>
      </c>
      <c r="Q43" t="inlineStr">
        <is>
          <t>잔디붙임(줄떼)</t>
        </is>
      </c>
    </row>
    <row r="44" ht="24" customHeight="1" s="34">
      <c r="A44" s="15" t="inlineStr">
        <is>
          <t>06 개발행위</t>
        </is>
      </c>
      <c r="B44" s="15" t="inlineStr">
        <is>
          <t>2. A1</t>
        </is>
      </c>
      <c r="C44" s="15" t="n"/>
      <c r="D44" s="15" t="inlineStr">
        <is>
          <t>★ 2. A1 소계</t>
        </is>
      </c>
      <c r="E44" s="15" t="n"/>
      <c r="F44" s="15" t="n"/>
      <c r="G44" s="15" t="n"/>
      <c r="H44" s="15" t="n"/>
      <c r="I44" s="16">
        <f>SUM(I30:I43)</f>
        <v/>
      </c>
      <c r="J44" s="15" t="n"/>
      <c r="K44" s="16">
        <f>SUM(K30:K43)</f>
        <v/>
      </c>
      <c r="L44" s="15" t="n"/>
      <c r="M44" s="16">
        <f>SUM(M30:M43)</f>
        <v/>
      </c>
      <c r="N44" s="15" t="n"/>
      <c r="O44" s="16">
        <f>SUM(O30:O43)</f>
        <v/>
      </c>
      <c r="P44" s="15" t="n"/>
      <c r="Q44" s="15" t="inlineStr">
        <is>
          <t>14건</t>
        </is>
      </c>
    </row>
    <row r="45" ht="24" customHeight="1" s="34">
      <c r="A45" t="inlineStr">
        <is>
          <t>06 개발행위</t>
        </is>
      </c>
      <c r="B45" t="inlineStr">
        <is>
          <t>3. A2</t>
        </is>
      </c>
      <c r="C45" t="n">
        <v>1</v>
      </c>
      <c r="D45" t="inlineStr">
        <is>
          <t>1). 우수 원형1호 맨홀</t>
        </is>
      </c>
      <c r="E45" t="inlineStr">
        <is>
          <t>D900</t>
        </is>
      </c>
      <c r="F45" t="n">
        <v>1</v>
      </c>
      <c r="G45" t="inlineStr">
        <is>
          <t>개소</t>
        </is>
      </c>
      <c r="H45" s="3" t="n">
        <v>0</v>
      </c>
      <c r="I45" s="3">
        <f>F45*H45</f>
        <v/>
      </c>
      <c r="J45" s="3" t="n">
        <v>71377</v>
      </c>
      <c r="K45" s="3">
        <f>F45*J45</f>
        <v/>
      </c>
      <c r="L45" s="3" t="n">
        <v>0</v>
      </c>
      <c r="M45" s="3">
        <f>F45*L45</f>
        <v/>
      </c>
      <c r="N45" s="3">
        <f>H45+J45+L45</f>
        <v/>
      </c>
      <c r="O45" s="3">
        <f>I45+K45+M45</f>
        <v/>
      </c>
      <c r="Q45" t="inlineStr">
        <is>
          <t>D900</t>
        </is>
      </c>
    </row>
    <row r="46" ht="24" customHeight="1" s="34">
      <c r="A46" t="inlineStr">
        <is>
          <t>06 개발행위</t>
        </is>
      </c>
      <c r="B46" t="inlineStr">
        <is>
          <t>3. A2</t>
        </is>
      </c>
      <c r="C46" t="n">
        <v>2</v>
      </c>
      <c r="D46" t="inlineStr">
        <is>
          <t>2). 집수정</t>
        </is>
      </c>
      <c r="E46" t="inlineStr">
        <is>
          <t>0.6x0.6,스틸그레이팅</t>
        </is>
      </c>
      <c r="F46" t="n">
        <v>7</v>
      </c>
      <c r="G46" t="inlineStr">
        <is>
          <t>개소</t>
        </is>
      </c>
      <c r="H46" s="3" t="n">
        <v>5775</v>
      </c>
      <c r="I46" s="3">
        <f>F46*H46</f>
        <v/>
      </c>
      <c r="J46" s="3" t="n">
        <v>258574</v>
      </c>
      <c r="K46" s="3">
        <f>F46*J46</f>
        <v/>
      </c>
      <c r="L46" s="3" t="n">
        <v>3583</v>
      </c>
      <c r="M46" s="3">
        <f>F46*L46</f>
        <v/>
      </c>
      <c r="N46" s="3">
        <f>H46+J46+L46</f>
        <v/>
      </c>
      <c r="O46" s="3">
        <f>I46+K46+M46</f>
        <v/>
      </c>
      <c r="Q46" t="inlineStr">
        <is>
          <t>표준DB CTC30702040S (점수0.55) / 대안: 스틸레자방음문(0.51) · 깍기부집수정(흄관)(0.51)</t>
        </is>
      </c>
    </row>
    <row r="47" ht="24" customHeight="1" s="34">
      <c r="A47" t="inlineStr">
        <is>
          <t>06 개발행위</t>
        </is>
      </c>
      <c r="B47" t="inlineStr">
        <is>
          <t>3. A2</t>
        </is>
      </c>
      <c r="C47" t="n">
        <v>3</v>
      </c>
      <c r="D47" t="inlineStr">
        <is>
          <t>3). 오수받이</t>
        </is>
      </c>
      <c r="F47" t="n">
        <v>1</v>
      </c>
      <c r="G47" t="inlineStr">
        <is>
          <t>개소</t>
        </is>
      </c>
      <c r="H47" t="n">
        <v>340000</v>
      </c>
      <c r="I47" s="3">
        <f>F47*H47</f>
        <v/>
      </c>
      <c r="J47" s="3" t="n">
        <v>75000</v>
      </c>
      <c r="K47" s="3">
        <f>F47*J47</f>
        <v/>
      </c>
      <c r="L47" t="n">
        <v>75000</v>
      </c>
      <c r="M47" s="3">
        <f>F47*L47</f>
        <v/>
      </c>
      <c r="N47" s="3">
        <f>H47+J47+L47</f>
        <v/>
      </c>
      <c r="O47" s="3">
        <f>I47+K47+M47</f>
        <v/>
      </c>
      <c r="P47" t="inlineStr">
        <is>
          <t>가영현</t>
        </is>
      </c>
      <c r="Q47" t="inlineStr">
        <is>
          <t>3). 오수받이</t>
        </is>
      </c>
    </row>
    <row r="48" ht="24" customHeight="1" s="34">
      <c r="A48" t="inlineStr">
        <is>
          <t>06 개발행위</t>
        </is>
      </c>
      <c r="B48" t="inlineStr">
        <is>
          <t>3. A2</t>
        </is>
      </c>
      <c r="C48" t="n">
        <v>4</v>
      </c>
      <c r="D48" t="inlineStr">
        <is>
          <t>4). 고강성 PVC 이중벽관 접합 및 부설</t>
        </is>
      </c>
      <c r="E48" t="inlineStr">
        <is>
          <t>D150mm, 시공조건B</t>
        </is>
      </c>
      <c r="F48" t="n">
        <v>22</v>
      </c>
      <c r="G48" t="inlineStr">
        <is>
          <t>m</t>
        </is>
      </c>
      <c r="H48" s="3" t="n">
        <v>230</v>
      </c>
      <c r="I48" s="3">
        <f>F48*H48</f>
        <v/>
      </c>
      <c r="J48" s="3" t="n">
        <v>4360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Q48" t="inlineStr">
        <is>
          <t>D150mm</t>
        </is>
      </c>
    </row>
    <row r="49" ht="24" customHeight="1" s="34">
      <c r="A49" t="inlineStr">
        <is>
          <t>06 개발행위</t>
        </is>
      </c>
      <c r="B49" t="inlineStr">
        <is>
          <t>3. A2</t>
        </is>
      </c>
      <c r="C49" t="n">
        <v>5</v>
      </c>
      <c r="D49" t="inlineStr">
        <is>
          <t>5). 고강성 PVC 이중벽관 접합 및 부설</t>
        </is>
      </c>
      <c r="E49" t="inlineStr">
        <is>
          <t>D450mm, 시공조건B</t>
        </is>
      </c>
      <c r="F49" t="n">
        <v>152</v>
      </c>
      <c r="G49" t="inlineStr">
        <is>
          <t>m</t>
        </is>
      </c>
      <c r="H49" s="3" t="n">
        <v>230</v>
      </c>
      <c r="I49" s="3">
        <f>F49*H49</f>
        <v/>
      </c>
      <c r="J49" s="3" t="n">
        <v>4360</v>
      </c>
      <c r="K49" s="3">
        <f>F49*J49</f>
        <v/>
      </c>
      <c r="L49" s="3" t="n">
        <v>0</v>
      </c>
      <c r="M49" s="3">
        <f>F49*L49</f>
        <v/>
      </c>
      <c r="N49" s="3">
        <f>H49+J49+L49</f>
        <v/>
      </c>
      <c r="O49" s="3">
        <f>I49+K49+M49</f>
        <v/>
      </c>
      <c r="Q49" t="inlineStr">
        <is>
          <t>부설</t>
        </is>
      </c>
    </row>
    <row r="50" ht="24" customHeight="1" s="34">
      <c r="A50" t="inlineStr">
        <is>
          <t>06 개발행위</t>
        </is>
      </c>
      <c r="B50" t="inlineStr">
        <is>
          <t>3. A2</t>
        </is>
      </c>
      <c r="C50" t="n">
        <v>6</v>
      </c>
      <c r="D50" t="inlineStr">
        <is>
          <t>6). 고강성PVC이중벽관</t>
        </is>
      </c>
      <c r="E50" t="inlineStr">
        <is>
          <t>D150mm, 직관</t>
        </is>
      </c>
      <c r="F50" t="n">
        <v>4</v>
      </c>
      <c r="G50" t="inlineStr">
        <is>
          <t>본</t>
        </is>
      </c>
      <c r="H50" s="3" t="n">
        <v>505</v>
      </c>
      <c r="I50" s="3">
        <f>F50*H50</f>
        <v/>
      </c>
      <c r="J50" s="3" t="n">
        <v>25263</v>
      </c>
      <c r="K50" s="3">
        <f>F50*J50</f>
        <v/>
      </c>
      <c r="L50" s="3" t="n">
        <v>0</v>
      </c>
      <c r="M50" s="3">
        <f>F50*L50</f>
        <v/>
      </c>
      <c r="N50" s="3">
        <f>H50+J50+L50</f>
        <v/>
      </c>
      <c r="O50" s="3">
        <f>I50+K50+M50</f>
        <v/>
      </c>
      <c r="Q50" t="inlineStr">
        <is>
          <t>표준DB CGR10100500S (점수0.55) / 대안: 내충격PVC수도관 부설 및 접(0.55) · 내충격PVC수도관 부설 및 접(0.55)</t>
        </is>
      </c>
    </row>
    <row r="51" ht="24" customHeight="1" s="34">
      <c r="A51" t="inlineStr">
        <is>
          <t>06 개발행위</t>
        </is>
      </c>
      <c r="B51" t="inlineStr">
        <is>
          <t>3. A2</t>
        </is>
      </c>
      <c r="C51" t="n">
        <v>7</v>
      </c>
      <c r="D51" t="inlineStr">
        <is>
          <t>7). 고강성PVC이중벽관</t>
        </is>
      </c>
      <c r="E51" t="inlineStr">
        <is>
          <t>D450mm, 직관</t>
        </is>
      </c>
      <c r="F51" t="n">
        <v>26</v>
      </c>
      <c r="G51" t="inlineStr">
        <is>
          <t>본</t>
        </is>
      </c>
      <c r="H51" s="3" t="n">
        <v>505</v>
      </c>
      <c r="I51" s="3">
        <f>F51*H51</f>
        <v/>
      </c>
      <c r="J51" s="3" t="n">
        <v>25263</v>
      </c>
      <c r="K51" s="3">
        <f>F51*J51</f>
        <v/>
      </c>
      <c r="M51" s="3">
        <f>F51*L51</f>
        <v/>
      </c>
      <c r="N51" s="3">
        <f>H51+J51+L51</f>
        <v/>
      </c>
      <c r="O51" s="3">
        <f>I51+K51+M51</f>
        <v/>
      </c>
      <c r="P51" t="inlineStr">
        <is>
          <t>가영현</t>
        </is>
      </c>
      <c r="Q51" t="inlineStr">
        <is>
          <t>7). 고강성PVC이중벽관</t>
        </is>
      </c>
    </row>
    <row r="52" ht="24" customHeight="1" s="34">
      <c r="A52" t="inlineStr">
        <is>
          <t>06 개발행위</t>
        </is>
      </c>
      <c r="B52" t="inlineStr">
        <is>
          <t>3. A2</t>
        </is>
      </c>
      <c r="C52" t="n">
        <v>8</v>
      </c>
      <c r="D52" t="inlineStr">
        <is>
          <t>8). 원심력철근콘크리트관 접합및부설(소켓식)</t>
        </is>
      </c>
      <c r="E52" t="inlineStr">
        <is>
          <t>Ø 600mm, 시공조건 B</t>
        </is>
      </c>
      <c r="F52" t="n">
        <v>10</v>
      </c>
      <c r="G52" t="inlineStr">
        <is>
          <t>m</t>
        </is>
      </c>
      <c r="H52" s="3" t="n">
        <v>2339</v>
      </c>
      <c r="I52" s="3">
        <f>F52*H52</f>
        <v/>
      </c>
      <c r="J52" s="3" t="n">
        <v>19375</v>
      </c>
      <c r="K52" s="3">
        <f>F52*J52</f>
        <v/>
      </c>
      <c r="L52" s="3" t="n">
        <v>2505</v>
      </c>
      <c r="M52" s="3">
        <f>F52*L52</f>
        <v/>
      </c>
      <c r="N52" s="3">
        <f>H52+J52+L52</f>
        <v/>
      </c>
      <c r="O52" s="3">
        <f>I52+K52+M52</f>
        <v/>
      </c>
      <c r="Q52" t="inlineStr">
        <is>
          <t>소켓식</t>
        </is>
      </c>
    </row>
    <row r="53" ht="24" customHeight="1" s="34">
      <c r="A53" t="inlineStr">
        <is>
          <t>06 개발행위</t>
        </is>
      </c>
      <c r="B53" t="inlineStr">
        <is>
          <t>3. A2</t>
        </is>
      </c>
      <c r="C53" t="n">
        <v>9</v>
      </c>
      <c r="D53" t="inlineStr">
        <is>
          <t>9). 사각수로관</t>
        </is>
      </c>
      <c r="E53" t="inlineStr">
        <is>
          <t>Ø 300mm</t>
        </is>
      </c>
      <c r="F53" t="n">
        <v>15</v>
      </c>
      <c r="G53" t="inlineStr">
        <is>
          <t>m</t>
        </is>
      </c>
      <c r="H53" s="3" t="n">
        <v>32611</v>
      </c>
      <c r="I53" s="3">
        <f>F53*H53</f>
        <v/>
      </c>
      <c r="J53" s="3" t="n">
        <v>106288</v>
      </c>
      <c r="K53" s="3">
        <f>F53*J53</f>
        <v/>
      </c>
      <c r="L53" s="3" t="n">
        <v>62900</v>
      </c>
      <c r="M53" s="3">
        <f>F53*L53</f>
        <v/>
      </c>
      <c r="N53" s="3">
        <f>H53+J53+L53</f>
        <v/>
      </c>
      <c r="O53" s="3">
        <f>I53+K53+M53</f>
        <v/>
      </c>
      <c r="Q53" t="inlineStr">
        <is>
          <t>Ø 300mm</t>
        </is>
      </c>
    </row>
    <row r="54" ht="24" customHeight="1" s="34">
      <c r="A54" t="inlineStr">
        <is>
          <t>06 개발행위</t>
        </is>
      </c>
      <c r="B54" t="inlineStr">
        <is>
          <t>3. A2</t>
        </is>
      </c>
      <c r="C54" t="n">
        <v>10</v>
      </c>
      <c r="D54" t="inlineStr">
        <is>
          <t>10). CEP옹벽</t>
        </is>
      </c>
      <c r="E54" s="30" t="inlineStr">
        <is>
          <t>1.5m~5.0m</t>
        </is>
      </c>
      <c r="F54" t="n">
        <v>117</v>
      </c>
      <c r="G54" t="inlineStr">
        <is>
          <t>M2</t>
        </is>
      </c>
      <c r="H54" s="3" t="n">
        <v>150000</v>
      </c>
      <c r="I54" s="3">
        <f>F54*H54</f>
        <v/>
      </c>
      <c r="J54" s="3" t="n">
        <v>150000</v>
      </c>
      <c r="K54" s="3">
        <f>F54*J54</f>
        <v/>
      </c>
      <c r="L54" t="n">
        <v>50000</v>
      </c>
      <c r="M54" s="3">
        <f>F54*L54</f>
        <v/>
      </c>
      <c r="N54" s="3">
        <f>H54+J54+L54</f>
        <v/>
      </c>
      <c r="O54" s="3">
        <f>I54+K54+M54</f>
        <v/>
      </c>
      <c r="P54" t="inlineStr">
        <is>
          <t>가영현</t>
        </is>
      </c>
      <c r="Q54" t="inlineStr">
        <is>
          <t>1.5m~5.0m</t>
        </is>
      </c>
    </row>
    <row r="55" ht="24" customHeight="1" s="34">
      <c r="A55" t="inlineStr">
        <is>
          <t>06 개발행위</t>
        </is>
      </c>
      <c r="B55" t="inlineStr">
        <is>
          <t>3. A2</t>
        </is>
      </c>
      <c r="C55" t="n">
        <v>11</v>
      </c>
      <c r="D55" t="inlineStr">
        <is>
          <t>11). CEP옹벽</t>
        </is>
      </c>
      <c r="E55" t="inlineStr">
        <is>
          <t>5.0m</t>
        </is>
      </c>
      <c r="F55" t="n">
        <v>420</v>
      </c>
      <c r="G55" t="inlineStr">
        <is>
          <t>M2</t>
        </is>
      </c>
      <c r="H55" s="3" t="n">
        <v>0</v>
      </c>
      <c r="I55" s="3">
        <f>F55*H55</f>
        <v/>
      </c>
      <c r="J55" s="3" t="n">
        <v>6858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Q55" t="inlineStr">
        <is>
          <t>5.0m</t>
        </is>
      </c>
    </row>
    <row r="56" ht="24" customHeight="1" s="34">
      <c r="A56" t="inlineStr">
        <is>
          <t>06 개발행위</t>
        </is>
      </c>
      <c r="B56" t="inlineStr">
        <is>
          <t>3. A2</t>
        </is>
      </c>
      <c r="C56" t="n">
        <v>12</v>
      </c>
      <c r="D56" t="inlineStr">
        <is>
          <t>12). 보강토옹벽</t>
        </is>
      </c>
      <c r="E56" t="inlineStr">
        <is>
          <t>H=2.2~3.0m</t>
        </is>
      </c>
      <c r="F56" t="n">
        <v>40</v>
      </c>
      <c r="G56" t="inlineStr">
        <is>
          <t>㎡</t>
        </is>
      </c>
      <c r="H56" s="3" t="n">
        <v>45000</v>
      </c>
      <c r="I56" s="3">
        <f>F56*H56</f>
        <v/>
      </c>
      <c r="J56" s="3" t="n">
        <v>50000</v>
      </c>
      <c r="K56" s="3">
        <f>F56*J56</f>
        <v/>
      </c>
      <c r="L56" s="3" t="n">
        <v>75000</v>
      </c>
      <c r="M56" s="3">
        <f>F56*L56</f>
        <v/>
      </c>
      <c r="N56" s="3">
        <f>H56+J56+L56</f>
        <v/>
      </c>
      <c r="O56" s="3">
        <f>I56+K56+M56</f>
        <v/>
      </c>
      <c r="P56" t="inlineStr">
        <is>
          <t>가영현</t>
        </is>
      </c>
      <c r="Q56" t="inlineStr">
        <is>
          <t>12). 보강토옹벽</t>
        </is>
      </c>
    </row>
    <row r="57" ht="24" customHeight="1" s="34">
      <c r="A57" t="inlineStr">
        <is>
          <t>06 개발행위</t>
        </is>
      </c>
      <c r="B57" t="inlineStr">
        <is>
          <t>3. A2</t>
        </is>
      </c>
      <c r="C57" t="n">
        <v>13</v>
      </c>
      <c r="D57" t="inlineStr">
        <is>
          <t>13). 보강토옹벽</t>
        </is>
      </c>
      <c r="E57" t="inlineStr">
        <is>
          <t>H=3.0~5.0m</t>
        </is>
      </c>
      <c r="F57" t="n">
        <v>182</v>
      </c>
      <c r="G57" t="inlineStr">
        <is>
          <t>㎡</t>
        </is>
      </c>
      <c r="H57" s="3" t="n">
        <v>45000</v>
      </c>
      <c r="I57" s="3">
        <f>F57*H57</f>
        <v/>
      </c>
      <c r="J57" s="3" t="n">
        <v>50000</v>
      </c>
      <c r="K57" s="3">
        <f>F57*J57</f>
        <v/>
      </c>
      <c r="L57" s="3" t="n">
        <v>75000</v>
      </c>
      <c r="M57" s="3">
        <f>F57*L57</f>
        <v/>
      </c>
      <c r="N57" s="3">
        <f>H57+J57+L57</f>
        <v/>
      </c>
      <c r="O57" s="3">
        <f>I57+K57+M57</f>
        <v/>
      </c>
      <c r="P57" t="inlineStr">
        <is>
          <t>가영현</t>
        </is>
      </c>
      <c r="Q57" t="inlineStr">
        <is>
          <t>13). 보강토옹벽</t>
        </is>
      </c>
    </row>
    <row r="58" ht="24" customHeight="1" s="34">
      <c r="A58" t="inlineStr">
        <is>
          <t>06 개발행위</t>
        </is>
      </c>
      <c r="B58" t="inlineStr">
        <is>
          <t>3. A2</t>
        </is>
      </c>
      <c r="C58" t="n">
        <v>14</v>
      </c>
      <c r="D58" t="inlineStr">
        <is>
          <t>14). 메쉬휀스</t>
        </is>
      </c>
      <c r="E58" t="inlineStr">
        <is>
          <t>H=1.5m</t>
        </is>
      </c>
      <c r="F58" t="n">
        <v>170</v>
      </c>
      <c r="G58" t="inlineStr">
        <is>
          <t>m</t>
        </is>
      </c>
      <c r="H58" s="3" t="n">
        <v>2290</v>
      </c>
      <c r="I58" s="3">
        <f>F58*H58</f>
        <v/>
      </c>
      <c r="J58" s="3" t="n">
        <v>40880</v>
      </c>
      <c r="K58" s="3">
        <f>F58*J58</f>
        <v/>
      </c>
      <c r="L58" s="3" t="n">
        <v>2681</v>
      </c>
      <c r="M58" s="3">
        <f>F58*L58</f>
        <v/>
      </c>
      <c r="N58" s="3">
        <f>H58+J58+L58</f>
        <v/>
      </c>
      <c r="O58" s="3">
        <f>I58+K58+M58</f>
        <v/>
      </c>
      <c r="Q58" t="inlineStr">
        <is>
          <t>H=1.5m</t>
        </is>
      </c>
    </row>
    <row r="59" ht="24" customHeight="1" s="34">
      <c r="A59" t="inlineStr">
        <is>
          <t>06 개발행위</t>
        </is>
      </c>
      <c r="B59" t="inlineStr">
        <is>
          <t>3. A2</t>
        </is>
      </c>
      <c r="C59" t="n">
        <v>15</v>
      </c>
      <c r="D59" t="inlineStr">
        <is>
          <t>12). 콘크리트포장</t>
        </is>
      </c>
      <c r="E59" t="inlineStr">
        <is>
          <t>T=20Cm</t>
        </is>
      </c>
      <c r="F59" t="n">
        <v>2823</v>
      </c>
      <c r="G59" t="inlineStr">
        <is>
          <t>㎡</t>
        </is>
      </c>
      <c r="H59" s="3" t="n">
        <v>185</v>
      </c>
      <c r="I59" s="3">
        <f>F59*H59</f>
        <v/>
      </c>
      <c r="J59" s="3" t="n">
        <v>197</v>
      </c>
      <c r="K59" s="3">
        <f>F59*J59</f>
        <v/>
      </c>
      <c r="L59" s="3" t="n">
        <v>139</v>
      </c>
      <c r="M59" s="3">
        <f>F59*L59</f>
        <v/>
      </c>
      <c r="N59" s="3">
        <f>H59+J59+L59</f>
        <v/>
      </c>
      <c r="O59" s="3">
        <f>I59+K59+M59</f>
        <v/>
      </c>
      <c r="Q59" t="inlineStr">
        <is>
          <t>T=20Cm</t>
        </is>
      </c>
    </row>
    <row r="60" ht="24" customHeight="1" s="34">
      <c r="A60" t="inlineStr">
        <is>
          <t>06 개발행위</t>
        </is>
      </c>
      <c r="B60" t="inlineStr">
        <is>
          <t>3. A2</t>
        </is>
      </c>
      <c r="C60" t="n">
        <v>16</v>
      </c>
      <c r="D60" t="inlineStr">
        <is>
          <t>13). 관목</t>
        </is>
      </c>
      <c r="E60" t="inlineStr">
        <is>
          <t>H0.3xW0.3</t>
        </is>
      </c>
      <c r="F60" t="n">
        <v>12357</v>
      </c>
      <c r="G60" t="inlineStr">
        <is>
          <t>주</t>
        </is>
      </c>
      <c r="I60" s="3">
        <f>F60*H60</f>
        <v/>
      </c>
      <c r="J60" s="3" t="n">
        <v>3797</v>
      </c>
      <c r="K60" s="3">
        <f>F60*J60</f>
        <v/>
      </c>
      <c r="M60" s="3">
        <f>F60*L60</f>
        <v/>
      </c>
      <c r="N60" s="3">
        <f>H60+J60+L60</f>
        <v/>
      </c>
      <c r="O60" s="3">
        <f>I60+K60+M60</f>
        <v/>
      </c>
      <c r="P60" t="inlineStr">
        <is>
          <t>가영현</t>
        </is>
      </c>
      <c r="Q60" t="inlineStr">
        <is>
          <t>13). 관목</t>
        </is>
      </c>
    </row>
    <row r="61" ht="24" customHeight="1" s="34">
      <c r="A61" t="inlineStr">
        <is>
          <t>06 개발행위</t>
        </is>
      </c>
      <c r="B61" t="inlineStr">
        <is>
          <t>3. A2</t>
        </is>
      </c>
      <c r="C61" t="n">
        <v>17</v>
      </c>
      <c r="D61" t="inlineStr">
        <is>
          <t>14). 법면보호공</t>
        </is>
      </c>
      <c r="E61" t="inlineStr">
        <is>
          <t>잔디붙임(줄떼)</t>
        </is>
      </c>
      <c r="F61" t="n">
        <v>1250</v>
      </c>
      <c r="G61" t="inlineStr">
        <is>
          <t>㎡</t>
        </is>
      </c>
      <c r="H61" s="3" t="n">
        <v>0</v>
      </c>
      <c r="I61" s="3">
        <f>F61*H61</f>
        <v/>
      </c>
      <c r="J61" s="3" t="n">
        <v>4699</v>
      </c>
      <c r="K61" s="3">
        <f>F61*J61</f>
        <v/>
      </c>
      <c r="L61" s="3" t="n">
        <v>0</v>
      </c>
      <c r="M61" s="3">
        <f>F61*L61</f>
        <v/>
      </c>
      <c r="N61" s="3">
        <f>H61+J61+L61</f>
        <v/>
      </c>
      <c r="O61" s="3">
        <f>I61+K61+M61</f>
        <v/>
      </c>
      <c r="Q61" t="inlineStr">
        <is>
          <t>잔디붙임(줄떼)</t>
        </is>
      </c>
    </row>
    <row r="62" ht="24" customHeight="1" s="34">
      <c r="A62" s="15" t="inlineStr">
        <is>
          <t>06 개발행위</t>
        </is>
      </c>
      <c r="B62" s="15" t="inlineStr">
        <is>
          <t>3. A2</t>
        </is>
      </c>
      <c r="C62" s="15" t="n"/>
      <c r="D62" s="15" t="inlineStr">
        <is>
          <t>★ 3. A2 소계</t>
        </is>
      </c>
      <c r="E62" s="15" t="n"/>
      <c r="F62" s="15" t="n"/>
      <c r="G62" s="15" t="n"/>
      <c r="H62" s="15" t="n"/>
      <c r="I62" s="16">
        <f>SUM(I45:I61)</f>
        <v/>
      </c>
      <c r="J62" s="15" t="n"/>
      <c r="K62" s="16">
        <f>SUM(K45:K61)</f>
        <v/>
      </c>
      <c r="L62" s="15" t="n"/>
      <c r="M62" s="16">
        <f>SUM(M45:M61)</f>
        <v/>
      </c>
      <c r="N62" s="15" t="n"/>
      <c r="O62" s="16">
        <f>SUM(O45:O61)</f>
        <v/>
      </c>
      <c r="P62" s="15" t="n"/>
      <c r="Q62" s="15" t="inlineStr">
        <is>
          <t>17건</t>
        </is>
      </c>
    </row>
    <row r="63" ht="24" customHeight="1" s="34">
      <c r="A63" t="inlineStr">
        <is>
          <t>06 개발행위</t>
        </is>
      </c>
      <c r="B63" t="inlineStr">
        <is>
          <t>4. A3</t>
        </is>
      </c>
      <c r="C63" t="n">
        <v>1</v>
      </c>
      <c r="D63" t="inlineStr">
        <is>
          <t>1). 우수 원형1호 맨홀</t>
        </is>
      </c>
      <c r="E63" t="inlineStr">
        <is>
          <t>D900</t>
        </is>
      </c>
      <c r="F63" t="n">
        <v>1</v>
      </c>
      <c r="G63" t="inlineStr">
        <is>
          <t>개소</t>
        </is>
      </c>
      <c r="H63" s="3" t="n">
        <v>0</v>
      </c>
      <c r="I63" s="3">
        <f>F63*H63</f>
        <v/>
      </c>
      <c r="J63" s="3" t="n">
        <v>71377</v>
      </c>
      <c r="K63" s="3">
        <f>F63*J63</f>
        <v/>
      </c>
      <c r="L63" s="3" t="n">
        <v>0</v>
      </c>
      <c r="M63" s="3">
        <f>F63*L63</f>
        <v/>
      </c>
      <c r="N63" s="3">
        <f>H63+J63+L63</f>
        <v/>
      </c>
      <c r="O63" s="3">
        <f>I63+K63+M63</f>
        <v/>
      </c>
      <c r="Q63" t="inlineStr">
        <is>
          <t>D900</t>
        </is>
      </c>
    </row>
    <row r="64" ht="24" customHeight="1" s="34">
      <c r="A64" t="inlineStr">
        <is>
          <t>06 개발행위</t>
        </is>
      </c>
      <c r="B64" t="inlineStr">
        <is>
          <t>4. A3</t>
        </is>
      </c>
      <c r="C64" t="n">
        <v>2</v>
      </c>
      <c r="D64" t="inlineStr">
        <is>
          <t>2). 집수정</t>
        </is>
      </c>
      <c r="E64" t="inlineStr">
        <is>
          <t>0.6x0.6,스틸그레이팅</t>
        </is>
      </c>
      <c r="F64" t="n">
        <v>3</v>
      </c>
      <c r="G64" t="inlineStr">
        <is>
          <t>개소</t>
        </is>
      </c>
      <c r="H64" s="3" t="n">
        <v>5775</v>
      </c>
      <c r="I64" s="3">
        <f>F64*H64</f>
        <v/>
      </c>
      <c r="J64" s="3" t="n">
        <v>258574</v>
      </c>
      <c r="K64" s="3">
        <f>F64*J64</f>
        <v/>
      </c>
      <c r="L64" s="3" t="n">
        <v>3583</v>
      </c>
      <c r="M64" s="3">
        <f>F64*L64</f>
        <v/>
      </c>
      <c r="N64" s="3">
        <f>H64+J64+L64</f>
        <v/>
      </c>
      <c r="O64" s="3">
        <f>I64+K64+M64</f>
        <v/>
      </c>
      <c r="Q64" t="inlineStr">
        <is>
          <t>표준DB CTC30702040S (점수0.55) / 대안: 스틸레자방음문(0.51) · 깍기부집수정(흄관)(0.51)</t>
        </is>
      </c>
    </row>
    <row r="65" ht="24" customHeight="1" s="34">
      <c r="A65" t="inlineStr">
        <is>
          <t>06 개발행위</t>
        </is>
      </c>
      <c r="B65" t="inlineStr">
        <is>
          <t>4. A3</t>
        </is>
      </c>
      <c r="C65" t="n">
        <v>3</v>
      </c>
      <c r="D65" t="inlineStr">
        <is>
          <t>3). 오수받이</t>
        </is>
      </c>
      <c r="F65" t="n">
        <v>1</v>
      </c>
      <c r="G65" t="inlineStr">
        <is>
          <t>개소</t>
        </is>
      </c>
      <c r="H65" t="n">
        <v>340000</v>
      </c>
      <c r="I65" s="3">
        <f>F65*H65</f>
        <v/>
      </c>
      <c r="J65" s="3" t="n">
        <v>75000</v>
      </c>
      <c r="K65" s="3">
        <f>F65*J65</f>
        <v/>
      </c>
      <c r="L65" t="n">
        <v>75000</v>
      </c>
      <c r="M65" s="3">
        <f>F65*L65</f>
        <v/>
      </c>
      <c r="N65" s="3">
        <f>H65+J65+L65</f>
        <v/>
      </c>
      <c r="O65" s="3">
        <f>I65+K65+M65</f>
        <v/>
      </c>
      <c r="P65" t="inlineStr">
        <is>
          <t>가영현</t>
        </is>
      </c>
      <c r="Q65" t="inlineStr">
        <is>
          <t>3). 오수받이</t>
        </is>
      </c>
    </row>
    <row r="66" ht="24" customHeight="1" s="34">
      <c r="A66" t="inlineStr">
        <is>
          <t>06 개발행위</t>
        </is>
      </c>
      <c r="B66" t="inlineStr">
        <is>
          <t>4. A3</t>
        </is>
      </c>
      <c r="C66" t="n">
        <v>4</v>
      </c>
      <c r="D66" t="inlineStr">
        <is>
          <t>4). 고강성 PVC 이중벽관 접합 및 부설</t>
        </is>
      </c>
      <c r="E66" t="inlineStr">
        <is>
          <t>D150mm, 시공조건B</t>
        </is>
      </c>
      <c r="F66" t="n">
        <v>36</v>
      </c>
      <c r="G66" t="inlineStr">
        <is>
          <t>m</t>
        </is>
      </c>
      <c r="H66" s="3" t="n">
        <v>230</v>
      </c>
      <c r="I66" s="3">
        <f>F66*H66</f>
        <v/>
      </c>
      <c r="J66" s="3" t="n">
        <v>4360</v>
      </c>
      <c r="K66" s="3">
        <f>F66*J66</f>
        <v/>
      </c>
      <c r="L66" s="3" t="n">
        <v>0</v>
      </c>
      <c r="M66" s="3">
        <f>F66*L66</f>
        <v/>
      </c>
      <c r="N66" s="3">
        <f>H66+J66+L66</f>
        <v/>
      </c>
      <c r="O66" s="3">
        <f>I66+K66+M66</f>
        <v/>
      </c>
      <c r="Q66" t="inlineStr">
        <is>
          <t>D150mm</t>
        </is>
      </c>
    </row>
    <row r="67" ht="24" customHeight="1" s="34">
      <c r="A67" t="inlineStr">
        <is>
          <t>06 개발행위</t>
        </is>
      </c>
      <c r="B67" t="inlineStr">
        <is>
          <t>4. A3</t>
        </is>
      </c>
      <c r="C67" t="n">
        <v>5</v>
      </c>
      <c r="D67" t="inlineStr">
        <is>
          <t>5). 고강성 PVC 이중벽관 접합 및 부설</t>
        </is>
      </c>
      <c r="E67" t="inlineStr">
        <is>
          <t>D450mm, 시공조건B</t>
        </is>
      </c>
      <c r="F67" t="n">
        <v>70</v>
      </c>
      <c r="G67" t="inlineStr">
        <is>
          <t>m</t>
        </is>
      </c>
      <c r="H67" s="3" t="n">
        <v>230</v>
      </c>
      <c r="I67" s="3">
        <f>F67*H67</f>
        <v/>
      </c>
      <c r="J67" s="3" t="n">
        <v>4360</v>
      </c>
      <c r="K67" s="3">
        <f>F67*J67</f>
        <v/>
      </c>
      <c r="L67" s="3" t="n">
        <v>0</v>
      </c>
      <c r="M67" s="3">
        <f>F67*L67</f>
        <v/>
      </c>
      <c r="N67" s="3">
        <f>H67+J67+L67</f>
        <v/>
      </c>
      <c r="O67" s="3">
        <f>I67+K67+M67</f>
        <v/>
      </c>
      <c r="Q67" t="inlineStr">
        <is>
          <t>부설</t>
        </is>
      </c>
    </row>
    <row r="68" ht="24" customHeight="1" s="34">
      <c r="A68" t="inlineStr">
        <is>
          <t>06 개발행위</t>
        </is>
      </c>
      <c r="B68" t="inlineStr">
        <is>
          <t>4. A3</t>
        </is>
      </c>
      <c r="C68" t="n">
        <v>6</v>
      </c>
      <c r="D68" t="inlineStr">
        <is>
          <t>6). 고강성PVC이중벽관</t>
        </is>
      </c>
      <c r="E68" t="inlineStr">
        <is>
          <t>D150mm, 직관</t>
        </is>
      </c>
      <c r="F68" t="n">
        <v>6</v>
      </c>
      <c r="G68" t="inlineStr">
        <is>
          <t>본</t>
        </is>
      </c>
      <c r="H68" s="3" t="n">
        <v>505</v>
      </c>
      <c r="I68" s="3">
        <f>F68*H68</f>
        <v/>
      </c>
      <c r="J68" s="3" t="n">
        <v>25263</v>
      </c>
      <c r="K68" s="3">
        <f>F68*J68</f>
        <v/>
      </c>
      <c r="L68" s="3" t="n">
        <v>0</v>
      </c>
      <c r="M68" s="3">
        <f>F68*L68</f>
        <v/>
      </c>
      <c r="N68" s="3">
        <f>H68+J68+L68</f>
        <v/>
      </c>
      <c r="O68" s="3">
        <f>I68+K68+M68</f>
        <v/>
      </c>
      <c r="Q68" t="inlineStr">
        <is>
          <t>표준DB CGR10100500S (점수0.55) / 대안: 내충격PVC수도관 부설 및 접(0.55) · 내충격PVC수도관 부설 및 접(0.55)</t>
        </is>
      </c>
    </row>
    <row r="69" ht="24" customHeight="1" s="34">
      <c r="A69" t="inlineStr">
        <is>
          <t>06 개발행위</t>
        </is>
      </c>
      <c r="B69" t="inlineStr">
        <is>
          <t>4. A3</t>
        </is>
      </c>
      <c r="C69" t="n">
        <v>7</v>
      </c>
      <c r="D69" t="inlineStr">
        <is>
          <t>7). 고강성PVC이중벽관</t>
        </is>
      </c>
      <c r="E69" t="inlineStr">
        <is>
          <t>D450mm, 직관</t>
        </is>
      </c>
      <c r="F69" t="n">
        <v>12</v>
      </c>
      <c r="G69" t="inlineStr">
        <is>
          <t>본</t>
        </is>
      </c>
      <c r="H69" s="3" t="n">
        <v>180000</v>
      </c>
      <c r="I69" s="3">
        <f>F69*H69</f>
        <v/>
      </c>
      <c r="J69" s="3" t="n">
        <v>25263</v>
      </c>
      <c r="K69" s="3">
        <f>F69*J69</f>
        <v/>
      </c>
      <c r="M69" s="3">
        <f>F69*L69</f>
        <v/>
      </c>
      <c r="N69" s="3">
        <f>H69+J69+L69</f>
        <v/>
      </c>
      <c r="O69" s="3">
        <f>I69+K69+M69</f>
        <v/>
      </c>
      <c r="P69" t="inlineStr">
        <is>
          <t>가영현</t>
        </is>
      </c>
      <c r="Q69" t="inlineStr">
        <is>
          <t>7). 고강성PVC이중벽관</t>
        </is>
      </c>
    </row>
    <row r="70" ht="24" customHeight="1" s="34">
      <c r="A70" t="inlineStr">
        <is>
          <t>06 개발행위</t>
        </is>
      </c>
      <c r="B70" t="inlineStr">
        <is>
          <t>4. A3</t>
        </is>
      </c>
      <c r="C70" t="n">
        <v>8</v>
      </c>
      <c r="D70" t="inlineStr">
        <is>
          <t>8). 원심력철근콘크리트관 접합및부설(소켓식)</t>
        </is>
      </c>
      <c r="E70" t="inlineStr">
        <is>
          <t>Ø 600mm, 시공조건 B</t>
        </is>
      </c>
      <c r="F70" t="n">
        <v>12</v>
      </c>
      <c r="G70" t="inlineStr">
        <is>
          <t>m</t>
        </is>
      </c>
      <c r="H70" s="3" t="n">
        <v>2339</v>
      </c>
      <c r="I70" s="3">
        <f>F70*H70</f>
        <v/>
      </c>
      <c r="J70" s="3" t="n">
        <v>19375</v>
      </c>
      <c r="K70" s="3">
        <f>F70*J70</f>
        <v/>
      </c>
      <c r="L70" s="3" t="n">
        <v>2505</v>
      </c>
      <c r="M70" s="3">
        <f>F70*L70</f>
        <v/>
      </c>
      <c r="N70" s="3">
        <f>H70+J70+L70</f>
        <v/>
      </c>
      <c r="O70" s="3">
        <f>I70+K70+M70</f>
        <v/>
      </c>
      <c r="Q70" t="inlineStr">
        <is>
          <t>소켓식</t>
        </is>
      </c>
    </row>
    <row r="71" ht="24" customHeight="1" s="34">
      <c r="A71" t="inlineStr">
        <is>
          <t>06 개발행위</t>
        </is>
      </c>
      <c r="B71" t="inlineStr">
        <is>
          <t>4. A3</t>
        </is>
      </c>
      <c r="C71" t="n">
        <v>9</v>
      </c>
      <c r="D71" t="inlineStr">
        <is>
          <t>9). 사각수로관</t>
        </is>
      </c>
      <c r="E71" t="inlineStr">
        <is>
          <t>Ø 300mm</t>
        </is>
      </c>
      <c r="F71" t="n">
        <v>8</v>
      </c>
      <c r="G71" t="inlineStr">
        <is>
          <t>m</t>
        </is>
      </c>
      <c r="H71" s="3" t="n">
        <v>32611</v>
      </c>
      <c r="I71" s="3">
        <f>F71*H71</f>
        <v/>
      </c>
      <c r="J71" s="3" t="n">
        <v>106288</v>
      </c>
      <c r="K71" s="3">
        <f>F71*J71</f>
        <v/>
      </c>
      <c r="L71" s="3" t="n">
        <v>62900</v>
      </c>
      <c r="M71" s="3">
        <f>F71*L71</f>
        <v/>
      </c>
      <c r="N71" s="3">
        <f>H71+J71+L71</f>
        <v/>
      </c>
      <c r="O71" s="3">
        <f>I71+K71+M71</f>
        <v/>
      </c>
      <c r="Q71" t="inlineStr">
        <is>
          <t>Ø 300mm</t>
        </is>
      </c>
    </row>
    <row r="72" ht="24" customHeight="1" s="34">
      <c r="A72" t="inlineStr">
        <is>
          <t>06 개발행위</t>
        </is>
      </c>
      <c r="B72" t="inlineStr">
        <is>
          <t>4. A3</t>
        </is>
      </c>
      <c r="C72" t="n">
        <v>10</v>
      </c>
      <c r="D72" t="inlineStr">
        <is>
          <t>10). 보강토옹벽</t>
        </is>
      </c>
      <c r="E72" t="inlineStr">
        <is>
          <t>H=2.2~3.4m</t>
        </is>
      </c>
      <c r="F72" t="n">
        <v>120</v>
      </c>
      <c r="G72" t="inlineStr">
        <is>
          <t>㎡</t>
        </is>
      </c>
      <c r="H72" s="3" t="n">
        <v>45000</v>
      </c>
      <c r="I72" s="3">
        <f>F72*H72</f>
        <v/>
      </c>
      <c r="J72" s="3" t="n">
        <v>50000</v>
      </c>
      <c r="K72" s="3">
        <f>F72*J72</f>
        <v/>
      </c>
      <c r="L72" s="3" t="n">
        <v>75000</v>
      </c>
      <c r="M72" s="3">
        <f>F72*L72</f>
        <v/>
      </c>
      <c r="N72" s="3">
        <f>H72+J72+L72</f>
        <v/>
      </c>
      <c r="O72" s="3">
        <f>I72+K72+M72</f>
        <v/>
      </c>
      <c r="P72" t="inlineStr">
        <is>
          <t>가영현</t>
        </is>
      </c>
      <c r="Q72" t="inlineStr">
        <is>
          <t>10). 보강토옹벽</t>
        </is>
      </c>
    </row>
    <row r="73" ht="24" customHeight="1" s="34">
      <c r="A73" t="inlineStr">
        <is>
          <t>06 개발행위</t>
        </is>
      </c>
      <c r="B73" t="inlineStr">
        <is>
          <t>4. A3</t>
        </is>
      </c>
      <c r="C73" t="n">
        <v>11</v>
      </c>
      <c r="D73" t="inlineStr">
        <is>
          <t>11). 보강토옹벽</t>
        </is>
      </c>
      <c r="E73" t="inlineStr">
        <is>
          <t>H=1.0~2.5m</t>
        </is>
      </c>
      <c r="F73" t="n">
        <v>38</v>
      </c>
      <c r="G73" t="inlineStr">
        <is>
          <t>㎡</t>
        </is>
      </c>
      <c r="H73" s="3" t="n">
        <v>1915</v>
      </c>
      <c r="I73" s="3">
        <f>F73*H73</f>
        <v/>
      </c>
      <c r="J73" s="3" t="n">
        <v>63817</v>
      </c>
      <c r="K73" s="3">
        <f>F73*J73</f>
        <v/>
      </c>
      <c r="L73" s="3" t="n">
        <v>2824</v>
      </c>
      <c r="M73" s="3">
        <f>F73*L73</f>
        <v/>
      </c>
      <c r="N73" s="3">
        <f>H73+J73+L73</f>
        <v/>
      </c>
      <c r="O73" s="3">
        <f>I73+K73+M73</f>
        <v/>
      </c>
      <c r="Q73" t="inlineStr">
        <is>
          <t>11). 보강토옹벽</t>
        </is>
      </c>
    </row>
    <row r="74" ht="24" customHeight="1" s="34">
      <c r="A74" t="inlineStr">
        <is>
          <t>06 개발행위</t>
        </is>
      </c>
      <c r="B74" t="inlineStr">
        <is>
          <t>4. A3</t>
        </is>
      </c>
      <c r="C74" t="n">
        <v>12</v>
      </c>
      <c r="D74" t="inlineStr">
        <is>
          <t>12). 보강토옹벽</t>
        </is>
      </c>
      <c r="E74" t="inlineStr">
        <is>
          <t>H=3.42~5.0m</t>
        </is>
      </c>
      <c r="F74" t="n">
        <v>175</v>
      </c>
      <c r="G74" t="inlineStr">
        <is>
          <t>㎡</t>
        </is>
      </c>
      <c r="H74" s="3" t="n">
        <v>45000</v>
      </c>
      <c r="I74" s="3">
        <f>F74*H74</f>
        <v/>
      </c>
      <c r="J74" s="3" t="n">
        <v>50000</v>
      </c>
      <c r="K74" s="3">
        <f>F74*J74</f>
        <v/>
      </c>
      <c r="L74" s="3" t="n">
        <v>75000</v>
      </c>
      <c r="M74" s="3">
        <f>F74*L74</f>
        <v/>
      </c>
      <c r="N74" s="3">
        <f>H74+J74+L74</f>
        <v/>
      </c>
      <c r="O74" s="3">
        <f>I74+K74+M74</f>
        <v/>
      </c>
      <c r="P74" t="inlineStr">
        <is>
          <t>가영현</t>
        </is>
      </c>
      <c r="Q74" t="inlineStr">
        <is>
          <t>12). 보강토옹벽</t>
        </is>
      </c>
    </row>
    <row r="75" ht="24" customHeight="1" s="34">
      <c r="A75" t="inlineStr">
        <is>
          <t>06 개발행위</t>
        </is>
      </c>
      <c r="B75" t="inlineStr">
        <is>
          <t>4. A3</t>
        </is>
      </c>
      <c r="C75" t="n">
        <v>13</v>
      </c>
      <c r="D75" t="inlineStr">
        <is>
          <t>13). 메쉬휀스</t>
        </is>
      </c>
      <c r="E75" t="inlineStr">
        <is>
          <t>H=1.5m</t>
        </is>
      </c>
      <c r="F75" t="n">
        <v>167</v>
      </c>
      <c r="G75" t="inlineStr">
        <is>
          <t>m</t>
        </is>
      </c>
      <c r="H75" s="3" t="n">
        <v>2290</v>
      </c>
      <c r="I75" s="3">
        <f>F75*H75</f>
        <v/>
      </c>
      <c r="J75" s="3" t="n">
        <v>40880</v>
      </c>
      <c r="K75" s="3">
        <f>F75*J75</f>
        <v/>
      </c>
      <c r="L75" s="3" t="n">
        <v>2681</v>
      </c>
      <c r="M75" s="3">
        <f>F75*L75</f>
        <v/>
      </c>
      <c r="N75" s="3">
        <f>H75+J75+L75</f>
        <v/>
      </c>
      <c r="O75" s="3">
        <f>I75+K75+M75</f>
        <v/>
      </c>
      <c r="Q75" t="inlineStr">
        <is>
          <t>H=1.5m</t>
        </is>
      </c>
    </row>
    <row r="76" ht="24" customHeight="1" s="34">
      <c r="A76" t="inlineStr">
        <is>
          <t>06 개발행위</t>
        </is>
      </c>
      <c r="B76" t="inlineStr">
        <is>
          <t>4. A3</t>
        </is>
      </c>
      <c r="C76" t="n">
        <v>14</v>
      </c>
      <c r="D76" t="inlineStr">
        <is>
          <t>14). 철제가드레일</t>
        </is>
      </c>
      <c r="E76" t="inlineStr">
        <is>
          <t>W3000*H910</t>
        </is>
      </c>
      <c r="F76" t="n">
        <v>24</v>
      </c>
      <c r="G76" t="inlineStr">
        <is>
          <t>경간</t>
        </is>
      </c>
      <c r="H76" t="n">
        <v>140000</v>
      </c>
      <c r="I76" s="3">
        <f>F76*H76</f>
        <v/>
      </c>
      <c r="J76" t="n">
        <v>120000</v>
      </c>
      <c r="K76" s="3">
        <f>F76*J76</f>
        <v/>
      </c>
      <c r="L76" t="n">
        <v>80000</v>
      </c>
      <c r="M76" s="3">
        <f>F76*L76</f>
        <v/>
      </c>
      <c r="N76" s="3">
        <f>H76+J76+L76</f>
        <v/>
      </c>
      <c r="O76" s="3">
        <f>I76+K76+M76</f>
        <v/>
      </c>
      <c r="P76" t="inlineStr">
        <is>
          <t>가영현</t>
        </is>
      </c>
      <c r="Q76" t="inlineStr">
        <is>
          <t>W3000*H910, ..14). 철제가드레일</t>
        </is>
      </c>
    </row>
    <row r="77" ht="24" customHeight="1" s="34">
      <c r="A77" t="inlineStr">
        <is>
          <t>06 개발행위</t>
        </is>
      </c>
      <c r="B77" t="inlineStr">
        <is>
          <t>4. A3</t>
        </is>
      </c>
      <c r="C77" t="n">
        <v>15</v>
      </c>
      <c r="D77" t="inlineStr">
        <is>
          <t>15). 콘크리트포장</t>
        </is>
      </c>
      <c r="E77" t="inlineStr">
        <is>
          <t>T=20Cm</t>
        </is>
      </c>
      <c r="F77" t="n">
        <v>1888</v>
      </c>
      <c r="G77" t="inlineStr">
        <is>
          <t>㎡</t>
        </is>
      </c>
      <c r="H77" s="3" t="n">
        <v>185</v>
      </c>
      <c r="I77" s="3">
        <f>F77*H77</f>
        <v/>
      </c>
      <c r="J77" s="3" t="n">
        <v>197</v>
      </c>
      <c r="K77" s="3">
        <f>F77*J77</f>
        <v/>
      </c>
      <c r="L77" s="3" t="n">
        <v>139</v>
      </c>
      <c r="M77" s="3">
        <f>F77*L77</f>
        <v/>
      </c>
      <c r="N77" s="3">
        <f>H77+J77+L77</f>
        <v/>
      </c>
      <c r="O77" s="3">
        <f>I77+K77+M77</f>
        <v/>
      </c>
      <c r="Q77" t="inlineStr">
        <is>
          <t>T=20Cm</t>
        </is>
      </c>
    </row>
    <row r="78" ht="24" customHeight="1" s="34">
      <c r="A78" t="inlineStr">
        <is>
          <t>06 개발행위</t>
        </is>
      </c>
      <c r="B78" t="inlineStr">
        <is>
          <t>4. A3</t>
        </is>
      </c>
      <c r="C78" t="n">
        <v>16</v>
      </c>
      <c r="D78" t="inlineStr">
        <is>
          <t>13). 관목</t>
        </is>
      </c>
      <c r="E78" t="inlineStr">
        <is>
          <t>H0.3xW0.3</t>
        </is>
      </c>
      <c r="F78" t="n">
        <v>10791</v>
      </c>
      <c r="G78" t="inlineStr">
        <is>
          <t>주</t>
        </is>
      </c>
      <c r="I78" s="3">
        <f>F78*H78</f>
        <v/>
      </c>
      <c r="J78" s="3" t="n">
        <v>3797</v>
      </c>
      <c r="K78" s="3">
        <f>F78*J78</f>
        <v/>
      </c>
      <c r="M78" s="3">
        <f>F78*L78</f>
        <v/>
      </c>
      <c r="N78" s="3">
        <f>H78+J78+L78</f>
        <v/>
      </c>
      <c r="O78" s="3">
        <f>I78+K78+M78</f>
        <v/>
      </c>
      <c r="P78" t="inlineStr">
        <is>
          <t>가영현</t>
        </is>
      </c>
      <c r="Q78" t="inlineStr">
        <is>
          <t>13). 관목</t>
        </is>
      </c>
    </row>
    <row r="79" ht="24" customHeight="1" s="34">
      <c r="A79" t="inlineStr">
        <is>
          <t>06 개발행위</t>
        </is>
      </c>
      <c r="B79" t="inlineStr">
        <is>
          <t>4. A3</t>
        </is>
      </c>
      <c r="C79" t="n">
        <v>17</v>
      </c>
      <c r="D79" t="inlineStr">
        <is>
          <t>14). 법면보호공</t>
        </is>
      </c>
      <c r="E79" t="inlineStr">
        <is>
          <t>잔디붙임(줄떼)</t>
        </is>
      </c>
      <c r="F79" t="n">
        <v>1060</v>
      </c>
      <c r="G79" t="inlineStr">
        <is>
          <t>㎡</t>
        </is>
      </c>
      <c r="H79" s="3" t="n">
        <v>0</v>
      </c>
      <c r="I79" s="3">
        <f>F79*H79</f>
        <v/>
      </c>
      <c r="J79" s="3" t="n">
        <v>4699</v>
      </c>
      <c r="K79" s="3">
        <f>F79*J79</f>
        <v/>
      </c>
      <c r="L79" s="3" t="n">
        <v>0</v>
      </c>
      <c r="M79" s="3">
        <f>F79*L79</f>
        <v/>
      </c>
      <c r="N79" s="3">
        <f>H79+J79+L79</f>
        <v/>
      </c>
      <c r="O79" s="3">
        <f>I79+K79+M79</f>
        <v/>
      </c>
      <c r="Q79" t="inlineStr">
        <is>
          <t>잔디붙임(줄떼)</t>
        </is>
      </c>
    </row>
    <row r="80" ht="24" customHeight="1" s="34">
      <c r="A80" s="15" t="inlineStr">
        <is>
          <t>06 개발행위</t>
        </is>
      </c>
      <c r="B80" s="15" t="inlineStr">
        <is>
          <t>4. A3</t>
        </is>
      </c>
      <c r="C80" s="15" t="n"/>
      <c r="D80" s="15" t="inlineStr">
        <is>
          <t>★ 4. A3 소계</t>
        </is>
      </c>
      <c r="E80" s="15" t="n"/>
      <c r="F80" s="15" t="n"/>
      <c r="G80" s="15" t="n"/>
      <c r="H80" s="15" t="n"/>
      <c r="I80" s="16">
        <f>SUM(I63:I79)</f>
        <v/>
      </c>
      <c r="J80" s="15" t="n"/>
      <c r="K80" s="16">
        <f>SUM(K63:K79)</f>
        <v/>
      </c>
      <c r="L80" s="15" t="n"/>
      <c r="M80" s="16">
        <f>SUM(M63:M79)</f>
        <v/>
      </c>
      <c r="N80" s="15" t="n"/>
      <c r="O80" s="16">
        <f>SUM(O63:O79)</f>
        <v/>
      </c>
      <c r="P80" s="15" t="n"/>
      <c r="Q80" s="15" t="inlineStr">
        <is>
          <t>17건</t>
        </is>
      </c>
    </row>
    <row r="81" ht="24" customHeight="1" s="34">
      <c r="A81" t="inlineStr">
        <is>
          <t>06 개발행위</t>
        </is>
      </c>
      <c r="B81" t="inlineStr">
        <is>
          <t>5. A4</t>
        </is>
      </c>
      <c r="C81" t="n">
        <v>1</v>
      </c>
      <c r="D81" t="inlineStr">
        <is>
          <t>1). 우수 원형1호 맨홀</t>
        </is>
      </c>
      <c r="E81" t="inlineStr">
        <is>
          <t>D900</t>
        </is>
      </c>
      <c r="F81" t="n">
        <v>1</v>
      </c>
      <c r="G81" t="inlineStr">
        <is>
          <t>개소</t>
        </is>
      </c>
      <c r="H81" s="3" t="n">
        <v>0</v>
      </c>
      <c r="I81" s="3">
        <f>F81*H81</f>
        <v/>
      </c>
      <c r="J81" s="3" t="n">
        <v>71377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Q81" t="inlineStr">
        <is>
          <t>D900</t>
        </is>
      </c>
    </row>
    <row r="82" ht="24" customHeight="1" s="34">
      <c r="A82" t="inlineStr">
        <is>
          <t>06 개발행위</t>
        </is>
      </c>
      <c r="B82" t="inlineStr">
        <is>
          <t>5. A4</t>
        </is>
      </c>
      <c r="C82" t="n">
        <v>2</v>
      </c>
      <c r="D82" t="inlineStr">
        <is>
          <t>2). 집수정</t>
        </is>
      </c>
      <c r="E82" t="inlineStr">
        <is>
          <t>0.6x0.6,스틸그레이팅</t>
        </is>
      </c>
      <c r="F82" t="n">
        <v>4</v>
      </c>
      <c r="G82" t="inlineStr">
        <is>
          <t>개소</t>
        </is>
      </c>
      <c r="H82" s="3" t="n">
        <v>5775</v>
      </c>
      <c r="I82" s="3">
        <f>F82*H82</f>
        <v/>
      </c>
      <c r="J82" s="3" t="n">
        <v>258574</v>
      </c>
      <c r="K82" s="3">
        <f>F82*J82</f>
        <v/>
      </c>
      <c r="L82" s="3" t="n">
        <v>3583</v>
      </c>
      <c r="M82" s="3">
        <f>F82*L82</f>
        <v/>
      </c>
      <c r="N82" s="3">
        <f>H82+J82+L82</f>
        <v/>
      </c>
      <c r="O82" s="3">
        <f>I82+K82+M82</f>
        <v/>
      </c>
      <c r="Q82" t="inlineStr">
        <is>
          <t>표준DB CTC30702040S (점수0.55) / 대안: 스틸레자방음문(0.51) · 깍기부집수정(흄관)(0.51)</t>
        </is>
      </c>
    </row>
    <row r="83" ht="24" customHeight="1" s="34">
      <c r="A83" t="inlineStr">
        <is>
          <t>06 개발행위</t>
        </is>
      </c>
      <c r="B83" t="inlineStr">
        <is>
          <t>5. A4</t>
        </is>
      </c>
      <c r="C83" t="n">
        <v>3</v>
      </c>
      <c r="D83" t="inlineStr">
        <is>
          <t>3). 오수받이</t>
        </is>
      </c>
      <c r="F83" t="n">
        <v>1</v>
      </c>
      <c r="G83" t="inlineStr">
        <is>
          <t>개소</t>
        </is>
      </c>
      <c r="H83" t="n">
        <v>340000</v>
      </c>
      <c r="I83" s="3">
        <f>F83*H83</f>
        <v/>
      </c>
      <c r="J83" s="3" t="n">
        <v>75000</v>
      </c>
      <c r="K83" s="3">
        <f>F83*J83</f>
        <v/>
      </c>
      <c r="L83" t="n">
        <v>75000</v>
      </c>
      <c r="M83" s="3">
        <f>F83*L83</f>
        <v/>
      </c>
      <c r="N83" s="3">
        <f>H83+J83+L83</f>
        <v/>
      </c>
      <c r="O83" s="3">
        <f>I83+K83+M83</f>
        <v/>
      </c>
      <c r="P83" t="inlineStr">
        <is>
          <t>가영현</t>
        </is>
      </c>
      <c r="Q83" t="inlineStr">
        <is>
          <t>3). 오수받이</t>
        </is>
      </c>
    </row>
    <row r="84" ht="24" customHeight="1" s="34">
      <c r="A84" t="inlineStr">
        <is>
          <t>06 개발행위</t>
        </is>
      </c>
      <c r="B84" t="inlineStr">
        <is>
          <t>5. A4</t>
        </is>
      </c>
      <c r="C84" t="n">
        <v>4</v>
      </c>
      <c r="D84" t="inlineStr">
        <is>
          <t>4). 고강성 PVC 이중벽관 접합 및 부설</t>
        </is>
      </c>
      <c r="E84" t="inlineStr">
        <is>
          <t>D150mm, 시공조건B</t>
        </is>
      </c>
      <c r="F84" t="n">
        <v>20</v>
      </c>
      <c r="G84" t="inlineStr">
        <is>
          <t>m</t>
        </is>
      </c>
      <c r="H84" s="3" t="n">
        <v>230</v>
      </c>
      <c r="I84" s="3">
        <f>F84*H84</f>
        <v/>
      </c>
      <c r="J84" s="3" t="n">
        <v>4360</v>
      </c>
      <c r="K84" s="3">
        <f>F84*J84</f>
        <v/>
      </c>
      <c r="L84" s="3" t="n">
        <v>0</v>
      </c>
      <c r="M84" s="3">
        <f>F84*L84</f>
        <v/>
      </c>
      <c r="N84" s="3">
        <f>H84+J84+L84</f>
        <v/>
      </c>
      <c r="O84" s="3">
        <f>I84+K84+M84</f>
        <v/>
      </c>
      <c r="Q84" t="inlineStr">
        <is>
          <t>D150mm</t>
        </is>
      </c>
    </row>
    <row r="85" ht="24" customHeight="1" s="34">
      <c r="A85" t="inlineStr">
        <is>
          <t>06 개발행위</t>
        </is>
      </c>
      <c r="B85" t="inlineStr">
        <is>
          <t>5. A4</t>
        </is>
      </c>
      <c r="C85" t="n">
        <v>5</v>
      </c>
      <c r="D85" t="inlineStr">
        <is>
          <t>5). 고강성 PVC 이중벽관 접합 및 부설</t>
        </is>
      </c>
      <c r="E85" t="inlineStr">
        <is>
          <t>D450mm, 시공조건B</t>
        </is>
      </c>
      <c r="F85" t="n">
        <v>85</v>
      </c>
      <c r="G85" t="inlineStr">
        <is>
          <t>m</t>
        </is>
      </c>
      <c r="H85" s="3" t="n">
        <v>230</v>
      </c>
      <c r="I85" s="3">
        <f>F85*H85</f>
        <v/>
      </c>
      <c r="J85" s="3" t="n">
        <v>4360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Q85" t="inlineStr">
        <is>
          <t>부설</t>
        </is>
      </c>
    </row>
    <row r="86" ht="24" customHeight="1" s="34">
      <c r="A86" t="inlineStr">
        <is>
          <t>06 개발행위</t>
        </is>
      </c>
      <c r="B86" t="inlineStr">
        <is>
          <t>5. A4</t>
        </is>
      </c>
      <c r="C86" t="n">
        <v>6</v>
      </c>
      <c r="D86" t="inlineStr">
        <is>
          <t>6). 고강성PVC이중벽관</t>
        </is>
      </c>
      <c r="E86" t="inlineStr">
        <is>
          <t>D150mm, 직관</t>
        </is>
      </c>
      <c r="F86" t="n">
        <v>4</v>
      </c>
      <c r="G86" t="inlineStr">
        <is>
          <t>본</t>
        </is>
      </c>
      <c r="H86" s="3" t="n">
        <v>505</v>
      </c>
      <c r="I86" s="3">
        <f>F86*H86</f>
        <v/>
      </c>
      <c r="J86" s="3" t="n">
        <v>25263</v>
      </c>
      <c r="K86" s="3">
        <f>F86*J86</f>
        <v/>
      </c>
      <c r="L86" s="3" t="n">
        <v>0</v>
      </c>
      <c r="M86" s="3">
        <f>F86*L86</f>
        <v/>
      </c>
      <c r="N86" s="3">
        <f>H86+J86+L86</f>
        <v/>
      </c>
      <c r="O86" s="3">
        <f>I86+K86+M86</f>
        <v/>
      </c>
      <c r="Q86" t="inlineStr">
        <is>
          <t>표준DB CGR10100500S (점수0.55) / 대안: 내충격PVC수도관 부설 및 접(0.55) · 내충격PVC수도관 부설 및 접(0.55)</t>
        </is>
      </c>
    </row>
    <row r="87" ht="24" customHeight="1" s="34">
      <c r="A87" t="inlineStr">
        <is>
          <t>06 개발행위</t>
        </is>
      </c>
      <c r="B87" t="inlineStr">
        <is>
          <t>5. A4</t>
        </is>
      </c>
      <c r="C87" t="n">
        <v>7</v>
      </c>
      <c r="D87" t="inlineStr">
        <is>
          <t>7). 고강성PVC이중벽관</t>
        </is>
      </c>
      <c r="E87" t="inlineStr">
        <is>
          <t>D450mm, 직관</t>
        </is>
      </c>
      <c r="F87" t="n">
        <v>15</v>
      </c>
      <c r="G87" t="inlineStr">
        <is>
          <t>본</t>
        </is>
      </c>
      <c r="H87" s="3" t="n">
        <v>180000</v>
      </c>
      <c r="I87" s="3">
        <f>F87*H87</f>
        <v/>
      </c>
      <c r="J87" s="3" t="n">
        <v>25263</v>
      </c>
      <c r="K87" s="3">
        <f>F87*J87</f>
        <v/>
      </c>
      <c r="M87" s="3">
        <f>F87*L87</f>
        <v/>
      </c>
      <c r="N87" s="3">
        <f>H87+J87+L87</f>
        <v/>
      </c>
      <c r="O87" s="3">
        <f>I87+K87+M87</f>
        <v/>
      </c>
      <c r="P87" t="inlineStr">
        <is>
          <t>가영현</t>
        </is>
      </c>
      <c r="Q87" t="inlineStr">
        <is>
          <t>7). 고강성PVC이중벽관</t>
        </is>
      </c>
    </row>
    <row r="88" ht="24" customHeight="1" s="34">
      <c r="A88" t="inlineStr">
        <is>
          <t>06 개발행위</t>
        </is>
      </c>
      <c r="B88" t="inlineStr">
        <is>
          <t>5. A4</t>
        </is>
      </c>
      <c r="C88" t="n">
        <v>8</v>
      </c>
      <c r="D88" t="inlineStr">
        <is>
          <t>8). 원심력철근콘크리트관 접합및부설(소켓식)</t>
        </is>
      </c>
      <c r="E88" t="inlineStr">
        <is>
          <t>Ø 600mm, 시공조건 B</t>
        </is>
      </c>
      <c r="F88" t="n">
        <v>13</v>
      </c>
      <c r="G88" t="inlineStr">
        <is>
          <t>m</t>
        </is>
      </c>
      <c r="H88" s="3" t="n">
        <v>2339</v>
      </c>
      <c r="I88" s="3">
        <f>F88*H88</f>
        <v/>
      </c>
      <c r="J88" s="3" t="n">
        <v>19375</v>
      </c>
      <c r="K88" s="3">
        <f>F88*J88</f>
        <v/>
      </c>
      <c r="L88" s="3" t="n">
        <v>2505</v>
      </c>
      <c r="M88" s="3">
        <f>F88*L88</f>
        <v/>
      </c>
      <c r="N88" s="3">
        <f>H88+J88+L88</f>
        <v/>
      </c>
      <c r="O88" s="3">
        <f>I88+K88+M88</f>
        <v/>
      </c>
      <c r="Q88" t="inlineStr">
        <is>
          <t>소켓식</t>
        </is>
      </c>
    </row>
    <row r="89" ht="24" customHeight="1" s="34">
      <c r="A89" t="inlineStr">
        <is>
          <t>06 개발행위</t>
        </is>
      </c>
      <c r="B89" t="inlineStr">
        <is>
          <t>5. A4</t>
        </is>
      </c>
      <c r="C89" t="n">
        <v>9</v>
      </c>
      <c r="D89" t="inlineStr">
        <is>
          <t>9). 사각수로관</t>
        </is>
      </c>
      <c r="E89" t="inlineStr">
        <is>
          <t>Ø 300mm</t>
        </is>
      </c>
      <c r="F89" t="n">
        <v>8</v>
      </c>
      <c r="G89" t="inlineStr">
        <is>
          <t>m</t>
        </is>
      </c>
      <c r="H89" s="3" t="n">
        <v>32611</v>
      </c>
      <c r="I89" s="3">
        <f>F89*H89</f>
        <v/>
      </c>
      <c r="J89" s="3" t="n">
        <v>106288</v>
      </c>
      <c r="K89" s="3">
        <f>F89*J89</f>
        <v/>
      </c>
      <c r="L89" s="3" t="n">
        <v>62900</v>
      </c>
      <c r="M89" s="3">
        <f>F89*L89</f>
        <v/>
      </c>
      <c r="N89" s="3">
        <f>H89+J89+L89</f>
        <v/>
      </c>
      <c r="O89" s="3">
        <f>I89+K89+M89</f>
        <v/>
      </c>
      <c r="Q89" t="inlineStr">
        <is>
          <t>Ø 300mm</t>
        </is>
      </c>
    </row>
    <row r="90" ht="24" customHeight="1" s="34">
      <c r="A90" t="inlineStr">
        <is>
          <t>06 개발행위</t>
        </is>
      </c>
      <c r="B90" t="inlineStr">
        <is>
          <t>5. A4</t>
        </is>
      </c>
      <c r="C90" t="n">
        <v>10</v>
      </c>
      <c r="D90" t="inlineStr">
        <is>
          <t>10). 보강토옹벽</t>
        </is>
      </c>
      <c r="E90" t="inlineStr">
        <is>
          <t>H=3.5~5.0m</t>
        </is>
      </c>
      <c r="F90" t="n">
        <v>276</v>
      </c>
      <c r="G90" t="inlineStr">
        <is>
          <t>㎡</t>
        </is>
      </c>
      <c r="H90" s="3" t="n">
        <v>45000</v>
      </c>
      <c r="I90" s="3">
        <f>F90*H90</f>
        <v/>
      </c>
      <c r="J90" s="3" t="n">
        <v>50000</v>
      </c>
      <c r="K90" s="3">
        <f>F90*J90</f>
        <v/>
      </c>
      <c r="L90" s="3" t="n">
        <v>75000</v>
      </c>
      <c r="M90" s="3">
        <f>F90*L90</f>
        <v/>
      </c>
      <c r="N90" s="3">
        <f>H90+J90+L90</f>
        <v/>
      </c>
      <c r="O90" s="3">
        <f>I90+K90+M90</f>
        <v/>
      </c>
      <c r="P90" t="inlineStr">
        <is>
          <t>가영현</t>
        </is>
      </c>
      <c r="Q90" t="inlineStr">
        <is>
          <t>10). 보강토옹벽</t>
        </is>
      </c>
    </row>
    <row r="91" ht="24" customHeight="1" s="34">
      <c r="A91" t="inlineStr">
        <is>
          <t>06 개발행위</t>
        </is>
      </c>
      <c r="B91" t="inlineStr">
        <is>
          <t>5. A4</t>
        </is>
      </c>
      <c r="C91" t="n">
        <v>11</v>
      </c>
      <c r="D91" t="inlineStr">
        <is>
          <t>11). 메쉬휀스</t>
        </is>
      </c>
      <c r="E91" t="inlineStr">
        <is>
          <t>H=1.5m</t>
        </is>
      </c>
      <c r="F91" t="n">
        <v>200</v>
      </c>
      <c r="G91" t="inlineStr">
        <is>
          <t>m</t>
        </is>
      </c>
      <c r="H91" s="3" t="n">
        <v>2290</v>
      </c>
      <c r="I91" s="3">
        <f>F91*H91</f>
        <v/>
      </c>
      <c r="J91" s="3" t="n">
        <v>40880</v>
      </c>
      <c r="K91" s="3">
        <f>F91*J91</f>
        <v/>
      </c>
      <c r="L91" s="3" t="n">
        <v>2681</v>
      </c>
      <c r="M91" s="3">
        <f>F91*L91</f>
        <v/>
      </c>
      <c r="N91" s="3">
        <f>H91+J91+L91</f>
        <v/>
      </c>
      <c r="O91" s="3">
        <f>I91+K91+M91</f>
        <v/>
      </c>
      <c r="Q91" t="inlineStr">
        <is>
          <t>H=1.5m</t>
        </is>
      </c>
    </row>
    <row r="92" ht="24" customHeight="1" s="34">
      <c r="A92" t="inlineStr">
        <is>
          <t>06 개발행위</t>
        </is>
      </c>
      <c r="B92" t="inlineStr">
        <is>
          <t>5. A4</t>
        </is>
      </c>
      <c r="C92" t="n">
        <v>12</v>
      </c>
      <c r="D92" t="inlineStr">
        <is>
          <t>12). 철제가드레일</t>
        </is>
      </c>
      <c r="E92" t="inlineStr">
        <is>
          <t>W3000*H910</t>
        </is>
      </c>
      <c r="F92" t="n">
        <v>17</v>
      </c>
      <c r="G92" t="inlineStr">
        <is>
          <t>경간</t>
        </is>
      </c>
      <c r="H92" t="n">
        <v>140000</v>
      </c>
      <c r="I92" s="3">
        <f>F92*H92</f>
        <v/>
      </c>
      <c r="J92" t="n">
        <v>120000</v>
      </c>
      <c r="K92" s="3">
        <f>F92*J92</f>
        <v/>
      </c>
      <c r="L92" t="n">
        <v>80000</v>
      </c>
      <c r="M92" s="3">
        <f>F92*L92</f>
        <v/>
      </c>
      <c r="N92" s="3">
        <f>H92+J92+L92</f>
        <v/>
      </c>
      <c r="O92" s="3">
        <f>I92+K92+M92</f>
        <v/>
      </c>
      <c r="P92" t="inlineStr">
        <is>
          <t>가영현</t>
        </is>
      </c>
      <c r="Q92" t="inlineStr">
        <is>
          <t>W3000*H910, ..12). 철제가드레일</t>
        </is>
      </c>
    </row>
    <row r="93" ht="24" customHeight="1" s="34">
      <c r="A93" t="inlineStr">
        <is>
          <t>06 개발행위</t>
        </is>
      </c>
      <c r="B93" t="inlineStr">
        <is>
          <t>5. A4</t>
        </is>
      </c>
      <c r="C93" t="n">
        <v>13</v>
      </c>
      <c r="D93" t="inlineStr">
        <is>
          <t>13). 콘크리트포장</t>
        </is>
      </c>
      <c r="E93" t="inlineStr">
        <is>
          <t>T=20Cm</t>
        </is>
      </c>
      <c r="F93" t="n">
        <v>1855</v>
      </c>
      <c r="G93" t="inlineStr">
        <is>
          <t>㎡</t>
        </is>
      </c>
      <c r="H93" s="3" t="n">
        <v>185</v>
      </c>
      <c r="I93" s="3">
        <f>F93*H93</f>
        <v/>
      </c>
      <c r="J93" s="3" t="n">
        <v>197</v>
      </c>
      <c r="K93" s="3">
        <f>F93*J93</f>
        <v/>
      </c>
      <c r="L93" s="3" t="n">
        <v>139</v>
      </c>
      <c r="M93" s="3">
        <f>F93*L93</f>
        <v/>
      </c>
      <c r="N93" s="3">
        <f>H93+J93+L93</f>
        <v/>
      </c>
      <c r="O93" s="3">
        <f>I93+K93+M93</f>
        <v/>
      </c>
      <c r="Q93" t="inlineStr">
        <is>
          <t>T=20Cm</t>
        </is>
      </c>
    </row>
    <row r="94" ht="24" customHeight="1" s="34">
      <c r="A94" t="inlineStr">
        <is>
          <t>06 개발행위</t>
        </is>
      </c>
      <c r="B94" t="inlineStr">
        <is>
          <t>5. A4</t>
        </is>
      </c>
      <c r="C94" t="n">
        <v>14</v>
      </c>
      <c r="D94" t="inlineStr">
        <is>
          <t>14). 관목</t>
        </is>
      </c>
      <c r="E94" t="inlineStr">
        <is>
          <t>H0.3xW0.3</t>
        </is>
      </c>
      <c r="F94" t="n">
        <v>7038</v>
      </c>
      <c r="G94" t="inlineStr">
        <is>
          <t>주</t>
        </is>
      </c>
      <c r="I94" s="3">
        <f>F94*H94</f>
        <v/>
      </c>
      <c r="J94" s="3" t="n">
        <v>3797</v>
      </c>
      <c r="K94" s="3">
        <f>F94*J94</f>
        <v/>
      </c>
      <c r="M94" s="3">
        <f>F94*L94</f>
        <v/>
      </c>
      <c r="N94" s="3">
        <f>H94+J94+L94</f>
        <v/>
      </c>
      <c r="O94" s="3">
        <f>I94+K94+M94</f>
        <v/>
      </c>
      <c r="P94" t="inlineStr">
        <is>
          <t>가영현</t>
        </is>
      </c>
      <c r="Q94" t="inlineStr">
        <is>
          <t>14). 관목</t>
        </is>
      </c>
    </row>
    <row r="95" ht="24" customHeight="1" s="34">
      <c r="A95" t="inlineStr">
        <is>
          <t>06 개발행위</t>
        </is>
      </c>
      <c r="B95" t="inlineStr">
        <is>
          <t>5. A4</t>
        </is>
      </c>
      <c r="C95" t="n">
        <v>15</v>
      </c>
      <c r="D95" t="inlineStr">
        <is>
          <t>15). 법면보호공</t>
        </is>
      </c>
      <c r="E95" t="inlineStr">
        <is>
          <t>잔디붙임(줄떼)</t>
        </is>
      </c>
      <c r="F95" t="n">
        <v>710</v>
      </c>
      <c r="G95" t="inlineStr">
        <is>
          <t>㎡</t>
        </is>
      </c>
      <c r="H95" s="3" t="n">
        <v>0</v>
      </c>
      <c r="I95" s="3">
        <f>F95*H95</f>
        <v/>
      </c>
      <c r="J95" s="3" t="n">
        <v>4699</v>
      </c>
      <c r="K95" s="3">
        <f>F95*J95</f>
        <v/>
      </c>
      <c r="L95" s="3" t="n">
        <v>0</v>
      </c>
      <c r="M95" s="3">
        <f>F95*L95</f>
        <v/>
      </c>
      <c r="N95" s="3">
        <f>H95+J95+L95</f>
        <v/>
      </c>
      <c r="O95" s="3">
        <f>I95+K95+M95</f>
        <v/>
      </c>
      <c r="Q95" t="inlineStr">
        <is>
          <t>잔디붙임(줄떼)</t>
        </is>
      </c>
    </row>
    <row r="96" ht="24" customHeight="1" s="34">
      <c r="A96" s="15" t="inlineStr">
        <is>
          <t>06 개발행위</t>
        </is>
      </c>
      <c r="B96" s="15" t="inlineStr">
        <is>
          <t>5. A4</t>
        </is>
      </c>
      <c r="C96" s="15" t="n"/>
      <c r="D96" s="15" t="inlineStr">
        <is>
          <t>★ 5. A4 소계</t>
        </is>
      </c>
      <c r="E96" s="15" t="n"/>
      <c r="F96" s="15" t="n"/>
      <c r="G96" s="15" t="n"/>
      <c r="H96" s="15" t="n"/>
      <c r="I96" s="16">
        <f>SUM(I81:I95)</f>
        <v/>
      </c>
      <c r="J96" s="15" t="n"/>
      <c r="K96" s="16">
        <f>SUM(K81:K95)</f>
        <v/>
      </c>
      <c r="L96" s="15" t="n"/>
      <c r="M96" s="16">
        <f>SUM(M81:M95)</f>
        <v/>
      </c>
      <c r="N96" s="15" t="n"/>
      <c r="O96" s="16">
        <f>SUM(O81:O95)</f>
        <v/>
      </c>
      <c r="P96" s="15" t="n"/>
      <c r="Q96" s="15" t="inlineStr">
        <is>
          <t>15건</t>
        </is>
      </c>
    </row>
    <row r="97" ht="24" customHeight="1" s="34">
      <c r="A97" t="inlineStr">
        <is>
          <t>06 개발행위</t>
        </is>
      </c>
      <c r="B97" t="inlineStr">
        <is>
          <t>6. A5</t>
        </is>
      </c>
      <c r="C97" t="n">
        <v>1</v>
      </c>
      <c r="D97" t="inlineStr">
        <is>
          <t>1). 우수 원형1호 맨홀</t>
        </is>
      </c>
      <c r="E97" t="inlineStr">
        <is>
          <t>D900</t>
        </is>
      </c>
      <c r="F97" t="n">
        <v>1</v>
      </c>
      <c r="G97" t="inlineStr">
        <is>
          <t>개소</t>
        </is>
      </c>
      <c r="H97" s="3" t="n">
        <v>0</v>
      </c>
      <c r="I97" s="3">
        <f>F97*H97</f>
        <v/>
      </c>
      <c r="J97" s="3" t="n">
        <v>71377</v>
      </c>
      <c r="K97" s="3">
        <f>F97*J97</f>
        <v/>
      </c>
      <c r="L97" s="3" t="n">
        <v>0</v>
      </c>
      <c r="M97" s="3">
        <f>F97*L97</f>
        <v/>
      </c>
      <c r="N97" s="3">
        <f>H97+J97+L97</f>
        <v/>
      </c>
      <c r="O97" s="3">
        <f>I97+K97+M97</f>
        <v/>
      </c>
      <c r="Q97" t="inlineStr">
        <is>
          <t>D900</t>
        </is>
      </c>
    </row>
    <row r="98" ht="24" customHeight="1" s="34">
      <c r="A98" t="inlineStr">
        <is>
          <t>06 개발행위</t>
        </is>
      </c>
      <c r="B98" t="inlineStr">
        <is>
          <t>6. A5</t>
        </is>
      </c>
      <c r="C98" t="n">
        <v>2</v>
      </c>
      <c r="D98" t="inlineStr">
        <is>
          <t>2). 집수정</t>
        </is>
      </c>
      <c r="E98" t="inlineStr">
        <is>
          <t>0.6x0.6,스틸그레이팅</t>
        </is>
      </c>
      <c r="F98" t="n">
        <v>3</v>
      </c>
      <c r="G98" t="inlineStr">
        <is>
          <t>개소</t>
        </is>
      </c>
      <c r="H98" s="3" t="n">
        <v>5775</v>
      </c>
      <c r="I98" s="3">
        <f>F98*H98</f>
        <v/>
      </c>
      <c r="J98" s="3" t="n">
        <v>258574</v>
      </c>
      <c r="K98" s="3">
        <f>F98*J98</f>
        <v/>
      </c>
      <c r="L98" s="3" t="n">
        <v>3583</v>
      </c>
      <c r="M98" s="3">
        <f>F98*L98</f>
        <v/>
      </c>
      <c r="N98" s="3">
        <f>H98+J98+L98</f>
        <v/>
      </c>
      <c r="O98" s="3">
        <f>I98+K98+M98</f>
        <v/>
      </c>
      <c r="Q98" t="inlineStr">
        <is>
          <t>표준DB CTC30702040S (점수0.55) / 대안: 스틸레자방음문(0.51) · 깍기부집수정(흄관)(0.51)</t>
        </is>
      </c>
    </row>
    <row r="99" ht="24" customHeight="1" s="34">
      <c r="A99" t="inlineStr">
        <is>
          <t>06 개발행위</t>
        </is>
      </c>
      <c r="B99" t="inlineStr">
        <is>
          <t>6. A5</t>
        </is>
      </c>
      <c r="C99" t="n">
        <v>3</v>
      </c>
      <c r="D99" t="inlineStr">
        <is>
          <t>3). 오수받이</t>
        </is>
      </c>
      <c r="F99" t="n">
        <v>1</v>
      </c>
      <c r="G99" t="inlineStr">
        <is>
          <t>개소</t>
        </is>
      </c>
      <c r="I99" s="3">
        <f>F99*H99</f>
        <v/>
      </c>
      <c r="J99" s="3" t="n">
        <v>23273</v>
      </c>
      <c r="K99" s="3">
        <f>F99*J99</f>
        <v/>
      </c>
      <c r="M99" s="3">
        <f>F99*L99</f>
        <v/>
      </c>
      <c r="N99" s="3">
        <f>H99+J99+L99</f>
        <v/>
      </c>
      <c r="O99" s="3">
        <f>I99+K99+M99</f>
        <v/>
      </c>
      <c r="P99" t="inlineStr">
        <is>
          <t>가영현</t>
        </is>
      </c>
      <c r="Q99" t="inlineStr">
        <is>
          <t>3). 오수받이</t>
        </is>
      </c>
    </row>
    <row r="100" ht="24" customHeight="1" s="34">
      <c r="A100" t="inlineStr">
        <is>
          <t>06 개발행위</t>
        </is>
      </c>
      <c r="B100" t="inlineStr">
        <is>
          <t>6. A5</t>
        </is>
      </c>
      <c r="C100" t="n">
        <v>4</v>
      </c>
      <c r="D100" t="inlineStr">
        <is>
          <t>4). 고강성 PVC 이중벽관 접합 및 부설</t>
        </is>
      </c>
      <c r="E100" t="inlineStr">
        <is>
          <t>D150mm, 시공조건B</t>
        </is>
      </c>
      <c r="F100" t="n">
        <v>15</v>
      </c>
      <c r="G100" t="inlineStr">
        <is>
          <t>m</t>
        </is>
      </c>
      <c r="H100" s="3" t="n">
        <v>230</v>
      </c>
      <c r="I100" s="3">
        <f>F100*H100</f>
        <v/>
      </c>
      <c r="J100" s="3" t="n">
        <v>4360</v>
      </c>
      <c r="K100" s="3">
        <f>F100*J100</f>
        <v/>
      </c>
      <c r="L100" s="3" t="n">
        <v>0</v>
      </c>
      <c r="M100" s="3">
        <f>F100*L100</f>
        <v/>
      </c>
      <c r="N100" s="3">
        <f>H100+J100+L100</f>
        <v/>
      </c>
      <c r="O100" s="3">
        <f>I100+K100+M100</f>
        <v/>
      </c>
      <c r="Q100" t="inlineStr">
        <is>
          <t>D150mm</t>
        </is>
      </c>
    </row>
    <row r="101" ht="24" customHeight="1" s="34">
      <c r="A101" t="inlineStr">
        <is>
          <t>06 개발행위</t>
        </is>
      </c>
      <c r="B101" t="inlineStr">
        <is>
          <t>6. A5</t>
        </is>
      </c>
      <c r="C101" t="n">
        <v>5</v>
      </c>
      <c r="D101" t="inlineStr">
        <is>
          <t>5). 고강성 PVC 이중벽관 접합 및 부설</t>
        </is>
      </c>
      <c r="E101" t="inlineStr">
        <is>
          <t>D450mm, 시공조건B</t>
        </is>
      </c>
      <c r="F101" t="n">
        <v>72</v>
      </c>
      <c r="G101" t="inlineStr">
        <is>
          <t>m</t>
        </is>
      </c>
      <c r="H101" s="3" t="n">
        <v>230</v>
      </c>
      <c r="I101" s="3">
        <f>F101*H101</f>
        <v/>
      </c>
      <c r="J101" s="3" t="n">
        <v>4360</v>
      </c>
      <c r="K101" s="3">
        <f>F101*J101</f>
        <v/>
      </c>
      <c r="L101" s="3" t="n">
        <v>0</v>
      </c>
      <c r="M101" s="3">
        <f>F101*L101</f>
        <v/>
      </c>
      <c r="N101" s="3">
        <f>H101+J101+L101</f>
        <v/>
      </c>
      <c r="O101" s="3">
        <f>I101+K101+M101</f>
        <v/>
      </c>
      <c r="Q101" t="inlineStr">
        <is>
          <t>부설</t>
        </is>
      </c>
    </row>
    <row r="102" ht="24" customHeight="1" s="34">
      <c r="A102" t="inlineStr">
        <is>
          <t>06 개발행위</t>
        </is>
      </c>
      <c r="B102" t="inlineStr">
        <is>
          <t>6. A5</t>
        </is>
      </c>
      <c r="C102" t="n">
        <v>6</v>
      </c>
      <c r="D102" t="inlineStr">
        <is>
          <t>6). 고강성PVC이중벽관</t>
        </is>
      </c>
      <c r="E102" t="inlineStr">
        <is>
          <t>D150mm, 직관</t>
        </is>
      </c>
      <c r="F102" t="n">
        <v>3</v>
      </c>
      <c r="G102" t="inlineStr">
        <is>
          <t>본</t>
        </is>
      </c>
      <c r="H102" s="3" t="n">
        <v>505</v>
      </c>
      <c r="I102" s="3">
        <f>F102*H102</f>
        <v/>
      </c>
      <c r="J102" s="3" t="n">
        <v>25263</v>
      </c>
      <c r="K102" s="3">
        <f>F102*J102</f>
        <v/>
      </c>
      <c r="L102" s="3" t="n">
        <v>0</v>
      </c>
      <c r="M102" s="3">
        <f>F102*L102</f>
        <v/>
      </c>
      <c r="N102" s="3">
        <f>H102+J102+L102</f>
        <v/>
      </c>
      <c r="O102" s="3">
        <f>I102+K102+M102</f>
        <v/>
      </c>
      <c r="Q102" t="inlineStr">
        <is>
          <t>표준DB CGR10100500S (점수0.55) / 대안: 내충격PVC수도관 부설 및 접(0.55) · 내충격PVC수도관 부설 및 접(0.55)</t>
        </is>
      </c>
    </row>
    <row r="103" ht="24" customHeight="1" s="34">
      <c r="A103" t="inlineStr">
        <is>
          <t>06 개발행위</t>
        </is>
      </c>
      <c r="B103" t="inlineStr">
        <is>
          <t>6. A5</t>
        </is>
      </c>
      <c r="C103" t="n">
        <v>7</v>
      </c>
      <c r="D103" t="inlineStr">
        <is>
          <t>7). 고강성PVC이중벽관</t>
        </is>
      </c>
      <c r="E103" t="inlineStr">
        <is>
          <t>D450mm, 직관</t>
        </is>
      </c>
      <c r="F103" t="n">
        <v>12</v>
      </c>
      <c r="G103" t="inlineStr">
        <is>
          <t>본</t>
        </is>
      </c>
      <c r="H103" s="3" t="n">
        <v>200000</v>
      </c>
      <c r="I103" s="3">
        <f>F103*H103</f>
        <v/>
      </c>
      <c r="J103" s="3" t="n">
        <v>25263</v>
      </c>
      <c r="K103" s="3">
        <f>F103*J103</f>
        <v/>
      </c>
      <c r="M103" s="3">
        <f>F103*L103</f>
        <v/>
      </c>
      <c r="N103" s="3">
        <f>H103+J103+L103</f>
        <v/>
      </c>
      <c r="O103" s="3">
        <f>I103+K103+M103</f>
        <v/>
      </c>
      <c r="P103" t="inlineStr">
        <is>
          <t>가영현</t>
        </is>
      </c>
      <c r="Q103" t="inlineStr">
        <is>
          <t>7). 고강성PVC이중벽관</t>
        </is>
      </c>
    </row>
    <row r="104" ht="24" customHeight="1" s="34">
      <c r="A104" t="inlineStr">
        <is>
          <t>06 개발행위</t>
        </is>
      </c>
      <c r="B104" t="inlineStr">
        <is>
          <t>6. A5</t>
        </is>
      </c>
      <c r="C104" t="n">
        <v>8</v>
      </c>
      <c r="D104" t="inlineStr">
        <is>
          <t>8). 원심력철근콘크리트관 접합및부설(소켓식)</t>
        </is>
      </c>
      <c r="E104" t="inlineStr">
        <is>
          <t>Ø 600mm, 시공조건 B</t>
        </is>
      </c>
      <c r="F104" t="n">
        <v>7</v>
      </c>
      <c r="G104" t="inlineStr">
        <is>
          <t>m</t>
        </is>
      </c>
      <c r="H104" s="3" t="n">
        <v>2339</v>
      </c>
      <c r="I104" s="3">
        <f>F104*H104</f>
        <v/>
      </c>
      <c r="J104" s="3" t="n">
        <v>19375</v>
      </c>
      <c r="K104" s="3">
        <f>F104*J104</f>
        <v/>
      </c>
      <c r="L104" s="3" t="n">
        <v>2505</v>
      </c>
      <c r="M104" s="3">
        <f>F104*L104</f>
        <v/>
      </c>
      <c r="N104" s="3">
        <f>H104+J104+L104</f>
        <v/>
      </c>
      <c r="O104" s="3">
        <f>I104+K104+M104</f>
        <v/>
      </c>
      <c r="Q104" t="inlineStr">
        <is>
          <t>소켓식</t>
        </is>
      </c>
    </row>
    <row r="105" ht="24" customHeight="1" s="34">
      <c r="A105" t="inlineStr">
        <is>
          <t>06 개발행위</t>
        </is>
      </c>
      <c r="B105" t="inlineStr">
        <is>
          <t>6. A5</t>
        </is>
      </c>
      <c r="C105" t="n">
        <v>9</v>
      </c>
      <c r="D105" t="inlineStr">
        <is>
          <t>9). 사각수로관</t>
        </is>
      </c>
      <c r="E105" t="inlineStr">
        <is>
          <t>Ø 300mm</t>
        </is>
      </c>
      <c r="F105" t="n">
        <v>7</v>
      </c>
      <c r="G105" t="inlineStr">
        <is>
          <t>m</t>
        </is>
      </c>
      <c r="H105" s="3" t="n">
        <v>32611</v>
      </c>
      <c r="I105" s="3">
        <f>F105*H105</f>
        <v/>
      </c>
      <c r="J105" s="3" t="n">
        <v>106288</v>
      </c>
      <c r="K105" s="3">
        <f>F105*J105</f>
        <v/>
      </c>
      <c r="L105" s="3" t="n">
        <v>62900</v>
      </c>
      <c r="M105" s="3">
        <f>F105*L105</f>
        <v/>
      </c>
      <c r="N105" s="3">
        <f>H105+J105+L105</f>
        <v/>
      </c>
      <c r="O105" s="3">
        <f>I105+K105+M105</f>
        <v/>
      </c>
      <c r="Q105" t="inlineStr">
        <is>
          <t>Ø 300mm</t>
        </is>
      </c>
    </row>
    <row r="106" ht="24" customHeight="1" s="34">
      <c r="A106" t="inlineStr">
        <is>
          <t>06 개발행위</t>
        </is>
      </c>
      <c r="B106" t="inlineStr">
        <is>
          <t>6. A5</t>
        </is>
      </c>
      <c r="C106" t="n">
        <v>10</v>
      </c>
      <c r="D106" t="inlineStr">
        <is>
          <t>10). 보강토옹벽</t>
        </is>
      </c>
      <c r="E106" t="inlineStr">
        <is>
          <t>H=2.84~4.65m</t>
        </is>
      </c>
      <c r="F106" t="n">
        <v>264</v>
      </c>
      <c r="G106" t="inlineStr">
        <is>
          <t>㎡</t>
        </is>
      </c>
      <c r="H106" s="3" t="n">
        <v>1915</v>
      </c>
      <c r="I106" s="3">
        <f>F106*H106</f>
        <v/>
      </c>
      <c r="J106" s="3" t="n">
        <v>63817</v>
      </c>
      <c r="K106" s="3">
        <f>F106*J106</f>
        <v/>
      </c>
      <c r="L106" s="3" t="n">
        <v>2824</v>
      </c>
      <c r="M106" s="3">
        <f>F106*L106</f>
        <v/>
      </c>
      <c r="N106" s="3">
        <f>H106+J106+L106</f>
        <v/>
      </c>
      <c r="O106" s="3">
        <f>I106+K106+M106</f>
        <v/>
      </c>
      <c r="Q106" t="inlineStr">
        <is>
          <t>10). 보강토옹벽</t>
        </is>
      </c>
    </row>
    <row r="107" ht="24" customHeight="1" s="34">
      <c r="A107" t="inlineStr">
        <is>
          <t>06 개발행위</t>
        </is>
      </c>
      <c r="B107" t="inlineStr">
        <is>
          <t>6. A5</t>
        </is>
      </c>
      <c r="C107" t="n">
        <v>11</v>
      </c>
      <c r="D107" t="inlineStr">
        <is>
          <t>11). 보강토옹벽</t>
        </is>
      </c>
      <c r="E107" t="inlineStr">
        <is>
          <t>H=0.4~2.84m</t>
        </is>
      </c>
      <c r="F107" t="n">
        <v>80</v>
      </c>
      <c r="G107" t="inlineStr">
        <is>
          <t>㎡</t>
        </is>
      </c>
      <c r="H107" s="3" t="n">
        <v>45000</v>
      </c>
      <c r="I107" s="3">
        <f>F107*H107</f>
        <v/>
      </c>
      <c r="J107" s="3" t="n">
        <v>50000</v>
      </c>
      <c r="K107" s="3">
        <f>F107*J107</f>
        <v/>
      </c>
      <c r="L107" s="3" t="n">
        <v>75000</v>
      </c>
      <c r="M107" s="3">
        <f>F107*L107</f>
        <v/>
      </c>
      <c r="N107" s="3">
        <f>H107+J107+L107</f>
        <v/>
      </c>
      <c r="O107" s="3">
        <f>I107+K107+M107</f>
        <v/>
      </c>
      <c r="P107" t="inlineStr">
        <is>
          <t>가영현</t>
        </is>
      </c>
      <c r="Q107" t="inlineStr">
        <is>
          <t>11). 보강토옹벽</t>
        </is>
      </c>
    </row>
    <row r="108" ht="24" customHeight="1" s="34">
      <c r="A108" t="inlineStr">
        <is>
          <t>06 개발행위</t>
        </is>
      </c>
      <c r="B108" t="inlineStr">
        <is>
          <t>6. A5</t>
        </is>
      </c>
      <c r="C108" t="n">
        <v>12</v>
      </c>
      <c r="D108" t="inlineStr">
        <is>
          <t>12). 철제가드레일</t>
        </is>
      </c>
      <c r="E108" t="inlineStr">
        <is>
          <t>W3000*H910</t>
        </is>
      </c>
      <c r="F108" t="n">
        <v>24</v>
      </c>
      <c r="G108" t="inlineStr">
        <is>
          <t>경간</t>
        </is>
      </c>
      <c r="H108" t="n">
        <v>140000</v>
      </c>
      <c r="I108" s="3">
        <f>F108*H108</f>
        <v/>
      </c>
      <c r="J108" t="n">
        <v>120000</v>
      </c>
      <c r="K108" s="3">
        <f>F108*J108</f>
        <v/>
      </c>
      <c r="L108" t="n">
        <v>80000</v>
      </c>
      <c r="M108" s="3">
        <f>F108*L108</f>
        <v/>
      </c>
      <c r="N108" s="3">
        <f>H108+J108+L108</f>
        <v/>
      </c>
      <c r="O108" s="3">
        <f>I108+K108+M108</f>
        <v/>
      </c>
      <c r="P108" t="inlineStr">
        <is>
          <t>가영현</t>
        </is>
      </c>
      <c r="Q108" t="inlineStr">
        <is>
          <t>W3000*H910, ..12). 철제가드레일</t>
        </is>
      </c>
    </row>
    <row r="109" ht="24" customHeight="1" s="34">
      <c r="A109" t="inlineStr">
        <is>
          <t>06 개발행위</t>
        </is>
      </c>
      <c r="B109" t="inlineStr">
        <is>
          <t>6. A5</t>
        </is>
      </c>
      <c r="C109" t="n">
        <v>13</v>
      </c>
      <c r="D109" t="inlineStr">
        <is>
          <t>13). 콘크리트포장</t>
        </is>
      </c>
      <c r="E109" t="inlineStr">
        <is>
          <t>T=20Cm</t>
        </is>
      </c>
      <c r="F109" t="n">
        <v>1089</v>
      </c>
      <c r="G109" t="inlineStr">
        <is>
          <t>㎡</t>
        </is>
      </c>
      <c r="H109" s="3" t="n">
        <v>185</v>
      </c>
      <c r="I109" s="3">
        <f>F109*H109</f>
        <v/>
      </c>
      <c r="J109" s="3" t="n">
        <v>197</v>
      </c>
      <c r="K109" s="3">
        <f>F109*J109</f>
        <v/>
      </c>
      <c r="L109" s="3" t="n">
        <v>139</v>
      </c>
      <c r="M109" s="3">
        <f>F109*L109</f>
        <v/>
      </c>
      <c r="N109" s="3">
        <f>H109+J109+L109</f>
        <v/>
      </c>
      <c r="O109" s="3">
        <f>I109+K109+M109</f>
        <v/>
      </c>
      <c r="Q109" t="inlineStr">
        <is>
          <t>T=20Cm</t>
        </is>
      </c>
    </row>
    <row r="110" ht="24" customHeight="1" s="34">
      <c r="A110" t="inlineStr">
        <is>
          <t>06 개발행위</t>
        </is>
      </c>
      <c r="B110" t="inlineStr">
        <is>
          <t>6. A5</t>
        </is>
      </c>
      <c r="C110" t="n">
        <v>14</v>
      </c>
      <c r="D110" t="inlineStr">
        <is>
          <t>14). 관목</t>
        </is>
      </c>
      <c r="E110" t="inlineStr">
        <is>
          <t>H0.3xW0.3</t>
        </is>
      </c>
      <c r="F110" t="n">
        <v>5382</v>
      </c>
      <c r="G110" t="inlineStr">
        <is>
          <t>주</t>
        </is>
      </c>
      <c r="I110" s="3">
        <f>F110*H110</f>
        <v/>
      </c>
      <c r="J110" s="3" t="n">
        <v>3797</v>
      </c>
      <c r="K110" s="3">
        <f>F110*J110</f>
        <v/>
      </c>
      <c r="M110" s="3">
        <f>F110*L110</f>
        <v/>
      </c>
      <c r="N110" s="3">
        <f>H110+J110+L110</f>
        <v/>
      </c>
      <c r="O110" s="3">
        <f>I110+K110+M110</f>
        <v/>
      </c>
      <c r="P110" t="inlineStr">
        <is>
          <t>가영현</t>
        </is>
      </c>
      <c r="Q110" t="inlineStr">
        <is>
          <t>14). 관목</t>
        </is>
      </c>
    </row>
    <row r="111" ht="24" customHeight="1" s="34">
      <c r="A111" t="inlineStr">
        <is>
          <t>06 개발행위</t>
        </is>
      </c>
      <c r="B111" t="inlineStr">
        <is>
          <t>6. A5</t>
        </is>
      </c>
      <c r="C111" t="n">
        <v>15</v>
      </c>
      <c r="D111" t="inlineStr">
        <is>
          <t>15). 법면보호공</t>
        </is>
      </c>
      <c r="E111" t="inlineStr">
        <is>
          <t>잔디붙임(줄떼)</t>
        </is>
      </c>
      <c r="F111" t="n">
        <v>106</v>
      </c>
      <c r="G111" t="inlineStr">
        <is>
          <t>㎡</t>
        </is>
      </c>
      <c r="H111" s="3" t="n">
        <v>0</v>
      </c>
      <c r="I111" s="3">
        <f>F111*H111</f>
        <v/>
      </c>
      <c r="J111" s="3" t="n">
        <v>4699</v>
      </c>
      <c r="K111" s="3">
        <f>F111*J111</f>
        <v/>
      </c>
      <c r="L111" s="3" t="n">
        <v>0</v>
      </c>
      <c r="M111" s="3">
        <f>F111*L111</f>
        <v/>
      </c>
      <c r="N111" s="3">
        <f>H111+J111+L111</f>
        <v/>
      </c>
      <c r="O111" s="3">
        <f>I111+K111+M111</f>
        <v/>
      </c>
      <c r="Q111" t="inlineStr">
        <is>
          <t>잔디붙임(줄떼)</t>
        </is>
      </c>
    </row>
    <row r="112" ht="24" customHeight="1" s="34">
      <c r="A112" s="15" t="inlineStr">
        <is>
          <t>06 개발행위</t>
        </is>
      </c>
      <c r="B112" s="15" t="inlineStr">
        <is>
          <t>6. A5</t>
        </is>
      </c>
      <c r="C112" s="15" t="n"/>
      <c r="D112" s="15" t="inlineStr">
        <is>
          <t>★ 6. A5 소계</t>
        </is>
      </c>
      <c r="E112" s="15" t="n"/>
      <c r="F112" s="15" t="n"/>
      <c r="G112" s="15" t="n"/>
      <c r="H112" s="15" t="n"/>
      <c r="I112" s="16">
        <f>SUM(I97:I111)</f>
        <v/>
      </c>
      <c r="J112" s="15" t="n"/>
      <c r="K112" s="16">
        <f>SUM(K97:K111)</f>
        <v/>
      </c>
      <c r="L112" s="15" t="n"/>
      <c r="M112" s="16">
        <f>SUM(M97:M111)</f>
        <v/>
      </c>
      <c r="N112" s="15" t="n"/>
      <c r="O112" s="16">
        <f>SUM(O97:O111)</f>
        <v/>
      </c>
      <c r="P112" s="15" t="n"/>
      <c r="Q112" s="15" t="inlineStr">
        <is>
          <t>15건</t>
        </is>
      </c>
    </row>
    <row r="113" ht="24" customHeight="1" s="34">
      <c r="A113" t="inlineStr">
        <is>
          <t>06 개발행위</t>
        </is>
      </c>
      <c r="B113" t="inlineStr">
        <is>
          <t>7. B1</t>
        </is>
      </c>
      <c r="C113" t="n">
        <v>1</v>
      </c>
      <c r="D113" t="inlineStr">
        <is>
          <t>1). 우수 원형1호 맨홀</t>
        </is>
      </c>
      <c r="E113" t="inlineStr">
        <is>
          <t>D900</t>
        </is>
      </c>
      <c r="F113" t="n">
        <v>1</v>
      </c>
      <c r="G113" t="inlineStr">
        <is>
          <t>개소</t>
        </is>
      </c>
      <c r="H113" s="3" t="n">
        <v>0</v>
      </c>
      <c r="I113" s="3">
        <f>F113*H113</f>
        <v/>
      </c>
      <c r="J113" s="3" t="n">
        <v>71377</v>
      </c>
      <c r="K113" s="3">
        <f>F113*J113</f>
        <v/>
      </c>
      <c r="L113" s="3" t="n">
        <v>0</v>
      </c>
      <c r="M113" s="3">
        <f>F113*L113</f>
        <v/>
      </c>
      <c r="N113" s="3">
        <f>H113+J113+L113</f>
        <v/>
      </c>
      <c r="O113" s="3">
        <f>I113+K113+M113</f>
        <v/>
      </c>
      <c r="Q113" t="inlineStr">
        <is>
          <t>D900</t>
        </is>
      </c>
    </row>
    <row r="114" ht="24" customHeight="1" s="34">
      <c r="A114" t="inlineStr">
        <is>
          <t>06 개발행위</t>
        </is>
      </c>
      <c r="B114" t="inlineStr">
        <is>
          <t>7. B1</t>
        </is>
      </c>
      <c r="C114" t="n">
        <v>2</v>
      </c>
      <c r="D114" t="inlineStr">
        <is>
          <t>2). 집수정</t>
        </is>
      </c>
      <c r="E114" t="inlineStr">
        <is>
          <t>0.6x0.6,스틸그레이팅</t>
        </is>
      </c>
      <c r="F114" t="n">
        <v>6</v>
      </c>
      <c r="G114" t="inlineStr">
        <is>
          <t>개소</t>
        </is>
      </c>
      <c r="H114" s="3" t="n">
        <v>5775</v>
      </c>
      <c r="I114" s="3">
        <f>F114*H114</f>
        <v/>
      </c>
      <c r="J114" s="3" t="n">
        <v>258574</v>
      </c>
      <c r="K114" s="3">
        <f>F114*J114</f>
        <v/>
      </c>
      <c r="L114" s="3" t="n">
        <v>3583</v>
      </c>
      <c r="M114" s="3">
        <f>F114*L114</f>
        <v/>
      </c>
      <c r="N114" s="3">
        <f>H114+J114+L114</f>
        <v/>
      </c>
      <c r="O114" s="3">
        <f>I114+K114+M114</f>
        <v/>
      </c>
      <c r="Q114" t="inlineStr">
        <is>
          <t>표준DB CTC30702040S (점수0.55) / 대안: 스틸레자방음문(0.51) · 깍기부집수정(흄관)(0.51)</t>
        </is>
      </c>
    </row>
    <row r="115" ht="24" customHeight="1" s="34">
      <c r="A115" t="inlineStr">
        <is>
          <t>06 개발행위</t>
        </is>
      </c>
      <c r="B115" t="inlineStr">
        <is>
          <t>7. B1</t>
        </is>
      </c>
      <c r="C115" t="n">
        <v>3</v>
      </c>
      <c r="D115" t="inlineStr">
        <is>
          <t>3). 오수받이</t>
        </is>
      </c>
      <c r="F115" t="n">
        <v>1</v>
      </c>
      <c r="G115" t="inlineStr">
        <is>
          <t>개소</t>
        </is>
      </c>
      <c r="H115" t="n">
        <v>340000</v>
      </c>
      <c r="I115" s="3">
        <f>F115*H115</f>
        <v/>
      </c>
      <c r="J115" s="3" t="n">
        <v>75000</v>
      </c>
      <c r="K115" s="3">
        <f>F115*J115</f>
        <v/>
      </c>
      <c r="L115" t="n">
        <v>75000</v>
      </c>
      <c r="M115" s="3">
        <f>F115*L115</f>
        <v/>
      </c>
      <c r="N115" s="3">
        <f>H115+J115+L115</f>
        <v/>
      </c>
      <c r="O115" s="3">
        <f>I115+K115+M115</f>
        <v/>
      </c>
      <c r="P115" t="inlineStr">
        <is>
          <t>가영현</t>
        </is>
      </c>
      <c r="Q115" t="inlineStr">
        <is>
          <t>3). 오수받이</t>
        </is>
      </c>
    </row>
    <row r="116" ht="24" customHeight="1" s="34">
      <c r="A116" t="inlineStr">
        <is>
          <t>06 개발행위</t>
        </is>
      </c>
      <c r="B116" t="inlineStr">
        <is>
          <t>7. B1</t>
        </is>
      </c>
      <c r="C116" t="n">
        <v>4</v>
      </c>
      <c r="D116" t="inlineStr">
        <is>
          <t>4). 고강성 PVC 이중벽관 접합 및 부설</t>
        </is>
      </c>
      <c r="E116" t="inlineStr">
        <is>
          <t>D150mm, 시공조건B</t>
        </is>
      </c>
      <c r="F116" t="n">
        <v>22</v>
      </c>
      <c r="G116" t="inlineStr">
        <is>
          <t>m</t>
        </is>
      </c>
      <c r="H116" s="3" t="n">
        <v>230</v>
      </c>
      <c r="I116" s="3">
        <f>F116*H116</f>
        <v/>
      </c>
      <c r="J116" s="3" t="n">
        <v>4360</v>
      </c>
      <c r="K116" s="3">
        <f>F116*J116</f>
        <v/>
      </c>
      <c r="L116" s="3" t="n">
        <v>0</v>
      </c>
      <c r="M116" s="3">
        <f>F116*L116</f>
        <v/>
      </c>
      <c r="N116" s="3">
        <f>H116+J116+L116</f>
        <v/>
      </c>
      <c r="O116" s="3">
        <f>I116+K116+M116</f>
        <v/>
      </c>
      <c r="Q116" t="inlineStr">
        <is>
          <t>D150mm</t>
        </is>
      </c>
    </row>
    <row r="117" ht="24" customHeight="1" s="34">
      <c r="A117" t="inlineStr">
        <is>
          <t>06 개발행위</t>
        </is>
      </c>
      <c r="B117" t="inlineStr">
        <is>
          <t>7. B1</t>
        </is>
      </c>
      <c r="C117" t="n">
        <v>5</v>
      </c>
      <c r="D117" t="inlineStr">
        <is>
          <t>5). 고강성 PVC 이중벽관 접합 및 부설</t>
        </is>
      </c>
      <c r="E117" t="inlineStr">
        <is>
          <t>D450mm, 시공조건B</t>
        </is>
      </c>
      <c r="F117" t="n">
        <v>119</v>
      </c>
      <c r="G117" t="inlineStr">
        <is>
          <t>m</t>
        </is>
      </c>
      <c r="H117" s="3" t="n">
        <v>230</v>
      </c>
      <c r="I117" s="3">
        <f>F117*H117</f>
        <v/>
      </c>
      <c r="J117" s="3" t="n">
        <v>4360</v>
      </c>
      <c r="K117" s="3">
        <f>F117*J117</f>
        <v/>
      </c>
      <c r="L117" s="3" t="n">
        <v>0</v>
      </c>
      <c r="M117" s="3">
        <f>F117*L117</f>
        <v/>
      </c>
      <c r="N117" s="3">
        <f>H117+J117+L117</f>
        <v/>
      </c>
      <c r="O117" s="3">
        <f>I117+K117+M117</f>
        <v/>
      </c>
      <c r="Q117" t="inlineStr">
        <is>
          <t>부설</t>
        </is>
      </c>
    </row>
    <row r="118" ht="24" customHeight="1" s="34">
      <c r="A118" t="inlineStr">
        <is>
          <t>06 개발행위</t>
        </is>
      </c>
      <c r="B118" t="inlineStr">
        <is>
          <t>7. B1</t>
        </is>
      </c>
      <c r="C118" t="n">
        <v>6</v>
      </c>
      <c r="D118" t="inlineStr">
        <is>
          <t>6). 고강성PVC이중벽관</t>
        </is>
      </c>
      <c r="E118" t="inlineStr">
        <is>
          <t>D150mm, 직관</t>
        </is>
      </c>
      <c r="F118" t="n">
        <v>4</v>
      </c>
      <c r="G118" t="inlineStr">
        <is>
          <t>본</t>
        </is>
      </c>
      <c r="H118" s="3" t="n">
        <v>505</v>
      </c>
      <c r="I118" s="3">
        <f>F118*H118</f>
        <v/>
      </c>
      <c r="J118" s="3" t="n">
        <v>25263</v>
      </c>
      <c r="K118" s="3">
        <f>F118*J118</f>
        <v/>
      </c>
      <c r="L118" s="3" t="n">
        <v>0</v>
      </c>
      <c r="M118" s="3">
        <f>F118*L118</f>
        <v/>
      </c>
      <c r="N118" s="3">
        <f>H118+J118+L118</f>
        <v/>
      </c>
      <c r="O118" s="3">
        <f>I118+K118+M118</f>
        <v/>
      </c>
      <c r="Q118" t="inlineStr">
        <is>
          <t>표준DB CGR10100500S (점수0.55) / 대안: 내충격PVC수도관 부설 및 접(0.55) · 내충격PVC수도관 부설 및 접(0.55)</t>
        </is>
      </c>
    </row>
    <row r="119" ht="24" customHeight="1" s="34">
      <c r="A119" t="inlineStr">
        <is>
          <t>06 개발행위</t>
        </is>
      </c>
      <c r="B119" t="inlineStr">
        <is>
          <t>7. B1</t>
        </is>
      </c>
      <c r="C119" t="n">
        <v>7</v>
      </c>
      <c r="D119" t="inlineStr">
        <is>
          <t>7). 고강성PVC이중벽관</t>
        </is>
      </c>
      <c r="E119" t="inlineStr">
        <is>
          <t>D450mm, 직관</t>
        </is>
      </c>
      <c r="F119" t="n">
        <v>20</v>
      </c>
      <c r="G119" t="inlineStr">
        <is>
          <t>본</t>
        </is>
      </c>
      <c r="H119" s="3" t="n">
        <v>200000</v>
      </c>
      <c r="I119" s="3">
        <f>F119*H119</f>
        <v/>
      </c>
      <c r="J119" s="3" t="n">
        <v>25263</v>
      </c>
      <c r="K119" s="3">
        <f>F119*J119</f>
        <v/>
      </c>
      <c r="M119" s="3">
        <f>F119*L119</f>
        <v/>
      </c>
      <c r="N119" s="3">
        <f>H119+J119+L119</f>
        <v/>
      </c>
      <c r="O119" s="3">
        <f>I119+K119+M119</f>
        <v/>
      </c>
      <c r="P119" t="inlineStr">
        <is>
          <t>가영현</t>
        </is>
      </c>
      <c r="Q119" t="inlineStr">
        <is>
          <t>7). 고강성PVC이중벽관</t>
        </is>
      </c>
    </row>
    <row r="120" ht="24" customHeight="1" s="34">
      <c r="A120" t="inlineStr">
        <is>
          <t>06 개발행위</t>
        </is>
      </c>
      <c r="B120" t="inlineStr">
        <is>
          <t>7. B1</t>
        </is>
      </c>
      <c r="C120" t="n">
        <v>8</v>
      </c>
      <c r="D120" t="inlineStr">
        <is>
          <t>8). 원심력철근콘크리트관 접합및부설(소켓식)</t>
        </is>
      </c>
      <c r="E120" t="inlineStr">
        <is>
          <t>Ø 600mm, 시공조건 B</t>
        </is>
      </c>
      <c r="F120" t="n">
        <v>12</v>
      </c>
      <c r="G120" t="inlineStr">
        <is>
          <t>m</t>
        </is>
      </c>
      <c r="H120" s="3" t="n">
        <v>2339</v>
      </c>
      <c r="I120" s="3">
        <f>F120*H120</f>
        <v/>
      </c>
      <c r="J120" s="3" t="n">
        <v>19375</v>
      </c>
      <c r="K120" s="3">
        <f>F120*J120</f>
        <v/>
      </c>
      <c r="L120" s="3" t="n">
        <v>2505</v>
      </c>
      <c r="M120" s="3">
        <f>F120*L120</f>
        <v/>
      </c>
      <c r="N120" s="3">
        <f>H120+J120+L120</f>
        <v/>
      </c>
      <c r="O120" s="3">
        <f>I120+K120+M120</f>
        <v/>
      </c>
      <c r="Q120" t="inlineStr">
        <is>
          <t>소켓식</t>
        </is>
      </c>
    </row>
    <row r="121" ht="24" customHeight="1" s="34">
      <c r="A121" t="inlineStr">
        <is>
          <t>06 개발행위</t>
        </is>
      </c>
      <c r="B121" t="inlineStr">
        <is>
          <t>7. B1</t>
        </is>
      </c>
      <c r="C121" t="n">
        <v>9</v>
      </c>
      <c r="D121" t="inlineStr">
        <is>
          <t>9). 사각수로관</t>
        </is>
      </c>
      <c r="E121" t="inlineStr">
        <is>
          <t>Ø 300mm</t>
        </is>
      </c>
      <c r="F121" t="n">
        <v>8</v>
      </c>
      <c r="G121" t="inlineStr">
        <is>
          <t>m</t>
        </is>
      </c>
      <c r="H121" s="3" t="n">
        <v>32611</v>
      </c>
      <c r="I121" s="3">
        <f>F121*H121</f>
        <v/>
      </c>
      <c r="J121" s="3" t="n">
        <v>106288</v>
      </c>
      <c r="K121" s="3">
        <f>F121*J121</f>
        <v/>
      </c>
      <c r="L121" s="3" t="n">
        <v>62900</v>
      </c>
      <c r="M121" s="3">
        <f>F121*L121</f>
        <v/>
      </c>
      <c r="N121" s="3">
        <f>H121+J121+L121</f>
        <v/>
      </c>
      <c r="O121" s="3">
        <f>I121+K121+M121</f>
        <v/>
      </c>
      <c r="Q121" t="inlineStr">
        <is>
          <t>Ø 300mm</t>
        </is>
      </c>
    </row>
    <row r="122" ht="24" customHeight="1" s="34">
      <c r="A122" t="inlineStr">
        <is>
          <t>06 개발행위</t>
        </is>
      </c>
      <c r="B122" t="inlineStr">
        <is>
          <t>7. B1</t>
        </is>
      </c>
      <c r="C122" t="n">
        <v>10</v>
      </c>
      <c r="D122" t="inlineStr">
        <is>
          <t>10). 메쉬휀스</t>
        </is>
      </c>
      <c r="E122" t="inlineStr">
        <is>
          <t>H=1.5m</t>
        </is>
      </c>
      <c r="F122" t="n">
        <v>127</v>
      </c>
      <c r="G122" t="inlineStr">
        <is>
          <t>m</t>
        </is>
      </c>
      <c r="H122" s="3" t="n">
        <v>2290</v>
      </c>
      <c r="I122" s="3">
        <f>F122*H122</f>
        <v/>
      </c>
      <c r="J122" s="3" t="n">
        <v>40880</v>
      </c>
      <c r="K122" s="3">
        <f>F122*J122</f>
        <v/>
      </c>
      <c r="L122" s="3" t="n">
        <v>2681</v>
      </c>
      <c r="M122" s="3">
        <f>F122*L122</f>
        <v/>
      </c>
      <c r="N122" s="3">
        <f>H122+J122+L122</f>
        <v/>
      </c>
      <c r="O122" s="3">
        <f>I122+K122+M122</f>
        <v/>
      </c>
      <c r="Q122" t="inlineStr">
        <is>
          <t>H=1.5m</t>
        </is>
      </c>
    </row>
    <row r="123" ht="24" customHeight="1" s="34">
      <c r="A123" t="inlineStr">
        <is>
          <t>06 개발행위</t>
        </is>
      </c>
      <c r="B123" t="inlineStr">
        <is>
          <t>7. B1</t>
        </is>
      </c>
      <c r="C123" t="n">
        <v>11</v>
      </c>
      <c r="D123" t="inlineStr">
        <is>
          <t>11). 철제가드레일</t>
        </is>
      </c>
      <c r="E123" t="inlineStr">
        <is>
          <t>W3000*H910</t>
        </is>
      </c>
      <c r="F123" t="n">
        <v>75</v>
      </c>
      <c r="G123" t="inlineStr">
        <is>
          <t>경간</t>
        </is>
      </c>
      <c r="H123" t="n">
        <v>140000</v>
      </c>
      <c r="I123" s="3">
        <f>F123*H123</f>
        <v/>
      </c>
      <c r="J123" t="n">
        <v>120000</v>
      </c>
      <c r="K123" s="3">
        <f>F123*J123</f>
        <v/>
      </c>
      <c r="L123" t="n">
        <v>80000</v>
      </c>
      <c r="M123" s="3">
        <f>F123*L123</f>
        <v/>
      </c>
      <c r="N123" s="3">
        <f>H123+J123+L123</f>
        <v/>
      </c>
      <c r="O123" s="3">
        <f>I123+K123+M123</f>
        <v/>
      </c>
      <c r="P123" t="inlineStr">
        <is>
          <t>가영현</t>
        </is>
      </c>
      <c r="Q123" t="inlineStr">
        <is>
          <t>W3000*H910, ..11). 철제가드레일</t>
        </is>
      </c>
    </row>
    <row r="124" ht="24" customHeight="1" s="34">
      <c r="A124" t="inlineStr">
        <is>
          <t>06 개발행위</t>
        </is>
      </c>
      <c r="B124" t="inlineStr">
        <is>
          <t>7. B1</t>
        </is>
      </c>
      <c r="C124" t="n">
        <v>12</v>
      </c>
      <c r="D124" t="inlineStr">
        <is>
          <t>12). 콘크리트포장</t>
        </is>
      </c>
      <c r="E124" t="inlineStr">
        <is>
          <t>T=20Cm</t>
        </is>
      </c>
      <c r="F124" t="n">
        <v>2718</v>
      </c>
      <c r="G124" t="inlineStr">
        <is>
          <t>㎡</t>
        </is>
      </c>
      <c r="H124" s="3" t="n">
        <v>185</v>
      </c>
      <c r="I124" s="3">
        <f>F124*H124</f>
        <v/>
      </c>
      <c r="J124" s="3" t="n">
        <v>197</v>
      </c>
      <c r="K124" s="3">
        <f>F124*J124</f>
        <v/>
      </c>
      <c r="L124" s="3" t="n">
        <v>139</v>
      </c>
      <c r="M124" s="3">
        <f>F124*L124</f>
        <v/>
      </c>
      <c r="N124" s="3">
        <f>H124+J124+L124</f>
        <v/>
      </c>
      <c r="O124" s="3">
        <f>I124+K124+M124</f>
        <v/>
      </c>
      <c r="Q124" t="inlineStr">
        <is>
          <t>T=20Cm</t>
        </is>
      </c>
    </row>
    <row r="125" ht="24" customHeight="1" s="34">
      <c r="A125" t="inlineStr">
        <is>
          <t>06 개발행위</t>
        </is>
      </c>
      <c r="B125" t="inlineStr">
        <is>
          <t>7. B1</t>
        </is>
      </c>
      <c r="C125" t="n">
        <v>13</v>
      </c>
      <c r="D125" t="inlineStr">
        <is>
          <t>13). 관목</t>
        </is>
      </c>
      <c r="E125" t="inlineStr">
        <is>
          <t>H0.3xW0.3</t>
        </is>
      </c>
      <c r="F125" t="n">
        <v>12096</v>
      </c>
      <c r="G125" t="inlineStr">
        <is>
          <t>주</t>
        </is>
      </c>
      <c r="I125" s="3">
        <f>F125*H125</f>
        <v/>
      </c>
      <c r="J125" s="3" t="n">
        <v>3797</v>
      </c>
      <c r="K125" s="3">
        <f>F125*J125</f>
        <v/>
      </c>
      <c r="M125" s="3">
        <f>F125*L125</f>
        <v/>
      </c>
      <c r="N125" s="3">
        <f>H125+J125+L125</f>
        <v/>
      </c>
      <c r="O125" s="3">
        <f>I125+K125+M125</f>
        <v/>
      </c>
      <c r="P125" t="inlineStr">
        <is>
          <t>가영현</t>
        </is>
      </c>
      <c r="Q125" t="inlineStr">
        <is>
          <t>13). 관목</t>
        </is>
      </c>
    </row>
    <row r="126" ht="24" customHeight="1" s="34">
      <c r="A126" t="inlineStr">
        <is>
          <t>06 개발행위</t>
        </is>
      </c>
      <c r="B126" t="inlineStr">
        <is>
          <t>7. B1</t>
        </is>
      </c>
      <c r="C126" t="n">
        <v>14</v>
      </c>
      <c r="D126" t="inlineStr">
        <is>
          <t>15). 법면보호공</t>
        </is>
      </c>
      <c r="E126" t="inlineStr">
        <is>
          <t>잔디붙임(줄떼)</t>
        </is>
      </c>
      <c r="F126" t="n">
        <v>1553</v>
      </c>
      <c r="G126" t="inlineStr">
        <is>
          <t>㎡</t>
        </is>
      </c>
      <c r="H126" s="3" t="n">
        <v>0</v>
      </c>
      <c r="I126" s="3">
        <f>F126*H126</f>
        <v/>
      </c>
      <c r="J126" s="3" t="n">
        <v>4699</v>
      </c>
      <c r="K126" s="3">
        <f>F126*J126</f>
        <v/>
      </c>
      <c r="L126" s="3" t="n">
        <v>0</v>
      </c>
      <c r="M126" s="3">
        <f>F126*L126</f>
        <v/>
      </c>
      <c r="N126" s="3">
        <f>H126+J126+L126</f>
        <v/>
      </c>
      <c r="O126" s="3">
        <f>I126+K126+M126</f>
        <v/>
      </c>
      <c r="Q126" t="inlineStr">
        <is>
          <t>잔디붙임(줄떼)</t>
        </is>
      </c>
    </row>
    <row r="127" ht="24" customHeight="1" s="34">
      <c r="A127" s="15" t="inlineStr">
        <is>
          <t>06 개발행위</t>
        </is>
      </c>
      <c r="B127" s="15" t="inlineStr">
        <is>
          <t>7. B1</t>
        </is>
      </c>
      <c r="C127" s="15" t="n"/>
      <c r="D127" s="15" t="inlineStr">
        <is>
          <t>★ 7. B1 소계</t>
        </is>
      </c>
      <c r="E127" s="15" t="n"/>
      <c r="F127" s="15" t="n"/>
      <c r="G127" s="15" t="n"/>
      <c r="H127" s="15" t="n"/>
      <c r="I127" s="16">
        <f>SUM(I113:I126)</f>
        <v/>
      </c>
      <c r="J127" s="15" t="n"/>
      <c r="K127" s="16">
        <f>SUM(K113:K126)</f>
        <v/>
      </c>
      <c r="L127" s="15" t="n"/>
      <c r="M127" s="16">
        <f>SUM(M113:M126)</f>
        <v/>
      </c>
      <c r="N127" s="15" t="n"/>
      <c r="O127" s="16">
        <f>SUM(O113:O126)</f>
        <v/>
      </c>
      <c r="P127" s="15" t="n"/>
      <c r="Q127" s="15" t="inlineStr">
        <is>
          <t>14건</t>
        </is>
      </c>
    </row>
    <row r="128" ht="24" customHeight="1" s="34">
      <c r="A128" t="inlineStr">
        <is>
          <t>06 개발행위</t>
        </is>
      </c>
      <c r="B128" t="inlineStr">
        <is>
          <t>8. B2</t>
        </is>
      </c>
      <c r="C128" t="n">
        <v>1</v>
      </c>
      <c r="D128" t="inlineStr">
        <is>
          <t>1). 우수 원형1호 맨홀</t>
        </is>
      </c>
      <c r="E128" t="inlineStr">
        <is>
          <t>D900</t>
        </is>
      </c>
      <c r="F128" t="n">
        <v>1</v>
      </c>
      <c r="G128" t="inlineStr">
        <is>
          <t>개소</t>
        </is>
      </c>
      <c r="H128" s="3" t="n">
        <v>0</v>
      </c>
      <c r="I128" s="3">
        <f>F128*H128</f>
        <v/>
      </c>
      <c r="J128" s="3" t="n">
        <v>71377</v>
      </c>
      <c r="K128" s="3">
        <f>F128*J128</f>
        <v/>
      </c>
      <c r="L128" s="3" t="n">
        <v>0</v>
      </c>
      <c r="M128" s="3">
        <f>F128*L128</f>
        <v/>
      </c>
      <c r="N128" s="3">
        <f>H128+J128+L128</f>
        <v/>
      </c>
      <c r="O128" s="3">
        <f>I128+K128+M128</f>
        <v/>
      </c>
      <c r="Q128" t="inlineStr">
        <is>
          <t>D900</t>
        </is>
      </c>
    </row>
    <row r="129" ht="24" customHeight="1" s="34">
      <c r="A129" t="inlineStr">
        <is>
          <t>06 개발행위</t>
        </is>
      </c>
      <c r="B129" t="inlineStr">
        <is>
          <t>8. B2</t>
        </is>
      </c>
      <c r="C129" t="n">
        <v>2</v>
      </c>
      <c r="D129" t="inlineStr">
        <is>
          <t>2). 집수정</t>
        </is>
      </c>
      <c r="E129" t="inlineStr">
        <is>
          <t>0.6x0.6,스틸그레이팅</t>
        </is>
      </c>
      <c r="F129" t="n">
        <v>8</v>
      </c>
      <c r="G129" t="inlineStr">
        <is>
          <t>개소</t>
        </is>
      </c>
      <c r="H129" s="3" t="n">
        <v>5775</v>
      </c>
      <c r="I129" s="3">
        <f>F129*H129</f>
        <v/>
      </c>
      <c r="J129" s="3" t="n">
        <v>258574</v>
      </c>
      <c r="K129" s="3">
        <f>F129*J129</f>
        <v/>
      </c>
      <c r="L129" s="3" t="n">
        <v>3583</v>
      </c>
      <c r="M129" s="3">
        <f>F129*L129</f>
        <v/>
      </c>
      <c r="N129" s="3">
        <f>H129+J129+L129</f>
        <v/>
      </c>
      <c r="O129" s="3">
        <f>I129+K129+M129</f>
        <v/>
      </c>
      <c r="Q129" t="inlineStr">
        <is>
          <t>표준DB CTC30702040S (점수0.55) / 대안: 스틸레자방음문(0.51) · 깍기부집수정(흄관)(0.51)</t>
        </is>
      </c>
    </row>
    <row r="130" ht="24" customHeight="1" s="34">
      <c r="A130" t="inlineStr">
        <is>
          <t>06 개발행위</t>
        </is>
      </c>
      <c r="B130" t="inlineStr">
        <is>
          <t>8. B2</t>
        </is>
      </c>
      <c r="C130" t="n">
        <v>3</v>
      </c>
      <c r="D130" t="inlineStr">
        <is>
          <t>3). 오수받이</t>
        </is>
      </c>
      <c r="F130" t="n">
        <v>1</v>
      </c>
      <c r="G130" t="inlineStr">
        <is>
          <t>개소</t>
        </is>
      </c>
      <c r="H130" t="n">
        <v>340000</v>
      </c>
      <c r="I130" s="3">
        <f>F130*H130</f>
        <v/>
      </c>
      <c r="J130" s="3" t="n">
        <v>75000</v>
      </c>
      <c r="K130" s="3">
        <f>F130*J130</f>
        <v/>
      </c>
      <c r="L130" t="n">
        <v>75000</v>
      </c>
      <c r="M130" s="3">
        <f>F130*L130</f>
        <v/>
      </c>
      <c r="N130" s="3">
        <f>H130+J130+L130</f>
        <v/>
      </c>
      <c r="O130" s="3">
        <f>I130+K130+M130</f>
        <v/>
      </c>
      <c r="P130" t="inlineStr">
        <is>
          <t>가영현</t>
        </is>
      </c>
      <c r="Q130" t="inlineStr">
        <is>
          <t>3). 오수받이</t>
        </is>
      </c>
    </row>
    <row r="131" ht="24" customHeight="1" s="34">
      <c r="A131" t="inlineStr">
        <is>
          <t>06 개발행위</t>
        </is>
      </c>
      <c r="B131" t="inlineStr">
        <is>
          <t>8. B2</t>
        </is>
      </c>
      <c r="C131" t="n">
        <v>4</v>
      </c>
      <c r="D131" t="inlineStr">
        <is>
          <t>4). 고강성 PVC 이중벽관 접합 및 부설</t>
        </is>
      </c>
      <c r="E131" t="inlineStr">
        <is>
          <t>D150mm, 시공조건B</t>
        </is>
      </c>
      <c r="F131" t="n">
        <v>26</v>
      </c>
      <c r="G131" t="inlineStr">
        <is>
          <t>m</t>
        </is>
      </c>
      <c r="H131" s="3" t="n">
        <v>230</v>
      </c>
      <c r="I131" s="3">
        <f>F131*H131</f>
        <v/>
      </c>
      <c r="J131" s="3" t="n">
        <v>4360</v>
      </c>
      <c r="K131" s="3">
        <f>F131*J131</f>
        <v/>
      </c>
      <c r="L131" s="3" t="n">
        <v>0</v>
      </c>
      <c r="M131" s="3">
        <f>F131*L131</f>
        <v/>
      </c>
      <c r="N131" s="3">
        <f>H131+J131+L131</f>
        <v/>
      </c>
      <c r="O131" s="3">
        <f>I131+K131+M131</f>
        <v/>
      </c>
      <c r="Q131" t="inlineStr">
        <is>
          <t>D150mm</t>
        </is>
      </c>
    </row>
    <row r="132" ht="24" customHeight="1" s="34">
      <c r="A132" t="inlineStr">
        <is>
          <t>06 개발행위</t>
        </is>
      </c>
      <c r="B132" t="inlineStr">
        <is>
          <t>8. B2</t>
        </is>
      </c>
      <c r="C132" t="n">
        <v>5</v>
      </c>
      <c r="D132" t="inlineStr">
        <is>
          <t>5). 고강성 PVC 이중벽관 접합 및 부설</t>
        </is>
      </c>
      <c r="E132" t="inlineStr">
        <is>
          <t>D450mm, 시공조건B</t>
        </is>
      </c>
      <c r="F132" t="n">
        <v>142</v>
      </c>
      <c r="G132" t="inlineStr">
        <is>
          <t>m</t>
        </is>
      </c>
      <c r="H132" s="3" t="n">
        <v>230</v>
      </c>
      <c r="I132" s="3">
        <f>F132*H132</f>
        <v/>
      </c>
      <c r="J132" s="3" t="n">
        <v>4360</v>
      </c>
      <c r="K132" s="3">
        <f>F132*J132</f>
        <v/>
      </c>
      <c r="L132" s="3" t="n">
        <v>0</v>
      </c>
      <c r="M132" s="3">
        <f>F132*L132</f>
        <v/>
      </c>
      <c r="N132" s="3">
        <f>H132+J132+L132</f>
        <v/>
      </c>
      <c r="O132" s="3">
        <f>I132+K132+M132</f>
        <v/>
      </c>
      <c r="Q132" t="inlineStr">
        <is>
          <t>부설</t>
        </is>
      </c>
    </row>
    <row r="133" ht="24" customHeight="1" s="34">
      <c r="A133" t="inlineStr">
        <is>
          <t>06 개발행위</t>
        </is>
      </c>
      <c r="B133" t="inlineStr">
        <is>
          <t>8. B2</t>
        </is>
      </c>
      <c r="C133" t="n">
        <v>6</v>
      </c>
      <c r="D133" t="inlineStr">
        <is>
          <t>6). 고강성PVC이중벽관</t>
        </is>
      </c>
      <c r="E133" t="inlineStr">
        <is>
          <t>D150mm, 직관</t>
        </is>
      </c>
      <c r="F133" t="n">
        <v>5</v>
      </c>
      <c r="G133" t="inlineStr">
        <is>
          <t>본</t>
        </is>
      </c>
      <c r="H133" s="3" t="n">
        <v>505</v>
      </c>
      <c r="I133" s="3">
        <f>F133*H133</f>
        <v/>
      </c>
      <c r="J133" s="3" t="n">
        <v>25263</v>
      </c>
      <c r="K133" s="3">
        <f>F133*J133</f>
        <v/>
      </c>
      <c r="L133" s="3" t="n">
        <v>0</v>
      </c>
      <c r="M133" s="3">
        <f>F133*L133</f>
        <v/>
      </c>
      <c r="N133" s="3">
        <f>H133+J133+L133</f>
        <v/>
      </c>
      <c r="O133" s="3">
        <f>I133+K133+M133</f>
        <v/>
      </c>
      <c r="Q133" t="inlineStr">
        <is>
          <t>표준DB CGR10100500S (점수0.55) / 대안: 내충격PVC수도관 부설 및 접(0.55) · 내충격PVC수도관 부설 및 접(0.55)</t>
        </is>
      </c>
    </row>
    <row r="134" ht="24" customHeight="1" s="34">
      <c r="A134" t="inlineStr">
        <is>
          <t>06 개발행위</t>
        </is>
      </c>
      <c r="B134" t="inlineStr">
        <is>
          <t>8. B2</t>
        </is>
      </c>
      <c r="C134" t="n">
        <v>7</v>
      </c>
      <c r="D134" t="inlineStr">
        <is>
          <t>7). 고강성PVC이중벽관</t>
        </is>
      </c>
      <c r="E134" t="inlineStr">
        <is>
          <t>D450mm, 직관</t>
        </is>
      </c>
      <c r="F134" t="n">
        <v>24</v>
      </c>
      <c r="G134" t="inlineStr">
        <is>
          <t>본</t>
        </is>
      </c>
      <c r="H134" s="3" t="n">
        <v>200000</v>
      </c>
      <c r="I134" s="3">
        <f>F134*H134</f>
        <v/>
      </c>
      <c r="J134" s="3" t="n">
        <v>25263</v>
      </c>
      <c r="K134" s="3">
        <f>F134*J134</f>
        <v/>
      </c>
      <c r="M134" s="3">
        <f>F134*L134</f>
        <v/>
      </c>
      <c r="N134" s="3">
        <f>H134+J134+L134</f>
        <v/>
      </c>
      <c r="O134" s="3">
        <f>I134+K134+M134</f>
        <v/>
      </c>
      <c r="P134" t="inlineStr">
        <is>
          <t>가영현</t>
        </is>
      </c>
      <c r="Q134" t="inlineStr">
        <is>
          <t>7). 고강성PVC이중벽관</t>
        </is>
      </c>
    </row>
    <row r="135" ht="24" customHeight="1" s="34">
      <c r="A135" t="inlineStr">
        <is>
          <t>06 개발행위</t>
        </is>
      </c>
      <c r="B135" t="inlineStr">
        <is>
          <t>8. B2</t>
        </is>
      </c>
      <c r="C135" t="n">
        <v>8</v>
      </c>
      <c r="D135" t="inlineStr">
        <is>
          <t>8). 원심력철근콘크리트관 접합및부설(소켓식)</t>
        </is>
      </c>
      <c r="E135" t="inlineStr">
        <is>
          <t>Ø 600mm, 시공조건 B</t>
        </is>
      </c>
      <c r="F135" t="n">
        <v>13</v>
      </c>
      <c r="G135" t="inlineStr">
        <is>
          <t>m</t>
        </is>
      </c>
      <c r="H135" s="3" t="n">
        <v>2339</v>
      </c>
      <c r="I135" s="3">
        <f>F135*H135</f>
        <v/>
      </c>
      <c r="J135" s="3" t="n">
        <v>19375</v>
      </c>
      <c r="K135" s="3">
        <f>F135*J135</f>
        <v/>
      </c>
      <c r="L135" s="3" t="n">
        <v>2505</v>
      </c>
      <c r="M135" s="3">
        <f>F135*L135</f>
        <v/>
      </c>
      <c r="N135" s="3">
        <f>H135+J135+L135</f>
        <v/>
      </c>
      <c r="O135" s="3">
        <f>I135+K135+M135</f>
        <v/>
      </c>
      <c r="Q135" t="inlineStr">
        <is>
          <t>소켓식</t>
        </is>
      </c>
    </row>
    <row r="136" ht="24" customHeight="1" s="34">
      <c r="A136" t="inlineStr">
        <is>
          <t>06 개발행위</t>
        </is>
      </c>
      <c r="B136" t="inlineStr">
        <is>
          <t>8. B2</t>
        </is>
      </c>
      <c r="C136" t="n">
        <v>9</v>
      </c>
      <c r="D136" t="inlineStr">
        <is>
          <t>9). 사각수로관</t>
        </is>
      </c>
      <c r="E136" t="inlineStr">
        <is>
          <t>Ø 300mm</t>
        </is>
      </c>
      <c r="F136" t="n">
        <v>8</v>
      </c>
      <c r="G136" t="inlineStr">
        <is>
          <t>m</t>
        </is>
      </c>
      <c r="H136" s="3" t="n">
        <v>32611</v>
      </c>
      <c r="I136" s="3">
        <f>F136*H136</f>
        <v/>
      </c>
      <c r="J136" s="3" t="n">
        <v>106288</v>
      </c>
      <c r="K136" s="3">
        <f>F136*J136</f>
        <v/>
      </c>
      <c r="L136" s="3" t="n">
        <v>62900</v>
      </c>
      <c r="M136" s="3">
        <f>F136*L136</f>
        <v/>
      </c>
      <c r="N136" s="3">
        <f>H136+J136+L136</f>
        <v/>
      </c>
      <c r="O136" s="3">
        <f>I136+K136+M136</f>
        <v/>
      </c>
      <c r="Q136" t="inlineStr">
        <is>
          <t>Ø 300mm</t>
        </is>
      </c>
    </row>
    <row r="137" ht="24" customHeight="1" s="34">
      <c r="A137" t="inlineStr">
        <is>
          <t>06 개발행위</t>
        </is>
      </c>
      <c r="B137" t="inlineStr">
        <is>
          <t>8. B2</t>
        </is>
      </c>
      <c r="C137" t="n">
        <v>10</v>
      </c>
      <c r="D137" t="inlineStr">
        <is>
          <t>10). 메쉬휀스</t>
        </is>
      </c>
      <c r="E137" t="inlineStr">
        <is>
          <t>H=1.5m</t>
        </is>
      </c>
      <c r="F137" t="n">
        <v>136</v>
      </c>
      <c r="G137" t="inlineStr">
        <is>
          <t>m</t>
        </is>
      </c>
      <c r="H137" s="3" t="n">
        <v>2290</v>
      </c>
      <c r="I137" s="3">
        <f>F137*H137</f>
        <v/>
      </c>
      <c r="J137" s="3" t="n">
        <v>40880</v>
      </c>
      <c r="K137" s="3">
        <f>F137*J137</f>
        <v/>
      </c>
      <c r="L137" s="3" t="n">
        <v>2681</v>
      </c>
      <c r="M137" s="3">
        <f>F137*L137</f>
        <v/>
      </c>
      <c r="N137" s="3">
        <f>H137+J137+L137</f>
        <v/>
      </c>
      <c r="O137" s="3">
        <f>I137+K137+M137</f>
        <v/>
      </c>
      <c r="Q137" t="inlineStr">
        <is>
          <t>H=1.5m</t>
        </is>
      </c>
    </row>
    <row r="138" ht="24" customHeight="1" s="34">
      <c r="A138" t="inlineStr">
        <is>
          <t>06 개발행위</t>
        </is>
      </c>
      <c r="B138" t="inlineStr">
        <is>
          <t>8. B2</t>
        </is>
      </c>
      <c r="C138" t="n">
        <v>11</v>
      </c>
      <c r="D138" t="inlineStr">
        <is>
          <t>11). 철제가드레일</t>
        </is>
      </c>
      <c r="E138" t="inlineStr">
        <is>
          <t>W3000*H910</t>
        </is>
      </c>
      <c r="F138" t="n">
        <v>47</v>
      </c>
      <c r="G138" t="inlineStr">
        <is>
          <t>경간</t>
        </is>
      </c>
      <c r="H138" t="n">
        <v>140000</v>
      </c>
      <c r="I138" s="3">
        <f>F138*H138</f>
        <v/>
      </c>
      <c r="J138" t="n">
        <v>120000</v>
      </c>
      <c r="K138" s="3">
        <f>F138*J138</f>
        <v/>
      </c>
      <c r="L138" t="n">
        <v>80000</v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가영현</t>
        </is>
      </c>
      <c r="Q138" t="inlineStr">
        <is>
          <t>W3000*H910, ..11). 철제가드레일</t>
        </is>
      </c>
    </row>
    <row r="139" ht="24" customHeight="1" s="34">
      <c r="A139" t="inlineStr">
        <is>
          <t>06 개발행위</t>
        </is>
      </c>
      <c r="B139" t="inlineStr">
        <is>
          <t>8. B2</t>
        </is>
      </c>
      <c r="C139" t="n">
        <v>12</v>
      </c>
      <c r="D139" t="inlineStr">
        <is>
          <t>12). 콘크리트포장</t>
        </is>
      </c>
      <c r="E139" t="inlineStr">
        <is>
          <t>T=20Cm</t>
        </is>
      </c>
      <c r="F139" t="n">
        <v>3586</v>
      </c>
      <c r="G139" t="inlineStr">
        <is>
          <t>㎡</t>
        </is>
      </c>
      <c r="H139" s="3" t="n">
        <v>185</v>
      </c>
      <c r="I139" s="3">
        <f>F139*H139</f>
        <v/>
      </c>
      <c r="J139" s="3" t="n">
        <v>197</v>
      </c>
      <c r="K139" s="3">
        <f>F139*J139</f>
        <v/>
      </c>
      <c r="L139" s="3" t="n">
        <v>139</v>
      </c>
      <c r="M139" s="3">
        <f>F139*L139</f>
        <v/>
      </c>
      <c r="N139" s="3">
        <f>H139+J139+L139</f>
        <v/>
      </c>
      <c r="O139" s="3">
        <f>I139+K139+M139</f>
        <v/>
      </c>
      <c r="Q139" t="inlineStr">
        <is>
          <t>T=20Cm</t>
        </is>
      </c>
    </row>
    <row r="140" ht="24" customHeight="1" s="34">
      <c r="A140" t="inlineStr">
        <is>
          <t>06 개발행위</t>
        </is>
      </c>
      <c r="B140" t="inlineStr">
        <is>
          <t>8. B2</t>
        </is>
      </c>
      <c r="C140" t="n">
        <v>13</v>
      </c>
      <c r="D140" t="inlineStr">
        <is>
          <t>13). 관목</t>
        </is>
      </c>
      <c r="E140" t="inlineStr">
        <is>
          <t>H0.3xW0.3</t>
        </is>
      </c>
      <c r="F140" t="n">
        <v>11430</v>
      </c>
      <c r="G140" t="inlineStr">
        <is>
          <t>주</t>
        </is>
      </c>
      <c r="I140" s="3">
        <f>F140*H140</f>
        <v/>
      </c>
      <c r="J140" s="3" t="n">
        <v>3797</v>
      </c>
      <c r="K140" s="3">
        <f>F140*J140</f>
        <v/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가영현</t>
        </is>
      </c>
      <c r="Q140" t="inlineStr">
        <is>
          <t>13). 관목</t>
        </is>
      </c>
    </row>
    <row r="141" ht="24" customHeight="1" s="34">
      <c r="A141" t="inlineStr">
        <is>
          <t>06 개발행위</t>
        </is>
      </c>
      <c r="B141" t="inlineStr">
        <is>
          <t>8. B2</t>
        </is>
      </c>
      <c r="C141" t="n">
        <v>14</v>
      </c>
      <c r="D141" t="inlineStr">
        <is>
          <t>15). 법면보호공</t>
        </is>
      </c>
      <c r="E141" t="inlineStr">
        <is>
          <t>잔디붙임(줄떼)</t>
        </is>
      </c>
      <c r="F141" t="n">
        <v>834</v>
      </c>
      <c r="G141" t="inlineStr">
        <is>
          <t>㎡</t>
        </is>
      </c>
      <c r="H141" s="3" t="n">
        <v>0</v>
      </c>
      <c r="I141" s="3">
        <f>F141*H141</f>
        <v/>
      </c>
      <c r="J141" s="3" t="n">
        <v>4699</v>
      </c>
      <c r="K141" s="3">
        <f>F141*J141</f>
        <v/>
      </c>
      <c r="L141" s="3" t="n">
        <v>0</v>
      </c>
      <c r="M141" s="3">
        <f>F141*L141</f>
        <v/>
      </c>
      <c r="N141" s="3">
        <f>H141+J141+L141</f>
        <v/>
      </c>
      <c r="O141" s="3">
        <f>I141+K141+M141</f>
        <v/>
      </c>
      <c r="Q141" t="inlineStr">
        <is>
          <t>잔디붙임(줄떼)</t>
        </is>
      </c>
    </row>
    <row r="142" ht="24" customHeight="1" s="34">
      <c r="A142" s="15" t="inlineStr">
        <is>
          <t>06 개발행위</t>
        </is>
      </c>
      <c r="B142" s="15" t="inlineStr">
        <is>
          <t>8. B2</t>
        </is>
      </c>
      <c r="C142" s="15" t="n"/>
      <c r="D142" s="15" t="inlineStr">
        <is>
          <t>★ 8. B2 소계</t>
        </is>
      </c>
      <c r="E142" s="15" t="n"/>
      <c r="F142" s="15" t="n"/>
      <c r="G142" s="15" t="n"/>
      <c r="H142" s="15" t="n"/>
      <c r="I142" s="16">
        <f>SUM(I128:I141)</f>
        <v/>
      </c>
      <c r="J142" s="15" t="n"/>
      <c r="K142" s="16">
        <f>SUM(K128:K141)</f>
        <v/>
      </c>
      <c r="L142" s="15" t="n"/>
      <c r="M142" s="16">
        <f>SUM(M128:M141)</f>
        <v/>
      </c>
      <c r="N142" s="15" t="n"/>
      <c r="O142" s="16">
        <f>SUM(O128:O141)</f>
        <v/>
      </c>
      <c r="P142" s="15" t="n"/>
      <c r="Q142" s="15" t="inlineStr">
        <is>
          <t>14건</t>
        </is>
      </c>
    </row>
    <row r="143" ht="24" customHeight="1" s="34">
      <c r="A143" t="inlineStr">
        <is>
          <t>06 개발행위</t>
        </is>
      </c>
      <c r="B143" t="inlineStr">
        <is>
          <t>9. 지원시설</t>
        </is>
      </c>
      <c r="C143" t="n">
        <v>1</v>
      </c>
      <c r="D143" t="inlineStr">
        <is>
          <t>1). 집수정</t>
        </is>
      </c>
      <c r="E143" t="inlineStr">
        <is>
          <t>0.6x0.6,스틸그레이팅</t>
        </is>
      </c>
      <c r="F143" t="n">
        <v>3</v>
      </c>
      <c r="G143" t="inlineStr">
        <is>
          <t>개소</t>
        </is>
      </c>
      <c r="H143" s="3" t="n">
        <v>5775</v>
      </c>
      <c r="I143" s="3">
        <f>F143*H143</f>
        <v/>
      </c>
      <c r="J143" s="3" t="n">
        <v>258574</v>
      </c>
      <c r="K143" s="3">
        <f>F143*J143</f>
        <v/>
      </c>
      <c r="L143" s="3" t="n">
        <v>3583</v>
      </c>
      <c r="M143" s="3">
        <f>F143*L143</f>
        <v/>
      </c>
      <c r="N143" s="3">
        <f>H143+J143+L143</f>
        <v/>
      </c>
      <c r="O143" s="3">
        <f>I143+K143+M143</f>
        <v/>
      </c>
      <c r="Q143" t="inlineStr">
        <is>
          <t>표준DB CTC30702040S (점수0.55) / 대안: 스틸레자방음문(0.51) · 깍기부집수정(흄관)(0.51)</t>
        </is>
      </c>
    </row>
    <row r="144" ht="24" customHeight="1" s="34">
      <c r="A144" t="inlineStr">
        <is>
          <t>06 개발행위</t>
        </is>
      </c>
      <c r="B144" t="inlineStr">
        <is>
          <t>9. 지원시설</t>
        </is>
      </c>
      <c r="C144" t="n">
        <v>2</v>
      </c>
      <c r="D144" t="inlineStr">
        <is>
          <t>2). 오수받이</t>
        </is>
      </c>
      <c r="F144" t="n">
        <v>1</v>
      </c>
      <c r="G144" t="inlineStr">
        <is>
          <t>개소</t>
        </is>
      </c>
      <c r="H144" t="n">
        <v>340000</v>
      </c>
      <c r="I144" s="3">
        <f>F144*H144</f>
        <v/>
      </c>
      <c r="J144" s="3" t="n">
        <v>75000</v>
      </c>
      <c r="K144" s="3">
        <f>F144*J144</f>
        <v/>
      </c>
      <c r="L144" t="n">
        <v>75000</v>
      </c>
      <c r="M144" s="3">
        <f>F144*L144</f>
        <v/>
      </c>
      <c r="N144" s="3">
        <f>H144+J144+L144</f>
        <v/>
      </c>
      <c r="O144" s="3">
        <f>I144+K144+M144</f>
        <v/>
      </c>
      <c r="P144" t="inlineStr">
        <is>
          <t>가영현</t>
        </is>
      </c>
      <c r="Q144" t="inlineStr">
        <is>
          <t>2). 오수받이</t>
        </is>
      </c>
    </row>
    <row r="145" ht="24" customHeight="1" s="34">
      <c r="A145" t="inlineStr">
        <is>
          <t>06 개발행위</t>
        </is>
      </c>
      <c r="B145" t="inlineStr">
        <is>
          <t>9. 지원시설</t>
        </is>
      </c>
      <c r="C145" t="n">
        <v>3</v>
      </c>
      <c r="D145" t="inlineStr">
        <is>
          <t>3). 고강성 PVC 이중벽관 접합 및 부설</t>
        </is>
      </c>
      <c r="E145" t="inlineStr">
        <is>
          <t>D150mm, 시공조건B</t>
        </is>
      </c>
      <c r="F145" t="n">
        <v>22</v>
      </c>
      <c r="G145" t="inlineStr">
        <is>
          <t>m</t>
        </is>
      </c>
      <c r="H145" s="3" t="n">
        <v>230</v>
      </c>
      <c r="I145" s="3">
        <f>F145*H145</f>
        <v/>
      </c>
      <c r="J145" s="3" t="n">
        <v>4360</v>
      </c>
      <c r="K145" s="3">
        <f>F145*J145</f>
        <v/>
      </c>
      <c r="L145" s="3" t="n">
        <v>0</v>
      </c>
      <c r="M145" s="3">
        <f>F145*L145</f>
        <v/>
      </c>
      <c r="N145" s="3">
        <f>H145+J145+L145</f>
        <v/>
      </c>
      <c r="O145" s="3">
        <f>I145+K145+M145</f>
        <v/>
      </c>
      <c r="Q145" t="inlineStr">
        <is>
          <t>D150mm</t>
        </is>
      </c>
    </row>
    <row r="146" ht="24" customHeight="1" s="34">
      <c r="A146" t="inlineStr">
        <is>
          <t>06 개발행위</t>
        </is>
      </c>
      <c r="B146" t="inlineStr">
        <is>
          <t>9. 지원시설</t>
        </is>
      </c>
      <c r="C146" t="n">
        <v>4</v>
      </c>
      <c r="D146" t="inlineStr">
        <is>
          <t>4). 고강성 PVC 이중벽관 접합 및 부설</t>
        </is>
      </c>
      <c r="E146" t="inlineStr">
        <is>
          <t>D300mm, 시공조건B</t>
        </is>
      </c>
      <c r="F146" t="n">
        <v>3</v>
      </c>
      <c r="G146" t="inlineStr">
        <is>
          <t>m</t>
        </is>
      </c>
      <c r="H146" s="3" t="n">
        <v>528</v>
      </c>
      <c r="I146" s="3">
        <f>F146*H146</f>
        <v/>
      </c>
      <c r="J146" s="3" t="n">
        <v>10016</v>
      </c>
      <c r="K146" s="3">
        <f>F146*J146</f>
        <v/>
      </c>
      <c r="L146" s="3" t="n">
        <v>0</v>
      </c>
      <c r="M146" s="3">
        <f>F146*L146</f>
        <v/>
      </c>
      <c r="N146" s="3">
        <f>H146+J146+L146</f>
        <v/>
      </c>
      <c r="O146" s="3">
        <f>I146+K146+M146</f>
        <v/>
      </c>
      <c r="Q146" t="inlineStr">
        <is>
          <t>D300mm</t>
        </is>
      </c>
    </row>
    <row r="147" ht="24" customHeight="1" s="34">
      <c r="A147" t="inlineStr">
        <is>
          <t>06 개발행위</t>
        </is>
      </c>
      <c r="B147" t="inlineStr">
        <is>
          <t>9. 지원시설</t>
        </is>
      </c>
      <c r="C147" t="n">
        <v>5</v>
      </c>
      <c r="D147" t="inlineStr">
        <is>
          <t>5). 고강성 PVC 이중벽관 접합 및 부설</t>
        </is>
      </c>
      <c r="E147" t="inlineStr">
        <is>
          <t>D450mm, 시공조건B</t>
        </is>
      </c>
      <c r="F147" t="n">
        <v>29</v>
      </c>
      <c r="G147" t="inlineStr">
        <is>
          <t>m</t>
        </is>
      </c>
      <c r="H147" s="3" t="n">
        <v>230</v>
      </c>
      <c r="I147" s="3">
        <f>F147*H147</f>
        <v/>
      </c>
      <c r="J147" s="3" t="n">
        <v>4360</v>
      </c>
      <c r="K147" s="3">
        <f>F147*J147</f>
        <v/>
      </c>
      <c r="L147" s="3" t="n">
        <v>0</v>
      </c>
      <c r="M147" s="3">
        <f>F147*L147</f>
        <v/>
      </c>
      <c r="N147" s="3">
        <f>H147+J147+L147</f>
        <v/>
      </c>
      <c r="O147" s="3">
        <f>I147+K147+M147</f>
        <v/>
      </c>
      <c r="Q147" t="inlineStr">
        <is>
          <t>부설</t>
        </is>
      </c>
    </row>
    <row r="148" ht="24" customHeight="1" s="34">
      <c r="A148" t="inlineStr">
        <is>
          <t>06 개발행위</t>
        </is>
      </c>
      <c r="B148" t="inlineStr">
        <is>
          <t>9. 지원시설</t>
        </is>
      </c>
      <c r="C148" t="n">
        <v>6</v>
      </c>
      <c r="D148" t="inlineStr">
        <is>
          <t>6). 고강성PVC이중벽관</t>
        </is>
      </c>
      <c r="E148" t="inlineStr">
        <is>
          <t>D150mm, 직관</t>
        </is>
      </c>
      <c r="F148" t="n">
        <v>4</v>
      </c>
      <c r="G148" t="inlineStr">
        <is>
          <t>본</t>
        </is>
      </c>
      <c r="H148" s="3" t="n">
        <v>505</v>
      </c>
      <c r="I148" s="3">
        <f>F148*H148</f>
        <v/>
      </c>
      <c r="J148" s="3" t="n">
        <v>25263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Q148" t="inlineStr">
        <is>
          <t>표준DB CGR10100500S (점수0.55) / 대안: 내충격PVC수도관 부설 및 접(0.55) · 내충격PVC수도관 부설 및 접(0.55)</t>
        </is>
      </c>
    </row>
    <row r="149" ht="24" customHeight="1" s="34">
      <c r="A149" t="inlineStr">
        <is>
          <t>06 개발행위</t>
        </is>
      </c>
      <c r="B149" t="inlineStr">
        <is>
          <t>9. 지원시설</t>
        </is>
      </c>
      <c r="C149" t="n">
        <v>7</v>
      </c>
      <c r="D149" t="inlineStr">
        <is>
          <t>7). 고강성PVC이중벽관</t>
        </is>
      </c>
      <c r="E149" t="inlineStr">
        <is>
          <t>D300mm, 직관</t>
        </is>
      </c>
      <c r="F149" t="n">
        <v>1</v>
      </c>
      <c r="G149" t="inlineStr">
        <is>
          <t>본</t>
        </is>
      </c>
      <c r="H149" s="3" t="n">
        <v>505</v>
      </c>
      <c r="I149" s="3">
        <f>F149*H149</f>
        <v/>
      </c>
      <c r="J149" s="3" t="n">
        <v>25263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Q149" t="inlineStr">
        <is>
          <t>표준DB CGR10100500S (점수0.55) / 대안: 내충격PVC수도관 부설 및 접(0.55) · 내충격PVC수도관 부설 및 접(0.55)</t>
        </is>
      </c>
    </row>
    <row r="150" ht="24" customHeight="1" s="34">
      <c r="A150" t="inlineStr">
        <is>
          <t>06 개발행위</t>
        </is>
      </c>
      <c r="B150" t="inlineStr">
        <is>
          <t>9. 지원시설</t>
        </is>
      </c>
      <c r="C150" t="n">
        <v>8</v>
      </c>
      <c r="D150" t="inlineStr">
        <is>
          <t>8). 고강성PVC이중벽관</t>
        </is>
      </c>
      <c r="E150" t="inlineStr">
        <is>
          <t>D450mm, 직관</t>
        </is>
      </c>
      <c r="F150" t="n">
        <v>5</v>
      </c>
      <c r="G150" t="inlineStr">
        <is>
          <t>본</t>
        </is>
      </c>
      <c r="H150" s="3" t="n">
        <v>200000</v>
      </c>
      <c r="I150" s="3">
        <f>F150*H150</f>
        <v/>
      </c>
      <c r="J150" s="3" t="n">
        <v>25263</v>
      </c>
      <c r="K150" s="3">
        <f>F150*J150</f>
        <v/>
      </c>
      <c r="M150" s="3">
        <f>F150*L150</f>
        <v/>
      </c>
      <c r="N150" s="3">
        <f>H150+J150+L150</f>
        <v/>
      </c>
      <c r="O150" s="3">
        <f>I150+K150+M150</f>
        <v/>
      </c>
      <c r="P150" t="inlineStr">
        <is>
          <t>가영현</t>
        </is>
      </c>
      <c r="Q150" t="inlineStr">
        <is>
          <t>8). 고강성PVC이중벽관</t>
        </is>
      </c>
    </row>
    <row r="151" ht="24" customHeight="1" s="34">
      <c r="A151" t="inlineStr">
        <is>
          <t>06 개발행위</t>
        </is>
      </c>
      <c r="B151" t="inlineStr">
        <is>
          <t>9. 지원시설</t>
        </is>
      </c>
      <c r="C151" t="n">
        <v>9</v>
      </c>
      <c r="D151" t="inlineStr">
        <is>
          <t>9). 사각수로관</t>
        </is>
      </c>
      <c r="E151" t="inlineStr">
        <is>
          <t>Ø 300mm</t>
        </is>
      </c>
      <c r="F151" t="n">
        <v>6</v>
      </c>
      <c r="G151" t="inlineStr">
        <is>
          <t>m</t>
        </is>
      </c>
      <c r="H151" s="3" t="n">
        <v>32611</v>
      </c>
      <c r="I151" s="3">
        <f>F151*H151</f>
        <v/>
      </c>
      <c r="J151" s="3" t="n">
        <v>106288</v>
      </c>
      <c r="K151" s="3">
        <f>F151*J151</f>
        <v/>
      </c>
      <c r="L151" s="3" t="n">
        <v>62900</v>
      </c>
      <c r="M151" s="3">
        <f>F151*L151</f>
        <v/>
      </c>
      <c r="N151" s="3">
        <f>H151+J151+L151</f>
        <v/>
      </c>
      <c r="O151" s="3">
        <f>I151+K151+M151</f>
        <v/>
      </c>
      <c r="Q151" t="inlineStr">
        <is>
          <t>Ø 300mm</t>
        </is>
      </c>
    </row>
    <row r="152" ht="24" customHeight="1" s="34">
      <c r="A152" t="inlineStr">
        <is>
          <t>06 개발행위</t>
        </is>
      </c>
      <c r="B152" t="inlineStr">
        <is>
          <t>9. 지원시설</t>
        </is>
      </c>
      <c r="C152" t="n">
        <v>10</v>
      </c>
      <c r="D152" t="inlineStr">
        <is>
          <t>10). 철제가드레일</t>
        </is>
      </c>
      <c r="E152" t="inlineStr">
        <is>
          <t>W3000*H910</t>
        </is>
      </c>
      <c r="F152" t="n">
        <v>42</v>
      </c>
      <c r="G152" t="inlineStr">
        <is>
          <t>경간</t>
        </is>
      </c>
      <c r="H152" t="n">
        <v>140000</v>
      </c>
      <c r="I152" s="3">
        <f>F152*H152</f>
        <v/>
      </c>
      <c r="J152" t="n">
        <v>120000</v>
      </c>
      <c r="K152" s="3">
        <f>F152*J152</f>
        <v/>
      </c>
      <c r="L152" t="n">
        <v>80000</v>
      </c>
      <c r="M152" s="3">
        <f>F152*L152</f>
        <v/>
      </c>
      <c r="N152" s="3">
        <f>H152+J152+L152</f>
        <v/>
      </c>
      <c r="O152" s="3">
        <f>I152+K152+M152</f>
        <v/>
      </c>
      <c r="P152" t="inlineStr">
        <is>
          <t>가영현</t>
        </is>
      </c>
      <c r="Q152" t="inlineStr">
        <is>
          <t>W3000*H910, ..10). 철제가드레일</t>
        </is>
      </c>
    </row>
    <row r="153" ht="24" customHeight="1" s="34">
      <c r="A153" t="inlineStr">
        <is>
          <t>06 개발행위</t>
        </is>
      </c>
      <c r="B153" t="inlineStr">
        <is>
          <t>9. 지원시설</t>
        </is>
      </c>
      <c r="C153" t="n">
        <v>11</v>
      </c>
      <c r="D153" t="inlineStr">
        <is>
          <t>11). 콘크리트포장</t>
        </is>
      </c>
      <c r="E153" t="inlineStr">
        <is>
          <t>T=20Cm</t>
        </is>
      </c>
      <c r="F153" t="n">
        <v>519</v>
      </c>
      <c r="G153" t="inlineStr">
        <is>
          <t>㎡</t>
        </is>
      </c>
      <c r="H153" s="3" t="n">
        <v>185</v>
      </c>
      <c r="I153" s="3">
        <f>F153*H153</f>
        <v/>
      </c>
      <c r="J153" s="3" t="n">
        <v>197</v>
      </c>
      <c r="K153" s="3">
        <f>F153*J153</f>
        <v/>
      </c>
      <c r="L153" s="3" t="n">
        <v>139</v>
      </c>
      <c r="M153" s="3">
        <f>F153*L153</f>
        <v/>
      </c>
      <c r="N153" s="3">
        <f>H153+J153+L153</f>
        <v/>
      </c>
      <c r="O153" s="3">
        <f>I153+K153+M153</f>
        <v/>
      </c>
      <c r="Q153" t="inlineStr">
        <is>
          <t>T=20Cm</t>
        </is>
      </c>
    </row>
    <row r="154" ht="24" customHeight="1" s="34">
      <c r="A154" t="inlineStr">
        <is>
          <t>06 개발행위</t>
        </is>
      </c>
      <c r="B154" t="inlineStr">
        <is>
          <t>9. 지원시설</t>
        </is>
      </c>
      <c r="C154" t="n">
        <v>12</v>
      </c>
      <c r="D154" t="inlineStr">
        <is>
          <t>12). 관목</t>
        </is>
      </c>
      <c r="E154" t="inlineStr">
        <is>
          <t>H0.3xW0.3</t>
        </is>
      </c>
      <c r="F154" t="n">
        <v>1647</v>
      </c>
      <c r="G154" t="inlineStr">
        <is>
          <t>주</t>
        </is>
      </c>
      <c r="H154" s="3" t="n">
        <v>200</v>
      </c>
      <c r="I154" s="3">
        <f>F154*H154</f>
        <v/>
      </c>
      <c r="J154" s="3" t="n">
        <v>6676</v>
      </c>
      <c r="K154" s="3">
        <f>F154*J154</f>
        <v/>
      </c>
      <c r="L154" s="3" t="n">
        <v>0</v>
      </c>
      <c r="M154" s="3">
        <f>F154*L154</f>
        <v/>
      </c>
      <c r="N154" s="3">
        <f>H154+J154+L154</f>
        <v/>
      </c>
      <c r="O154" s="3">
        <f>I154+K154+M154</f>
        <v/>
      </c>
      <c r="Q154" t="inlineStr">
        <is>
          <t>DB 3. 수목식재 및 이식 기타 (0.81, 관목) / 대안: 관목이식(0.81) · 관목가식후 정식(0.81)</t>
        </is>
      </c>
    </row>
    <row r="155" ht="24" customHeight="1" s="34">
      <c r="A155" s="15" t="inlineStr">
        <is>
          <t>06 개발행위</t>
        </is>
      </c>
      <c r="B155" s="15" t="inlineStr">
        <is>
          <t>9. 지원시설</t>
        </is>
      </c>
      <c r="C155" s="15" t="n"/>
      <c r="D155" s="15" t="inlineStr">
        <is>
          <t>★ 9. 지원시설 소계</t>
        </is>
      </c>
      <c r="E155" s="15" t="n"/>
      <c r="F155" s="15" t="n"/>
      <c r="G155" s="15" t="n"/>
      <c r="H155" s="15" t="n"/>
      <c r="I155" s="16">
        <f>SUM(I143:I154)</f>
        <v/>
      </c>
      <c r="J155" s="15" t="n"/>
      <c r="K155" s="16">
        <f>SUM(K143:K154)</f>
        <v/>
      </c>
      <c r="L155" s="15" t="n"/>
      <c r="M155" s="16">
        <f>SUM(M143:M154)</f>
        <v/>
      </c>
      <c r="N155" s="15" t="n"/>
      <c r="O155" s="16">
        <f>SUM(O143:O154)</f>
        <v/>
      </c>
      <c r="P155" s="15" t="n"/>
      <c r="Q155" s="15" t="inlineStr">
        <is>
          <t>12건</t>
        </is>
      </c>
    </row>
    <row r="156" ht="24" customHeight="1" s="34">
      <c r="A156" t="inlineStr">
        <is>
          <t>06 개발행위</t>
        </is>
      </c>
      <c r="B156" t="inlineStr">
        <is>
          <t>10. 주차장</t>
        </is>
      </c>
      <c r="C156" t="n">
        <v>1</v>
      </c>
      <c r="D156" t="inlineStr">
        <is>
          <t>1). 집수정</t>
        </is>
      </c>
      <c r="E156" t="inlineStr">
        <is>
          <t>0.6x0.6,스틸그레이팅</t>
        </is>
      </c>
      <c r="F156" t="n">
        <v>4</v>
      </c>
      <c r="G156" t="inlineStr">
        <is>
          <t>개소</t>
        </is>
      </c>
      <c r="H156" s="3" t="n">
        <v>5775</v>
      </c>
      <c r="I156" s="3">
        <f>F156*H156</f>
        <v/>
      </c>
      <c r="J156" s="3" t="n">
        <v>258574</v>
      </c>
      <c r="K156" s="3">
        <f>F156*J156</f>
        <v/>
      </c>
      <c r="L156" s="3" t="n">
        <v>3583</v>
      </c>
      <c r="M156" s="3">
        <f>F156*L156</f>
        <v/>
      </c>
      <c r="N156" s="3">
        <f>H156+J156+L156</f>
        <v/>
      </c>
      <c r="O156" s="3">
        <f>I156+K156+M156</f>
        <v/>
      </c>
      <c r="Q156" t="inlineStr">
        <is>
          <t>표준DB CTC30702040S (점수0.55) / 대안: 스틸레자방음문(0.51) · 깍기부집수정(흄관)(0.51)</t>
        </is>
      </c>
    </row>
    <row r="157" ht="24" customHeight="1" s="34">
      <c r="A157" t="inlineStr">
        <is>
          <t>06 개발행위</t>
        </is>
      </c>
      <c r="B157" t="inlineStr">
        <is>
          <t>10. 주차장</t>
        </is>
      </c>
      <c r="C157" t="n">
        <v>2</v>
      </c>
      <c r="D157" t="inlineStr">
        <is>
          <t>2). 고강성 PVC 이중벽관 접합 및 부설</t>
        </is>
      </c>
      <c r="E157" t="inlineStr">
        <is>
          <t>D300mm, 시공조건B</t>
        </is>
      </c>
      <c r="F157" t="n">
        <v>55</v>
      </c>
      <c r="G157" t="inlineStr">
        <is>
          <t>m</t>
        </is>
      </c>
      <c r="H157" s="3" t="n">
        <v>528</v>
      </c>
      <c r="I157" s="3">
        <f>F157*H157</f>
        <v/>
      </c>
      <c r="J157" s="3" t="n">
        <v>10016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Q157" t="inlineStr">
        <is>
          <t>D300mm</t>
        </is>
      </c>
    </row>
    <row r="158" ht="24" customHeight="1" s="34">
      <c r="A158" t="inlineStr">
        <is>
          <t>06 개발행위</t>
        </is>
      </c>
      <c r="B158" t="inlineStr">
        <is>
          <t>10. 주차장</t>
        </is>
      </c>
      <c r="C158" t="n">
        <v>3</v>
      </c>
      <c r="D158" t="inlineStr">
        <is>
          <t>3). 고강성 PVC 이중벽관 접합 및 부설</t>
        </is>
      </c>
      <c r="E158" t="inlineStr">
        <is>
          <t>D450mm, 시공조건B</t>
        </is>
      </c>
      <c r="F158" t="n">
        <v>10</v>
      </c>
      <c r="G158" t="inlineStr">
        <is>
          <t>m</t>
        </is>
      </c>
      <c r="H158" s="3" t="n">
        <v>230</v>
      </c>
      <c r="I158" s="3">
        <f>F158*H158</f>
        <v/>
      </c>
      <c r="J158" s="3" t="n">
        <v>4360</v>
      </c>
      <c r="K158" s="3">
        <f>F158*J158</f>
        <v/>
      </c>
      <c r="L158" s="3" t="n">
        <v>0</v>
      </c>
      <c r="M158" s="3">
        <f>F158*L158</f>
        <v/>
      </c>
      <c r="N158" s="3">
        <f>H158+J158+L158</f>
        <v/>
      </c>
      <c r="O158" s="3">
        <f>I158+K158+M158</f>
        <v/>
      </c>
      <c r="Q158" t="inlineStr">
        <is>
          <t>부설</t>
        </is>
      </c>
    </row>
    <row r="159" ht="24" customHeight="1" s="34">
      <c r="A159" t="inlineStr">
        <is>
          <t>06 개발행위</t>
        </is>
      </c>
      <c r="B159" t="inlineStr">
        <is>
          <t>10. 주차장</t>
        </is>
      </c>
      <c r="C159" t="n">
        <v>4</v>
      </c>
      <c r="D159" t="inlineStr">
        <is>
          <t>4). 고강성PVC이중벽관</t>
        </is>
      </c>
      <c r="E159" t="inlineStr">
        <is>
          <t>D300mm, 직관</t>
        </is>
      </c>
      <c r="F159" t="n">
        <v>10</v>
      </c>
      <c r="G159" t="inlineStr">
        <is>
          <t>본</t>
        </is>
      </c>
      <c r="H159" s="3" t="n">
        <v>505</v>
      </c>
      <c r="I159" s="3">
        <f>F159*H159</f>
        <v/>
      </c>
      <c r="J159" s="3" t="n">
        <v>25263</v>
      </c>
      <c r="K159" s="3">
        <f>F159*J159</f>
        <v/>
      </c>
      <c r="L159" s="3" t="n">
        <v>0</v>
      </c>
      <c r="M159" s="3">
        <f>F159*L159</f>
        <v/>
      </c>
      <c r="N159" s="3">
        <f>H159+J159+L159</f>
        <v/>
      </c>
      <c r="O159" s="3">
        <f>I159+K159+M159</f>
        <v/>
      </c>
      <c r="Q159" t="inlineStr">
        <is>
          <t>표준DB CGR10100500S (점수0.55) / 대안: 내충격PVC수도관 부설 및 접(0.55) · 내충격PVC수도관 부설 및 접(0.55)</t>
        </is>
      </c>
    </row>
    <row r="160" ht="24" customHeight="1" s="34">
      <c r="A160" t="inlineStr">
        <is>
          <t>06 개발행위</t>
        </is>
      </c>
      <c r="B160" t="inlineStr">
        <is>
          <t>10. 주차장</t>
        </is>
      </c>
      <c r="C160" t="n">
        <v>5</v>
      </c>
      <c r="D160" t="inlineStr">
        <is>
          <t>5). 고강성PVC이중벽관</t>
        </is>
      </c>
      <c r="E160" t="inlineStr">
        <is>
          <t>D450mm, 직관</t>
        </is>
      </c>
      <c r="F160" t="n">
        <v>2</v>
      </c>
      <c r="G160" t="inlineStr">
        <is>
          <t>본</t>
        </is>
      </c>
      <c r="H160" s="3" t="n">
        <v>200000</v>
      </c>
      <c r="I160" s="3">
        <f>F160*H160</f>
        <v/>
      </c>
      <c r="J160" s="3" t="n">
        <v>25263</v>
      </c>
      <c r="K160" s="3">
        <f>F160*J160</f>
        <v/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가영현</t>
        </is>
      </c>
      <c r="Q160" t="inlineStr">
        <is>
          <t>5). 고강성PVC이중벽관</t>
        </is>
      </c>
    </row>
    <row r="161" ht="24" customHeight="1" s="34">
      <c r="A161" t="inlineStr">
        <is>
          <t>06 개발행위</t>
        </is>
      </c>
      <c r="B161" t="inlineStr">
        <is>
          <t>10. 주차장</t>
        </is>
      </c>
      <c r="C161" t="n">
        <v>6</v>
      </c>
      <c r="D161" t="inlineStr">
        <is>
          <t>6). 사각수로관</t>
        </is>
      </c>
      <c r="E161" t="inlineStr">
        <is>
          <t>Ø 300mm</t>
        </is>
      </c>
      <c r="F161" t="n">
        <v>6</v>
      </c>
      <c r="G161" t="inlineStr">
        <is>
          <t>m</t>
        </is>
      </c>
      <c r="H161" s="3" t="n">
        <v>32611</v>
      </c>
      <c r="I161" s="3">
        <f>F161*H161</f>
        <v/>
      </c>
      <c r="J161" s="3" t="n">
        <v>106288</v>
      </c>
      <c r="K161" s="3">
        <f>F161*J161</f>
        <v/>
      </c>
      <c r="L161" s="3" t="n">
        <v>62900</v>
      </c>
      <c r="M161" s="3">
        <f>F161*L161</f>
        <v/>
      </c>
      <c r="N161" s="3">
        <f>H161+J161+L161</f>
        <v/>
      </c>
      <c r="O161" s="3">
        <f>I161+K161+M161</f>
        <v/>
      </c>
      <c r="Q161" t="inlineStr">
        <is>
          <t>Ø 300mm</t>
        </is>
      </c>
    </row>
    <row r="162" ht="24" customHeight="1" s="34">
      <c r="A162" t="inlineStr">
        <is>
          <t>06 개발행위</t>
        </is>
      </c>
      <c r="B162" t="inlineStr">
        <is>
          <t>10. 주차장</t>
        </is>
      </c>
      <c r="C162" t="n">
        <v>7</v>
      </c>
      <c r="D162" t="inlineStr">
        <is>
          <t>7). 메쉬휀스</t>
        </is>
      </c>
      <c r="E162" t="inlineStr">
        <is>
          <t>H=1.5m</t>
        </is>
      </c>
      <c r="F162" t="n">
        <v>45</v>
      </c>
      <c r="G162" t="inlineStr">
        <is>
          <t>m</t>
        </is>
      </c>
      <c r="H162" s="3" t="n">
        <v>2290</v>
      </c>
      <c r="I162" s="3">
        <f>F162*H162</f>
        <v/>
      </c>
      <c r="J162" s="3" t="n">
        <v>40880</v>
      </c>
      <c r="K162" s="3">
        <f>F162*J162</f>
        <v/>
      </c>
      <c r="L162" s="3" t="n">
        <v>2681</v>
      </c>
      <c r="M162" s="3">
        <f>F162*L162</f>
        <v/>
      </c>
      <c r="N162" s="3">
        <f>H162+J162+L162</f>
        <v/>
      </c>
      <c r="O162" s="3">
        <f>I162+K162+M162</f>
        <v/>
      </c>
      <c r="Q162" t="inlineStr">
        <is>
          <t>H=1.5m</t>
        </is>
      </c>
    </row>
    <row r="163" ht="24" customHeight="1" s="34">
      <c r="A163" t="inlineStr">
        <is>
          <t>06 개발행위</t>
        </is>
      </c>
      <c r="B163" t="inlineStr">
        <is>
          <t>10. 주차장</t>
        </is>
      </c>
      <c r="C163" t="n">
        <v>8</v>
      </c>
      <c r="D163" t="inlineStr">
        <is>
          <t>8). 철제가드레일</t>
        </is>
      </c>
      <c r="E163" t="inlineStr">
        <is>
          <t>W3000*H910</t>
        </is>
      </c>
      <c r="F163" t="n">
        <v>14</v>
      </c>
      <c r="G163" t="inlineStr">
        <is>
          <t>경간</t>
        </is>
      </c>
      <c r="H163" t="n">
        <v>140000</v>
      </c>
      <c r="I163" s="3">
        <f>F163*H163</f>
        <v/>
      </c>
      <c r="J163" t="n">
        <v>120000</v>
      </c>
      <c r="K163" s="3">
        <f>F163*J163</f>
        <v/>
      </c>
      <c r="L163" t="n">
        <v>80000</v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가영현</t>
        </is>
      </c>
      <c r="Q163" t="inlineStr">
        <is>
          <t>W3000*H910, .. 8). 철제가드레일</t>
        </is>
      </c>
    </row>
    <row r="164" ht="24" customHeight="1" s="34">
      <c r="A164" t="inlineStr">
        <is>
          <t>06 개발행위</t>
        </is>
      </c>
      <c r="B164" t="inlineStr">
        <is>
          <t>10. 주차장</t>
        </is>
      </c>
      <c r="C164" t="n">
        <v>9</v>
      </c>
      <c r="D164" t="inlineStr">
        <is>
          <t>9). 콘크리트포장</t>
        </is>
      </c>
      <c r="E164" t="inlineStr">
        <is>
          <t>T=20Cm</t>
        </is>
      </c>
      <c r="F164" t="n">
        <v>633</v>
      </c>
      <c r="G164" t="inlineStr">
        <is>
          <t>㎡</t>
        </is>
      </c>
      <c r="H164" s="3" t="n">
        <v>185</v>
      </c>
      <c r="I164" s="3">
        <f>F164*H164</f>
        <v/>
      </c>
      <c r="J164" s="3" t="n">
        <v>197</v>
      </c>
      <c r="K164" s="3">
        <f>F164*J164</f>
        <v/>
      </c>
      <c r="L164" s="3" t="n">
        <v>139</v>
      </c>
      <c r="M164" s="3">
        <f>F164*L164</f>
        <v/>
      </c>
      <c r="N164" s="3">
        <f>H164+J164+L164</f>
        <v/>
      </c>
      <c r="O164" s="3">
        <f>I164+K164+M164</f>
        <v/>
      </c>
      <c r="Q164" t="inlineStr">
        <is>
          <t>T=20Cm</t>
        </is>
      </c>
    </row>
    <row r="165" ht="24" customHeight="1" s="34">
      <c r="A165" t="inlineStr">
        <is>
          <t>06 개발행위</t>
        </is>
      </c>
      <c r="B165" t="inlineStr">
        <is>
          <t>10. 주차장</t>
        </is>
      </c>
      <c r="C165" t="n">
        <v>10</v>
      </c>
      <c r="D165" t="inlineStr">
        <is>
          <t>10). 법면보호공</t>
        </is>
      </c>
      <c r="E165" t="inlineStr">
        <is>
          <t>잔디붙임(줄떼)</t>
        </is>
      </c>
      <c r="F165" t="n">
        <v>62</v>
      </c>
      <c r="G165" t="inlineStr">
        <is>
          <t>㎡</t>
        </is>
      </c>
      <c r="H165" s="3" t="n">
        <v>0</v>
      </c>
      <c r="I165" s="3">
        <f>F165*H165</f>
        <v/>
      </c>
      <c r="J165" s="3" t="n">
        <v>4699</v>
      </c>
      <c r="K165" s="3">
        <f>F165*J165</f>
        <v/>
      </c>
      <c r="L165" s="3" t="n">
        <v>0</v>
      </c>
      <c r="M165" s="3">
        <f>F165*L165</f>
        <v/>
      </c>
      <c r="N165" s="3">
        <f>H165+J165+L165</f>
        <v/>
      </c>
      <c r="O165" s="3">
        <f>I165+K165+M165</f>
        <v/>
      </c>
      <c r="Q165" t="inlineStr">
        <is>
          <t>잔디붙임(줄떼)</t>
        </is>
      </c>
    </row>
    <row r="166" ht="24" customHeight="1" s="34">
      <c r="A166" s="15" t="inlineStr">
        <is>
          <t>06 개발행위</t>
        </is>
      </c>
      <c r="B166" s="15" t="inlineStr">
        <is>
          <t>10. 주차장</t>
        </is>
      </c>
      <c r="C166" s="15" t="n"/>
      <c r="D166" s="15" t="inlineStr">
        <is>
          <t>★ 10. 주차장 소계</t>
        </is>
      </c>
      <c r="E166" s="15" t="n"/>
      <c r="F166" s="15" t="n"/>
      <c r="G166" s="15" t="n"/>
      <c r="H166" s="15" t="n"/>
      <c r="I166" s="16">
        <f>SUM(I156:I165)</f>
        <v/>
      </c>
      <c r="J166" s="15" t="n"/>
      <c r="K166" s="16">
        <f>SUM(K156:K165)</f>
        <v/>
      </c>
      <c r="L166" s="15" t="n"/>
      <c r="M166" s="16">
        <f>SUM(M156:M165)</f>
        <v/>
      </c>
      <c r="N166" s="15" t="n"/>
      <c r="O166" s="16">
        <f>SUM(O156:O165)</f>
        <v/>
      </c>
      <c r="P166" s="15" t="n"/>
      <c r="Q166" s="15" t="inlineStr">
        <is>
          <t>10건</t>
        </is>
      </c>
    </row>
    <row r="167" ht="24" customHeight="1" s="34">
      <c r="A167" s="4" t="n"/>
      <c r="B167" s="4" t="n"/>
      <c r="C167" s="4" t="n"/>
      <c r="D167" s="4" t="inlineStr">
        <is>
          <t>★ 지구단위 내역 합계</t>
        </is>
      </c>
      <c r="E167" s="4" t="n"/>
      <c r="F167" s="4" t="n"/>
      <c r="G167" s="4" t="n"/>
      <c r="H167" s="4" t="n"/>
      <c r="I167" s="5">
        <f>SUMIF(C20:C166,"&lt;&gt;",I20:I166)</f>
        <v/>
      </c>
      <c r="J167" s="4" t="n"/>
      <c r="K167" s="5">
        <f>SUMIF(C20:C166,"&lt;&gt;",K20:K166)</f>
        <v/>
      </c>
      <c r="L167" s="4" t="n"/>
      <c r="M167" s="5">
        <f>SUMIF(C20:C166,"&lt;&gt;",M20:M166)</f>
        <v/>
      </c>
      <c r="N167" s="4" t="n"/>
      <c r="O167" s="5">
        <f>SUMIF(C20:C166,"&lt;&gt;",O20:O166)</f>
        <v/>
      </c>
      <c r="P167" s="4" t="n"/>
      <c r="Q167" s="4" t="inlineStr">
        <is>
          <t>No&lt;&gt;인 행 합산</t>
        </is>
      </c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view="pageBreakPreview" zoomScale="60" zoomScaleNormal="100" workbookViewId="0">
      <pane ySplit="11" topLeftCell="A12" activePane="bottomLeft" state="frozen"/>
      <selection activeCell="F132" sqref="F132"/>
      <selection pane="bottomLeft" activeCell="T73" sqref="T73"/>
    </sheetView>
  </sheetViews>
  <sheetFormatPr baseColWidth="8" defaultRowHeight="16.5"/>
  <cols>
    <col width="25" bestFit="1" customWidth="1" style="34" min="1" max="1"/>
    <col width="16" bestFit="1" customWidth="1" style="34" min="2" max="2"/>
    <col width="20" bestFit="1" customWidth="1" style="34" min="3" max="3"/>
    <col width="10" bestFit="1" customWidth="1" style="34" min="4" max="4"/>
    <col width="10" bestFit="1" customWidth="1" style="34" min="5" max="5"/>
    <col width="8" bestFit="1" customWidth="1" style="34" min="6" max="7"/>
    <col width="14" customWidth="1" style="34" min="7" max="7"/>
    <col width="14" bestFit="1" customWidth="1" style="34" min="8" max="8"/>
    <col width="15" bestFit="1" customWidth="1" style="34" min="9" max="10"/>
    <col width="14" customWidth="1" style="34" min="10" max="10"/>
    <col width="30" bestFit="1" customWidth="1" style="34" min="11" max="12"/>
    <col width="10" customWidth="1" style="34" min="12" max="12"/>
    <col width="30" bestFit="1" customWidth="1" style="34" min="13" max="13"/>
    <col width="14" bestFit="1" customWidth="1" style="34" min="14" max="14"/>
    <col width="30" bestFit="1" customWidth="1" style="34" min="15" max="15"/>
    <col width="6" bestFit="1" customWidth="1" style="34" min="16" max="16"/>
    <col width="16" bestFit="1" customWidth="1" style="34" min="17" max="17"/>
  </cols>
  <sheetData>
    <row r="1" ht="24" customHeight="1" s="34">
      <c r="A1" s="33" t="inlineStr">
        <is>
          <t>화성 청원지구 — 폐기물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07</t>
        </is>
      </c>
      <c r="B4" t="inlineStr">
        <is>
          <t>07 건설폐기물</t>
        </is>
      </c>
      <c r="C4" t="inlineStr">
        <is>
          <t>1). 폐기물운반</t>
        </is>
      </c>
      <c r="G4" s="3" t="n">
        <v>0</v>
      </c>
      <c r="H4" s="3" t="n">
        <v>0</v>
      </c>
      <c r="I4" s="3" t="n">
        <v>10873450</v>
      </c>
      <c r="J4" s="3" t="n">
        <v>10873450</v>
      </c>
      <c r="K4" s="14" t="n">
        <v>0.1087345</v>
      </c>
    </row>
    <row r="5" ht="24" customHeight="1" s="34">
      <c r="A5" t="inlineStr">
        <is>
          <t>07</t>
        </is>
      </c>
      <c r="B5" t="inlineStr">
        <is>
          <t>07 건설폐기물</t>
        </is>
      </c>
      <c r="C5" t="inlineStr">
        <is>
          <t>1). 폐콘크리트 처리비</t>
        </is>
      </c>
      <c r="G5" s="3" t="n">
        <v>0</v>
      </c>
      <c r="H5" s="3" t="n">
        <v>0</v>
      </c>
      <c r="I5" s="3" t="n">
        <v>20584862</v>
      </c>
      <c r="J5" s="3" t="n">
        <v>20584862</v>
      </c>
      <c r="K5" s="14" t="n">
        <v>0.20584862</v>
      </c>
    </row>
    <row r="6" ht="24" customHeight="1" s="34">
      <c r="A6" s="15" t="inlineStr">
        <is>
          <t>07</t>
        </is>
      </c>
      <c r="B6" s="15" t="inlineStr">
        <is>
          <t>07 건설폐기물</t>
        </is>
      </c>
      <c r="C6" s="15" t="inlineStr">
        <is>
          <t>★ 07 건설폐기물 소계</t>
        </is>
      </c>
      <c r="D6" s="15" t="n">
        <v>0</v>
      </c>
      <c r="E6" s="15" t="n">
        <v>0</v>
      </c>
      <c r="F6" s="15" t="n">
        <v>0</v>
      </c>
      <c r="G6" s="16" t="n">
        <v>0</v>
      </c>
      <c r="H6" s="16" t="n">
        <v>0</v>
      </c>
      <c r="I6" s="16" t="n">
        <v>31458312</v>
      </c>
      <c r="J6" s="16" t="n">
        <v>31458312</v>
      </c>
      <c r="K6" s="17" t="n">
        <v>0.31458312</v>
      </c>
    </row>
    <row r="7" ht="24" customHeight="1" s="34">
      <c r="A7" s="4" t="n"/>
      <c r="B7" s="4" t="inlineStr">
        <is>
          <t>폐기물</t>
        </is>
      </c>
      <c r="C7" s="4" t="inlineStr">
        <is>
          <t>★ 폐기물 합계</t>
        </is>
      </c>
      <c r="D7" s="4" t="n">
        <v>0</v>
      </c>
      <c r="E7" s="4" t="n">
        <v>0</v>
      </c>
      <c r="F7" s="4" t="n">
        <v>0</v>
      </c>
      <c r="G7" s="5" t="n">
        <v>0</v>
      </c>
      <c r="H7" s="5" t="n">
        <v>0</v>
      </c>
      <c r="I7" s="5" t="n">
        <v>31458312</v>
      </c>
      <c r="J7" s="5" t="n">
        <v>31458312</v>
      </c>
      <c r="K7" s="22" t="n">
        <v>0.31458312</v>
      </c>
    </row>
    <row r="8" ht="24" customHeight="1" s="34"/>
    <row r="9" ht="24" customHeight="1" s="34">
      <c r="A9" t="inlineStr">
        <is>
          <t>◆ 폐기물 — 내역 일괄</t>
        </is>
      </c>
    </row>
    <row r="10" ht="24" customHeight="1" s="34"/>
    <row r="11" ht="24" customHeight="1" s="34">
      <c r="A11" s="38" t="inlineStr">
        <is>
          <t>내역서</t>
        </is>
      </c>
      <c r="B11" s="38" t="inlineStr">
        <is>
          <t>공종</t>
        </is>
      </c>
      <c r="C11" s="38" t="inlineStr">
        <is>
          <t>No</t>
        </is>
      </c>
      <c r="D11" s="38" t="inlineStr">
        <is>
          <t>공종명</t>
        </is>
      </c>
      <c r="E11" s="38" t="inlineStr">
        <is>
          <t>규격</t>
        </is>
      </c>
      <c r="F11" s="38" t="inlineStr">
        <is>
          <t>수량</t>
        </is>
      </c>
      <c r="G11" s="38" t="inlineStr">
        <is>
          <t>단위</t>
        </is>
      </c>
      <c r="H11" s="38" t="inlineStr">
        <is>
          <t>재료단가</t>
        </is>
      </c>
      <c r="I11" s="38" t="inlineStr">
        <is>
          <t>재료금액</t>
        </is>
      </c>
      <c r="J11" s="38" t="inlineStr">
        <is>
          <t>노무단가</t>
        </is>
      </c>
      <c r="K11" s="38" t="inlineStr">
        <is>
          <t>노무금액</t>
        </is>
      </c>
      <c r="L11" s="38" t="inlineStr">
        <is>
          <t>경비단가</t>
        </is>
      </c>
      <c r="M11" s="38" t="inlineStr">
        <is>
          <t>경비금액</t>
        </is>
      </c>
      <c r="N11" s="38" t="inlineStr">
        <is>
          <t>합계단가</t>
        </is>
      </c>
      <c r="O11" s="38" t="inlineStr">
        <is>
          <t>합계금액</t>
        </is>
      </c>
      <c r="P11" s="38" t="inlineStr">
        <is>
          <t>상태</t>
        </is>
      </c>
      <c r="Q11" s="38" t="inlineStr">
        <is>
          <t>비고</t>
        </is>
      </c>
    </row>
    <row r="12" ht="24" customHeight="1" s="34">
      <c r="A12" t="inlineStr">
        <is>
          <t>07 건설폐기물</t>
        </is>
      </c>
      <c r="B12" t="inlineStr">
        <is>
          <t>건설폐기물처리</t>
        </is>
      </c>
      <c r="C12" t="n">
        <v>1</v>
      </c>
      <c r="D12" t="inlineStr">
        <is>
          <t>1). 폐기물운반</t>
        </is>
      </c>
      <c r="E12" t="inlineStr">
        <is>
          <t>24톤, 30Km 이내</t>
        </is>
      </c>
      <c r="F12" t="n">
        <v>661</v>
      </c>
      <c r="G12" t="inlineStr">
        <is>
          <t>Ton</t>
        </is>
      </c>
      <c r="H12" s="3" t="n">
        <v>0</v>
      </c>
      <c r="I12" s="3">
        <f>F12*H12</f>
        <v/>
      </c>
      <c r="J12" s="3" t="n">
        <v>0</v>
      </c>
      <c r="K12" s="3">
        <f>F12*J12</f>
        <v/>
      </c>
      <c r="L12" s="3" t="n">
        <v>16450</v>
      </c>
      <c r="M12" s="3">
        <f>F12*L12</f>
        <v/>
      </c>
      <c r="N12" s="3">
        <f>H12+J12+L12</f>
        <v/>
      </c>
      <c r="O12" s="3">
        <f>I12+K12+M12</f>
        <v/>
      </c>
      <c r="Q12" t="inlineStr">
        <is>
          <t>26. 협회단가</t>
        </is>
      </c>
    </row>
    <row r="13" ht="24" customHeight="1" s="34">
      <c r="A13" t="inlineStr">
        <is>
          <t>07 건설폐기물</t>
        </is>
      </c>
      <c r="B13" t="inlineStr">
        <is>
          <t>건설폐기물처리</t>
        </is>
      </c>
      <c r="C13" t="n">
        <v>2</v>
      </c>
      <c r="D13" t="inlineStr">
        <is>
          <t>1). 폐콘크리트 처리비</t>
        </is>
      </c>
      <c r="F13" t="n">
        <v>661</v>
      </c>
      <c r="G13" t="inlineStr">
        <is>
          <t>Ton</t>
        </is>
      </c>
      <c r="H13" s="3" t="n">
        <v>0</v>
      </c>
      <c r="I13" s="3">
        <f>F13*H13</f>
        <v/>
      </c>
      <c r="J13" s="3" t="n">
        <v>0</v>
      </c>
      <c r="K13" s="3">
        <f>F13*J13</f>
        <v/>
      </c>
      <c r="L13" s="3" t="n">
        <v>31142</v>
      </c>
      <c r="M13" s="3">
        <f>F13*L13</f>
        <v/>
      </c>
      <c r="N13" s="3">
        <f>H13+J13+L13</f>
        <v/>
      </c>
      <c r="O13" s="3">
        <f>I13+K13+M13</f>
        <v/>
      </c>
      <c r="Q13" t="inlineStr">
        <is>
          <t>26. 협회단가</t>
        </is>
      </c>
    </row>
    <row r="14" ht="24" customHeight="1" s="34">
      <c r="A14" s="15" t="inlineStr">
        <is>
          <t>07 건설폐기물</t>
        </is>
      </c>
      <c r="B14" s="15" t="inlineStr">
        <is>
          <t>건설폐기물처리</t>
        </is>
      </c>
      <c r="C14" s="15" t="n"/>
      <c r="D14" s="15" t="inlineStr">
        <is>
          <t>★ 건설폐기물처리 소계</t>
        </is>
      </c>
      <c r="E14" s="15" t="n"/>
      <c r="F14" s="15" t="n"/>
      <c r="G14" s="15" t="n"/>
      <c r="H14" s="15" t="n"/>
      <c r="I14" s="16">
        <f>SUM(I12:I13)</f>
        <v/>
      </c>
      <c r="J14" s="15" t="n"/>
      <c r="K14" s="16">
        <f>SUM(K12:K13)</f>
        <v/>
      </c>
      <c r="L14" s="15" t="n"/>
      <c r="M14" s="16">
        <f>SUM(M12:M13)</f>
        <v/>
      </c>
      <c r="N14" s="15" t="n"/>
      <c r="O14" s="16">
        <f>SUM(O12:O13)</f>
        <v/>
      </c>
      <c r="P14" s="15" t="n"/>
      <c r="Q14" s="15" t="inlineStr">
        <is>
          <t>2건</t>
        </is>
      </c>
    </row>
    <row r="15" ht="24" customHeight="1" s="34">
      <c r="A15" s="4" t="n"/>
      <c r="B15" s="4" t="n"/>
      <c r="C15" s="4" t="n"/>
      <c r="D15" s="4" t="inlineStr">
        <is>
          <t>★ 폐기물 내역 합계</t>
        </is>
      </c>
      <c r="E15" s="4" t="n"/>
      <c r="F15" s="4" t="n"/>
      <c r="G15" s="4" t="n"/>
      <c r="H15" s="4" t="n"/>
      <c r="I15" s="5">
        <f>SUMIF(C12:C14,"&lt;&gt;",I12:I14)</f>
        <v/>
      </c>
      <c r="J15" s="4" t="n"/>
      <c r="K15" s="5">
        <f>SUMIF(C12:C14,"&lt;&gt;",K12:K14)</f>
        <v/>
      </c>
      <c r="L15" s="4" t="n"/>
      <c r="M15" s="5">
        <f>SUMIF(C12:C14,"&lt;&gt;",M12:M14)</f>
        <v/>
      </c>
      <c r="N15" s="4" t="n"/>
      <c r="O15" s="5">
        <f>SUMIF(C12:C14,"&lt;&gt;",O12:O14)</f>
        <v/>
      </c>
      <c r="P15" s="4" t="n"/>
      <c r="Q15" s="4" t="inlineStr">
        <is>
          <t>No&lt;&gt;인 행 합산</t>
        </is>
      </c>
    </row>
    <row r="16" ht="24" customHeight="1" s="34"/>
    <row r="17" ht="24" customHeight="1" s="34"/>
    <row r="18" ht="24" customHeight="1" s="34"/>
    <row r="19" ht="24" customHeight="1" s="34"/>
    <row r="20" ht="24" customHeight="1" s="34"/>
    <row r="21" ht="24" customHeight="1" s="34"/>
    <row r="22" ht="24" customHeight="1" s="34"/>
    <row r="23" ht="24" customHeight="1" s="34"/>
    <row r="24" ht="24" customHeight="1" s="34"/>
    <row r="25" ht="24" customHeight="1" s="34"/>
    <row r="26" ht="24" customHeight="1" s="34"/>
    <row r="27" ht="24" customHeight="1" s="34"/>
    <row r="28" ht="24" customHeight="1" s="34"/>
    <row r="29" ht="24" customHeight="1" s="34"/>
    <row r="30" ht="24" customHeight="1" s="34"/>
    <row r="31" ht="24" customHeight="1" s="34"/>
    <row r="32" ht="24" customHeight="1" s="34"/>
    <row r="33" ht="24" customHeight="1" s="34"/>
    <row r="34" ht="24" customHeight="1" s="34"/>
    <row r="35" ht="24" customHeight="1" s="34"/>
    <row r="36" ht="24" customHeight="1" s="34"/>
    <row r="37" ht="24" customHeight="1" s="34"/>
    <row r="38" ht="24" customHeight="1" s="34"/>
    <row r="39" ht="24" customHeight="1" s="34"/>
    <row r="40" ht="24" customHeight="1" s="34"/>
    <row r="41" ht="24" customHeight="1" s="34"/>
    <row r="42" ht="24" customHeight="1" s="34"/>
    <row r="43" ht="24" customHeight="1" s="34"/>
    <row r="44" ht="24" customHeight="1" s="34"/>
    <row r="45" ht="24" customHeight="1" s="34"/>
    <row r="46" ht="24" customHeight="1" s="34"/>
    <row r="47" ht="24" customHeight="1" s="34"/>
    <row r="48" ht="24" customHeight="1" s="34"/>
    <row r="49" ht="24" customHeight="1" s="34"/>
    <row r="50" ht="24" customHeight="1" s="34"/>
    <row r="51" ht="24" customHeight="1" s="34"/>
    <row r="52" ht="24" customHeight="1" s="34"/>
    <row r="53" ht="24" customHeight="1" s="34"/>
    <row r="54" ht="24" customHeight="1" s="34">
      <c r="E54" s="30" t="n"/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2026-06-28T04:59:11Z</dcterms:created>
  <dcterms:modified xmlns:dcterms="http://purl.org/dc/terms/" xmlns:xsi="http://www.w3.org/2001/XMLSchema-instance" xsi:type="dcterms:W3CDTF">2026-06-30T04:33:32Z</dcterms:modified>
  <cp:lastModifiedBy>김찬식 초록마을</cp:lastModifiedBy>
  <cp:lastPrinted>2026-06-28T07:07:00Z</cp:lastPrinted>
</cp:coreProperties>
</file>